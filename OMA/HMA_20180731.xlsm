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557117\Documents\komamura\mtg\オリジナルマスターズ系\"/>
    </mc:Choice>
  </mc:AlternateContent>
  <bookViews>
    <workbookView xWindow="0" yWindow="0" windowWidth="5175" windowHeight="360" activeTab="7"/>
  </bookViews>
  <sheets>
    <sheet name="W" sheetId="11" r:id="rId1"/>
    <sheet name="U" sheetId="12" r:id="rId2"/>
    <sheet name="B" sheetId="14" r:id="rId3"/>
    <sheet name="R" sheetId="13" r:id="rId4"/>
    <sheet name="G" sheetId="15" r:id="rId5"/>
    <sheet name="M" sheetId="22" r:id="rId6"/>
    <sheet name="F" sheetId="58" r:id="rId7"/>
    <sheet name="Sheet1" sheetId="47" r:id="rId8"/>
    <sheet name="WS" sheetId="50" r:id="rId9"/>
    <sheet name="US" sheetId="52" r:id="rId10"/>
    <sheet name="BS" sheetId="53" r:id="rId11"/>
    <sheet name="RS" sheetId="54" r:id="rId12"/>
    <sheet name="GS" sheetId="55" r:id="rId13"/>
    <sheet name="ULAND" sheetId="51" r:id="rId14"/>
    <sheet name="Sheet2" sheetId="56" r:id="rId15"/>
    <sheet name="配列" sheetId="57" r:id="rId16"/>
    <sheet name="コモン" sheetId="34" r:id="rId17"/>
    <sheet name="UC" sheetId="35" r:id="rId18"/>
    <sheet name="RMR" sheetId="36" r:id="rId19"/>
    <sheet name="新CS" sheetId="38" r:id="rId20"/>
    <sheet name="Sheet5" sheetId="29" r:id="rId21"/>
    <sheet name="Naturalize" sheetId="49" r:id="rId22"/>
    <sheet name="Conspiracy" sheetId="48" r:id="rId23"/>
    <sheet name="Morph" sheetId="42" r:id="rId24"/>
    <sheet name="Human" sheetId="46" r:id="rId25"/>
    <sheet name="Populate" sheetId="44" r:id="rId26"/>
    <sheet name="Rogue" sheetId="33" r:id="rId27"/>
    <sheet name="Vehicle" sheetId="40" r:id="rId28"/>
    <sheet name="LivingWeapon" sheetId="43" r:id="rId29"/>
    <sheet name="CNS" sheetId="39" r:id="rId30"/>
    <sheet name="Ally" sheetId="41" r:id="rId31"/>
    <sheet name="多色" sheetId="45" r:id="rId32"/>
  </sheets>
  <externalReferences>
    <externalReference r:id="rId33"/>
    <externalReference r:id="rId34"/>
  </externalReferences>
  <definedNames>
    <definedName name="_xlnm._FilterDatabase" localSheetId="2" hidden="1">B!$A$1:$S$162</definedName>
    <definedName name="_xlnm._FilterDatabase" localSheetId="10" hidden="1">BS!$A$1:$T$745</definedName>
    <definedName name="_xlnm._FilterDatabase" localSheetId="22" hidden="1">Conspiracy!$B$2:$R$34</definedName>
    <definedName name="_xlnm._FilterDatabase" localSheetId="6" hidden="1">F!$A$1:$R$881</definedName>
    <definedName name="_xlnm._FilterDatabase" localSheetId="4" hidden="1">G!$A$1:$S$176</definedName>
    <definedName name="_xlnm._FilterDatabase" localSheetId="12" hidden="1">GS!$A$1:$T$775</definedName>
    <definedName name="_xlnm._FilterDatabase" localSheetId="5" hidden="1">M!$A$1:$S$283</definedName>
    <definedName name="_xlnm._FilterDatabase" localSheetId="23" hidden="1">Morph!$A$1:$R$55</definedName>
    <definedName name="_xlnm._FilterDatabase" localSheetId="3" hidden="1">'R'!$A$1:$S$231</definedName>
    <definedName name="_xlnm._FilterDatabase" localSheetId="11" hidden="1">RS!$A$1:$T$776</definedName>
    <definedName name="_xlnm._FilterDatabase" localSheetId="1" hidden="1">U!$A$1:$S$393</definedName>
    <definedName name="_xlnm._FilterDatabase" localSheetId="9" hidden="1">US!$A$1:$T$813</definedName>
    <definedName name="_xlnm._FilterDatabase" localSheetId="0" hidden="1">W!$A$1:$S$798</definedName>
    <definedName name="_xlnm._FilterDatabase" localSheetId="8" hidden="1">WS!$A$1:$T$700</definedName>
    <definedName name="_xlnm._FilterDatabase" localSheetId="31" hidden="1">多色!$A$1:$S$155</definedName>
    <definedName name="CoBCMC" localSheetId="29">[1]コモン!$G$36:$G$52</definedName>
    <definedName name="CoBCMC">[2]コモン!$G$36:$G$52</definedName>
    <definedName name="CoBT" localSheetId="29">[1]コモン!$I$36:$I$52</definedName>
    <definedName name="CoBT">[2]コモン!$I$36:$I$52</definedName>
    <definedName name="CoCMC" localSheetId="29">[1]コモン!$G$2:$G$116</definedName>
    <definedName name="CoCMC">[2]コモン!$G$2:$G$116</definedName>
    <definedName name="CoFCMC" localSheetId="29">[1]コモン!$G$107:$G$113</definedName>
    <definedName name="CoFCMC">[2]コモン!$G$107:$G$113</definedName>
    <definedName name="CoFT" localSheetId="29">[1]コモン!$I$107:$I$113</definedName>
    <definedName name="CoFT">[2]コモン!$I$107:$I$113</definedName>
    <definedName name="CoGCMC" localSheetId="29">[1]コモン!$G$70:$G$86</definedName>
    <definedName name="CoGCMC">[2]コモン!$G$70:$G$86</definedName>
    <definedName name="CoGT" localSheetId="29">[1]コモン!$I$70:$I$86</definedName>
    <definedName name="CoGT">[2]コモン!$I$70:$I$86</definedName>
    <definedName name="CoMCMC" localSheetId="29">[1]コモン!$G$87:$G$106</definedName>
    <definedName name="CoMCMC">[2]コモン!$G$87:$G$106</definedName>
    <definedName name="CoMT" localSheetId="29">[1]コモン!$I$87:$I$106</definedName>
    <definedName name="CoMT">[2]コモン!$I$87:$I$106</definedName>
    <definedName name="CoRCMC" localSheetId="29">[1]コモン!$G$53:$G$69</definedName>
    <definedName name="CoRCMC">[2]コモン!$G$53:$G$69</definedName>
    <definedName name="CoRT" localSheetId="29">[1]コモン!$I$53:$I$69</definedName>
    <definedName name="CoRT">[2]コモン!$I$53:$I$69</definedName>
    <definedName name="CoUCMC" localSheetId="29">[1]コモン!$G$19:$G$35</definedName>
    <definedName name="CoUCMC">[2]コモン!$G$19:$G$35</definedName>
    <definedName name="CoUT" localSheetId="29">[1]コモン!$I$19:$I$35</definedName>
    <definedName name="CoUT">[2]コモン!$I$19:$I$35</definedName>
    <definedName name="CoWCMC" localSheetId="29">[1]コモン!$G$2:$G$18</definedName>
    <definedName name="CoWCMC">[2]コモン!$G$2:$G$18</definedName>
    <definedName name="CoWT" localSheetId="29">[1]コモン!$I$2:$I$18</definedName>
    <definedName name="CoWT">[2]コモン!$I$2:$I$18</definedName>
    <definedName name="ReBCMC" localSheetId="29">[1]コモン!$G$211:$G$218</definedName>
    <definedName name="ReBCMC">[2]コモン!$G$233:$G$241</definedName>
    <definedName name="ReBT" localSheetId="29">[1]コモン!$I$211:$I$218</definedName>
    <definedName name="ReBT">[2]コモン!$I$233:$I$241</definedName>
    <definedName name="ReCMC" localSheetId="29">[1]コモン!$G$195:$G$254</definedName>
    <definedName name="ReCMC">[2]コモン!$G$215:$G$284</definedName>
    <definedName name="ReFCMC" localSheetId="29">[1]コモン!$G$246:$G$249</definedName>
    <definedName name="ReFCMC">[2]コモン!$G$276:$G$279</definedName>
    <definedName name="ReFT" localSheetId="29">[1]コモン!$I$246:$I$249</definedName>
    <definedName name="ReFT">[2]コモン!$I$276:$I$279</definedName>
    <definedName name="ReGCMC" localSheetId="29">[1]コモン!$G$227:$G$234</definedName>
    <definedName name="ReGCMC">[2]コモン!$G$251:$G$259</definedName>
    <definedName name="ReGT" localSheetId="29">[1]コモン!$I$227:$I$234</definedName>
    <definedName name="ReGT">[2]コモン!$I$251:$I$259</definedName>
    <definedName name="ReMCMC" localSheetId="29">[1]コモン!$G$235:$G$245</definedName>
    <definedName name="ReMCMC">[2]コモン!$G$260:$G$275</definedName>
    <definedName name="ReMT" localSheetId="29">[1]コモン!$I$235:$I$245</definedName>
    <definedName name="ReMT">[2]コモン!$I$260:$I$275</definedName>
    <definedName name="ReRCMC" localSheetId="29">[1]コモン!$G$219:$G$226</definedName>
    <definedName name="ReRCMC">[2]コモン!$G$242:$G$250</definedName>
    <definedName name="ReRT" localSheetId="29">[1]コモン!$I$219:$I$226</definedName>
    <definedName name="ReRT">[2]コモン!$I$242:$I$250</definedName>
    <definedName name="ReT" localSheetId="29">[1]コモン!$I$195:$I$254</definedName>
    <definedName name="ReT">[2]コモン!$I$215:$I$284</definedName>
    <definedName name="ReUCMC" localSheetId="29">[1]コモン!$G$203:$G$210</definedName>
    <definedName name="ReUCMC">[2]コモン!$G$224:$G$232</definedName>
    <definedName name="ReUT" localSheetId="29">[1]コモン!$I$203:$I$210</definedName>
    <definedName name="ReUT">[2]コモン!$I$224:$I$232</definedName>
    <definedName name="ReWCMC" localSheetId="29">[1]コモン!$G$195:$G$202</definedName>
    <definedName name="ReWCMC">[2]コモン!$G$215:$G$223</definedName>
    <definedName name="ReWT" localSheetId="29">[1]コモン!$I$195:$I$202</definedName>
    <definedName name="ReWT">[2]コモン!$I$215:$I$223</definedName>
    <definedName name="UCBCMC" localSheetId="29">[1]コモン!$G$141:$G$150</definedName>
    <definedName name="UCBCMC">[2]コモン!$G$143:$G$153</definedName>
    <definedName name="UCBT" localSheetId="29">[1]コモン!$I$141:$I$150</definedName>
    <definedName name="UCBT">[2]コモン!$I$143:$I$153</definedName>
    <definedName name="UCCMC" localSheetId="29">[1]コモン!$G$121:$G$190</definedName>
    <definedName name="UCCMC">[2]コモン!$G$121:$G$210</definedName>
    <definedName name="UCFCMC" localSheetId="29">[1]コモン!$G$181:$G$185</definedName>
    <definedName name="UCFCMC">[2]コモン!$G$201:$G$205</definedName>
    <definedName name="UCFT" localSheetId="29">[1]コモン!$I$181:$I$185</definedName>
    <definedName name="UCFT">[2]コモン!$I$201:$I$205</definedName>
    <definedName name="UCGCMC" localSheetId="29">[1]コモン!$G$161:$G$170</definedName>
    <definedName name="UCGCMC">[2]コモン!$G$165:$G$175</definedName>
    <definedName name="UCGT" localSheetId="29">[1]コモン!$I$161:$I$170</definedName>
    <definedName name="UCGT">[2]コモン!$I$165:$I$175</definedName>
    <definedName name="UCMCMC" localSheetId="29">[1]コモン!$G$171:$G$180</definedName>
    <definedName name="UCMCMC">[2]コモン!$G$176:$G$200</definedName>
    <definedName name="UCMT" localSheetId="29">[1]コモン!$I$171:$I$180</definedName>
    <definedName name="UCMT">[2]コモン!$I$176:$I$200</definedName>
    <definedName name="UCRCMC" localSheetId="29">[1]コモン!$G$151:$G$160</definedName>
    <definedName name="UCRCMC">[2]コモン!$G$154:$G$164</definedName>
    <definedName name="UCRT" localSheetId="29">[1]コモン!$I$151:$I$160</definedName>
    <definedName name="UCRT">[2]コモン!$I$154:$I$164</definedName>
    <definedName name="UCT" localSheetId="29">[1]コモン!$I$121:$I$190</definedName>
    <definedName name="UCT">[2]コモン!$I$121:$I$210</definedName>
    <definedName name="UCUCMC" localSheetId="29">[1]コモン!$G$131:$G$140</definedName>
    <definedName name="UCUCMC">[2]コモン!$G$132:$G$142</definedName>
    <definedName name="UCUT" localSheetId="29">[1]コモン!$I$131:$I$140</definedName>
    <definedName name="UCUT">[2]コモン!$I$132:$I$142</definedName>
    <definedName name="UCWCMC" localSheetId="29">[1]コモン!$G$121:$G$130</definedName>
    <definedName name="UCWCMC">[2]コモン!$G$121:$G$131</definedName>
    <definedName name="UCWT" localSheetId="29">[1]コモン!$I$121:$I$130</definedName>
    <definedName name="UCWT">[2]コモン!$I$121:$I$131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2" i="34" l="1"/>
  <c r="Z2" i="36"/>
  <c r="Y2" i="36"/>
  <c r="X2" i="36"/>
  <c r="W2" i="36"/>
  <c r="V2" i="36"/>
  <c r="U2" i="36"/>
  <c r="T2" i="36"/>
  <c r="T2" i="35"/>
  <c r="Z2" i="35"/>
  <c r="Y2" i="35"/>
  <c r="X2" i="35"/>
  <c r="W2" i="35"/>
  <c r="V2" i="35"/>
  <c r="U2" i="35"/>
  <c r="AF2" i="38" l="1"/>
  <c r="Z2" i="34"/>
  <c r="T23" i="13" l="1"/>
  <c r="E11" i="38" l="1"/>
  <c r="C5" i="38"/>
  <c r="C4" i="38"/>
  <c r="Z10" i="38"/>
  <c r="AA10" i="38"/>
  <c r="AB10" i="38"/>
  <c r="AC10" i="38"/>
  <c r="Y10" i="38"/>
  <c r="D3" i="38"/>
  <c r="E3" i="38"/>
  <c r="F3" i="38"/>
  <c r="G3" i="38"/>
  <c r="H3" i="38"/>
  <c r="I3" i="38"/>
  <c r="J3" i="38"/>
  <c r="K3" i="38"/>
  <c r="L3" i="38"/>
  <c r="M3" i="38"/>
  <c r="N3" i="38"/>
  <c r="O3" i="38"/>
  <c r="P3" i="38"/>
  <c r="Q3" i="38"/>
  <c r="R3" i="38"/>
  <c r="S3" i="38"/>
  <c r="T3" i="38"/>
  <c r="U3" i="38"/>
  <c r="V3" i="38"/>
  <c r="W3" i="38"/>
  <c r="X3" i="38"/>
  <c r="Y3" i="38"/>
  <c r="Z3" i="38"/>
  <c r="AA3" i="38"/>
  <c r="AB3" i="38"/>
  <c r="AC3" i="38"/>
  <c r="AD3" i="38"/>
  <c r="C3" i="38"/>
  <c r="AC2" i="38"/>
  <c r="D2" i="38"/>
  <c r="E2" i="38"/>
  <c r="F2" i="38"/>
  <c r="G2" i="38"/>
  <c r="H2" i="38"/>
  <c r="I2" i="38"/>
  <c r="J2" i="38"/>
  <c r="K2" i="38"/>
  <c r="L2" i="38"/>
  <c r="M2" i="38"/>
  <c r="N2" i="38"/>
  <c r="O2" i="38"/>
  <c r="P2" i="38"/>
  <c r="Q2" i="38"/>
  <c r="R2" i="38"/>
  <c r="S2" i="38"/>
  <c r="T2" i="38"/>
  <c r="U2" i="38"/>
  <c r="V2" i="38"/>
  <c r="W2" i="38"/>
  <c r="X2" i="38"/>
  <c r="Y2" i="38"/>
  <c r="Z2" i="38"/>
  <c r="AA2" i="38"/>
  <c r="AB2" i="38"/>
  <c r="AD2" i="38"/>
  <c r="C2" i="38"/>
  <c r="U96" i="34"/>
  <c r="V96" i="34"/>
  <c r="W96" i="34"/>
  <c r="X96" i="34"/>
  <c r="Y96" i="34"/>
  <c r="Z96" i="34"/>
  <c r="T96" i="34"/>
  <c r="T11" i="13" l="1"/>
  <c r="T9" i="15"/>
  <c r="T3" i="12" l="1"/>
  <c r="T4" i="12"/>
  <c r="T5" i="12"/>
  <c r="T6" i="12"/>
  <c r="T7" i="12"/>
  <c r="T8" i="12"/>
  <c r="T9" i="12"/>
  <c r="T10" i="12"/>
  <c r="T11" i="12"/>
  <c r="T12" i="12"/>
  <c r="T13" i="12"/>
  <c r="T14" i="12"/>
  <c r="T15" i="12"/>
  <c r="T16" i="12"/>
  <c r="T17" i="12"/>
  <c r="T18" i="12"/>
  <c r="T19" i="12"/>
  <c r="T20" i="12"/>
  <c r="T17" i="11"/>
  <c r="T18" i="11"/>
  <c r="T19" i="11"/>
  <c r="T20" i="11"/>
  <c r="T21" i="11"/>
  <c r="T22" i="11"/>
  <c r="T3" i="11"/>
  <c r="T4" i="11"/>
  <c r="T5" i="11"/>
  <c r="T6" i="11"/>
  <c r="T7" i="11"/>
  <c r="T8" i="11"/>
  <c r="T9" i="11"/>
  <c r="T10" i="11"/>
  <c r="T11" i="11"/>
  <c r="T12" i="11"/>
  <c r="T13" i="11"/>
  <c r="T14" i="11"/>
  <c r="T15" i="11"/>
  <c r="T16" i="11"/>
  <c r="T2" i="11"/>
  <c r="T2" i="15"/>
  <c r="T16" i="14" l="1"/>
  <c r="T58" i="34" l="1"/>
  <c r="U40" i="34"/>
  <c r="V40" i="34"/>
  <c r="W40" i="34"/>
  <c r="X40" i="34"/>
  <c r="Y40" i="34"/>
  <c r="Z40" i="34"/>
  <c r="T40" i="34"/>
  <c r="U22" i="34"/>
  <c r="V22" i="34"/>
  <c r="W22" i="34"/>
  <c r="X22" i="34"/>
  <c r="Y22" i="34"/>
  <c r="Z22" i="34"/>
  <c r="T22" i="34"/>
  <c r="U4" i="34"/>
  <c r="V4" i="34"/>
  <c r="W4" i="34"/>
  <c r="X4" i="34"/>
  <c r="Y4" i="34"/>
  <c r="Z4" i="34"/>
  <c r="T4" i="34"/>
  <c r="U2" i="34"/>
  <c r="V2" i="34"/>
  <c r="W2" i="34"/>
  <c r="X2" i="34"/>
  <c r="Y2" i="34"/>
  <c r="Z58" i="34"/>
  <c r="Y58" i="34"/>
  <c r="X58" i="34"/>
  <c r="W58" i="34"/>
  <c r="V58" i="34"/>
  <c r="U58" i="34"/>
  <c r="U77" i="34"/>
  <c r="V77" i="34"/>
  <c r="W77" i="34"/>
  <c r="X77" i="34"/>
  <c r="Y77" i="34"/>
  <c r="Z77" i="34"/>
  <c r="T77" i="34"/>
  <c r="C10" i="38" l="1"/>
  <c r="D10" i="38"/>
  <c r="D11" i="38" s="1"/>
  <c r="E10" i="38"/>
  <c r="F10" i="38"/>
  <c r="F11" i="38" s="1"/>
  <c r="G10" i="38"/>
  <c r="H10" i="38"/>
  <c r="H11" i="38" s="1"/>
  <c r="I10" i="38"/>
  <c r="I11" i="38" s="1"/>
  <c r="J10" i="38"/>
  <c r="J11" i="38" s="1"/>
  <c r="K10" i="38"/>
  <c r="B10" i="38"/>
  <c r="AD10" i="38"/>
  <c r="T10" i="38"/>
  <c r="T11" i="38" s="1"/>
  <c r="S10" i="38"/>
  <c r="S11" i="38" s="1"/>
  <c r="R10" i="38"/>
  <c r="R11" i="38" s="1"/>
  <c r="Q10" i="38"/>
  <c r="Q11" i="38" s="1"/>
  <c r="P10" i="38"/>
  <c r="P11" i="38" s="1"/>
  <c r="K11" i="38"/>
  <c r="G11" i="38"/>
  <c r="C11" i="38"/>
  <c r="B8" i="38"/>
  <c r="AC5" i="38"/>
  <c r="AB5" i="38"/>
  <c r="AA5" i="38"/>
  <c r="Z5" i="38"/>
  <c r="Y5" i="38"/>
  <c r="X5" i="38"/>
  <c r="W5" i="38"/>
  <c r="V5" i="38"/>
  <c r="U5" i="38"/>
  <c r="T5" i="38"/>
  <c r="S5" i="38"/>
  <c r="R5" i="38"/>
  <c r="Q5" i="38"/>
  <c r="P5" i="38"/>
  <c r="O5" i="38"/>
  <c r="N5" i="38"/>
  <c r="M5" i="38"/>
  <c r="L5" i="38"/>
  <c r="K5" i="38"/>
  <c r="J5" i="38"/>
  <c r="I5" i="38"/>
  <c r="H5" i="38"/>
  <c r="G5" i="38"/>
  <c r="F5" i="38"/>
  <c r="E5" i="38"/>
  <c r="D5" i="38"/>
  <c r="AD4" i="38"/>
  <c r="AC4" i="38"/>
  <c r="AB4" i="38"/>
  <c r="AA4" i="38"/>
  <c r="Z4" i="38"/>
  <c r="Y4" i="38"/>
  <c r="X4" i="38"/>
  <c r="W4" i="38"/>
  <c r="V4" i="38"/>
  <c r="U4" i="38"/>
  <c r="T4" i="38"/>
  <c r="S4" i="38"/>
  <c r="R4" i="38"/>
  <c r="Q4" i="38"/>
  <c r="P4" i="38"/>
  <c r="O4" i="38"/>
  <c r="N4" i="38"/>
  <c r="M4" i="38"/>
  <c r="L4" i="38"/>
  <c r="K4" i="38"/>
  <c r="J4" i="38"/>
  <c r="I4" i="38"/>
  <c r="H4" i="38"/>
  <c r="G4" i="38"/>
  <c r="F4" i="38"/>
  <c r="E4" i="38"/>
  <c r="D4" i="38"/>
  <c r="L10" i="38" l="1"/>
  <c r="AE4" i="38"/>
  <c r="AF4" i="38" s="1"/>
  <c r="F6" i="38"/>
  <c r="AE5" i="38"/>
  <c r="AF5" i="38" s="1"/>
  <c r="AD6" i="38"/>
  <c r="Z6" i="38"/>
  <c r="V6" i="38"/>
  <c r="R6" i="38"/>
  <c r="N6" i="38"/>
  <c r="J6" i="38"/>
  <c r="AC6" i="38"/>
  <c r="Y6" i="38"/>
  <c r="U6" i="38"/>
  <c r="Q6" i="38"/>
  <c r="M6" i="38"/>
  <c r="I6" i="38"/>
  <c r="E6" i="38"/>
  <c r="AB6" i="38"/>
  <c r="X6" i="38"/>
  <c r="T6" i="38"/>
  <c r="P6" i="38"/>
  <c r="L6" i="38"/>
  <c r="H6" i="38"/>
  <c r="D6" i="38"/>
  <c r="AE3" i="38"/>
  <c r="AF3" i="38" s="1"/>
  <c r="AA6" i="38"/>
  <c r="W6" i="38"/>
  <c r="S6" i="38"/>
  <c r="O6" i="38"/>
  <c r="K6" i="38"/>
  <c r="G6" i="38"/>
  <c r="AE2" i="38"/>
  <c r="C6" i="38"/>
  <c r="U11" i="38"/>
  <c r="B11" i="38"/>
  <c r="U10" i="38"/>
  <c r="AF6" i="38" l="1"/>
  <c r="AF8" i="38" s="1"/>
  <c r="AE6" i="38"/>
  <c r="AE8" i="38" s="1"/>
  <c r="K8" i="38"/>
  <c r="L11" i="38"/>
  <c r="M12" i="38" s="1"/>
  <c r="S1" i="11" l="1"/>
  <c r="R1" i="11"/>
  <c r="T16" i="15" l="1"/>
  <c r="T15" i="15"/>
  <c r="T14" i="15"/>
  <c r="T13" i="15"/>
  <c r="T12" i="15"/>
  <c r="T11" i="15"/>
  <c r="T10" i="15"/>
  <c r="T8" i="15"/>
  <c r="T7" i="15"/>
  <c r="T6" i="15"/>
  <c r="T5" i="15"/>
  <c r="T4" i="15"/>
  <c r="T3" i="15"/>
  <c r="T3" i="13"/>
  <c r="T4" i="13"/>
  <c r="T5" i="13"/>
  <c r="T6" i="13"/>
  <c r="T7" i="13"/>
  <c r="T8" i="13"/>
  <c r="T9" i="13"/>
  <c r="T10" i="13"/>
  <c r="T12" i="13"/>
  <c r="T13" i="13"/>
  <c r="T14" i="13"/>
  <c r="T15" i="13"/>
  <c r="T16" i="13"/>
  <c r="T17" i="13"/>
  <c r="T18" i="13"/>
  <c r="T19" i="13"/>
  <c r="T20" i="13"/>
  <c r="T2" i="13"/>
  <c r="T3" i="14"/>
  <c r="T4" i="14"/>
  <c r="T5" i="14"/>
  <c r="T6" i="14"/>
  <c r="T7" i="14"/>
  <c r="T8" i="14"/>
  <c r="T9" i="14"/>
  <c r="T10" i="14"/>
  <c r="T11" i="14"/>
  <c r="T12" i="14"/>
  <c r="T13" i="14"/>
  <c r="T14" i="14"/>
  <c r="T15" i="14"/>
  <c r="T2" i="14"/>
  <c r="T2" i="12"/>
  <c r="C26" i="29" l="1"/>
  <c r="F5" i="29"/>
  <c r="C9" i="29"/>
  <c r="C10" i="29" s="1"/>
  <c r="C11" i="29" s="1"/>
  <c r="D9" i="29"/>
  <c r="D10" i="29" s="1"/>
  <c r="D11" i="29" s="1"/>
  <c r="D12" i="29" s="1"/>
  <c r="D16" i="29" s="1"/>
  <c r="E9" i="29"/>
  <c r="E10" i="29" s="1"/>
  <c r="E11" i="29" s="1"/>
  <c r="B9" i="29"/>
  <c r="B10" i="29" s="1"/>
  <c r="B11" i="29" s="1"/>
  <c r="B12" i="29" s="1"/>
  <c r="C7" i="29"/>
  <c r="D7" i="29"/>
  <c r="B7" i="29"/>
  <c r="B16" i="29" l="1"/>
  <c r="E26" i="29"/>
  <c r="D26" i="29"/>
  <c r="B26" i="29"/>
  <c r="E12" i="29"/>
  <c r="E16" i="29" s="1"/>
  <c r="C12" i="29"/>
  <c r="C16" i="29" s="1"/>
  <c r="F6" i="29"/>
  <c r="B3" i="29"/>
  <c r="B2" i="29"/>
  <c r="F16" i="29" l="1"/>
  <c r="F26" i="29"/>
  <c r="G26" i="29" l="1"/>
</calcChain>
</file>

<file path=xl/sharedStrings.xml><?xml version="1.0" encoding="utf-8"?>
<sst xmlns="http://schemas.openxmlformats.org/spreadsheetml/2006/main" count="64540" uniqueCount="15410">
  <si>
    <t>先制攻撃</t>
  </si>
  <si>
    <t>飛行</t>
  </si>
  <si>
    <t>絆魂（このクリーチャーがダメージを与える場合、さらにあなたは同じ点数のライフを得る。）</t>
  </si>
  <si>
    <t>瞬速</t>
  </si>
  <si>
    <t>コモン</t>
  </si>
  <si>
    <t>Gatecrash</t>
  </si>
  <si>
    <t>Return to Ravnica</t>
  </si>
  <si>
    <t>アンコモン</t>
  </si>
  <si>
    <t>Ravnica: City of Guilds</t>
  </si>
  <si>
    <t>レア</t>
  </si>
  <si>
    <t>Dissension</t>
  </si>
  <si>
    <t>Guildpact</t>
  </si>
  <si>
    <t>瞬速（あなたはこの呪文を、あなたがインスタントを唱えられるときならいつでも唱えてよい。）</t>
  </si>
  <si>
    <t>賛美（あなたがコントロールするいずれかのクリーチャーが単独で攻撃するたび、そのクリーチャーはターン終了時まで+1/+1の修整を受ける。）</t>
  </si>
  <si>
    <t>Theros</t>
  </si>
  <si>
    <t>Shards of Alara</t>
  </si>
  <si>
    <t>Dragon's Maze</t>
  </si>
  <si>
    <t>Amonkhet</t>
  </si>
  <si>
    <t>Conflux</t>
  </si>
  <si>
    <t>絆魂</t>
  </si>
  <si>
    <t>トランプル</t>
  </si>
  <si>
    <t>二段攻撃</t>
  </si>
  <si>
    <t>プロテクション（黒）</t>
  </si>
  <si>
    <t>警戒</t>
  </si>
  <si>
    <t>果敢（あなたがクリーチャーでない呪文を１つ唱えるたび、ターン終了時まで、このクリーチャーは+1/+1の修整を受ける。）</t>
  </si>
  <si>
    <t>先制攻撃、警戒</t>
  </si>
  <si>
    <t>Kaladesh</t>
  </si>
  <si>
    <t>Journey into Nyx</t>
  </si>
  <si>
    <t>Battle for Zendikar</t>
  </si>
  <si>
    <t>Hour of Devastation</t>
  </si>
  <si>
    <t>Ixalan</t>
  </si>
  <si>
    <t>Time Spiral</t>
  </si>
  <si>
    <t>Dragons of Tarkir</t>
  </si>
  <si>
    <t>Planar Chaos</t>
  </si>
  <si>
    <t>Future Sight</t>
  </si>
  <si>
    <t>Aether Revolt</t>
  </si>
  <si>
    <t>Rivals of Ixalan</t>
  </si>
  <si>
    <t>Oath of the Gatewatch</t>
  </si>
  <si>
    <t>Khans of Tarkir</t>
  </si>
  <si>
    <t>Eldritch Moon</t>
  </si>
  <si>
    <t>Born of the Gods</t>
  </si>
  <si>
    <t>神話レア</t>
  </si>
  <si>
    <t>強請（あなたが呪文を１つ唱えるたび、あなたは(W/B)を支払ってもよい。そうした場合、各対戦相手はそれぞれ１点のライフを失い、あなたはその点数分のライフを得る。）</t>
  </si>
  <si>
    <t>(Ｔ)：クリーチャー１体かプレイヤー１人を対象とする。このターン、それに与えられる次のダメージを１点軽減する。</t>
  </si>
  <si>
    <t>Dark Ascension</t>
  </si>
  <si>
    <t>Innistrad</t>
  </si>
  <si>
    <t>Shadows over Innistrad</t>
  </si>
  <si>
    <t>あなたがコントロールする他の白のクリーチャーは+1/+1の修整を受ける。</t>
  </si>
  <si>
    <t>Magic Origins</t>
  </si>
  <si>
    <t>Coldsnap</t>
  </si>
  <si>
    <t>Scars of Mirrodin</t>
  </si>
  <si>
    <t>防衛</t>
  </si>
  <si>
    <t>Avacyn Restored</t>
  </si>
  <si>
    <t>Fate Reforged</t>
  </si>
  <si>
    <t>あなたがコントロールする他のクリーチャーが１体死亡するたび、あなたはスレイベンの歩哨を変身させてもよい。</t>
  </si>
  <si>
    <t>(Ｔ)：攻撃しているクリーチャーかブロックしているクリーチャー１体を対象とする。キイェルドーの投槍兵はそれに、キイェルドーの投槍兵の上に置かれている経年カウンターの数に等しい点数のダメージを与える。</t>
  </si>
  <si>
    <t>あなたが恐竜(Dinosaur)呪文を唱えるためのコストは(１)少なくなる。</t>
  </si>
  <si>
    <t>大聖堂の聖別者が戦場に出たとき、あなたは３点のライフを得る。</t>
  </si>
  <si>
    <t>(Ｔ),ハズダーの免罪人を生け贄に捧げる：オーラ(Aura)１つを対象とし、それを破壊する。</t>
  </si>
  <si>
    <t>エンチャントされているクリーチャーは+1/+2の修整を受ける。</t>
  </si>
  <si>
    <t>(Ｔ),カードを１枚捨てる：クリーチャー１体を対象とし、それをタップする。</t>
  </si>
  <si>
    <t>他のクリーチャーが１体戦場に出るたび、あなたは１点のライフを得る。</t>
  </si>
  <si>
    <t>武士道１（このクリーチャーがブロックするかブロックされた状態になるたび、それはターン終了時まで+1/+1の修整を受ける。）</t>
  </si>
  <si>
    <t>(１),あなたの手札から白のカードをＸ枚公開する,砂の殉教者を生け贄に捧げる：あなたはＸの３倍のライフを得る。</t>
  </si>
  <si>
    <t>あなたが青か黒か赤である呪文を１つ唱えるたび、あなたは１点のライフを得る。</t>
  </si>
  <si>
    <t>金属術 ― 献身的な補充兵は、あなたが３つ以上のアーティファクトをコントロールしているかぎり+2/+2の修整を受ける。</t>
  </si>
  <si>
    <t>プロテクション（吸血鬼(Vampire)）</t>
  </si>
  <si>
    <t>(Ｔ)：あなたは１点のライフを得る。</t>
  </si>
  <si>
    <t>オーリオックの長刀使いが装備しているかぎり、オーリオックの長刀使いは+1/+1の修整を受けるとともに先制攻撃を持つ。</t>
  </si>
  <si>
    <t>宿命の旅人が死亡したとき、飛行を持つ白の1/1のスピリット(Spirit)・クリーチャー・トークンを１体生成する。</t>
  </si>
  <si>
    <t>防衛、先制攻撃</t>
  </si>
  <si>
    <t>(Ｔ)：攻撃しているクリーチャー１体を対象とする。それはターン終了時まで+1/+1の修整を受ける。</t>
  </si>
  <si>
    <t>他のクリーチャーが１体戦場に出るたび、あなたは１点のライフを得てもよい。</t>
  </si>
  <si>
    <t>高名１（このクリーチャーがプレイヤー１人に戦闘ダメージを与えたとき、これが高名でない場合、これの上に+1/+1カウンターを１個置く。これは高名になる。）</t>
  </si>
  <si>
    <t>(１),(Ｔ)：人間(Human)でないクリーチャー１体を対象とし、それをタップする。</t>
  </si>
  <si>
    <t>Ｌｖアップ(４)（(４)：この上にＬｖ(level)カウンターを１個置く。Ｌｖアップはソーサリーとしてのみ行う。）</t>
  </si>
  <si>
    <t>あなたがコントロールする他のクリーチャーが１体死亡するたび、物騒な群衆の上に+1/+1カウンターを１個置く。</t>
  </si>
  <si>
    <t>金属術 ― あなたがアーティファクトを３つ以上コントロールしているかぎり、オーリオックの太陽追いは+2/+2の修整を受けるとともに飛行を持つ。</t>
  </si>
  <si>
    <t>不動の聖戦士が攻撃するたび、ターン終了時まで、これは+0/+2の修整を受ける。</t>
  </si>
  <si>
    <t>英雄的 ― あなたがセテッサの戦神官を対象とする呪文を１つ唱えるたび、あなたは２点のライフを得る。</t>
  </si>
  <si>
    <t>側面攻撃（側面攻撃を持たないクリーチャーがこのクリーチャーをブロックするたび、ターン終了時まで、ブロックしているクリーチャーは-1/-1の修整を受ける。）</t>
  </si>
  <si>
    <t>大隊 ― 果敢なスカイジェクと少なくとも２体の他のクリーチャーが攻撃するたび、果敢なスカイジェクはターン終了時まで飛行を得る。</t>
  </si>
  <si>
    <t>あなたがグリフィン(Griffin)・クリーチャーをコントロールしているかぎり、グリフィンの乗り手は+3/+3の修整を受けるとともに飛行を持つ。</t>
  </si>
  <si>
    <t>盟友 ― (Ｔ),あなたがコントロールするアンタップ状態の同盟者(Ally)を１体タップする：あなたは２点のライフを得る。</t>
  </si>
  <si>
    <t>(Ｔ)：攻撃しているクリーチャーかブロックしているクリーチャー１体を対象とする。弩弓歩兵はそれに１点のダメージを与える。</t>
  </si>
  <si>
    <t>クリーチャー・トークンが１体あなたのコントロール下で戦場に出るたび、あなたは１点のライフを得る。</t>
  </si>
  <si>
    <t>英雄的 ― あなたがアクロスの空護衛を対象とする呪文を１つ唱えるたび、アクロスの空護衛の上に+1/+1カウンターを１個置く。</t>
  </si>
  <si>
    <t>光歩きは、その上に+1/+1カウンターが置かれているかぎり飛行を持つ。</t>
  </si>
  <si>
    <t>忠実な聖戦士が死亡したとき、次の終了ステップの開始時に、あなたのコントロール下でそれを変身させた状態で戦場に戻す。</t>
  </si>
  <si>
    <t>不浄の聖戦士ではブロックできない。</t>
  </si>
  <si>
    <t>アラシンの僧侶が戦場に出たとき、あなたは３点のライフを得る。</t>
  </si>
  <si>
    <t>先制攻撃（このクリーチャーは、先制攻撃を持たないクリーチャーより先に戦闘ダメージを与える。）</t>
  </si>
  <si>
    <t>あなたがコントロールする他の兵士(Soldier)は+0/+1の修整を受ける。</t>
  </si>
  <si>
    <t>あなたがコントロールする他の戦士(Warrior)クリーチャーは警戒を持つ。</t>
  </si>
  <si>
    <t>(Ｔ)：タフネスが２以下のクリーチャー１体を対象とし、それをタップする。</t>
  </si>
  <si>
    <t>あなたがコントロールする防衛を持つ他のクリーチャーは+0/+2の修整を受ける。</t>
  </si>
  <si>
    <t>シャドー（このクリーチャーは、シャドーを持つクリーチャーのみブロックでき、シャドーを持つクリーチャーによってのみブロックされる。）</t>
  </si>
  <si>
    <t>ヴェク追われの占い師を生け贄に捧げる：あなたは４点のライフを得る。この能力は、あなたのアップキープの間にのみ起動できる。</t>
  </si>
  <si>
    <t>前線の僧侶が戦場に出たとき、あなたはあなたがコントロールしている《前線の僧侶/Cleric of the Forward Order》という名前のクリーチャー１体につき２点のライフを得る。</t>
  </si>
  <si>
    <t>あなたがコントロールする他のクリーチャーは+0/+1の修整を受ける。</t>
  </si>
  <si>
    <t>陽動の達人が攻撃するたび、防御プレイヤーがコントロールしているクリーチャー１体を対象とし、それをタップする。</t>
  </si>
  <si>
    <t>従者つきの騎士が戦場に出たとき、白の1/1の兵士(Soldier)クリーチャー・トークンを１体生成する。</t>
  </si>
  <si>
    <t>他の白のクリーチャーが１体あなたのコントロール下で戦場に出るたび、対戦相手１人がコントロールするクリーチャー１体を対象とし、それをタップする。</t>
  </si>
  <si>
    <t>捨て身の歩哨が死亡したとき、無色の3/2のエルドラージ(Eldrazi)・ホラー(Horror)・クリーチャー・トークンを１体生成する。</t>
  </si>
  <si>
    <t>昂揚 ― あなたの墓地にあるカードにカード・タイプが合計４種類以上含まれるかぎり、捨て身の歩哨は+3/+0の修整を受ける。</t>
  </si>
  <si>
    <t>ヴェク追われの盲信者が攻撃してブロックされないたび、あなたはクリーチャー１体を対象とし、これはそれに１点のダメージを与えることを選んでもよい。そうした場合、このターンヴェク追われの盲信者が与えるすべての戦闘ダメージを軽減する。</t>
  </si>
  <si>
    <t>強襲 ― マルドゥの軍族長が戦場に出たとき、このターンにあなたがクリーチャーで攻撃していた場合、白の1/1の戦士(Warrior)クリーチャー・トークンを１体生成する。</t>
  </si>
  <si>
    <t>オーラ術師が戦場に出たとき、あなたの墓地にあるエンチャント・カード１枚を対象とする。あなたは、それをあなたの手札に戻してもよい。</t>
  </si>
  <si>
    <t>華麗なる突風乗りを生け贄に捧げる：あなたがコントロールするパワーが５以上のクリーチャーは、ターン終了時まで飛行を得る。</t>
  </si>
  <si>
    <t>ベナリアの古参兵が攻撃するたび、それはターン終了時まで+1/+1の修整を受ける。</t>
  </si>
  <si>
    <t>他のクリーチャーが１体戦場に出るたび、深夜の護衛をアンタップする。</t>
  </si>
  <si>
    <t>自由風の乗馬兵がエンチャントされているかぎり、それは「(Ｔ)：攻撃しているクリーチャーかブロックしているクリーチャー１体を対象とする。自由風の乗馬兵はそれに２点のダメージを与える。」を持つ。</t>
  </si>
  <si>
    <t>砂草原ののけ者が戦場に出たとき、以下から１つを選ぶ。</t>
  </si>
  <si>
    <t>・砂草原ののけ者の上に+1/+1カウンターを１個置く。</t>
  </si>
  <si>
    <t>・飛行を持つ白の1/1のスピリット(Spirit)・クリーチャー・トークンを１体生成する。</t>
  </si>
  <si>
    <t>あなたがコントロールする他の兵士(Soldier)クリーチャーは+1/+0の修整を受ける。</t>
  </si>
  <si>
    <t>鉄覆いの処刑者が戦場に出たとき、あなたの墓地からオーラ(Aura)・カード１枚か装備品(Equipment)カード１枚を対象とする。あなたはそれをあなたの手札に戻してもよい。</t>
  </si>
  <si>
    <t>上座の聖戦士が死亡したとき、あなたがコントロールするクリーチャー１体を対象とし、それの上に+1/+1カウンターを１個置く。そのクリーチャーが人間(Human)である場合、代わりにそれの上に+1/+1カウンターを２個置く。</t>
  </si>
  <si>
    <t>歌鳥の売り手が戦場に出たとき、飛行を持つ白の1/1の鳥(Bird)クリーチャー・トークンを１体生成する。</t>
  </si>
  <si>
    <t>英雄的 ― あなたが散兵の精鋭を対象とする呪文を１つ唱えるたび、クリーチャー１体を対象とする。あなたはそれをタップしてもよい。</t>
  </si>
  <si>
    <t>戦闘的な審問官は、あなたがコントロールする装備品(Equipment)１つにつき+1/+0の修整を受ける。</t>
  </si>
  <si>
    <t>結集 ― マキンディの巡回兵か他の同盟者(Ally)が１体あなたのコントロール下で戦場に出るたび、ターン終了時まで、あなたがコントロールするクリーチャーは警戒を得る。</t>
  </si>
  <si>
    <t>博覧会の歓迎者が戦場に出たとき、あなたがコントロールするクリーチャー１体を対象とする。ターン終了時まで、それは+1/+1の修整を受ける。</t>
  </si>
  <si>
    <t>宮殿の護衛は望む数のクリーチャーをブロックできる。</t>
  </si>
  <si>
    <t>英雄的 ― あなたが天馬の乗り手を対象とする呪文を１つ唱えるたび、天馬の乗り手の上に+1/+1カウンターを１個置く。</t>
  </si>
  <si>
    <t>(Ｔ)：攻撃しているクリーチャーかブロックしているクリーチャー１体を対象とする。アヴナントの癒し手はそれに１点のダメージを与える。</t>
  </si>
  <si>
    <t>村の鐘鳴らしが戦場に出たとき、あなたがコントロールするすべてのクリーチャーをアンタップする。</t>
  </si>
  <si>
    <t>ヘリオッドの巡礼者が戦場に出たとき、あなたはあなたのライブラリーからオーラ(Aura)・カードを１枚探してもよい。そうしたなら、それを公開してあなたの手札に加え、その後あなたのライブラリーを切り直す。</t>
  </si>
  <si>
    <t>ありがたい老修道士が戦場に出たとき、あなたは２点のライフを得る。</t>
  </si>
  <si>
    <t>(Ｔ)：クリーチャー１体を対象とする。それはターン終了時まで-2/-0の修整を受ける。</t>
  </si>
  <si>
    <t>あなたがクリーチャーでない呪文を１つ唱えるたび、あなたは２点のライフを得る。</t>
  </si>
  <si>
    <t>盟友 ― (Ｔ),あなたがコントロールするアンタップ状態の同盟者(Ally)を１体タップする：クリーチャー１体を対象とし、それをタップする。</t>
  </si>
  <si>
    <t>(Ｔ)：攻撃かブロックしているスピリット(Spirit)１体を対象とする。武野の騎兵はそれに１点のダメージを与える。</t>
  </si>
  <si>
    <t>太陽塔の門番が戦場に出たとき、あなたが門(Gate)を２つ以上コントロールしている場合、警戒を持つ白の2/2の騎士(Knight)クリーチャー・トークンを１体生成する。</t>
  </si>
  <si>
    <t>フォライアスの介入者は、各戦闘で追加で１体のクリーチャーをブロックできる。</t>
  </si>
  <si>
    <t>ミッドヴァストの守護者が戦場に出たとき、あなたがコントロールするクリーチャー１体を対象とする。それはターン終了時までプロテクション（あなたが選んだ色１色）を得る。</t>
  </si>
  <si>
    <t>(Ｔ)：パワーが３以下のクリーチャー１体を対象とし、それをタップする。</t>
  </si>
  <si>
    <t>製造１（このクリーチャーが戦場に出たとき、これの上に+1/+1カウンターを１個置くか、無色の1/1の霊気装置(Servo)アーティファクト・クリーチャー・トークンを１体生成する。）</t>
  </si>
  <si>
    <t>エルゴードの審問官が死亡したとき、飛行を持つ白の1/1のスピリット(Spirit)・クリーチャー・トークンを１体生成する。</t>
  </si>
  <si>
    <t>アンプリンの戦術家が戦場に出たとき、ターン終了時まで、あなたがコントロールするクリーチャーは+1/+1の修整を受ける。</t>
  </si>
  <si>
    <t>悪鬼を縛る者が攻撃するたび、防御プレイヤーがコントロールするクリーチャー１体を対象とし、それをタップする。</t>
  </si>
  <si>
    <t>鼓舞する隊長が戦場に出たとき、ターン終了時まで、あなたがコントロールするクリーチャーは+1/+1の修整を受ける。</t>
  </si>
  <si>
    <t>あなたが恐竜(Dinosaur)をコントロールしているかぎり、プテロドンの騎士は飛行を持つ。</t>
  </si>
  <si>
    <t>不屈の宣教師が戦場に出たとき、あなたは３点のライフを得る。</t>
  </si>
  <si>
    <t>重歩兵が戦場に出たとき、対戦相手がコントロールするクリーチャー１体を対象とし、それをタップする。</t>
  </si>
  <si>
    <t>大隊 ― 航行隊の猛士と少なくとも２体の他のクリーチャーが攻撃するたび、航行隊の猛士はターン終了時まで+1/+1の修整を受ける。これをアンタップする。</t>
  </si>
  <si>
    <t>空乗りの見習いは、それがエンチャントされているかぎり飛行を持つ。</t>
  </si>
  <si>
    <t>議事会の密集軍が戦場に出たとき、あなたがコントロールするクリーチャー１体につき、あなたは１点のライフを得る。</t>
  </si>
  <si>
    <t>絆魂（このクリーチャーがダメージを与えると、さらにあなたはその点数分のライフを得る。）</t>
  </si>
  <si>
    <t>Lv1-4：2/2</t>
    <phoneticPr fontId="1"/>
  </si>
  <si>
    <t>Lv5+：先制攻撃5/5</t>
    <phoneticPr fontId="1"/>
  </si>
  <si>
    <t>Lv1-3：警戒2/6</t>
    <phoneticPr fontId="1"/>
  </si>
  <si>
    <t>Lv4+：警戒3/10</t>
    <phoneticPr fontId="1"/>
  </si>
  <si>
    <t>[変身]</t>
    <rPh sb="1" eb="3">
      <t>ヘンシン</t>
    </rPh>
    <phoneticPr fontId="1"/>
  </si>
  <si>
    <t>_2/2</t>
  </si>
  <si>
    <t>_1/1</t>
  </si>
  <si>
    <t>_1/2</t>
  </si>
  <si>
    <t>_0/2</t>
  </si>
  <si>
    <t>_1/3</t>
  </si>
  <si>
    <t>_2/1</t>
  </si>
  <si>
    <t>_3/1</t>
  </si>
  <si>
    <t>_2/3</t>
  </si>
  <si>
    <t>_3/2</t>
  </si>
  <si>
    <t>_1/4</t>
  </si>
  <si>
    <t>_2/5</t>
  </si>
  <si>
    <t>_2/4</t>
  </si>
  <si>
    <t>_3/3</t>
  </si>
  <si>
    <t>_3/4</t>
  </si>
  <si>
    <t>Mirrodin</t>
  </si>
  <si>
    <t>Tenth Edition</t>
  </si>
  <si>
    <t>Rise of the Eldrazi</t>
  </si>
  <si>
    <t>Ninth Edition</t>
  </si>
  <si>
    <t>Magic 2015</t>
  </si>
  <si>
    <t>Magic 2010</t>
  </si>
  <si>
    <t>Magic 2012</t>
  </si>
  <si>
    <t>Champions of Kamigawa</t>
  </si>
  <si>
    <t>Mirrodin Besieged</t>
  </si>
  <si>
    <t>Darksteel</t>
  </si>
  <si>
    <t>Magic 2011</t>
  </si>
  <si>
    <t>Saviors of Kamigawa</t>
  </si>
  <si>
    <t>Magic 2014</t>
  </si>
  <si>
    <t>Magic 2013</t>
  </si>
  <si>
    <t>Eighth Edition</t>
  </si>
  <si>
    <t>Betrayers of Kamigawa</t>
  </si>
  <si>
    <t>Modern Masters 2015 Edition</t>
  </si>
  <si>
    <t>(３)(W)</t>
  </si>
  <si>
    <t>(W)</t>
  </si>
  <si>
    <t>(１)(W)</t>
  </si>
  <si>
    <t>(W)(W)</t>
  </si>
  <si>
    <t>(W),回収の斥候を生け贄に捧げる：あなたの墓地にあるアーティファクト・カード１枚を対象とし、それをあなたの手札に戻す。</t>
  </si>
  <si>
    <t>(W),(Ｔ)：アーティファクト１つを対象とし、それをタップする。</t>
  </si>
  <si>
    <t>(１)(W),(Ｔ),カードを１枚捨てる：白の1/1の人間(Human)・兵士(Soldier)クリーチャー・トークンを１体生成する。</t>
  </si>
  <si>
    <t>(１)(W),(Ｔ)：飛行を持たないクリーチャー１体を対象とし、それをタップする。</t>
  </si>
  <si>
    <t>(W)：儀仗兵はターン終了時まで+0/+1の修整を受ける。</t>
  </si>
  <si>
    <t>(W),クリーチャーを１体、生け贄に捧げる：クリーチャー１体かプレイヤー１人を対象とする。このターン、それに与えられる次のダメージを１点軽減する。</t>
  </si>
  <si>
    <t>(W),サマイトの香炉持ちを生け贄に捧げる：このターン、あなたがコントロールする各クリーチャーに与えられる次のダメージをそれぞれ１点軽減する。</t>
  </si>
  <si>
    <t>(１)(W),無私の聖戦士を生け贄に捧げる：あなたがコントロールするクリーチャーは、ターン終了時まで+1/+1の修整を受ける。</t>
  </si>
  <si>
    <t>(２)(W),(Ｔ)：クリーチャー１体を対象とし、それをタップする。</t>
  </si>
  <si>
    <t>(W),(Ｔ)：クリーチャー１体を対象とし、それをタップする。</t>
  </si>
  <si>
    <t>(４)(W)：クリーチャー１体を対象とする。このターン、それが石識の防衛者に与えるすべてのダメージを軽減する。</t>
  </si>
  <si>
    <t>(２)(W)：ムーアランドの審問官はターン終了時まで先制攻撃を得る。</t>
  </si>
  <si>
    <t>(４)(W)：勇猛な反対派はターン終了時まで+1/+2の修整を受ける。</t>
  </si>
  <si>
    <t>(１)(W)：キャパシェンの騎士は、ターン終了時まで+1/+0の修整を受ける。</t>
  </si>
  <si>
    <t>(W)：キイェルドーの先導はターン終了時まで+0/+1の修整を受ける。</t>
  </si>
  <si>
    <t>(２)(W)</t>
  </si>
  <si>
    <t>(１)(W),あなたの墓地から不屈の聖戦士を追放する：飛行を持つ白の1/1のスピリット(Spirit)・クリーチャー・トークンを１体生成する。この能力は、あなたがソーサリーを唱えられるときにのみ起動できる。</t>
  </si>
  <si>
    <t>(１)(W),(Ｔ),カードを１枚捨てる：白の1/1の市民(Citizen)クリーチャー・トークンを２体生成する。</t>
  </si>
  <si>
    <t>ハズダーの罠部隊が攻撃するたび、対戦相手１人がコントロールするクリーチャー１体を対象とする。あなたは(W)を支払ってもよい。そうした場合、それをタップする。</t>
  </si>
  <si>
    <t>(１)(W)(W)</t>
  </si>
  <si>
    <t>(２)(W)(W)</t>
  </si>
  <si>
    <t>(３)(W)(W)</t>
  </si>
  <si>
    <t>(４)(W)</t>
  </si>
  <si>
    <t>(４)(W)(W)</t>
  </si>
  <si>
    <t>(２)(B)：各対戦相手はそれぞれ１点のライフを失う。あなたはこれにより失われたライフに等しい点数のライフを得る。</t>
  </si>
  <si>
    <t>(３)(R)：ターン終了時まで、炎蹄の騎兵は+2/+0の修整を受けるとともにトランプルを得る。</t>
  </si>
  <si>
    <t>(２)(G)：議事会の崇拝者を再生する。</t>
  </si>
  <si>
    <t>(３)(G)：天望の騎士はターン終了時まで+3/+3の修整を受ける。この能力は、各ターンに１回のみ起動できる。</t>
  </si>
  <si>
    <t>ハーダの自由刃か他の同盟者(Ally)があなたのコントロール下で戦場に出るたび、あなたはハーダの自由刃の上に+1/+1カウンターを１個置いてもよい。</t>
  </si>
  <si>
    <t>(Ｔ)：攻撃クリーチャー１体を対象とする。ターン終了時まで、それは+1/+1の修整を受ける。</t>
  </si>
  <si>
    <t>あなたが恐竜(Dinosaur)をコントロールしているかぎり、帝国の槍騎兵は二段攻撃を持つ。</t>
  </si>
  <si>
    <t>大隊 ― ボロスの精鋭と少なくとも２体の他のクリーチャーが攻撃するたび、ボロスの精鋭はターン終了時まで+2/+2の修整を受ける。</t>
  </si>
  <si>
    <t>このターン、新参の武士によってダメージを与えられたクリーチャーが死亡したとき、新参の武士を反転する。</t>
  </si>
  <si>
    <t>マルドゥの悲哀狩りか他の戦士(Warrior)が１体あなたのコントロール下で戦場に出るたび、墓地にあるクリーチャー・カード１枚を対象とする。あなたはそれを追放してもよい。そうしたなら、あなたは１点のライフを得る。</t>
  </si>
  <si>
    <t>英雄的 ― あなたが恩寵の重装歩兵を対象とする呪文を１つ唱えるたび、恩寵の重装歩兵の上に+1/+1カウンターを１個置く。また、このターン、これに与えられるすべてのダメージを軽減する。</t>
  </si>
  <si>
    <t>(Ｔ),あなたがコントロールするアンタップ状態のクリーチャー１体をタップする：町のゴシップ屋を変身させる。</t>
  </si>
  <si>
    <t>各戦闘で、扇動された民衆は可能なら攻撃する。</t>
  </si>
  <si>
    <t>(２)：ターン終了時まで、扇動された民衆は+1/+0の修整を受ける。</t>
  </si>
  <si>
    <t>廃院の神主は、あなたがコントロールするパーマネントの色に対するプロテクションを持つ。</t>
  </si>
  <si>
    <t>星の兵団が戦場に出るに際し、色を１色選ぶ。</t>
  </si>
  <si>
    <t>星の兵団は選ばれた色に対するプロテクションを持つ。</t>
  </si>
  <si>
    <t>あなたがコントロールする防衛を持つクリーチャーがブロックするたび、あなたは２点のライフを得てもよい。</t>
  </si>
  <si>
    <t>プロテクション（ドラゴン(Dragon)）</t>
  </si>
  <si>
    <t>ドラゴンを狩る者は、それが到達を持っているかのようにドラゴンをブロックできる。</t>
  </si>
  <si>
    <t>(Ｔ)：いずれかの墓地にあるクリーチャー・カード１枚を対象とし、それを追放する。</t>
  </si>
  <si>
    <t>先制攻撃、絆魂</t>
  </si>
  <si>
    <t>終了ステップの開始時に、このターンにあなたが３点以上のライフを得ていた場合、単体騎手を変身させる。</t>
  </si>
  <si>
    <t>先制攻撃、トランプル、絆魂</t>
  </si>
  <si>
    <t>あなたがコントロールするクリーチャーの上に-1/-1カウンターが１個以上置かれるなら、代わりに、その数から１を引いた個数の-1/-1カウンターをそれの上に置く。</t>
  </si>
  <si>
    <t>あなたがアーティファクト呪文を唱えるたび、あなたは(１)を支払ってもよい。そうした場合、無色の1/1のマイア(Myr)・アーティファクト・クリーチャー・トークンを１体生成する。</t>
  </si>
  <si>
    <t>不屈の河川司令官は、あなたが島(Island)をコントロールしているかぎり+1/+1の修整を受ける。</t>
  </si>
  <si>
    <t>あなたがクリーチャーでない呪文を１つ唱えるたび、ターン終了時まで、道の探求者は絆魂を得る。</t>
  </si>
  <si>
    <t>カザンドゥの刃の達人か他の同盟者(Ally)があなたのコントロール下で戦場に出るたび、あなたはカザンドゥの刃の達人の上に+1/+1カウンターを１個置いてもよい。</t>
  </si>
  <si>
    <t>英雄的 ― あなたが密集軍の指揮者を対象とする呪文を１つ唱えるたび、あなたがコントロールする各クリーチャーの上に+1/+1カウンターをそれぞれ１個置く。</t>
  </si>
  <si>
    <t>放浪する勇者がプレイヤー１人に戦闘ダメージを与えるたび、あなたが青か赤のパーマネントをコントロールしている場合、あなたはカードを１枚捨ててもよい。そうしたなら、カードを１枚引く。</t>
  </si>
  <si>
    <t>(２)：緑か青のクリーチャー１体を対象とする。それはターン終了時まで+0/+1の修整を受ける。</t>
  </si>
  <si>
    <t xml:space="preserve">あなたのアップキープの開始時に、菌類学者の上に胞子(spore)カウンターを１個置く。 </t>
  </si>
  <si>
    <t xml:space="preserve">菌類学者から胞子カウンターを３個取り除く：緑の1/1の苗木(Saproling)クリーチャー・トークンを１体生成する。 </t>
  </si>
  <si>
    <t>苗木を１体生け贄に捧げる：あなたは２点のライフを得る。</t>
  </si>
  <si>
    <t>金属術 ― オーリオックの刃工は、あなたがアーティファクトを３つ以上コントロールしているかぎり二段攻撃を持つ。</t>
  </si>
  <si>
    <t>結魂（このクリーチャーか他のまだ組になっていないクリーチャーが戦場に出たとき、あなたはそれらを組にしてもよい。それらのクリーチャーは、あなたがその両方をコントロールし続けているかぎり組である。）</t>
  </si>
  <si>
    <t>近野の巡礼者が他のクリーチャーと組になっているかぎり、両方のクリーチャーは絆魂を持つ。</t>
  </si>
  <si>
    <t>領事補佐官が攻撃するたび、これが高名である場合、ターン終了時まで、あなたがコントロールする他の攻撃クリーチャーは+1/+1の修整を受ける。</t>
  </si>
  <si>
    <t>あなたが伝説の侍(Samurai)をコントロールしているかぎり、今田の旗本は+1/+2の修整を受けるとともに警戒を持つ。</t>
  </si>
  <si>
    <t>テューンの戦僧が戦場に出たとき、エンチャント１つを対象とする。あなたはそれを破壊してもよい。</t>
  </si>
  <si>
    <t>盲いた喧嘩屋は単独では攻撃できない。</t>
  </si>
  <si>
    <t>エンチャントされているクリーチャーは+3/+2の修整を受けるとともに、単独では攻撃できない。</t>
  </si>
  <si>
    <t>各戦闘で、信念の決闘者は追加で１体のクリーチャーをブロックできる。</t>
  </si>
  <si>
    <t>二段攻撃（このクリーチャーは先制攻撃と通常の戦闘ダメージの両方を与える。）</t>
  </si>
  <si>
    <t>(Ｔ)：クリーチャー１体を対象とする。それはターン終了時まで+X/+Xの修整を受ける。Ｘはオーリオックの刃番のパワーに等しい。</t>
  </si>
  <si>
    <t>聖なる後光の騎士が破壊されるなら、それを再生する。</t>
  </si>
  <si>
    <t>(２)：このターン、聖なる後光の騎士は再生できない。この能力は対戦相手だけが起動してもよい。</t>
  </si>
  <si>
    <t>喊声（このクリーチャーが攻撃するたび、他の各攻撃クリーチャーはターン終了時まで+1/+0の修整を受ける。）</t>
  </si>
  <si>
    <t>あなたのアップキープの開始時に、あなたは修道院の若者を変身させてもよい。</t>
  </si>
  <si>
    <t>あなたの終了ステップの開始時に、あなたは１点のライフを失う。</t>
  </si>
  <si>
    <t>精鋭なる投槍兵がブロックするたび、攻撃しているクリーチャー１体を対象とする。精鋭なる投槍兵はそれに１点のダメージを与える。</t>
  </si>
  <si>
    <t>あなたがコントロールするクリーチャーは先制攻撃を持つ。</t>
  </si>
  <si>
    <t>あなたの対戦相手がコントロールするクリーチャーは先制攻撃を失うとともに、先制攻撃を持つことも得ることもできない。</t>
  </si>
  <si>
    <t>オドリックの十字軍のパワーとタフネスは、それぞれあなたがコントロールするクリーチャーの総数に等しい。</t>
  </si>
  <si>
    <t>窮地 ― あなたのライフが５点以下であるかぎり、あなたがコントロールする他のクリーチャーは+1/+4の修整を受ける。</t>
  </si>
  <si>
    <t>罪からの解放者が戦場に出たとき、あなたは他のパーマネント１つを生け贄に捧げてもよい。そうしたなら、無色の3/2のエルドラージ(Eldrazi)・ホラー(Horror)・クリーチャー・トークンを１体生成する。</t>
  </si>
  <si>
    <t>昂揚 ― あなたのアップキープの開始時に、あなたの墓地にあるカードにカード・タイプが合計４種類以上含まれる場合、罪からの解放者を変身させる。</t>
  </si>
  <si>
    <t>あなたがコントロールするエルドラージ(Eldrazi)は警戒を持つ。</t>
  </si>
  <si>
    <t>(２),(Ｔ),エルドラージでないクリーチャー１体を生け贄に捧げる：無色の3/2のエルドラージ・ホラー(Horror)・クリーチャー・トークンを１体生成する。</t>
  </si>
  <si>
    <t>あなたの手札のカードの枚数がどの対戦相手よりも多いかぎり、清麻呂の末裔は+1/+2の修整を受けるとともに「このクリーチャーが戦闘ダメージを与えるたび、あなたは３点のライフを得る。」を持つ。</t>
  </si>
  <si>
    <t>猶予の侍臣が戦場に出たとき、クリーチャー１体を対象とする。このターンにそれが攻撃していたかブロックしていたなら、あなたはそれを追放してもよい。次の終了ステップの開始時に、そのカードをオーナーのコントロール下で戦場に戻す。</t>
  </si>
  <si>
    <t>宝捜しが戦場に出たとき、あなたの墓地にあるアーティファクト・カード１枚を対象とする。あなたは、それを自分の手札に戻してもよい。</t>
  </si>
  <si>
    <t>あなたがコントロールする、+1/+1カウンターが置かれている各クリーチャーは飛行を持つ。</t>
  </si>
  <si>
    <t>裂け目抜けの騎士が追放されている間にそれから最後の時間カウンターが取り除かれたとき、側面攻撃とプロテクション（白）と速攻を持つ黒の2/2の騎士(Knight)クリーチャー・トークンを１体生成する。</t>
  </si>
  <si>
    <t>雅刃の職工は、これにつけられているオーラ(Aura)１つにつき+2/+2の修整を受ける。</t>
  </si>
  <si>
    <t>陽光鞭の勇者が戦場に出たとき、あなたはこれのパワーに等しい点数のライフを得る。</t>
  </si>
  <si>
    <t>対戦相手がオーナーであるカードが追放領域にあるかぎり、彼方の管理人は+2/+2の修整を受ける。</t>
  </si>
  <si>
    <t>悪鬼の狩人が戦場に出たとき、他のクリーチャー１体を対象とする。あなたはそれを追放してもよい。</t>
  </si>
  <si>
    <t>悪鬼の狩人が戦場を離れたとき、その追放されたカードをオーナーのコントロール下で戦場に戻す。</t>
  </si>
  <si>
    <t>敬虔な福音者か他のクリーチャーが１体あなたのコントロール下で戦場に出るたび、あなたは１点のライフを得る。</t>
  </si>
  <si>
    <t>(２),(Ｔ),他のパーマネント１つを生け贄に捧げる：敬虔な福音者を変身させる。</t>
  </si>
  <si>
    <t>むら気な信奉者かあなたがコントロールする他のクリーチャーが１体死亡するたび、対戦相手１人を対象とする。そのプレイヤーは１点のライフを失い、あなたは１点のライフを得る。</t>
  </si>
  <si>
    <t>聖域の守護者を生け贄に捧げる：クリーチャー１体かプレイヤー１人を対象とする。このターン、あなたが選んだ発生源１つが次にそれに与えるすべてのダメージを軽減する。</t>
  </si>
  <si>
    <t>あなたがスピリット(Spirit)か秘儀(Arcane)呪文を唱えるたび、あなたは信心深い従者の上に気(ki)カウンターを１個置いてもよい。</t>
  </si>
  <si>
    <t>終了ステップの開始時に、信心深い従者の上に気カウンターが２個以上置かれている場合、あなたは信心深い従者を反転してもよい。</t>
  </si>
  <si>
    <t>忠義の記憶、戒想から気(ki)カウンターを１個取り除く：クリーチャー１体を対象とする。このターン、それに与えられるすべてのダメージを軽減する。</t>
  </si>
  <si>
    <t>(Ｔ),あなたがコントロールするアンタップ状態の人間(Human)２体をタップする：アーティファクト１つかエンチャント１つを対象とし、それを追放する。</t>
  </si>
  <si>
    <t>永暁の勇者に与えられる戦闘ダメージをすべて軽減する。</t>
  </si>
  <si>
    <t>あなたの終了ステップの開始時に、あなたがパワーが５以上のクリーチャーをコントロールしている場合、あなたは２点のライフを得てもよい。</t>
  </si>
  <si>
    <t>(Ｔ)：あなたのマナ・プールに(◇)を加える。</t>
  </si>
  <si>
    <t>昂揚 ― あなたの墓地にあるカードにカード・タイプが合計４種類以上含まれるかぎり、偏執的な教区刃は+1/+0の修整を受けるとともに先制攻撃を持つ。</t>
  </si>
  <si>
    <t>あなたのアップキープの開始時に、あなたがコントロールする白のクリーチャーを１体、オーナーの手札に戻す。</t>
  </si>
  <si>
    <t>迷えるオーラ術師が死亡したとき、その上に時間カウンターが１個も置かれていない場合、あなたはあなたのライブラリーからエンチャント・カードを１枚探し、それを戦場に出してもよい。そうした場合、あなたのライブラリーを切り直す。</t>
  </si>
  <si>
    <t>光輝 ― (Ｔ)：クリーチャー１体を対象とする。このターン、それと、その他の共通の色を持つ各クリーチャーに与えられる次のダメージを１点軽減する。</t>
  </si>
  <si>
    <t>あなたがコントロールする、+1/+1カウンターが置かれている各クリーチャーは絆魂を持つ。</t>
  </si>
  <si>
    <t>あなたの終了ステップの開始時に、アヴァシン教の宣教師が装備している場合、これを変身させる。</t>
  </si>
  <si>
    <t>このクリーチャーが月皇の審問官に変身したとき、他のクリーチャー１体を対象とする。あなたは月皇の審問官が戦場を離れるまでそれを追放してもよい。</t>
  </si>
  <si>
    <t>忌まわしきものの処刑者が戦場に出たとき、吸血鬼(Vampire)１体か狼男(Werewolf)１体かゾンビ(Zombie)１体を対象とする。あなたはそれを破壊してもよい。</t>
  </si>
  <si>
    <t>勇敢な先導が戦場に出たとき、あなたのライブラリーの一番上からカードを４枚見る。あなたはその中から人間(Human)カード１枚を公開してあなたの手札に加えてもよい。残りをあなたのライブラリーの一番下に望む順番で置く。</t>
  </si>
  <si>
    <t>あなたがコントロールする侍(Samurai)が死亡するたび、恩義ある侍の上に+1/+1カウンターを１個置いてもよい。</t>
  </si>
  <si>
    <t>あなたがクリーチャーを１体督励するたび、対戦相手がコントロールするクリーチャー１体を対象とし、それをタップする。</t>
  </si>
  <si>
    <t>練達の接合者が戦場に出たとき、無色の3/3のゴーレム(Golem)・アーティファクト・クリーチャー・トークンを１体生成する。</t>
  </si>
  <si>
    <t>あなたがコントロールするゴーレム・クリーチャーは+1/+1の修整を受ける。</t>
  </si>
  <si>
    <t>義理に縛られし者、長雄が攻撃するたび、あなたがコントロールする侍(Samurai)クリーチャーはターン終了時まで+1/+1の修整を受ける。</t>
  </si>
  <si>
    <t>霊廟の護衛が死亡したとき、飛行を持つ白の1/1のスピリット(Spirit)・クリーチャー・トークンを２体生成する。</t>
  </si>
  <si>
    <t>蓮眼の神秘家が戦場に出たとき、あなたの墓地にあるエンチャント・カード１枚を対象とし、それをあなたの手札に戻す。</t>
  </si>
  <si>
    <t>歴戦の司令官が攻撃するたび、クリーチャー１体を対象とする。あなたはそれをタップしてもよい。</t>
  </si>
  <si>
    <t>他のクリーチャーがあなたのコントロール下で戦場に出るたび、あなたがコントロールするクリーチャーはターン終了時まで+1/+1の修整を受ける。</t>
  </si>
  <si>
    <t>あなたがコントロールする機体(Vehicle)は飛行を持つ。</t>
  </si>
  <si>
    <t>(６),(Ｔ)：あなたの墓地にある、点数で見たマナ・コストが５以下であるレベル(Rebel)・パーマネント・カード１枚を対象とし、それを戦場に戻す。</t>
  </si>
  <si>
    <t>(Ｘ),(Ｔ)：このターン、点数で見たマナ・コストがＸである各クリーチャーは、攻撃したりブロックしたりできない。</t>
  </si>
  <si>
    <t>強襲 ― 機を見た軍族朋が戦場に出たとき、このターンにあなたがクリーチャーで攻撃していた場合、あなたの墓地にある点数で見たマナ・コストが２以下のクリーチャー・カード１枚を対象とし、それを戦場に戻す。</t>
  </si>
  <si>
    <t>疾風衣の騎兵が攻撃するたび、クリーチャー１体を対象とする。あなたはそれをタップしてもよい。</t>
  </si>
  <si>
    <t>疾風衣の騎兵がブロックされるたび、あなたは疾風衣の騎兵をアンタップし、戦闘から取り除いてもよい。</t>
  </si>
  <si>
    <t>嵐前線の乗り手が戦場に出たとき、あなたがコントロールするクリーチャー２体をオーナーの手札に戻す。</t>
  </si>
  <si>
    <t>嵐前線の乗り手か他のクリーチャーが戦場からあなたの手札に戻るたび、白の1/1の兵士(Soldier)クリーチャー・トークンを１体生成する。</t>
  </si>
  <si>
    <t>あなたがクリーチャーでない呪文を１つ唱えるたび、ターン終了時まで、あなたがコントロールするクリーチャーは+1/+1の修整を受ける。</t>
  </si>
  <si>
    <t>あなたがコントロールする+1/+1カウンターが置かれているクリーチャーが１体攻撃するたび、防御プレイヤーがコントロールするクリーチャー１体を対象とし、それをタップする。</t>
  </si>
  <si>
    <t>堅牢な防衛隊が戦場に出たとき、あなたは４点のライフを得る。</t>
  </si>
  <si>
    <t>武士道２（このクリーチャーがブロックするかブロックされた状態になるたび、それはターン終了時まで+2/+2の修整を受ける。）</t>
  </si>
  <si>
    <t>オーラ掠りの魔道士が戦場に出たとき、あなたのライブラリーからこれにエンチャントできるオーラ(Aura)・カードを１枚探す。オーラ掠りの魔道士が戦場に出ている場合、それはそのオーラがつけられた状態で戦場に出る。そうでない場合、そのオーラ・カードを公開し、あなたの手札に加える。その後あなたのライブラリーを切り直す。</t>
  </si>
  <si>
    <t>プラーフの聖騎士がダメージを与えるたび、あなたは同じ点数のライフを得る。</t>
  </si>
  <si>
    <t>オーリオックの生き残りが戦場に出たとき、あなたはあなたの墓地にある装備品(Equipment)カード１枚を対象とする。あなたはそれを戦場に戻してもよい。そうした場合、あなたはそれをオーリオックの生き残りにつけてもよい。</t>
  </si>
  <si>
    <t>都邑の庇護者が戦場に出たとき、飛行を持つ白の4/4の天使(Angel)クリーチャー・トークンを１体生成する。</t>
  </si>
  <si>
    <t>祖神に選ばれし者が戦場に出たとき、あなたは自分の墓地にあるカード１枚につき１点のライフを得る。</t>
  </si>
  <si>
    <t>回収の斥候</t>
  </si>
  <si>
    <t>オーリオックの貫通者</t>
  </si>
  <si>
    <t>スレイベンの軍旗手</t>
  </si>
  <si>
    <t>キイェルドーの投槍兵</t>
  </si>
  <si>
    <t>アクラサの従者</t>
  </si>
  <si>
    <t>ドロモカの砂丘唱え</t>
  </si>
  <si>
    <t>儀仗兵</t>
  </si>
  <si>
    <t>コーリスの子</t>
  </si>
  <si>
    <t>キンジャーリの呼び手</t>
  </si>
  <si>
    <t>介護人</t>
  </si>
  <si>
    <t>大聖堂の聖別者</t>
  </si>
  <si>
    <t>ハズダーの免罪人</t>
  </si>
  <si>
    <t>雄々しい守備兵</t>
  </si>
  <si>
    <t>隊商の随員</t>
  </si>
  <si>
    <t>ニクス生まれの盾の仲間</t>
  </si>
  <si>
    <t>スレイベンの検査官</t>
  </si>
  <si>
    <t>マルドゥの悪刃</t>
  </si>
  <si>
    <t>熱心な士官候補生</t>
  </si>
  <si>
    <t>サマイトの香炉持ち</t>
  </si>
  <si>
    <t>無私の聖戦士</t>
  </si>
  <si>
    <t>厳格な巡邏官</t>
  </si>
  <si>
    <t>魂の管理人</t>
  </si>
  <si>
    <t>議事会の崇拝者</t>
  </si>
  <si>
    <t>アクロスの看守</t>
  </si>
  <si>
    <t>ギデオンの法の番人</t>
  </si>
  <si>
    <t>献身的な家来</t>
  </si>
  <si>
    <t>砂の殉教者</t>
  </si>
  <si>
    <t>王神の信者</t>
  </si>
  <si>
    <t>炎蹄の騎兵</t>
  </si>
  <si>
    <t>勇猛な反対派</t>
  </si>
  <si>
    <t>献身的な補充兵</t>
  </si>
  <si>
    <t>真夜中の決闘者</t>
  </si>
  <si>
    <t>魂癒し人</t>
  </si>
  <si>
    <t>オーリオックの長刀使い</t>
  </si>
  <si>
    <t>宿命の旅人</t>
  </si>
  <si>
    <t>龍の眼の歩哨</t>
  </si>
  <si>
    <t>歴戦の歩兵</t>
  </si>
  <si>
    <t>魂の従者</t>
  </si>
  <si>
    <t>トーパの自由刃</t>
  </si>
  <si>
    <t>歴戦の騎兵</t>
  </si>
  <si>
    <t>目潰しの魔道士</t>
  </si>
  <si>
    <t>アヴァシン教の僧侶</t>
  </si>
  <si>
    <t>旅する哲人</t>
  </si>
  <si>
    <t>荒場の蛾乗り</t>
  </si>
  <si>
    <t>イキーラルの先導</t>
  </si>
  <si>
    <t>物騒な群衆</t>
  </si>
  <si>
    <t>石識の防衛者</t>
  </si>
  <si>
    <t>不動の守備兵</t>
  </si>
  <si>
    <t>オーリオックの太陽追い</t>
  </si>
  <si>
    <t>不動の聖戦士</t>
  </si>
  <si>
    <t>スレイベンの勇者</t>
  </si>
  <si>
    <t>セテッサの戦神官</t>
  </si>
  <si>
    <t>ドロモカの戦士</t>
  </si>
  <si>
    <t>栄光の探求者</t>
  </si>
  <si>
    <t>突風歩き</t>
  </si>
  <si>
    <t>ベナリアの騎兵</t>
  </si>
  <si>
    <t>果敢なスカイジェク</t>
  </si>
  <si>
    <t>シガルダ教の僧侶</t>
  </si>
  <si>
    <t>グリフィンの乗り手</t>
  </si>
  <si>
    <t>ムーアランドの審問官</t>
  </si>
  <si>
    <t>オンドゥの戦僧侶</t>
  </si>
  <si>
    <t>弩弓歩兵</t>
  </si>
  <si>
    <t>選定の司祭</t>
  </si>
  <si>
    <t>目明き階級の魔術師</t>
  </si>
  <si>
    <t>アクロスの空護衛</t>
  </si>
  <si>
    <t>光歩き</t>
  </si>
  <si>
    <t>オケチラの報復者</t>
  </si>
  <si>
    <t>忠実な聖戦士</t>
  </si>
  <si>
    <t>不浄の聖戦士</t>
  </si>
  <si>
    <t>ジェスカイの学徒</t>
  </si>
  <si>
    <t>サマイトの癒し手</t>
  </si>
  <si>
    <t>太陽の歩哨</t>
  </si>
  <si>
    <t>アラシンの僧侶</t>
  </si>
  <si>
    <t>キャパシェンの騎士</t>
  </si>
  <si>
    <t>天望の騎士</t>
  </si>
  <si>
    <t>古参兵の鎧鍛冶</t>
  </si>
  <si>
    <t>ドロモカの伝令</t>
  </si>
  <si>
    <t>おとりの達人</t>
  </si>
  <si>
    <t>遍歴の宿命語り</t>
  </si>
  <si>
    <t>断固たる盾持ち</t>
  </si>
  <si>
    <t>徴税理事</t>
  </si>
  <si>
    <t>若年の騎士</t>
  </si>
  <si>
    <t>ヴェク追われの占い師</t>
  </si>
  <si>
    <t>キイェルドーの先導</t>
  </si>
  <si>
    <t>アゾリウスの拘引者</t>
  </si>
  <si>
    <t>前線の僧侶</t>
  </si>
  <si>
    <t>古参兵の武具師</t>
  </si>
  <si>
    <t>遠沼の探検者</t>
  </si>
  <si>
    <t>陽動の達人</t>
  </si>
  <si>
    <t>従者つきの騎士</t>
  </si>
  <si>
    <t>不屈の聖戦士</t>
  </si>
  <si>
    <t>レト一門の槍の達人</t>
  </si>
  <si>
    <t>宮廷通りの住人</t>
  </si>
  <si>
    <t>捨て身の歩哨</t>
  </si>
  <si>
    <t>ヴェク追われの盲信者</t>
  </si>
  <si>
    <t>マルドゥの軍族長</t>
  </si>
  <si>
    <t>巡礼者の道の騎士</t>
  </si>
  <si>
    <t>オーラ術師</t>
  </si>
  <si>
    <t>華麗なる突風乗り</t>
  </si>
  <si>
    <t>ベナリアの古参兵</t>
  </si>
  <si>
    <t>砂造形の魔道士</t>
  </si>
  <si>
    <t>常備軍</t>
  </si>
  <si>
    <t>夜番の巡回兵</t>
  </si>
  <si>
    <t>アイケイシアの触れ役</t>
  </si>
  <si>
    <t>深夜の護衛</t>
  </si>
  <si>
    <t>自由風の乗馬兵</t>
  </si>
  <si>
    <t>エイスリオスの学者</t>
  </si>
  <si>
    <t>砂草原ののけ者</t>
  </si>
  <si>
    <t>うねる歩哨</t>
  </si>
  <si>
    <t>古参兵の剣鍛冶</t>
  </si>
  <si>
    <t>ハズダーの罠部隊</t>
  </si>
  <si>
    <t>鉄覆いの処刑者</t>
  </si>
  <si>
    <t>アーファの守護者</t>
  </si>
  <si>
    <t>上座の聖戦士</t>
  </si>
  <si>
    <t>歌鳥の売り手</t>
  </si>
  <si>
    <t>散兵の精鋭</t>
  </si>
  <si>
    <t>戦闘的な審問官</t>
  </si>
  <si>
    <t>龍鐘の僧兵</t>
  </si>
  <si>
    <t>マキンディの巡回兵</t>
  </si>
  <si>
    <t>ベナリアの騎士</t>
  </si>
  <si>
    <t>博覧会の歓迎者</t>
  </si>
  <si>
    <t>アクラサの守護者</t>
  </si>
  <si>
    <t>宮殿の護衛</t>
  </si>
  <si>
    <t>天馬の乗り手</t>
  </si>
  <si>
    <t>断固たる修練者</t>
  </si>
  <si>
    <t>アヴナントの癒し手</t>
  </si>
  <si>
    <t>村の鐘鳴らし</t>
  </si>
  <si>
    <t>聖堂の護衛</t>
  </si>
  <si>
    <t>ヘリオッドの巡礼者</t>
  </si>
  <si>
    <t>ありがたい老修道士</t>
  </si>
  <si>
    <t>塩平原の世捨て</t>
  </si>
  <si>
    <t>塩路の巡回兵</t>
  </si>
  <si>
    <t>オジュタイの学徒</t>
  </si>
  <si>
    <t>歩兵部隊</t>
  </si>
  <si>
    <t>落とし子縛りの魔道士</t>
  </si>
  <si>
    <t>武野の騎兵</t>
  </si>
  <si>
    <t>スレイベンの歩哨</t>
  </si>
  <si>
    <t>スレイベンの民兵</t>
  </si>
  <si>
    <t>不動の歩哨</t>
  </si>
  <si>
    <t>太陽塔の門番</t>
  </si>
  <si>
    <t>蛾乗りの侍</t>
  </si>
  <si>
    <t>フォライアスの介入者</t>
  </si>
  <si>
    <t>雲の十字軍</t>
  </si>
  <si>
    <t>サーシの騎士</t>
  </si>
  <si>
    <t>ミッドヴァストの守護者</t>
  </si>
  <si>
    <t>エファラの管理人</t>
  </si>
  <si>
    <t>プロペラの先駆者</t>
  </si>
  <si>
    <t>エルゴードの審問官</t>
  </si>
  <si>
    <t>アンプリンの戦術家</t>
  </si>
  <si>
    <t>悪鬼を縛る者</t>
  </si>
  <si>
    <t>鼓舞する隊長</t>
  </si>
  <si>
    <t>プテロドンの騎士</t>
  </si>
  <si>
    <t>暁駆けの聖騎士</t>
  </si>
  <si>
    <t>不屈の宣教師</t>
  </si>
  <si>
    <t>重歩兵</t>
  </si>
  <si>
    <t>航行隊の猛士</t>
  </si>
  <si>
    <t>空乗りの見習い</t>
  </si>
  <si>
    <t>議事会の密集軍</t>
  </si>
  <si>
    <t>日の出の追求者</t>
  </si>
  <si>
    <t>信仰持ちの聖騎士</t>
  </si>
  <si>
    <t>議事会の乗馬兵</t>
  </si>
  <si>
    <t>[CIP]</t>
    <phoneticPr fontId="1"/>
  </si>
  <si>
    <t>[反転]</t>
    <rPh sb="1" eb="3">
      <t>ハンテン</t>
    </rPh>
    <phoneticPr fontId="1"/>
  </si>
  <si>
    <t>戦闘終了時に、この戦闘でアクロスの英雄、キテオンと少なくとも２体の他のクリーチャーが攻撃していた場合、アクロスの英雄、キテオンを追放し、その後、これを変身させた状態でオーナーのコントロール下で戦場に戻す。</t>
  </si>
  <si>
    <t>[+2]：対戦相手がコントロールするクリーチャーを最大１体まで対象とする。それのコントローラーの次のターン中、そのクリーチャーは可能なら歴戦の戦士、ギデオンを攻撃する。</t>
  </si>
  <si>
    <t>[+1]：クリーチャー１体を対象とする。次のあなたのターンまで、それは破壊不能を得る。そのクリーチャーをアンタップする。</t>
  </si>
  <si>
    <t>[0]：ターン終了時まで、歴戦の戦士、ギデオンは破壊不能を持つ4/4の人間(Human)・兵士(Soldier)クリーチャーになる。これはプレインズウォーカーでもある。このターン、これに与えられるすべてのダメージを軽減する。</t>
  </si>
  <si>
    <t>プロテクション（多色）</t>
  </si>
  <si>
    <t>対戦相手が多色の呪文を１つ唱えるたび、あなたは１点のライフを得る。</t>
  </si>
  <si>
    <t>月皇ミケウスは、+1/+1カウンターがＸ個置かれた状態で戦場に出る。</t>
  </si>
  <si>
    <t>(Ｔ)：月皇ミケウスの上に+1/+1カウンターを１個置く。</t>
  </si>
  <si>
    <t>(Ｔ),月皇ミケウスから+1/+1カウンターを１個取り除く：あなたがコントロールする他の各クリーチャーの上に+1/+1カウンターを１個置く。</t>
  </si>
  <si>
    <t>あなたのアップキープの開始時に、あなたはあなたの手札から恐竜(Dinosaur)カード１枚を公開してもよい。そうしたなら、あなたは２点のライフを得る。</t>
  </si>
  <si>
    <t>忠誠な歩哨がクリーチャー１体をブロックしたとき、そのクリーチャーと忠誠な歩哨を破壊する。</t>
  </si>
  <si>
    <t>あなたがアナフェンザの伝令の長久能力を起動するたび、白の1/1の戦士(Warrior)クリーチャー・トークンを１体生成する。</t>
  </si>
  <si>
    <t>あなたのライフが３０点以上であるかぎり、セラの高位僧は+5/+5の修整を受けるとともに飛行を持つ。</t>
  </si>
  <si>
    <t>他の人間(Human)があなたのコントロール下で戦場に出るたび、教区の勇者の上に+1/+1カウンターを１個置く。</t>
  </si>
  <si>
    <t>あなたのターンの間、あなたの対戦相手は呪文を唱えられず、アーティファクトやクリーチャーやエンチャントの能力を起動できない。</t>
  </si>
  <si>
    <t>戦場に出るクリーチャーは能力を誘発させない。</t>
  </si>
  <si>
    <t>プロテクション（吸血鬼(Vampire)）、プロテクション（狼男(Werewolf)）、プロテクション（ゾンビ(Zombie)）</t>
  </si>
  <si>
    <t>あなたがコントロールするインスタント呪文とソーサリー呪文は絆魂を持つ。</t>
  </si>
  <si>
    <t>あなたが唱えるオーラ(Aura)呪文は、それを唱えるためのコストが(１)少なくなる。</t>
  </si>
  <si>
    <t>英雄的 ― あなたがイロアスの英雄を対象とする呪文を１つ唱えるたび、イロアスの英雄の上に+1/+1カウンターを１個置く。</t>
  </si>
  <si>
    <t>装備品(Equipment)があなたのコントロール下で戦場に出るたび、あなたはカードを１枚引いてもよい。</t>
  </si>
  <si>
    <t>金属術 ― あなたが３つ以上のアーティファクトをコントロールしているかぎり、あなたがコントロールする装備品は装備(０)を持つ。</t>
  </si>
  <si>
    <t>プロテクション（黒）、プロテクション（赤）</t>
  </si>
  <si>
    <t>あなたは、あなたが唱える侍(Samurai)呪文のマナ・コストを支払うのではなく、(Ｘ)を支払うことを選んでもよい。Ｘは、その呪文の点数で見たマナ・コストである。</t>
  </si>
  <si>
    <t>あなたの対戦相手がコントロールするクリーチャーはタップ状態で戦場に出る。</t>
  </si>
  <si>
    <t>サリアの副官が戦場に出たとき、あなたがコントロールする他の各人間(Human)の上に+1/+1カウンターをそれぞれ１個置く。</t>
  </si>
  <si>
    <t>他の人間が１体あなたのコントロール下で戦場に出るたび、サリアの副官の上に+1/+1カウンターをそれぞれ１個置く。</t>
  </si>
  <si>
    <t>真珠の達人が表向きになったとき、ターン終了時まで、あなたがコントロールするクリーチャーは+2/+2の修整を受ける。</t>
  </si>
  <si>
    <t>クリーチャーでない呪文は、それを唱えるためのコストが(１)多くなる。</t>
  </si>
  <si>
    <t>隠れたる龍殺しが表向きになったとき、対戦相手がコントロールするパワーが４以上のクリーチャー１体を対象とし、それを破壊する。</t>
  </si>
  <si>
    <t>秘宝の探求者が高名になったとき、あなたはあなたのライブラリーから装備品(Equipment)カードを１枚探してもよい。そうしたなら、それを公開してあなたの手札に加え、その後あなたのライブラリーを切り直す。</t>
  </si>
  <si>
    <t>白蘭の騎士が戦場に出たとき、対戦相手１人があなたより多くの土地をコントロールしている場合、あなたはあなたのライブラリーから平地(Plains)カードを１枚探してもよい。そうしたなら、それを戦場に出し、その後あなたのライブラリーを切り直す。</t>
  </si>
  <si>
    <t>あなたが支払う装備コストは(１)少なくなる。</t>
  </si>
  <si>
    <t>オーリオックの鋼打ちが装備しているかぎり、あなたがコントロールする兵士(Soldier)か騎士(Knight)である各クリーチャーはそれぞれ+1/+1の修整を受ける。</t>
  </si>
  <si>
    <t>このターン、アーティファクトでない呪文を唱えた各プレイヤーは、追加のアーティファクトでない呪文を唱えられない。</t>
  </si>
  <si>
    <t>管区の隊長がプレイヤー１人に戦闘ダメージを与えるたび、白の1/1の兵士(Soldier)クリーチャー・トークンを１体生成する。</t>
  </si>
  <si>
    <t>あなたのアップキープの開始時に、あなたがクリーチャーを４体以上コントロールしている場合、ハンウィアーの民兵隊長を変身させる。</t>
  </si>
  <si>
    <t>ウェストヴェイル教団の指導者のパワーとタフネスはそれぞれ、あなたがコントロールするクリーチャーの総数に等しい。</t>
  </si>
  <si>
    <t>あなたの終了ステップの開始時に、白であり黒である1/1の人間(Human)・クレリック(Cleric)・クリーチャー・トークンを１体生成する。</t>
  </si>
  <si>
    <t>あなたがクリーチャーでない呪文を１つ唱えるたび、果敢を持つ白の1/1のモンク(Monk)・クリーチャー・トークンを１体生成する。</t>
  </si>
  <si>
    <t>(Ｔ)：白の1/1の人間(Human)クリーチャー・トークンを１体生成する。</t>
  </si>
  <si>
    <t>窮地 ― あなたのライフが５点以下であるかぎり、あなたがコントロールする他のクリーチャーは+2/+2の修整を受ける。</t>
  </si>
  <si>
    <t>側面攻撃</t>
  </si>
  <si>
    <t>あなたがエンチャント呪文を唱えるたび、あなたはカードを１枚引いてもよい。</t>
  </si>
  <si>
    <t>大隊 ― 前線の衛生兵と少なくとも２体の他のクリーチャーが攻撃するたび、あなたがコントロールするクリーチャーはターン終了時まで破壊不能を得る。</t>
  </si>
  <si>
    <t>前線の衛生兵を生け贄に捧げる：マナ・コストに(Ｘ)を含む呪文１つを対象とする。それのコントローラーが(３)を支払わないかぎり、それを打ち消す。</t>
  </si>
  <si>
    <t>先制攻撃、プロテクション（赤）</t>
  </si>
  <si>
    <t>茨の騎士ティヴァダールが戦場に出たとき、ゴブリン(Goblin)１つを対象とし、それを破壊する。</t>
  </si>
  <si>
    <t>(Ｔ)：クリーチャー１体を対象とする。このターン、それに与えられるすべてのダメージを軽減する。</t>
  </si>
  <si>
    <t>壮大 ― 他の《サマイトの守護者オリス/Oriss, Samite Guardian》という名前のカードを１枚捨てる：プレイヤー１人を対象とする。このターン、そのプレイヤーは呪文を唱えられず、そのプレイヤーがコントロールするクリーチャーは攻撃できない。</t>
  </si>
  <si>
    <t>英雄的 ― あなたが威名の英雄を対象とする呪文を１つ唱えるたび、威名の英雄の上に+1/+1カウンターを１個置く。</t>
  </si>
  <si>
    <t>(Ｔ)：パーマネント１つを対象とする。コロンドールのマンガラとそれを追放する。</t>
  </si>
  <si>
    <t>他のパワーが２以下のクリーチャーがあなたのコントロール下で戦場に出るたび、あなたは(１)を支払ってもよい。そうした場合、カードを１枚引く。</t>
  </si>
  <si>
    <t>あなたがコントロールするタップ状態のクリーチャーは、それらがアンタップ状態であるかのようにブロックできる。</t>
  </si>
  <si>
    <t>カビーラの福音者か他の同盟者(Ally)があなたのコントロール下で場に出るたび、あなたは色を１色選んでもよい。そうした場合、あなたがコントロールする同盟者は、ターン終了時までプロテクション（選ばれた色）を得る。</t>
  </si>
  <si>
    <t>銀刃の聖騎士が他のクリーチャーと組になっているかぎり、両方のクリーチャーは二段攻撃を持つ。</t>
  </si>
  <si>
    <t>対戦相手がコントロールする、クリーチャーと基本でない土地はタップ状態で戦場に出る。</t>
  </si>
  <si>
    <t>対戦相手１人がコントロールするクリーチャーがタップ状態になるたび、ギデオンの報復者の上に+1/+1カウンターを１個置く。</t>
  </si>
  <si>
    <t>(Ｔ)：パワーが４以上のクリーチャー１体を対象とし、それを破壊する。</t>
  </si>
  <si>
    <t>結集 ― ランタンの斥候か他の同盟者(Ally)が１体あなたのコントロール下で戦場に出るたび、ターン終了時まで、あなたがコントロールするクリーチャーは絆魂を得る。</t>
  </si>
  <si>
    <t>鬼斬の聖騎士は、あなたの対戦相手がコントロールする黒や赤の呪文の対象にならない。</t>
  </si>
  <si>
    <t>二段攻撃、プロテクション（黒）、プロテクション（緑）</t>
  </si>
  <si>
    <t>アラシンの先頭に立つ者が戦場に出るか攻撃するたび、あなたがコントロールする他の戦士(Warrior)クリーチャー１体を対象とする。ターン終了時まで、それは二段攻撃を得る。</t>
  </si>
  <si>
    <t>刃の接合者が戦場に出たとき、無色の3/3のゴーレム(Golem)・アーティファクト・クリーチャー・トークン１体を生成する。</t>
  </si>
  <si>
    <t>あなたがコントロールするゴーレム・クリーチャーは先制攻撃を持つ。</t>
  </si>
  <si>
    <t>対戦相手がコントロールする発生源があなたにダメージを与えるたび、そのプレイヤーはパーマネントを１つ生け贄に捧げる。</t>
  </si>
  <si>
    <t>ガヴォニーの騎手が戦場に出るに際し、クリーチャー・タイプを１つ選ぶ。</t>
  </si>
  <si>
    <t>あなたがコントロールする人間(Human)クリーチャーはプロテクション（その選ばれたタイプのクリーチャー）を持つ。</t>
  </si>
  <si>
    <t>飛行、絆魂</t>
  </si>
  <si>
    <t>英雄的 ― あなたが黎明運びの戦車兵を対象とする呪文を１つ唱えるたび、黎明運びの戦車兵の上に+1/+1カウンターを１個置く。</t>
  </si>
  <si>
    <t>城壁の聖騎士か他の同盟者(Ally)があなたのコントロール下で戦場に出るたび、あなたは「あなたがコントロールする同盟者はターン終了時まで絆魂を得る」ことを選んでもよく、あなたは城壁の聖騎士の上に+1/+1カウンターを１個置いてもよい。</t>
  </si>
  <si>
    <t>革命家チョー＝マノに与えられるすべてのダメージを軽減する。</t>
  </si>
  <si>
    <t>(Ｔ)：あなたがコントロールする装備品(Equipment)１つと、あなたがコントロールするクリーチャー１体を対象とする。その装備品を、そのクリーチャーにつける。</t>
  </si>
  <si>
    <t>すべてのクリーチャーは「あなたのアップキープの開始時に、あなたが(１)を支払わないかぎり、このクリーチャーを生け贄に捧げる。」を持つ。</t>
  </si>
  <si>
    <t>他のクリーチャーが１体あなたのコントロール下で戦場に出るたび、ターン終了時まで、魂の聖別者は+1/+1の修整を受ける。</t>
  </si>
  <si>
    <t>(Ｔ)：クリーチャー１体を対象とする。このターン、あなたが選んだ発生源１つがそのクリーチャーに与えるすべてのダメージは、代わりに巫女の従者に与えられる。</t>
  </si>
  <si>
    <t>刃砦の英雄が攻撃するたび、タップ状態で攻撃している白の1/1の兵士(Soldier)クリーチャー・トークンを２体生成する。</t>
  </si>
  <si>
    <t>各戦闘の開始時に、あなたが１体以上の先制攻撃を持つクリーチャーをコントロールしているなら、ターン終了時まで、あなたがコントロールするクリーチャーは先制攻撃を得る。飛行、接死、二段攻撃、速攻、呪禁、破壊不能、絆魂、威迫、到達、潜伏、トランプル、警戒についても同様である。</t>
  </si>
  <si>
    <t>熟練の戦術家、オドリックと少なくとも３体の他のクリーチャーが攻撃するたび、あなたはこの戦闘でどのクリーチャーがどのようにブロックするかを選ぶ。</t>
  </si>
  <si>
    <t>円盤の大魔術師はタップ状態で戦場に出る。</t>
  </si>
  <si>
    <t>(１),(Ｔ)：すべてのアーティファクトとすべてのクリーチャーとすべてのエンチャントを破壊する。</t>
  </si>
  <si>
    <t>飛行を持たないクリーチャーは攻撃できない。</t>
  </si>
  <si>
    <t>イーオスのレインジャーが戦場に出たとき、あなたはあなたのライブラリーから点数で見たマナ・コストが１以下のクリーチャー・カードを最大２枚まで探し、それらを公開してあなたの手札に加えてもよい。そうした場合、あなたのライブラリーを切り直す。</t>
  </si>
  <si>
    <t>不屈のダガタールは、+1/+1カウンターが４個置かれた状態で戦場に出る。</t>
  </si>
  <si>
    <t>ベナリアの司令官のパワーとタフネスはそれぞれ、あなたがコントロールする兵士(Soldier)の数に等しい。</t>
  </si>
  <si>
    <t>ベナリアの司令官が追放されている間にそれから時間(time)カウンターが取り除かれるたび、白の1/1の兵士クリーチャー・トークンを１体生成する。</t>
  </si>
  <si>
    <t>あなたがクリーチャーでない呪文を１つ唱えるたび、以下から１つを選ぶ。</t>
  </si>
  <si>
    <t>・クリーチャー１体を対象とし、それをタップする。</t>
  </si>
  <si>
    <t>・ターン終了時まで、オジュタイの模範は先制攻撃と絆魂を得る。</t>
  </si>
  <si>
    <t>・オジュタイの模範を追放し、その後これをオーナーのコントロール下でタップ状態で戦場に戻す。</t>
  </si>
  <si>
    <t>タズリ将軍が戦場に出たとき、あなたはあなたのライブラリーから同盟者(Ally)クリーチャー・カードを１枚探してもよい。そうしたなら、それを公開してあなたの手札に加え、その後あなたのライブラリーを切り直す。</t>
  </si>
  <si>
    <t>結集 ― ゴーマ・ファーダの英雄か他の同盟者(Ally)が１体あなたのコントロール下で戦場に出るたび、ターン終了時まで、あなたがコントロールするクリーチャーは破壊不能を得る。</t>
  </si>
  <si>
    <t>光帯びの聖騎士がプレイヤー１人に戦闘ダメージを与えるたび、そのプレイヤーがコントロールする黒か赤のパーマネント１つを対象とする。あなたはそれを追放してもよい。</t>
  </si>
  <si>
    <t>イーオスの騎士長が戦場に出たとき、白の1/1の兵士(Soldier)クリーチャー・トークンを２体生成する。</t>
  </si>
  <si>
    <t>(Ｔ)：このターン、ブロックされなかったクリーチャーによってあなたに与えられるすべての戦闘ダメージは、代わりにキイェルドーの近衛隊に与えられる。</t>
  </si>
  <si>
    <t>(Ｔ)：クリーチャー１体かプレイヤー１人を対象とする。このターン、それに与えられる次のダメージを４点軽減する。</t>
  </si>
  <si>
    <t>サリアの槍騎兵が戦場に出たとき、あなたはあなたのライブラリーから伝説のカード１枚を探してもよい。そうしたなら、それを公開してあなたの手札に加え、その後あなたのライブラリーを切り直す。</t>
  </si>
  <si>
    <t>五制術の聖騎士が戦場に出るに際し、色を１色選ぶ。</t>
  </si>
  <si>
    <t>霊誉の僧兵のパワーとタフネスはそれぞれ、あなたがコントロールするクリーチャーの総数に等しい。</t>
  </si>
  <si>
    <t>霊誉の僧兵が戦場に出たとき、飛行を持つ白の1/1のスピリット(Spirit)・クリーチャー・トークンを２体生成する。</t>
  </si>
  <si>
    <t>目を開いた者、デジェルが戦場に出たとき、あなたはあなたのライブラリーからプレインズウォーカー・カード１枚を探してもよい。そうしたなら、それを公開してあなたの手札に加え、その後あなたのライブラリーを切り直す。</t>
  </si>
  <si>
    <t>発生源１つがあなたがコントロールするプレインズウォーカーにダメージを与えるなら、そのダメージを１点軽減する。</t>
  </si>
  <si>
    <t>(Ｔ)：攻撃しているクリーチャーかブロックしているクリーチャー１体を対象とする。精鋭なる射手はそれに３点のダメージを与える。</t>
  </si>
  <si>
    <t>あなたにダメージが与えられるたび、あなたはその点数に等しい数の白の1/1の兵士(Soldier)クリーチャー・トークンを生成してもよい。</t>
  </si>
  <si>
    <t>雨ざらしのボディガードがアンタップ状態であるかぎり、ブロックされなかったクリーチャーによってあなたに与えられるすべての戦闘ダメージは、代わりに雨ざらしのボディガードに与えられる。</t>
  </si>
  <si>
    <t>あなたがコントロールする他の各侍(Samurai)クリーチャーは、それが持つ武士道の数１点につき+1/+1の修整を受ける。</t>
  </si>
  <si>
    <t>他の白のクリーチャーは+1/+1の修整を受ける。</t>
  </si>
  <si>
    <t>白でないクリーチャーは-1/-1の修整を受ける。</t>
  </si>
  <si>
    <t>２点のライフを支払う：隆盛なる勇士クロウヴァクスをオーナーの手札に戻す。</t>
  </si>
  <si>
    <t>あなたがコントロールする他の兵士(Soldier)クリーチャーは+1/+1の修整を受けるとともに警戒を持つ。</t>
  </si>
  <si>
    <t>警備隊長が戦場に出たとき、白の1/1の兵士クリーチャー・トークンを３体生成する。</t>
  </si>
  <si>
    <t>警戒、破壊不能</t>
  </si>
  <si>
    <t>Worldwake</t>
  </si>
  <si>
    <t>Fifth Dawn</t>
  </si>
  <si>
    <t>New Phyrexia</t>
  </si>
  <si>
    <t>Zendikar</t>
  </si>
  <si>
    <t>_0/1</t>
  </si>
  <si>
    <t>_*/*</t>
  </si>
  <si>
    <t>_4/3</t>
  </si>
  <si>
    <t>(５)(W)</t>
  </si>
  <si>
    <t>(５)(W)(W)</t>
  </si>
  <si>
    <t>(２)(W),(Ｔ),緑のクリーチャー１体と白のクリーチャー１体と青のクリーチャー１体を生け贄に捧げる：あなたのライブラリーから《浄火の大天使/Empryial Archangel》という名前のカードを１枚探し、それを戦場に出す。その後、あなたのライブラリーを切り直す。</t>
  </si>
  <si>
    <t>(１)(W)(W)：クリーチャー１体を対象とする。それはターン終了時まで+1/+1の修整を受ける。</t>
  </si>
  <si>
    <t>(７)(W)：あなたは５点のライフを得る。</t>
  </si>
  <si>
    <t>(W),(Ｔ)：アーティファクト１つを対象とし、それを再生する。</t>
  </si>
  <si>
    <t>あなたがライフを得るたび、クリーチャー１体を対象とする。あなたは(W)を支払ってもよい。そうしたなら、それの上に+1/+1カウンターを１個置く。</t>
  </si>
  <si>
    <t>神啓 ― 神に寵愛された将軍がアンタップ状態になるたび、あなたは(２)(W)を支払ってもよい。そうしたなら、白の1/1の兵士(Soldier)クリーチャー・エンチャント・トークンを２体生成する。</t>
  </si>
  <si>
    <t>(W)(W)：攻撃しているクリーチャー１体を対象とする。それはターン終了時まで-1/-0の修整を受ける。</t>
  </si>
  <si>
    <t>(１)(W)：このターン、次に盲信の審問官に与えられる１点のダメージは、代わりにクリーチャー１体を対象とし、そのクリーチャーに与えられる。</t>
  </si>
  <si>
    <t>(W),(Ｔ)：スケルトン(Skeleton)１つか吸血鬼(Vampire)１つかゾンビ(Zombie)１つを対象とし、それを追放する。</t>
  </si>
  <si>
    <t>(２)(W),(Ｔ)：攻撃かブロックしているクリーチャー１体を対象とする。大石弓の精鋭はそれに３点のダメージを与える。大石弓の精鋭は、あなたの次のアンタップ・ステップにアンタップしない。</t>
  </si>
  <si>
    <t>(Ｘ)(W),(Ｔ)：攻撃しているクリーチャーかブロックしているクリーチャー１体を対象とする。バリスタ班はそれにＸ点のダメージを与える。</t>
  </si>
  <si>
    <t>(２)(W),(Ｔ)：クリーチャー１体を対象とし、それをタップする。そのクリーチャーがゾンビ(Zombie)である場合、それを追放する。</t>
  </si>
  <si>
    <t>(１)(W)：あなたの墓地にある、点数で見たマナ・コストが１以下のアーティファクト・カード１枚を対象とし、それをあなたの手札に戻す。</t>
  </si>
  <si>
    <t>(W)：白き盾の十字軍はターン終了時まで飛行を得る。</t>
  </si>
  <si>
    <t>(２)(W),あなたの墓地から近野の司祭を追放する：飛行を持つ白の1/1のスピリット(Spirit)・クリーチャー・トークンを２体生成する。この能力は、あなたがソーサリーを唱えられるときにのみ起動できる。</t>
  </si>
  <si>
    <t>(W)(W)：白き盾の十字軍はターン終了時まで+1/+0の修整を受ける。</t>
  </si>
  <si>
    <t>(３)(U)：クリーチャー１体を対象とし、それをタップする。</t>
  </si>
  <si>
    <t>(U),(Ｔ)：クリーチャー１体を対象とする。それはターン終了時まで飛行を得る。</t>
  </si>
  <si>
    <t>(２)(R)：あなたがコントロールするクリーチャーは、ターン終了時まで+1/+0の修整を受ける。</t>
  </si>
  <si>
    <t>(G),(Ｔ)：クリーチャー１体を対象とする。それはターン終了時までトランプルを得る。</t>
  </si>
  <si>
    <t>(W)(U)(B)(R)(G)：ターン終了時まで、アミーシャの模範は天使(Angel)になるとともに+3/+3の修整を受け飛行と絆魂を得る。</t>
  </si>
  <si>
    <t>ハーダの自由刃</t>
  </si>
  <si>
    <t>勇者の選定師</t>
  </si>
  <si>
    <t>帝国の槍騎兵</t>
  </si>
  <si>
    <t>ボロスの精鋭</t>
  </si>
  <si>
    <t>新参の武士</t>
  </si>
  <si>
    <t>冷酷なる者、謙造</t>
  </si>
  <si>
    <t>マルドゥの悲哀狩り</t>
  </si>
  <si>
    <t>天使の伝令</t>
  </si>
  <si>
    <t>先兵の精鋭</t>
  </si>
  <si>
    <t>恩寵の重装歩兵</t>
  </si>
  <si>
    <t>町のゴシップ屋</t>
  </si>
  <si>
    <t>扇動された民衆</t>
  </si>
  <si>
    <t>廃院の神主</t>
  </si>
  <si>
    <t>探検隊の特使</t>
  </si>
  <si>
    <t>星の兵団</t>
  </si>
  <si>
    <t>境界線の隊長</t>
  </si>
  <si>
    <t>ドラゴンを狩る者</t>
  </si>
  <si>
    <t>アイケイシアの僧侶</t>
  </si>
  <si>
    <t>スレイベンの異端者</t>
  </si>
  <si>
    <t>単体騎手</t>
  </si>
  <si>
    <t>同体騎手</t>
  </si>
  <si>
    <t>療治の侍臣</t>
  </si>
  <si>
    <t>星明かりの発動者</t>
  </si>
  <si>
    <t>マイア鍛冶</t>
  </si>
  <si>
    <t>不屈の河川司令官</t>
  </si>
  <si>
    <t>機械医師</t>
  </si>
  <si>
    <t>道の探求者</t>
  </si>
  <si>
    <t>カザンドゥの刃の達人</t>
  </si>
  <si>
    <t>密集軍の指揮者</t>
  </si>
  <si>
    <t>放浪する勇者</t>
  </si>
  <si>
    <t>魂の織り手</t>
  </si>
  <si>
    <t>菌類学者</t>
  </si>
  <si>
    <t>オーリオックの刃工</t>
  </si>
  <si>
    <t>近野の巡礼者</t>
  </si>
  <si>
    <t>領事補佐官</t>
  </si>
  <si>
    <t>白騎士</t>
  </si>
  <si>
    <t>雪花石の魔道士</t>
  </si>
  <si>
    <t>今田の旗本</t>
  </si>
  <si>
    <t>白き盾の十字軍</t>
  </si>
  <si>
    <t>テューンの戦僧</t>
  </si>
  <si>
    <t>盲いた喧嘩屋</t>
  </si>
  <si>
    <t>信念の決闘者</t>
  </si>
  <si>
    <t>剣術の名手</t>
  </si>
  <si>
    <t>物静かな使用人</t>
  </si>
  <si>
    <t>オーリオックの刃番</t>
  </si>
  <si>
    <t>神に寵愛された将軍</t>
  </si>
  <si>
    <t>剣の踊り手</t>
  </si>
  <si>
    <t>内室の護衛</t>
  </si>
  <si>
    <t>印章持ちの聖騎士</t>
  </si>
  <si>
    <t>聖なる後光の騎士</t>
  </si>
  <si>
    <t>結束に仕える者</t>
  </si>
  <si>
    <t>名誉の手</t>
  </si>
  <si>
    <t>調和者隊の聖騎士</t>
  </si>
  <si>
    <t>栄光の騎士</t>
  </si>
  <si>
    <t>修道院の若者</t>
  </si>
  <si>
    <t>不浄の悪鬼</t>
  </si>
  <si>
    <t>精鋭なる投槍兵</t>
  </si>
  <si>
    <t>勇気の元型</t>
  </si>
  <si>
    <t>ドロモカの隊長</t>
  </si>
  <si>
    <t>オドリックの十字軍</t>
  </si>
  <si>
    <t>盲信の審問官</t>
  </si>
  <si>
    <t>ガヴォニーの鉄大工</t>
  </si>
  <si>
    <t>罪からの解放者</t>
  </si>
  <si>
    <t>肉体からの解放者</t>
  </si>
  <si>
    <t>清麻呂の末裔</t>
  </si>
  <si>
    <t>猶予の侍臣</t>
  </si>
  <si>
    <t>日の出の使者</t>
  </si>
  <si>
    <t>バントの戦闘魔道士</t>
  </si>
  <si>
    <t>アンデッドを屠る者</t>
  </si>
  <si>
    <t>宝捜し</t>
  </si>
  <si>
    <t>アブザンの鷹匠</t>
  </si>
  <si>
    <t>裂け目抜けの騎士</t>
  </si>
  <si>
    <t>雅刃の職工</t>
  </si>
  <si>
    <t>献身的な門友</t>
  </si>
  <si>
    <t>陽光鞭の勇者</t>
  </si>
  <si>
    <t>彼方の管理人</t>
  </si>
  <si>
    <t>悪鬼の狩人</t>
  </si>
  <si>
    <t>放逐する僧侶</t>
  </si>
  <si>
    <t>敬虔な福音者</t>
  </si>
  <si>
    <t>むら気な信奉者</t>
  </si>
  <si>
    <t>聖域の守護者</t>
  </si>
  <si>
    <t>信心深い従者</t>
  </si>
  <si>
    <t>忠義の記憶、戒想</t>
  </si>
  <si>
    <t>敬虔な司祭</t>
  </si>
  <si>
    <t>永暁の勇者</t>
  </si>
  <si>
    <t>太陽の種の育種士</t>
  </si>
  <si>
    <t>偏執的な教区刃</t>
  </si>
  <si>
    <t>永岩城の乗り手</t>
  </si>
  <si>
    <t>迷えるオーラ術師</t>
  </si>
  <si>
    <t>ウォジェクの薬剤師</t>
  </si>
  <si>
    <t>大石弓の精鋭</t>
  </si>
  <si>
    <t>近野の司祭</t>
  </si>
  <si>
    <t>祝福された語り部</t>
  </si>
  <si>
    <t>騎兵戦の達人</t>
  </si>
  <si>
    <t>債務の騎士</t>
  </si>
  <si>
    <t>アブザンの戦僧侶</t>
  </si>
  <si>
    <t>アヴァシン教の宣教師</t>
  </si>
  <si>
    <t>月皇の審問官</t>
  </si>
  <si>
    <t>バリスタ班</t>
  </si>
  <si>
    <t>忌まわしきものの処刑者</t>
  </si>
  <si>
    <t>勇敢な先導</t>
  </si>
  <si>
    <t>恩義ある侍</t>
  </si>
  <si>
    <t>聖なる司法高官</t>
  </si>
  <si>
    <t>信義の侍臣</t>
  </si>
  <si>
    <t>練達の接合者</t>
  </si>
  <si>
    <t>義理に縛られし者、長雄</t>
  </si>
  <si>
    <t>霊廟の護衛</t>
  </si>
  <si>
    <t>蓮眼の神秘家</t>
  </si>
  <si>
    <t>歴戦の司令官</t>
  </si>
  <si>
    <t>カビーラの擁護者</t>
  </si>
  <si>
    <t>黄金夜の指揮官</t>
  </si>
  <si>
    <t>アゾリウスの大司法官</t>
  </si>
  <si>
    <t>オーリオックの廃品回収者</t>
  </si>
  <si>
    <t>アクロスの密集軍</t>
  </si>
  <si>
    <t>飛空士の提督</t>
  </si>
  <si>
    <t>レイモス教の復興論者</t>
  </si>
  <si>
    <t>新たな夜明けの模範</t>
  </si>
  <si>
    <t>戦乱の神託者</t>
  </si>
  <si>
    <t>無感情な官僚</t>
  </si>
  <si>
    <t>機を見た軍族朋</t>
  </si>
  <si>
    <t>疾風衣の騎兵</t>
  </si>
  <si>
    <t>空槍の騎兵</t>
  </si>
  <si>
    <t>嵐前線の乗り手</t>
  </si>
  <si>
    <t>豪腕の修道士</t>
  </si>
  <si>
    <t>献身的民兵団</t>
  </si>
  <si>
    <t>鱗衛兵の精鋭</t>
  </si>
  <si>
    <t>堅牢な防衛隊</t>
  </si>
  <si>
    <t>侍の処罰者</t>
  </si>
  <si>
    <t>オーラ掠りの魔道士</t>
  </si>
  <si>
    <t>ヘリオッドの福音者</t>
  </si>
  <si>
    <t>プラーフの聖騎士</t>
  </si>
  <si>
    <t>オーリオックの生き残り</t>
  </si>
  <si>
    <t>都邑の庇護者</t>
  </si>
  <si>
    <t>祖神に選ばれし者</t>
  </si>
  <si>
    <t>Modern Masters</t>
  </si>
  <si>
    <t>(W),(Ｔ)：あなたのライブラリーから土地カードを１枚探し、それを公開した上であなたの手札に加える。その後あなたのライブラリーを切り直す。この能力は、対戦相手１人があなたよりも多くの土地をコントロールしている場合にのみ起動できる。</t>
  </si>
  <si>
    <t>(３)(W)(W),覚醒の太陽の神官を生け贄に捧げる：あなたのライブラリーから恐竜カード１枚を探し、それを公開してあなたの手札に加え、その後あなたのライブラリーを切り直す。</t>
  </si>
  <si>
    <t>(W),(Ｔ)：いずれかの墓地にあるオーラ(Aura)・カード１枚を対象とし、それをあなたのコントロール下で、あなたがコントロールするクリーチャー１体につけられた状態で戦場に出す。</t>
  </si>
  <si>
    <t>あなたのアップキープの開始時に、あなたが(W)(W)を支払わないかぎり、ハズダーの盾兵を生け贄に捧げる。</t>
  </si>
  <si>
    <t>(W)：このターン、あなたが選んだ発生源１つが次にあなたに与えるすべてのダメージを軽減する。</t>
  </si>
  <si>
    <t>(２)(W),あなたの墓地からクリーチャー・カード１枚を追放する：飛行を持つ白の1/1のスピリット(Spirit)・クリーチャー・トークンを１体生成する。</t>
  </si>
  <si>
    <t>(W)(W)：クリーチャー１体を対象とし、それをタップする。</t>
  </si>
  <si>
    <t>待機Ｘ ― (Ｘ)(W)(W)、Ｘは０にはできない。</t>
  </si>
  <si>
    <t>(W),(Ｔ),鋼打ちの弟子をオーナーの手札に戻す：あなたのライブラリーから装備品(Equipment)カードを１枚探し、それを公開し、あなたの手札に加える。その後あなたのライブラリーを切り直す。</t>
  </si>
  <si>
    <t>(W),兵士を１つ生け贄に捧げる：このターンに与えられるすべての戦闘ダメージを軽減する。</t>
  </si>
  <si>
    <t>(２)(W)(W)(W)</t>
  </si>
  <si>
    <t>(W)(W),(Ｔ)：選ばれた色のパーマネント１つを対象とし、それを破壊する。</t>
  </si>
  <si>
    <t>(１)(B/G)(B/G)：クリーチャー１体と、２体目のクリーチャー１体を対象とする。その前者の上に置かれている+1/+1カウンターを１個、その後者の上に移動する。</t>
  </si>
  <si>
    <t>(Ｘ)(W)</t>
  </si>
  <si>
    <t>(２)(W)：ターン終了時まで、アクロスの英雄、キテオンは破壊不能を得る。</t>
  </si>
  <si>
    <t>(W)(U)(B)(R)(G)：ターン終了時まで、あなたがコントロールする同盟者クリーチャーは+X/+Xの修整を受ける。Ｘは、それらのクリーチャーの中の色の数に等しい。</t>
  </si>
  <si>
    <t>(２)(U/R)(U/R)：このターンに次にあなたがあなたの手札からインスタント呪文かソーサリー呪文を唱えるなら、それを解決するに際し、そのカードをあなたの墓地に置く代わりにあなたの手札に加える。</t>
  </si>
  <si>
    <t>あなたのアップキープの開始時に、あなたのライブラリーの一番上のカードを見る。あなたはそのカードを公開してもよい。これによりインスタント・カードかソーサリー・カードが公開された場合、秘密を掘り下げる者を変身させる。</t>
  </si>
  <si>
    <t>(Ｔ)：プレイヤー１人を対象とする。そのプレイヤーは自分のライブラリーの一番上のカードを自分の墓地に置く。</t>
  </si>
  <si>
    <t>(Ｔ)：あなたがコントロールする土地１つを対象とする。それはターン終了時まであなたが選んだ基本土地タイプ１種になる。</t>
  </si>
  <si>
    <t>翼作りが他のクリーチャーと組になっているかぎり、両方のクリーチャーは飛行を持つ。</t>
  </si>
  <si>
    <t>(２),あなたの手札から青のカードをＸ枚公開する,霜の殉教者を生け贄に捧げる：呪文１つを対象とする。それのコントローラーが(Ｘ)を支払わないかぎり、それを打ち消す。</t>
  </si>
  <si>
    <t>ジェスカイの賢者が死亡したとき、カードを１枚引く。</t>
  </si>
  <si>
    <t>強襲 ― 難破船あさりが戦場に出たとき、このターンにあなたがクリーチャーで攻撃していた場合、あなたはカードを１枚引いてもよい。そうしたなら、カード１枚を捨てる。</t>
  </si>
  <si>
    <t>(Ｔ),あなたのライブラリーの一番上のカードをあなたの墓地に置く：あなたのマナ・プールに(◇)を加える。</t>
  </si>
  <si>
    <t>あなたは、あなたのアンタップ・ステップに密の守護兵をアンタップしないことを選んでもよい。</t>
  </si>
  <si>
    <t>(Ｔ)：カードを１枚引き、その後カードを１枚捨てる。</t>
  </si>
  <si>
    <t>あなたの手札の最大値は１多くなる。</t>
  </si>
  <si>
    <t>ハリマーの採掘者か他の同盟者(Ally)があなたのコントロール下で戦場に出るたび、プレイヤー１人を対象とする。そのプレイヤーは自分のライブラリーの一番上からＸ枚のカードを自分の墓地に置く。Ｘはあなたがコントロールする同盟者の数である。</t>
  </si>
  <si>
    <t>感染（このクリーチャーは、クリーチャーに-1/-1カウンターの形でダメージを与え、プレイヤーに毒(poison)カウンターの形でダメージを与える。）</t>
  </si>
  <si>
    <t>荒廃の工作員はブロックされない。</t>
  </si>
  <si>
    <t>帆凧の海賊が攻撃しているかぎり、これは飛行を持つ。</t>
  </si>
  <si>
    <t>(１),(Ｔ)：パーマネント１つを対象とする。あなたはそれをタップまたはアンタップしてもよい。この能力は、あなたが氷雪パーマネントを４つ以上コントロールしている場合にのみ起動できる。</t>
  </si>
  <si>
    <t>あなたがカードを１枚サイクリングするか捨てるたび、ターン終了時まで、狡猾な生き残りは+1/+0の修整を受けるとともに、このターン、これはブロックされない。</t>
  </si>
  <si>
    <t>錬金術師の弟子を生け贄に捧げる：カードを１枚引く。</t>
  </si>
  <si>
    <t>あなたがクリーチャーでない呪文を１つ唱えるたび、ターン終了時まで、神出鬼没の呪拳士は+1/+0の修整を受けるとともに、このターン、ブロックされない。</t>
  </si>
  <si>
    <t>(Ｔ)：カードを１枚引き、その後カード１枚を捨てる。この能力は、あなたがこのターンにクリーチャーでない呪文を唱えていたときにのみ起動できる。</t>
  </si>
  <si>
    <t>ニューロックのスパイは、防御プレイヤーがアーティファクトをコントロールしているかぎりブロックされない。</t>
  </si>
  <si>
    <t>セルホフの密教信者か他のクリーチャーが死亡するたび、プレイヤー１人を対象とする。そのプレイヤーは、自分のライブラリーの一番上のカードを自分の墓地に置く。</t>
  </si>
  <si>
    <t>二人組の見張り番が他のクリーチャーと組になっているかぎり、それらのクリーチャーはそれぞれ「このクリーチャーが対戦相手１人にダメージを与えるたび、カードを１枚引く。」を持つ。</t>
  </si>
  <si>
    <t>累加アップキープ(２)（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</si>
  <si>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(Ｔ)：カードを２枚引き、その後あなたの手札にあるカードを１枚、あなたのライブラリーの一番上に置く。</t>
  </si>
  <si>
    <t>敬慕される教師が戦場に出たとき、あなたがコントロールするＬｖアップを持つ各クリーチャーの上にＬｖ(level)カウンターを２個置く。</t>
  </si>
  <si>
    <t>(１),(Ｔ),周到の書記官を生け贄に捧げる：あなたの墓地からインスタント・カード１枚かソーサリー・カード１枚を対象とし、それをあなたの手札に戻す。</t>
  </si>
  <si>
    <t>秘密の商人が戦場に出たとき、カードを１枚引く。</t>
  </si>
  <si>
    <t>財力ある船乗りが戦場に出たとき、「(Ｔ),このアーティファクトを生け贄に捧げる：あなたのマナ・プールに好きな色１色のマナ１点を加える。」を持つ無色の宝物(Treasure)アーティファクト・トークンを１つ生成する。</t>
  </si>
  <si>
    <t>(１)：基本土地タイプを１つ選ぶ。あなたがコントロールする各土地はターン終了時までそのタイプになる。</t>
  </si>
  <si>
    <t>海門の神官が戦場に出たとき、あなたのライブラリーの一番上から２枚のカードを見る。それらの１枚をあなたの手札に加え、もう１枚をあなたのライブラリーの一番下に置く。</t>
  </si>
  <si>
    <t>あなたがカードを１枚サイクリングするか捨てるたび、ターン終了時までヘクマの歩哨は+1/+1の修整を受ける。</t>
  </si>
  <si>
    <t>秘密を盗む者がプレイヤー１人に戦闘ダメージを与えるたび、カードを１枚引く。</t>
  </si>
  <si>
    <t>あなたがアーティファクトをコントロールしているかぎり、飛空士の修繕屋は飛行を持つ。（これは飛行や到達を持たないクリーチャーによってブロックされない。）</t>
  </si>
  <si>
    <t>粗石の魔道士が戦場に出たとき、あなたは自分のライブラリーから点数で見たマナ・コストが１以下であるアーティファクト・カードを１枚探し、そのカードを公開し、あなたの手札に加えてもよい。そうした場合、あなたのライブラリーを切り直す。</t>
  </si>
  <si>
    <t>あなたがクリーチャーでない呪文を１つ唱えるたび、微風の写字官をアンタップする。</t>
  </si>
  <si>
    <t>(Ｔ)：プレイヤー１人を対象とする。そのプレイヤーはカードを１枚引き、その後カードを１枚捨てる。</t>
  </si>
  <si>
    <t>歓喜する信者が死亡したとき、カードを１枚引く。</t>
  </si>
  <si>
    <t>(Ｔ)：パワーが２以下のクリーチャー１体を対象とする。このターン、それはブロックされない。</t>
  </si>
  <si>
    <t>ニューロックの透術士はブロックされない。</t>
  </si>
  <si>
    <t>ニューロックの透術士が戦場に出たとき、クリーチャー１体を対象とする。このターン、それはブロックされない。</t>
  </si>
  <si>
    <t>アーティファクト・カードを１枚捨てる：ニューロックの神童をオーナーの手札に戻す。</t>
  </si>
  <si>
    <t>霧刃の忍びがプレイヤーに戦闘ダメージを与えるたび、そのプレイヤーがコントロールするクリーチャー１体を対象とする。あなたは、それをオーナーの手札に戻してもよい。</t>
  </si>
  <si>
    <t>霊気の達人が戦場に出たとき、クリーチャー１体を対象とし、それをオーナーの手札に戻す。</t>
  </si>
  <si>
    <t>深き刻の忍者がプレイヤーに戦闘ダメージを与えるたび、あなたはカードを１枚引いてもよい。</t>
  </si>
  <si>
    <t>鍵達人のならず者はブロックされない。</t>
  </si>
  <si>
    <t>鍵達人のならず者が戦場に出たとき、あなたがコントロールするクリーチャーを１体、オーナーの手札に戻す。</t>
  </si>
  <si>
    <t>分離主義者の虚空魔道士が戦場に出たとき、クリーチャー１体を対象とする。あなたはそれをオーナーの手札に戻してもよい。</t>
  </si>
  <si>
    <t>飛空士志願者が戦場に出たとき、飛行を持つ無色の1/1の飛行機械(Thopter)アーティファクト・クリーチャー・トークンを１体生成する。</t>
  </si>
  <si>
    <t>アーティファクトが１つあなたのコントロール下で戦場に出るたび、ターン終了時まで、速接会の翼鍛冶は飛行を得る。</t>
  </si>
  <si>
    <t>古術師が戦場に出たとき、あなたの墓地にあるインスタント・カード１枚かソーサリー・カード１枚を対象とし、それをあなたの手札に戻す。</t>
  </si>
  <si>
    <t>強襲 ― 巧射艦隊の帆綱引きが戦場に出たとき、このターンにあなたがクリーチャーで攻撃していた場合、クリーチャー１体を対象とする。あなたはそれをオーナーの手札に戻してもよい。</t>
  </si>
  <si>
    <t>悟った狂人が戦場に出たとき、無色の3/2のエルドラージ(Eldrazi)・ホラー(Horror)・クリーチャー・トークンを１体生成する。</t>
  </si>
  <si>
    <t>隠道の神秘家はブロックされない。</t>
  </si>
  <si>
    <t>グリフの先兵が戦場に出たとき、カードを１枚引く。</t>
  </si>
  <si>
    <t>虚無使いが戦場に出たとき、クリーチャー１体を対象とする。あなたはそれをオーナーの手札に戻してもよい。</t>
  </si>
  <si>
    <t>裕福な海賊が戦場に出たとき、「(Ｔ),このアーティファクトを生け贄に捧げる：あなたのマナ・プールに好きな色１色のマナ１点を加える。」を持つ無色の宝物(Treasure)アーティファクト・トークンを２つ生成する。</t>
  </si>
  <si>
    <t>神啓 ― スフィンクスの信奉者がアンタップ状態になるたび、カードを１枚引く。</t>
  </si>
  <si>
    <t>Modern Masters 2017 Edition</t>
  </si>
  <si>
    <t>(U)</t>
  </si>
  <si>
    <t>(１)(U)</t>
  </si>
  <si>
    <t>(２)(U)</t>
  </si>
  <si>
    <t>(１)(U)(U)</t>
  </si>
  <si>
    <t>(３)(U)</t>
  </si>
  <si>
    <t>(２)(U)(U)</t>
  </si>
  <si>
    <t>(４)(U)</t>
  </si>
  <si>
    <t>(３)(U)(U)</t>
  </si>
  <si>
    <t>永遠(４)(U)(U)（(４)(U)(U),あなたの墓地からこのカードを追放する：マナ・コストと永遠を持たない黒の4/4のゾンビ(Zombie)・人間(Human)・戦士(Warrior)であることを除き、これのコピーであるトークンを１体生成する。永遠はソーサリーとしてのみ行う。）</t>
  </si>
  <si>
    <t>(２)(U),(Ｔ),カードを１枚捨てる,土地を１つ生け贄に捧げる：あなたのライブラリーから基本土地カードを最大２枚まで探し、それらを戦場に出す。その後あなたのライブラリーを切り直す。</t>
  </si>
  <si>
    <t>(３)(U),(Ｔ)：カードを１枚引き、その後カードを１枚捨てる。</t>
  </si>
  <si>
    <t>(U),(Ｔ)：カードを１枚引き、その後カードを１枚捨てる。</t>
  </si>
  <si>
    <t>忍術(U)（(U),あなたがコントロールする、ブロックされなかった攻撃しているクリーチャー１体を手札に戻す：あなたの手札からこのカードを、タップ状態かつ攻撃している状態で戦場に出す。）</t>
  </si>
  <si>
    <t>忍術(１)(U)（(１)(U),あなたがコントロールする、ブロックされなかった攻撃しているクリーチャー１体を手札に戻す：あなたの手札からこのカードを、タップ状態かつ攻撃している状態で戦場に出す。）</t>
  </si>
  <si>
    <t>(１)(U)：あなたのライブラリーのカードを上からX枚見て、その後それらを望む順番で戻す。Xは、あなたの手札のカードの枚数である。</t>
  </si>
  <si>
    <t>あなたのアップキープの開始時に、あなたが(U)を支払わないかぎりダル追われの流れ者を生け贄に捧げる。</t>
  </si>
  <si>
    <t>(１)(U),(Ｔ)：あなたがコントロールする、密の守護兵以外のクリーチャー１体を対象とする。密の守護兵がタップ状態であり続けるかぎり、それは被覆を持つ。（それは呪文や能力の対象にならない。）</t>
  </si>
  <si>
    <t>(U),(Ｔ)：カードを１枚引く。その後、カードを１枚捨てる。</t>
  </si>
  <si>
    <t>電位式錬金術師が他のクリーチャーと組になっているかぎり、それらのクリーチャーはそれぞれ「(２)(U)：このクリーチャーをアンタップする。」を持つ。</t>
  </si>
  <si>
    <t>(U),(Ｔ),カードを１枚捨てる：あなたがコントロールするパーマネント１つを対象とし、それをオーナーの手札に戻す。</t>
  </si>
  <si>
    <t>(２)(B)：ターン終了時まで、ヴェクティスの口封じは接死を得る。（これが何らかのダメージをクリーチャーに与えたら、それだけで破壊する。）</t>
  </si>
  <si>
    <t>時を曲げる者が表向きになったとき、以下から１つを選ぶ。</t>
  </si>
  <si>
    <t>・パーマネント１つか待機状態のカード１枚を対象とし、その上から時間(time)カウンターを２個取り除く。</t>
  </si>
  <si>
    <t>・パーマネント１つか待機状態のカード１枚を対象とし、その上に時間カウンターを２個置く。</t>
  </si>
  <si>
    <t>あなたの手札の最大値は２増加する。</t>
  </si>
  <si>
    <t>あなたのアップキープの開始時に、あなたがコントロールする青のクリーチャーを１体、オーナーの手札に戻す。</t>
  </si>
  <si>
    <t>被覆（このクリーチャーは呪文や能力の対象にならない。）</t>
  </si>
  <si>
    <t>英雄的 ― あなたがメレティスの天文学者を対象とする呪文を１つ唱えるたび、あなたのライブラリーの一番上から３枚のカードを見る。あなたはその中からエンチャント・カード１枚を公開してあなたの手札に加えてもよい。残りをあなたのライブラリーの一番下に望む順番で置く。</t>
  </si>
  <si>
    <t>(Ｘ),(Ｔ)：パワーがＸ以下のクリーチャー１体を対象とする。このターン、それはブロックされない。</t>
  </si>
  <si>
    <t>躁の書記官が戦場に出たとき、各対戦相手はそれぞれ自分のライブラリーの一番上から３枚のカードを自分の墓地に置く。</t>
  </si>
  <si>
    <t>昂揚 ― 各対戦相手のアップキープの開始時に、あなたの墓地にあるカードにカード・タイプが合計４種類以上含まれる場合、そのプレイヤーは自分のライブラリーの一番上から３枚のカードを自分の墓地に置く。</t>
  </si>
  <si>
    <t>変異 ― あなたの手札にある青のカードを１枚公開する。（あなたはこのカードを、(３)で2/2クリーチャーとして裏向きに唱えてもよい。これの変異コストで、これをいつでも表向きにしてもよい。）</t>
  </si>
  <si>
    <t>龍の眼の学者が表向きになったとき、対戦相手１人を対象とし、そのプレイヤーの手札を見る。</t>
  </si>
  <si>
    <t>呪禁（このクリーチャーは、あなたの対戦相手がコントロールする呪文や能力の対象にならない。）</t>
  </si>
  <si>
    <t>不可視の忍び寄りはブロックされない。</t>
  </si>
  <si>
    <t>各ターンに、あなたが２つ目の呪文を唱えるたび、侵入専門家はターン終了時まで+2/+0の修整を受けるとともに、それはこのターン、ブロックされない。</t>
  </si>
  <si>
    <t>ジェスカイの長老がプレイヤー１人に戦闘ダメージを与えるたび、あなたはカードを１枚引いてもよい。そうしたなら、カードを１枚捨てる。</t>
  </si>
  <si>
    <t>(Ｔ)：各プレイヤーはカードを１枚引き、その後カードを１枚捨てる。</t>
  </si>
  <si>
    <t>強襲 ― このターンにあなたがクリーチャーで攻撃していたなら、風雲艦隊の空中要員は+1/+1カウンターが１個置かれた状態で戦場に出る。</t>
  </si>
  <si>
    <t>あなたが手掛かり(Clue)を１つ生け贄に捧げたとき、果敢な捜索者を変身させる。</t>
  </si>
  <si>
    <t>禁断の真相を知る者がプレイヤー１人に戦闘ダメージを与えるたび、調査を行う。（「(２),このアーティファクトを生け贄に捧げる：カードを１枚引く。」を持つ無色の手掛かり(Clue)アーティファクト・トークンを１つ生成する。）</t>
  </si>
  <si>
    <t>精霊の学び手が飛行を持っているとき、精霊の学び手を反転する。</t>
  </si>
  <si>
    <t>あなたがコントロールするクリーチャーは飛行を持つ。</t>
  </si>
  <si>
    <t>あなたがアーティファクト呪文を１つ唱えるたび、あなたはカードを１枚引いてもよい。そうした場合、カードを１枚捨てる。</t>
  </si>
  <si>
    <t>航空船の略取者がプレイヤー１人に戦闘ダメージを与えるたび、パーマネント１つかプレイヤー１人を対象とし、それが持つカウンター１種類につきそれぞれその種類のカウンターをもう１個、そのパーマネントの上に置くか、そのプレイヤーに与える。</t>
  </si>
  <si>
    <t>(Ｔ)：あなたのマナ・プールに(◇)(◇)を加える。このマナは、アーティファクト呪文を唱えるためか、アーティファクトの能力を起動するためにのみ使用できる。</t>
  </si>
  <si>
    <t>アカデミーの研究者が戦場に出たとき、あなたはあなたの手札にあるオーラ(Aura)・カードを１枚、アカデミーの研究者につけた状態で戦場に出してもよい。</t>
  </si>
  <si>
    <t>ハリマーの潮呼びが戦場に出たとき、あなたの墓地から覚醒を持つカード１枚を対象とする。あなたはそれをあなたの手札に戻してもよい。</t>
  </si>
  <si>
    <t>あなたがコントロールする土地クリーチャーは飛行を持つ。</t>
  </si>
  <si>
    <t>(Ｔ)：あなたのライブラリーの一番上からカードを２枚あなたの墓地に置く。その後、あなたの墓地に無色のクリーチャー・カードがあるなら、白髪交じりの釣り人を変身させる。</t>
  </si>
  <si>
    <t>(６)：このターン、対戦相手がコントロールするクリーチャーは可能なら攻撃する。</t>
  </si>
  <si>
    <t>抜け道を歩む者がプレイヤーに戦闘ダメージを与えるたび、あなたはそのプレイヤーの手札を見てもよい。</t>
  </si>
  <si>
    <t>マラング川をうろつくものではブロックできず、マラング川をうろつくものはブロックされない。</t>
  </si>
  <si>
    <t>あなたが黒か緑のパーマネントをコントロールしているかぎり、あなたはマラング川をうろつくものをあなたの墓地から唱えてもよい。</t>
  </si>
  <si>
    <t>(Ｔ)：他のパーマネント１つを対象とし、それをアンタップする。</t>
  </si>
  <si>
    <t>あなたが砂時計の侍臣をサイクリングしたとき、パーマネント１つを対象とし、それをアンタップする。</t>
  </si>
  <si>
    <t>ジェスの盗人がプレイヤー１人に戦闘ダメージを与えるたび、カードを１枚引く。</t>
  </si>
  <si>
    <t>昇殿（あなたがパーマネントを10個以上コントロールしているなら、このゲームの間、あなたは都市の承認を得る。）</t>
  </si>
  <si>
    <t>あなたが都市の承認を持っているかぎり、捕らえ難い悪漢は呪禁を持つとともにブロックされない。</t>
  </si>
  <si>
    <t xml:space="preserve">あなたがスピリット(Spirit)か秘儀(Arcane)呪文を唱えるたび、あなたは未熟な呪士の上に気(ki)カウンターを１個置いてもよい。 </t>
  </si>
  <si>
    <t>終了ステップの開始時に、未熟な呪士の上に気カウンターが２個以上置かれている場合、あなたは未熟な呪士を反転してもよい。</t>
  </si>
  <si>
    <t>横槍の邪等狗から気(ki)カウンターを１個取り除く：呪文１つを対象とする。それのコントローラーが(２)を支払わないかぎり、それを打ち消す。</t>
  </si>
  <si>
    <t>宝物の魔道士が戦場に出たとき、あなたはあなたのライブラリーから、点数で見たマナ・コストが６以上のアーティファクト・カードを１枚探し、それを公開してあなたの手札に加えてもよい。そうした場合、あなたのライブラリーを切り直す。</t>
  </si>
  <si>
    <t>強襲 ― 風雲艦隊のスパイが戦場に出たとき、このターンにあなたがクリーチャーで攻撃していた場合、カードを１枚引く。</t>
  </si>
  <si>
    <t>あなたの手札の上限は無い。</t>
  </si>
  <si>
    <t>ニューロックの猛士がプレイヤー１人に戦闘ダメージを与えるたび、あなたはカードを１枚引いてもよい。</t>
  </si>
  <si>
    <t>戦利品の魔道士が戦場に出たとき、あなたはあなたのライブラリーから点数で見たマナ・コストが３のアーティファクト・カード１枚を探してもよい。そうしたなら、それを公開してあなたの手札に加え、その後あなたのライブラリーを切り直す。</t>
  </si>
  <si>
    <t>(Ｔ)：カードを１枚引き、その後カードを１枚捨てる。これによりクリーチャー・カードを捨てた場合、礼儀正しい識者をアンタップし、その後それを変身させる。</t>
  </si>
  <si>
    <t>あなたの終了ステップの開始時に、このターン、人殺しの粗暴者が攻撃していなかった場合、人殺しの粗暴者をタップし、それを変身させる。</t>
  </si>
  <si>
    <t>濫用（このクリーチャーが戦場に出たとき、あなたはクリーチャーを１体生け贄に捧げてもよい。）</t>
  </si>
  <si>
    <t>シルムガルの魔術師がクリーチャーを１体濫用したとき、クリーチャー呪文１つを対象とし、それを打ち消す。</t>
  </si>
  <si>
    <t>アーティファクトがあなたのコントロール下で戦場に出るたび、パーマネント１つを対象とする。あなたはそれをタップしてもよい。</t>
  </si>
  <si>
    <t>(Ｔ)：クリーチャー１体を対象とする。このターン、それは可能なら攻撃する。</t>
  </si>
  <si>
    <t>(Ｔ)：クリーチャー１体を対象とする。このターン、それは可能ならブロックする。</t>
  </si>
  <si>
    <t xml:space="preserve">瞬速（あなたはこの呪文を、あなたがインスタントを唱えられるときならいつでも唱えてよい。） </t>
  </si>
  <si>
    <t>虚空魔道士の沈黙者が戦場に出たとき、起動型能力１つを対象とし、それを打ち消す。（マナ能力は対象にできない。）</t>
  </si>
  <si>
    <t>あなたが呪文を唱えるたび、あなたは虚空魔道士の沈黙者をオーナーの手札に戻してもよい。</t>
  </si>
  <si>
    <t>練達の盗賊が戦場に出たとき、アーティファクト１つを対象とする。あなたが練達の盗賊をコントロールし続けているかぎり、あなたはそれのコントロールを得る。</t>
  </si>
  <si>
    <t>あなたがクリーチャーでない呪文を１つ唱えるたび、クリーチャー１体を対象とする。ターン終了時までそれは飛行を得る。</t>
  </si>
  <si>
    <t>選定の侍臣が戦場に出たとき、あなたは、あなたのライブラリーから永遠か不朽を持つクリーチャー・カード１枚を探してもよい。そうしたなら、それをあなたの墓地に置き、その後あなたのライブラリーを切り直す。</t>
  </si>
  <si>
    <t>あなたが永遠か不朽を１つ起動するたび、カードを１枚引く。</t>
  </si>
  <si>
    <t>(１),(Ｔ)：起動型能力１つを対象とし、それを打ち消す。この能力は、あなたが氷雪パーマネントを４つ以上コントロールしている場合にのみ起動できる。（マナ能力は対象にできない。）</t>
  </si>
  <si>
    <t>厳格な導師が他のクリーチャーと組になっているかぎり、それらのクリーチャーはそれぞれ「(Ｔ)：プレイヤー１人を対象とする。そのプレイヤーは、自分のライブラリーの一番上から２枚のカードを自分の墓地に置く。」を持つ。</t>
  </si>
  <si>
    <t>つむじ風のならず者が戦場に出たとき、飛行を持つ無色の1/1の飛行機械(Thopter)アーティファクト・クリーチャー・トークンを２体生成する。</t>
  </si>
  <si>
    <t>あなたがコントロールするアンタップ状態のアーティファクトを２つタップする：クリーチャー１体を対象とする。このターン、それはブロックされない。</t>
  </si>
  <si>
    <t>あなたがコントロールするゴーレム・クリーチャーは飛行を持つ。</t>
  </si>
  <si>
    <t>若年の識者が死亡したとき、カードを２枚引く。</t>
  </si>
  <si>
    <t>あなたのアップキープの開始時に、あなたのライブラリーの一番上のカードをあなたの墓地に置く。それがインスタント・カードかソーサリー・カードなら、逸脱した研究者を変身させる。</t>
  </si>
  <si>
    <t>あなたがコントロールする他の青のクリーチャーは+1/+1の修整を受ける。</t>
  </si>
  <si>
    <t>巧射艦隊の操舵手が戦場に出たとき、あなたは「自分のライブラリーから装備品(Equipment)か機体(Vehicle)であるカード１枚を探し、それを公開してあなたの手札に加え、その後、あなたのライブラリーを切り直す。」を選んでもよい。</t>
  </si>
  <si>
    <t>試験飛行士が戦場に出たとき、飛行を持つ無色の1/1の飛行機械(Thopter)アーティファクト・クリーチャー・トークンを２体生成する。</t>
  </si>
  <si>
    <t>あなたの対戦相手がコントロールするクリーチャーは飛行を失うとともに、飛行を持つことも得ることもできない。</t>
  </si>
  <si>
    <t>即席（あなたのアーティファクトが、この呪文を唱える助けとなる。あなたはあなたのアーティファクトをタップして、１個あたり(１)の支払いに代えてもよい。）</t>
  </si>
  <si>
    <t>移植４（このクリーチャーは、その上に+1/+1カウンターが４個置かれた状態で戦場に出る。他のクリーチャーが１体戦場に出るたび、あなたはこのクリーチャーの上に置かれている+1/+1カウンターを１個、その上に移動してもよい。）</t>
  </si>
  <si>
    <t>(１),あなたがコントロールするクリーチャーの上から、合わせて２個の+1/+1カウンターを取り除く：カードを１枚引く。</t>
  </si>
  <si>
    <t>Lv3+：被覆 ハーダの巡回スパイはブロックされない。3/3</t>
    <rPh sb="5" eb="7">
      <t>ヒフク</t>
    </rPh>
    <phoneticPr fontId="1"/>
  </si>
  <si>
    <t>_0/6</t>
  </si>
  <si>
    <t>(W),(Ｔ)：このターン、あなたに与えられる次のダメージを２点軽減する。</t>
  </si>
  <si>
    <t>(W),(Ｔ)：攻撃しているクリーチャーかブロックしているクリーチャー１体を対象とする。暁の光の射手はそれに１点のダメージを与える。</t>
  </si>
  <si>
    <t>(４)(U)(U)</t>
  </si>
  <si>
    <t>(３)(U),(Ｔ)：あなたがコントロールする他のクリーチャー１体を対象とし、それを追放する。その後、そのカードをあなたのコントロール下で戦場に戻す。</t>
  </si>
  <si>
    <t>変異(U)（あなたはこのカードを、(３)で2/2クリーチャーとして裏向きに唱えてもよい。これの変異コストで、これをいつでも表向きにしてもよい。）</t>
  </si>
  <si>
    <t>Ｌｖアップ(２)(U)（(２)(U)：この上にＬｖ(level)カウンターを１個置く。Ｌｖアップはソーサリーとしてのみ行う。）</t>
  </si>
  <si>
    <t>(３)(U)：カードを１枚引く。</t>
  </si>
  <si>
    <t xml:space="preserve">忍術(１)(U)（(１)(U),あなたがコントロールする、ブロックされなかった攻撃しているクリーチャー１体を手札に戻す：あなたの手札からこのカードを、タップ状態かつ攻撃している状態で戦場に出す） </t>
  </si>
  <si>
    <t>(U),(Ｔ)：氷雪土地１つを対象とする。それは飛行を持つ青の2/2のエレメンタル(Elemental)・クリーチャーになる。それは土地でもある。</t>
  </si>
  <si>
    <t>(U)：クリーチャー１体を対象とする。ターン終了時まで、それはそのタイプに加えてアーティファクトになる。</t>
  </si>
  <si>
    <t>(U),(Ｔ)：クリーチャー１体を対象とする。あなたはそれをタップまたはアンタップしてもよい。</t>
  </si>
  <si>
    <t>神啓 ― 高巣の崇拝者がアンタップ状態になるたび、あなたは(２)(U)を支払ってもよい。そうしたなら、飛行を持つ青の2/2の鳥(Bird)クリーチャー・エンチャント・トークンを１体生成する。</t>
  </si>
  <si>
    <t>(U),(Ｔ)：あなたのライブラリーから《心臓貫きの弓/Heart-Piercer Bow》か《龍火の薬瓶/Vial of Dragonfire》という名前のカードを１枚探し、それを公開してあなたの手札に加え、その後あなたのライブラリーを切り直す。</t>
  </si>
  <si>
    <t>サイクリング(１)(U)（(１)(U),このカードを捨てる：カードを１枚引く。）</t>
  </si>
  <si>
    <t>(U)：アーティファクト・クリーチャー１体を対象とする。ターン終了時まで、それは青になるとともに、アーティファクトではなくなる。</t>
  </si>
  <si>
    <t>(U),(Ｔ)：あなたがコントロールする他の青のクリーチャー１体を対象とする。それはターン終了時まで飛行を得る。</t>
  </si>
  <si>
    <t>(１)(U)：あなたがコントロールする忍者(Ninja)１つを対象とし、それをオーナーの手札に戻す。この能力は、あなたのターンの間にのみ起動できる。</t>
  </si>
  <si>
    <t>(B),(Ｔ)：クリーチャー１体を対象とする。それはターン終了時まで-1/-1の修整を受ける。</t>
  </si>
  <si>
    <t>あなたが唱えるインスタント呪文とソーサリー呪文を唱えるためのコストは、それが対象とするクリーチャー１体につき(１)少なくなる。</t>
  </si>
  <si>
    <t>英雄的 ― あなたが戦場の秘術師を対象とする呪文を１つ唱えるたび、戦場の秘術師はターン終了時まで呪禁を得る。</t>
  </si>
  <si>
    <t>あなたがコントロールするイリュージョン(Illusion)・クリーチャーは、+1/+1の修整を受けるとともに呪禁を持つ。（それらはあなたの対戦相手がコントロールする呪文や能力の対象にならない。）</t>
  </si>
  <si>
    <t>潜伏（このクリーチャーは、これより大きなパワーを持つクリーチャーによってはブロックされない。）</t>
  </si>
  <si>
    <t>波止場の潜入者がプレイヤー１人に戦闘ダメージを与えるたび、あなたはカードを１枚引いてもよい。そうしたなら、カード１枚を捨てる。</t>
  </si>
  <si>
    <t>あなたがクリーチャー・カードを１枚捨てるたび、あなたは(２)を支払ってもよい。そうしたなら、無色の3/2のエルドラージ(Eldrazi)・ホラー(Horror)・クリーチャー・トークンを１体生成する。</t>
  </si>
  <si>
    <t>戦凧の匪賊が攻撃するたび、防御プレイヤーがコントロールしているクリーチャー１体を対象とする。ターン終了時まで、それは能力をすべて失うとともに基本のパワーとタフネスが0/1になる。</t>
  </si>
  <si>
    <t>(Ｔ),アーティファクトを１つ生け贄に捧げる：カードを１枚引く。</t>
  </si>
  <si>
    <t>英雄的 ― あなたが精神奪いを対象とする呪文を１つ唱えるたび、プレイヤー１人を対象とし、そのプレイヤーのライブラリーの一番上から３枚のカードを追放する。</t>
  </si>
  <si>
    <t>勇敢な妨害工作員がプレイヤー１人に戦闘ダメージを与えるたび、あなたはカードを１枚引いてもよい。そうしたなら、カード１枚を捨てる。</t>
  </si>
  <si>
    <t>(Ｔ)：カードを２枚引き、その後カードを３枚捨てる。</t>
  </si>
  <si>
    <t>瞬唱の魔道士が戦場に出たとき、あなたの墓地にあるインスタント・カード１枚かソーサリー・カード１枚を対象とする。それはターン終了時までフラッシュバックを得る。そのフラッシュバック・コストは、それのマナ・コストに等しい。（あなたはあなたの墓地にあるそのカードを、そのフラッシュバック・コストで唱えてもよい。その後それを追放する。）</t>
  </si>
  <si>
    <t>英雄的 ― あなたが形態の職工を対象とする呪文を１つ唱えるたび、クリーチャー１体を対象とする。あなたは形態の職工をそれのコピーにしてもよい。そうしたなら、これはこの能力を得る。</t>
  </si>
  <si>
    <t>あなたがインスタント呪文やソーサリー呪文を唱えるためのコストは(１)少なくなる。</t>
  </si>
  <si>
    <t>あなたがコントロールする呪文や能力が呪文を１つ打ち消すたび、あなたはカードを１枚引いてもよい。そうしたなら、カード１枚を捨てる。</t>
  </si>
  <si>
    <t>落とし子の仲買人が戦場に出たとき、あなたがコントロールするクリーチャー１体と、そのパワー以下のパワーを持つ対戦相手がコントロールするクリーチャー１体を対象とする。あなたはそれらのコントロールを交換してもよい。</t>
  </si>
  <si>
    <t>神啓 ― 果敢な泥棒がアンタップ状態になるたび、あなたがコントロールする土地でないパーマネント１つと、それと共通のカード・タイプを持つ、対戦相手がコントロールするパーマネント１つを対象とする。あなたはそれらのコントロールを交換してもよい。</t>
  </si>
  <si>
    <t>他の人間(Human)が１体あなたのコントロール下で戦場に出るたび、霧の海の船長をアンタップする。</t>
  </si>
  <si>
    <t>(Ｔ)：セレンディブの魔術師以外のクリーチャー１体を対象とする。それはターン終了時まで基本のパワーとタフネスが0/2である。</t>
  </si>
  <si>
    <t>あなたのライブラリーの一番上のカードを公開した状態でプレイする。</t>
  </si>
  <si>
    <t>あなたのライブラリーの一番上のカードがアーティファクト・カードかクリーチャー・カードであるかぎり、技を借りる者はそのカードのすべての起動型能力を持つ。（その能力がそのカードの名前を用いている場合、代わりにこのクリーチャーの名前を用いる。）</t>
  </si>
  <si>
    <t>あなたが他にクリーチャーをコントロールしていないかぎり、ジェスカイの浸透者はブロックされない。</t>
  </si>
  <si>
    <t>ジェスカイの浸透者がプレイヤー１人に戦闘ダメージを与えたとき、これとあなたのライブラリーの一番上のカードを裏向きの束にして追放し、その束を切り直してからそれらのカードを予示する。（カードを予示するには、それを裏向きの状態で2/2クリーチャーとして戦場に出す。それがクリーチャー・カードであるなら、そのマナ・コストでいつでも表向きにしてよい。）</t>
  </si>
  <si>
    <t>各対戦相手のアップキープの開始時に、そのプレイヤーはドロー・ステップかメイン・フェイズか戦闘フェイズを選ぶ。そのプレイヤーはこのターン、選んだステップやフェイズを飛ばす。</t>
  </si>
  <si>
    <t>あなたのライブラリーにカードが無いときにあなたがカードを引く場合、代わりにあなたはこのゲームに勝利する。</t>
  </si>
  <si>
    <t>(Ｔ),果敢な弟子を生け贄に捧げる：呪文１つを対象とし、それを打ち消す。</t>
  </si>
  <si>
    <t>造物の学者、ヴェンセールが戦場に出たとき、呪文１つかパーマネント１つを対象とし、それをオーナーの手札に戻す。</t>
  </si>
  <si>
    <t>(Ｔ)：カードを１枚引く。</t>
  </si>
  <si>
    <t>あなたがインスタント呪文を唱えるたび、あなたは(１)を支払ってもよい。そうした場合、カードを１枚引く。</t>
  </si>
  <si>
    <t>(Ｔ)：アーティファクト・クリーチャー１体を対象とする。それのコントローラーはそれを生け贄に捧げる。そのプレイヤーは自分のライブラリーからクリーチャーでないアーティファクト・カードを１枚探し、それを戦場に出してもよい。その後自分のライブラリーを切り直す。</t>
  </si>
  <si>
    <t>狡猾な巾着切りが戦場に出たとき、このターン、対戦相手のコントロール下で生成される各トークンは、代わりにあなたのコントロール下で生成される。</t>
  </si>
  <si>
    <t>水面院の歴史家、歌穂が戦場に出たとき、あなたのライブラリーからインスタント・カードを最大３枚まで探し、それらを追放する。その後あなたのライブラリーを切り直す。</t>
  </si>
  <si>
    <t>(Ｘ),(Ｔ)：あなたは水面院の歴史家、歌穂によって追放された、点数で見たマナ・コストがＸであるカードを１枚、そのマナ・コストを支払うことなく唱えてもよい。</t>
  </si>
  <si>
    <t>速製職人のスパイが戦場に出たとき、あなたがコントロールするアーティファクト１つを対象とする。あなたが速製職人のスパイをコントロールし続けているかぎり、それは「(Ｔ)：カードを１枚引く。」を得る。</t>
  </si>
  <si>
    <t>各プレイヤーのアップキープの開始時に、そのプレイヤーは自分の手札にあるアーティファクト・カード１枚かクリーチャー・カード１枚か土地カード１枚を戦場に出してもよい。</t>
  </si>
  <si>
    <t>壮大 ― 他の《西風の魔道士リネッサ/Linessa, Zephyr Mage》という名前のカードを１枚捨てる：プレイヤー１人を対象とする。そのプレイヤーは自分がコントロールするクリーチャー１体をオーナーの手札に戻し、その後この手順をアーティファクト１つとエンチャント１つと土地１つについて繰り返す。</t>
  </si>
  <si>
    <t>移植２（このクリーチャーは、その上に+1/+1カウンターが２個置かれた状態で戦場に出る。他のクリーチャーが１体戦場に出るたび、あなたはこのクリーチャーの上に置かれている+1/+1カウンターを１個、その上に移動してもよい。）</t>
  </si>
  <si>
    <t>精鋭秘儀術師が戦場に出たとき、あなたはあなたの手札にあるインスタント・カードを１枚追放してもよい。</t>
  </si>
  <si>
    <t>(Ｘ),(Ｔ)：その追放されたカードをコピーする。あなたはそのコピーを、そのマナ・コストを支払うことなく唱えてもよい。Ｘはその追放されたカードの点数で見たマナ・コストに等しい。</t>
  </si>
  <si>
    <t>あなたがコントロールするアンタップ状態のウィザード(Wizard)を１体タップする：カードを１枚引く。</t>
  </si>
  <si>
    <t>あなたがオーナーである、戦場に出ていないクリーチャー・カードは瞬速を持つ。</t>
  </si>
  <si>
    <t>各対戦相手は、自分がソーサリーを唱えられるときにのみ呪文を唱えられる。</t>
  </si>
  <si>
    <t>あなたは、あなたのライブラリーの一番上のカードをプレイしてもよい。</t>
  </si>
  <si>
    <t>対戦相手がコントロールするクリーチャー１体があなたのコントロールする呪文や能力の対象になるたび、あなたが意志を砕く者をコントロールし続けているかぎり、それのコントロールを得る。</t>
  </si>
  <si>
    <t>(２),(Ｔ)：パーマネント１つを対象とし、それをオーナーの手札に戻す。この能力は、あなたが氷雪パーマネントを４つ以上コントロールしている場合にのみ起動できる。</t>
  </si>
  <si>
    <t>静風の日暮がプレイヤーに戦闘ダメージを与えるたび、あなたはあなたのライブラリーから忍者(Ninja)カードを１枚探し、そのカードを公開し、それをあなたの手札に加えてもよい。そうした場合、あなたのライブラリーを切り直す。</t>
  </si>
  <si>
    <t>(２)：忍者クリーチャー１体を対象とする。このターン、それはブロックされない。</t>
  </si>
  <si>
    <t>(Ｔ),壺の大魔術師を生け贄に捧げる：各プレイヤーは、自分の手札のカードをすべて裏向きにした状態で追放し、カードを７枚引く。次の終了ステップの開始時に、各プレイヤーは自分の手札をすべて捨て、これにより自分が追放した各カードを自分の手札に戻す。</t>
  </si>
  <si>
    <t>(U)(U)</t>
  </si>
  <si>
    <t>(２)(U)(U)(U)</t>
  </si>
  <si>
    <t>(２)(U),(Ｔ)：カードを１枚引く。あなたの手札にカードが９枚以上ある場合、呪師の弟子を反転する。</t>
  </si>
  <si>
    <t>(３)(U)(U),(Ｔ)：プレイヤー１人を対象とする。そのプレイヤーはカードをＸ枚引く。Ｘはあなたの手札のカードの枚数に等しい。</t>
  </si>
  <si>
    <t>(２)(U)：このターン、勇敢な妨害工作員はブロックされない。</t>
  </si>
  <si>
    <t>Ｌｖアップ(１)(U)（(１)(U)：この上にＬｖ(level)カウンターを１個置く。Ｌｖアップはソーサリーとしてのみ行う。）</t>
  </si>
  <si>
    <t>(U)(U)(U),(Ｔ)：パーマネント１つを対象とし、それをオーナーの手札に戻す。</t>
  </si>
  <si>
    <t>(２)(U),(Ｔ)：インスタント呪文１つかソーサリー呪文１つを対象とする。それのコントローラーはその呪文をコピーする。そのプレイヤーはそのコピーの新たな対象を選んでもよい。</t>
  </si>
  <si>
    <t>あなたは「騙り者、逆嶋は、それの名前が《騙り者、逆嶋/Sakashima the Impostor》のままであり、それがそれの他のタイプに加えて伝説であり、それが『(２)(U)(U)：次の終了ステップの開始時に、騙り者、逆嶋をオーナーの手札に戻す。』を得ることを除いて、戦場に出ているクリーチャー１体のコピーとして戦場に出る」ことを選んでもよい。</t>
  </si>
  <si>
    <t>(U),(Ｔ),あなたがコントロールするアーティファクトを１つ、オーナーの手札に戻す：あなたはあなたの手札にあるアーティファクト・カードを１枚、戦場に出してもよい。</t>
  </si>
  <si>
    <t>(２)(U),(Ｔ),あなたの墓地にあるクリーチャー・カード１枚を追放する：黒の2/2のゾンビ(Zombie)・クリーチャー・トークンを１体生成する。その後、あなたがコントロールする各ゾンビ・クリーチャーの上に+1/+1カウンターを１個置く。</t>
  </si>
  <si>
    <t>(２)(U),カードを１枚捨てる：呪文１つを対象とする。その呪文が捨てられたカードと同じ点数で見たマナ・コストを持つ場合、それを打ち消す。</t>
  </si>
  <si>
    <t>(Ｘ)(U)(U),(Ｔ)：点数で見たマナ・コストがＸのクリーチャー１体を対象とし、それをオーナーの手札に戻す。</t>
  </si>
  <si>
    <t>(２)(U),(Ｔ),他のクリーチャーを１体生け贄に捧げる：あなたのライブラリーの一番上から、伝説でないクリーチャー・カードが公開されるまでカードを公開する。そのカードを戦場に出し、残りをあなたのライブラリーの一番下に無作為の順番で置く。</t>
  </si>
  <si>
    <t>忍術(２)(U)(U)（(２)(U)(U),あなたがコントロールする、ブロックされなかった攻撃しているクリーチャー１体を手札に戻す：あなたの手札からこのカードを、タップ状態かつ攻撃している状態で戦場に出す。）</t>
  </si>
  <si>
    <t>(U)(U),精神奪いを生け贄に捧げる：精神奪いによって追放されているカードと同じ名前を持つ呪文１つを対象とし、それを打ち消す。</t>
  </si>
  <si>
    <t>Lv2-3：(U)(U),(Ｔ)：インスタント呪文１つかソーサリー呪文１つを対象とし、それをコピーする。あなたはそのコピーの新たな対象を選んでもよい。2/4</t>
  </si>
  <si>
    <t>(１)(U),(Ｔ)：パーマネント１つを対象とする。あなたはそれをタップまたはアンタップしてもよい。</t>
  </si>
  <si>
    <t>(U),(Ｔ)：+1/+1カウンターが置かれているクリーチャー１体を対象とする。細胞質の操作者が戦場に出続けているかぎり、そのコントロールを得る。</t>
  </si>
  <si>
    <t>Lv4+：(U)(U),(Ｔ)：インスタント呪文１つかソーサリー呪文１つを対象とし、それを２回コピーする。あなたはそれらのコピーの新たな対象を選んでもよい。2/5</t>
  </si>
  <si>
    <t>あなたがクリーチャーでない呪文を１つ唱えるたび、クリーチャー１体を対象とする。あなたは(R/W)(R/W)を支払ってもよい。そうしたなら、ターン終了時までそれは二段攻撃を得る。</t>
  </si>
  <si>
    <t>(Ｔ)：カードを１枚引き、その後カードを１枚捨てる。あなたの墓地にカードが５枚以上あるなら、ヴリンの神童、ジェイスを追放し、その後、これを変身させた状態でオーナーのコントロール下で戦場に戻す。</t>
  </si>
  <si>
    <t>[+1]：クリーチャーを最大１体まで対象とする。あなたの次のターンまで、それは-2/-0の修整を受ける。</t>
  </si>
  <si>
    <t>[-3]：あなたの墓地にある、インスタント・カード１枚かソーサリー・カード１枚を対象とする。このターン、あなたはそれを唱えてもよい。このターンにそのカードがあなたの墓地に置かれるなら、代わりにそれを追放する。</t>
  </si>
  <si>
    <t>[-9]：あなたは「あなたが呪文を１つ唱えるたび、対戦相手１人を対象とする。そのプレイヤーは自分のライブラリーの一番上から５枚のカードを自分の墓地に置く。」を持つ紋章を得る。</t>
  </si>
  <si>
    <t>英雄的 ― あなたが時の賢者を対象とする呪文を１つ唱えるたび、時の賢者の上に+1/+1カウンターを１個置く。</t>
  </si>
  <si>
    <t>時の賢者の上からすべての+1/+1カウンターを取り除く：これにより取り除かれたカウンター５個につき、このターンに続いて追加の１ターンを行う。</t>
  </si>
  <si>
    <t>(１),あなたの墓地にあるインスタント・カード１枚かソーサリー・カード１枚を追放する：以下から１つを選ぶ。</t>
  </si>
  <si>
    <t>・クリーチャーでない呪文１つを対象とする。それのコントローラーが(２)を支払わないかぎり、それを打ち消す。</t>
  </si>
  <si>
    <t>・ターン終了時まで、輪の信奉者は+1/+1の修整を受ける。</t>
  </si>
  <si>
    <t>・クリーチャー１体を対象とし、それをアンタップする。</t>
  </si>
  <si>
    <t>(Ｔ)：パワーがあなたがコントロールするクリーチャーの総数以下であるクリーチャー１体を対象とし、それのコントロールを得る。</t>
  </si>
  <si>
    <t>Ｌｖアップ(U)（(U)：この上にＬｖ(level)カウンターを１個置く。Ｌｖアップはソーサリーとしてのみ行う。）</t>
  </si>
  <si>
    <t>(２)(U)(U),(Ｔ),時間流の航海士をオーナーのライブラリーの一番下に置く：このターンに続いて追加の１ターンを行う。この能力は、あなたが都市の承認を持っているときにのみ起動できる。</t>
  </si>
  <si>
    <t>１つのデッキに《影生まれの使徒/Shadowborn Apostle》という名前のカードを望む枚数だけいれることができる。</t>
  </si>
  <si>
    <t>死の信者を生け贄に捧げる：プレイヤー１人を対象とする。そのプレイヤーは１点のライフを失い、あなたは１点のライフを得る。</t>
  </si>
  <si>
    <t>夜市の見張りがタップ状態になるたび、各対戦相手はそれぞれ１点のライフを失い、あなたは１点のライフを得る。</t>
  </si>
  <si>
    <t>他のクリーチャーが１体死亡するたび、あなたは１点のライフを得てもよい。</t>
  </si>
  <si>
    <t>欲深い悪漢が攻撃しているかぎり、これは+1/+0の修整を受ける。</t>
  </si>
  <si>
    <t>(１),クリーチャーを１体、生け贄に捧げる：対戦相手１人を対象とする。そのプレイヤーのライブラリーのカードを上から２枚見て、その後、それらの１枚を追放する。</t>
  </si>
  <si>
    <t>(１),あなたの手札から黒のカードをＸ枚公開する,骨の殉教者を生け贄に捧げる：単一の墓地にあるカードを最大Ｘ枚まで対象とし、それらを追放する。</t>
  </si>
  <si>
    <t>アーティファクトが１つ戦場からいずれかの墓地に置かれるたび、対戦相手１人を対象とする。あなたは「そのプレイヤーは１点のライフを失う」ことを選んでもよい。</t>
  </si>
  <si>
    <t>接死（これが何らかのダメージをクリーチャーに与えたら、それだけで破壊する。）</t>
  </si>
  <si>
    <t>回収する斬鬼は、あなたの墓地にあるアーティファクト・カード１枚につき+1/+0の修整を受ける。</t>
  </si>
  <si>
    <t>あなたがアーティファクトをコントロールしていないかぎり、自暴自棄の漂流者では攻撃できない。</t>
  </si>
  <si>
    <t>凶兆艦隊の貯め込み屋が死亡したとき、「(Ｔ),このアーティファクトを生け贄に捧げる：あなたのマナ・プールに好きな色１色のマナ１点を加える。」を持つ無色の宝物(Treasure)アーティファクト・トークンを１つ生成する。</t>
  </si>
  <si>
    <t>ボジューカの盗賊ではブロックできない。</t>
  </si>
  <si>
    <t>ボジューカの盗賊か他の同盟者(Ally)があなたのコントロール下で戦場に出るたび、あなたはボジューカの盗賊の上に+1/+1カウンターを１個置いてもよい。</t>
  </si>
  <si>
    <t>奈落の守り手が戦場に出たとき、あなたの墓地にクリーチャー・カードが４枚以上あるならば、あなたはあなたの墓地にあるクリーチャー・カード１枚を対象とし、それをあなたの手札に戻してもよい。</t>
  </si>
  <si>
    <t>マルドゥの頭蓋狩りはタップ状態で戦場に出る。</t>
  </si>
  <si>
    <t>強襲 ― マルドゥの頭蓋狩りが戦場に出たとき、このターンにあなたがクリーチャーで攻撃していた場合、対戦相手１人を対象とする。そのプレイヤーはカードを１枚捨てる。</t>
  </si>
  <si>
    <t>カルシのサディストがクリーチャーを１体濫用したとき、対戦相手１人を対象とする。そのプレイヤーは２点のライフを失い、あなたは２点のライフを得る。</t>
  </si>
  <si>
    <t>恐竜ハンターが恐竜(Dinosaur)１体にダメージを与えるたび、そのクリーチャーを破壊する。</t>
  </si>
  <si>
    <t>あなたがアーティファクトをコントロールしているかぎり、ドゥーンドの調査員は+1/+0の修整を受けるとともに接死を持つ。（これが何らかのダメージをクリーチャーに与えたら、それだけで破壊する。）</t>
  </si>
  <si>
    <t>英雄的 ― あなたが血に狂った重装歩兵を対象とする呪文を１つ唱えるたび、血に狂った重装歩兵の上に+1/+1カウンターを１個置く。</t>
  </si>
  <si>
    <t>血に狂った重装歩兵の上に+1/+1カウンターが１個置かれるたび、対戦相手がコントロールするクリーチャー１体を対象とし、それの上から+1/+1カウンターを１個取り除く。</t>
  </si>
  <si>
    <t>悪運尽きた造反者が死亡したとき、黒の2/2のゾンビ(Zombie)・クリーチャー・トークンを１体生成する。</t>
  </si>
  <si>
    <t>(Ｔ)：プレイヤー１人を対象とする。そのプレイヤーは１点のライフを失う。</t>
  </si>
  <si>
    <t>(４),(Ｔ)：あなたのライブラリーから、点数で見たマナ・コストが３点以下のレベル(Rebel)・パーマネント・カードを１枚探し、そのカードを戦場に出す。その後あなたのライブラリーを切り直す。</t>
  </si>
  <si>
    <t>霊気毒殺者が戦場に出たとき、あなたは(Ｅ)(Ｅ)（エネルギー・カウンター２個）を得る。</t>
  </si>
  <si>
    <t>霊気毒殺者が攻撃するたび、あなたは(Ｅ)(Ｅ)を支払ってもよい。そうしたなら、無色の1/1の霊気装置(Servo)アーティファクト・クリーチャー・トークンを１体生成する。</t>
  </si>
  <si>
    <t>強襲 ― 巧射艦隊の拷問者が戦場に出たとき、このターンにあなたがクリーチャーで攻撃していた場合、対戦相手１人を対象とする。そのプレイヤーはカード１枚を捨てる。</t>
  </si>
  <si>
    <t>石板通りの悪漢がブロックされた状態になるたび、防御プレイヤーはカードを１枚捨てる。</t>
  </si>
  <si>
    <t>アーティファクト・カードを１枚捨てる：肉体を継ぐ者はターン終了時まで+2/+2の修整を受ける。</t>
  </si>
  <si>
    <t>忠信な従者が死亡したとき、あなたの墓地にある他のクリーチャー・カード１枚を対象とし、それをあなたの手札に戻す。</t>
  </si>
  <si>
    <t>憑依（このクリーチャーが死亡したとき、クリーチャー１体を対象とする。このカードをそれに憑依している状態で追放する。）</t>
  </si>
  <si>
    <t>オルゾフの安死術士が戦場に出るか、それが憑依しているクリーチャーが死亡したとき、このターンにダメージを与えられているクリーチャー１体を対象とし、それを破壊する。</t>
  </si>
  <si>
    <t>カードを１枚捨てる：ヴェク追われの侵入者はターン終了時までシャドーを得る。（それは、シャドーを持つクリーチャーのみブロックでき、シャドーを持つクリーチャーによってのみブロックされる。）</t>
  </si>
  <si>
    <t>頭巾被りの暗殺者が戦場に出たとき、以下から１つを選ぶ。</t>
  </si>
  <si>
    <t>・頭巾被りの暗殺者の上に+1/+1カウンターを１個置く。</t>
  </si>
  <si>
    <t>・このターンにダメージを与えられているクリーチャー１体を対象とし、それを破壊する。</t>
  </si>
  <si>
    <t>サディストの穴開け魔道士が死亡したとき、各プレイヤーは自分の手札にあるカードを１枚、自分のライブラリーの一番上に置く。</t>
  </si>
  <si>
    <t>威嚇（このクリーチャーはアーティファクト・クリーチャーかそれと共通の色を持つクリーチャー以外にはブロックされない。）</t>
  </si>
  <si>
    <t>盲目の盲信者がプレイヤー１人に戦闘ダメージを与えるたび、そのプレイヤーがコントロールするクリーチャー１体を対象とする。あなたはこれを生け贄に捧げてもよい。そうした場合、それを破壊する。</t>
  </si>
  <si>
    <t>戦慄の魔術使いは、黒でないクリーチャーによってはブロックされない。</t>
  </si>
  <si>
    <t>(Ｔ)：クリーチャー１体を対象とする。それはターン終了時まで-1/-1の修整を受ける。</t>
  </si>
  <si>
    <t>モリオックのゴミあさりが戦場に出たとき、あなたの墓地にあるアーティファクト・クリーチャー・カード１枚を対象とする。あなたはそれをあなたの手札に戻してもよい。</t>
  </si>
  <si>
    <t>盟友 ― (Ｔ),あなたがコントロールするアンタップ状態の同盟者(Ally)を１体タップする：対戦相手１人を対象とする。そのプレイヤーは２点のライフを失う。</t>
  </si>
  <si>
    <t>威迫</t>
  </si>
  <si>
    <t>街道筋の強盗が戦場に出たとき、対戦相手１人を対象とする。そのプレイヤーは２点のライフを失い、あなたは２点のライフを得る。</t>
  </si>
  <si>
    <t>暴勇 ― ダル追われの殺し屋は、あなたの手札にカードがないかぎりシャドーを持つ。（このクリーチャーは、シャドーを持つクリーチャーのみブロックでき、シャドーを持つクリーチャーによってのみブロックされる。）</t>
  </si>
  <si>
    <t>深海艦隊の殺し屋が戦場に出たとき、対戦相手がコントロールしていてこのターンにダメージが与えられたクリーチャー１体を対象とし、それを破壊する。</t>
  </si>
  <si>
    <t>ニマーナの売剣か他の同盟者(Ally)があなたのコントロール下で戦場に出るたび、あなたはニマーナの売剣の上に+1/+1カウンターを１個置いてもよい。</t>
  </si>
  <si>
    <t>凶兆艦隊の侵入者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</si>
  <si>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夜深の死体あさりが戦場に出たとき、あなたの墓地から点数で見たマナ・コストが３以下のクリーチャー・カード１枚を対象とする。あなたはそれをあなたの手札に戻してもよい。</t>
  </si>
  <si>
    <t>（《墓ネズミ/Graf Rats》と合体する。）</t>
  </si>
  <si>
    <t>速攻</t>
  </si>
  <si>
    <t>威迫（このクリーチャーは２体以上のクリーチャーによってしかブロックされない。）</t>
  </si>
  <si>
    <t>騒がしい徒党が戦場に出たとき、ターン終了時まで、あなたがコントロールする他のクリーチャーは+1/+0の修整を受けるとともに威迫を得る。</t>
  </si>
  <si>
    <t>[合体]</t>
    <rPh sb="1" eb="3">
      <t>ガッタイ</t>
    </rPh>
    <phoneticPr fontId="1"/>
  </si>
  <si>
    <t>_4/2</t>
  </si>
  <si>
    <t>(B)</t>
  </si>
  <si>
    <t>(１)(B)</t>
  </si>
  <si>
    <t>(２)(B)</t>
  </si>
  <si>
    <t>(１)(B)(B)</t>
  </si>
  <si>
    <t>(２)(B)(B)</t>
  </si>
  <si>
    <t>(３)(B)</t>
  </si>
  <si>
    <t>(４)(B)</t>
  </si>
  <si>
    <t>(２)(B),(Ｔ)：単一の墓地にあるカードを最大３枚まで対象とし、それらを追放する。</t>
  </si>
  <si>
    <t>(１)(B),(Ｔ)：プレイヤー１人を対象とする。そのプレイヤーは１点のライフを失う。</t>
  </si>
  <si>
    <t>(３)(B),あなたの墓地からグール呼びの共犯者を追放する：黒の2/2のゾンビ(Zombie)・クリーチャー・トークンを１体生成する。この能力は、あなたがソーサリーを唱えられるときにのみ起動できる。</t>
  </si>
  <si>
    <t>(２)(B),死体運びを生け贄に捧げる：あなたの墓地にある他のクリーチャー・カード１枚を対象とし、それをあなたの手札に戻す。</t>
  </si>
  <si>
    <t>(B),(Ｔ)：クリーチャー１体を対象とし、それをタップする。</t>
  </si>
  <si>
    <t>疾駆(２)(B)（あなたはこの呪文を、これの疾駆コストで唱えてもよい。そうしたなら、これは速攻を得るとともに、次の終了ステップの開始時にこれを戦場からオーナーの手札に戻す。）</t>
  </si>
  <si>
    <t>(２)(B),(Ｔ),カードを１枚捨てる：他の各プレイヤーは２点のライフを失う。あなたはこれにより失われたライフに等しい点数のライフを得る。</t>
  </si>
  <si>
    <t>(B),(Ｔ),カード１枚を捨てる：各プレイヤーはそれぞれ２点のライフを失う。</t>
  </si>
  <si>
    <t>フィナックスの信奉者が戦場に出たとき、プレイヤー１人を対象とする。そのプレイヤーは自分の手札から、あなたの黒への信心に等しい枚数のカードを公開する。あなたはそのうちの１枚を選ぶ。そのプレイヤーはそのカードを捨てる。（あなたの黒への信心は、あなたがコントロールするパーマネントのマナ・コストに含まれる(B)の数に等しい。）</t>
  </si>
  <si>
    <t>(B),《影生まれの使徒/Shadowborn Apostle》という名前のクリーチャーを６体生け贄に捧げる：あなたのライブラリーからデーモン(Demon)・クリーチャー・カードを１枚探し、それを戦場に出す。その後あなたのライブラリーを切り直す。</t>
  </si>
  <si>
    <t>(３)(B),(Ｔ)：対戦相手１人を対象とする。そのプレイヤーは２点のライフを失い、その後、自分の手札からカードを１枚無作為に選んで公開する。</t>
  </si>
  <si>
    <t>(４)(B)(B),(Ｔ),テヴェシュ・ザットの信奉者を生け贄に捧げる：クリーチャー１体を対象とする。それはターン終了時まで-6/-6の修整を受ける。</t>
  </si>
  <si>
    <t>(B)：呪われた浪人はターン終了時まで+1/+1の修整を受ける。</t>
  </si>
  <si>
    <t>マルドゥの影槍が攻撃するたび、各対戦相手はそれぞれ１点のライフを失う。</t>
  </si>
  <si>
    <t>接死</t>
  </si>
  <si>
    <t>変異 ― あなたの手札にある黒のカードを１枚公開する。（あなたはこのカードを、(３)で2/2クリーチャーとして裏向きに唱えてもよい。これの変異コストで、これをいつでも表向きにしてもよい。）</t>
  </si>
  <si>
    <t>無情な切り裂き魔が表向きになったとき、プレイヤー１人を対象とする。そのプレイヤーは２点のライフを失う。</t>
  </si>
  <si>
    <t>苛まれし英雄はタップ状態で戦場に出る。</t>
  </si>
  <si>
    <t>英雄的 ― あなたが苛まれし英雄を対象とする呪文を１つ唱えるたび、各対戦相手はそれぞれ１点のライフを失う。あなたはこれにより失われたライフに等しい点数のライフを得る。</t>
  </si>
  <si>
    <t>あなたがカードを１枚サイクリングするか捨てるたび、あなたは(１)を支払ってもよい。そうしたなら、クリーチャー１体を対象とし、それの上に-1/-1カウンターを１個置く。</t>
  </si>
  <si>
    <t>あなたのアップキープの開始時に、ホムンクルスを１つ生け贄に捧げる。</t>
  </si>
  <si>
    <t>指名手配の獄道者が死亡したとき、対戦相手１人を対象とする。そのプレイヤーは「(Ｔ),このアーティファクトを生け贄に捧げる：あなたのマナ・プールに好きな色１色のマナ１点を加える。」を持つ無色の宝物(Treasure)アーティファクト・トークンを２つ生成する。</t>
  </si>
  <si>
    <t>(１),クリーチャーを１体生け贄に捧げる：あなたは、その生け贄に捧げたクリーチャーのタフネスに等しい点数のライフを得る。</t>
  </si>
  <si>
    <t>ズーラポートの殺し屋かあなたがコントロールする他のクリーチャーが１体死亡するたび、各対戦相手はそれぞれ１点のライフを失い、あなたは１点のライフを得る。</t>
  </si>
  <si>
    <t>探求者の従者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</si>
  <si>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プロテクション（白）（このクリーチャーは白のものに対して、ブロックされず、対象にならず、ダメージを与えられず、エンチャントされない。）</t>
  </si>
  <si>
    <t>エンブロールの暴れ者はタップ状態で戦場に出る。</t>
  </si>
  <si>
    <t>あなたがアーティファクトをコントロールしているかぎり、エンブロールの暴れ者は威迫を持つ。</t>
  </si>
  <si>
    <t>帆凧の掠め盗りが戦場に出たとき、対戦相手１人を対象とする。そのプレイヤーは自分の手札を公開する。あなたはその中からクリーチャーでも土地でもないカード１枚を選ぶ。帆凧の掠め盗りが戦場を離れるまで、そのカードを追放する。</t>
  </si>
  <si>
    <t>ゴルガリの凶漢が死亡したとき、あなたの墓地にあるクリーチャー・カード１枚を対象とし、それをあなたのライブラリーの一番上に置く。</t>
  </si>
  <si>
    <t>発掘４（あなたがカードを引く場合、代わりにあなたはあなたのライブラリーのカードを上からちょうど４枚、あなたの墓地に置いてもよい。そうした場合、あなたの墓地にあるこのカードをあなたの手札に戻す。そうしなかった場合、カードを１枚引く。）</t>
  </si>
  <si>
    <t>プロテクション（緑）</t>
  </si>
  <si>
    <t>各終了ステップの開始時に、このターン砂丘乗りの無法者が対戦相手にダメージを与えていた場合、その上に+1/+1カウンターを１個置く。</t>
  </si>
  <si>
    <t>解鎖（あなたはこのクリーチャーを、+1/+1カウンターが１個置かれた状態で戦場に出してもよい。これの上に+1/+1カウンターが置かれているかぎり、これではブロックできない。）</t>
  </si>
  <si>
    <t>あなたがアーティファクト呪文を１つ唱えるたび、クリーチャー１体を対象とする。あなたは「それはターン終了時まで+2/+0の修整を受けるとともに接死を得る」ことを選んでもよい。</t>
  </si>
  <si>
    <t>血顎の憤怒鬼が攻撃するたび、ターン終了時まで、あなたがコントロールする各戦士(Warrior)クリーチャーは威迫を得る。（それらは２体以上のクリーチャーによってしかブロックされない。）</t>
  </si>
  <si>
    <t>プロテクション（白）</t>
  </si>
  <si>
    <t>(Ｔ),ライフを３点支払う：コイン投げをする。あなたがコイン投げに勝った場合、あなたは６点のライフを得る。</t>
  </si>
  <si>
    <t>港の無法者は、あなたが島(Island)をコントロールしているかぎり+1/+1の修整を受ける。</t>
  </si>
  <si>
    <t>(１),クリーチャーを１体生け贄に捧げる：プレイヤー１人を対象とする。そのプレイヤーは自分のライブラリーの一番上から、土地カードが公開されるまでカードを公開し続ける。その後、それらのカードを自分の墓地に置く。</t>
  </si>
  <si>
    <t>呪禁（このクリーチャーは、対戦相手がコントロールする呪文や能力の対象にならない。）</t>
  </si>
  <si>
    <t>苦痛の公使がクリーチャーを１体濫用したとき、ターン終了時まで、あなたの対戦相手がコントロールするクリーチャーは-1/-1の修整を受ける。</t>
  </si>
  <si>
    <t>陰鬱 ― 覚醒舞いが戦場に出たとき、このターン、クリーチャーが死亡していた場合、黒の2/2のゾンビ(Zombie)・クリーチャー・トークンを１体生成する。</t>
  </si>
  <si>
    <t>このクリーチャーが悪魔憑きの魔女に変身したとき、クリーチャー１体を対象とする。あなたはそれを破壊してもよい。</t>
  </si>
  <si>
    <t>英雄的 ― あなたがアショクの心酔者を対象とする呪文を１つ唱えるたび、各対戦相手はそれぞれカードを１枚捨てる。</t>
  </si>
  <si>
    <t>禍鞭の懲罰者が戦場に出たとき、クリーチャー１体を対象とする。あなたはそれの上に-1/-1カウンターを１個置いてもよい。</t>
  </si>
  <si>
    <t>大物狙いが戦場に出たとき、パワーが４以上のクリーチャー１体を対象とし、それを破壊する。それは再生できない。</t>
  </si>
  <si>
    <t>連合の先駆けが戦場に出たとき、あなたは「あなたのライブラリーから海賊(Pirate)カード１枚を探し、それを公開し、その後あなたのライブラリーを切り直し、その一番上にそのカードを置く。」を選んでもよい。</t>
  </si>
  <si>
    <t>他の海賊が１体あなたのコントロール下で戦場に出るたび、各対戦相手はそれぞれ１点のライフを失う。</t>
  </si>
  <si>
    <t xml:space="preserve">あなたがスピリット(Spirit)か秘儀(Arcane)呪文を唱えるたび、あなたは雇いの力男の上に気(ki)カウンターを１個置いてもよい。 </t>
  </si>
  <si>
    <t>終了ステップの開始時に、雇いの力男の上に気カウンターが２個以上置かれている場合、あなたはそれを反転してもよい。</t>
  </si>
  <si>
    <t>傷をつけるもの、切紗深から気(ki)カウンターを１個取り除く：クリーチャー１体を対象とする。ターン終了時まで、それは畏怖を得る。（それは黒でもアーティファクトでもないクリーチャーによってはブロックされない。）</t>
  </si>
  <si>
    <t>他の人間(Human)クリーチャーが死亡するたび、村の食人者の上に+1/+1カウンターを１個置く。</t>
  </si>
  <si>
    <t>歯牙収集家が戦場に出たとき、対戦相手がコントロールするクリーチャー１体を対象とする。ターン終了時まで、それは-1/-1の修整を受ける。</t>
  </si>
  <si>
    <t>昂揚 ― 各対戦相手のアップキープの開始時に、あなたの墓地にあるカードにカード・タイプが合計４種類以上含まれる場合、そのプレイヤーがコントロールするクリーチャー１体を対象とする。ターン終了時まで、それは-1/-1の修整を受ける。</t>
  </si>
  <si>
    <t>煙馬の乗り手が攻撃するたび、攻撃している他の各クリーチャーは、ターン終了時まで畏怖を得る。（それは黒でもアーティファクトでもないクリーチャーによってはブロックされない。）</t>
  </si>
  <si>
    <t>あなたがエンチャント呪文を１つ唱えるたび、クリーチャー１体を対象とする。あなたは「それはターン終了時まで-2/-2の修整を受ける」ことを選んでもよい。</t>
  </si>
  <si>
    <t>アーティファクトが１つあなたのコントロール下で戦場に出るたび、あなたはあなたの墓地から楕円競走の無謀者を自分の手札に戻してもよい。</t>
  </si>
  <si>
    <t>ネクラタルが戦場に出たとき、アーティファクトでも黒でもないクリーチャー１体を対象とし、それを破壊する。それは再生できない。</t>
  </si>
  <si>
    <t>あなたがコントロールしている他のクリーチャーが１体死亡するたび、「(Ｔ),このアーティファクトを生け贄に捧げる：あなたのマナ・プールに好きな色１色のマナ１点を加える。」を持つ無色の宝物(Treasure)アーティファクト・トークンを１つ生成する。</t>
  </si>
  <si>
    <t>あなたの対戦相手が呪われた魔女を対象とする呪文を唱えるためのコストは(１)少なくなる。</t>
  </si>
  <si>
    <t>呪われた魔女が死亡したとき、対戦相手１人を対象とする。これを変身させた状態であなたのコントロール下でそのプレイヤーにつけられた状態で戦場に戻す。</t>
  </si>
  <si>
    <t>エンチャント（プレイヤー）</t>
  </si>
  <si>
    <t>あなたがエンチャントされているプレイヤーを対象とする呪文を唱えるためのコストは(１)少なくなる。</t>
  </si>
  <si>
    <t>エンチャントされているプレイヤーのアップキープの開始時に、そのプレイヤーは１点のライフを失い、あなたは１点のライフを得る。</t>
  </si>
  <si>
    <t>ベラドンナの暗殺者が戦場に出たとき、クリーチャー１体を対象とする。あなたはあなたの手札の黒のカードをＸ枚公開してもよい。そうしたなら、ターン終了時までそれは-X/-Xの修整を受ける。</t>
  </si>
  <si>
    <t>あなたがコントロールするトークンでないアーティファクトが１つ戦場から墓地に置かれるたび、無色の1/1の霊気装置(Servo)アーティファクト・クリーチャー・トークンを１体生成する。</t>
  </si>
  <si>
    <t>苦心の魔女が死亡したとき、プレイヤー１人を対象とする。あなたはあなたのライブラリーから呪い(Curse)カードを１枚探してもよい。そうしたなら、それをそのプレイヤーにつけられた状態で戦場に出し、その後、あなたのライブラリーを切り直す。</t>
  </si>
  <si>
    <t>執念深い群衆が戦場に出たとき、クリーチャーを１体生け贄に捧げる。</t>
  </si>
  <si>
    <t>執念深い群衆は苗木(Saproling)によってはブロックされない。</t>
  </si>
  <si>
    <t>(U),(Ｔ)：青の0/1のホムンクルス(Homunculus)・アーティファクト・クリーチャー・トークンを１体生成する。</t>
  </si>
  <si>
    <t>(１)(U):このターン、港の無法者はブロックされない。</t>
  </si>
  <si>
    <t>疾駆(１)(B)（あなたはこの呪文を、これの疾駆コストで唱えてもよい。そうしたなら、これは速攻を得るとともに、次の終了ステップの開始時にこれを戦場からオーナーの手札に戻す。）</t>
  </si>
  <si>
    <t>(２)(B),(Ｔ),青のクリーチャー１体と黒のクリーチャー１体と赤のクリーチャー１体を生け贄に捧げる：あなたのライブラリーから《束縛の皇子/Prince of Thralls》という名前のカードを１枚探し、それを戦場に出す。その後、あなたのライブラリーを切り直す。</t>
  </si>
  <si>
    <t>(１)(B),(Ｔ),他のクリーチャー１体を生け贄に捧げる：あなたのライブラリーの一番上のカードを予示する。（それを裏向きの状態で2/2クリーチャーとして戦場に出す。それがクリーチャー・カードであるなら、そのマナ・コストでいつでも表向きにしてよい。）</t>
  </si>
  <si>
    <t>(B)(B)</t>
  </si>
  <si>
    <t>(１)(B)：あなたがコントロールするクリーチャー１体を対象とする。ターン終了時まで、それは接死を得る。（これが何らかのダメージをクリーチャーに与えたら、それだけで破壊する。）</t>
  </si>
  <si>
    <t>(３)(B),(Ｔ),人間(Human)を１体生け贄に捧げる：クリーチャー１体を対象とし、それを破壊する。</t>
  </si>
  <si>
    <t>モーギスの匪賊が戦場に出たとき、クリーチャーを最大Ｘ体まで対象とする。それらはターン終了時まで威嚇と速攻を得る。Ｘはあなたの黒への信心に等しい。（威嚇を持つクリーチャーはアーティファクト・クリーチャーかそれと共通の色を持つクリーチャー以外にはブロックされない。あなたの黒への信心は、あなたがコントロールするパーマネントのマナ・コストに含まれる(B)の数に等しい。）</t>
  </si>
  <si>
    <t>(４)(B)：クリーチャー１体を対象とする。ターン終了時まで、それは-1/-1の修整を受ける。</t>
  </si>
  <si>
    <t>(３)(B)：ターン終了時まで、ザスリッドの隠し刃は呪禁を失い、先制攻撃と接死を得る。（これは先制攻撃をもたないクリーチャーよりも先に戦闘ダメージを与える。これが何らかのダメージをクリーチャーに与えたら、それだけで破壊する。）</t>
  </si>
  <si>
    <t>昂揚 ― (２)(B)：親切な余所者を変身させる。この能力は、あなたの墓地にあるカードにカード・タイプが合計４種類以上含まれるときにのみ起動できる。</t>
  </si>
  <si>
    <t>(B),禍鞭の懲罰者を生け贄に捧げる：-1/-1カウンターが置かれているクリーチャー１体を対象とし、それを破壊する。</t>
  </si>
  <si>
    <t>(B)(B)：薄暮の騎士をブロックしているクリーチャー１体を対象とし、それを破壊する。</t>
  </si>
  <si>
    <t>マッドネス(B)（あなたがこのカードを捨てるなら、これを追放領域に捨てる。あなたがそうしたとき、マッドネス・コストでこれを唱えるか、これをあなたの墓地に置く。）</t>
  </si>
  <si>
    <t>(B),５点のライフを支払う：沼居ののけ者を再生する。</t>
  </si>
  <si>
    <t>(２)(B),クリーチャーを１体生け贄に捧げる：対戦相手１人を対象とする。そのプレイヤーは自分の手札を公開する。あなたはその中からカードを１枚選ぶ。そのプレイヤーはそのカードを捨てる。この能力は、あなたがソーサリーを唱えられるときにのみ起動できる。</t>
  </si>
  <si>
    <t>マッドネス(１)(B)（あなたがこのカードを捨てるなら、これを追放領域に捨てる。あなたがそうしたとき、マッドネス・コストでこれを唱えるか、これをあなたの墓地に置く。）</t>
  </si>
  <si>
    <t>(４)(B)(B)</t>
  </si>
  <si>
    <t>(R),(Ｔ)：クリーチャー１体を対象とする。このターン、それではブロックできない。</t>
  </si>
  <si>
    <t>(W)(U)(B)(R)(G)：クリーチャー１体を対象とする。肉組みはターン終了時まで+2/+2の修整を受けるとともに畏怖を得る。そのクリーチャーはターン終了時まで-2/-2の修整を受ける。この能力は、あなたのターンの間にのみ起動できる。（畏怖を持つクリーチャーは、黒でもアーティファクトでもないクリーチャーによってはブロックされない。）</t>
  </si>
  <si>
    <t>血に染まりし勇者ではブロックできない。</t>
  </si>
  <si>
    <t>凶兆艦隊の毒殺者が戦場に出たとき、あなたがコントロールしていて攻撃している海賊(Pirate)１体を対象とする。ターン終了時まで、それは+1/+1の修整を受けるとともに接死を得る。</t>
  </si>
  <si>
    <t>深海艦隊の船長が攻撃するたび、あなたがトークンでない他の海賊(Pirate)をコントロールしている場合、あなたは(２)を支払ってもよい。そうしたなら、威迫を持つ黒の2/2の海賊クリーチャー・トークンを１体生成する。</t>
  </si>
  <si>
    <t>シルムガルの暗殺者よりパワーが大きいクリーチャーでは、これをブロックできない。</t>
  </si>
  <si>
    <t>シルムガルの暗殺者が表向きになったとき、対戦相手がコントロールするパワーが３以下のクリーチャー１体を対象とし、それを破壊する。</t>
  </si>
  <si>
    <t>あなたのアップキープの開始時に、あなたのライブラリーの一番上のカードを１枚公開し、そのカードをあなたの手札に加える。あなたは、その点数で見たマナ・コストに等しい点数のライフを失う。</t>
  </si>
  <si>
    <t>陰鬱 ― (Ｔ),あなたがコントロールするアンタップ状態のクリーチャーを２体タップする：飛行を持つ黒の5/5のデーモン(Demon)・クリーチャー・トークンを１体生成する。この能力は、このターン、クリーチャーが死亡していた場合にのみ起動できる。</t>
  </si>
  <si>
    <t>光袖会の収集者が戦場に出るか攻撃するたび、あなたは(Ｅ)（エネルギー・カウンター１個）を得る。</t>
  </si>
  <si>
    <t>あなたのアップキープの開始時に、あなたは(Ｅ)(Ｅ)を支払ってもよい。そうしたなら、あなたはカードを１枚引き、あなたは１点のライフを失う。</t>
  </si>
  <si>
    <t>神啓 ― 苦痛の予見者がアンタップ状態になるたび、あなたのライブラリーの一番上のカードを公開し、そのカードをあなたの手札に加える。あなたはそのカードの点数で見たマナ・コストに等しい点数のライフを失う。</t>
  </si>
  <si>
    <t>対戦相手１人がコントロールするクリーチャーが死亡するたび、あなたはあなたの墓地にあるインスタント・カード１枚を対象とし、それを唱えてもよい。このターン、そのカードが墓地に置かれる場合、代わりにそれを追放する。</t>
  </si>
  <si>
    <t>英雄的 ― あなたが運命の工作員を対象とする呪文を１つ唱えるたび、各対戦相手はそれぞれクリーチャーを１体生け贄に捧げる。</t>
  </si>
  <si>
    <t>ザスリッドの屍術師かあなたがコントロールする他の人間(Human)クリーチャーが１体死亡するたび、黒の2/2のゾンビ(Zombie)・クリーチャー・トークンを１体タップ状態で生成する。</t>
  </si>
  <si>
    <t>あなたがコントロールする他のトークンでないクリーチャーが１体死亡するたび、カードを１枚引く。</t>
  </si>
  <si>
    <t>あなたのアップキープの開始時に、各プレイヤーはカードを１枚捨てる。</t>
  </si>
  <si>
    <t>墓刃の匪賊がプレイヤー１人に戦闘ダメージを与えるたび、そのプレイヤーはあなたの墓地にあるクリーチャー・カードの枚数に等しい点数のライフを失う。</t>
  </si>
  <si>
    <t>アーティファクトが１つ戦場からいずれかの墓地に置かれるたび、あなたはモリオックの装具工の上に+1/+1カウンターを１個置いてもよい。</t>
  </si>
  <si>
    <t>ガルザの暗殺者を生け贄に捧げる：黒でないクリーチャー１体を対象とし、それを破壊する。</t>
  </si>
  <si>
    <t>復活 ― あなたのライフの端数を切り上げた半分を支払う。（他のクリーチャーが戦場からあなたの墓地に置かれたとき、あなたはあなたのライフの端数を切り上げた半分を支払ってもよい。そうした場合、あなたの墓地にあるこのカードをあなたの手札に戻す。そうでない場合、このカードを追放する。）</t>
  </si>
  <si>
    <t>(Ｔ)：タップ状態のクリーチャー１体を対象とし、それを破壊する。</t>
  </si>
  <si>
    <t>夢盗人がプレイヤー１人に戦闘ダメージを与えるたび、そのプレイヤーはその点数に等しい枚数のカードを捨てる。</t>
  </si>
  <si>
    <t>現し世の裏切り者、禍我はその上に+1/+1カウンターがX個置かれた状態で戦場に出る。</t>
  </si>
  <si>
    <t>現し世の裏切り者、禍我が戦場に出たとき、プレイヤー１人を対象とする。そのプレイヤーは、この上の+1/+1カウンターの数に等しい点数のライフを失う。</t>
  </si>
  <si>
    <t>(１),カード１枚を捨てる：墳墓荒らし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</si>
  <si>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マルドゥの急襲指揮者が攻撃するたび、黒の2/1の戦士(Warrior)クリーチャー・トークンを１体生成する。</t>
  </si>
  <si>
    <t>(Ｔ)：対戦相手１人の墓地にあるクリーチャー・カード１枚を対象とする。それの点数で見たマナ・コストがあなたがコントロールする同盟者(Ally)の数以下であるならば、それをあなたのコントロール下で戦場に出す。</t>
  </si>
  <si>
    <t>バーラ・ゲドの盗賊か他の同盟者(Ally)があなたのコントロール下で戦場に出るたび、プレイヤー１人を対象とする。そのプレイヤーは自分の手札から、あなたがコントロールする同盟者の数に等しい枚数のカードを公開する。あなたはその中から１枚を選ぶ。そのプレイヤーはそのカードを捨てる。</t>
  </si>
  <si>
    <t>(２),(Ｔ)：あなたのライブラリーから《ただれたイモリ/Festering Newt》という名前か《泡立つ大釜/Bubbling Cauldron》という名前のカードを１枚探し、それをタップ状態で戦場に出し、その後あなたのライブラリーを切り直す。</t>
  </si>
  <si>
    <t>各プレイヤーのアップキープの開始時に、そのプレイヤーが選んだ自分がコントロールするアーティファクトでないクリーチャー１体を対象とし、それを破壊する。それは再生できない。</t>
  </si>
  <si>
    <t>ボーラスの信奉者が戦場に出たとき、他のクリーチャーを１体生け贄に捧げる。あなたはＸ点のライフを得て、カードをＸ枚引く。Ｘはそのクリーチャーのパワーである。</t>
  </si>
  <si>
    <t>神啓 ― 黄金の呪いのマカール王がアンタップ状態になるたび、クリーチャー１体を対象とする。あなたはそれを追放してもよい。そうしたなら、「金/Gold」という名前の無色のアーティファクト・トークンを１つ生成する。それは「このアーティファクトを生け贄に捧げる：あなたのマナ・プールに好きな色１色のマナ１点を加える。」を持つ。</t>
  </si>
  <si>
    <t>血の儀式の司祭が戦場に出たとき、飛行を持つ黒の5/5のデーモン(Demon)・クリーチャー・トークンを１体生成する。</t>
  </si>
  <si>
    <t>あなたのアップキープの開始時に、あなたは２点のライフを失う。</t>
  </si>
  <si>
    <t>あなたがクリーチャー呪文を唱えるたび、黒の1/1のスラル(Thrull)・クリーチャー・トークンをＸ体生成する。Ｘはその呪文の点数で見たマナ・コストである。</t>
  </si>
  <si>
    <t>あなたが７体以上のスラルをコントロールしているとき、練達の育種師、エンドレク・サールを生け贄に捧げる。</t>
  </si>
  <si>
    <t>探査（この呪文を唱える段階であなたがあなたの墓地から追放した各カードは、(１)を支払う。）</t>
  </si>
  <si>
    <t>(Ｔ),鏡の大魔術師を生け贄に捧げる：対戦相手１人を対象とする。あなたのライフの総量と、そのプレイヤーのライフの総量を交換する。この能力は、あなたのアップキープの間にのみ起動できる。</t>
  </si>
  <si>
    <t>製造３（このクリーチャーが戦場に出たとき、これの上に+1/+1カウンターを３個置くか、無色の1/1の霊気装置(Servo)アーティファクト・クリーチャー・トークンを３体生成する。）</t>
  </si>
  <si>
    <t>あなたがコントロールするアーティファクトが１つ戦場から墓地に置かれるたび、対戦相手１人を対象とする。そのプレイヤーはマリオネットの達人のパワーに等しい点数のライフを失う。</t>
  </si>
  <si>
    <t>強襲 ― (１)(B)：あなたの墓地にある血に染まりし勇者を戦場に戻す。この能力は、このターンにあなたがクリーチャーで攻撃していた場合にのみ起動できる。</t>
  </si>
  <si>
    <t>(１)(B),(Ｔ)：対戦相手１人の墓地からカード２枚を対象とし、それらを追放する。巧射艦隊の追跡者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</si>
  <si>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(B),(Ｔ),１点のライフを支払う：残酷なサディストの上に+1/+1カウンターを１個置く。</t>
  </si>
  <si>
    <t>(２)(B),(Ｔ),残酷なサディストの上から+1/+1カウンターをＸ個取り除く：クリーチャー１体を対象とする。残酷なサディストはそれにＸ点のダメージを与える。</t>
  </si>
  <si>
    <t>(２)(B)(B),(Ｔ)：クリーチャー１体を対象とする。そのクリーチャーは自身に、そのパワーに等しい点数のダメージを与える。</t>
  </si>
  <si>
    <t>大変異(２)(B)（あなたはこのカードを、(３)で2/2クリーチャーとして裏向きに唱えてもよい。これの大変異コストで、これをいつでも表向きにしてもよい。そうしたなら、これの上に+1/+1カウンターを１個置く。）</t>
  </si>
  <si>
    <t>変異(B)（あなたはこのカードを、(３)で2/2クリーチャーとして裏向きに唱えてもよい。これの変異コストで、これをいつでも表向きにしてもよい。）</t>
  </si>
  <si>
    <t>(B)(B)(B)</t>
  </si>
  <si>
    <t>永遠(４)(B)(B)（(４)(B)(B),あなたの墓地からこのカードを追放する：マナ・コストと永遠を持たない黒の4/4のゾンビ(Zombie)・人間(Human)・ウィザード(Wizard)であることを除き、これのコピーであるトークンを１体生成する。永遠はソーサリーとしてのみ行う。）</t>
  </si>
  <si>
    <t>(B),(Ｔ),宿命のネクロマンサーを生け贄に捧げる：あなたの墓地にあるクリーチャー・カード１枚を対象とし、それを戦場に戻す。</t>
  </si>
  <si>
    <t>(Ｘ)(B)(B)(B)</t>
  </si>
  <si>
    <t>疾駆(３)(B)（あなたはこの呪文を、これの疾駆コストで唱えてもよい。そうしたなら、これは速攻を得るとともに、次の終了ステップの開始時にこれを戦場からオーナーの手札に戻す。）</t>
  </si>
  <si>
    <t>(３)(B)(B)</t>
  </si>
  <si>
    <t>(２),(Ｔ)：あなたがコントロールする沼(Swamp)１つにつき、あなたのマナ・プールに(B)を加える。</t>
  </si>
  <si>
    <t>(５)(B)</t>
  </si>
  <si>
    <t>(５)(B)(B)</t>
  </si>
  <si>
    <t>対戦相手１人がコントロールするクリーチャーが死亡するたび、あなたは(１)(B)を支払ってもよい。そうした場合、そのカードをあなたのコントロール下で戦場に戻す。それがクリーチャーである場合、それはその他のクリーチャー・タイプに加えてゾンビ(Zombie)である。</t>
  </si>
  <si>
    <t>(１)(B)：ゾンビ１つを対象とし、それを再生する。</t>
  </si>
  <si>
    <t>(２)(G/U)(G/U)：あなたのライブラリーの一番上から２枚のカードをあなたの墓地に置く。その後、対戦相手１人が選んだあなたの墓地にある土地でないカード１枚を、あなたの手札に戻す。</t>
  </si>
  <si>
    <t>あなたがコントロールする他のトークンでないクリーチャーが１体死亡するたび、異端の癒し手、リリアナを追放し、その後、これを変身させた状態でオーナーのコントロール下で戦場に戻す。そうしたなら、黒の2/2のゾンビ(Zombie)・クリーチャー・トークンを１体生成する。</t>
  </si>
  <si>
    <t>[+2]：各プレイヤーはそれぞれカードを１枚捨てる。</t>
  </si>
  <si>
    <t>[-X]：あなたの墓地にある点数で見たマナ・コストがＸの伝説でないクリーチャー・カード１枚を対象とし、それを戦場に戻す。</t>
  </si>
  <si>
    <t>[-8]：あなたは「クリーチャーが１体死亡するたび、次の終了ステップの開始時に、それをあなたのコントロール下で戦場に戻す。」を持つ紋章を得る。</t>
  </si>
  <si>
    <t>累加アップキープ(１)</t>
    <phoneticPr fontId="1"/>
  </si>
  <si>
    <t>授与(２)(W)</t>
    <phoneticPr fontId="1"/>
  </si>
  <si>
    <t>Ｌｖアップ(２)</t>
    <phoneticPr fontId="1"/>
  </si>
  <si>
    <t>スレイベンの検査官が戦場に出たとき、調査を行う。</t>
    <phoneticPr fontId="1"/>
  </si>
  <si>
    <t>(B)：ターン終了時まで、マルドゥの悪刃は接死を得る。</t>
    <phoneticPr fontId="1"/>
  </si>
  <si>
    <t>武士道１</t>
    <phoneticPr fontId="1"/>
  </si>
  <si>
    <t>警戒</t>
    <phoneticPr fontId="1"/>
  </si>
  <si>
    <t>Ｌｖアップ(４)</t>
    <phoneticPr fontId="1"/>
  </si>
  <si>
    <t>側面攻撃</t>
    <phoneticPr fontId="1"/>
  </si>
  <si>
    <t>賛美</t>
    <phoneticPr fontId="1"/>
  </si>
  <si>
    <t>果敢</t>
  </si>
  <si>
    <t>果敢</t>
    <phoneticPr fontId="1"/>
  </si>
  <si>
    <t>オケチラの報復者が攻撃するに際し、あなたはこれを督励してもよい。そうしたとき、このターン、これに与えられる戦闘ダメージをすべて軽減する。</t>
    <phoneticPr fontId="1"/>
  </si>
  <si>
    <t>先制攻撃</t>
    <phoneticPr fontId="1"/>
  </si>
  <si>
    <t>強請</t>
    <phoneticPr fontId="1"/>
  </si>
  <si>
    <t>シャドー</t>
    <phoneticPr fontId="1"/>
  </si>
  <si>
    <t>アゾリウスの拘引者が戦場に出たとき、対戦相手１人がコントロールするクリーチャー１体を対象とし、それを留置する。</t>
    <phoneticPr fontId="1"/>
  </si>
  <si>
    <t>沼渡り</t>
    <phoneticPr fontId="1"/>
  </si>
  <si>
    <t>レト一門の槍の達人が攻撃するに際し、あなたはこれを督励してもよい。そうしたとき、ターン終了時まで、これは+1/+0の修整を受けるとともに先制攻撃を得る。</t>
    <phoneticPr fontId="1"/>
  </si>
  <si>
    <t>高名１</t>
    <phoneticPr fontId="1"/>
  </si>
  <si>
    <t>砂造形の魔道士が戦場に出たとき、鼓舞１を行う。</t>
    <phoneticPr fontId="1"/>
  </si>
  <si>
    <t>瞬速</t>
    <phoneticPr fontId="1"/>
  </si>
  <si>
    <t>防衛</t>
    <phoneticPr fontId="1"/>
  </si>
  <si>
    <t>長久(１)(W)</t>
    <phoneticPr fontId="1"/>
  </si>
  <si>
    <t>コーリスの子を生け贄に捧げる：あなたは、このターンにあなたが失ったライフに等しい点数のライフを得る。</t>
    <phoneticPr fontId="1"/>
  </si>
  <si>
    <t>突風歩きが攻撃するに際し、あなたはこれを督励してもよい。そうしたとき、ターン終了時まで、これは+1/+1の修整を受けるとともに飛行を得る。</t>
    <phoneticPr fontId="1"/>
  </si>
  <si>
    <t>不朽(３)(W)</t>
    <phoneticPr fontId="1"/>
  </si>
  <si>
    <t>(U)：目明き階級の魔術師はターン終了時まで被覆を得る。</t>
    <phoneticPr fontId="1"/>
  </si>
  <si>
    <t>波及４</t>
    <phoneticPr fontId="1"/>
  </si>
  <si>
    <t>不朽(４)(W)</t>
    <phoneticPr fontId="1"/>
  </si>
  <si>
    <t>永遠(４)(W)(W)</t>
    <phoneticPr fontId="1"/>
  </si>
  <si>
    <t>飛行、側面攻撃</t>
    <phoneticPr fontId="1"/>
  </si>
  <si>
    <t>待機３ ― (W)</t>
    <phoneticPr fontId="1"/>
  </si>
  <si>
    <t>製造１</t>
    <phoneticPr fontId="1"/>
  </si>
  <si>
    <t>絆魂</t>
    <phoneticPr fontId="1"/>
  </si>
  <si>
    <t>召集</t>
    <phoneticPr fontId="1"/>
  </si>
  <si>
    <t>日の出の追求者が戦場に出たとき、これは探検を行う。</t>
    <phoneticPr fontId="1"/>
  </si>
  <si>
    <t>(Ｔ)：クリーチャー１体を対象とする。ターン終了時まで、それは速攻を得る。</t>
  </si>
  <si>
    <t>(２),あなたの手札から赤のカードをＸ枚公開する,灰の殉教者を生け贄に捧げる：灰の殉教者は、飛行を持たない各クリーチャーにそれぞれＸ点のダメージを与える。</t>
  </si>
  <si>
    <t>英雄的 ― あなたがアクロスの十字軍を対象とする呪文を１つ唱えるたび、速攻を持つ赤の1/1の兵士(Soldier)クリーチャー・トークンを１体生成する。</t>
  </si>
  <si>
    <t>ソンバーワルドの自警団がクリーチャーにブロックされた状態になるたび、ソンバーワルドの自警団はそのクリーチャーに１点のダメージを与える。</t>
  </si>
  <si>
    <t>コラガンの嵐唱者が表向きになったとき、クリーチャー１体を対象とする。ターン終了時まで、それは速攻を得る。</t>
  </si>
  <si>
    <t>狂喜１（このターン、対戦相手１人にダメージが与えられている場合、このクリーチャーはその上に+1/+1カウンターが１個置かれた状態で戦場に出る。）</t>
  </si>
  <si>
    <t>谷を駆ける者は、可能なら各戦闘で攻撃する。</t>
  </si>
  <si>
    <t>火花魔道士の弟子が戦場に出たとき、クリーチャー１体かプレイヤー１人を対象とする。火花魔道士の弟子はそれに１点のダメージを与える。</t>
  </si>
  <si>
    <t>ケルドの匪賊が戦場に出るか戦場を離れるかしたとき、プレイヤー１人を対象とする。ケルドの匪賊はそのプレイヤーに１点のダメージを与える。</t>
  </si>
  <si>
    <t>内陸の災い魔は可能ならブロックされなければならない。</t>
  </si>
  <si>
    <t>アーティファクトが１つあなたのコントロール下で戦場に出るたび、無謀な炎織りは各対戦相手にそれぞれ１点のダメージを与える。</t>
  </si>
  <si>
    <t>戦に狂える浪人は、可能なら各戦闘で攻撃する。</t>
  </si>
  <si>
    <t>売剣の粗暴者が死亡したとき、それはあなたに２点のダメージを与える。</t>
  </si>
  <si>
    <t>あなたが他の同盟者(Ally)をコントロールしていないかぎり、命知らずの群勢は可能なら各戦闘で攻撃する。</t>
  </si>
  <si>
    <t>あなたがクリーチャーでない呪文を１つ唱えるたび、火付け射手は各対戦相手にそれぞれ１点のダメージを与える。</t>
  </si>
  <si>
    <t>国境地帯の匪賊が攻撃するたび、これはターン終了時まで+2/+0の修整を受ける。</t>
  </si>
  <si>
    <t>(Ｔ)：熱錬金術師は各対戦相手にそれぞれ１点のダメージを与える。</t>
  </si>
  <si>
    <t>あなたがインスタント呪文かソーサリー呪文を１つ唱えるたび、熱錬金術師をアンタップする。</t>
  </si>
  <si>
    <t>(Ｔ)：パワーが５以上のクリーチャー１体を対象とする。それはターン終了時まで速攻を得る。</t>
  </si>
  <si>
    <t>コラガンの野心家がクリーチャー１体にブロックされた状態になるたび、コラガンの野心家はそのクリーチャーに１点のダメージを与える。</t>
  </si>
  <si>
    <t>霊気追跡者が戦場に出たとき、あなたは(Ｅ)(Ｅ)（エネルギー・カウンター２個）を得る。</t>
  </si>
  <si>
    <t>霊気追跡者が攻撃するたび、あなたは(Ｅ)(Ｅ)を支払ってもよい。そうしたなら、無色の1/1の霊気装置(Servo)アーティファクト・クリーチャー・トークンを１体生成する。</t>
  </si>
  <si>
    <t>アクームの戦歌いか他の同盟者(Ally)が１体あなたのコントロール下で戦場に出るたび、あなたは「あなたがコントロールする同盟者クリーチャーはターン終了時まで+1/+0の修整を受ける」ことを選んでもよい。</t>
  </si>
  <si>
    <t>大隊 ― 爆弾部隊と少なくとも２体の他のクリーチャーが攻撃するたび、クリーチャー１体かプレイヤー１人を対象とする。爆弾部隊はそれに１点のダメージを与える。</t>
  </si>
  <si>
    <t>魔道士輪の暴漢は、可能なら各戦闘で攻撃する。</t>
  </si>
  <si>
    <t>飛行、速攻</t>
  </si>
  <si>
    <t>性急な太陽追いは、可能なら各戦闘で攻撃する。</t>
  </si>
  <si>
    <t>ティロナーリの騎士が攻撃するたび、あなたが恐竜(Dinosaur)をコントロールしている場合、ターン終了時まで、ティロナーリの騎士は+1/+1の修整を受ける。</t>
  </si>
  <si>
    <t>他のクリーチャーがあなたのコントロール下で戦場に出るたび、クルーインの打撃者はターン終了時まで+1/+0の修整を受けるとともにトランプルを得る。</t>
  </si>
  <si>
    <t>高地の狂戦士か他の同盟者(Ally)があなたのコントロール下で戦場に出るたび、あなたは「あなたがコントロールする同盟者クリーチャーは、ターン終了時まで先制攻撃を得る」ことを選んでもよい。</t>
  </si>
  <si>
    <t>ネフ一門の鉄球戦士が攻撃するに際し、あなたはこれを督励してもよい。そうしたとき、ターン終了時まで、これは+1/+2の修整を受ける。（督励されたクリーチャーは、あなたの次のアンタップ・ステップにアンタップしない。）</t>
  </si>
  <si>
    <t>ハンウィアーの槍兵が他のクリーチャーと組になっているかぎり、両方のクリーチャーは先制攻撃を持つ。</t>
  </si>
  <si>
    <t>ヴァルショクの心臓焚きが戦場に出たとき、クリーチャー１体を対象とする。それはターン終了時まで+2/+0の修整を受ける。</t>
  </si>
  <si>
    <t>盟友 ― (Ｔ),あなたがコントロールするアンタップ状態の同盟者(Ally)を１体タップする：カードを１枚捨てる。そうしたなら、カードを１枚引く。</t>
  </si>
  <si>
    <t>(Ｔ)：クリーチャー１体かプレイヤー１人を対象とする。放蕩紅蓮術士はそれに１点のダメージを与える。</t>
  </si>
  <si>
    <t>熱血漢の聖戦士が戦場に出たとき、クリーチャー１体を対象とする。このターン、それではブロックできない。</t>
  </si>
  <si>
    <t>尖塔横の潜入者がタップ状態になるたび、これは各対戦相手にそれぞれ１点のダメージを与える。</t>
  </si>
  <si>
    <t>威嚇（このクリーチャーはアーティファクト・クリーチャーかこれと共通の色を持つクリーチャー以外にはブロックされない。）</t>
  </si>
  <si>
    <t>アカデミーの略奪者がプレイヤー１人に戦闘ダメージを与えるたび、あなたはカードを１枚捨ててもよい。そうした場合、カードを１枚引く。</t>
  </si>
  <si>
    <t>(８)：クリーチャー１体かプレイヤー１人を対象とする。ヴァラクートの発動者はそれに３点のダメージを与える。</t>
  </si>
  <si>
    <t>強襲 ― このターンにあなたがクリーチャーで攻撃していたなら、意気がった海賊は+1/+1カウンターが１個置かれた状態で戦場に出る。</t>
  </si>
  <si>
    <t>(Ｔ)：クリーチャー１体かプレイヤー１人を対象とする。ヴィティアのとげ刺しはそれに１点のダメージを与える。</t>
  </si>
  <si>
    <t>暴動の首謀者が攻撃するたび、あなたがコントロールする人間(Human)クリーチャーはターン終了時まで+1/+0の修整を受ける。</t>
  </si>
  <si>
    <t>各戦闘で、最前線の反逆者は可能なら攻撃する。</t>
  </si>
  <si>
    <t>躁の蛮人が戦場に出たとき、アーティファクト１つを対象とし、それを破壊する。</t>
  </si>
  <si>
    <t>(Ｔ)：クリーチャー１体かプレイヤー１人を対象とする。ヴァルショクの魔術師はそれに１点のダメージを与える。</t>
  </si>
  <si>
    <t>鍛えられた狂戦士が攻撃するたび、このターンにあなたが次の呪文を唱えるためのコストは(１)少なくなる。</t>
  </si>
  <si>
    <t>(Ｔ),アーティファクト１つを生け贄に捧げる：エンブロールの歯車砕きは各対戦相手にそれぞれ２点のダメージを与える。</t>
  </si>
  <si>
    <t>ギラプールの歯車造りが戦場に出たとき、飛行を持つ無色の1/1の飛行機械(Thopter)アーティファクト・クリーチャー・トークンを１体生成する。（飛行を持つクリーチャーは、飛行や到達を持たないクリーチャーによってはブロックされない。）</t>
  </si>
  <si>
    <t>(２)：ターン終了時まで、炎の刃のアスカーリは無色になる。</t>
  </si>
  <si>
    <t>森渡り（このクリーチャーは、防御プレイヤーが森(Forest)をコントロールしているかぎりブロックされない。）</t>
  </si>
  <si>
    <t>突撃隊を生け贄に捧げる：クリーチャー１体かプレイヤー１人を対象とする。突撃隊はそれに２点のダメージを与える。</t>
  </si>
  <si>
    <t>気ままな芸術家が戦場に出たとき、あなたは(Ｅ)（エネルギー・カウンター１個）を得る。</t>
  </si>
  <si>
    <t>(Ｅ)を支払う：クリーチャー１体を対象とする。ターン終了時まで、それは速攻を得る。</t>
  </si>
  <si>
    <t>鉄面連合の海賊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</si>
  <si>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(Ｔ)：クリーチャー１体かプレイヤー１人を対象とする。霜投げはそれに１点のダメージを与える。</t>
  </si>
  <si>
    <t>このターン、霜投げにダメージを与えられたクリーチャー死亡する場合、代わりにそれを追放する。</t>
  </si>
  <si>
    <t>圧倒 ― 剣歯虎の先導隊が攻撃するたび、あなたがコントロールするクリーチャーのパワーの合計が８以上である場合、ターン終了時まで剣歯虎の先導隊は先制攻撃を得る。</t>
  </si>
  <si>
    <t>金属術 ― 刃族の狂戦士が戦場に出たとき、あなたがアーティファクトを３つ以上コントロールしている場合、刃族の狂戦士はターン終了時まで+3/+3の修整を受けるとともに速攻を得る。</t>
  </si>
  <si>
    <t>溶解区の門番が戦場に出たとき、あなたが門(Gate)を２つ以上コントロールしている場合、対戦相手１人がコントロールするクリーチャー１体を対象とし、ターン終了時までそれのコントロールを得る。そのクリーチャーをアンタップする。それはターン終了時まで速攻を得る。</t>
  </si>
  <si>
    <t>鉄面連合の掠め取りが戦場に出たとき、「(Ｔ),このアーティファクトを生け贄に捧げる：あなたのマナ・プールに好きな色１色のマナ１点を加える。」を持つ無色の宝物(Treasure)アーティファクト・トークンを１つ生成する。</t>
  </si>
  <si>
    <t>(Ｔ),カードを１枚捨てる：カードを１枚引く。</t>
  </si>
  <si>
    <t>速攻（このクリーチャーは、あなたのコントロール下になってすぐに攻撃したり(Ｔ)したりできる。）</t>
  </si>
  <si>
    <t>血の峠の狂戦士は、可能なら各戦闘で攻撃する。</t>
  </si>
  <si>
    <t>暴勇 ― あなたの手札にカードがないかぎり、ギャサンの略奪者は+2/+2の修整を受ける。</t>
  </si>
  <si>
    <t>変異 ― カードを１枚捨てる。（あなたはこのカードを、(３)で2/2クリーチャーとして裏向きに唱えてもよい。これの変異コストで、これをいつでも表向きにしてもよい。）</t>
  </si>
  <si>
    <t>強襲 ― 風雲艦隊の紅蓮術士が戦場に出たとき、このターンにあなたがクリーチャーで攻撃していた場合、クリーチャー１体かプレイヤー１人を対象とする。風雲艦隊の紅蓮術士はそれに２点のダメージを与える。</t>
  </si>
  <si>
    <t>C</t>
    <phoneticPr fontId="1"/>
  </si>
  <si>
    <t>UC</t>
    <phoneticPr fontId="1"/>
  </si>
  <si>
    <t>R</t>
    <phoneticPr fontId="1"/>
  </si>
  <si>
    <t>M</t>
    <phoneticPr fontId="1"/>
  </si>
  <si>
    <t>_5/2</t>
  </si>
  <si>
    <t>(３)(W),イロアスの神官を生け贄に捧げる：エンチャント１つを対象とし、それを破壊する。</t>
  </si>
  <si>
    <t>(２)(W)：ターン終了時まで、跳躍の達人は飛行を得る。</t>
  </si>
  <si>
    <t>(R)</t>
  </si>
  <si>
    <t>大変異(R)（あなたはこのカードを、(３)で2/2クリーチャーとして裏向きに唱えてもよい。これの大変異コストで、これをいつでも表向きにしてもよい。そうしたなら、これの上に+1/+1カウンターを１個置く。）</t>
  </si>
  <si>
    <t>(１)(R)</t>
  </si>
  <si>
    <t>(１)(R)：ターン終了時まで、深海艦隊の扇動者は+1/+0の修整を受ける。</t>
  </si>
  <si>
    <t>(２)(R)</t>
  </si>
  <si>
    <t>(１)(R)(R)</t>
  </si>
  <si>
    <t>蘇生(１)(R)（(１)(R)：このカードを戦場に戻す。そのクリーチャーは速攻を得る。次のターン終了ステップの開始時か、それが戦場を離れる場合に、それを追放する。蘇生はソーサリーとしてのみ行う。）</t>
  </si>
  <si>
    <t>(１)(R),(Ｔ),カードを１枚捨てる：クリーチャー１体を対象とする。それはターン終了時まで+1/-1の修整を受けるとともに速攻を得る。</t>
  </si>
  <si>
    <t>(３)(R)</t>
  </si>
  <si>
    <t>(２)(R)(R)</t>
  </si>
  <si>
    <t>(R)：砂岩の戦士はターン終了時まで+1/+0の修整を受ける。</t>
  </si>
  <si>
    <t>(４)(R)</t>
  </si>
  <si>
    <t>変異(３)(R)（あなたはこのカードを、(３)で2/2クリーチャーとして裏向きに唱えてもよい。これの変異コストで、これをいつでも表向きにしてもよい。）</t>
  </si>
  <si>
    <t>待機４ ― (R)（このカードをあなたの手札から唱えるのではなく、(R)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それは速攻を持つ。）</t>
  </si>
  <si>
    <t>(R),蛮族の裂け目切りを生け贄に捧げる：土地１つを対象とし、それを破壊する。</t>
  </si>
  <si>
    <t>(３)(R)(R)</t>
  </si>
  <si>
    <t>(５)(R)</t>
  </si>
  <si>
    <t>(W)(U)(B)(R)(G)：ターン終了時まで、竜魂の騎士はドラゴン(Dragon)になるとともに+5/+3の修整を受け飛行とトランプルを得る。</t>
  </si>
  <si>
    <t>あなたがアーティファクトをコントロールしているかぎり、発明者の見習いは+1/+1の修整を受ける。</t>
  </si>
  <si>
    <t>勇敢な海賊を唱えるための追加コストとして、あなたの手札から海賊(Pirate)カード１枚を公開するか(２)を支払う。</t>
  </si>
  <si>
    <t>(Ｔ)：対戦相手１人を対象とする。カードを２枚引く。そのプレイヤーは謙虚な離反者のコントロールを得る。この能力は、あなたのターンの間にのみ起動できる。</t>
  </si>
  <si>
    <t>あなたがアーティファクト呪文を唱えるたび、クリーチャー１体かプレイヤー１人を対象とする。あなたは(１)を支払ってもよい。そうした場合、燃えさし鍛冶はそれに１点のダメージを与える。</t>
  </si>
  <si>
    <t>大隊 ― 火拳の打撃者と少なくとも２体の他のクリーチャーが攻撃するたび、クリーチャー１体を対象とする。このターン、それではブロックできない。</t>
  </si>
  <si>
    <t>(Ｔ)：恐竜１体を対象とする。ターン終了時まで、それは速攻を得る。</t>
  </si>
  <si>
    <t>狂喜２（このターン、対戦相手１人にダメージが与えられている場合、このクリーチャーはその上に+1/+1カウンターが２個置かれた状態で戦場に出る。）</t>
  </si>
  <si>
    <t>ケッシグの鍛冶場主がクリーチャー１体をブロックするかクリーチャー１体にブロックされた状態になるたび、ケッシグの鍛冶場主はそのクリーチャーに１点のダメージを与える。</t>
  </si>
  <si>
    <t>炎心の人狼がクリーチャー１体をブロックするかクリーチャー１体にブロックされた状態になるたび、炎心の人狼はそのクリーチャーに２点のダメージを与える。</t>
  </si>
  <si>
    <t>対戦相手がコントロールするクリーチャーが１体死亡するたび、アルタクの求血者はターン終了時まで+2/+0の修整を受けるとともに先制攻撃と速攻を得る。（これは先制攻撃をもたないクリーチャーよりも先に戦闘ダメージを与え、あなたのコントロール下になってすぐに攻撃したり(Ｔ)したりできる。）</t>
  </si>
  <si>
    <t>強襲 ― このターンにあなたがクリーチャーで攻撃していたなら、戦名を望む者は+1/+1カウンターが１個置かれた状態で戦場に出る。</t>
  </si>
  <si>
    <t>戦名を望む者は、パワーが１以下のクリーチャーによってはブロックされない。</t>
  </si>
  <si>
    <t>英雄的 ― あなたが闘技場の競技者を対象とする呪文を１つ唱えるたび、対戦相手がコントロールするクリーチャー１体を対象とする。このターン、それではブロックできない。</t>
  </si>
  <si>
    <t>あなたが都市の承認を持っているかぎり、風雲艦隊の剣客は二段攻撃を持つ。</t>
  </si>
  <si>
    <t>稲妻のやっかいものが他のクリーチャーと組になっているかぎり、両方のクリーチャーは速攻を持つ。</t>
  </si>
  <si>
    <t>先制攻撃、プロテクション（白）</t>
  </si>
  <si>
    <t>軍団の伏兵がブロックするたび、これはあなたは１点のダメージを与える。</t>
  </si>
  <si>
    <t>変異 ― あなたの手札にある赤のカードを１枚公開する。（あなたはこのカードを、(３)で2/2クリーチャーとして裏向きに唱えてもよい。これの変異コストで、これをいつでも表向きにしてもよい。）</t>
  </si>
  <si>
    <t>軍団の伏兵が表向きになったとき、クリーチャー１体を対象とする。このターン、それではブロックできない。</t>
  </si>
  <si>
    <t>(２)：黒か緑のクリーチャー１体を対象とする。それはターン終了時まで速攻を得る。（それは、あなたのコントロール下で戦場に出てすぐに攻撃したり(Ｔ)したりできる。）</t>
  </si>
  <si>
    <t>競走路の熱狂者が機体(Vehicle)１つに搭乗するたび、ターン終了時まで、その機体は速攻を得る。</t>
  </si>
  <si>
    <t>あなたがインスタント呪文かソーサリー呪文を１つ唱えるたび、赤の1/1のエレメンタル(Elemental)・クリーチャー・トークンを１体生成する。</t>
  </si>
  <si>
    <t>あなたがチャンドラ(Chandra)・プレインズウォーカーをコントロールしているかぎり、改革派の炬火は+1/+0の修整を受けるとともに先制攻撃を持つ。（これは先制攻撃を持たないクリーチャーよりも先に戦闘ダメージを与える。）</t>
  </si>
  <si>
    <t xml:space="preserve">あなたがスピリット(Spirit)か秘儀(Arcane)呪文を唱えるたび、あなたは狡猾な山賊の上に気(ki)カウンターを１個置いてもよい。 </t>
  </si>
  <si>
    <t>終了ステップの開始時に、狡猾な山賊の上に気カウンターが２個以上置かれている場合、あなたはそれを反転してもよい。</t>
  </si>
  <si>
    <t>背信の化身、痣矛奇から気(ki)カウンターを１個取り除く：クリーチャー１体を対象とする。ターン終了時まで、そのコントロールを得る。</t>
  </si>
  <si>
    <t>飛行機械技師が戦場に出たとき、飛行を持つ無色の1/1の飛行機械(Thopter)アーティファクト・クリーチャー・トークンを１体生成する。</t>
  </si>
  <si>
    <t>あなたがコントロールするアーティファクト・クリーチャーは速攻を持つ。（それらはあなたのコントロール下になってすぐに攻撃したり(Ｔ)したりできる。）</t>
  </si>
  <si>
    <t>羽虫小路の忍び寄る者は、飛行を持つクリーチャーによってはブロックされない。</t>
  </si>
  <si>
    <t>あなたの終了ステップの開始時に、あなたがパワーが５以上のクリーチャーをコントロールしている場合、プレイヤー１人を対象とする。あなたは「あふれ出る火焚きはそのプレイヤーに２点のダメージを与える」ことを選んでもよい。</t>
  </si>
  <si>
    <t>アーティファクトが１つあなたのコントロール下で戦場に出るたび、あなたはカード１枚を捨ててもよい。そうしたなら、カードを１枚引く。</t>
  </si>
  <si>
    <t>業火の侍祭がクリーチャー１体にブロックされた状態になるたび、業火の侍祭はそのクリーチャーに２点のダメージを与える。</t>
  </si>
  <si>
    <t>(Ｔ)：プレイヤー１人を対象とする。熱烈の苦悶術師はそのプレイヤーに１点のダメージを与える。</t>
  </si>
  <si>
    <t>(Ｔ),熱烈の苦悶術師を督励する：クリーチャー１体を対象とする。これはそれに１点のダメージを与える。（督励されたクリーチャーは、あなたの次のアンタップ・ステップにアンタップしない。）</t>
  </si>
  <si>
    <t>プロテクション（赤）</t>
  </si>
  <si>
    <t>あなたがコントロールするクリーチャーはトランプルを持つ。</t>
  </si>
  <si>
    <t>あなたの対戦相手がコントロールするクリーチャーはトランプルを失うとともに、トランプルを持つことも得ることもできない。</t>
  </si>
  <si>
    <t>ちょうど２つの《山崎兄弟/Brothers Yamazaki》という名前のパーマネントが戦場にある場合、「レジェンド・ルール」はそれらに適用されない。</t>
  </si>
  <si>
    <t>《山崎兄弟/Brothers Yamazaki》という名前の他のクリーチャーはそれぞれ+2/+2の修整を受けるとともに速攻を持つ。</t>
  </si>
  <si>
    <t>(Ｔ)：クリーチャー１体かプレイヤー１人を対象とする。狡猾な火花魔道士はそれに１点のダメージを与える。</t>
  </si>
  <si>
    <t>各プレイヤーの終了ステップの開始時に、そのプレイヤーはアンタップ状態の土地を１つ生け贄に捧げる。</t>
  </si>
  <si>
    <t>あなたがコントロールする攻撃クリーチャーは+1/+0の修整を受けるとともにトランプルを持つ。</t>
  </si>
  <si>
    <t>無謀なレーサーがタップ状態になるたび、あなたはカード１枚を捨ててもよい。そうしたなら、カードを１枚引く。</t>
  </si>
  <si>
    <t>あなたが占術を行うたび、炎語りの達人はターン終了時まで+2/+0の修整を受けるとともに先制攻撃を得る。</t>
  </si>
  <si>
    <t>ハンウィアーの災いは、可能なら各戦闘で攻撃する。</t>
  </si>
  <si>
    <t>英雄的 ― あなたがアクロスの戦線砕きを対象とする呪文を１つ唱えるたび、アクロスの戦線砕きはターン終了時まで+2/+0の修整を受けるとともに威嚇を得る。（それはアーティファクト・クリーチャーかそれと共通の色を持つクリーチャー以外にはブロックされない。）</t>
  </si>
  <si>
    <t>改革派の霊気砲手が戦場に出たとき、あなたは(Ｅ)(Ｅ)(Ｅ)(Ｅ)（エネルギー・カウンター４個）を得る。</t>
  </si>
  <si>
    <t>(Ｔ),(Ｅ)(Ｅ)を支払う：クリーチャー１体を対象とする。改革派の霊気砲手はそれに１点のダメージを与える。</t>
  </si>
  <si>
    <t>(Ｔ),(Ｅ)(Ｅ)(Ｅ)(Ｅ)(Ｅ)(Ｅ)(Ｅ)(Ｅ)を支払う：プレイヤー１人を対象とする。改革派の霊気砲手はそのプレイヤーに６点のダメージを与える。</t>
  </si>
  <si>
    <t>ケッシグの不満分子が戦場に出たとき、プレイヤー１人を対象とする。ケッシグの不満分子はそのプレイヤーに、あなたがコントロールする人間(Human)の数に等しい点数のダメージを与える。</t>
  </si>
  <si>
    <t>コラガンの先陣のパワーは、あなたがコントロールするクリーチャーの総数に等しい。</t>
  </si>
  <si>
    <t>結集 ― 炎套の魔道士か他の同盟者(Ally)が１体あなたのコントロール下で戦場に出るたび、ターン終了時まで、あなたがコントロールするクリーチャーは威迫を得る。（威迫を持つクリーチャーは２体以上のクリーチャーによってしかブロックされない。）</t>
  </si>
  <si>
    <t>到達</t>
  </si>
  <si>
    <t>あなたがインスタント呪文かソーサリー呪文を１つ唱えるたび、対戦相手がコントロールするクリーチャー１体を対象とする。稲妻織りはそれに１点のダメージを与える。</t>
  </si>
  <si>
    <t>あなたがコントロールする他の赤のクリーチャーは+1/+1の修整を受ける。</t>
  </si>
  <si>
    <t>沸血の処罰者は、あなたの墓地にインスタント・カードとソーサリー・カードの両方があるかぎり先制攻撃とトランプルを持つ。</t>
  </si>
  <si>
    <t>光輝 ― (Ｔ)：クリーチャー１体を対象とする。ウォジェクの燃えさし魔道士はそれと、その他の共通の色を持つ各クリーチャーに１点のダメージを与える。</t>
  </si>
  <si>
    <t>襲拳会の扉破りが戦場に出たとき、あなたは(Ｅ)(Ｅ)（エネルギー・カウンター２個）を得る。</t>
  </si>
  <si>
    <t>襲拳会の扉破りが攻撃するたび、クリーチャー１体を対象とする。あなたは(Ｅ)を支払ってもよい。そうしたなら、このターン、それではブロックできない。</t>
  </si>
  <si>
    <t>心酔させる勝者が戦場に出たとき、対戦相手がコントロールするパワーが２以下のクリーチャー１体を対象とし、ターン終了時まで、それのコントロールを得る。そのクリーチャーをアンタップする。ターン終了時まで、それは速攻を得る。（このターン、それは攻撃したり(Ｔ)したりできる。）</t>
  </si>
  <si>
    <t>屑鉄会の勇者が戦場に出たとき、あなたは(Ｅ)(Ｅ)（エネルギー・カウンター２個）を得る。</t>
  </si>
  <si>
    <t>屑鉄会の勇者が攻撃するたび、あなたは(Ｅ)(Ｅ)を支払ってもよい。そうしたなら、これの上に+1/+1カウンターを１個置く。</t>
  </si>
  <si>
    <t>帝国の先駆けが戦場に出たとき、あなたは「あなたのライブラリーから恐竜(Dinosaur)カード１枚を探し、それを公開し、その後あなたのライブラリーを切り直し、その一番上にそのカードを置く。」を選んでもよい。</t>
  </si>
  <si>
    <t>恐竜が１体あなたのコントロール下で戦場に出るたび、あなたは「帝国の先駆けは各クリーチャーにそれぞれ１点のダメージを与える。」を選んでもよい。</t>
  </si>
  <si>
    <t>金属術 ― らせんの決闘者は、あなたがアーティファクトを３つ以上コントロールしているかぎり、二段攻撃を持つ。</t>
  </si>
  <si>
    <t>(Ｔ)：ブロックしているクリーチャー１体を対象とし、それを戦闘から取り除く。それがブロックしていた、この戦闘で他のクリーチャーにブロックされていないクリーチャーは、ブロックされていない状態になる。その後、それはあなたが選んだいずれかの攻撃しているクリーチャーをブロックする。この能力は、ブロック・クリーチャー指定ステップの間にのみ起動できる。</t>
  </si>
  <si>
    <t>強襲 ― マルドゥの心臓貫きが戦場に出たとき、このターンにあなたがクリーチャーで攻撃していた場合、クリーチャー１体かプレイヤー１人を対象とする。マルドゥの心臓貫きはそれに２点のダメージを与える。</t>
  </si>
  <si>
    <t>このクリーチャーが《狼男の荒らし屋/Werewolf Ransacker》に変身するたび、アーティファクト１つを対象とする。あなたはそれを破壊してもよい。これによりそのアーティファクトが墓地に置かれた場合、狼男の荒らし屋はそのアーティファクトのコントローラーに３点のダメージを与える。</t>
  </si>
  <si>
    <t>英雄的 ― あなたがアクロスの徴兵人を対象とする呪文を１つ唱えるたび、他のクリーチャー１体を対象とし、ターン終了時までそれのコントロールを得る。そのクリーチャーをアンタップする。それはターン終了時まで速攻を得る。</t>
  </si>
  <si>
    <t>このターン、熊野の学徒にダメージを与えられたクリーチャーが死亡する場合、代わりにそれを追放する。</t>
  </si>
  <si>
    <t>浪人の崖乗りが攻撃するたび、あなたは「それは防御プレイヤーがコントロールする各クリーチャーに１点のダメージを与える」ことを選んでもよい。</t>
  </si>
  <si>
    <t>無政府主義者が戦場に出たとき、あなたの墓地にあるソーサリー・カード１枚を対象とする。あなたは、それをあなたの手札に戻してもよい。</t>
  </si>
  <si>
    <t>他のクリーチャーが１体死亡するたび、プレイヤー１人を対象とする。憤怒を投げる者はそれに２点のダメージを与える。</t>
  </si>
  <si>
    <t>ムラーサの紅蓮術士か他の同盟者(Ally)があなたのコントロール下で戦場に出るたび、クリーチャー１体を対象とする。あなたは「ムラーサの紅蓮術士はそれに、あなたがコントロールする同盟者の数に等しい点数のダメージを与える」ことを選んでもよい。</t>
  </si>
  <si>
    <t>(１)(U)：占術１を行う。（あなたのライブラリーの一番上のカードを見る。あなたはそのカードをあなたのライブラリーの一番下に置いてもよい。）</t>
  </si>
  <si>
    <t>(B),(Ｔ)：プレイヤー１人を対象とする。そのプレイヤーは１点のライフを失う。</t>
  </si>
  <si>
    <t>(R)(R)</t>
  </si>
  <si>
    <t>(４)(R)(R)</t>
  </si>
  <si>
    <t>(R)：ターン終了時まで、稲妻の狂戦士は+1/+0の修整を受ける。</t>
  </si>
  <si>
    <t>(R)：伍堂の不正規軍をブロックしているクリーチャー１体を対象とする。伍堂の不正規軍はそれに１点のダメージを与える。</t>
  </si>
  <si>
    <t>上陸 ― 土地が１つあなたのコントロール下で戦場に出るたび、あなたは(２)(R)を支払ってもよい。そうしたなら、トランプルと速攻を持つ赤の3/1のエレメンタル(Elemental)・クリーチャー・トークンを１体生成する。次の終了ステップの開始時に、そのトークンを追放する。</t>
  </si>
  <si>
    <t>(R)：あなたがコントロールするクリーチャー１体を対象とする。それはターン終了時まで速攻を得る。（このターン、それは攻撃したり(Ｔ)したりできる。）</t>
  </si>
  <si>
    <t>Ｌｖアップ(３)(R)（(３)(R)：この上にＬｖ(level)カウンターを１個置く。Ｌｖアップはソーサリーとしてのみ行う。）</t>
  </si>
  <si>
    <t>ウラブラスクの僧侶が戦場に出たとき、あなたのマナ・プールに(R)(R)(R)を加える。</t>
  </si>
  <si>
    <t>(R)：クリーチャー１体を対象とする。それはターン終了時まで速攻を得る。</t>
  </si>
  <si>
    <t>(R),(Ｔ),クリーチャーを１体生け贄に捧げる：クリーチャー１体かプレイヤー１人を対象とする。スカースダグの信者はそれに２点のダメージを与える。</t>
  </si>
  <si>
    <t>オーラ(Aura)が１つ落とし子の守り手につけられた状態になるたび、飛行を持つ赤の2/2のドラゴン(Dragon)・クリーチャー・トークンを１体生成する。それは「(R)：ターン終了時まで、このクリーチャーは+1/+0の修整を受ける。」を持つ。</t>
  </si>
  <si>
    <t>石大工が他のクリーチャーと組になっているかぎり、それらのクリーチャーは「(R)：このクリーチャーはターン終了時まで+1/+0の修整を受ける。」を持つ。</t>
  </si>
  <si>
    <t>疾駆(R)（あなたはこの呪文を、これの疾駆コストで唱えてもよい。そうしたなら、これは速攻を得るとともに、次の終了ステップの開始時にこれを戦場からオーナーの手札に戻す。）</t>
  </si>
  <si>
    <t>(R),(Ｔ)：あなたがコントロールする他の赤のクリーチャー１体を対象とする。それはターン終了時まで速攻を得る。（このターン、それは攻撃したり(Ｔ)したりできる。）</t>
  </si>
  <si>
    <t>(１)(R),(Ｔ)：クリーチャー１体かプレイヤー１人を対象とする。堕ちたる鉄術士はそれに１点のダメージを与える。</t>
  </si>
  <si>
    <t>疾駆(２)(R)（あなたはこの呪文を、これの疾駆コストで唱えてもよい。そうしたなら、これは速攻を得るとともに、次の終了ステップの開始時にこれを戦場からオーナーの手札に戻す。）</t>
  </si>
  <si>
    <t>(G),(Ｔ)：緑の1/1の苗木(Saproling)クリーチャー・トークンを１体生成する。</t>
  </si>
  <si>
    <t>プレイヤー１人が呪文を唱えるか、クリーチャー１体が攻撃したとき、二の足踏みのノリンを追放する。次の終了ステップの開始時に、それをオーナーのコントロール下で戦場に戻す。</t>
  </si>
  <si>
    <t>(３),(Ｔ)：クリーチャー１体かプレイヤー１人を対象とする。カード名を１つ選ぶ。その後、あなたの手札からカードを１枚、無作為に公開する。そのカードが選ばれた名前を持つなら、巻物の大魔術師はそれに２点のダメージを与える。</t>
  </si>
  <si>
    <t>あなたがコントロールする発生源が対戦相手がコントールするクリーチャーに戦闘ダメージでないダメージを与えるなら、代わりにその点数に等しい数の-1/-1カウンターをそのクリーチャーの上に置く。</t>
  </si>
  <si>
    <t>対戦相手が戦場にあるアーティファクトかクリーチャーか土地の能力を１つ起動するたび、それがマナ能力でない場合、過酷な指導者はそのプレイヤーに２点のダメージを与える。</t>
  </si>
  <si>
    <t>先制攻撃、威迫</t>
  </si>
  <si>
    <t>航空船を強襲する者、カーリ・ゼヴが攻撃するたび、《ラガバン/Ragavan》という名前の赤の2/1の伝説の猿(Monkey)クリーチャー・トークンを１体、タップ状態で攻撃している状態で生成する。戦闘終了時に、そのトークンを追放する。</t>
  </si>
  <si>
    <t>先制攻撃、速攻</t>
  </si>
  <si>
    <t>プレイヤー１人が墓地から呪文を１つ唱えるたび、灰の盲信者はそのプレイヤーに３点のダメージを与える。</t>
  </si>
  <si>
    <t>ケラル砦の修道院長が戦場に出たとき、あなたのライブラリーの一番上のカードを追放する。ターン終了時まで、あなたはそのカードをプレイしてもよい。</t>
  </si>
  <si>
    <t>凶兆艦隊の向こう見ずが戦場に出たとき、対戦相手の墓地からインスタントかソーサリーであるカード１枚を対象とし、それを追放する。このターン、あなたはそのカードを唱えてもよい。あなたは、その呪文を唱えるために、任意のマナを望むタイプのマナであるかのように支払ってもよい。このターン、そのカードが墓地に置かれるなら、代わりにそれを追放する。</t>
  </si>
  <si>
    <t>狼男(Werewolf)が１体あなたのコントロール下で戦場に出るたび、あなたはそれを変身させてもよい。</t>
  </si>
  <si>
    <t>あなたがコントロールする狼男(Werewolf)は威迫を持つ。（それらは２体以上のクリーチャーによってしかブロックされない。）</t>
  </si>
  <si>
    <t>ティロナーリの肌変わりが攻撃するたび、伝説でない他の攻撃クリーチャー１体を対象とする。ターン終了時まで、これはそれのコピーになる。</t>
  </si>
  <si>
    <t>対戦相手がクリーチャーでない呪文を１つ唱えるたび、瘡蓋族の狂戦士が高名である場合、瘡蓋族の狂戦士はそのプレイヤーに２点のダメージを与える。</t>
  </si>
  <si>
    <t>基本でない土地は山(Mountain)である。</t>
  </si>
  <si>
    <t>ピア・ナラーが戦場に出たとき、飛行を持つ無色の1/1の飛行機械(Thopter)アーティファクト・クリーチャー・トークンを１体生成する。</t>
  </si>
  <si>
    <t>(１),アーティファクトを１つ生け贄に捧げる：クリーチャー１体を対象とする。このターン、それではブロックできない。</t>
  </si>
  <si>
    <t>風雲船長ラネリーが攻撃するたび、「(Ｔ),このアーティファクトを生け贄に捧げる：あなたのマナ・プールに好きな色１色のマナ１点を加える。」を持つ無色の宝物(Treasure)アーティファクト・トークンを１つ生成する。</t>
  </si>
  <si>
    <t>あなたが宝物を１つ生け贄に捧げるたび、ターン終了時まで、風雲船長ラネリーは+1/+0の修整を受ける。</t>
  </si>
  <si>
    <t>ハンウィアー守備隊が攻撃するたび、赤の1/1の人間(Human)クリーチャー・トークンを２体タップ状態で攻撃している状態で生成する。</t>
  </si>
  <si>
    <t>（《ハンウィアーの要塞/Hanweir Battlements》と合体する。）</t>
  </si>
  <si>
    <t>トランプル、速攻</t>
  </si>
  <si>
    <t>のたうつ居住区、ハンウィアーが攻撃するたび、無色の3/2のエルドラージ(Eldrazi)・ホラー(Horror)・クリーチャー・トークンを２体、タップ状態で攻撃している状態で生成する。</t>
  </si>
  <si>
    <t>あなたがコントロールする攻撃クリーチャーは+1/+0の修整を受ける。</t>
  </si>
  <si>
    <t>あなたがコントロールする攻撃クリーチャーは+3/+0の修整を受ける。</t>
  </si>
  <si>
    <t>速製職人の反逆者が戦場に出たとき、あなたがコントロールするアーティファクト１つを対象とする。あなたが速製職人の反逆者をコントロールし続けているかぎり、それは「(Ｔ)：クリーチャー１体かプレイヤー１人を対象とする。このアーティファクトはそれに２点のダメージを与える。」を得る。</t>
  </si>
  <si>
    <t>卑血の芙巳子は武士道Ｘを持つ。Ｘは攻撃クリーチャーの総数に等しい。（このクリーチャーがブロックするかブロックされた状態になるたび、それはターン終了時まで+X/+Xの修整を受ける。）</t>
  </si>
  <si>
    <t>あなたの対戦相手がコントロールするクリーチャーは、可能なら各戦闘で攻撃する。</t>
  </si>
  <si>
    <t>英雄的 ― あなたが迷宮の勇者を対象とする呪文を１つ唱えるたび、クリーチャー１体かプレイヤー１人を対象とする。迷宮の勇者はそれに２点のダメージを与える。</t>
  </si>
  <si>
    <t>ピア・ナラーとキラン・ナラーが戦場に出たとき、飛行を持つ無色の1/1の飛行機械(Thopter)アーティファクト・クリーチャー・トークンを２体生成する。</t>
  </si>
  <si>
    <t>対戦相手１人が呪文を唱えるたび、トヴォラーの魔道士狩りはそのプレイヤーに２点のダメージを与える。</t>
  </si>
  <si>
    <t>あなたのライフの総量を１点未満に減少させるダメージは、代わりにあなたのライフの総量が１点になるまで減少させる。</t>
  </si>
  <si>
    <t>このターン、山伏の長、熊野にダメージを与えられたクリーチャーが死亡する場合、代わりにそれを追放する。</t>
  </si>
  <si>
    <t>士気溢れる徴集兵が戦場に出たとき、パーマネント１つを対象とする。あなたはターン終了時までそれのコントロールを得る。そのパーマネントをアンタップする。それはターン終了時まで速攻を得る。</t>
  </si>
  <si>
    <t>戦士(Warrior)か狂戦士(Berserker)かバーバリアン(Barbarian)である各クリーチャーはそれぞれ+2/+2の修整を受けるとともに速攻を持つ。</t>
  </si>
  <si>
    <t>ヴァルショクの戦場の達人が戦場に出たとき、戦場に出ているすべての装備品(Equipment)をそれにつける。（その装備のコントロールは変わらない。）</t>
  </si>
  <si>
    <t>炎駆の乗り手が攻撃するたび、他の攻撃クリーチャー１体を対象とし、そのクリーチャーのコピーであるトークンを１体タップ状態で攻撃している状態で生成する。戦闘終了時に、そのトークンを追放する。</t>
  </si>
  <si>
    <t>速攻（このクリーチャーは、あなたのコントロール下で戦場に出てすぐに攻撃したり(Ｔ)したりできる。）</t>
  </si>
  <si>
    <t>(Ｔ)：クリーチャー１体かプレイヤー１人を対象とする。ピット・ファイター、カマールはそれに３点のダメージを与える。</t>
  </si>
  <si>
    <t>山賊の頭、伍堂が戦場に出たとき、あなたはあなたのライブラリーから装備品(Equipment)カードを１枚探し、それを戦場に出してもよい。そうした場合、あなたのライブラリーを切り直す。</t>
  </si>
  <si>
    <t>山賊の頭、伍堂が各ターンに最初に攻撃するたび、それとあなたがコントロールするすべての侍(Samurai)をアンタップする。このフェイズの後に、追加の戦闘フェイズ１つを加える。</t>
  </si>
  <si>
    <t>(３),(Ｔ)：あなたがコントロールするクリーチャー１体と、対戦相手１人が選んだそのプレイヤーがコントロールするクリーチャー１体を対象とし、それらをタップする。それらのクリーチャーは格闘を行う。（それぞれはもう一方に自身のパワーに等しい点数のダメージを与える。）</t>
  </si>
  <si>
    <t>上位の人間、焔村ではブロックできない。</t>
  </si>
  <si>
    <t>上位の人間、焔村が死亡したとき、それを反転状態で戦場に戻す。</t>
  </si>
  <si>
    <t>あなたがコントロールしている発生源がパーマネントかプレイヤーにダメージを与えるなら、代わりに、それはそのパーマネントかプレイヤーにその点数の２倍のダメージを与える。</t>
  </si>
  <si>
    <t>伝説のエンチャント</t>
  </si>
  <si>
    <t>(R),(Ｔ),あなたの墓地にあるカードを２枚、追放する：クリーチャー１体かプレイヤー１人を対象とする。渋面の溶岩使いはそれに２点のダメージを与える。</t>
  </si>
  <si>
    <t>ティロナーリの召喚士が攻撃するたび、あなたは(Ｘ)(R)を支払ってもよい。そうしたなら、赤の1/1のエレメンタル(Elemental)・クリーチャー・トークンをＸ体タップ状態で攻撃している状態で生成する。次の終了ステップの開始時に、あなたが都市の承認を持っていないかぎり、それらのトークンを追放する。</t>
  </si>
  <si>
    <t>(R),(Ｔ),カードを１枚捨てる：青のパーマネント１つを対象とし、それを破壊する。</t>
  </si>
  <si>
    <t>(１)(R),(Ｔ),カードを１枚捨てる：クリーチャー１体かプレイヤー１人を対象とする。特務魔道士ヤヤ・バラードはそれに３点のダメージを与える。これによりダメージを与えられたクリーチャーは、このターン再生できない。</t>
  </si>
  <si>
    <t>(５)(R)(R),(Ｔ),カードを１枚捨てる：特務魔道士ヤヤ・バラードは、各クリーチャーと各プレイヤーにそれぞれ６点のダメージを与える。</t>
  </si>
  <si>
    <t>(１)(R)：アーティファクト・クリーチャー１体を対象とする。ターン終了時まで、それは+1/+0の修整を受ける。</t>
  </si>
  <si>
    <t>(２)(R),アーティファクトを１つ生け贄に捧げる：クリーチャー１体かプレイヤー１人を対象とする。ピア・ナラーとキラン・ナラーはそれに２点のダメージを与える。</t>
  </si>
  <si>
    <t>(R),(Ｔ)：速攻を持つ赤の3/1のエレメンタル(Elemental)・クリーチャー・トークンを１体生成する。</t>
  </si>
  <si>
    <t>(３)(R)：対戦相手がコントロールしているクリーチャー１体を対象とする。ターン終了時まで、それのコントロールを得る。そのクリーチャーをアンタップする。ターン終了時まで、それは速攻を得る。この能力は、あなたがソーサリーを唱えられるときにのみ起動できる。</t>
  </si>
  <si>
    <t>(２)(R),侍(Samurai)を１体生け贄に捧げる：あなたがコントロールする侍クリーチャーは、ターン終了時まで二段攻撃を得る。</t>
  </si>
  <si>
    <t>変異(R)(R)（あなたはこのカードを、(３)で2/2クリーチャーとして裏向きに唱えてもよい。これの変異コストで、これをいつでも表向きにしてもよい。）</t>
  </si>
  <si>
    <t>(１)(R)：クリーチャー１体かプレイヤー１人を対象とする。山伏の長、熊野はそれに１点のダメージを与える。</t>
  </si>
  <si>
    <t>疾駆(２)(R)(R)（あなたはこの呪文を、これの疾駆コストで唱えてもよい。そうしたなら、これは速攻を得るとともに、次の終了ステップの開始時にこれを戦場からオーナーの手札に戻す。）</t>
  </si>
  <si>
    <t>あなたがコントロールするクリーチャーは+2/+2の修整を受けるとともに、飛行と「(R)：このクリーチャーはターン終了時まで+1/+0の修整を受ける。」を持つ。</t>
  </si>
  <si>
    <t>(５)(R)(R)</t>
  </si>
  <si>
    <t>死に微笑むもの、アリーシャが攻撃するたび、あなたの墓地にあるパワーが２以下のクリーチャー・カード１枚を対象とする。あなたは(W/B)(W/B)を支払ってもよい。そうしたなら、それをタップ状態で攻撃している状態で戦場に戻す。</t>
  </si>
  <si>
    <t>あなたのアップキープの開始時に、あなたが６つ以上の土地をコントロールしている場合、飛行を持つ赤の5/5のドラゴン(Dragon)・クリーチャー・トークンを１体生成する。</t>
  </si>
  <si>
    <t>二段攻撃、トランプル</t>
  </si>
  <si>
    <t>予言の炎語りがプレイヤー１人に戦闘ダメージを与えるたび、あなたのライブラリーの一番上のカードを追放する。このターン、あなたはそれをプレイしてもよい。</t>
  </si>
  <si>
    <t>戦闘の祝賀者がこのターンに督励されていなかったなら、これが攻撃するに際し、あなたはこれを督励してもよい。そうしたとき、あなたがコントロールする他のクリーチャーをすべてアンタップし、このフェイズの後に追加の戦闘フェイズを１つ加える。（督励されたクリーチャーは、あなたの次のアンタップ・ステップにアンタップしない。）</t>
  </si>
  <si>
    <t>あなたが赤の呪文を１つ唱えるたび、カラデシュの火、チャンドラをアンタップする。</t>
  </si>
  <si>
    <t>(Ｔ)：プレイヤー１人を対象とする。カラデシュの火、チャンドラはそのプレイヤーに１点のダメージを与える。このターンにカラデシュの火、チャンドラが３点以上のダメージを与えたなら、カラデシュの火、チャンドラを追放し、その後、これを変身させた状態でオーナーのコントロール下で戦場に戻す。</t>
  </si>
  <si>
    <t>[+1]：プレイヤー１人を対象とする。燃え盛る炎、チャンドラはそのプレイヤーに２点のダメージを与える。</t>
  </si>
  <si>
    <t>[-2]：クリーチャー１体を対象とする。燃え盛る炎、チャンドラはそれに２点のダメージを与える。</t>
  </si>
  <si>
    <t>[-7]：燃え盛る炎、チャンドラは各対戦相手にそれぞれ６点のダメージを与える。これによりダメージを与えられた各プレイヤーはそれぞれ「あなたのアップキープの開始時に、この紋章はあなたに３点のダメージを与える。」を持つ紋章を得る。</t>
  </si>
  <si>
    <t>荒くれ船員が戦場に出たとき、カードを３枚引き、その後カード２枚を無作為に選んで捨てる。これにより共通するカード・タイプを持つカード２枚が捨てられたなら、荒くれ船員の上に+1/+1カウンターを２個置く。</t>
  </si>
  <si>
    <t>オキシド峠の英雄が攻撃するたび、このターン、パワーが１以下のクリーチャーではブロックできない。</t>
  </si>
  <si>
    <t>二段攻撃、速攻</t>
  </si>
  <si>
    <t>稲妻駆けが攻撃するたび、あなたは(Ｅ)(Ｅ)（エネルギー・カウンター２個）を得る。その後、あなたは(Ｅ)(Ｅ)(Ｅ)(Ｅ)(Ｅ)(Ｅ)(Ｅ)(Ｅ)を支払ってもよい。そうしたなら、あなたがコントロールするクリーチャーをすべてアンタップし、このフェイズの後に追加の戦闘フェイズを加える。</t>
  </si>
  <si>
    <t>(R)：ターン終了時まで、龍を操る者は飛行を得る。</t>
  </si>
  <si>
    <t>Ｌｖアップ(R)（(R)：この上にＬｖ(level)カウンターを１個置く。Ｌｖアップはソーサリーとしてのみ行う。）</t>
  </si>
  <si>
    <t>(１)(R)：ターン終了時まで、龍を操る者は+1/+0の修整を受ける。</t>
  </si>
  <si>
    <t>圧倒 ― (４)(R)(R)：飛行を持つ赤の4/4のドラゴン(Dragon)・クリーチャー・トークンを１体生成する。この能力は、あなたがコントロールするクリーチャーのパワーの合計が８以上であるときにのみ起動できる。</t>
  </si>
  <si>
    <t>Lv8+：飛行、トランプル (R)：カルガの竜王はターン終了時まで+1/+0の修整を受ける。8/8</t>
  </si>
  <si>
    <t>(２)：族樹の管理人を再生する。</t>
  </si>
  <si>
    <t>戦墓の随員が他のクリーチャーと組になっているかぎり、両方のクリーチャーはプロテクション（ゾンビ(Zombie)）を持つ。</t>
  </si>
  <si>
    <t>鱗の召使いは+1/+1カウンターが１個置かれた状態で戦場に出る。</t>
  </si>
  <si>
    <t>鱗の召使いが死亡したとき、あなたがコントロールするクリーチャー１体を対象とし、それの上に+1/+1カウンターをＸ個置く。Ｘは、鱗の召使いの上に置かれている+1/+1カウンターの総数に等しい。</t>
  </si>
  <si>
    <t>スカルガンの穴潜みよりもパワーの小さいクリーチャーは、スカルガンの穴潜みをブロックできない。</t>
  </si>
  <si>
    <t>(１),あなたの手札から緑のカードをＸ枚公開する,胞子の殉教者を生け贄に捧げる：クリーチャー１体を対象とする。それはターン終了時まで+X/+Xの修整を受ける。</t>
  </si>
  <si>
    <t>転生７（このクリーチャーが死亡したとき、あなたはあなたの墓地にある点数で見たマナ・コストが７以下のスピリット(Spirit)・カード１枚を対象とし、それをあなたの手札に戻してもよい。）</t>
  </si>
  <si>
    <t>移植１（このクリーチャーは、その上に+1/+1カウンターが１個置かれた状態で戦場に出る。他のクリーチャーが１体戦場に出るたび、あなたはこのクリーチャーの上に置かれている+1/+1カウンターを１個、その上に移動してもよい。）</t>
  </si>
  <si>
    <t>盾を持つ守護者が表向きになったとき、あなたがコントロールする他のクリーチャー１体を対象とし、それの上に+1/+1カウンターを１個置く。</t>
  </si>
  <si>
    <t>あなたのターンであるかぎり、屈強な古参兵は+0/+2の修整を受ける。</t>
  </si>
  <si>
    <t>(Ｔ)：カードを１枚引き、それを公開する。それが土地カードでない場合、それを捨てる。</t>
  </si>
  <si>
    <t>原初のドルイドが死亡したとき、あなたはあなたのライブラリーから基本土地カード１枚を探してもよい。そうしたなら、それをタップ状態で戦場に出し、その後あなたのライブラリーを切り直す。</t>
  </si>
  <si>
    <t>森林地の先達が戦場に出たとき、クリーチャー１体を対象とし、それの上に+1/+1カウンターを１個置く。</t>
  </si>
  <si>
    <t>(Ｔ)：あなたのマナ・プールに、対戦相手１人がコントロールする土地が生み出すことのできる好きな色のマナ１点を加える。</t>
  </si>
  <si>
    <t>オラン＝リーフの生き残りか他の同盟者(Ally)があなたのコントロール下で戦場に出るたび、あなたはオラン＝リーフの生き残りの上に+1/+1カウンターを１個置いてもよい。</t>
  </si>
  <si>
    <t>イクサーリの卜占師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</si>
  <si>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ベラドンナの行商人が他のクリーチャーと組になっているかぎり、両方のクリーチャーは接死を持つ。</t>
  </si>
  <si>
    <t>ロナスの重鎮が攻撃するに際し、あなたはこれを督励してもよい。そうしたとき、ターン終了時まで、これは+1/+1の修整を受けるとともに、このターン、これはパワーが２以下のクリーチャーによってはブロックされない。（督励されたクリーチャーは、あなたの次のアンタップ・ステップにアンタップしない。）</t>
  </si>
  <si>
    <t>(８)：ターン終了時まで、オラン＝リーフの発動者は+5/+5の修整を受けるとともにトランプルを得る。</t>
  </si>
  <si>
    <t>到達（このクリーチャーは飛行を持つクリーチャーをブロックできる。）</t>
  </si>
  <si>
    <t>(Ｔ)：あなたのマナ・プールに、好きな色の組み合わせのマナＸ点を加える。Ｘは、あなたがコントロールする防衛を持つクリーチャーの数である。</t>
  </si>
  <si>
    <t>信頼厚き腕力魔道士が他のクリーチャーと組になっているかぎり、それらのクリーチャーは+1/+1の修整を受ける。</t>
  </si>
  <si>
    <t>シタヌールの樹木読みが戦場に出たとき、それがキッカーされていた場合、カードを２枚引く。</t>
  </si>
  <si>
    <t>裏道の急使が死亡したとき、調査を行う。（「(２),このアーティファクトを生け贄に捧げる：カードを１枚引く。」を持つ無色の手掛かり(Clue)アーティファクト・トークンを１つ生成する。）</t>
  </si>
  <si>
    <t>国境地帯のレインジャーが戦場に出たとき、あなたはあなたのライブラリーから基本土地カードを１枚探し、それを公開し、あなたの手札に加えてもよい。そうした場合、あなたのライブラリーを切り直す。</t>
  </si>
  <si>
    <t>版図 ― マトカの暴動者のパワーとタフネスはそれぞれ、あなたがコントロールする土地の中の基本土地タイプの数に等しい。</t>
  </si>
  <si>
    <t>冷静な建築家が戦場に出たとき、あなたの墓地の土地カード１枚を対象とする。あなたはそれをあなたの手札に戻してもよい。</t>
  </si>
  <si>
    <t>あなたが恐竜(Dinosaur)呪文を唱えるためのコストは(２)少なくなる。</t>
  </si>
  <si>
    <t>剛胆な補給兵が戦場に出たとき、あなたがコントロールする他の人間(Human)１体を対象とする。ターン終了時まで、それは+2/+2の修整を受ける。</t>
  </si>
  <si>
    <t>灰色革の狩人か他の同盟者(Ally)があなたのコントロール下で戦場に出るたび、あなたは灰色革の狩人の上に+1/+1カウンターを１個置いてもよい。</t>
  </si>
  <si>
    <t>セテッサの星砕きが戦場に出たとき、オーラ(Aura)１つを対象とする。あなたはそれを破壊してもよい。</t>
  </si>
  <si>
    <t>あなたのコントロール下で土地が戦場に出るたび、石蒔きの秘儀司祭をアンタップする。</t>
  </si>
  <si>
    <t>(Ｔ)：土地１つを対象とし、それをアンタップする。</t>
  </si>
  <si>
    <t>陰鬱 ― 森林の捜索者が戦場に出たとき、このターン、クリーチャーが死亡していた場合、あなたの墓地にあるクリーチャー・カードを１枚無作為に選んで手札に戻す。</t>
  </si>
  <si>
    <t>英雄的 ― あなたが信条の戦士を対象とする呪文を１つ唱えるたび、信条の戦士の上に+1/+1カウンターを２個置く。</t>
  </si>
  <si>
    <t>昂揚 ― あなたの墓地にあるカードにカード・タイプが合計４種類以上含まれるかぎり、辺境林の生存者は+1/+1の修整を受けるとともにトランプルを持つ。</t>
  </si>
  <si>
    <t>あなたの手札のカードの枚数がどの対戦相手よりも多いかぎり、翁神社の夜警は+3/+3の修整を受ける。</t>
  </si>
  <si>
    <t>霊の罠師が他のクリーチャーと組になっているかぎり、両方のクリーチャーは到達を持つ。</t>
  </si>
  <si>
    <t>大槌の接合者が戦場に出たとき、無色の3/3のゴーレム(Golem)・アーティファクト・クリーチャー・トークンを２体生成する。</t>
  </si>
  <si>
    <t>あなたがコントロールするゴーレム・クリーチャーはトランプルを持つ。</t>
  </si>
  <si>
    <t>(Ｔ)：あなたのマナ・プールに(W)を加える。</t>
  </si>
  <si>
    <t>(１)(U)：裏向きのクリーチャー１体を対象とし、それの表側を見る。</t>
  </si>
  <si>
    <t>(２)(U)：このターン、彼方の工作員はブロックされない。</t>
  </si>
  <si>
    <t>(R)：旧き道の信奉者はターン終了時まで先制攻撃を得る。</t>
  </si>
  <si>
    <t>グルールの潰し屋が戦場に出たとき、グルールの潰し屋を唱えるために(R)が使われた場合、それはターン終了時まで速攻を得る。</t>
  </si>
  <si>
    <t>(G)</t>
  </si>
  <si>
    <t>変異(G)（あなたはこのカードを、(３)で2/2クリーチャーとして裏向きに唱えてもよい。これの変異コストで、これをいつでも表向きにしてもよい。）</t>
  </si>
  <si>
    <t>(２)(G),(Ｔ),オアシュラの耕作者を生け贄に捧げる：あなたのライブラリーから基本土地カード１枚を探し、それをタップ状態で戦場に出す。その後、あなたのライブラリーを切り直す。</t>
  </si>
  <si>
    <t>(１)(G),名高い織り手を生け贄に捧げる：到達を持つ緑の1/3の蜘蛛(Spider)クリーチャー・エンチャント・トークンを１体生成する。（それは飛行を持つクリーチャーをブロックできる。）</t>
  </si>
  <si>
    <t>(G),(Ｔ)：攻撃している人間(Human)１体を対象とする。ターン終了時まで、それは+1/+1の修整を受ける。</t>
  </si>
  <si>
    <t>(１)(G)</t>
  </si>
  <si>
    <t>(Ｔ)：あなたのマナ・プールに(G)を加える。</t>
  </si>
  <si>
    <t>(Ｔ)：あなたのマナ・プールに(G)(G)を加える。</t>
  </si>
  <si>
    <t>大変異(３)(G)（あなたはこのカードを、(３)で2/2クリーチャーとして裏向きに唱えてもよい。これの大変異コストで、これをいつでも表向きにしてもよい。そうしたなら、これの上に+1/+1カウンターを１個置く。）</t>
  </si>
  <si>
    <t>圧倒 ― (４)(G)：ターン終了時まで、アタルカの獣壊しは+4/+4の修整を受ける。この能力は、あなたがコントロールするクリーチャーのパワーの合計が８以上であるときにのみ起動できる。</t>
  </si>
  <si>
    <t>(７)(G),(Ｔ),イクサーリの守り手を生け贄に捧げる：クリーチャー１体を対象とする。ターン終了時まで、それは+5/+5の修整を受けるとともにトランプルを得る。</t>
  </si>
  <si>
    <t>獰猛 ― (Ｔ)：あなたのマナ・プールに(G)(G)を加える。この能力は、あなたがパワーが４以上のクリーチャーをコントロールしているときにのみ起動できる。</t>
  </si>
  <si>
    <t>(２)(G)</t>
  </si>
  <si>
    <t>キッカー(２)(G)（あなたがこの呪文を唱えるに際し、あなたは追加の(２)(G)を支払ってもよい。）</t>
  </si>
  <si>
    <t>(３)(G)</t>
  </si>
  <si>
    <t>(２)(G)(G)</t>
  </si>
  <si>
    <t>(４)(G)</t>
  </si>
  <si>
    <t>(６)(G)</t>
  </si>
  <si>
    <t>進化（クリーチャー１体があなたのコントロール下で戦場に出るたび、そのクリーチャーのパワーかタフネスがこのクリーチャーよりも大きい場合、このクリーチャーの上に+1/+1カウンターを１個置く。）</t>
  </si>
  <si>
    <t>実験体から+1/+1カウンターを２個取り除く：実験体を再生する。</t>
  </si>
  <si>
    <t>小村の隊長が攻撃するかブロックするたび、ターン終了時まで、あなたがコントロールする他の人間(Human)は+1/+1の修整を受ける。</t>
  </si>
  <si>
    <t>あなたがパワーが４以上のクリーチャーをコントロールしていないかぎり、ラムホルトの平和主義者では攻撃できない。</t>
  </si>
  <si>
    <t>優雅の集積者は、それにつけられているオーラ(Aura)１つにつき+1/+1の修整を受ける。</t>
  </si>
  <si>
    <t>オーラを１つ生け贄に捧げる：優雅の集積者を再生する。</t>
  </si>
  <si>
    <t>獰猛 ― 荒野の後継者が攻撃するたび、あなたがパワーが４以上のクリーチャーをコントロールしている場合、ターン終了時まで、荒野の後継者は+1/+1の修整を受ける。</t>
  </si>
  <si>
    <t>鱗衛兵の歩哨を唱えるための追加コストとして、あなたの手札にあるドラゴン(Dragon)・カードを１枚公開してもよい。</t>
  </si>
  <si>
    <t>あなたが鱗衛兵の歩哨を唱えた時点でドラゴン・カードを公開したかドラゴンをコントロールしていたなら、鱗衛兵の歩哨は+1/+1カウンターが１個置かれた状態で戦場に出る。</t>
  </si>
  <si>
    <t>あなたが恐竜(Dinosaur)をコントロールしているかぎり、大物群れの操り手は+2/+2の修整を受ける。</t>
  </si>
  <si>
    <t>(Ｔ)：あなたのマナ・プールに好きな色１色のマナ１点を加える。</t>
  </si>
  <si>
    <t>(２)：赤か白のクリーチャー１体を対象とする。それは、ターン終了時までトランプルを得る。（そのクリーチャーが、自身をブロックしているすべてのクリーチャーを破壊するのに十分な戦闘ダメージを割り振る場合、あなたはその残りのダメージを防御プレイヤーかプレインズウォーカーに割り振ってもよい。）</t>
  </si>
  <si>
    <t>(１),(Ｔ)：土地１つを対象とし、それをアンタップする。</t>
  </si>
  <si>
    <t>(１),(Ｔ),希望守りを督励する：土地２つを対象都市、それらをアンタップする。（督励されたクリーチャーは、あなたの次のアンタップ・ステップにアンタップしない。）</t>
  </si>
  <si>
    <t>呪禁、到達</t>
  </si>
  <si>
    <t>あなたがクリーチャー呪文を唱えるためのコストは(１)少なくなる。</t>
  </si>
  <si>
    <t>偏執的な皮剥ぎ人が戦場に出たとき、クリーチャー１体を対象とし、それの上に+1/+1カウンターを１個置く。</t>
  </si>
  <si>
    <t>昂揚 ― 各対戦相手のアップキープの開始時に、あなたの墓地にあるカードにカード・タイプが合計４種類以上含まれる場合、クリーチャー１体を対象とし、それの上に+1/+1カウンターを１個置く。</t>
  </si>
  <si>
    <t>あなたがアーティファクト呪文を唱えるたび、あなたは(１)を支払ってもよい。そうした場合、あなたは３点のライフを得る。</t>
  </si>
  <si>
    <t>活力の模範が戦場に出たとき、あなたがコントロールするクリーチャー１体を対象とし、それの上に-1/-1カウンターを３個置く。</t>
  </si>
  <si>
    <t>活力の模範が攻撃するたび、これの上から-1/-1カウンターを１個取り除く。そうしたなら、あなたは１点のライフを得る。</t>
  </si>
  <si>
    <t>永遠の証人が戦場に出たとき、あなたの墓地にあるカード１枚を対象とする。あなたはそれをあなたの手札に戻してもよい。</t>
  </si>
  <si>
    <t>あなたがコントロールする、+1/+1カウンターが置かれている各クリーチャーはトランプルを持つ。</t>
  </si>
  <si>
    <t>襲拳会の革命家が戦場に出たか死亡したとき、パーマネント１つかプレイヤー１人を対象とし、それが持つカウンター１種類につきそれぞれその種類のカウンターをもう１個、そのパーマネントの上に置くかそのプレイヤーに与える。</t>
  </si>
  <si>
    <t>高名２（このクリーチャーがプレイヤー１人に戦闘ダメージを与えたとき、これが高名でない場合、これの上に+1/+1カウンターを２個置く。これは高名になる。）</t>
  </si>
  <si>
    <t>あなたがコントロールするクリーチャーが１体高名になるたび、カードを１枚引く。</t>
  </si>
  <si>
    <t>アゾカンの射手が戦場に出たとき、他のクリーチャー１体を対象とする。あなたは「これはそれと格闘を行う。」を選んでもよい。（それぞれはもう一方に自身のパワーに等しい点数のダメージを与える。）</t>
  </si>
  <si>
    <t>ムウォンヴーリーの獣記しが戦場に出たとき、あなたのライブラリーから接死か呪禁か到達かトランプルを持つクリーチャー・カードを１枚探し、それを公開する。あなたのライブラリーを切り直し、そのカードをその一番上に置く。</t>
  </si>
  <si>
    <t>対戦相手があなたのターンに呪文を１つ唱えるたび、カードを１枚引く。</t>
  </si>
  <si>
    <t>対戦相手があなたのターンに呪文を１つ唱えるたび、カードを２枚引く。</t>
  </si>
  <si>
    <t>覚醒のドルイドが戦場に出たとき、森(Forest)１つを対象とする。それは覚醒のドルイドが戦場に出続けているかぎり、緑の4/5のツリーフォーク(Treefolk)・クリーチャーになる。それは土地でもある。</t>
  </si>
  <si>
    <t>ヤヴィマヤの女魔術師は、戦場に出ているエンチャント１つにつき+1/+1の修整を受ける。</t>
  </si>
  <si>
    <t>このターン、戦利品狩りによってダメージを与えられた飛行を持つクリーチャーが死亡するたび、戦利品狩りの上に+1/+1カウンターを１個置く。</t>
  </si>
  <si>
    <t>あなたがコントロールするアンタップ状態のクリーチャーを１体タップする：トーパの苦行者はターン終了時まで+1/+1の修整を受ける。</t>
  </si>
  <si>
    <t>邪悪の使者が戦場に出たとき、あなたのライブラリーの一番上からカードを４枚見る。あなたはそれらの中からクリーチャー・カード１枚を公開してあなたの手札に加えてもよい。残りをあなたのライブラリーの一番下に望む順番で置く。</t>
  </si>
  <si>
    <t>あなたが現出を持つ呪文を唱える間に邪悪の使者を生け贄に捧げたとき、無色の3/2のエルドラージ(Eldrazi)・ホラー(Horror)・クリーチャー・トークンを１体生成する。</t>
  </si>
  <si>
    <t>塩路補給部隊は+1/+1カウンターが２個置かれた状態で戦場に出る。</t>
  </si>
  <si>
    <t>あなたのアップキープの開始時に、対戦相手１人を対象とする。あなたの手札にあるカード１枚につき、増麻呂の末裔の上に+1/+1カウンターを１個置く。その後その対戦相手の手札にあるカード１枚につき、増麻呂の末裔から+1/+1カウンターを１個取り除く。</t>
  </si>
  <si>
    <t>銀皮の狼男がプレイヤー１人に戦闘ダメージを与えるたび、あなたはカードを１枚引く。</t>
  </si>
  <si>
    <t xml:space="preserve">あなたがスピリット(Spirit)か秘儀(Arcane)呪文を唱えるたび、あなたは武道家の学徒の上に気(ki)カウンターを１個置いてもよい。 </t>
  </si>
  <si>
    <t>ターン終了時に、武道家の学徒の上に気カウンターが２個以上置かれている場合、あなたは武道家の学徒を反転してもよい。</t>
  </si>
  <si>
    <t>樫倒しの伊馳我から気(ki)カウンターを１個取り除く：クリーチャー１体を対象とする。それはターン終了時まで+2/+2の修整を受ける。</t>
  </si>
  <si>
    <t>(Ｔ)：飛行を持つ攻撃しているクリーチャー１体を対象とする。フェメレフの射手はそれに４点のダメージを与える。</t>
  </si>
  <si>
    <t>茨橋の巡回兵がクリーチャー１体以上にダメージを与えるたび、調査を行う。（「(２),このアーティファクトを生け贄に捧げる：カードを１枚引く。」を持つ無色の手掛かり(Clue)アーティファクト・トークンを１つ生成する。）</t>
  </si>
  <si>
    <t>各終了ステップの開始時に、あなたがこのターンに手掛かりを３つ以上生け贄に捧げていた場合、あなたはあなたの手札からクリーチャー・カードを１枚戦場に出してもよい。</t>
  </si>
  <si>
    <t>あなたがコントロールする他の緑のクリーチャーは+1/+1の修整を受ける。</t>
  </si>
  <si>
    <t>(１)：あなたがコントロールするゴーレム１つを対象とし、それを再生する。</t>
  </si>
  <si>
    <t>あなたの終了ステップの開始時に、あなたがパワーが５以上のクリーチャーをコントロールしている場合、あなたはカードを１枚引いてもよい。</t>
  </si>
  <si>
    <t>圧倒 ― (Ｔ)：あなたのマナ・プールに(◇)(◇)(◇)を加える。この能力は、あなたがコントロールするクリーチャーのパワーの合計が８以上であるときにのみ起動できる。</t>
  </si>
  <si>
    <t>あなたが白か黒のパーマネントをコントロールしているかぎり、アブザンの族護衛は絆魂を持つ。</t>
  </si>
  <si>
    <t>窮地 ― あなたのライフが５点以下であるかぎり、あなたがコントロールする他のクリーチャーは警戒を持つ。</t>
  </si>
  <si>
    <t>あなたがコントロールするパーマネント１つが人間(Human)でないクリーチャーに変身するたび、緑の2/2の狼(Wolf)クリーチャー・トークンを１体生成する。</t>
  </si>
  <si>
    <t>メリーラの守り手の上にはカウンターを置くことができない。</t>
  </si>
  <si>
    <t>(３)(W)：人間(Human)１体を対象とする。ターン終了時まで、それは二段攻撃を得る。</t>
  </si>
  <si>
    <t>アナの戦闘魔道士が戦場に出たとき、それが(２)(U)でキッカーされていた場合、プレイヤー１人を対象とする。そのプレイヤーはカードを３枚捨てる。</t>
  </si>
  <si>
    <t>キッカー(２)(U)/(１)(B)（あなたがこの呪文を唱えるに際し、あなたは追加の(２)(U)か(１)(B)またはその両方を支払ってもよい。）</t>
  </si>
  <si>
    <t>アナの戦闘魔道士が戦場に出たとき、それが(１)(B)でキッカーされていた場合、アンタップ状態のクリーチャー１体を対象とし、それをタップする。そのクリーチャーはそれのコントローラーに、自身のパワーに等しい点数のダメージを与える。</t>
  </si>
  <si>
    <t>(R),(Ｔ)：クリーチャー１体を対象とする。それはターン終了時まで+2/+0の修整を受ける。</t>
  </si>
  <si>
    <t>(１)(G)：あなたの墓地にある基本土地カード１枚を対象とし、それをあなたの手札に戻す。</t>
  </si>
  <si>
    <t>Ｌｖアップ(２)(G)（(２)(G)：この上にＬｖ(level)カウンターを１個置く。Ｌｖアップはソーサリーとしてのみ行う。）</t>
  </si>
  <si>
    <t>紛争 ― 隠れた薬草医が戦場に出たとき、このターンにあなたがコントロールするパーマネントが戦場を離れていた場合、あなたのマナ・プールに(G)(G)を加える。</t>
  </si>
  <si>
    <t>(２)(G)：緑の1/1の苗木(Saproling)クリーチャー・トークンを１体生成する。</t>
  </si>
  <si>
    <t>(G)(G)</t>
  </si>
  <si>
    <t>(２)(G)：あなたのライブラリーの一番上から３枚のカードを見る。あなたはその中からクリーチャー・カードを１枚公開してあなたの手札に加えてもよい。残りをあなたのライブラリーの一番下に望む順番で置く。</t>
  </si>
  <si>
    <t>(１)(G)(G)</t>
  </si>
  <si>
    <t>長久(G)（(G),(Ｔ)：このクリーチャーの上に+1/+1カウンターを１個置く。長久はソーサリーとしてのみ行う。）</t>
  </si>
  <si>
    <t>(１)(G)：飛行を持つクリーチャー１体を対象とする。戦利品狩りはそれに１点のダメージを与える。</t>
  </si>
  <si>
    <t>(２)(G),塩路補給部隊から+1/+1カウンターを１個取り除く：クリーチャー１体を対象とし、それの上に+1/+1カウンターを１個置く。</t>
  </si>
  <si>
    <t>(Ｔ)：あなたのマナ・プールに(G)か(U)を加える。あなたがニッサ(Nissa)・プレインズウォーカーをコントロールしているなら、あなたは２点のライフを得る。</t>
  </si>
  <si>
    <t>上陸 ― 土地が１つあなたのコントロール下で戦場に出るたび、あなたは(３)(G)を支払ってもよい。そうしたなら、ムラーサのレインジャーの上に+1/+1カウンターを２個置く。</t>
  </si>
  <si>
    <t>(G),(Ｔ)：あなたがコントロールする他の緑のクリーチャー１体を対象とする。それはターン終了時までトランプルを得る。（それが自身をブロックしているすべてのクリーチャーを破壊するのに十分なダメージを割り振ったなら、あなたはそれの残りのダメージを防御プレイヤーかプレインズウォーカーに割り振ってもよい。）</t>
  </si>
  <si>
    <t>(G)：ウルヴェンワルドの根源を再生する。</t>
  </si>
  <si>
    <t>(Ｔ)：あなたのマナ・プールに、あなたの緑への信心に等しい点数の(G)を加える。（あなたの緑への信心は、あなたがコントロールするパーマネントのマナ・コストに含まれる(G)の数に等しい。）</t>
  </si>
  <si>
    <t>名誉ある教主が高名であるかぎり、これは警戒と「(Ｔ)：あなたのマナ・プールに、好きな色１色のマナ１点を加える。」を持つ。</t>
  </si>
  <si>
    <t>英雄的 ― あなたがレイナ塔の英雄を対象とする呪文を１つ唱えるたび、あなたは(Ｘ)を支払ってもよい。そうしたなら、レイナ塔の英雄の上に+1/+1カウンターをＸ個置く。</t>
  </si>
  <si>
    <t>(Ｘ),(Ｔ)：土地Ｘ個を対象とし、それをアンタップする。</t>
  </si>
  <si>
    <t>あなたは毒(poison)カウンターを得られない。</t>
  </si>
  <si>
    <t>あなたがコントロールするクリーチャーは、その上に-1/-1カウンターを置くことができない。</t>
  </si>
  <si>
    <t>あなたの対戦相手がコントロールするクリーチャーは感染を失う。</t>
  </si>
  <si>
    <t>変異(２)（あなたはこのカードを、(３)で2/2クリーチャーとして裏向きに唱えてもよい。これの変異コストで、これをいつでも表向きにしてもよい。）</t>
  </si>
  <si>
    <t>あなたがコントロールする他の人間(Human)クリーチャーは+1/+1の修整を受ける。</t>
  </si>
  <si>
    <t>あなたがコントロールする他の狼男(Werewolf)か狼(Wolf)である各クリーチャーはそれぞれ+1/+1の修整を受ける。</t>
  </si>
  <si>
    <t>あなたの終了ステップの開始時に、緑の2/2の狼クリーチャー・トークンを１体生成する。</t>
  </si>
  <si>
    <t>(Ｔ)：カードを１枚引く。この能力は、あなたの手札にカードがちょうど７枚ある場合にのみ起動できる。</t>
  </si>
  <si>
    <t>(Ｔ)：あなたは、あなたの手札にある土地カードを１枚戦場に出してもよい。あなたが１０以上の土地をコントロールしている場合、武道家の庭師を反転する。</t>
  </si>
  <si>
    <t>棲み家の防御者よりパワーの小さいクリーチャーでは、これをブロックできない。</t>
  </si>
  <si>
    <t>棲み家の防御者が表向きになったとき、あなたの墓地にあるカード１枚を対象とし、それをあなたの手札に戻す。</t>
  </si>
  <si>
    <t>(Ｔ)：あなたのマナ・プールに好きな色１色のマナＸ点を加える。Ｘはあなたがコントロールする同盟者(Ally)の総数である。</t>
  </si>
  <si>
    <t>・ターン終了時まで、肌変わりは基本のパワーとタフネスが4/4のサイ(Rhino)になるとともにトランプルを得る。この能力は、各ターンに１回のみ起動できる。</t>
  </si>
  <si>
    <t>・ターン終了時まで、肌変わりは基本のパワーとタフネスが2/2の鳥(Bird)になるとともに飛行を得る。この能力は、各ターンに１回のみ起動できる。</t>
  </si>
  <si>
    <t>・ターン終了時まで、肌変わりは基本のパワーとタフネスが0/8の植物(Plant)になる。この能力は、各ターンに１回のみ起動できる。</t>
  </si>
  <si>
    <t>昂揚 ― あなたの墓地にあるカードにカード・タイプが合計４種類以上含まれるかぎり、死天狗茸の栽培者は接死を持つ。</t>
  </si>
  <si>
    <t>媒介者の修練者が戦場に出たとき、あなたがコントロールするクリーチャー１体を対象とし、それの上に-1/-1カウンターを３個置く。</t>
  </si>
  <si>
    <t>(Ｔ),媒介者の修練者の上から-1/-1カウンターを１個取り除く：あなたのマナ・プールに好きな色１色のマナ１点を加える。</t>
  </si>
  <si>
    <t>プレイヤーは、自分のターンの間にしか呪文を唱えられない。</t>
  </si>
  <si>
    <t>(Ｔ)：あなたのマナ・プールに好きな色１色のマナ３点を加える。このマナは、クリーチャー呪文を唱えるためにのみ使用できる。</t>
  </si>
  <si>
    <t>(Ｔ),エムラクールの福音者と、望む数の他のエルドラージ(Eldrazi)でないクリーチャーを生け贄に捧げる：これにより生け贄に捧げられたクリーチャー１体につき、無色の3/2のエルドラージ・ホラー(Horror)・クリーチャー・トークンを１体生成する。</t>
  </si>
  <si>
    <t>ラムホルトの勇者のパワーより小さいパワーを持つクリーチャーでは、あなたがコントロールするクリーチャーをブロックできない。</t>
  </si>
  <si>
    <t>他のクリーチャーが１体あなたのコントロール下で戦場に出るたび、ラムホルトの勇者の上に+1/+1カウンターを１個置く。</t>
  </si>
  <si>
    <t>土地が１つあなたのコントロール下で戦場に出るたび、調査を行う。（「(２),このアーティファクトを生け贄に捧げる：カードを１枚引く。」を持つ無色の手掛かり(Clue)アーティファクト・トークンを１つ生成する。）</t>
  </si>
  <si>
    <t>あなたが手掛かりを１つ生け贄に捧げるたび、不屈の追跡者の上に+1/+1カウンターを１個置く。</t>
  </si>
  <si>
    <t>あなたは自分の各ターンに、追加の土地を２枚プレイしてもよい。</t>
  </si>
  <si>
    <t>(Ｔ)：飛行を持つクリーチャー１体を対象とする。夜明けのレインジャーはそれに２点のダメージを与える。</t>
  </si>
  <si>
    <t>あなたが伝説の呪文を唱えるたび、カードを１枚引く。</t>
  </si>
  <si>
    <t>悟りの武士、勲雄は打ち消されない。</t>
  </si>
  <si>
    <t>(２)：侍(Samurai)１つを対象とし、それを再生する。</t>
  </si>
  <si>
    <t>野生の獣使いが攻撃するたび、あなたがコントロールする他の各クリーチャーはターン終了時までそれぞれ+X/+Xの修整を受ける。Ｘは野生の獣使いのパワーである。</t>
  </si>
  <si>
    <t>素拳の岩守が戦場に出たとき、各対戦相手は自分の手札から伝説のクリーチャー・カードを１枚、戦場に出してもよい。</t>
  </si>
  <si>
    <t>圧倒 ― あなたのターンの戦闘の開始時に、あなたがコントロールするクリーチャーのパワーの合計が８以上である場合、あなたがコントロールするクリーチャー１体を対象とする。ターン終了時まで、それは速攻を得る。</t>
  </si>
  <si>
    <t>皇帝の先兵がプレイヤー１人に戦闘ダメージを与えるたび、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</si>
  <si>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ケッシグの檻破りが攻撃するたび、あなたの墓地にあるクリーチャー・カード１枚につき、タップ状態で攻撃している緑の2/2の狼(Wolf)クリーチャー・トークンを１体生成する。</t>
  </si>
  <si>
    <t>古き知恵の賢者のパワーとタフネスはそれぞれ、あなたの手札にあるカードの総数に等しい。</t>
  </si>
  <si>
    <t>古き知恵の賢者が戦場に出たとき、カードを１枚引く。</t>
  </si>
  <si>
    <t>警戒、トランプル</t>
  </si>
  <si>
    <t>古き飢えの人狼のパワーとタフネスはそれぞれ、すべてのプレイヤーの手札にあるカードの総数の合計に等しい。</t>
  </si>
  <si>
    <t>英雄的 ― あなたがセテッサの英雄、アンソーザを対象とする呪文を１つ唱えるたび、あなたがコントロールする土地を最大３つまで対象とする。ターン終了時まで、それらはそれぞれ2/2の戦士(Warrior)クリーチャーになる。それらは土地でもある。</t>
  </si>
  <si>
    <t>森(Forest)が１つ戦場に出るたび、あなたがコントロールする緑のクリーチャーは、ターン終了時まで+1/+1の修整を受けるとともにトランプルを得る。</t>
  </si>
  <si>
    <t>壮大 ― 他の《クローサの拳バルー/Baru, Fist of Krosa》という名前のカードを１枚捨てる：緑のX/Xのワーム(Wurm)・クリーチャー・トークンを１体生成する。Ｘはあなたがコントロールする土地の数である。</t>
  </si>
  <si>
    <t>ティムールの戦巫師が戦場に出たとき、あなたのライブラリーの一番上のカードを予示する。（それを裏向きの状態で2/2クリーチャーとして戦場に出す。それがクリーチャー・カードであるなら、そのマナ・コストでいつでも表向きにしてよい。）</t>
  </si>
  <si>
    <t>あなたがコントロールするパーマネントが１つ表向きになるたび、それがクリーチャーである場合、あなたがコントロールしていないクリーチャー１体を対象とする。あなたは「その表向きになったパーマネントはそれと格闘を行う」ことを選んでもよい。</t>
  </si>
  <si>
    <t>(１)：あなたがコントロールするクリーチャー１体を対象とする。それはターン終了時まで基本のパワーとタフネスが7/7である。</t>
  </si>
  <si>
    <t>(R),(Ｔ)：クリーチャー１体を対象とする。黄昏の捕食者はそれと格闘を行う。（それぞれはもう一方に自身のパワーに等しい点数のダメージを与える。）</t>
  </si>
  <si>
    <t>各プレイヤーの戦闘前メイン・フェイズの開始時に、そのプレイヤーのマナ・プールに(G)(G)を加える。</t>
  </si>
  <si>
    <t>(１)(G),(Ｔ)：あなたがコントロールするクリーチャー１体を対象とし、他のクリーチャー１体を対象とする。その前者はその後者と格闘を行う。</t>
  </si>
  <si>
    <t>(２)(G),(Ｔ)：無色の1/1の霊気装置(Servo)アーティファクト・クリーチャー・トークンを１体生成する。</t>
  </si>
  <si>
    <t>(４)(G),(Ｔ)：無色のX/Xの構築物(Construct)アーティファクト・クリーチャー・トークンを１体生成する。Ｘはあなたがコントロールするクリーチャーの総数に等しい。</t>
  </si>
  <si>
    <t>(１)(G)：狼に噛まれた囚人はターン終了時まで+2/+2の修整を受ける。この能力は、各ターンに１回のみ起動できる。</t>
  </si>
  <si>
    <t>(３)(G)：爪の群れの殺人者はターン終了時まで+4/+4の修整を受ける。この能力は、各ターンに１回のみ起動できる。</t>
  </si>
  <si>
    <t>(Ｔ)：あなたのマナ・プールに(G)か(W)か(U)を加える。</t>
  </si>
  <si>
    <t>(Ｔ)：あなたのマナ・プールに(G)か(U)か(R)を加える。</t>
  </si>
  <si>
    <t>爪鳴らしの神秘家が表向きになったとき、あなたのマナ・プールに(G)(U)(R)を加える。</t>
  </si>
  <si>
    <t>Ｌｖアップ(１)(G)（(１)(G)：この上にＬｖ(level)カウンターを１個置く。Ｌｖアップはソーサリーとしてのみ行う。）</t>
  </si>
  <si>
    <t>(４)(G)(G),(Ｔ)：緑のX/Xのエレメンタル(Elemental)・クリーチャー・トークンを１体生成する。Ｘはあなたがコントロールする土地の数である。</t>
  </si>
  <si>
    <t>大変異(１)(G)（あなたはこのカードを、(３)で2/2クリーチャーとして裏向きに唱えてもよい。これの大変異コストで、これをいつでも表向きにしてもよい。そうしたなら、これの上に+1/+1カウンターを１個置く。）</t>
  </si>
  <si>
    <t>(G)：以下から１つを選ぶ。</t>
  </si>
  <si>
    <t>(Ｔ)：あなたのマナ・プールに(B)か(G)を加える。</t>
  </si>
  <si>
    <t>(２)(G),(Ｔ),放浪の吟遊詩人、イーサーンの上に詩句(verse)カウンターを１個置く：あなたのライブラリーから、放浪の吟遊詩人、イーサーンの上に置かれている詩句カウンターの総数に等しい点数で見たマナ・コストを持つクリーチャー・カードを１枚探し、それを戦場に出し、その後あなたのライブラリーを切り直す。</t>
  </si>
  <si>
    <t>(３)(G)：クリーチャー１体を対象とする。それはターン終了時まで+X/+Xの修整を受ける。Ｘは、あなたがコントロールするクリーチャーの数である。</t>
  </si>
  <si>
    <t>恭しき狩人が戦場に出たとき、この上にあなたの緑への信心に等しい数の+1/+1カウンターを置く。（あなたの緑への信心は、あなたがコントロールするパーマネントのマナ・コストに含まれる(G)の数に等しい。）</t>
  </si>
  <si>
    <t>(３)(G)(G)</t>
  </si>
  <si>
    <t>(４)(G)(G)</t>
  </si>
  <si>
    <t>(７)(G)</t>
  </si>
  <si>
    <t>あなたのターンの戦闘の開始時に、龍爪のヤソヴァよりもパワーの小さい、対戦相手がコントロールするクリーチャー１体を対象とする。あなたは(１)(U/R)(U/R)を支払ってもよい。そうしたなら、ターン終了時までそれのコントロールを得る。そのクリーチャーをアンタップする。ターン終了時までそれは速攻を得る。</t>
  </si>
  <si>
    <t>(Ｔ)：あなたのマナ・プールに、好きな色の組み合わせのマナ２点を加える。このマナは、クリーチャー呪文を唱えるためにのみ使用できる。</t>
  </si>
  <si>
    <t>あなたのアップキープの開始時に、緑の2/2の狼(Wolf)クリーチャー・トークンを１体生成する。</t>
  </si>
  <si>
    <t>(Ｔ)：クリーチャー１体を対象とする。あなたがコントロールするすべてのアンタップ状態の狼をタップする。これによりタップされた各狼は、それぞれそのクリーチャーに、自身のパワーに等しい点数のダメージを与える。そのクリーチャーは、自身のパワーに等しい点数のダメージを、それのコントローラーの望むように、それらの狼に割り振って与える。</t>
  </si>
  <si>
    <t>圧倒 ― (９)(G)(G),(Ｔ)：各プレイヤーのライフの総量は、そのプレイヤーがコントロールするクリーチャーの総数に等しくなる。この能力は、あなたがコントロールするクリーチャーのパワーの合計が８以上であるときにのみ起動できる。</t>
  </si>
  <si>
    <t>(１)(W/B)：始まりの木の管理人は基本のパワーとタフネスが3/3の人間(Human)・戦士(Warrior)になる。</t>
  </si>
  <si>
    <t>(２)(W/B)(W/B)：始まりの木の管理人が戦士であるなら、これはトランプルと絆魂を持つ人間・スピリット(Spirit)・戦士になる。</t>
  </si>
  <si>
    <t>(３)(W/B)(W/B)(W/B)：始まりの木の管理人がスピリットであるなら、これの上に+1/+1カウンターを５個置く。</t>
  </si>
  <si>
    <t>返済代理人が戦場に出たとき、あなたがコントロールする他のクリーチャー１体を対象とする。あなたはそれをオーナーの手札に戻してもよい。</t>
  </si>
  <si>
    <t>(Ｔ)：クリーチャー１体を対象とし、それをタップする。</t>
  </si>
  <si>
    <t>Alara Reborn</t>
  </si>
  <si>
    <t>(W)(U)</t>
  </si>
  <si>
    <t>(２)(W)(U)</t>
  </si>
  <si>
    <t>(２)(W/U)</t>
  </si>
  <si>
    <t>（(W/U)は(W)でも(U)でも支払うことができる。）</t>
  </si>
  <si>
    <t>(Ｔ)：クリーチャー１体を対象とする。このターン、それはブロックされない。</t>
  </si>
  <si>
    <t>反射魔道士が戦場に出たとき、対戦相手がコントロールするクリーチャー１体を対象とし、それをオーナーの手札に戻す。あなたの次のターンまで、そのクリーチャーのオーナーはそれと同じ名前を持つ呪文を唱えられない。</t>
  </si>
  <si>
    <t>パーマネントが１つあなたの手札に戻るたび、あなたは(１)を支払ってもよい。そうした場合、カードを１枚引く。</t>
  </si>
  <si>
    <t>尖塔の巡回員が戦場に出たとき、対戦相手がコントロールするクリーチャー１体を対象とし、それをタップする。そのクリーチャーは、それのコントローラーの次のアンタップ・ステップにアンタップしない。</t>
  </si>
  <si>
    <t>空の軽騎兵が戦場に出たとき、あなたがコントロールするクリーチャーをすべてアンタップする。</t>
  </si>
  <si>
    <t>予見 ― あなたがコントロールするアンタップ状態の白か青のクリーチャーを２体タップする,あなたの手札から空の軽騎兵を公開する：カードを１枚引く。（この能力は、あなたのアップキープの間にのみ、各ターンに１回のみ起動できる。）</t>
  </si>
  <si>
    <t>雲先案内人が戦場に出たとき、あなたは２点のライフを得て、カードを２枚引く。</t>
  </si>
  <si>
    <t>(１)(W)(U)</t>
  </si>
  <si>
    <t>(３)(W)(U)</t>
  </si>
  <si>
    <t>(W)(U)：クリーチャー１体を対象とする。それはターン終了時まで飛行を得る。</t>
  </si>
  <si>
    <t>あなたのターンの戦闘の開始時に、あなたがコントロールするクリーチャー・トークン１体を対象とする。ターン終了時まで、それは+1/+1の修整を受けるとともに、このターン、それはブロックされない。</t>
  </si>
  <si>
    <t>翻弄する魔道士が戦場に出るに際し、土地でないカード名を１つ選ぶ。</t>
  </si>
  <si>
    <t>選ばれた名前を持つ呪文は唱えられない。</t>
  </si>
  <si>
    <t>賄賂カウンターが置かれているクリーチャーは、攻撃したりブロックしたりできない。</t>
  </si>
  <si>
    <t>メレティスのダクソスはパワーが３以上のクリーチャーによってはブロックされない。</t>
  </si>
  <si>
    <t>メレティスのダクソスがプレイヤー１人に戦闘ダメージを与えるたび、そのプレイヤーのライブラリーの一番上のカードを追放する。あなたはそのカードの点数で見たマナ・コストに等しい点数のライフを得る。ターン終了時まで、あなたは任意のマナをいずれかの色のマナであるかのように支払ってそのカードを唱えてもよい。</t>
  </si>
  <si>
    <t>あなたが唱える白の呪文は、それを唱えるためのコストが(１)少なくなる。</t>
  </si>
  <si>
    <t>あなたが唱える青の呪文は、それを唱えるためのコストが(１)少なくなる。</t>
  </si>
  <si>
    <t>対戦相手が唱える呪文は、それを唱えるためのコストが(１)多くなる。</t>
  </si>
  <si>
    <t>第10管区のラヴィニアが戦場に出たとき、あなたの対戦相手がコントロールする点数で見たマナ・コストが４以下の土地でない各パーマネントを留置する。（あなたの次のターンまで、それらのパーマネントでは攻撃もブロックもできず、それらの起動型能力を起動できない。）</t>
  </si>
  <si>
    <t>あなたのアップキープの開始時に、アゾールの雄弁家の上に牛歩(filibuster)カウンターを１個置く。その後、アゾールの雄弁家の上に牛歩カウンターが５個以上置かれている場合、あなたはこのゲームに勝利する。</t>
  </si>
  <si>
    <t>発生源１つがあなたにダメージを与えるたび、アゾールの雄弁家から牛歩カウンターを１個取り除く。</t>
  </si>
  <si>
    <t>(Ｔ)：攻撃しているクリーチャー１体を対象とし、それをアンタップする。このターン、そのクリーチャーが与える戦闘ダメージと、そのクリーチャーに与えられるすべての戦闘ダメージを軽減する。</t>
  </si>
  <si>
    <t>(５)(W)(U)</t>
  </si>
  <si>
    <t>(W)(U),(Ｔ)：あなたがコントロールしていないクリーチャー１体を対象とし、それの上に賄賂(bribery)カウンターを１個置く。それのコントローラーはカードを１枚引く。</t>
  </si>
  <si>
    <t>不朽(３)(W)(U)（(３)(W)(U),あなたの墓地からこのカードを追放する：マナ・コストと不朽を持たない白のゾンビ(Zombie)・人間(Human)・クレリック(Cleric)であることを除き、これのコピーであるトークンを１体生成する。ナクタムンの侍臣、テムメトはソーサリーとしてのみ行う。）</t>
  </si>
  <si>
    <t>待機４ ― (W)(U)（このカードをあなたの手札から唱えるのではなく、(W)(U)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それは速攻を持つ。）</t>
  </si>
  <si>
    <t>(３)(W/U)(W/U)</t>
  </si>
  <si>
    <t>不可侵議員が戦場に出るに際し、クリーチャーでも土地でもないカード名を１つ選ぶ。</t>
  </si>
  <si>
    <t>あなたの対戦相手は選ばれた名前を持つ呪文を唱えられない。</t>
  </si>
  <si>
    <t>あなたが唱える選ばれた名前を持つ呪文は、それを唱えるためのコストが(２)少なくなる。</t>
  </si>
  <si>
    <t>(２),(Ｔ)：プレイヤー１人を対象とする。そのプレイヤーのライブラリーの一番上のカードを見る。あなたはそのカードを、そのプレイヤーの墓地に置いてもよい。</t>
  </si>
  <si>
    <t>死教団のならず者はならず者(Rogue)によってしかブロックされない。</t>
  </si>
  <si>
    <t>意思切る者が戦場に出たとき、プレイヤー１人を対象とする。そのプレイヤーのライブラリーのカードを上から３枚見る。その後、それらを望む順番で戻す。</t>
  </si>
  <si>
    <t>(２)(U)(B)</t>
  </si>
  <si>
    <t>(３)(U)(B)</t>
  </si>
  <si>
    <t>(U)(B)：ヴェクティスの工作員はターン終了時まで-2/-0の修整を受けるとともに、このターン、それはブロックされない。</t>
  </si>
  <si>
    <t>(１)(U/B)</t>
  </si>
  <si>
    <t>(１)(U/B)(U/B)</t>
  </si>
  <si>
    <t>（(U/B)は(U)でも(B)でも支払うことができる。）</t>
  </si>
  <si>
    <t>サイクリング(U/B)（(U/B),このカードを捨てる：カードを１枚引く。）</t>
  </si>
  <si>
    <t>あなたがカードを１枚サイクリングするか捨てるたび、ターン終了時まで、影嵐の侍臣は+1/+1の修整を受ける。</t>
  </si>
  <si>
    <t>神啓 ― 欺瞞の信奉者がアンタップ状態になるたび、あなたは土地でないカードを１枚捨ててもよい。そうしたなら、あなたのライブラリーからそのカードと同じ点数で見たマナ・コストを持つカードを１枚探し、それを公開してあなたの手札に加え、その後あなたのライブラリーを切り直す。</t>
  </si>
  <si>
    <t>(Ｔ)：カードを１枚引き、その後、あなたの手札からカードを１枚裏向きで追放する。</t>
  </si>
  <si>
    <t>あなたは破滅小径の仲介人によって追放されたカードを見てもよい。</t>
  </si>
  <si>
    <t>巧射艦隊の喧嘩屋がプレイヤー１人に戦闘ダメージを与えるたび、あなたが都市の承認を持っている場合、カードを１枚引く。</t>
  </si>
  <si>
    <t>巧射艦隊の略取者は、あなたがコントロールしているアーティファクト１つにつき+1/+1の修整を受ける。</t>
  </si>
  <si>
    <t>(３)(U)：プレイヤー１人を対象とする。そのプレイヤーはカードを１枚引く。この能力は、あなたがソーサリーを唱えられるときにのみ起動できる。</t>
  </si>
  <si>
    <t>(U)(B)</t>
  </si>
  <si>
    <t>(１)(U)(B)</t>
  </si>
  <si>
    <t>(１)(U)(B)：このターン、カードが１枚いずれかの領域から対戦相手１人の墓地に置かれるたび、そのプレイヤーは１点のライフを失う。</t>
  </si>
  <si>
    <t>(U)(B),(Ｔ)：プレイヤー１人を対象とする。そのプレイヤーは１点のライフを失い、自分の手札を公開する。</t>
  </si>
  <si>
    <t>(２)(U)(B)：プレイヤー１人を対象とする。そのプレイヤーは、自分のライブラリーの一番上から２枚のカードを自分の墓地に置く。</t>
  </si>
  <si>
    <t>(２)(U)(B)：「(Ｔ),このアーティファクトを生け贄に捧げる：あなたのマナ・プールに好きな色１色のマナ１点を加える。」を持つ無色の宝物(Treasure)アーティファクト・トークンを１つ生成する。</t>
  </si>
  <si>
    <t>(３)(B)：プレイヤー１人を対象とする。そのプレイヤーはカードを１枚捨てる。この能力は、あなたがソーサリーを唱えられるときにのみ起動できる。</t>
  </si>
  <si>
    <t>(U)(B),(Ｔ)：破滅小径の仲介人で追放されたカードを１枚オーナーの手札に戻す。</t>
  </si>
  <si>
    <t>(U/B)(U/B)</t>
  </si>
  <si>
    <t>畏怖（このクリーチャーは、黒でもアーティファクトでもないクリーチャーによってはブロックされない。）</t>
  </si>
  <si>
    <t>影魔道士の浸透者がプレイヤーに戦闘ダメージを与えるたび、あなたはカードを１枚引いてもよい。</t>
  </si>
  <si>
    <t>人質取りが戦場に出たとき、アーティファクト１つかクリーチャー１体を対象とし、人質取りが戦場を離れるまでそれを追放する。そのカードが追放され続けているかぎり、あなたはそのカードを唱えてもよい。あなたは、その呪文を唱えるために、任意のマナを望むタイプのマナであるかのように支払ってもよい。</t>
  </si>
  <si>
    <t>対戦相手１人が自分の各ドロー・ステップで引く１枚目のカード以外にカードを１枚引く場合、代わりにそのプレイヤーはそのドローを飛ばし、あなたはカードを１枚引く。</t>
  </si>
  <si>
    <t>あなたが青の呪文を唱えるたび、ライブラリー１つを対象とし、その一番上のカードを追放する。</t>
  </si>
  <si>
    <t>あなたが黒の呪文を唱えるたび、ライブラリー１つを対象とし、その一番上のカードを追放する。</t>
  </si>
  <si>
    <t>あなたの対戦相手は、ディミーアの脳外科医、シアクーによって追放されたカードと同じ名前を持つ呪文を唱えられない。</t>
  </si>
  <si>
    <t>Odyssey</t>
  </si>
  <si>
    <t>ギサとゲラルフが戦場に出たとき、あなたのライブラリーの一番上からカードを４枚あなたの墓地に置く。</t>
  </si>
  <si>
    <t>あなたの各ターンの間、あなたはあなたの墓地からゾンビ(Zombie)・クリーチャー・カードを１枚唱えてもよい。</t>
  </si>
  <si>
    <t>(B/R)(B/R)</t>
  </si>
  <si>
    <t>(Ｔ)：クリーチャー１体を対象とする。血の信者はそれに１点のダメージを与える。</t>
  </si>
  <si>
    <t>このターンに血の信者によってダメージを与えられたクリーチャーが１体死亡するたび、血の信者の上に+1/+1カウンターを１個置く。</t>
  </si>
  <si>
    <t>あなたのターンの戦闘の開始時に、あなたがコントロールするアーティファクト・クリーチャー１体を対象とする。ターン終了時まで、それは+2/+0の修整を受ける。</t>
  </si>
  <si>
    <t>(B)(R)</t>
  </si>
  <si>
    <t>(１)(B)(R)</t>
  </si>
  <si>
    <t>(B)(R)：ブロックしているクリーチャー１体を対象とする。それはターン終了時まで-1/-1の修整を受ける。</t>
  </si>
  <si>
    <t>(B)(R)：このターンにライフを失ったプレイヤー１人を対象とする。そのプレイヤーは１点のライフを失う。</t>
  </si>
  <si>
    <t>(２),クリーチャーを１体、生け贄に捧げる：クリーチャー１体かプレイヤー１人を対象とする。生け贄に捧げられたクリーチャーが赤である場合、血の魔女リゾルダはそれに２点のダメージを与える。生け贄に捧げられたクリーチャーが黒である場合、カードを１枚引く。</t>
  </si>
  <si>
    <t>(Ｔ)：対戦相手１人を対象とする。あなたの手札を公開し、そのプレイヤーが選んだカードを１枚捨てる。その後そのプレイヤーは自分の手札を公開し、あなたが選んだカードを１枚捨てる。この能力は、あなたがソーサリーを唱えられるときにのみ起動できる。</t>
  </si>
  <si>
    <t>あなたがコントロールする+1/+1カウンターが置かれている他の各クリーチャーは速攻を持つ。</t>
  </si>
  <si>
    <t>対戦相手１人が呪文を唱えるたび、クリーチャー１体かプレイヤー１人を対象とする。無慈悲なる者ケアヴェクはそれに、その呪文の点数で見たマナ・コストに等しい点数のダメージを与える。</t>
  </si>
  <si>
    <t>(B)(B)(R)</t>
  </si>
  <si>
    <t>(２)(B)(R)</t>
  </si>
  <si>
    <t>(５)(B)(R)</t>
  </si>
  <si>
    <t>野生の朗詠者を生け贄に捧げる：あなたのマナ・プールに、好きな色のマナ１点を加える。</t>
  </si>
  <si>
    <t>あなたがマナを引き出す目的でザル＝ターのドルイドをタップするたび、これは各対戦相手にそれぞれ１点のダメージを与える。</t>
  </si>
  <si>
    <t>(R)(G)</t>
  </si>
  <si>
    <t>炎樹族の使者が戦場に出たとき、あなたのマナ・プールに(R)(G)を加える。</t>
  </si>
  <si>
    <t>(R/G)</t>
  </si>
  <si>
    <t>(R/G)(R/G)</t>
  </si>
  <si>
    <t>（(R/G)は(R)でも(G)でも支払うことができる。）</t>
  </si>
  <si>
    <t>通電の喧嘩屋が戦場に出たとき、あなたは(Ｅ)(Ｅ)（エネルギー・カウンター２個）を得る。</t>
  </si>
  <si>
    <t>通電の喧嘩屋が攻撃するたび、あなたは(Ｅ)を支払ってもよい。そうしたなら、ターン終了時まで、これは+1/+1の修整を受けるとともにトランプルを得る。</t>
  </si>
  <si>
    <t>ヴィティアの背教者が戦場に出たとき、アーティファクト１つを対象とし、それを破壊する。</t>
  </si>
  <si>
    <t>(３)(R),土地を１つ生け贄に捧げる：プレイヤー１人を対象とする。グルールのギルド魔道士はそれに２点のダメージを与える。</t>
  </si>
  <si>
    <t>(１)(R)(G)</t>
  </si>
  <si>
    <t>(R)(G)：あなたがコントロールするクリーチャーは、ターン終了時までトランプルを得る。</t>
  </si>
  <si>
    <t>(１)(R)(G)：ターン終了時まで、執拗な狩人は+1/+1の修整を受けるとともにトランプルを得る。</t>
  </si>
  <si>
    <t>(１)(R)(G)：あなたがコントロールする土地１つを対象とする。それはターン終了時まで4/4のエレメンタル(Elemental)・クリーチャーになる。それは土地でもある。</t>
  </si>
  <si>
    <t>(３)(G)：クリーチャー１体を対象とする。それはターン終了時まで+2/+2の修整を受ける。</t>
  </si>
  <si>
    <t>瓦礫帯の略奪者が攻撃するたび、それの上にあなたがコントロールする攻撃クリーチャー１体につき+1/+1カウンターを１個置く。</t>
  </si>
  <si>
    <t>(１)(R/G)(R/G)(R/G)</t>
  </si>
  <si>
    <t>このクリーチャーが戦場に出るか《高原の狩りの達人/Huntmaster of the Fells》に変身するたび、緑の2/2の狼(Wolf)クリーチャー・トークンを１体生成し、あなたは２点のライフを得る。</t>
  </si>
  <si>
    <t>各アップキープの開始時に、直前のターンに呪文が唱えられていなかった場合、高原の狩りの達人を変身させる。</t>
  </si>
  <si>
    <t>このクリーチャーが《高原の荒廃者/Ravager of the Fells》に変身するたび、対戦相手１人を対象とし、そのプレイヤーがコントロールするクリーチャーを最大１体まで対象とする。高原の荒廃者はそのプレイヤーに２点のダメージを与え、そのクリーチャーに２点のダメージを与える。</t>
  </si>
  <si>
    <t>各アップキープの開始時に、直前のターンにプレイヤー１人が呪文を２つ以上唱えていた場合、高原の荒廃者を変身させる。</t>
  </si>
  <si>
    <t>二段攻撃、警戒、速攻</t>
  </si>
  <si>
    <t>あなたがコントロールする他のクリーチャーは速攻を持つ。</t>
  </si>
  <si>
    <t>このクリーチャーが戦場に出るか爪の群れのウルリッチに変身するたび、クリーチャー１体を対象とする。ターン終了時まで、それは+4/+4の修整を受ける。</t>
  </si>
  <si>
    <t>各アップキープの開始時に、直前のターンに呪文が唱えられていなかった場合、爪の群れのウルリッチを変身させる。</t>
  </si>
  <si>
    <t>このクリーチャーが揺るぎない頭目、ウルリッチに変身するたび、あなたがコントロールしておらず狼男(Werewolf)でないクリーチャー１体を対象とする。あなたは「このクリーチャーはそれと格闘を行う。」を選んでもよい。</t>
  </si>
  <si>
    <t>各アップキープの開始時に、直前のターンにプレイヤー１人が２つ以上の呪文を唱えていた場合、揺るぎない頭目、ウルリッチを変身させる。</t>
  </si>
  <si>
    <t>(W),(Ｔ)：他のクリーチャー１体を対象とし、それをアンタップする。</t>
  </si>
  <si>
    <t>(２)(R)(G)</t>
  </si>
  <si>
    <t>(３)(R)(G)</t>
  </si>
  <si>
    <t>(G)(W)</t>
  </si>
  <si>
    <t>アゾカンの予見者を生け贄に捧げる：あなたの墓地から恐竜(Dinosaur)カード１枚を対象とし、それをあなたの手札に戻す。</t>
  </si>
  <si>
    <t>紛争 ― 改革派の結集者が戦場に出たとき、このターンにあなたがコントロールするパーマネントが戦場を離れていた場合、あなたの墓地から点数で見たマナ・コストが２以下のパーマネント・カード１枚を対象とし、それを戦場に戻す。</t>
  </si>
  <si>
    <t>他のクリーチャーがあなたのコントロール下で戦場に出るたび、そのクリーチャーの上に+1/+1カウンターを１個置き、柏槙教団のレインジャーの上に+1/+1カウンターを１個置く。</t>
  </si>
  <si>
    <t>(１)(G)(W)</t>
  </si>
  <si>
    <t>(２)(G)(W)</t>
  </si>
  <si>
    <t>(３)(G)(W)</t>
  </si>
  <si>
    <t>サッフィー・エリクスドッターを生け贄に捧げる：クリーチャー１体を対象とする。このターン、それが戦場からあなたの墓地に置かれたとき、そのカードを戦場に戻す。</t>
  </si>
  <si>
    <t>結び蔦の聖騎士が攻撃するたび、それはターン終了時まであなたがコントロールするアンタップ状態のクリーチャー１体につき+1/+1の修整を受ける。</t>
  </si>
  <si>
    <t>聖遺の騎士は、あなたの墓地にある土地カード１枚につき+1/+1の修整を受ける。</t>
  </si>
  <si>
    <t>(Ｔ),森(Forest)か平地(Plains)を１つ生け贄に捧げる：あなたのライブラリーから土地カードを１枚探し、それを戦場に出す。その後、あなたのライブラリーを切り直す。</t>
  </si>
  <si>
    <t>古参の戦導者のパワーとタフネスは、それぞれあなたがコントロールするクリーチャーの総数に等しい。</t>
  </si>
  <si>
    <t>あなたがコントロールするアンタップ状態の他の同盟者(Ally)を１体タップする：ターン終了時まで、古参の戦導者は先制攻撃か警戒かトランプルのうち、あなたが選んだ１つを得る。</t>
  </si>
  <si>
    <t>優雅な鷺の勇者が戦場に出たとき、ターン終了時まで、あなたがコントロールする他の人間(Human)は+1/+1の修整を受けるとともに絆魂を得る。</t>
  </si>
  <si>
    <t>あなたがコントロールする他の多色の各クリーチャーは、それぞれ自身の色１色につき+1/+1の修整を受ける。</t>
  </si>
  <si>
    <t>(Ｔ)：クリーチャー１体を対象とする。それのコントローラーが２点のライフを支払わないかぎり、それをタップする。</t>
  </si>
  <si>
    <t>(１)(W)(B)</t>
  </si>
  <si>
    <t>あなたがコントロールする他の戦士(Warrior)クリーチャーは+1/+0の修整を受ける。</t>
  </si>
  <si>
    <t>他のクリーチャーを１体生け贄に捧げる：カルテルの貴種はターン終了時まで、プロテクション（あなたが選んだ色１色）を得る。</t>
  </si>
  <si>
    <t>あなたがコントロールする他の戦士(Warrior)クリーチャーは+0/+1の修整を受ける。</t>
  </si>
  <si>
    <t>星座 ― 死の国の造幣工か他のエンチャント１つがあなたのコントロール下で戦場に出るたび、あなたは１点のライフを得る。</t>
  </si>
  <si>
    <t>罪の収集者が戦場に出たとき、対戦相手１人を対象とする。そのプレイヤーは、自分の手札を公開する。あなたはその中からインスタント・カードかソーサリー・カードを１枚選び、そのカードを追放する。</t>
  </si>
  <si>
    <t>機械修復職人が戦場に出たとき、あなたの墓地からアーティファクト・カード１枚かクリーチャー・カード１枚を対象とし、それをあなたの手札に戻す。</t>
  </si>
  <si>
    <t>ヴィズコーパの聴罪司祭が戦場に出たとき、望む点数のライフを支払う。対戦相手１人を対象とする。そのプレイヤーはその点数に等しい枚数のカードを自分の手札から公開する。あなたはその中から１枚を選び、それを追放する。</t>
  </si>
  <si>
    <t>あなたのアップキープの開始時に、各対戦相手は１点のライフを失う。あなたはこれにより失われたライフに等しい点数のライフを得る。</t>
  </si>
  <si>
    <t>(２)(W)：プレイヤー１人を対象とする。そのプレイヤーは１点のライフを得る。</t>
  </si>
  <si>
    <t>(W)(B)</t>
  </si>
  <si>
    <t>(２)(W)(B)</t>
  </si>
  <si>
    <t>(３)(W)(B)</t>
  </si>
  <si>
    <t>(１)(W)(B)：クリーチャー１体を対象とする。それはターン終了時まで絆魂を得る。</t>
  </si>
  <si>
    <t>(W)(B),ライフを１点支払う：各対戦相手はそれぞれ１点のライフを失う。</t>
  </si>
  <si>
    <t>(１)(W)(B)：このターン、あなたがライフを得るたび、各対戦相手はそれぞれその点数に等しい点数のライフを失う。</t>
  </si>
  <si>
    <t>(２)(B)：各プレイヤーは１点のライフを失う。</t>
  </si>
  <si>
    <t>(W/B)(W/B)</t>
  </si>
  <si>
    <t>（(W/B)は(W)でも(B)でも支払うことができる。）</t>
  </si>
  <si>
    <t>贖罪の高僧がダメージを与えられるたび、土地でないパーマネント１つを対象とする。あなたはそれを破壊してもよい。</t>
  </si>
  <si>
    <t>憑依（このクリーチャーが死亡したとき、クリーチャー１体を対象とする。このカードを、それに憑依した状態で追放する。）</t>
  </si>
  <si>
    <t>オルゾフの司教が戦場に出るか、それが憑依しているクリーチャーが死亡したとき、以下から１つを選ぶ。</t>
  </si>
  <si>
    <t>・あなたがコントロールするクリーチャーは、ターン終了時まで+1/+1の修整を受ける。</t>
  </si>
  <si>
    <t>・あなたがコントロールしていないクリーチャーは、ターン終了時まで-1/-1の修整を受ける。</t>
  </si>
  <si>
    <t>白のクリーチャーを３体生け贄に捧げる：クリーチャー１体を対象とし、それを追放する。</t>
  </si>
  <si>
    <t>あなたがコントロールする他の黒のクリーチャーが死亡するたび、飛行を持つ白の1/1のスピリット(Spirit)・クリーチャー・トークンを１体生成する。</t>
  </si>
  <si>
    <t>対戦相手がクリーチャーでない呪文を１つ唱えるたび、そのプレイヤーは２点のライフを失い、あなたは２点のライフを得る。</t>
  </si>
  <si>
    <t>(１),(Ｔ)：他のクリーチャー１体を対象とし、それの上に運命(fate)カウンターを１個置く。</t>
  </si>
  <si>
    <t>警戒、プロテクション（クリーチャー）</t>
  </si>
  <si>
    <t>クリーチャー１体があなたに戦闘ダメージを与えるたび、そのクリーチャーを破壊する。飛行を持つ白であり黒である1/1のスピリット(Spirit)・クリーチャー・トークンを１体生成する。</t>
  </si>
  <si>
    <t>(W),(Ｔ)：運命カウンターが置かれているクリーチャー１体を対象とし、それを追放する。その後、それをオーナーのコントロール下で戦場に戻す。</t>
  </si>
  <si>
    <t>(５)(W)(B)</t>
  </si>
  <si>
    <t>(B),(Ｔ)：運命カウンターが置かれているクリーチャー１体を対象とし、それを追放する。それのコントローラーはカードを２枚引く。</t>
  </si>
  <si>
    <t>イゼットの時術師が戦場に出たとき、あなたの墓地にあるインスタント・カード１枚かソーサリー・カード１枚を対象とし、それをあなたの手札に戻す。</t>
  </si>
  <si>
    <t>(３)(U)(R)</t>
  </si>
  <si>
    <t>風雲艦隊の疾走者はブロックされない。</t>
  </si>
  <si>
    <t>(Ｔ)：クリーチャー１体を対象とする。イゼットの静電術師は、それと、それと同じ名前を持つ他の各クリーチャーにそれぞれ１点のダメージを与える。</t>
  </si>
  <si>
    <t>隠棲した工匠が戦場に出たとき、クリーチャー１体を対象とする。あなたは「隠棲した工匠はそれに、あなたがコントロールするアーティファクトの総数に等しい点数のダメージを与える。」を選んでもよい。</t>
  </si>
  <si>
    <t>強襲 ― あなたの終了ステップの開始時に、このターンにあなたがクリーチャーで攻撃していた場合、あなたはカードを１枚引いてもよい。そうしたなら、カード１枚を捨てる。</t>
  </si>
  <si>
    <t>異端の飛行機械職人が戦場に出たとき、飛行を持つ無色の1/1の飛行機械(Thopter)アーティファクト・クリーチャー・トークンを２体生成する。</t>
  </si>
  <si>
    <t>(２)(U)：点数で見たマナ・コストが２以下の、あなたがコントロールするインスタント呪文１つを対象とし、それをコピーする。あなたはそのコピーの新たな対象を選んでもよい。</t>
  </si>
  <si>
    <t>(U)(R)</t>
  </si>
  <si>
    <t>(１)(U)(R)</t>
  </si>
  <si>
    <t>(２)(U)(R)</t>
  </si>
  <si>
    <t>(１)(U)(R)：カードを１枚引き、その後カードを１枚捨てる。</t>
  </si>
  <si>
    <t>(２)(U)(R)：あなたがコントロールするインスタント呪文１つかソーサリー呪文１つを対象とし、それをコピーする。あなたはそのコピーの新たな対象を選んでもよい。</t>
  </si>
  <si>
    <t>(２)(R)：点数で見たマナ・コストが２以下の、あなたがコントロールするソーサリー呪文１つを対象とし、それをコピーする。あなたはそのコピーの新たな対象を選んでもよい。</t>
  </si>
  <si>
    <t>(U/R)(U/R)</t>
  </si>
  <si>
    <t>（(U/R)は(U)でも(R)でも支払うことができる。）</t>
  </si>
  <si>
    <t>(２),あなたの手札にある土地でないカードを１枚追放する：その追放されたカードの上に時間(time)カウンターを４個置く。それが待機を持っていない場合、それは待機を得る。（あなたのアップキープの開始時に、時間カウンターを１個取り除く。最後の１個を取り除いたとき、それをそのマナ・コストを支払うことなく唱える。それがクリーチャーである場合、それは速攻を持つ。）</t>
  </si>
  <si>
    <t>あなたが青の呪文を唱えるたび、クリーチャー１体を対象とする。それはターン終了時まで飛行を得る。</t>
  </si>
  <si>
    <t>あなたが赤の呪文を唱えるたび、ティボーとルミアは飛行を持たない各クリーチャーに１点のダメージを与える。</t>
  </si>
  <si>
    <t>(U),(Ｔ)：カードを２枚引く。</t>
  </si>
  <si>
    <t>(R),(Ｔ),カードを１枚捨てる：クリーチャー１体を対象とする。気紛れな薬術師はそれに、その捨てたカードの点数で見たマナ・コストに等しい点数のダメージを与える。</t>
  </si>
  <si>
    <t>毒物の侍臣、ハパチラがプレイヤー１人に戦闘ダメージを与えるたび、クリーチャー１体を対象とする。あなたはそれの上に-1/-1カウンターを１個置いてもよい。</t>
  </si>
  <si>
    <t>あなたがクリーチャー１体の上に-1/-1カウンターを１個以上置くたび、接死を持つ緑の1/1の蛇(Snake)クリーチャー・トークンを１体生成する。</t>
  </si>
  <si>
    <t>(B)(G)</t>
  </si>
  <si>
    <t>残忍な剥ぎ取りがプレイヤー１人に戦闘ダメージを与えるたび、あなたのライブラリーの一番上からカードを３枚見る。そのうちの望む枚数をあなたの墓地に置き、残りをあなたのライブラリーの一番上に望む順番で置く。</t>
  </si>
  <si>
    <t>昂揚 ― あなたの墓地にあるカードにカード・タイプが合計４種類以上含まれるかぎり、残忍な剥ぎ取りは+2/+2の修整を受ける。</t>
  </si>
  <si>
    <t>(Ｔ)：クリーチャー１体を対象とする。それはこのターン、攻撃したりブロックしたりできない。</t>
  </si>
  <si>
    <t>大隊 ― ウォジェクの矛槍兵と少なくとも２体の他のクリーチャーが攻撃するたび、ウォジェクの矛槍兵はターン終了時まで先制攻撃を得る。</t>
  </si>
  <si>
    <t>(R)(W)</t>
  </si>
  <si>
    <t>(１)(R)(W)</t>
  </si>
  <si>
    <t>(１),(Ｔ)：クリーチャー１体を対象とする。気絶の狙撃者はそれに１点のダメージを与える。そのクリーチャーをタップする。</t>
  </si>
  <si>
    <t>アクロスの重装歩兵が攻撃するたび、これはターン終了時まで+X/+0の修整を受ける。Ｘはあなたがコントロールする攻撃クリーチャーの数である。</t>
  </si>
  <si>
    <t>名誉ある門長が攻撃するたび、ターン終了時まで、他の攻撃クリーチャーは+1/+0の修整を受ける。</t>
  </si>
  <si>
    <t>あなたが装備品(Equipment)をコントロールしているかぎり、あなたがコントロールする他のクリーチャーは+1/+0の修整を受ける。</t>
  </si>
  <si>
    <t>あなたがクリーチャーを１体督励するたび、毅然たる生き残りは各対戦相手にそれぞれ１点のダメージを与え、あなたは１点のライフを得る。</t>
  </si>
  <si>
    <t>結集 ― 毅然たる刃の達人か他の同盟者(Ally)が１体あなたのコントロール下で戦場に出るたび、ターン終了時まで、あなたがコントロールするクリーチャーは二段攻撃を得る。</t>
  </si>
  <si>
    <t>(１)(W)：クリーチャー１体を対象とする。それはターン終了時まで先制攻撃を得る。</t>
  </si>
  <si>
    <t>(３)(R)(W)</t>
  </si>
  <si>
    <t>(１)(R)(W)：ターン終了時まで、あなたがコントロールするクリーチャーは+1/+0の修整を受ける。</t>
  </si>
  <si>
    <t>(１)(R)：クリーチャー１体を対象とする。それはターン終了時まで速攻を得る。</t>
  </si>
  <si>
    <t>(R)(W)：真火の聖騎士はターン終了時まで+2/+0の修整を受ける。</t>
  </si>
  <si>
    <t>(２)(R)(W)：速攻を持つ赤であり白である1/1の兵士(Soldier)クリーチャー・トークンを１体生成する。</t>
  </si>
  <si>
    <t>(R)(W)：真火の聖騎士はターン終了時まで先制攻撃を得る。</t>
  </si>
  <si>
    <t>(R/W)(R/W)</t>
  </si>
  <si>
    <t>（(R/W)は(R)でも(W)でも支払うことができる。）</t>
  </si>
  <si>
    <t>英雄的 ― あなたがアナックスとサイミーディを対象とする呪文を１つ唱えるたび、あなたがコントロールするクリーチャーはターン終了時まで+1/+1の修整を受けるとともにトランプルを得る。</t>
  </si>
  <si>
    <t>破壊不能</t>
  </si>
  <si>
    <t>大隊 ― 軍勢の刃、タージクと少なくとも２体の他のクリーチャーが攻撃するたび、軍勢の刃、タージクはターン終了時まで+5/+5の修整を受ける。</t>
  </si>
  <si>
    <t>ウォジェクの古参兵、アグルス・コスが攻撃するたび、攻撃している赤のクリーチャーはターン終了時まで+2/+0の修整を受け、攻撃している白のクリーチャーはターン終了時まで+0/+2の修整を受ける。</t>
  </si>
  <si>
    <t>金属術 ― あなたが３つ以上のアーティファクトをコントロールしているかぎり、あなたがコントロールするクリーチャーは+3/+0の修整を受ける。</t>
  </si>
  <si>
    <t>(２)(R)(W)</t>
  </si>
  <si>
    <t>(１)(G)(U)</t>
  </si>
  <si>
    <t>(G)(U)：甲虫体の魔道士はターン終了時まで+2/+2の修整を受けるともに飛行を得る。この能力は、毎ターン１回のみ起動できる。</t>
  </si>
  <si>
    <t>ジェスの浸透者はブロックされない。</t>
  </si>
  <si>
    <t>(G)(U)</t>
  </si>
  <si>
    <t>終了ステップの開始時に、あなたが《先端生物学者/Biovisionary》という名前のクリーチャーを４体以上コントロールしている場合、あなたはこのゲームに勝利する。</t>
  </si>
  <si>
    <t>水深の魔道士の上に+1/+1カウンターが１個置かれるたび、あなたはカードを１枚引いてもよい。</t>
  </si>
  <si>
    <t>他の各プレイヤーのアンタップ・ステップに、あなたがコントロールするすべてのクリーチャーとすべての土地をアンタップする。</t>
  </si>
  <si>
    <t>あなたはクリーチャー呪文を、それが瞬速を持っているかのように唱えてもよい。</t>
  </si>
  <si>
    <t>(２)(G)(U)</t>
  </si>
  <si>
    <t>(３)(G)(U)</t>
  </si>
  <si>
    <t>(G)(U),(Ｔ)：アーティファクト１つかクリーチャー１体か土地１つを対象とする。それの上に置かれている各種類のカウンターの個数を２倍にする。</t>
  </si>
  <si>
    <t>風生みの魔道士は、あなたの墓地にアーティファクト・カードがあるかぎり飛行を持つ。</t>
  </si>
  <si>
    <t>結界師ズアーが攻撃するたび、あなたはあなたのライブラリーから点数で見たマナ・コストが３以下のエンチャント・カードを１枚探し、それを戦場に出してもよい。そうした場合、あなたのライブラリーを切り直す。</t>
  </si>
  <si>
    <t>あなたのアップキープの開始時に、対戦相手１人を対象として選ぶ。このターン、そのプレイヤーは呪文を唱えられず、起動型能力を起動できず、自分の手札を公開した状態でプレイする。このターン、あなたはそのプレイヤーの手札のカードをプレイしてもよい。</t>
  </si>
  <si>
    <t>(W)(U)(B)</t>
  </si>
  <si>
    <t>(１)(W)(U)(B)</t>
  </si>
  <si>
    <t>(２)(W)(U)(B)</t>
  </si>
  <si>
    <t>あなたがコントロールしている他の海賊(Pirate)は+1/+1の修整を受ける。</t>
  </si>
  <si>
    <t>あなたの終了ステップの開始時に、このターンに海賊３体以上によって戦闘ダメージを与えられたプレイヤーがコントロールしている土地でないパーマネント１つを対象とし、それのコントロールを得る。</t>
  </si>
  <si>
    <t>あなたがアーティファクト呪文を１つ唱えるたび、あなたは自分の墓地と手札とライブラリーからその呪文と同じ名前を持つカードを１枚探し、それを戦場に出す。あなたがこれにより自分のライブラリーからカードを探した場合、それを切り直す。</t>
  </si>
  <si>
    <t>(１)(U)(B)(R)</t>
  </si>
  <si>
    <t>他のクリーチャーが死亡するたび、あなたは血編み髪のクレシュの上に+1/+1カウンターをＸ個置いてもよい。Ｘは、そのクリーチャーのパワーである。</t>
  </si>
  <si>
    <t>(２)(B)(R)(G)</t>
  </si>
  <si>
    <t>あなたが他の多色のパーマネントをコントロールしているかぎり、バントの信刃は+1/+1の修整を受けるとともに先制攻撃を持つ。</t>
  </si>
  <si>
    <t>(Ｔ)：このターン、あなたにダメージを与えたクリーチャー１体を対象とし、それを破壊する。</t>
  </si>
  <si>
    <t>あなたがバントの滞留者をサイクリングするか、それが死亡したとき、白の1/1の兵士(Soldier)クリーチャー・トークンを１体生成してもよい。</t>
  </si>
  <si>
    <t>あなたがコントロールするいずれかのクリーチャーが単独で攻撃するたび、それはターン終了時まで二段攻撃を得る。</t>
  </si>
  <si>
    <t>(Ｔ)：あなたのライブラリーの一番上のカードを公開する。それが土地カードである場合、それを戦場に出す。そうでない場合、それをあなたの手札に加える。</t>
  </si>
  <si>
    <t>サイクリング(２)(W)（(２)(W),このカードを捨てる：カードを１枚引く。）</t>
  </si>
  <si>
    <t>(G)(W)(U)</t>
  </si>
  <si>
    <t>(１)(G)(W)(U)</t>
  </si>
  <si>
    <t>(３)(G)(W)(U)</t>
  </si>
  <si>
    <t>(G/U)(W)</t>
  </si>
  <si>
    <t>飛行、警戒、速攻</t>
  </si>
  <si>
    <t>先制攻撃、呪禁</t>
  </si>
  <si>
    <t>悟った達人、ナーセットが攻撃するたび、あなたのライブラリーの一番上から４枚のカードを追放する。ターン終了時まで、あなたはこのターンに悟った達人、ナーセットにより追放された、クリーチャーでないカードをそれのマナ・コストを支払うことなく唱えてもよい。</t>
  </si>
  <si>
    <t>(U)(R)(W)</t>
  </si>
  <si>
    <t>(３)(U)(R)(W)</t>
  </si>
  <si>
    <t>龍爪のスーラクは打ち消されない。</t>
  </si>
  <si>
    <t>あなたがコントロールするクリーチャー呪文は打ち消されない。</t>
  </si>
  <si>
    <t>あなたがコントロールする他のクリーチャーはトランプルを持つ。</t>
  </si>
  <si>
    <t>熊の仲間が戦場に出たとき、緑の4/4の熊(Bear)クリーチャー・トークンを１体生成する。</t>
  </si>
  <si>
    <t>(２)(G)(U)(R)</t>
  </si>
  <si>
    <t>(３)(G)(U)(R)</t>
  </si>
  <si>
    <t>変異(２)(G)(U)(R)（あなたはこのカードを、(３)で2/2クリーチャーとして裏向きに唱えてもよい。これの変異コストで、これをいつでも表向きにしてもよい。）</t>
  </si>
  <si>
    <t>先頭に立つもの、アナフェンザが攻撃するたび、あなたがコントロールする他のタップ状態のクリーチャー１体を対象とする。それの上に+1/+1カウンターを１個置く。</t>
  </si>
  <si>
    <t>いずれかの対戦相手がオーナーであるトークンでないクリーチャーが死亡するか、戦場にないクリーチャー・カードがいずれかの対戦相手の墓地に置かれるなら、代わりにそれを追放する。</t>
  </si>
  <si>
    <t>軍備部隊が戦場に出たとき、あなたがコントロールするクリーチャーを１体か２体対象とする。それらに２個の+1/+1カウンターを好きなように割り振って置く。</t>
  </si>
  <si>
    <t>(W)(B)(G)</t>
  </si>
  <si>
    <t>(２)(W)(B)(G)</t>
  </si>
  <si>
    <t>(３)(W)(B)(G)</t>
  </si>
  <si>
    <t>変異(２)(W)(B)(G)（あなたはこのカードを、(３)で2/2クリーチャーとして裏向きに唱えてもよい。これの変異コストで、これをいつでも表向きにしてもよい。）</t>
  </si>
  <si>
    <t>忠誠な歩哨</t>
  </si>
  <si>
    <t>教区の勇者</t>
  </si>
  <si>
    <t>雨ざらしの旅人</t>
  </si>
  <si>
    <t>覚醒の太陽の神官</t>
  </si>
  <si>
    <t>セラの高位僧</t>
  </si>
  <si>
    <t>万神殿の兵士</t>
  </si>
  <si>
    <t>アナフェンザの伝令</t>
  </si>
  <si>
    <t>闘争の学び手</t>
  </si>
  <si>
    <t>威圧する君主</t>
  </si>
  <si>
    <t>精鋭の審問官</t>
  </si>
  <si>
    <t>神々の神盾</t>
  </si>
  <si>
    <t>トカートリの儀仗兵</t>
  </si>
  <si>
    <t>オーリオックの鋼打ち</t>
  </si>
  <si>
    <t>秘宝の探求者</t>
  </si>
  <si>
    <t>白蘭の騎士</t>
  </si>
  <si>
    <t>イロアスの英雄</t>
  </si>
  <si>
    <t>サリアの副官</t>
  </si>
  <si>
    <t>真実の信仰者</t>
  </si>
  <si>
    <t>スレイベンの守護者、サリア</t>
  </si>
  <si>
    <t>管区の隊長</t>
  </si>
  <si>
    <t>笑む猫、憲太郎</t>
  </si>
  <si>
    <t>エーテル宣誓会の法学者</t>
  </si>
  <si>
    <t>堂々たる撤廃者</t>
  </si>
  <si>
    <t>真珠の達人</t>
  </si>
  <si>
    <t>栄光半ばの修練者</t>
  </si>
  <si>
    <t>オーリオックのチャンピオン</t>
  </si>
  <si>
    <t>純鋼の聖騎士</t>
  </si>
  <si>
    <t>ハンウィアーの民兵隊長</t>
  </si>
  <si>
    <t>ウェストヴェイル教団の指導者</t>
  </si>
  <si>
    <t>隠れたる龍殺し</t>
  </si>
  <si>
    <t>刃の接合者</t>
  </si>
  <si>
    <t>ランタンの斥候</t>
  </si>
  <si>
    <t>遊牧の民の神話作家</t>
  </si>
  <si>
    <t>異端聖戦士、サリア</t>
  </si>
  <si>
    <t>コロンドールのマンガラ</t>
  </si>
  <si>
    <t>面晶体原の浄化者</t>
  </si>
  <si>
    <t>アラシンの先頭に立つ者</t>
  </si>
  <si>
    <t>メサの女魔術師</t>
  </si>
  <si>
    <t>ミラディンの十字軍</t>
  </si>
  <si>
    <t>鬼斬の聖騎士</t>
  </si>
  <si>
    <t>ハズダーの盾兵</t>
  </si>
  <si>
    <t>茨の騎士ティヴァダール</t>
  </si>
  <si>
    <t>スレイベンの破滅預言者</t>
  </si>
  <si>
    <t>前線の衛生兵</t>
  </si>
  <si>
    <t>ギデオンの報復者</t>
  </si>
  <si>
    <t>カビーラの福音者</t>
  </si>
  <si>
    <t>模範の騎士</t>
  </si>
  <si>
    <t>剛胆な勇士</t>
  </si>
  <si>
    <t>ヴェクの聖騎士</t>
  </si>
  <si>
    <t>弱者の師</t>
  </si>
  <si>
    <t>陰影の神秘家</t>
  </si>
  <si>
    <t>生真面目な君、昌子</t>
  </si>
  <si>
    <t>サマイトの守護者オリス</t>
  </si>
  <si>
    <t>威名の英雄</t>
  </si>
  <si>
    <t>陸軍元帥</t>
  </si>
  <si>
    <t>銀刃の聖騎士</t>
  </si>
  <si>
    <t>濠の大魔術師</t>
  </si>
  <si>
    <t>革命家チョー＝マノ</t>
  </si>
  <si>
    <t>イーオスのレインジャー</t>
  </si>
  <si>
    <t>ガヴォニーの騎手</t>
  </si>
  <si>
    <t>黎明運びの戦車兵</t>
  </si>
  <si>
    <t>魂の聖別者</t>
  </si>
  <si>
    <t>城壁の聖騎士</t>
  </si>
  <si>
    <t>不屈のダガタール</t>
  </si>
  <si>
    <t>オーリオックの風歩き</t>
  </si>
  <si>
    <t>幕屋の大魔術師</t>
  </si>
  <si>
    <t>真実を求める者、今田魅知子</t>
  </si>
  <si>
    <t>龍鱗隊の将軍</t>
  </si>
  <si>
    <t>キテオンの不正規軍</t>
  </si>
  <si>
    <t>月皇の司令官、オドリック</t>
  </si>
  <si>
    <t>円盤の大魔術師</t>
  </si>
  <si>
    <t>熟練の戦術家、オドリック</t>
  </si>
  <si>
    <t>巫女の従者</t>
  </si>
  <si>
    <t>鋼打ちの弟子</t>
  </si>
  <si>
    <t>ゴーマ・ファーダの英雄</t>
  </si>
  <si>
    <t>練達の癒し手</t>
  </si>
  <si>
    <t>イーオスの騎士長</t>
  </si>
  <si>
    <t>キイェルドーの近衛隊</t>
  </si>
  <si>
    <t>五制術の聖騎士</t>
  </si>
  <si>
    <t>目を開いた者、デジェル</t>
  </si>
  <si>
    <t>光帯びの聖騎士</t>
  </si>
  <si>
    <t>牢獄の管理人、ヒクサス</t>
  </si>
  <si>
    <t>霊誉の僧兵</t>
  </si>
  <si>
    <t>サリアの槍騎兵</t>
  </si>
  <si>
    <t>キイェルドーの王、ダリアン</t>
  </si>
  <si>
    <t>侍の御大将、武野</t>
  </si>
  <si>
    <t>隆盛なる勇士クロウヴァクス</t>
  </si>
  <si>
    <t>精鋭なる射手</t>
  </si>
  <si>
    <t>警備隊長</t>
  </si>
  <si>
    <t>雨ざらしのボディガード</t>
  </si>
  <si>
    <t>永岩城の君主、今田</t>
  </si>
  <si>
    <t>アクロスの英雄、キテオン</t>
  </si>
  <si>
    <t>歴戦の戦士、ギデオン</t>
  </si>
  <si>
    <t>月皇ミケウス</t>
  </si>
  <si>
    <t>魂火の大導師</t>
  </si>
  <si>
    <t>卓絶の達人</t>
  </si>
  <si>
    <t>僧院の導師</t>
  </si>
  <si>
    <t>刃砦の英雄</t>
  </si>
  <si>
    <t>オジュタイの模範</t>
  </si>
  <si>
    <t>タズリ将軍</t>
  </si>
  <si>
    <t>エピティアの賢者</t>
  </si>
  <si>
    <t>秘密を掘り下げる者</t>
  </si>
  <si>
    <t>昆虫の逸脱者</t>
  </si>
  <si>
    <t>脱走魔術師</t>
  </si>
  <si>
    <t>ダル追われの流れ者</t>
  </si>
  <si>
    <t>実績ある戦闘員</t>
  </si>
  <si>
    <t>垂れ流しの達人</t>
  </si>
  <si>
    <t>グリクシスの幻術師</t>
  </si>
  <si>
    <t>翼作り</t>
  </si>
  <si>
    <t>霜の殉教者</t>
  </si>
  <si>
    <t>夢次元の芸術家</t>
  </si>
  <si>
    <t>ジェスカイの賢者</t>
  </si>
  <si>
    <t>難破船あさり</t>
  </si>
  <si>
    <t>錯乱した助手</t>
  </si>
  <si>
    <t>密の守護兵</t>
  </si>
  <si>
    <t>ルーメングリッドの管理人</t>
  </si>
  <si>
    <t>研究助手</t>
  </si>
  <si>
    <t>思考の急使</t>
  </si>
  <si>
    <t>水面院の巻物守り</t>
  </si>
  <si>
    <t>ハリマーの採掘者</t>
  </si>
  <si>
    <t>荒廃の工作員</t>
  </si>
  <si>
    <t>ジェスの監視人</t>
  </si>
  <si>
    <t>帆凧の海賊</t>
  </si>
  <si>
    <t>霧氷風の特務魔道士</t>
  </si>
  <si>
    <t>狡猾な生き残り</t>
  </si>
  <si>
    <t>錬金術師の弟子</t>
  </si>
  <si>
    <t>神出鬼没の呪拳士</t>
  </si>
  <si>
    <t>前兆語り</t>
  </si>
  <si>
    <t>洞察の探求者</t>
  </si>
  <si>
    <t>ニューロックのスパイ</t>
  </si>
  <si>
    <t>セルホフの密教信者</t>
  </si>
  <si>
    <t>最前線の賢者</t>
  </si>
  <si>
    <t>二人組の見張り番</t>
  </si>
  <si>
    <t>見えざる者の生き残り</t>
  </si>
  <si>
    <t>敬慕される教師</t>
  </si>
  <si>
    <t>周到の書記官</t>
  </si>
  <si>
    <t>秘密の商人</t>
  </si>
  <si>
    <t>財力ある船乗り</t>
  </si>
  <si>
    <t>ヴェクティスの口封じ</t>
  </si>
  <si>
    <t>土を形作る者</t>
  </si>
  <si>
    <t>海門の神官</t>
  </si>
  <si>
    <t>ヘクマの歩哨</t>
  </si>
  <si>
    <t>電位式錬金術師</t>
  </si>
  <si>
    <t>秘密を盗む者</t>
  </si>
  <si>
    <t>飛空士の修繕屋</t>
  </si>
  <si>
    <t>粗石の魔道士</t>
  </si>
  <si>
    <t>微風の写字官</t>
  </si>
  <si>
    <t>無謀な識者</t>
  </si>
  <si>
    <t>歓喜する信者</t>
  </si>
  <si>
    <t>狡猾な抜け道魔道士</t>
  </si>
  <si>
    <t>ニューロックの透術士</t>
  </si>
  <si>
    <t>ニューロックの神童</t>
  </si>
  <si>
    <t>霧刃の忍び</t>
  </si>
  <si>
    <t>霊気の達人</t>
  </si>
  <si>
    <t>深き刻の忍者</t>
  </si>
  <si>
    <t>溺墓の探検者</t>
  </si>
  <si>
    <t>鍵達人のならず者</t>
  </si>
  <si>
    <t>トレイリアの歩哨</t>
  </si>
  <si>
    <t>分離主義者の虚空魔道士</t>
  </si>
  <si>
    <t>ジェスの先導</t>
  </si>
  <si>
    <t>飛空士志願者</t>
  </si>
  <si>
    <t>速接会の翼鍛冶</t>
  </si>
  <si>
    <t>エルゴードの盾の仲間</t>
  </si>
  <si>
    <t>空麻呂の末裔</t>
  </si>
  <si>
    <t>古術師</t>
  </si>
  <si>
    <t>巧射艦隊の帆綱引き</t>
  </si>
  <si>
    <t>悟った狂人</t>
  </si>
  <si>
    <t>隠道の神秘家</t>
  </si>
  <si>
    <t>グリフの先兵</t>
  </si>
  <si>
    <t>虚無使い</t>
  </si>
  <si>
    <t>裕福な海賊</t>
  </si>
  <si>
    <t>スフィンクスの信奉者</t>
  </si>
  <si>
    <t>ネファリアの密輸人</t>
  </si>
  <si>
    <t>時を曲げる者</t>
  </si>
  <si>
    <t>信頼ある相談役</t>
  </si>
  <si>
    <t>ハーダの巡回スパイ</t>
  </si>
  <si>
    <t>メレティスの天文学者</t>
  </si>
  <si>
    <t>水面院の視線曲げ</t>
  </si>
  <si>
    <t>躁の書記官</t>
  </si>
  <si>
    <t>龍の眼の学者</t>
  </si>
  <si>
    <t>不可視の忍び寄り</t>
  </si>
  <si>
    <t>侵入専門家</t>
  </si>
  <si>
    <t>ジェスカイの長老</t>
  </si>
  <si>
    <t>知識の仲買人</t>
  </si>
  <si>
    <t>風雲艦隊の空中要員</t>
  </si>
  <si>
    <t>果敢な捜索者</t>
  </si>
  <si>
    <t>禁断の真相を知る者</t>
  </si>
  <si>
    <t>精霊の学び手</t>
  </si>
  <si>
    <t>風の達人、鳶太</t>
  </si>
  <si>
    <t>謎鍛冶</t>
  </si>
  <si>
    <t>航空船の略取者</t>
  </si>
  <si>
    <t>蒼穹の魔道士</t>
  </si>
  <si>
    <t>名高い武器職人</t>
  </si>
  <si>
    <t>アカデミーの研究者</t>
  </si>
  <si>
    <t>ハリマーの潮呼び</t>
  </si>
  <si>
    <t>白髪交じりの釣り人</t>
  </si>
  <si>
    <t>不気味なアンコウ</t>
  </si>
  <si>
    <t>抜け道を歩む者</t>
  </si>
  <si>
    <t>マラング川をうろつくもの</t>
  </si>
  <si>
    <t>砂時計の侍臣</t>
  </si>
  <si>
    <t>バルデュヴィアの霜覚師</t>
  </si>
  <si>
    <t>ジェスの盗人</t>
  </si>
  <si>
    <t>捕らえ難い悪漢</t>
  </si>
  <si>
    <t>ニューロックの変成者</t>
  </si>
  <si>
    <t>エスパーの戦闘魔道士</t>
  </si>
  <si>
    <t>未熟な呪士</t>
  </si>
  <si>
    <t>横槍の邪等狗</t>
  </si>
  <si>
    <t>宝物の魔道士</t>
  </si>
  <si>
    <t>風雲艦隊のスパイ</t>
  </si>
  <si>
    <t>くぐつ師</t>
  </si>
  <si>
    <t>暁の光の射手</t>
  </si>
  <si>
    <t>優雅な達人</t>
  </si>
  <si>
    <t>ニューロックの猛士</t>
  </si>
  <si>
    <t>戦利品の魔道士</t>
  </si>
  <si>
    <t>礼儀正しい識者</t>
  </si>
  <si>
    <t>人殺しの粗暴者</t>
  </si>
  <si>
    <t>シルムガルの魔術師</t>
  </si>
  <si>
    <t>ルーメングリッドの歩哨</t>
  </si>
  <si>
    <t>上品な工作員</t>
  </si>
  <si>
    <t>虚空魔道士の沈黙者</t>
  </si>
  <si>
    <t>練達の盗賊</t>
  </si>
  <si>
    <t>霧炎の達人</t>
  </si>
  <si>
    <t>選定の侍臣</t>
  </si>
  <si>
    <t>霧氷風の冷術師</t>
  </si>
  <si>
    <t>厳格な導師</t>
  </si>
  <si>
    <t>つむじ風のならず者</t>
  </si>
  <si>
    <t>高巣の崇拝者</t>
  </si>
  <si>
    <t>翼の接合者</t>
  </si>
  <si>
    <t>若年の識者</t>
  </si>
  <si>
    <t>逸脱した研究者</t>
  </si>
  <si>
    <t>完成態</t>
  </si>
  <si>
    <t>立ちこめる霧の模範</t>
  </si>
  <si>
    <t>巧射艦隊の操舵手</t>
  </si>
  <si>
    <t>試験飛行士</t>
  </si>
  <si>
    <t>空想の元型</t>
  </si>
  <si>
    <t>風友会の強襲者</t>
  </si>
  <si>
    <t>ノヴィジェンの賢者</t>
  </si>
  <si>
    <t>戦場の秘術師</t>
  </si>
  <si>
    <t>非実在の王</t>
  </si>
  <si>
    <t>波止場の潜入者</t>
  </si>
  <si>
    <t>戦凧の匪賊</t>
  </si>
  <si>
    <t>呪師の弟子</t>
  </si>
  <si>
    <t>暴く者、智也</t>
  </si>
  <si>
    <t>ラト＝ナムの賢人</t>
  </si>
  <si>
    <t>精神奪い</t>
  </si>
  <si>
    <t>勇敢な妨害工作員</t>
  </si>
  <si>
    <t>バザールの大魔術師</t>
  </si>
  <si>
    <t>瞬唱の魔道士</t>
  </si>
  <si>
    <t>形態の職工</t>
  </si>
  <si>
    <t>遵法長、バラル</t>
  </si>
  <si>
    <t>落とし子の仲買人</t>
  </si>
  <si>
    <t>果敢な泥棒</t>
  </si>
  <si>
    <t>こだまの魔道士</t>
  </si>
  <si>
    <t>霧の海の船長</t>
  </si>
  <si>
    <t>セレンディブの魔術師</t>
  </si>
  <si>
    <t>沈黙の大嵐、シュー・ユン</t>
  </si>
  <si>
    <t>時間の名人</t>
  </si>
  <si>
    <t>メレティスのほら吹き</t>
  </si>
  <si>
    <t>技を借りる者</t>
  </si>
  <si>
    <t>ジェスカイの浸透者</t>
  </si>
  <si>
    <t>運命をもてあそぶ者</t>
  </si>
  <si>
    <t>研究室の偏執狂</t>
  </si>
  <si>
    <t>果敢な弟子</t>
  </si>
  <si>
    <t>造物の学者、ヴェンセール</t>
  </si>
  <si>
    <t>文書管理人</t>
  </si>
  <si>
    <t>月の神秘家</t>
  </si>
  <si>
    <t>騙り者、逆嶋</t>
  </si>
  <si>
    <t>アーカム・ダグソン</t>
  </si>
  <si>
    <t>狡猾な巾着切り</t>
  </si>
  <si>
    <t>水面院の歴史家、歌穂</t>
  </si>
  <si>
    <t>練達の変成者</t>
  </si>
  <si>
    <t>ヘイヴングルのルーン縛り</t>
  </si>
  <si>
    <t>速製職人のスパイ</t>
  </si>
  <si>
    <t>妖術の達人ブレイズ</t>
  </si>
  <si>
    <t>水面院の師範、密</t>
  </si>
  <si>
    <t>西風の魔道士リネッサ</t>
  </si>
  <si>
    <t>練達の変身術士、ジャリラ</t>
  </si>
  <si>
    <t>細胞質の操作者</t>
  </si>
  <si>
    <t>精鋭秘儀術師</t>
  </si>
  <si>
    <t>巻物の君、あざみ</t>
  </si>
  <si>
    <t>ザルファーの魔道士、テフェリー</t>
  </si>
  <si>
    <t>未来の大魔術師</t>
  </si>
  <si>
    <t>意志を砕く者</t>
  </si>
  <si>
    <t>霧氷風の使い手、ハイダー</t>
  </si>
  <si>
    <t>静風の日暮</t>
  </si>
  <si>
    <t>壺の大魔術師</t>
  </si>
  <si>
    <t>灯台の年代学者</t>
  </si>
  <si>
    <t>ヴリンの神童、ジェイス</t>
  </si>
  <si>
    <t>束縛なきテレパス、ジェイス</t>
  </si>
  <si>
    <t>時の賢者</t>
  </si>
  <si>
    <t>時間流の航海士</t>
  </si>
  <si>
    <t>輪の信奉者</t>
  </si>
  <si>
    <t>意思の詐話師</t>
  </si>
  <si>
    <t>ズーラポートの処罰者</t>
  </si>
  <si>
    <t>影生まれの使徒</t>
  </si>
  <si>
    <t>第四橋をうろつく者</t>
  </si>
  <si>
    <t>死の信者</t>
  </si>
  <si>
    <t>夜市の見張り</t>
  </si>
  <si>
    <t>死を出迎える者</t>
  </si>
  <si>
    <t>欲深い悪漢</t>
  </si>
  <si>
    <t>思考抜きの魔女</t>
  </si>
  <si>
    <t>骨の殉教者</t>
  </si>
  <si>
    <t>大霊堂の信奉者</t>
  </si>
  <si>
    <t>ぼろ布売り</t>
  </si>
  <si>
    <t>ザスリッドの見習い僧</t>
  </si>
  <si>
    <t>シルムガルの手の者</t>
  </si>
  <si>
    <t>回収する斬鬼</t>
  </si>
  <si>
    <t>自暴自棄の漂流者</t>
  </si>
  <si>
    <t>グール呼びの共犯者</t>
  </si>
  <si>
    <t>死体運び</t>
  </si>
  <si>
    <t>凶兆艦隊の貯め込み屋</t>
  </si>
  <si>
    <t>ボジューカの盗賊</t>
  </si>
  <si>
    <t>奈落の守り手</t>
  </si>
  <si>
    <t>破滅小径の悪党</t>
  </si>
  <si>
    <t>マルドゥの頭蓋狩り</t>
  </si>
  <si>
    <t>カルシのサディスト</t>
  </si>
  <si>
    <t>恐竜ハンター</t>
  </si>
  <si>
    <t>ドゥーンドの調査員</t>
  </si>
  <si>
    <t>ラースのわな師</t>
  </si>
  <si>
    <t>血に狂った重装歩兵</t>
  </si>
  <si>
    <t>悪運尽きた造反者</t>
  </si>
  <si>
    <t>コラガンの散兵</t>
  </si>
  <si>
    <t>クロヴの悪漢</t>
  </si>
  <si>
    <t>荒廃語り</t>
  </si>
  <si>
    <t>霊気毒殺者</t>
  </si>
  <si>
    <t>巧射艦隊の拷問者</t>
  </si>
  <si>
    <t>石板通りの悪漢</t>
  </si>
  <si>
    <t>アーボーグの吸魂魔道士</t>
  </si>
  <si>
    <t>肉体を継ぐ者</t>
  </si>
  <si>
    <t>忠信な従者</t>
  </si>
  <si>
    <t>オルゾフの安死術士</t>
  </si>
  <si>
    <t>ネファロックスの召使い</t>
  </si>
  <si>
    <t>ヴェク追われの侵入者</t>
  </si>
  <si>
    <t>頭巾被りの暗殺者</t>
  </si>
  <si>
    <t>サディストの穴開け魔道士</t>
  </si>
  <si>
    <t>マルコフに選ばれし者</t>
  </si>
  <si>
    <t>マルコフの召使い</t>
  </si>
  <si>
    <t>盲目の盲信者</t>
  </si>
  <si>
    <t>雇われ拷問者</t>
  </si>
  <si>
    <t>戦慄の魔術使い</t>
  </si>
  <si>
    <t>モリオックの肉裂き</t>
  </si>
  <si>
    <t>スカースダグの嘆願者</t>
  </si>
  <si>
    <t>テヴェシュ・ザットの信奉者</t>
  </si>
  <si>
    <t>モリオックのゴミあさり</t>
  </si>
  <si>
    <t>ズーラポートの鎖魔道士</t>
  </si>
  <si>
    <t>襲拳会の部隊</t>
  </si>
  <si>
    <t>街道筋の強盗</t>
  </si>
  <si>
    <t>ダル追われの殺し屋</t>
  </si>
  <si>
    <t>深海艦隊の殺し屋</t>
  </si>
  <si>
    <t>ニマーナの売剣</t>
  </si>
  <si>
    <t>凶兆艦隊の侵入者</t>
  </si>
  <si>
    <t>組織の処罰者</t>
  </si>
  <si>
    <t>フィナックスの信奉者</t>
  </si>
  <si>
    <t>呪われた浪人</t>
  </si>
  <si>
    <t>夜深の死体あさり</t>
  </si>
  <si>
    <t>騒がしい徒党</t>
  </si>
  <si>
    <t>マルドゥの影槍</t>
  </si>
  <si>
    <t>無情な切り裂き魔</t>
  </si>
  <si>
    <t>悪魔の伝令</t>
  </si>
  <si>
    <t>苛まれし英雄</t>
  </si>
  <si>
    <t>無情な狙撃手</t>
  </si>
  <si>
    <t>カルシの高僧</t>
  </si>
  <si>
    <t>くぐつの妖術師</t>
  </si>
  <si>
    <t>指名手配の獄道者</t>
  </si>
  <si>
    <t>グリセルブランドの信奉者</t>
  </si>
  <si>
    <t>ズーラポートの殺し屋</t>
  </si>
  <si>
    <t>探求者の従者</t>
  </si>
  <si>
    <t>黒騎士</t>
  </si>
  <si>
    <t>エンブロールの暴れ者</t>
  </si>
  <si>
    <t>帆凧の掠め盗り</t>
  </si>
  <si>
    <t>縞瑪瑙の魔道士</t>
  </si>
  <si>
    <t>ゴルガリの凶漢</t>
  </si>
  <si>
    <t>砂丘乗りの無法者</t>
  </si>
  <si>
    <t>快楽殺人の暗殺者</t>
  </si>
  <si>
    <t>苦痛鍛冶</t>
  </si>
  <si>
    <t>血顎の憤怒鬼</t>
  </si>
  <si>
    <t>残虐の手</t>
  </si>
  <si>
    <t>スカースダグの剥ぎ取り</t>
  </si>
  <si>
    <t>酒場の詐取師</t>
  </si>
  <si>
    <t>悪名の騎士</t>
  </si>
  <si>
    <t>モーギスの匪賊</t>
  </si>
  <si>
    <t>港の無法者</t>
  </si>
  <si>
    <t>グリクシスの戦闘魔道士</t>
  </si>
  <si>
    <t>ハグラの名射手</t>
  </si>
  <si>
    <t>地底街の密告人</t>
  </si>
  <si>
    <t>ザスリッドの隠し刃</t>
  </si>
  <si>
    <t>苦痛の公使</t>
  </si>
  <si>
    <t>覚醒舞い</t>
  </si>
  <si>
    <t>親切な余所者</t>
  </si>
  <si>
    <t>悪魔憑きの魔女</t>
  </si>
  <si>
    <t>アショクの心酔者</t>
  </si>
  <si>
    <t>禍鞭の懲罰者</t>
  </si>
  <si>
    <t>薄暮の騎士</t>
  </si>
  <si>
    <t>大物狙い</t>
  </si>
  <si>
    <t>肉組み</t>
  </si>
  <si>
    <t>連合の先駆け</t>
  </si>
  <si>
    <t>雇いの力男</t>
  </si>
  <si>
    <t>傷をつけるもの、切紗深</t>
  </si>
  <si>
    <t>村の食人者</t>
  </si>
  <si>
    <t>歯牙収集家</t>
  </si>
  <si>
    <t>沼居ののけ者</t>
  </si>
  <si>
    <t>煙馬の乗り手</t>
  </si>
  <si>
    <t>荒廃唱え</t>
  </si>
  <si>
    <t>楕円競走の無謀者</t>
  </si>
  <si>
    <t>死体の交易商人</t>
  </si>
  <si>
    <t>ネクラタル</t>
  </si>
  <si>
    <t>無慈悲な略奪者</t>
  </si>
  <si>
    <t>呪われた魔女</t>
  </si>
  <si>
    <t>感染性の呪い</t>
  </si>
  <si>
    <t>ベラドンナの暗殺者</t>
  </si>
  <si>
    <t>枉惑な調達者</t>
  </si>
  <si>
    <t>苦心の魔女</t>
  </si>
  <si>
    <t>執念深い群衆</t>
  </si>
  <si>
    <t>血に染まりし勇者</t>
  </si>
  <si>
    <t>巧射艦隊の追跡者</t>
  </si>
  <si>
    <t>残酷なサディスト</t>
  </si>
  <si>
    <t>凶兆艦隊の毒殺者</t>
  </si>
  <si>
    <t>夜の華、切苦</t>
  </si>
  <si>
    <t>深海艦隊の船長</t>
  </si>
  <si>
    <t>シルムガルの暗殺者</t>
  </si>
  <si>
    <t>闇の腹心</t>
  </si>
  <si>
    <t>スカースダグの高僧</t>
  </si>
  <si>
    <t>光袖会の収集者</t>
  </si>
  <si>
    <t>苦痛の予見者</t>
  </si>
  <si>
    <t>梅澤俊郎</t>
  </si>
  <si>
    <t>運命の工作員</t>
  </si>
  <si>
    <t>ザスリッドの屍術師</t>
  </si>
  <si>
    <t>不気味な腸卜師</t>
  </si>
  <si>
    <t>狡猾な忘術士</t>
  </si>
  <si>
    <t>墓刃の匪賊</t>
  </si>
  <si>
    <t>モリオックの装具工</t>
  </si>
  <si>
    <t>ガルザの暗殺者</t>
  </si>
  <si>
    <t>凄腕の暗殺者</t>
  </si>
  <si>
    <t>夢盗人</t>
  </si>
  <si>
    <t>宿命のネクロマンサー</t>
  </si>
  <si>
    <t>現し世の裏切り者、禍我</t>
  </si>
  <si>
    <t>墳墓荒らし</t>
  </si>
  <si>
    <t>マルドゥの急襲指揮者</t>
  </si>
  <si>
    <t>アガディームの密教信者</t>
  </si>
  <si>
    <t>バーラ・ゲドの盗賊</t>
  </si>
  <si>
    <t>泥沼煎じの魔女</t>
  </si>
  <si>
    <t>深淵の大魔術師</t>
  </si>
  <si>
    <t>ボーラスの信奉者</t>
  </si>
  <si>
    <t>黄金の呪いのマカール王</t>
  </si>
  <si>
    <t>血の儀式の司祭</t>
  </si>
  <si>
    <t>練達の育種師、エンドレク・サール</t>
  </si>
  <si>
    <t>貴重品室の大魔術師</t>
  </si>
  <si>
    <t>黄金牙、タシグル</t>
  </si>
  <si>
    <t>鏡の大魔術師</t>
  </si>
  <si>
    <t>マリオネットの達人</t>
  </si>
  <si>
    <t>屍術師リム＝ドゥール</t>
  </si>
  <si>
    <t>異端の癒し手、リリアナ</t>
  </si>
  <si>
    <t>反抗する屍術師、リリアナ</t>
  </si>
  <si>
    <t>血に飢えた振起者</t>
  </si>
  <si>
    <t>灰の殉教者</t>
  </si>
  <si>
    <t>アクロスの十字軍</t>
  </si>
  <si>
    <t>ソンバーワルドの自警団</t>
  </si>
  <si>
    <t>コラガンの嵐唱者</t>
  </si>
  <si>
    <t>イロアスの神官</t>
  </si>
  <si>
    <t>ボガーダンの槍騎兵</t>
  </si>
  <si>
    <t>谷を駆ける者</t>
  </si>
  <si>
    <t>流血の家の鎖歩き</t>
  </si>
  <si>
    <t>跳躍の達人</t>
  </si>
  <si>
    <t>火花魔道士の弟子</t>
  </si>
  <si>
    <t>深海艦隊の扇動者</t>
  </si>
  <si>
    <t>ケルドの匪賊</t>
  </si>
  <si>
    <t>内陸の隠遁者</t>
  </si>
  <si>
    <t>内陸の災い魔</t>
  </si>
  <si>
    <t>無謀な炎織り</t>
  </si>
  <si>
    <t>戦に狂える浪人</t>
  </si>
  <si>
    <t>売剣の粗暴者</t>
  </si>
  <si>
    <t>命知らずの群勢</t>
  </si>
  <si>
    <t>火付け射手</t>
  </si>
  <si>
    <t>村の鉄鍛冶</t>
  </si>
  <si>
    <t>鉄牙</t>
  </si>
  <si>
    <t>国境地帯の匪賊</t>
  </si>
  <si>
    <t>熱錬金術師</t>
  </si>
  <si>
    <t>血茨のなじり屋</t>
  </si>
  <si>
    <t>コラガンの野心家</t>
  </si>
  <si>
    <t>霊気追跡者</t>
  </si>
  <si>
    <t>アクームの戦歌い</t>
  </si>
  <si>
    <t>爆弾部隊</t>
  </si>
  <si>
    <t>魔道士輪の暴漢</t>
  </si>
  <si>
    <t>道拓きの修練者</t>
  </si>
  <si>
    <t>性急な太陽追い</t>
  </si>
  <si>
    <t>ティロナーリの騎士</t>
  </si>
  <si>
    <t>クルーインの打撃者</t>
  </si>
  <si>
    <t>高地の狂戦士</t>
  </si>
  <si>
    <t>ネフ一門の鉄球戦士</t>
  </si>
  <si>
    <t>ハンウィアーの槍兵</t>
  </si>
  <si>
    <t>浪人の犬師</t>
  </si>
  <si>
    <t>アクロスの兵長</t>
  </si>
  <si>
    <t>ヴァルショクの心臓焚き</t>
  </si>
  <si>
    <t>アクームの炎探し</t>
  </si>
  <si>
    <t>放蕩紅蓮術士</t>
  </si>
  <si>
    <t>熱血漢の聖戦士</t>
  </si>
  <si>
    <t>尖塔横の潜入者</t>
  </si>
  <si>
    <t>竜魂の騎士</t>
  </si>
  <si>
    <t>アカデミーの略奪者</t>
  </si>
  <si>
    <t>ヴァラクートの発動者</t>
  </si>
  <si>
    <t>バルデュヴィアの蛮族</t>
  </si>
  <si>
    <t>意気がった海賊</t>
  </si>
  <si>
    <t>ヴィティアのとげ刺し</t>
  </si>
  <si>
    <t>暴動の首謀者</t>
  </si>
  <si>
    <t>最前線の反逆者</t>
  </si>
  <si>
    <t>躁の蛮人</t>
  </si>
  <si>
    <t>ヴァルショクの魔術師</t>
  </si>
  <si>
    <t>流動石の媒介者</t>
  </si>
  <si>
    <t>鍛えられた狂戦士</t>
  </si>
  <si>
    <t>エンブロールの歯車砕き</t>
  </si>
  <si>
    <t>跳ね散らす凶漢</t>
  </si>
  <si>
    <t>ギラプールの歯車造り</t>
  </si>
  <si>
    <t>炎の刃のアスカーリ</t>
  </si>
  <si>
    <t>コスの急使</t>
  </si>
  <si>
    <t>既決殺人犯</t>
  </si>
  <si>
    <t>焼き印の咆哮者</t>
  </si>
  <si>
    <t>突撃隊</t>
  </si>
  <si>
    <t>気ままな芸術家</t>
  </si>
  <si>
    <t>鉄面連合の海賊</t>
  </si>
  <si>
    <t>砂岩の戦士</t>
  </si>
  <si>
    <t>霜投げ</t>
  </si>
  <si>
    <t>剣歯虎の先導隊</t>
  </si>
  <si>
    <t>搾取工区の喧嘩屋</t>
  </si>
  <si>
    <t>刃族の狂戦士</t>
  </si>
  <si>
    <t>溶解区の門番</t>
  </si>
  <si>
    <t>鉄面連合の掠め取り</t>
  </si>
  <si>
    <t>狂気の預言者</t>
  </si>
  <si>
    <t>苛まれし最下層民</t>
  </si>
  <si>
    <t>猛り狂う狼男</t>
  </si>
  <si>
    <t>ヴァルショクの狂戦士</t>
  </si>
  <si>
    <t>血の峠の狂戦士</t>
  </si>
  <si>
    <t>峡谷に潜むもの</t>
  </si>
  <si>
    <t>ケルドの矛槍兵</t>
  </si>
  <si>
    <t>蛮族の裂け目切り</t>
  </si>
  <si>
    <t>ガツタフの放火魔</t>
  </si>
  <si>
    <t>ガツタフの荒廃者</t>
  </si>
  <si>
    <t>ギャサンの略奪者</t>
  </si>
  <si>
    <t>風雲艦隊の紅蓮術士</t>
  </si>
  <si>
    <t>浪人の洞守り</t>
  </si>
  <si>
    <t>村の伝書士</t>
  </si>
  <si>
    <t>月の出の侵入者</t>
  </si>
  <si>
    <t>石大工</t>
  </si>
  <si>
    <t>無謀な浮浪者</t>
  </si>
  <si>
    <t>無慈悲な捕食者</t>
  </si>
  <si>
    <t>僧院の速槍</t>
  </si>
  <si>
    <t>発明者の見習い</t>
  </si>
  <si>
    <t>稲妻の狂戦士</t>
  </si>
  <si>
    <t>伍堂の不正規軍</t>
  </si>
  <si>
    <t>勇敢な海賊</t>
  </si>
  <si>
    <t>謙虚な離反者</t>
  </si>
  <si>
    <t>燃えさし鍛冶</t>
  </si>
  <si>
    <t>火拳の打撃者</t>
  </si>
  <si>
    <t>オテペクの猟匠</t>
  </si>
  <si>
    <t>嵐血の狂戦士</t>
  </si>
  <si>
    <t>ケッシグの鍛冶場主</t>
  </si>
  <si>
    <t>炎心の人狼</t>
  </si>
  <si>
    <t>アルタクの求血者</t>
  </si>
  <si>
    <t>戦名を望む者</t>
  </si>
  <si>
    <t>闘技場の競技者</t>
  </si>
  <si>
    <t>風雲艦隊の剣客</t>
  </si>
  <si>
    <t>稲妻のやっかいもの</t>
  </si>
  <si>
    <t>アクームの石覚まし</t>
  </si>
  <si>
    <t>血騎士</t>
  </si>
  <si>
    <t>軍団の伏兵</t>
  </si>
  <si>
    <t>憤怒の織り手</t>
  </si>
  <si>
    <t>競走路の熱狂者</t>
  </si>
  <si>
    <t>若き紅蓮術士</t>
  </si>
  <si>
    <t>真紅の魔道士</t>
  </si>
  <si>
    <t>改革派の炬火</t>
  </si>
  <si>
    <t>狡猾な山賊</t>
  </si>
  <si>
    <t>背信の化身、痣矛奇</t>
  </si>
  <si>
    <t>飛行機械技師</t>
  </si>
  <si>
    <t>羽虫小路の忍び寄る者</t>
  </si>
  <si>
    <t>あふれ出る火焚き</t>
  </si>
  <si>
    <t>天才速製職人</t>
  </si>
  <si>
    <t>硫黄石の魔道士</t>
  </si>
  <si>
    <t>業火の侍祭</t>
  </si>
  <si>
    <t>熱烈の苦悶術師</t>
  </si>
  <si>
    <t>ヴァルショクの難民</t>
  </si>
  <si>
    <t>攻撃の元型</t>
  </si>
  <si>
    <t>ジャンドの戦闘魔道士</t>
  </si>
  <si>
    <t>山崎兄弟</t>
  </si>
  <si>
    <t>狡猾な火花魔道士</t>
  </si>
  <si>
    <t>石揺すりのシャーマン</t>
  </si>
  <si>
    <t>ウラブラスクの僧侶</t>
  </si>
  <si>
    <t>首折れ路の乗り手</t>
  </si>
  <si>
    <t>首折り</t>
  </si>
  <si>
    <t>鞭打ち兵長</t>
  </si>
  <si>
    <t>無謀なレーサー</t>
  </si>
  <si>
    <t>炎語りの達人</t>
  </si>
  <si>
    <t>ハンウィアーの砦守り</t>
  </si>
  <si>
    <t>ハンウィアーの災い</t>
  </si>
  <si>
    <t>アクロスの戦線砕き</t>
  </si>
  <si>
    <t>改革派の霊気砲手</t>
  </si>
  <si>
    <t>ケッシグの不満分子</t>
  </si>
  <si>
    <t>コラガンの先陣</t>
  </si>
  <si>
    <t>炎套の魔道士</t>
  </si>
  <si>
    <t>ケラノスの嵐呼び</t>
  </si>
  <si>
    <t>稲妻織り</t>
  </si>
  <si>
    <t>激しい抵抗の模範</t>
  </si>
  <si>
    <t>スカースダグの信者</t>
  </si>
  <si>
    <t>沸血の処罰者</t>
  </si>
  <si>
    <t>ウォジェクの燃えさし魔道士</t>
  </si>
  <si>
    <t>襲拳会の扉破り</t>
  </si>
  <si>
    <t>心酔させる勝者</t>
  </si>
  <si>
    <t>屑鉄会の勇者</t>
  </si>
  <si>
    <t>落とし子の守り手</t>
  </si>
  <si>
    <t>堕ちたる鉄術士</t>
  </si>
  <si>
    <t>帝国の先駆け</t>
  </si>
  <si>
    <t>らせんの決闘者</t>
  </si>
  <si>
    <t>バルデュヴィアの大将軍</t>
  </si>
  <si>
    <t>マルドゥの心臓貫き</t>
  </si>
  <si>
    <t>苦悩の脱走者</t>
  </si>
  <si>
    <t>狼男の荒らし屋</t>
  </si>
  <si>
    <t>アクロスの徴兵人</t>
  </si>
  <si>
    <t>熊野の学徒</t>
  </si>
  <si>
    <t>浪人の崖乗り</t>
  </si>
  <si>
    <t>無政府主義者</t>
  </si>
  <si>
    <t>憤怒を投げる者</t>
  </si>
  <si>
    <t>ムラーサの紅蓮術士</t>
  </si>
  <si>
    <t>二の足踏みのノリン</t>
  </si>
  <si>
    <t>巻物の大魔術師</t>
  </si>
  <si>
    <t>渋面の溶岩使い</t>
  </si>
  <si>
    <t>損魂魔道士</t>
  </si>
  <si>
    <t>過酷な指導者</t>
  </si>
  <si>
    <t>航空船を強襲する者、カーリ・ゼヴ</t>
  </si>
  <si>
    <t>灰の盲信者</t>
  </si>
  <si>
    <t>ケラル砦の修道院長</t>
  </si>
  <si>
    <t>ティロナーリの召喚士</t>
  </si>
  <si>
    <t>凶兆艦隊の向こう見ず</t>
  </si>
  <si>
    <t>ガイアー岬の山賊</t>
  </si>
  <si>
    <t>ヴィルディン群れの頭目</t>
  </si>
  <si>
    <t>クルーインの無法者</t>
  </si>
  <si>
    <t>クルーイン峡の恐怖</t>
  </si>
  <si>
    <t>ティロナーリの肌変わり</t>
  </si>
  <si>
    <t>瘡蓋族の狂戦士</t>
  </si>
  <si>
    <t>特務魔道士ヤヤ・バラード</t>
  </si>
  <si>
    <t>月の大魔術師</t>
  </si>
  <si>
    <t>ピア・ナラー</t>
  </si>
  <si>
    <t>風雲船長ラネリー</t>
  </si>
  <si>
    <t>死に微笑むもの、アリーシャ</t>
  </si>
  <si>
    <t>ハンウィアー守備隊</t>
  </si>
  <si>
    <t>のたうつ居住区、ハンウィアー</t>
  </si>
  <si>
    <t>扇動する集団</t>
  </si>
  <si>
    <t>野生の血の群れ</t>
  </si>
  <si>
    <t>速製職人の反逆者</t>
  </si>
  <si>
    <t>卑血の芙巳子</t>
  </si>
  <si>
    <t>迷宮の勇者</t>
  </si>
  <si>
    <t>ピア・ナラーとキラン・ナラー</t>
  </si>
  <si>
    <t>ラッカ・マー</t>
  </si>
  <si>
    <t>蠱惑的な船員</t>
  </si>
  <si>
    <t>モンドロネンのシャーマン</t>
  </si>
  <si>
    <t>トヴォラーの魔道士狩り</t>
  </si>
  <si>
    <t>非情なる飯塚</t>
  </si>
  <si>
    <t>龍流派の双子</t>
  </si>
  <si>
    <t>運命の盗人</t>
  </si>
  <si>
    <t>山伏の長、熊野</t>
  </si>
  <si>
    <t>士気溢れる徴集兵</t>
  </si>
  <si>
    <t>冷眼のロヴィサ</t>
  </si>
  <si>
    <t>ヴァルショクの戦場の達人</t>
  </si>
  <si>
    <t>炎駆の乗り手</t>
  </si>
  <si>
    <t>ピット・ファイター、カマール</t>
  </si>
  <si>
    <t>山賊の頭、伍堂</t>
  </si>
  <si>
    <t>闘技場の大魔術師</t>
  </si>
  <si>
    <t>上位の人間、焔村</t>
  </si>
  <si>
    <t>焔村の本質</t>
  </si>
  <si>
    <t>アングラスの匪賊</t>
  </si>
  <si>
    <t>竜使いののけ者</t>
  </si>
  <si>
    <t>龍を操る者</t>
  </si>
  <si>
    <t>カルガの竜王</t>
  </si>
  <si>
    <t>予言の炎語り</t>
  </si>
  <si>
    <t>戦闘の祝賀者</t>
  </si>
  <si>
    <t>カラデシュの火、チャンドラ</t>
  </si>
  <si>
    <t>燃え盛る炎、チャンドラ</t>
  </si>
  <si>
    <t>荒くれ船員</t>
  </si>
  <si>
    <t>オキシド峠の英雄</t>
  </si>
  <si>
    <t>稲妻駆け</t>
  </si>
  <si>
    <t>アヴァシンの巡礼者</t>
  </si>
  <si>
    <t>族樹の管理人</t>
  </si>
  <si>
    <t>オアシュラの耕作者</t>
  </si>
  <si>
    <t>戦墓の随員</t>
  </si>
  <si>
    <t>鱗の召使い</t>
  </si>
  <si>
    <t>樹海の伝書士</t>
  </si>
  <si>
    <t>名高い織り手</t>
  </si>
  <si>
    <t>スカルガンの穴潜み</t>
  </si>
  <si>
    <t>胞子の殉教者</t>
  </si>
  <si>
    <t>岐路の聖別者</t>
  </si>
  <si>
    <t>確約の神主</t>
  </si>
  <si>
    <t>シミックの信徒</t>
  </si>
  <si>
    <t>軽蔑された村人</t>
  </si>
  <si>
    <t>月傷の狼男</t>
  </si>
  <si>
    <t>盾を持つ守護者</t>
  </si>
  <si>
    <t>屈強な古参兵</t>
  </si>
  <si>
    <t>ファーディヤーの予見者</t>
  </si>
  <si>
    <t>謙虚な武道家</t>
  </si>
  <si>
    <t>原初のドルイド</t>
  </si>
  <si>
    <t>アタルカの獣壊し</t>
  </si>
  <si>
    <t>イクサーリの守り手</t>
  </si>
  <si>
    <t>森林地の先達</t>
  </si>
  <si>
    <t>内陸の木こり</t>
  </si>
  <si>
    <t>森林を切り裂くもの</t>
  </si>
  <si>
    <t>シルヴォクの開拓者</t>
  </si>
  <si>
    <t>オラン＝リーフの生き残り</t>
  </si>
  <si>
    <t>荒野の囁く者</t>
  </si>
  <si>
    <t>イクサーリの卜占師</t>
  </si>
  <si>
    <t>ベラドンナの行商人</t>
  </si>
  <si>
    <t>煙の語り部</t>
  </si>
  <si>
    <t>ロナスの重鎮</t>
  </si>
  <si>
    <t>オラン＝リーフの発動者</t>
  </si>
  <si>
    <t>旧き道の信奉者</t>
  </si>
  <si>
    <t>宮廷の射手</t>
  </si>
  <si>
    <t>斧折りの守護者</t>
  </si>
  <si>
    <t>森林の巡回者</t>
  </si>
  <si>
    <t>信頼厚き腕力魔道士</t>
  </si>
  <si>
    <t>シタヌールの樹木読み</t>
  </si>
  <si>
    <t>エストワルドの村人</t>
  </si>
  <si>
    <t>エストワルドの吠え群れ</t>
  </si>
  <si>
    <t>裏道の急使</t>
  </si>
  <si>
    <t>国境地帯のレインジャー</t>
  </si>
  <si>
    <t>彼方の工作員</t>
  </si>
  <si>
    <t>マトカの暴動者</t>
  </si>
  <si>
    <t>冷静な建築家</t>
  </si>
  <si>
    <t>聖鐘の僧団</t>
  </si>
  <si>
    <t>グルールの潰し屋</t>
  </si>
  <si>
    <t>暴走の騎士</t>
  </si>
  <si>
    <t>孤独な狩人</t>
  </si>
  <si>
    <t>群れの一員</t>
  </si>
  <si>
    <t>剛胆な補給兵</t>
  </si>
  <si>
    <t>灰色革の狩人</t>
  </si>
  <si>
    <t>セテッサの星砕き</t>
  </si>
  <si>
    <t>石蒔きの秘儀司祭</t>
  </si>
  <si>
    <t>森林の捜索者</t>
  </si>
  <si>
    <t>信条の戦士</t>
  </si>
  <si>
    <t>辺境林の生存者</t>
  </si>
  <si>
    <t>翁神社の夜警</t>
  </si>
  <si>
    <t>灰毛ののけ者</t>
  </si>
  <si>
    <t>爪の群れののけ者</t>
  </si>
  <si>
    <t>霊の罠師</t>
  </si>
  <si>
    <t>大槌の接合者</t>
  </si>
  <si>
    <t>実験体</t>
  </si>
  <si>
    <t>土地守</t>
  </si>
  <si>
    <t>小村の隊長</t>
  </si>
  <si>
    <t>ラムホルトの平和主義者</t>
  </si>
  <si>
    <t>ラムホルトの解体者</t>
  </si>
  <si>
    <t>バーラ・ゲドの獣壊し</t>
  </si>
  <si>
    <t>ガツタフの羊飼い</t>
  </si>
  <si>
    <t>ガツタフの咆哮者</t>
  </si>
  <si>
    <t>優雅の集積者</t>
  </si>
  <si>
    <t>荒野の後継者</t>
  </si>
  <si>
    <t>隠れた薬草医</t>
  </si>
  <si>
    <t>翡翠の魔道士</t>
  </si>
  <si>
    <t>鱗衛兵の歩哨</t>
  </si>
  <si>
    <t>大物群れの操り手</t>
  </si>
  <si>
    <t>力の織り手</t>
  </si>
  <si>
    <t>希望守り</t>
  </si>
  <si>
    <t>バサーラ塔の弓兵</t>
  </si>
  <si>
    <t>古参の聖戦士</t>
  </si>
  <si>
    <t>薄暮見の徴募兵</t>
  </si>
  <si>
    <t>爪の群れの咆哮者</t>
  </si>
  <si>
    <t>偏執的な皮剥ぎ人</t>
  </si>
  <si>
    <t>生命鍛冶</t>
  </si>
  <si>
    <t>活力の模範</t>
  </si>
  <si>
    <t>永遠の証人</t>
  </si>
  <si>
    <t>アナの戦闘魔道士</t>
  </si>
  <si>
    <t>牙守りの隊長</t>
  </si>
  <si>
    <t>襲拳会の革命家</t>
  </si>
  <si>
    <t>草原のドルイド僧</t>
  </si>
  <si>
    <t>ヴァレロンの管理人</t>
  </si>
  <si>
    <t>アゾカンの射手</t>
  </si>
  <si>
    <t>ムウォンヴーリーの獣記し</t>
  </si>
  <si>
    <t>ナッターノールズの隠遁者</t>
  </si>
  <si>
    <t>ナッターノールズの一匹狼</t>
  </si>
  <si>
    <t>覚醒のドルイド</t>
  </si>
  <si>
    <t>ヤヴィマヤの女魔術師</t>
  </si>
  <si>
    <t>戦利品狩り</t>
  </si>
  <si>
    <t>トーパの苦行者</t>
  </si>
  <si>
    <t>邪悪の使者</t>
  </si>
  <si>
    <t>塩路補給部隊</t>
  </si>
  <si>
    <t>増麻呂の末裔</t>
  </si>
  <si>
    <t>ラムホルトの古老</t>
  </si>
  <si>
    <t>銀皮の狼男</t>
  </si>
  <si>
    <t>熱心な回収者</t>
  </si>
  <si>
    <t>武道家の学徒</t>
  </si>
  <si>
    <t>樫倒しの伊馳我</t>
  </si>
  <si>
    <t>ナヤの戦闘魔道士</t>
  </si>
  <si>
    <t>フェメレフの射手</t>
  </si>
  <si>
    <t>ムラーサのレインジャー</t>
  </si>
  <si>
    <t>茨橋の巡回兵</t>
  </si>
  <si>
    <t>永遠の荒野の模範</t>
  </si>
  <si>
    <t>生命の接合者</t>
  </si>
  <si>
    <t>鼓声狩人</t>
  </si>
  <si>
    <t>長老たちの車座</t>
  </si>
  <si>
    <t>ウルヴェンワルドの神秘家</t>
  </si>
  <si>
    <t>ウルヴェンワルドの根源</t>
  </si>
  <si>
    <t>ケイラメトラの侍祭</t>
  </si>
  <si>
    <t>アブザンの族護衛</t>
  </si>
  <si>
    <t>村の生き残り</t>
  </si>
  <si>
    <t>上弦の月の教団</t>
  </si>
  <si>
    <t>メリーラの守り手</t>
  </si>
  <si>
    <t>名誉ある教主</t>
  </si>
  <si>
    <t>ぶどう園の大魔術師</t>
  </si>
  <si>
    <t>ウルヴェンワルドの足跡追い</t>
  </si>
  <si>
    <t>造命の賢者、オビア・パースリー</t>
  </si>
  <si>
    <t>レイナ塔の英雄</t>
  </si>
  <si>
    <t>燭台の大魔術師</t>
  </si>
  <si>
    <t>狼に噛まれた囚人</t>
  </si>
  <si>
    <t>爪の群れの殺人者</t>
  </si>
  <si>
    <t>貴族の教主</t>
  </si>
  <si>
    <t>シルヴォクののけ者、メリーラ</t>
  </si>
  <si>
    <t>爪鳴らしの神秘家</t>
  </si>
  <si>
    <t>アヴァブルックの町長</t>
  </si>
  <si>
    <t>吠え群れの頭目</t>
  </si>
  <si>
    <t>カザンドゥの牙呼び</t>
  </si>
  <si>
    <t>図書館の大魔術師</t>
  </si>
  <si>
    <t>武道家の庭師</t>
  </si>
  <si>
    <t>生命の織り手、土塊</t>
  </si>
  <si>
    <t>棲み家の防御者</t>
  </si>
  <si>
    <t>ヘイラバズのドルイド</t>
  </si>
  <si>
    <t>肌変わり</t>
  </si>
  <si>
    <t>錯乱したのけ者</t>
  </si>
  <si>
    <t>死天狗茸の栽培者</t>
  </si>
  <si>
    <t>媒介者の修練者</t>
  </si>
  <si>
    <t>放浪の吟遊詩人、イーサーン</t>
  </si>
  <si>
    <t>落葉の道三</t>
  </si>
  <si>
    <t>ソンバーワルドの賢者</t>
  </si>
  <si>
    <t>エムラクールの福音者</t>
  </si>
  <si>
    <t>月桂樹の古老</t>
  </si>
  <si>
    <t>ラムホルトの勇者</t>
  </si>
  <si>
    <t>不屈の追跡者</t>
  </si>
  <si>
    <t>恭しき狩人</t>
  </si>
  <si>
    <t>迷える探求者、梓</t>
  </si>
  <si>
    <t>夜明けのレインジャー</t>
  </si>
  <si>
    <t>黄昏の捕食者</t>
  </si>
  <si>
    <t>龍爪のヤソヴァ</t>
  </si>
  <si>
    <t>神河の歴史、暦記</t>
  </si>
  <si>
    <t>新緑の女魔術師</t>
  </si>
  <si>
    <t>悟りの武士、勲雄</t>
  </si>
  <si>
    <t>野生の獣使い</t>
  </si>
  <si>
    <t>素拳の岩守</t>
  </si>
  <si>
    <t>狩猟の統率者、スーラク</t>
  </si>
  <si>
    <t>皇帝の先兵</t>
  </si>
  <si>
    <t>ケッシグの檻破り</t>
  </si>
  <si>
    <t>古き知恵の賢者</t>
  </si>
  <si>
    <t>古き飢えの人狼</t>
  </si>
  <si>
    <t>セテッサの英雄、アンソーザ</t>
  </si>
  <si>
    <t>クローサの拳バルー</t>
  </si>
  <si>
    <t>ティムールの戦巫師</t>
  </si>
  <si>
    <t>巨術士</t>
  </si>
  <si>
    <t>始まりの木の管理人</t>
  </si>
  <si>
    <t>失われた業の巫師</t>
  </si>
  <si>
    <t>野生の狩りの達人</t>
  </si>
  <si>
    <t>返済代理人</t>
  </si>
  <si>
    <t>エーテル階級の騎士</t>
  </si>
  <si>
    <t>器用な決闘者</t>
  </si>
  <si>
    <t>妨害の公使</t>
  </si>
  <si>
    <t>軽騎兵の巡視部隊</t>
  </si>
  <si>
    <t>隠れ潜む密通者</t>
  </si>
  <si>
    <t>死教団のならず者</t>
  </si>
  <si>
    <t>意思切る者</t>
  </si>
  <si>
    <t>ヴェクティスの工作員</t>
  </si>
  <si>
    <t>ラクドスの切り刻み教徒</t>
  </si>
  <si>
    <t>野生の朗詠者</t>
  </si>
  <si>
    <t>ザル＝ターのドルイド</t>
  </si>
  <si>
    <t>炎樹族の使者</t>
  </si>
  <si>
    <t>切り裂き隊の壊し屋</t>
  </si>
  <si>
    <t>瘡蓋族のやっかい者</t>
  </si>
  <si>
    <t>ヴァレロンの異国者</t>
  </si>
  <si>
    <t>ヴァレロンに仕える者</t>
  </si>
  <si>
    <t>ヴェクティスの威圧者</t>
  </si>
  <si>
    <t>イゼットの時術師</t>
  </si>
  <si>
    <t>雷楽のラッパ吹き</t>
  </si>
  <si>
    <t>ウォジェクの矛槍兵</t>
  </si>
  <si>
    <t>空騎士の軍団兵</t>
  </si>
  <si>
    <t>甲虫体の魔道士</t>
  </si>
  <si>
    <t>風生みの魔道士</t>
  </si>
  <si>
    <t>バントの信刃</t>
  </si>
  <si>
    <t>バントの滞留者</t>
  </si>
  <si>
    <t>雪角の乗り手</t>
  </si>
  <si>
    <t>アブザンの先達</t>
  </si>
  <si>
    <t>戦識の重装歩兵</t>
  </si>
  <si>
    <t>新プラーフのギルド魔道士</t>
  </si>
  <si>
    <t>ジェスの軟膏使い</t>
  </si>
  <si>
    <t>反射魔道士</t>
  </si>
  <si>
    <t>アゾリウスの霊気魔道士</t>
  </si>
  <si>
    <t>リーヴの空騎士</t>
  </si>
  <si>
    <t>尖塔の巡回員</t>
  </si>
  <si>
    <t>空の軽騎兵</t>
  </si>
  <si>
    <t>雲先案内人</t>
  </si>
  <si>
    <t>ディミーアのギルド魔道士</t>
  </si>
  <si>
    <t>影嵐の侍臣</t>
  </si>
  <si>
    <t>欺瞞の信奉者</t>
  </si>
  <si>
    <t>ダスクマントルのギルド魔道士</t>
  </si>
  <si>
    <t>思考切りの工作員</t>
  </si>
  <si>
    <t>破滅小径の仲介人</t>
  </si>
  <si>
    <t>巧射艦隊の喧嘩屋</t>
  </si>
  <si>
    <t>巧射艦隊の略取者</t>
  </si>
  <si>
    <t>リックス・マーディのギルド魔道士</t>
  </si>
  <si>
    <t>血の信者</t>
  </si>
  <si>
    <t>速接会の技師</t>
  </si>
  <si>
    <t>グルールのギルド魔道士</t>
  </si>
  <si>
    <t>通電の喧嘩屋</t>
  </si>
  <si>
    <t>スカルグのギルド魔道士</t>
  </si>
  <si>
    <t>ヴィティアの背教者</t>
  </si>
  <si>
    <t>執拗な狩人</t>
  </si>
  <si>
    <t>城塞の主</t>
  </si>
  <si>
    <t>アゾカンの予見者</t>
  </si>
  <si>
    <t>改革派の結集者</t>
  </si>
  <si>
    <t>アン一門の勇者</t>
  </si>
  <si>
    <t>柏槙教団のレインジャー</t>
  </si>
  <si>
    <t>刃の隊長</t>
  </si>
  <si>
    <t>カルテルの貴種</t>
  </si>
  <si>
    <t>鱗の隊長</t>
  </si>
  <si>
    <t>オルゾフのギルド魔道士</t>
  </si>
  <si>
    <t>死の国の造幣工</t>
  </si>
  <si>
    <t>ヴィズコーパのギルド魔道士</t>
  </si>
  <si>
    <t>罪の収集者</t>
  </si>
  <si>
    <t>機械修復職人</t>
  </si>
  <si>
    <t>ヴィズコーパの聴罪司祭</t>
  </si>
  <si>
    <t>仮面の工作員</t>
  </si>
  <si>
    <t>嵐追いの魔道士</t>
  </si>
  <si>
    <t>ニヴィックスのギルド魔道士</t>
  </si>
  <si>
    <t>イゼットのギルド魔道士</t>
  </si>
  <si>
    <t>風雲艦隊の疾走者</t>
  </si>
  <si>
    <t>イゼットの静電術師</t>
  </si>
  <si>
    <t>隠棲した工匠</t>
  </si>
  <si>
    <t>無法の物あさり</t>
  </si>
  <si>
    <t>異端の飛行機械職人</t>
  </si>
  <si>
    <t>気絶の狙撃者</t>
  </si>
  <si>
    <t>ボロスのギルド魔道士</t>
  </si>
  <si>
    <t>アクロスの重装歩兵</t>
  </si>
  <si>
    <t>ボロスの速太刀</t>
  </si>
  <si>
    <t>真火の聖騎士</t>
  </si>
  <si>
    <t>名誉ある門長</t>
  </si>
  <si>
    <t>サンホームのギルド魔道士</t>
  </si>
  <si>
    <t>武器の教練者</t>
  </si>
  <si>
    <t>イロアスの勇者</t>
  </si>
  <si>
    <t>毅然たる生き残り</t>
  </si>
  <si>
    <t>毅然たる刃の達人</t>
  </si>
  <si>
    <t>ジェスの浸透者</t>
  </si>
  <si>
    <t>ならず者の精製屋</t>
  </si>
  <si>
    <t>天望の預言者</t>
  </si>
  <si>
    <t>熊の仲間</t>
  </si>
  <si>
    <t>軍備部隊</t>
  </si>
  <si>
    <t>ナクタムンの侍臣、テムメト</t>
  </si>
  <si>
    <t>翻弄する魔道士</t>
  </si>
  <si>
    <t>成金、グヮファ・ハジード</t>
  </si>
  <si>
    <t>メレティスのダクソス</t>
  </si>
  <si>
    <t>アウグスティン四世大判事</t>
  </si>
  <si>
    <t>第10管区のラヴィニア</t>
  </si>
  <si>
    <t>アゾールの雄弁家</t>
  </si>
  <si>
    <t>高位の秘儀術師、イス</t>
  </si>
  <si>
    <t>影魔道士の浸透者</t>
  </si>
  <si>
    <t>人質取り</t>
  </si>
  <si>
    <t>概念泥棒</t>
  </si>
  <si>
    <t>ディミーアの脳外科医、シアクー</t>
  </si>
  <si>
    <t>血の魔女リゾルダ</t>
  </si>
  <si>
    <t>ラクドスの穴開け魔道士</t>
  </si>
  <si>
    <t>ラクドスの血魔女、イクサヴァ</t>
  </si>
  <si>
    <t>無慈悲なる者ケアヴェク</t>
  </si>
  <si>
    <t>瓦礫帯の略奪者</t>
  </si>
  <si>
    <t>サッフィー・エリクスドッター</t>
  </si>
  <si>
    <t>結び蔦の聖騎士</t>
  </si>
  <si>
    <t>聖遺の騎士</t>
  </si>
  <si>
    <t>古参の戦導者</t>
  </si>
  <si>
    <t>優雅な鷺の勇者</t>
  </si>
  <si>
    <t>新たなアラーラの騎士</t>
  </si>
  <si>
    <t>贖罪の高僧</t>
  </si>
  <si>
    <t>オルゾフの司教</t>
  </si>
  <si>
    <t>オルゾフの御曹子、テイサ</t>
  </si>
  <si>
    <t>配分の領事、カンバール</t>
  </si>
  <si>
    <t>運命の三人組</t>
  </si>
  <si>
    <t>幽霊の特使、テイサ</t>
  </si>
  <si>
    <t>ギトゥのジョイラ</t>
  </si>
  <si>
    <t>ティボーとルミア</t>
  </si>
  <si>
    <t>気紛れな薬術師</t>
  </si>
  <si>
    <t>毒物の侍臣、ハパチラ</t>
  </si>
  <si>
    <t>アナックスとサイミーディ</t>
  </si>
  <si>
    <t>軍勢の刃、タージク</t>
  </si>
  <si>
    <t>ウォジェクの古参兵、アグルス・コス</t>
  </si>
  <si>
    <t>覇者、ジョー・カディーン</t>
  </si>
  <si>
    <t>育殻組のヴォレル</t>
  </si>
  <si>
    <t>先端生物学者</t>
  </si>
  <si>
    <t>水深の魔道士</t>
  </si>
  <si>
    <t>クルフィックスの預言者</t>
  </si>
  <si>
    <t>結界師ズアー</t>
  </si>
  <si>
    <t>工匠の神童、ミシュラ</t>
  </si>
  <si>
    <t>黄金塔の報復者</t>
  </si>
  <si>
    <t>カマキリの乗り手</t>
  </si>
  <si>
    <t>不可侵議員</t>
  </si>
  <si>
    <t>ギサとゲラルフ</t>
  </si>
  <si>
    <t>高原の狩りの達人</t>
  </si>
  <si>
    <t>高原の荒廃者</t>
  </si>
  <si>
    <t>造反の代弁者、サムト</t>
  </si>
  <si>
    <t>爪の群れのウルリッチ</t>
  </si>
  <si>
    <t>揺るぎない頭目、ウルリッチ</t>
  </si>
  <si>
    <t>残忍な剥ぎ取り</t>
  </si>
  <si>
    <t>センの三つ子</t>
  </si>
  <si>
    <t>鉄面提督ベケット</t>
  </si>
  <si>
    <t>血編み髪のクレシュ</t>
  </si>
  <si>
    <t>数多のラフィーク</t>
  </si>
  <si>
    <t>悟った達人、ナーセット</t>
  </si>
  <si>
    <t>龍爪のスーラク</t>
  </si>
  <si>
    <t>先頭に立つもの、アナフェンザ</t>
  </si>
  <si>
    <t>スカウト(Scout)</t>
  </si>
  <si>
    <t>兵士(Soldier)</t>
  </si>
  <si>
    <t>ウィザード(Wizard)</t>
  </si>
  <si>
    <t>レベル(Rebel)</t>
  </si>
  <si>
    <t>クレリック(Cleric)</t>
  </si>
  <si>
    <t>騎士(Knight)</t>
  </si>
  <si>
    <t>戦士(Warrior)</t>
  </si>
  <si>
    <t>侍(Samurai)</t>
  </si>
  <si>
    <t>狂戦士(Berserker)</t>
  </si>
  <si>
    <t>モンク(Monk)</t>
  </si>
  <si>
    <t>アドバイザー(Advisor)</t>
  </si>
  <si>
    <t>同盟者(Ally)</t>
  </si>
  <si>
    <t>射手(Archer)</t>
  </si>
  <si>
    <t>スペルシェイパー(Spellshaper)</t>
  </si>
  <si>
    <t>工匠(Artificer)</t>
  </si>
  <si>
    <t>ホラー(Horror)</t>
  </si>
  <si>
    <t>ミュータント(Mutant)</t>
  </si>
  <si>
    <t>ドルイド(Druid)</t>
  </si>
  <si>
    <t>操縦士(Pilot)</t>
  </si>
  <si>
    <t>ノーマッド(Nomad)</t>
  </si>
  <si>
    <t>アバター(Avatar)</t>
  </si>
  <si>
    <t>海賊(Pirate)</t>
  </si>
  <si>
    <t>ならず者(Rogue)</t>
  </si>
  <si>
    <t>忍者(Ninja)</t>
  </si>
  <si>
    <t>魚(Fish)</t>
  </si>
  <si>
    <t>昆虫(Insect)</t>
  </si>
  <si>
    <t>シャーマン(Shaman)</t>
  </si>
  <si>
    <t>暗殺者(Assassin)</t>
  </si>
  <si>
    <t>傭兵(Mercenary)</t>
  </si>
  <si>
    <t>装具工(Rigger)</t>
  </si>
  <si>
    <t>狼男(Werewolf)</t>
  </si>
  <si>
    <t>バーバリアン(Barbarian)</t>
  </si>
  <si>
    <t>ウーズ(Ooze)</t>
  </si>
  <si>
    <t>マーフォーク(Merfolk)</t>
  </si>
  <si>
    <t>クリーチャー</t>
  </si>
  <si>
    <t>人間(Human)</t>
  </si>
  <si>
    <t>アーティファクト・クリーチャー</t>
  </si>
  <si>
    <t>クリーチャー・エンチャント</t>
  </si>
  <si>
    <t>伝説のクリーチャー</t>
  </si>
  <si>
    <t>伝説のアーティファクト・クリーチャー</t>
  </si>
  <si>
    <t>スピリット(Spirit)</t>
  </si>
  <si>
    <t>エルドラージ(Eldrazi)</t>
  </si>
  <si>
    <t>〔黒〕</t>
  </si>
  <si>
    <t>〔黒〕</t>
    <phoneticPr fontId="1"/>
  </si>
  <si>
    <t>〔白〕</t>
    <phoneticPr fontId="1"/>
  </si>
  <si>
    <t xml:space="preserve">クリーチャー </t>
  </si>
  <si>
    <t>ゾンビ(Zombie)</t>
    <phoneticPr fontId="1"/>
  </si>
  <si>
    <t>〔赤〕</t>
  </si>
  <si>
    <t xml:space="preserve"> 人間(Human)</t>
  </si>
  <si>
    <t xml:space="preserve">伝説のプレインズウォーカー </t>
  </si>
  <si>
    <t>〔青〕</t>
    <phoneticPr fontId="1"/>
  </si>
  <si>
    <t xml:space="preserve">エンチャント </t>
  </si>
  <si>
    <t>呪い(Curse)</t>
  </si>
  <si>
    <t>リリアナ(Liliana)</t>
    <phoneticPr fontId="1"/>
  </si>
  <si>
    <t>〔緑〕</t>
  </si>
  <si>
    <t>白</t>
    <rPh sb="0" eb="1">
      <t>シロ</t>
    </rPh>
    <phoneticPr fontId="1"/>
  </si>
  <si>
    <t>青</t>
    <rPh sb="0" eb="1">
      <t>アオ</t>
    </rPh>
    <phoneticPr fontId="1"/>
  </si>
  <si>
    <t>黒</t>
    <rPh sb="0" eb="1">
      <t>クロ</t>
    </rPh>
    <phoneticPr fontId="1"/>
  </si>
  <si>
    <t>赤</t>
    <rPh sb="0" eb="1">
      <t>アカ</t>
    </rPh>
    <phoneticPr fontId="1"/>
  </si>
  <si>
    <t>緑</t>
    <rPh sb="0" eb="1">
      <t>ミドリ</t>
    </rPh>
    <phoneticPr fontId="1"/>
  </si>
  <si>
    <t>多</t>
    <rPh sb="0" eb="1">
      <t>タ</t>
    </rPh>
    <phoneticPr fontId="1"/>
  </si>
  <si>
    <t>無</t>
    <rPh sb="0" eb="1">
      <t>ム</t>
    </rPh>
    <phoneticPr fontId="1"/>
  </si>
  <si>
    <t>地</t>
    <rPh sb="0" eb="1">
      <t>チ</t>
    </rPh>
    <phoneticPr fontId="1"/>
  </si>
  <si>
    <t>クリーチャー数</t>
    <rPh sb="6" eb="7">
      <t>スウ</t>
    </rPh>
    <phoneticPr fontId="1"/>
  </si>
  <si>
    <t>Cloak and Dagger</t>
    <phoneticPr fontId="1"/>
  </si>
  <si>
    <t>外套と短剣（がいとうとたんけん）</t>
  </si>
  <si>
    <t>_(2)</t>
    <phoneticPr fontId="1"/>
  </si>
  <si>
    <t>部族アーティファクト --- ならず者(Rogue)・装備品(Equipment)</t>
  </si>
  <si>
    <t>ならず者(Rogue)クリーチャーが１体戦場に出るたび、あなたは外套と短剣をそれにつけてもよい。</t>
  </si>
  <si>
    <t>装備(３)</t>
  </si>
  <si>
    <t>Morningtide</t>
  </si>
  <si>
    <t>Thieves' Fortune</t>
  </si>
  <si>
    <t>盗人の運命（ぬすびとのうんめい）</t>
  </si>
  <si>
    <t>部族インスタント --- ならず者(Rogue)</t>
  </si>
  <si>
    <t>徘徊(U)（このターン、あなたがならず者(Rogue)によってプレイヤー１人に戦闘ダメージを与えている場合、あなたはこれをその徘徊コストで唱えてもよい。）</t>
  </si>
  <si>
    <t>あなたのライブラリーのカードを上から４枚見る。それらの１枚をあなたの手札に加え、残りをあなたのライブラリーの一番下に望む順番で置く。</t>
  </si>
  <si>
    <t>Notorious Throng</t>
  </si>
  <si>
    <t>悪名高き群れ（あくみょうたかきむれ）</t>
  </si>
  <si>
    <t>部族ソーサリー --- ならず者(Rogue)</t>
  </si>
  <si>
    <t>徘徊(５)(U)（このターン、あなたがならず者(Rogue)によってプレイヤー１人に戦闘ダメージを与えている場合、あなたはこれをその徘徊コストで唱えてもよい。）</t>
  </si>
  <si>
    <t>飛行を持つ黒の1/1のフェアリー(Faerie)・ならず者クリーチャー・トークンをＸ体生成する。Ｘは、このターンにあなたの対戦相手に与えられたダメージの点数である。悪名高き群れの徘徊コストが支払われていた場合、このターンの後に追加の１ターンを行う。</t>
  </si>
  <si>
    <t>Noggin Whack</t>
  </si>
  <si>
    <t>頭殴り（あたまなぐり）</t>
  </si>
  <si>
    <t>徘徊(１)(B)（このターン、あなたがならず者(Rogue)によってプレイヤー１人に戦闘ダメージを与えている場合、あなたはこれをその徘徊コストで唱えてもよい。）</t>
  </si>
  <si>
    <t>プレイヤー１人を対象とする。そのプレイヤーは、自分の手札のカードを３枚公開する。あなたはそれらの２枚を選ぶ。そのプレイヤーはそれらのカードを捨てる。</t>
  </si>
  <si>
    <t>Morsel Theft</t>
  </si>
  <si>
    <t>欠片盗み（かけらぬすみ）</t>
  </si>
  <si>
    <t>プレイヤー１人を対象とする。そのプレイヤーは３点のライフを失い、あなたは３点のライフを得る。欠片盗みの徘徊コストが支払われていた場合、カードを１枚引く。</t>
  </si>
  <si>
    <t>Knowledge Exploitation</t>
  </si>
  <si>
    <t>知識の搾取（ちしきのさくしゅ）</t>
  </si>
  <si>
    <t>(５)(U)(U)</t>
  </si>
  <si>
    <t>徘徊(３)(U)（このターン、あなたがならず者(Rogue)によってプレイヤー１人に戦闘ダメージを与えている場合、あなたはこれをその徘徊コストで唱えてもよい。）</t>
  </si>
  <si>
    <t>対戦相手１人を対象とする。そのプレイヤーのライブラリーからインスタント・カード１枚かソーサリー・カード１枚を探す。あなたはそのカードを、そのマナ・コストを支払うことなく唱えてもよい。その後そのプレイヤーは自分のライブラリーを切り直す。</t>
  </si>
  <si>
    <t>装備しているクリーチャーは+2/+0の修整を受けるとともに被覆を持つ。</t>
    <phoneticPr fontId="1"/>
  </si>
  <si>
    <t>戦士(Warrior)</t>
    <phoneticPr fontId="1"/>
  </si>
  <si>
    <t>シャーマン(Shaman)</t>
    <phoneticPr fontId="1"/>
  </si>
  <si>
    <t>狂戦士(Berserker)</t>
    <phoneticPr fontId="1"/>
  </si>
  <si>
    <t>騎士(Knight)</t>
    <phoneticPr fontId="1"/>
  </si>
  <si>
    <t>海賊(Pirate)</t>
    <phoneticPr fontId="1"/>
  </si>
  <si>
    <t>兵士(Soldier)</t>
    <phoneticPr fontId="1"/>
  </si>
  <si>
    <t>授与(２)(W)</t>
  </si>
  <si>
    <t>[CIP]</t>
  </si>
  <si>
    <t>名前</t>
    <rPh sb="0" eb="2">
      <t>ナマエ</t>
    </rPh>
    <phoneticPr fontId="1"/>
  </si>
  <si>
    <t>マナ</t>
  </si>
  <si>
    <t>タイプ</t>
  </si>
  <si>
    <t>サブT1</t>
  </si>
  <si>
    <t>サブT2</t>
  </si>
  <si>
    <t>サブT3</t>
  </si>
  <si>
    <t>能力</t>
    <rPh sb="0" eb="2">
      <t>ノウリョク</t>
    </rPh>
    <phoneticPr fontId="1"/>
  </si>
  <si>
    <t>PT</t>
  </si>
  <si>
    <t>セット</t>
  </si>
  <si>
    <t>CMC</t>
  </si>
  <si>
    <t>WC02</t>
  </si>
  <si>
    <t>WC03</t>
  </si>
  <si>
    <t>WC04</t>
  </si>
  <si>
    <t>WC05</t>
  </si>
  <si>
    <t>WC06</t>
  </si>
  <si>
    <t>WC07</t>
  </si>
  <si>
    <t>WC08</t>
  </si>
  <si>
    <t>WC09</t>
  </si>
  <si>
    <t>WC10</t>
  </si>
  <si>
    <t>WC11</t>
  </si>
  <si>
    <t>WC12</t>
  </si>
  <si>
    <t>WC13</t>
  </si>
  <si>
    <t>WC14</t>
  </si>
  <si>
    <t>WC15</t>
  </si>
  <si>
    <t>WC16</t>
  </si>
  <si>
    <t>WC17</t>
  </si>
  <si>
    <t>UC01</t>
  </si>
  <si>
    <t>UC02</t>
  </si>
  <si>
    <t>UC03</t>
  </si>
  <si>
    <t>UC04</t>
  </si>
  <si>
    <t>UC05</t>
  </si>
  <si>
    <t>UC06</t>
  </si>
  <si>
    <t>UC07</t>
  </si>
  <si>
    <t>UC08</t>
  </si>
  <si>
    <t>UC09</t>
  </si>
  <si>
    <t>UC10</t>
  </si>
  <si>
    <t>UC11</t>
  </si>
  <si>
    <t>UC12</t>
  </si>
  <si>
    <t>UC13</t>
  </si>
  <si>
    <t>UC14</t>
  </si>
  <si>
    <t>UC15</t>
  </si>
  <si>
    <t>UC16</t>
  </si>
  <si>
    <t>UC17</t>
  </si>
  <si>
    <t>BC01</t>
  </si>
  <si>
    <t>BC02</t>
  </si>
  <si>
    <t>BC03</t>
  </si>
  <si>
    <t>BC04</t>
  </si>
  <si>
    <t>BC05</t>
  </si>
  <si>
    <t>BC06</t>
  </si>
  <si>
    <t>BC07</t>
  </si>
  <si>
    <t>BC08</t>
  </si>
  <si>
    <t>BC09</t>
  </si>
  <si>
    <t>BC10</t>
  </si>
  <si>
    <t>BC11</t>
  </si>
  <si>
    <t>BC12</t>
  </si>
  <si>
    <t>BC13</t>
  </si>
  <si>
    <t>BC14</t>
  </si>
  <si>
    <t>BC15</t>
  </si>
  <si>
    <t>BC16</t>
  </si>
  <si>
    <t>BC17</t>
  </si>
  <si>
    <t>RC01</t>
  </si>
  <si>
    <t>RC02</t>
  </si>
  <si>
    <t>RC03</t>
  </si>
  <si>
    <t>RC04</t>
  </si>
  <si>
    <t>RC05</t>
  </si>
  <si>
    <t>RC06</t>
  </si>
  <si>
    <t>RC07</t>
  </si>
  <si>
    <t>RC08</t>
  </si>
  <si>
    <t>RC09</t>
  </si>
  <si>
    <t>RC10</t>
  </si>
  <si>
    <t>RC11</t>
  </si>
  <si>
    <t>RC12</t>
  </si>
  <si>
    <t>RC13</t>
  </si>
  <si>
    <t>RC14</t>
  </si>
  <si>
    <t>RC15</t>
  </si>
  <si>
    <t>RC16</t>
  </si>
  <si>
    <t>RC17</t>
  </si>
  <si>
    <t>GC01</t>
  </si>
  <si>
    <t>GC02</t>
  </si>
  <si>
    <t>GC03</t>
  </si>
  <si>
    <t>GC04</t>
  </si>
  <si>
    <t>GC05</t>
  </si>
  <si>
    <t>GC06</t>
  </si>
  <si>
    <t>GC07</t>
  </si>
  <si>
    <t>GC08</t>
  </si>
  <si>
    <t>GC09</t>
  </si>
  <si>
    <t>GC10</t>
  </si>
  <si>
    <t>GC13</t>
  </si>
  <si>
    <t>GC14</t>
  </si>
  <si>
    <t>GC15</t>
  </si>
  <si>
    <t>GC16</t>
  </si>
  <si>
    <t>GC17</t>
  </si>
  <si>
    <t>NC01</t>
  </si>
  <si>
    <t>NC02</t>
  </si>
  <si>
    <t>NC03</t>
  </si>
  <si>
    <t>NC04</t>
  </si>
  <si>
    <t>NC05</t>
  </si>
  <si>
    <t>WU01</t>
  </si>
  <si>
    <t>WU02</t>
  </si>
  <si>
    <t>WU03</t>
  </si>
  <si>
    <t>WU04</t>
  </si>
  <si>
    <t>WU05</t>
  </si>
  <si>
    <t>WU06</t>
  </si>
  <si>
    <t>WU07</t>
  </si>
  <si>
    <t>WU08</t>
  </si>
  <si>
    <t>WU09</t>
  </si>
  <si>
    <t>WU10</t>
  </si>
  <si>
    <t>WU11</t>
  </si>
  <si>
    <t>UU01</t>
  </si>
  <si>
    <t>UU02</t>
  </si>
  <si>
    <t>UU03</t>
  </si>
  <si>
    <t>UU04</t>
  </si>
  <si>
    <t>UU05</t>
  </si>
  <si>
    <t>UU06</t>
  </si>
  <si>
    <t>UU07</t>
  </si>
  <si>
    <t>UU08</t>
  </si>
  <si>
    <t>UU09</t>
  </si>
  <si>
    <t>UU10</t>
  </si>
  <si>
    <t>UU11</t>
  </si>
  <si>
    <t>BU01</t>
  </si>
  <si>
    <t>BU02</t>
  </si>
  <si>
    <t>BU03</t>
  </si>
  <si>
    <t>BU04</t>
  </si>
  <si>
    <t>BU05</t>
  </si>
  <si>
    <t>BU06</t>
  </si>
  <si>
    <t>BU07</t>
  </si>
  <si>
    <t>BU08</t>
  </si>
  <si>
    <t>BU09</t>
  </si>
  <si>
    <t>BU10</t>
  </si>
  <si>
    <t>BU11</t>
  </si>
  <si>
    <t>RU01</t>
  </si>
  <si>
    <t>RU02</t>
  </si>
  <si>
    <t>RU03</t>
  </si>
  <si>
    <t>RU04</t>
  </si>
  <si>
    <t>RU05</t>
  </si>
  <si>
    <t>RU06</t>
  </si>
  <si>
    <t>RU07</t>
  </si>
  <si>
    <t>RU08</t>
  </si>
  <si>
    <t>RU09</t>
  </si>
  <si>
    <t>RU10</t>
  </si>
  <si>
    <t>RU11</t>
  </si>
  <si>
    <t>GU01</t>
  </si>
  <si>
    <t>GU02</t>
  </si>
  <si>
    <t>GU03</t>
  </si>
  <si>
    <t>GU04</t>
  </si>
  <si>
    <t>GU05</t>
  </si>
  <si>
    <t>GU06</t>
  </si>
  <si>
    <t>GU07</t>
  </si>
  <si>
    <t>GU08</t>
  </si>
  <si>
    <t>GU09</t>
  </si>
  <si>
    <t>GU10</t>
  </si>
  <si>
    <t>GU11</t>
  </si>
  <si>
    <t>MU01</t>
  </si>
  <si>
    <t>MU02</t>
  </si>
  <si>
    <t>MU03</t>
  </si>
  <si>
    <t>MU04</t>
  </si>
  <si>
    <t>MU05</t>
  </si>
  <si>
    <t>MU06</t>
  </si>
  <si>
    <t>MU07</t>
  </si>
  <si>
    <t>MU08</t>
  </si>
  <si>
    <t>MU09</t>
  </si>
  <si>
    <t>MU10</t>
  </si>
  <si>
    <t>NU01</t>
  </si>
  <si>
    <t>NU02</t>
  </si>
  <si>
    <t>NU03</t>
  </si>
  <si>
    <t>NU04</t>
  </si>
  <si>
    <t>NU05</t>
  </si>
  <si>
    <t>LU01</t>
  </si>
  <si>
    <t>WR01</t>
  </si>
  <si>
    <t>WR02</t>
  </si>
  <si>
    <t>WR03</t>
  </si>
  <si>
    <t>WR04</t>
  </si>
  <si>
    <t>WR05</t>
  </si>
  <si>
    <t>WR06</t>
  </si>
  <si>
    <t>WR07</t>
  </si>
  <si>
    <t>WR08</t>
  </si>
  <si>
    <t>UR01</t>
  </si>
  <si>
    <t>UR02</t>
  </si>
  <si>
    <t>UR03</t>
  </si>
  <si>
    <t>UR04</t>
  </si>
  <si>
    <t>UR05</t>
  </si>
  <si>
    <t>UR06</t>
  </si>
  <si>
    <t>UR07</t>
  </si>
  <si>
    <t>UR08</t>
  </si>
  <si>
    <t>BR01</t>
  </si>
  <si>
    <t>BR02</t>
  </si>
  <si>
    <t>BR03</t>
  </si>
  <si>
    <t>BR04</t>
  </si>
  <si>
    <t>BR05</t>
  </si>
  <si>
    <t>BR06</t>
  </si>
  <si>
    <t>BR07</t>
  </si>
  <si>
    <t>BR08</t>
  </si>
  <si>
    <t>RR01</t>
  </si>
  <si>
    <t>RR02</t>
  </si>
  <si>
    <t>RR03</t>
  </si>
  <si>
    <t>RR04</t>
  </si>
  <si>
    <t>RR05</t>
  </si>
  <si>
    <t>RR06</t>
  </si>
  <si>
    <t>RR07</t>
  </si>
  <si>
    <t>RR08</t>
  </si>
  <si>
    <t>GR01</t>
  </si>
  <si>
    <t>GR02</t>
  </si>
  <si>
    <t>GR03</t>
  </si>
  <si>
    <t>GR04</t>
  </si>
  <si>
    <t>GR05</t>
  </si>
  <si>
    <t>GR06</t>
  </si>
  <si>
    <t>GR07</t>
  </si>
  <si>
    <t>GR08</t>
  </si>
  <si>
    <t>GR09</t>
  </si>
  <si>
    <t>RR09</t>
  </si>
  <si>
    <t>BR09</t>
  </si>
  <si>
    <t>UR09</t>
  </si>
  <si>
    <t>WR09</t>
  </si>
  <si>
    <t>MR01</t>
  </si>
  <si>
    <t>MR02</t>
  </si>
  <si>
    <t>MR03</t>
  </si>
  <si>
    <t>MR04</t>
  </si>
  <si>
    <t>MR05</t>
  </si>
  <si>
    <t>MR06</t>
  </si>
  <si>
    <t>MR07</t>
  </si>
  <si>
    <t>MR08</t>
  </si>
  <si>
    <t>MR09</t>
  </si>
  <si>
    <t>MR10</t>
  </si>
  <si>
    <t>NR01</t>
  </si>
  <si>
    <t>NR02</t>
  </si>
  <si>
    <t>NR03</t>
  </si>
  <si>
    <t>NR04</t>
  </si>
  <si>
    <t>NR05</t>
  </si>
  <si>
    <t>WM01</t>
  </si>
  <si>
    <t>WM02</t>
  </si>
  <si>
    <t>UM01</t>
  </si>
  <si>
    <t>UM02</t>
  </si>
  <si>
    <t>BM01</t>
  </si>
  <si>
    <t>BM02</t>
  </si>
  <si>
    <t>RM01</t>
  </si>
  <si>
    <t>RM02</t>
  </si>
  <si>
    <t>GM01</t>
  </si>
  <si>
    <t>GM02</t>
  </si>
  <si>
    <t>MM01</t>
  </si>
  <si>
    <t>MM02</t>
  </si>
  <si>
    <t>MM03</t>
  </si>
  <si>
    <t>MM04</t>
  </si>
  <si>
    <t>リリアナ(Liliana)</t>
  </si>
  <si>
    <t>〔白〕</t>
  </si>
  <si>
    <t>ギデオン(Gideon)</t>
  </si>
  <si>
    <t>〔青〕</t>
  </si>
  <si>
    <t>ジェイス(Jace)</t>
  </si>
  <si>
    <t>チャンドラ(Chandra)</t>
  </si>
  <si>
    <t>ソーサリー</t>
  </si>
  <si>
    <t>瞬速</t>
    <phoneticPr fontId="1"/>
  </si>
  <si>
    <t>エンチャント（クリーチャー）</t>
  </si>
  <si>
    <t>オーラ(Aura)</t>
  </si>
  <si>
    <t>インスタント</t>
  </si>
  <si>
    <t>LC01</t>
    <phoneticPr fontId="1"/>
  </si>
  <si>
    <t>LC02</t>
    <phoneticPr fontId="1"/>
  </si>
  <si>
    <t>変異(２)(U)（あなたはこのカードを、(３)で2/2クリーチャーとして裏向きに唱えてもよい。これの変異コストで、これをいつでも表向きにしてもよい。）</t>
    <phoneticPr fontId="1"/>
  </si>
  <si>
    <t>ならず者(Rogue)</t>
    <phoneticPr fontId="1"/>
  </si>
  <si>
    <t>装備しているクリーチャーは+1/+1の修整を受ける。</t>
  </si>
  <si>
    <t>装備(２)</t>
  </si>
  <si>
    <t>装備(４)</t>
  </si>
  <si>
    <t>鎌切り</t>
  </si>
  <si>
    <t>装備品(Equipment)</t>
  </si>
  <si>
    <t>アーティファクト</t>
  </si>
  <si>
    <t>アーティファクト</t>
    <phoneticPr fontId="1"/>
  </si>
  <si>
    <t>WC01</t>
  </si>
  <si>
    <t>N</t>
    <phoneticPr fontId="1"/>
  </si>
  <si>
    <t>NC06</t>
  </si>
  <si>
    <t>NC07</t>
  </si>
  <si>
    <t>生体武器</t>
  </si>
  <si>
    <t>とがった三つ叉（とがったみつまた）</t>
  </si>
  <si>
    <t>装備しているクリーチャーは先制攻撃を持つ。</t>
  </si>
  <si>
    <t>装備しているクリーチャーが人間(Human)であるかぎり、それは+1/+1の修整を受ける。</t>
  </si>
  <si>
    <t>装備(１)</t>
  </si>
  <si>
    <t>処刑者の板金鎧（しょけいしゃのばんきんよろい）</t>
  </si>
  <si>
    <t>装備しているクリーチャーは+4/+2の修整を受ける。</t>
  </si>
  <si>
    <t>装備しているクリーチャーが死亡するたび、それが人間(Human)だった場合、飛行を持つ白の1/1のスピリット(Spirit)・クリーチャー・トークンを１体生成する。</t>
  </si>
  <si>
    <t>月霧</t>
  </si>
  <si>
    <t>すべての人間(Human)を変身させる。このターン、狼男(Werewolf)でも狼(Wolf)でもないクリーチャーから与えられるすべての戦闘ダメージを軽減する。（両面カードのみが変身できる。）</t>
  </si>
  <si>
    <t>人間の脆さ</t>
  </si>
  <si>
    <t>人間(Human)クリーチャー１体を対象とし、それを破壊する。</t>
  </si>
  <si>
    <t>大衆への呼びかけ</t>
  </si>
  <si>
    <t>あなたがコントロールする人間(Human)１体につきカードを１枚引く。</t>
  </si>
  <si>
    <t>自警団の正義</t>
  </si>
  <si>
    <t>エンチャント</t>
  </si>
  <si>
    <t>いずれかの人間(Human)があなたのコントロール下で戦場に出るたび、クリーチャー１体かプレイヤー１人を対象とする。自警団の正義はそれに１点のダメージを与える。</t>
  </si>
  <si>
    <t>死中に活</t>
  </si>
  <si>
    <t>エンチャントされているクリーチャーは、あなたがコントロールするクリーチャー１体につき+1/+1の修整を受ける。</t>
  </si>
  <si>
    <t>エンチャントされているクリーチャーが人間(Human)であるかぎり、それは先制攻撃を持つ。</t>
  </si>
  <si>
    <t>乗馬術</t>
  </si>
  <si>
    <t>エンチャントされているクリーチャーは+3/+3の修整を受ける。</t>
  </si>
  <si>
    <t>エンチャントされているクリーチャーが人間(Human)であるかぎり、それはトランプルを持つ。</t>
  </si>
  <si>
    <t>部族アーティファクト</t>
  </si>
  <si>
    <t>装備しているクリーチャーは+2/+0の修整を受けるとともに被覆を持つ。（それは呪文や能力の対象にならない。）</t>
  </si>
  <si>
    <t>盗人の運命</t>
  </si>
  <si>
    <t>部族インスタント</t>
  </si>
  <si>
    <t>頭殴り</t>
  </si>
  <si>
    <t>部族ソーサリー</t>
  </si>
  <si>
    <t>エピティアの賢者が戦場に出たとき、あなたのライブラリーのカードを上から４枚見る。その後それらを望む順番で戻す。</t>
    <phoneticPr fontId="1"/>
  </si>
  <si>
    <t>結魂</t>
    <phoneticPr fontId="1"/>
  </si>
  <si>
    <t>前兆語りが戦場に出たとき、占術２を行う。</t>
  </si>
  <si>
    <t>前兆語りが戦場に出たとき、占術２を行う。</t>
    <phoneticPr fontId="1"/>
  </si>
  <si>
    <t>溺墓の探検者が戦場に出たとき、調査を行う。</t>
    <phoneticPr fontId="1"/>
  </si>
  <si>
    <t>飛行</t>
    <phoneticPr fontId="1"/>
  </si>
  <si>
    <t>エルゴードの盾の仲間が他のクリーチャーと組になっているかぎり、両方のクリーチャーは呪禁を持つ。</t>
    <phoneticPr fontId="1"/>
  </si>
  <si>
    <t>第四橋をうろつく者が戦場に出たとき、クリーチャー１体を対象とする。あなたは「ターン終了時まで、それは-1/-1の修整を受ける。」を選んでもよい。</t>
    <phoneticPr fontId="1"/>
  </si>
  <si>
    <t/>
  </si>
  <si>
    <t>消失２</t>
    <phoneticPr fontId="1"/>
  </si>
  <si>
    <t>[CIP][CIP]</t>
  </si>
  <si>
    <t>(Ｔ),あなたがコントロールするアンタップ状態の吸血鬼(Vampire)１体をタップする：マルコフに選ばれし者を変身させる。</t>
    <phoneticPr fontId="1"/>
  </si>
  <si>
    <t>MR</t>
    <phoneticPr fontId="1"/>
  </si>
  <si>
    <t>L</t>
    <phoneticPr fontId="1"/>
  </si>
  <si>
    <t>W</t>
  </si>
  <si>
    <t>U</t>
  </si>
  <si>
    <t>B</t>
  </si>
  <si>
    <t>R</t>
  </si>
  <si>
    <t>G</t>
  </si>
  <si>
    <t>WU</t>
  </si>
  <si>
    <t>UB</t>
  </si>
  <si>
    <t>BR</t>
  </si>
  <si>
    <t>RG</t>
  </si>
  <si>
    <t>GW</t>
  </si>
  <si>
    <t>WB</t>
  </si>
  <si>
    <t>UR</t>
  </si>
  <si>
    <t>BG</t>
  </si>
  <si>
    <t>RW</t>
  </si>
  <si>
    <t>GU</t>
  </si>
  <si>
    <t>WUB</t>
    <phoneticPr fontId="1"/>
  </si>
  <si>
    <t>UBR</t>
    <phoneticPr fontId="1"/>
  </si>
  <si>
    <t>BRG</t>
    <phoneticPr fontId="1"/>
  </si>
  <si>
    <t>RGW</t>
    <phoneticPr fontId="1"/>
  </si>
  <si>
    <t>GWU</t>
    <phoneticPr fontId="1"/>
  </si>
  <si>
    <t>URW</t>
    <phoneticPr fontId="1"/>
  </si>
  <si>
    <t>BGU</t>
    <phoneticPr fontId="1"/>
  </si>
  <si>
    <t>RWB</t>
    <phoneticPr fontId="1"/>
  </si>
  <si>
    <t>GUR</t>
    <phoneticPr fontId="1"/>
  </si>
  <si>
    <t>WBG</t>
    <phoneticPr fontId="1"/>
  </si>
  <si>
    <t>5C</t>
    <phoneticPr fontId="1"/>
  </si>
  <si>
    <t>計</t>
    <rPh sb="0" eb="1">
      <t>ケイ</t>
    </rPh>
    <phoneticPr fontId="1"/>
  </si>
  <si>
    <t>N</t>
  </si>
  <si>
    <t>L</t>
  </si>
  <si>
    <t>M1</t>
    <phoneticPr fontId="1"/>
  </si>
  <si>
    <t>M2</t>
    <phoneticPr fontId="1"/>
  </si>
  <si>
    <t>M3</t>
  </si>
  <si>
    <t>M4</t>
  </si>
  <si>
    <t>M5</t>
  </si>
  <si>
    <t>CN2</t>
    <phoneticPr fontId="1"/>
  </si>
  <si>
    <t>2W</t>
  </si>
  <si>
    <t>C</t>
  </si>
  <si>
    <t>人間</t>
  </si>
  <si>
    <t>ｸﾚﾘｯｸ</t>
  </si>
  <si>
    <t>.2/3</t>
  </si>
  <si>
    <t>公開ﾋﾟｯｸ</t>
    <rPh sb="0" eb="2">
      <t>コウカイ</t>
    </rPh>
    <phoneticPr fontId="1"/>
  </si>
  <si>
    <t>記録：現ﾗｳﾝﾄﾞﾄﾞﾗﾌﾄ数</t>
    <rPh sb="0" eb="2">
      <t>キロク</t>
    </rPh>
    <rPh sb="3" eb="4">
      <t>ゲン</t>
    </rPh>
    <rPh sb="14" eb="15">
      <t>スウ</t>
    </rPh>
    <phoneticPr fontId="1"/>
  </si>
  <si>
    <t>W,T:記録&gt;=P生物タップ</t>
    <rPh sb="4" eb="6">
      <t>キロク</t>
    </rPh>
    <rPh sb="9" eb="11">
      <t>セイブツ</t>
    </rPh>
    <phoneticPr fontId="1"/>
  </si>
  <si>
    <t>1U</t>
  </si>
  <si>
    <t>鳥</t>
  </si>
  <si>
    <t>ｲﾘｭｰｼﾞｮﾝ</t>
  </si>
  <si>
    <t xml:space="preserve">1/3 </t>
    <phoneticPr fontId="1"/>
  </si>
  <si>
    <t>非公開：選択ﾌﾟﾚｲﾔｰの次ﾄﾞﾗﾌﾄするｶｰﾄﾞを見る。</t>
    <rPh sb="0" eb="3">
      <t>ヒコウカイ</t>
    </rPh>
    <rPh sb="4" eb="6">
      <t>センタク</t>
    </rPh>
    <rPh sb="26" eb="27">
      <t>ミ</t>
    </rPh>
    <phoneticPr fontId="1"/>
  </si>
  <si>
    <t>I</t>
    <phoneticPr fontId="1"/>
  </si>
  <si>
    <t>公開時：上家色選択、自身別色選択、下家別色選択</t>
    <rPh sb="0" eb="2">
      <t>コウカイ</t>
    </rPh>
    <rPh sb="2" eb="3">
      <t>ジ</t>
    </rPh>
    <rPh sb="4" eb="5">
      <t>ウエ</t>
    </rPh>
    <rPh sb="5" eb="6">
      <t>イエ</t>
    </rPh>
    <rPh sb="6" eb="7">
      <t>イロ</t>
    </rPh>
    <rPh sb="7" eb="9">
      <t>センタク</t>
    </rPh>
    <rPh sb="10" eb="12">
      <t>ジシン</t>
    </rPh>
    <rPh sb="12" eb="13">
      <t>ベツ</t>
    </rPh>
    <rPh sb="13" eb="14">
      <t>ショク</t>
    </rPh>
    <rPh sb="14" eb="16">
      <t>センタク</t>
    </rPh>
    <rPh sb="17" eb="18">
      <t>シモ</t>
    </rPh>
    <rPh sb="18" eb="19">
      <t>イエ</t>
    </rPh>
    <rPh sb="19" eb="20">
      <t>ベツ</t>
    </rPh>
    <rPh sb="20" eb="21">
      <t>ショク</t>
    </rPh>
    <rPh sb="21" eb="23">
      <t>センタク</t>
    </rPh>
    <phoneticPr fontId="1"/>
  </si>
  <si>
    <t>選択色保有生物除去</t>
    <rPh sb="0" eb="2">
      <t>センタク</t>
    </rPh>
    <rPh sb="2" eb="3">
      <t>ショク</t>
    </rPh>
    <rPh sb="3" eb="5">
      <t>ホユウ</t>
    </rPh>
    <rPh sb="5" eb="7">
      <t>セイブツ</t>
    </rPh>
    <rPh sb="7" eb="9">
      <t>ジョキョ</t>
    </rPh>
    <phoneticPr fontId="1"/>
  </si>
  <si>
    <t>2R</t>
  </si>
  <si>
    <t>記録/非公開：現ﾗｳﾝﾄﾞﾄﾞﾗﾌﾄ数</t>
    <rPh sb="0" eb="2">
      <t>キロク</t>
    </rPh>
    <rPh sb="7" eb="8">
      <t>ゲン</t>
    </rPh>
    <rPh sb="18" eb="19">
      <t>スウ</t>
    </rPh>
    <phoneticPr fontId="1"/>
  </si>
  <si>
    <t>生物限定記録数火力</t>
    <rPh sb="0" eb="2">
      <t>セイブツ</t>
    </rPh>
    <rPh sb="2" eb="4">
      <t>ゲンテイ</t>
    </rPh>
    <rPh sb="4" eb="6">
      <t>キロク</t>
    </rPh>
    <rPh sb="6" eb="7">
      <t>スウ</t>
    </rPh>
    <rPh sb="7" eb="9">
      <t>カリョク</t>
    </rPh>
    <phoneticPr fontId="1"/>
  </si>
  <si>
    <t>2G</t>
  </si>
  <si>
    <t>ｴﾙﾌ</t>
  </si>
  <si>
    <t>ならず者</t>
  </si>
  <si>
    <t>3/2</t>
    <phoneticPr fontId="1"/>
  </si>
  <si>
    <t>非公開：追加ﾄﾞﾗﾌﾄ。次順ﾊﾟｯｸはﾋﾟｯｸ不可。</t>
    <rPh sb="0" eb="3">
      <t>ヒコウカイ</t>
    </rPh>
    <rPh sb="4" eb="6">
      <t>ツイカ</t>
    </rPh>
    <rPh sb="12" eb="13">
      <t>ジ</t>
    </rPh>
    <rPh sb="13" eb="14">
      <t>ジュン</t>
    </rPh>
    <rPh sb="23" eb="25">
      <t>フカ</t>
    </rPh>
    <phoneticPr fontId="1"/>
  </si>
  <si>
    <t>CNS</t>
    <phoneticPr fontId="1"/>
  </si>
  <si>
    <t>4</t>
  </si>
  <si>
    <t>AC</t>
    <phoneticPr fontId="1"/>
  </si>
  <si>
    <t>構築物</t>
  </si>
  <si>
    <t>3/3</t>
    <phoneticPr fontId="1"/>
  </si>
  <si>
    <t>ﾊﾟｯｸに戻す：追加ﾋﾟｯｸ</t>
    <rPh sb="5" eb="6">
      <t>モド</t>
    </rPh>
    <rPh sb="8" eb="10">
      <t>ツイカ</t>
    </rPh>
    <phoneticPr fontId="1"/>
  </si>
  <si>
    <t>3</t>
  </si>
  <si>
    <t>2/1</t>
    <phoneticPr fontId="1"/>
  </si>
  <si>
    <t>公開時：下家の次ﾋﾟｯｸを見る</t>
    <rPh sb="0" eb="2">
      <t>コウカイ</t>
    </rPh>
    <rPh sb="2" eb="3">
      <t>ジ</t>
    </rPh>
    <rPh sb="4" eb="5">
      <t>シタ</t>
    </rPh>
    <rPh sb="5" eb="6">
      <t>イエ</t>
    </rPh>
    <rPh sb="7" eb="8">
      <t>ジ</t>
    </rPh>
    <rPh sb="13" eb="14">
      <t>ミ</t>
    </rPh>
    <phoneticPr fontId="1"/>
  </si>
  <si>
    <t>5</t>
  </si>
  <si>
    <t>0/0</t>
    <phoneticPr fontId="1"/>
  </si>
  <si>
    <t>記録数+1/+1Co</t>
    <rPh sb="0" eb="2">
      <t>キロク</t>
    </rPh>
    <rPh sb="2" eb="3">
      <t>スウ</t>
    </rPh>
    <phoneticPr fontId="1"/>
  </si>
  <si>
    <t>1</t>
  </si>
  <si>
    <t>1/1</t>
    <phoneticPr fontId="1"/>
  </si>
  <si>
    <t>非公開：非開封ﾊﾟｯｸかﾄﾞﾗﾌﾄﾊﾟｯｸを見る</t>
    <rPh sb="0" eb="3">
      <t>ヒコウカイ</t>
    </rPh>
    <rPh sb="4" eb="5">
      <t>ヒ</t>
    </rPh>
    <rPh sb="5" eb="7">
      <t>カイフウ</t>
    </rPh>
    <rPh sb="22" eb="23">
      <t>ミ</t>
    </rPh>
    <phoneticPr fontId="1"/>
  </si>
  <si>
    <t>策略</t>
  </si>
  <si>
    <t>秘策(生物)：速攻</t>
    <rPh sb="0" eb="2">
      <t>ヒサク</t>
    </rPh>
    <rPh sb="3" eb="5">
      <t>セイブツ</t>
    </rPh>
    <rPh sb="7" eb="9">
      <t>ソッコウ</t>
    </rPh>
    <phoneticPr fontId="1"/>
  </si>
  <si>
    <t>秘策(生物)：+1/+1C</t>
    <rPh sb="0" eb="2">
      <t>ヒサク</t>
    </rPh>
    <rPh sb="3" eb="5">
      <t>セイブツ</t>
    </rPh>
    <phoneticPr fontId="1"/>
  </si>
  <si>
    <t>秘策(生物)：ﾏﾅｸﾘ化</t>
    <rPh sb="0" eb="2">
      <t>ヒサク</t>
    </rPh>
    <rPh sb="3" eb="5">
      <t>セイブツ</t>
    </rPh>
    <rPh sb="11" eb="12">
      <t>カ</t>
    </rPh>
    <phoneticPr fontId="1"/>
  </si>
  <si>
    <t>秘策(ｶｰﾄﾞ名)：MC-1</t>
    <rPh sb="0" eb="2">
      <t>ヒサク</t>
    </rPh>
    <rPh sb="7" eb="8">
      <t>メイ</t>
    </rPh>
    <phoneticPr fontId="1"/>
  </si>
  <si>
    <t>最初の自ﾀｰﾝに1/1防衛</t>
    <rPh sb="0" eb="2">
      <t>サイショ</t>
    </rPh>
    <rPh sb="3" eb="4">
      <t>ジ</t>
    </rPh>
    <rPh sb="11" eb="13">
      <t>ボウエイ</t>
    </rPh>
    <phoneticPr fontId="1"/>
  </si>
  <si>
    <t>秘策(生物)：攻撃時PayW：破壊不能</t>
    <rPh sb="0" eb="2">
      <t>ヒサク</t>
    </rPh>
    <rPh sb="3" eb="5">
      <t>セイブツ</t>
    </rPh>
    <rPh sb="7" eb="9">
      <t>コウゲキ</t>
    </rPh>
    <rPh sb="9" eb="10">
      <t>ジ</t>
    </rPh>
    <rPh sb="15" eb="17">
      <t>ハカイ</t>
    </rPh>
    <rPh sb="17" eb="19">
      <t>フノウ</t>
    </rPh>
    <phoneticPr fontId="1"/>
  </si>
  <si>
    <t>秘策(生物)：攻D時PayU：泥</t>
    <rPh sb="0" eb="2">
      <t>ヒサク</t>
    </rPh>
    <rPh sb="3" eb="5">
      <t>セイブツ</t>
    </rPh>
    <rPh sb="7" eb="8">
      <t>オサム</t>
    </rPh>
    <rPh sb="9" eb="10">
      <t>ジ</t>
    </rPh>
    <rPh sb="15" eb="16">
      <t>ドロ</t>
    </rPh>
    <phoneticPr fontId="1"/>
  </si>
  <si>
    <t>秘策(生物)：死亡誘発PayB：ｿﾞﾝﾋﾞ</t>
    <rPh sb="0" eb="2">
      <t>ヒサク</t>
    </rPh>
    <rPh sb="3" eb="5">
      <t>セイブツ</t>
    </rPh>
    <rPh sb="7" eb="9">
      <t>シボウ</t>
    </rPh>
    <rPh sb="9" eb="11">
      <t>ユウハツ</t>
    </rPh>
    <phoneticPr fontId="1"/>
  </si>
  <si>
    <t>秘策(生物)：ﾌﾞﾚｽ</t>
    <rPh sb="0" eb="2">
      <t>ヒサク</t>
    </rPh>
    <rPh sb="3" eb="5">
      <t>セイブツ</t>
    </rPh>
    <phoneticPr fontId="1"/>
  </si>
  <si>
    <t>秘策(生物)：自戦闘開始時PayG：+1/+1C</t>
    <rPh sb="0" eb="2">
      <t>ヒサク</t>
    </rPh>
    <rPh sb="3" eb="5">
      <t>セイブツ</t>
    </rPh>
    <rPh sb="7" eb="8">
      <t>ジ</t>
    </rPh>
    <rPh sb="8" eb="10">
      <t>セントウ</t>
    </rPh>
    <rPh sb="10" eb="12">
      <t>カイシ</t>
    </rPh>
    <rPh sb="12" eb="13">
      <t>ジ</t>
    </rPh>
    <phoneticPr fontId="1"/>
  </si>
  <si>
    <t>2WW</t>
  </si>
  <si>
    <t>騎士</t>
  </si>
  <si>
    <t>記録/非公開：任意の後続生物1枚名称</t>
    <rPh sb="0" eb="2">
      <t>キロク</t>
    </rPh>
    <rPh sb="7" eb="9">
      <t>ニンイ</t>
    </rPh>
    <rPh sb="10" eb="12">
      <t>コウゾク</t>
    </rPh>
    <rPh sb="12" eb="14">
      <t>セイブツ</t>
    </rPh>
    <rPh sb="15" eb="16">
      <t>マイ</t>
    </rPh>
    <rPh sb="16" eb="18">
      <t>メイショウ</t>
    </rPh>
    <phoneticPr fontId="1"/>
  </si>
  <si>
    <t>記録生物CTR時両者+1/+1絆魂</t>
    <rPh sb="0" eb="2">
      <t>キロク</t>
    </rPh>
    <rPh sb="2" eb="4">
      <t>セイブツ</t>
    </rPh>
    <rPh sb="7" eb="8">
      <t>ジ</t>
    </rPh>
    <rPh sb="8" eb="10">
      <t>リョウシャ</t>
    </rPh>
    <rPh sb="15" eb="16">
      <t>キズナ</t>
    </rPh>
    <rPh sb="16" eb="17">
      <t>タマシイ</t>
    </rPh>
    <phoneticPr fontId="1"/>
  </si>
  <si>
    <t>2UU</t>
  </si>
  <si>
    <t>ｶﾞｰｺﾞｲﾙ</t>
  </si>
  <si>
    <t>公開時：下家の次ﾋﾟｯｸを推測。下家は強制公開。</t>
    <rPh sb="0" eb="2">
      <t>コウカイ</t>
    </rPh>
    <rPh sb="2" eb="3">
      <t>ジ</t>
    </rPh>
    <rPh sb="4" eb="5">
      <t>シモ</t>
    </rPh>
    <rPh sb="5" eb="6">
      <t>イエ</t>
    </rPh>
    <rPh sb="7" eb="8">
      <t>ジ</t>
    </rPh>
    <rPh sb="13" eb="15">
      <t>スイソク</t>
    </rPh>
    <rPh sb="16" eb="17">
      <t>シモ</t>
    </rPh>
    <rPh sb="17" eb="18">
      <t>イエ</t>
    </rPh>
    <rPh sb="19" eb="21">
      <t>キョウセイ</t>
    </rPh>
    <rPh sb="21" eb="23">
      <t>コウカイ</t>
    </rPh>
    <phoneticPr fontId="1"/>
  </si>
  <si>
    <t>飛行　推測判定正ならキャントリ付与</t>
    <rPh sb="3" eb="5">
      <t>スイソク</t>
    </rPh>
    <rPh sb="5" eb="7">
      <t>ハンテイ</t>
    </rPh>
    <rPh sb="7" eb="8">
      <t>セイ</t>
    </rPh>
    <rPh sb="15" eb="17">
      <t>フヨ</t>
    </rPh>
    <phoneticPr fontId="1"/>
  </si>
  <si>
    <t>3B</t>
  </si>
  <si>
    <t>海賊</t>
  </si>
  <si>
    <t>2/2</t>
    <phoneticPr fontId="1"/>
  </si>
  <si>
    <t>記録/非公開：任意の後続ｶｰﾄﾞ1枚</t>
    <rPh sb="0" eb="2">
      <t>キロク</t>
    </rPh>
    <rPh sb="7" eb="9">
      <t>ニンイ</t>
    </rPh>
    <rPh sb="10" eb="12">
      <t>コウゾク</t>
    </rPh>
    <rPh sb="17" eb="18">
      <t>マイ</t>
    </rPh>
    <phoneticPr fontId="1"/>
  </si>
  <si>
    <t>CIP：記録名カードサーチ</t>
    <rPh sb="4" eb="6">
      <t>キロク</t>
    </rPh>
    <rPh sb="6" eb="7">
      <t>メイ</t>
    </rPh>
    <phoneticPr fontId="1"/>
  </si>
  <si>
    <t>4R</t>
  </si>
  <si>
    <t>ｴﾚﾒﾝﾀﾙ</t>
  </si>
  <si>
    <t>猫</t>
  </si>
  <si>
    <t>威迫　記録数+1/+1Co</t>
    <rPh sb="3" eb="5">
      <t>キロク</t>
    </rPh>
    <rPh sb="5" eb="6">
      <t>スウ</t>
    </rPh>
    <phoneticPr fontId="1"/>
  </si>
  <si>
    <t>4G</t>
  </si>
  <si>
    <t>ｱﾊﾞﾀｰ</t>
  </si>
  <si>
    <t>4/4</t>
    <phoneticPr fontId="1"/>
  </si>
  <si>
    <t>刻印：任意の後続ｶｰﾄﾞ</t>
    <rPh sb="0" eb="2">
      <t>コクイン</t>
    </rPh>
    <rPh sb="3" eb="5">
      <t>ニンイ</t>
    </rPh>
    <rPh sb="6" eb="8">
      <t>コウゾク</t>
    </rPh>
    <phoneticPr fontId="1"/>
  </si>
  <si>
    <t>刻印生物キーワード付与</t>
    <rPh sb="0" eb="2">
      <t>コクイン</t>
    </rPh>
    <rPh sb="2" eb="4">
      <t>セイブツ</t>
    </rPh>
    <rPh sb="9" eb="11">
      <t>フヨ</t>
    </rPh>
    <phoneticPr fontId="1"/>
  </si>
  <si>
    <t>2</t>
  </si>
  <si>
    <t>非公開：現ﾊﾟｯｸ総取り。現ﾗｳﾝﾄﾞ全ﾊﾟｽ。</t>
    <rPh sb="4" eb="5">
      <t>ゲン</t>
    </rPh>
    <rPh sb="9" eb="10">
      <t>ソウ</t>
    </rPh>
    <rPh sb="10" eb="11">
      <t>ド</t>
    </rPh>
    <rPh sb="13" eb="14">
      <t>ゲン</t>
    </rPh>
    <rPh sb="19" eb="20">
      <t>ゼン</t>
    </rPh>
    <phoneticPr fontId="1"/>
  </si>
  <si>
    <t>猟犬</t>
  </si>
  <si>
    <t>記録：上家の名称</t>
    <rPh sb="0" eb="2">
      <t>キロク</t>
    </rPh>
    <rPh sb="3" eb="4">
      <t>ウエ</t>
    </rPh>
    <rPh sb="4" eb="5">
      <t>イエ</t>
    </rPh>
    <rPh sb="6" eb="8">
      <t>メイショウ</t>
    </rPh>
    <phoneticPr fontId="1"/>
  </si>
  <si>
    <t>強制攻撃/記録PL強制攻撃</t>
    <rPh sb="5" eb="7">
      <t>キロク</t>
    </rPh>
    <rPh sb="9" eb="11">
      <t>キョウセイ</t>
    </rPh>
    <rPh sb="11" eb="13">
      <t>コウゲキ</t>
    </rPh>
    <phoneticPr fontId="1"/>
  </si>
  <si>
    <t>秘策(生物)：詠唱誘発同名探索</t>
    <rPh sb="0" eb="2">
      <t>ヒサク</t>
    </rPh>
    <rPh sb="3" eb="5">
      <t>セイブツ</t>
    </rPh>
    <rPh sb="7" eb="9">
      <t>エイショウ</t>
    </rPh>
    <rPh sb="9" eb="11">
      <t>ユウハツ</t>
    </rPh>
    <rPh sb="11" eb="13">
      <t>ドウメイ</t>
    </rPh>
    <rPh sb="13" eb="15">
      <t>タンサク</t>
    </rPh>
    <phoneticPr fontId="1"/>
  </si>
  <si>
    <t>秘策(生物)：任意色で詠唱可</t>
    <rPh sb="0" eb="2">
      <t>ヒサク</t>
    </rPh>
    <rPh sb="3" eb="5">
      <t>セイブツ</t>
    </rPh>
    <rPh sb="7" eb="9">
      <t>ニンイ</t>
    </rPh>
    <rPh sb="9" eb="10">
      <t>イロ</t>
    </rPh>
    <rPh sb="11" eb="13">
      <t>エイショウ</t>
    </rPh>
    <rPh sb="13" eb="14">
      <t>カ</t>
    </rPh>
    <phoneticPr fontId="1"/>
  </si>
  <si>
    <t>秘策(I/S)：ｺﾋﾟｰ</t>
    <rPh sb="0" eb="2">
      <t>ヒサク</t>
    </rPh>
    <phoneticPr fontId="1"/>
  </si>
  <si>
    <t>秘策(I/S)：ｷｬﾝﾄﾘｯﾌﾟ</t>
    <rPh sb="0" eb="2">
      <t>ヒサク</t>
    </rPh>
    <phoneticPr fontId="1"/>
  </si>
  <si>
    <t>ﾃﾞｯｷ総数-5</t>
    <rPh sb="4" eb="6">
      <t>ソウスウ</t>
    </rPh>
    <phoneticPr fontId="1"/>
  </si>
  <si>
    <t>開始ﾌﾟﾚｲﾔｰ</t>
    <rPh sb="0" eb="2">
      <t>カイシ</t>
    </rPh>
    <phoneticPr fontId="1"/>
  </si>
  <si>
    <t>秘策(生物)：呪文対象誘発ｺﾋﾟｰ</t>
    <rPh sb="0" eb="2">
      <t>ヒサク</t>
    </rPh>
    <rPh sb="3" eb="5">
      <t>セイブツ</t>
    </rPh>
    <rPh sb="7" eb="9">
      <t>ジュモン</t>
    </rPh>
    <rPh sb="9" eb="11">
      <t>タイショウ</t>
    </rPh>
    <rPh sb="11" eb="13">
      <t>ユウハツ</t>
    </rPh>
    <phoneticPr fontId="1"/>
  </si>
  <si>
    <t>両策(生物)：片方詠唱時、片方探索</t>
    <rPh sb="0" eb="1">
      <t>リョウ</t>
    </rPh>
    <rPh sb="1" eb="2">
      <t>サク</t>
    </rPh>
    <rPh sb="3" eb="5">
      <t>セイブツ</t>
    </rPh>
    <rPh sb="7" eb="9">
      <t>カタホウ</t>
    </rPh>
    <rPh sb="9" eb="11">
      <t>エイショウ</t>
    </rPh>
    <rPh sb="11" eb="12">
      <t>ジ</t>
    </rPh>
    <rPh sb="13" eb="15">
      <t>カタホウ</t>
    </rPh>
    <rPh sb="15" eb="17">
      <t>タンサク</t>
    </rPh>
    <phoneticPr fontId="1"/>
  </si>
  <si>
    <t>1W</t>
  </si>
  <si>
    <t>兵士</t>
  </si>
  <si>
    <t>記録/非公開：任意の後続生物部族名</t>
    <rPh sb="0" eb="2">
      <t>キロク</t>
    </rPh>
    <rPh sb="7" eb="9">
      <t>ニンイ</t>
    </rPh>
    <rPh sb="10" eb="12">
      <t>コウゾク</t>
    </rPh>
    <rPh sb="12" eb="14">
      <t>セイブツ</t>
    </rPh>
    <rPh sb="14" eb="16">
      <t>ブゾク</t>
    </rPh>
    <rPh sb="16" eb="17">
      <t>メイ</t>
    </rPh>
    <phoneticPr fontId="1"/>
  </si>
  <si>
    <t>記録部族ロード</t>
    <rPh sb="0" eb="2">
      <t>キロク</t>
    </rPh>
    <rPh sb="2" eb="4">
      <t>ブゾク</t>
    </rPh>
    <phoneticPr fontId="1"/>
  </si>
  <si>
    <t>3UU</t>
  </si>
  <si>
    <t>ｳｨｻﾞｰﾄﾞ</t>
  </si>
  <si>
    <t>.3/3</t>
  </si>
  <si>
    <t>G開始前/刻印：残ﾌﾟｰﾙからI/S1枚</t>
    <rPh sb="1" eb="4">
      <t>カイシマエ</t>
    </rPh>
    <rPh sb="5" eb="7">
      <t>コクイン</t>
    </rPh>
    <rPh sb="8" eb="9">
      <t>ザン</t>
    </rPh>
    <phoneticPr fontId="1"/>
  </si>
  <si>
    <t>CIP：刻印呪文唱</t>
    <rPh sb="4" eb="6">
      <t>コクイン</t>
    </rPh>
    <rPh sb="6" eb="8">
      <t>ジュモン</t>
    </rPh>
    <rPh sb="8" eb="9">
      <t>トナ</t>
    </rPh>
    <phoneticPr fontId="1"/>
  </si>
  <si>
    <t>2BB</t>
  </si>
  <si>
    <t>ﾃﾞｰﾓﾝ</t>
  </si>
  <si>
    <t>5/4</t>
    <phoneticPr fontId="1"/>
  </si>
  <si>
    <t>公開時：次3ﾋﾟｯｸは内容見ずに無作為ﾋﾟｯｸ</t>
    <rPh sb="0" eb="2">
      <t>コウカイ</t>
    </rPh>
    <rPh sb="2" eb="3">
      <t>ジ</t>
    </rPh>
    <rPh sb="4" eb="5">
      <t>ジ</t>
    </rPh>
    <rPh sb="11" eb="13">
      <t>ナイヨウ</t>
    </rPh>
    <rPh sb="13" eb="14">
      <t>ミ</t>
    </rPh>
    <rPh sb="16" eb="19">
      <t>ムサクイ</t>
    </rPh>
    <phoneticPr fontId="1"/>
  </si>
  <si>
    <t>ｷﾏｲﾗ</t>
  </si>
  <si>
    <t>.3/2</t>
  </si>
  <si>
    <t>G開始前/刻印：残ﾌﾟｰﾙから生物を3枚以上</t>
    <rPh sb="1" eb="4">
      <t>カイシマエ</t>
    </rPh>
    <rPh sb="5" eb="7">
      <t>コクイン</t>
    </rPh>
    <rPh sb="8" eb="9">
      <t>ザン</t>
    </rPh>
    <rPh sb="15" eb="17">
      <t>セイブツ</t>
    </rPh>
    <rPh sb="19" eb="22">
      <t>マイイジョウ</t>
    </rPh>
    <phoneticPr fontId="1"/>
  </si>
  <si>
    <t>1R:無作為に刻印生物化</t>
    <rPh sb="3" eb="6">
      <t>ムサクイ</t>
    </rPh>
    <rPh sb="7" eb="9">
      <t>コクイン</t>
    </rPh>
    <rPh sb="9" eb="11">
      <t>セイブツ</t>
    </rPh>
    <rPh sb="11" eb="12">
      <t>カ</t>
    </rPh>
    <phoneticPr fontId="1"/>
  </si>
  <si>
    <t>3G</t>
  </si>
  <si>
    <t>ｼｬｰﾏﾝ</t>
  </si>
  <si>
    <t>.2/4</t>
  </si>
  <si>
    <t>G開始前/刻印：残ﾌﾟｰﾙから生物1枚</t>
    <rPh sb="1" eb="4">
      <t>カイシマエ</t>
    </rPh>
    <rPh sb="5" eb="7">
      <t>コクイン</t>
    </rPh>
    <rPh sb="8" eb="9">
      <t>ザン</t>
    </rPh>
    <rPh sb="15" eb="17">
      <t>セイブツ</t>
    </rPh>
    <rPh sb="18" eb="19">
      <t>マイ</t>
    </rPh>
    <phoneticPr fontId="1"/>
  </si>
  <si>
    <t>XT:刻印生物召喚</t>
    <rPh sb="3" eb="5">
      <t>コクイン</t>
    </rPh>
    <rPh sb="5" eb="7">
      <t>セイブツ</t>
    </rPh>
    <rPh sb="7" eb="9">
      <t>ショウカン</t>
    </rPh>
    <phoneticPr fontId="1"/>
  </si>
  <si>
    <t>7</t>
  </si>
  <si>
    <t>6/4</t>
    <phoneticPr fontId="1"/>
  </si>
  <si>
    <t>記録：次ﾋﾟｯｸｶｰﾄﾞ</t>
    <rPh sb="0" eb="2">
      <t>キロク</t>
    </rPh>
    <rPh sb="3" eb="4">
      <t>ジ</t>
    </rPh>
    <phoneticPr fontId="1"/>
  </si>
  <si>
    <t>記録カード続唱</t>
    <rPh sb="0" eb="2">
      <t>キロク</t>
    </rPh>
    <rPh sb="5" eb="6">
      <t>ゾク</t>
    </rPh>
    <rPh sb="6" eb="7">
      <t>ショウ</t>
    </rPh>
    <phoneticPr fontId="1"/>
  </si>
  <si>
    <t>1/5</t>
    <phoneticPr fontId="1"/>
  </si>
  <si>
    <t>ﾗｳﾝﾄﾞ終了時：各ﾊﾟｯｸの最終ｶｰﾄﾞを取得</t>
    <rPh sb="5" eb="7">
      <t>シュウリョウ</t>
    </rPh>
    <rPh sb="7" eb="8">
      <t>ジ</t>
    </rPh>
    <rPh sb="9" eb="10">
      <t>カク</t>
    </rPh>
    <rPh sb="15" eb="17">
      <t>サイシュウ</t>
    </rPh>
    <rPh sb="22" eb="24">
      <t>シュトク</t>
    </rPh>
    <phoneticPr fontId="1"/>
  </si>
  <si>
    <t>T:任意墓地カード1→Liv下</t>
    <rPh sb="2" eb="4">
      <t>ニンイ</t>
    </rPh>
    <rPh sb="4" eb="6">
      <t>ボチ</t>
    </rPh>
    <rPh sb="14" eb="15">
      <t>シタ</t>
    </rPh>
    <phoneticPr fontId="1"/>
  </si>
  <si>
    <t>6</t>
  </si>
  <si>
    <t>刻印数+1/+1Co</t>
    <rPh sb="0" eb="2">
      <t>コクイン</t>
    </rPh>
    <rPh sb="2" eb="3">
      <t>スウ</t>
    </rPh>
    <phoneticPr fontId="1"/>
  </si>
  <si>
    <t>2/3</t>
    <phoneticPr fontId="1"/>
  </si>
  <si>
    <t>全ﾗｳﾝﾄﾞ終了時：他ﾌﾟﾚｲﾔｰと1枚ｶｰﾄﾞ交換可能</t>
    <rPh sb="0" eb="1">
      <t>ゼン</t>
    </rPh>
    <rPh sb="6" eb="9">
      <t>シュウリョウジ</t>
    </rPh>
    <rPh sb="10" eb="11">
      <t>タ</t>
    </rPh>
    <rPh sb="19" eb="20">
      <t>マイ</t>
    </rPh>
    <rPh sb="24" eb="26">
      <t>コウカン</t>
    </rPh>
    <rPh sb="26" eb="28">
      <t>カノウ</t>
    </rPh>
    <phoneticPr fontId="1"/>
  </si>
  <si>
    <t>T:ルーター</t>
    <phoneticPr fontId="1"/>
  </si>
  <si>
    <t>公開時：ﾊﾟｯｸ追加</t>
    <rPh sb="0" eb="2">
      <t>コウカイ</t>
    </rPh>
    <rPh sb="2" eb="3">
      <t>ジ</t>
    </rPh>
    <rPh sb="8" eb="10">
      <t>ツイカ</t>
    </rPh>
    <phoneticPr fontId="1"/>
  </si>
  <si>
    <t>伝説の土地</t>
  </si>
  <si>
    <t>T:選択色のいずれか発生</t>
    <rPh sb="2" eb="4">
      <t>センタク</t>
    </rPh>
    <rPh sb="4" eb="5">
      <t>ショク</t>
    </rPh>
    <rPh sb="10" eb="12">
      <t>ハッセイ</t>
    </rPh>
    <phoneticPr fontId="1"/>
  </si>
  <si>
    <t>G開始時B手札作成。AorB選択。非選択をデッキへ。</t>
    <rPh sb="1" eb="3">
      <t>カイシ</t>
    </rPh>
    <rPh sb="3" eb="4">
      <t>ジ</t>
    </rPh>
    <rPh sb="5" eb="7">
      <t>テフダ</t>
    </rPh>
    <rPh sb="7" eb="9">
      <t>サクセイ</t>
    </rPh>
    <rPh sb="14" eb="16">
      <t>センタク</t>
    </rPh>
    <rPh sb="17" eb="18">
      <t>ヒ</t>
    </rPh>
    <rPh sb="18" eb="20">
      <t>センタク</t>
    </rPh>
    <phoneticPr fontId="1"/>
  </si>
  <si>
    <t xml:space="preserve">策略 </t>
  </si>
  <si>
    <t>全ﾌﾟｰﾙ採用時：土地は全色土地</t>
    <rPh sb="0" eb="1">
      <t>ゼン</t>
    </rPh>
    <rPh sb="5" eb="7">
      <t>サイヨウ</t>
    </rPh>
    <rPh sb="7" eb="8">
      <t>ジ</t>
    </rPh>
    <rPh sb="9" eb="11">
      <t>トチ</t>
    </rPh>
    <rPh sb="12" eb="14">
      <t>ゼンショク</t>
    </rPh>
    <rPh sb="14" eb="16">
      <t>トチ</t>
    </rPh>
    <phoneticPr fontId="1"/>
  </si>
  <si>
    <t>G開始時1.2.3選択。選択CMC生物ｶｰﾄﾞ任意色詠唱可</t>
    <rPh sb="1" eb="3">
      <t>カイシ</t>
    </rPh>
    <rPh sb="3" eb="4">
      <t>ジ</t>
    </rPh>
    <rPh sb="9" eb="11">
      <t>センタク</t>
    </rPh>
    <rPh sb="12" eb="14">
      <t>センタク</t>
    </rPh>
    <rPh sb="17" eb="19">
      <t>セイブツ</t>
    </rPh>
    <rPh sb="23" eb="25">
      <t>ニンイ</t>
    </rPh>
    <rPh sb="25" eb="26">
      <t>ショク</t>
    </rPh>
    <rPh sb="26" eb="28">
      <t>エイショウ</t>
    </rPh>
    <rPh sb="28" eb="29">
      <t>カ</t>
    </rPh>
    <phoneticPr fontId="1"/>
  </si>
  <si>
    <t>最初の自ﾀｰﾝに1/2防衛。他ﾌﾟﾚｲﾔｰは1/1</t>
    <rPh sb="0" eb="2">
      <t>サイショ</t>
    </rPh>
    <rPh sb="3" eb="4">
      <t>ジ</t>
    </rPh>
    <rPh sb="11" eb="13">
      <t>ボウエイ</t>
    </rPh>
    <rPh sb="14" eb="15">
      <t>タ</t>
    </rPh>
    <phoneticPr fontId="1"/>
  </si>
  <si>
    <t>自軍生物、戦闘時Tﾀﾞﾒｰｼﾞ</t>
    <rPh sb="0" eb="1">
      <t>ジ</t>
    </rPh>
    <rPh sb="1" eb="2">
      <t>グン</t>
    </rPh>
    <rPh sb="2" eb="4">
      <t>セイブツ</t>
    </rPh>
    <rPh sb="5" eb="7">
      <t>セントウ</t>
    </rPh>
    <rPh sb="7" eb="8">
      <t>ジ</t>
    </rPh>
    <phoneticPr fontId="1"/>
  </si>
  <si>
    <t>M</t>
  </si>
  <si>
    <t>各ﾀｰﾝ詠唱生物MC-1　I/S詠唱不可</t>
    <rPh sb="0" eb="1">
      <t>カク</t>
    </rPh>
    <rPh sb="4" eb="6">
      <t>エイショウ</t>
    </rPh>
    <rPh sb="6" eb="8">
      <t>セイブツ</t>
    </rPh>
    <rPh sb="16" eb="18">
      <t>エイショウ</t>
    </rPh>
    <rPh sb="18" eb="20">
      <t>フカ</t>
    </rPh>
    <phoneticPr fontId="1"/>
  </si>
  <si>
    <t>自ﾃﾞｯｷ基本土地不可。手札5枚。手札1追放：基本土地ﾌﾟﾚｲ可。基本土地：全色土地</t>
    <rPh sb="0" eb="1">
      <t>ジ</t>
    </rPh>
    <rPh sb="5" eb="7">
      <t>キホン</t>
    </rPh>
    <rPh sb="7" eb="9">
      <t>トチ</t>
    </rPh>
    <rPh sb="9" eb="11">
      <t>フカ</t>
    </rPh>
    <rPh sb="12" eb="14">
      <t>テフダ</t>
    </rPh>
    <rPh sb="15" eb="16">
      <t>マイ</t>
    </rPh>
    <rPh sb="17" eb="19">
      <t>テフダ</t>
    </rPh>
    <rPh sb="20" eb="22">
      <t>ツイホウ</t>
    </rPh>
    <rPh sb="24" eb="25">
      <t>キホン</t>
    </rPh>
    <rPh sb="25" eb="27">
      <t>トチ</t>
    </rPh>
    <rPh sb="33" eb="35">
      <t>キホン</t>
    </rPh>
    <rPh sb="35" eb="37">
      <t>トチ</t>
    </rPh>
    <rPh sb="38" eb="40">
      <t>ゼンショク</t>
    </rPh>
    <rPh sb="40" eb="42">
      <t>トチ</t>
    </rPh>
    <phoneticPr fontId="1"/>
  </si>
  <si>
    <t>ｶｽﾄﾃﾞｨの平和の番人</t>
  </si>
  <si>
    <t>Custodi Peacekeeper</t>
  </si>
  <si>
    <t>幻影の密通者</t>
  </si>
  <si>
    <t>Illusionary Informant</t>
  </si>
  <si>
    <t>大逆</t>
  </si>
  <si>
    <t>Regicide</t>
  </si>
  <si>
    <t>ｺﾞﾐ焼却</t>
  </si>
  <si>
    <t>Garbage Fire</t>
  </si>
  <si>
    <t>ﾚｵヴｫﾙﾄﾞの調査員</t>
  </si>
  <si>
    <t>Leovold's Operative</t>
  </si>
  <si>
    <t>歯車式司書</t>
  </si>
  <si>
    <t>Cogwork Librarian</t>
  </si>
  <si>
    <t>歯車式ｽﾊﾟｲ</t>
  </si>
  <si>
    <t>Cogwork Spy</t>
  </si>
  <si>
    <t>隠れ潜む自動機械</t>
  </si>
  <si>
    <t>Lurking Automaton</t>
  </si>
  <si>
    <t>囁く歯車の隠密</t>
  </si>
  <si>
    <t>Whispergear Sneak</t>
  </si>
  <si>
    <t>即応行動</t>
  </si>
  <si>
    <t>Immediate Action</t>
  </si>
  <si>
    <t>ﾑｯﾂｨｵの準備</t>
  </si>
  <si>
    <t>Muzzio's Preparations</t>
  </si>
  <si>
    <t>楽園の秘密</t>
  </si>
  <si>
    <t>Secrets of Paradise</t>
  </si>
  <si>
    <t>ﾌﾞﾚｲｺﾞの好意</t>
  </si>
  <si>
    <t>Brago's Favor</t>
  </si>
  <si>
    <t>歩哨の出勤</t>
  </si>
  <si>
    <t>Sentinel Dispatch</t>
  </si>
  <si>
    <t>ｱﾄﾞﾘｱﾅの武勇</t>
  </si>
  <si>
    <t>Adriana's Valor</t>
  </si>
  <si>
    <t>雇われ夜盗</t>
  </si>
  <si>
    <t>Hired Heist</t>
  </si>
  <si>
    <t>雑兵の召集</t>
  </si>
  <si>
    <t>Assemble the Rank and Vile</t>
  </si>
  <si>
    <t>煽動的な異論</t>
  </si>
  <si>
    <t>Incendiary Dissent</t>
  </si>
  <si>
    <t>自然な団結</t>
  </si>
  <si>
    <t>Natural Unity</t>
  </si>
  <si>
    <t>高潔な旗騎士</t>
  </si>
  <si>
    <t>Noble Banneret</t>
  </si>
  <si>
    <t>尖塔の幻影獣</t>
  </si>
  <si>
    <t>Spire Phantasm</t>
  </si>
  <si>
    <t>密輸人の隊長</t>
  </si>
  <si>
    <t>Smuggler Captain</t>
  </si>
  <si>
    <t>紅蓮の狩り手</t>
  </si>
  <si>
    <t>Pyretic Hunter</t>
  </si>
  <si>
    <t>捕食の欲動</t>
  </si>
  <si>
    <t>Animus of Predation</t>
  </si>
  <si>
    <t>獲得の工作員</t>
  </si>
  <si>
    <t>Agent of Acquisitions</t>
  </si>
  <si>
    <t>歯車式足跡追い</t>
  </si>
  <si>
    <t>Cogwork Tracker</t>
  </si>
  <si>
    <t>秘密の召喚</t>
  </si>
  <si>
    <t>Secret Summoning</t>
  </si>
  <si>
    <t>予想外の潜在力</t>
  </si>
  <si>
    <t>Unexpected Potential</t>
  </si>
  <si>
    <t>一石二鳥</t>
  </si>
  <si>
    <t>Double Stroke</t>
  </si>
  <si>
    <t>反復分析</t>
  </si>
  <si>
    <t>Iterative Analysis</t>
  </si>
  <si>
    <t>好都合な宣言</t>
  </si>
  <si>
    <t>Advantageous Proclamation</t>
  </si>
  <si>
    <t>権力行使</t>
  </si>
  <si>
    <t>Power Play</t>
  </si>
  <si>
    <t>残響する加護</t>
  </si>
  <si>
    <t>Echoing Boon</t>
  </si>
  <si>
    <t>召喚者の絆</t>
  </si>
  <si>
    <t>Summoner's Bond</t>
  </si>
  <si>
    <t>ﾊﾟﾘｱﾉの先兵</t>
  </si>
  <si>
    <t>Paliano Vanguard</t>
  </si>
  <si>
    <t>秘儀の学者</t>
  </si>
  <si>
    <t>Arcane Savant</t>
  </si>
  <si>
    <t>ﾊﾟﾘｱﾉの大悪魔</t>
  </si>
  <si>
    <t>Archdemon of Paliano</t>
  </si>
  <si>
    <t>移り気なｷﾏｲﾗ</t>
  </si>
  <si>
    <t>Volatile Chimera</t>
  </si>
  <si>
    <t>獣性を呼ぶ者</t>
  </si>
  <si>
    <t>Caller of the Untamed</t>
  </si>
  <si>
    <t>霊気探知機</t>
  </si>
  <si>
    <t>Aether Searcher</t>
  </si>
  <si>
    <t>運河浚渫機</t>
  </si>
  <si>
    <t>Canal Dredger</t>
  </si>
  <si>
    <t>歯車式掘削者</t>
  </si>
  <si>
    <t>Cogwork Grinder</t>
  </si>
  <si>
    <t>取引仲介機</t>
  </si>
  <si>
    <t>Deal Broker</t>
  </si>
  <si>
    <t>知識の探求者</t>
  </si>
  <si>
    <t>Lore Seeker</t>
  </si>
  <si>
    <t>高層都市ﾊﾟﾘｱﾉ</t>
  </si>
  <si>
    <t>Paliano, the High City</t>
  </si>
  <si>
    <t>代替案</t>
  </si>
  <si>
    <t>Backup Plan</t>
  </si>
  <si>
    <t>世界編み</t>
  </si>
  <si>
    <t>Worldnit</t>
  </si>
  <si>
    <t>使者の策謀</t>
  </si>
  <si>
    <t>Emissary's Ploy</t>
  </si>
  <si>
    <t>防衛線の維持</t>
  </si>
  <si>
    <t>Hold the Permeter</t>
  </si>
  <si>
    <t>重量的優位</t>
  </si>
  <si>
    <t>Weight Advantage</t>
  </si>
  <si>
    <t>野生の讃歌</t>
  </si>
  <si>
    <t>Hymn of the Wilds</t>
  </si>
  <si>
    <t>君主の領域</t>
  </si>
  <si>
    <t>Sovereign's Realm</t>
  </si>
  <si>
    <t>CNS</t>
  </si>
  <si>
    <t>CN2</t>
  </si>
  <si>
    <t>賛美</t>
  </si>
  <si>
    <t>進化する未開地</t>
  </si>
  <si>
    <t>土地</t>
  </si>
  <si>
    <t>(Ｔ),進化する未開地を生け贄に捧げる：あなたのライブラリーから基本土地カードを１枚探し、それをタップ状態で戦場に出す。その後、あなたのライブラリーを切り直す。</t>
  </si>
  <si>
    <t>断ち割る尖塔</t>
  </si>
  <si>
    <t>断ち割る尖塔はタップ状態で戦場に出る。</t>
  </si>
  <si>
    <t>断ち割る尖塔が戦場に出たとき、あなたが(１)を支払わないかぎり、これを生け贄に捧げる。</t>
  </si>
  <si>
    <t>(Ｔ)：あなたのマナ・プールに好きな色のマナ１点を加える。</t>
  </si>
  <si>
    <t>天球儀</t>
  </si>
  <si>
    <t>(２),(Ｔ),天球儀を生け贄に捧げる：あなたのライブラリーから基本土地カードを最大２枚まで探し、それらを公開してあなたの手札に加える。その後、あなたのライブラリーを切り直す。</t>
  </si>
  <si>
    <t>マナリス</t>
  </si>
  <si>
    <t>(Ｔ)：あなたのマナ・プールに、好きな色１色のマナ１点を加える。</t>
  </si>
  <si>
    <t>光輝の泉</t>
  </si>
  <si>
    <t>Shadowmoor</t>
  </si>
  <si>
    <t>破砕</t>
  </si>
  <si>
    <t>アーティファクト１つか土地１つを対象とし、それを破壊する。</t>
  </si>
  <si>
    <t>蜘蛛の掌握</t>
  </si>
  <si>
    <t>(２)(緑)</t>
  </si>
  <si>
    <t>クリーチャー１体を対象とし、それをアンタップする。ターン終了時まで、それは+2/+4の修整を受けるとともに到達を得る。</t>
  </si>
  <si>
    <t>イニストラード</t>
  </si>
  <si>
    <t>弱者狩り</t>
  </si>
  <si>
    <t>(３)(緑)</t>
  </si>
  <si>
    <t>あなたがコントロールしているクリーチャー１体と、あなたがコントロールしていないクリーチャー１体を対象とする。その前者の上に+1/+1カウンターを１個置く。その後、その前者はその後者と格闘を行う。</t>
  </si>
  <si>
    <t>運命再編</t>
  </si>
  <si>
    <t>S</t>
  </si>
  <si>
    <t>I</t>
  </si>
  <si>
    <t>GC11</t>
    <phoneticPr fontId="1"/>
  </si>
  <si>
    <t>GC12</t>
    <phoneticPr fontId="1"/>
  </si>
  <si>
    <t>無効化</t>
  </si>
  <si>
    <t>クリーチャー呪文１つかオーラ(Aura)呪文１つを対象とし、それを打ち消す。</t>
  </si>
  <si>
    <t>取り消し</t>
  </si>
  <si>
    <t>呪文１つを対象とし、それを打ち消す。</t>
  </si>
  <si>
    <t>送還</t>
  </si>
  <si>
    <t>クリーチャー１体を対象とし、それをオーナーの手札に戻す。</t>
  </si>
  <si>
    <t>カードを１枚引く。</t>
  </si>
  <si>
    <t>MC01</t>
    <phoneticPr fontId="1"/>
  </si>
  <si>
    <t>MC02</t>
    <phoneticPr fontId="1"/>
  </si>
  <si>
    <t>MC03</t>
  </si>
  <si>
    <t>MC04</t>
  </si>
  <si>
    <t>MC05</t>
  </si>
  <si>
    <t>MC06</t>
  </si>
  <si>
    <t>MC07</t>
  </si>
  <si>
    <t>MC08</t>
  </si>
  <si>
    <t>MC09</t>
  </si>
  <si>
    <t>MC10</t>
  </si>
  <si>
    <t>LC04</t>
  </si>
  <si>
    <t>LC05</t>
  </si>
  <si>
    <t>吸血鬼(Vampire)</t>
    <phoneticPr fontId="1"/>
  </si>
  <si>
    <t>アラダラ急行</t>
  </si>
  <si>
    <t>二段攻撃、武士道２</t>
  </si>
  <si>
    <t>結魂</t>
  </si>
  <si>
    <t>高名１</t>
  </si>
  <si>
    <t>(１)(W)：あなたがコントロールするクリーチャー１体を対象とする。それはターン終了時まで絆魂を得る。</t>
  </si>
  <si>
    <t>武士道１</t>
  </si>
  <si>
    <t>授与(４)(W)</t>
  </si>
  <si>
    <t>不朽(２)(W)</t>
  </si>
  <si>
    <t>武士道２</t>
  </si>
  <si>
    <t>(Ｔ),結束に仕える者を督励する：警戒を持つ白の1/1の戦士(Warrior)クリーチャー・トークンを１体生成する。</t>
  </si>
  <si>
    <t>喊声</t>
  </si>
  <si>
    <t>ドロモカの隊長が攻撃するたび、鼓舞１を行う。</t>
  </si>
  <si>
    <t>日の出の使者が戦場に出たとき、これは探検を行う。</t>
  </si>
  <si>
    <t>長久(W)</t>
  </si>
  <si>
    <t>プロテクション（黒）、側面攻撃</t>
  </si>
  <si>
    <t>待機３ ― (１)(W)(W)</t>
  </si>
  <si>
    <t>献身的な門友が攻撃するに際し、あなたはこれを督励してもよい。そうしたとき、あなたの墓地から点数で見たマナ・コストが２以下のクリーチャー・カード１枚を対象とし、それを戦場に戻す。</t>
  </si>
  <si>
    <t>永遠(２)(W)(W)</t>
  </si>
  <si>
    <t>放逐する僧侶が戦場に出たとき、対戦相手１人がコントロールするクリーチャー１体を対象とし、放逐する僧侶が戦場を離れるまでそれを追放する。</t>
  </si>
  <si>
    <t>消失３</t>
  </si>
  <si>
    <t>側面攻撃を持つ、あなたがコントロールする他のクリーチャーは側面攻撃を持つ。</t>
  </si>
  <si>
    <t>強請</t>
  </si>
  <si>
    <t>信義の侍臣が攻撃するに際し、あなたはこれを督励してもよい。</t>
  </si>
  <si>
    <t>Ｌｖアップ(２)(W)</t>
  </si>
  <si>
    <t>Lv2-4：あなたがコントロールする他のクリーチャーは+1/+1の修整を受ける。3/6</t>
  </si>
  <si>
    <t>Lv5+：あなたがコントロールする他のクリーチャーは+2/+2の修整を受ける。4/8</t>
  </si>
  <si>
    <t>アゾリウスの大司法官が戦場に出たとき、あなたの対戦相手がコントロールするクリーチャーを最大２体まで対象とし、それらを留置する。</t>
  </si>
  <si>
    <t>(W),(Ｔ)：あなたがコントロールする他の白のクリーチャー１体を対象とする。それはターン終了時まで警戒を得る。</t>
  </si>
  <si>
    <t>鱗衛兵の精鋭が戦場に出たとき、鼓舞２を行う。</t>
  </si>
  <si>
    <t>ヘリオッドの福音者が戦場に出たとき、あなたの白への信心に等しい数の白の1/1の兵士(Soldier)クリーチャー・トークンを生成する。</t>
  </si>
  <si>
    <t>予見 ― (１)(W),あなたの手札からプラーフの聖騎士を公開する：クリーチャー１体を対象とする。このターン、それがダメージを与えるたび、あなたはその点数に等しい点数のライフを得る。</t>
  </si>
  <si>
    <t>Lv1-2：ハーダの巡回スパイはブロックされない。2/2</t>
  </si>
  <si>
    <t>翼の接合者が戦場に出たとき、無色の3/3のゴーレム(Golem)・アーティファクト・クリーチャー・トークンを１体生成する。</t>
  </si>
  <si>
    <t>Lv1-2：(Ｔ)：クリーチャー１体かプレイヤー１人を対象とする。硫黄石の魔道士はそれに１点のダメージを与える。2/3</t>
  </si>
  <si>
    <t>Lv3+：(Ｔ)：クリーチャー１体かプレイヤー１人を対象とする。硫黄石の魔道士はそれに３点のダメージを与える。2/4</t>
  </si>
  <si>
    <t>Lv1-3：4/4</t>
  </si>
  <si>
    <t>Lv4+：トランプル6/6</t>
  </si>
  <si>
    <t>生命の接合者が戦場に出たとき、無色の3/3のゴーレム(Golem)・アーティファクト・クリーチャー・トークンを１体生成する。</t>
  </si>
  <si>
    <t>航空艇</t>
  </si>
  <si>
    <t>改革派の貨物車</t>
  </si>
  <si>
    <t>改革派の貨物車が攻撃するたび、ターン終了時まで、これは+1/+1の修整を受けるとともにトランプルを得る。</t>
  </si>
  <si>
    <t>移動駐屯所</t>
  </si>
  <si>
    <t>移動駐屯所が攻撃するたび、あなたがコントロールする、他のアーティファクト１つか他のクリーチャー１体を対象とし、それをアンタップする。</t>
  </si>
  <si>
    <t>鉄装破壊車</t>
  </si>
  <si>
    <t>領事府の弩級艦</t>
  </si>
  <si>
    <t>小綺麗なスクーナー船</t>
  </si>
  <si>
    <t>無謀者の競走車</t>
  </si>
  <si>
    <t>戦闘終了時に、無謀者の競走車がこの戦闘で攻撃したかブロックした場合、これの上に速度(velocity)カウンターを１個置く。その後、これの上に速度カウンターが２個以上置かれているなら、これを生け贄に捧げ、カードを２枚引く。</t>
  </si>
  <si>
    <t>暴走急行</t>
  </si>
  <si>
    <t>暴走急行が攻撃するたび、これの上に+1/+1カウンターを１個置く。</t>
  </si>
  <si>
    <t>ボーマットのバザール船</t>
  </si>
  <si>
    <t>ボーマットのバザール船が戦場に出たとき、カードを１枚引く。</t>
  </si>
  <si>
    <t>楕円競走車</t>
  </si>
  <si>
    <t>薄暮軍団の弩級艦</t>
  </si>
  <si>
    <t>バリスタ突撃車</t>
  </si>
  <si>
    <t>バリスタ突撃車が攻撃するたび、クリーチャー１体かプレイヤー１人を対象とする。バリスタ突撃車はそれに１点のダメージを与える。</t>
  </si>
  <si>
    <t>破砕踏歩機</t>
  </si>
  <si>
    <t>破砕踏歩機は、パワーが２以下のクリーチャーによってはブロックされない。</t>
  </si>
  <si>
    <t>密輸人の回転翼機</t>
  </si>
  <si>
    <t>密輸人の回転翼機が攻撃かブロックするたび、あなたはカードを１枚引いてもよい。そうしたなら、カード１枚を捨てる。</t>
  </si>
  <si>
    <t>陰鬱な帆船</t>
  </si>
  <si>
    <t>あなたがコントロールしているクリーチャーが１体探検を行うたび、陰鬱な帆船の上に+1/+1カウンターを１個置く。</t>
  </si>
  <si>
    <t>不吉な旗艦</t>
  </si>
  <si>
    <t>あなたがコントロールしている海賊(Pirate)は+1/+0の修整を受ける。</t>
  </si>
  <si>
    <t>不吉な旗艦がプレイヤー１人に戦闘ダメージを与えるたび、そのプレイヤーはカード１枚を捨てる。</t>
  </si>
  <si>
    <t>霊気圏の収集艇</t>
  </si>
  <si>
    <t>霊気圏の収集艇が戦場に出たとき、あなたは(Ｅ)(Ｅ)（エネルギー・カウンター２個）を得る。</t>
  </si>
  <si>
    <t>(Ｅ)を支払う：ターン終了時まで、霊気圏の収集艇は絆魂を得る。</t>
  </si>
  <si>
    <t>平和歩きの巨像</t>
  </si>
  <si>
    <t>(１)(W)：あなたがコントロールする他の機体(Vehicle)１つを対象とする。ターン終了時まで、それはアーティファクト・クリーチャーになる。</t>
  </si>
  <si>
    <t>耕作者の荷馬車</t>
  </si>
  <si>
    <t>高速警備車</t>
  </si>
  <si>
    <t>高速警備車が戦場に出たとき、ターン終了時まで、これはアーティファクト・クリーチャーになる。</t>
  </si>
  <si>
    <t>征服者のガレオン船</t>
  </si>
  <si>
    <t>征服者のガレオン船が攻撃したとき、戦闘終了時にこれを追放し、その後変身させた状態であなたのコントロール下で戦場に戻す。</t>
  </si>
  <si>
    <t>征服者の橋頭堡</t>
  </si>
  <si>
    <t>（《征服者のガレオン船/Conqueror's Galleon》から変身する。）</t>
  </si>
  <si>
    <t>(２),(Ｔ)：カードを１枚引き、その後カード１枚を捨てる。</t>
  </si>
  <si>
    <t>(４),[T}：カードを１枚引く。</t>
  </si>
  <si>
    <t>(６),(Ｔ)：あなたの墓地からカード１枚を対象とし、それをあなたの手札に戻す。</t>
  </si>
  <si>
    <t>キランの真意号</t>
  </si>
  <si>
    <t>飛行、警戒</t>
  </si>
  <si>
    <t>あなたはキランの真意号の搭乗コストを支払うのではなく、あなたがコントロールするプレインズウォーカー１体の上から忠誠(loyalty)カウンターを１個取り除いてもよい。</t>
  </si>
  <si>
    <t>領事の旗艦、スカイソブリン</t>
  </si>
  <si>
    <t>領事の旗艦、スカイソブリンが戦場に出るか攻撃するたび、対戦相手がコントロールするクリーチャー１体かプレインズウォーカー１体を対象とする。領事の旗艦、スカイソブリンはそれに３点のダメージを与える。</t>
  </si>
  <si>
    <t>機体(Vehicle)</t>
  </si>
  <si>
    <t>伝説のアーティファクト</t>
    <phoneticPr fontId="1"/>
  </si>
  <si>
    <t>搭乗１</t>
  </si>
  <si>
    <t>搭乗２</t>
  </si>
  <si>
    <t>搭乗３</t>
  </si>
  <si>
    <t>搭乗４</t>
  </si>
  <si>
    <t>搭乗５</t>
  </si>
  <si>
    <t>搭乗６</t>
  </si>
  <si>
    <t>搭乗４</t>
    <phoneticPr fontId="1"/>
  </si>
  <si>
    <t>粗野な牧人、ブルース・タール</t>
  </si>
  <si>
    <t>粗野な牧人、ブルース・タールが戦場に出るか攻撃するたび、あなたがコントロールするクリーチャー１体を対象とする。ターン終了時まで、それは二段攻撃と絆魂を得る。</t>
  </si>
  <si>
    <t>共闘（両方が共闘を持つなら、あなたは２体の統率者を使用できる。）</t>
  </si>
  <si>
    <t>Commander 2016</t>
  </si>
  <si>
    <t xml:space="preserve">伝説のクリーチャー </t>
  </si>
  <si>
    <t>コモン</t>
    <phoneticPr fontId="1"/>
  </si>
  <si>
    <t>アンコモン</t>
    <phoneticPr fontId="1"/>
  </si>
  <si>
    <t>長久(２)(W)</t>
  </si>
  <si>
    <t>Ｌｖアップ(W)</t>
  </si>
  <si>
    <t>Lv2-6：先制攻撃3/3</t>
  </si>
  <si>
    <t>Lv7+：二段攻撃4/4</t>
  </si>
  <si>
    <t>あなたは呪禁を持つ。</t>
  </si>
  <si>
    <t>あなたは被覆を持つ。</t>
  </si>
  <si>
    <t>変異(３)(W)(W)</t>
  </si>
  <si>
    <t>栄光半ばの修練者が攻撃するに際し、あなたはこれを督励してもよい。そうしたとき、ターン終了時まで、これは+1/+3の修整を受けるとともに絆魂を得る。</t>
  </si>
  <si>
    <t>大変異(２)(W)</t>
  </si>
  <si>
    <t>Lv1-4：発生源１つがあなたかあなたがコントロールするクリーチャーにダメージを与える場合、そのダメージを１点軽減する。1/4</t>
  </si>
  <si>
    <t>Lv5+：発生源１つがあなたかあなたがコントロールするクリーチャーにダメージを与える場合、そのダメージを２点軽減する。2/5</t>
  </si>
  <si>
    <t>あなたがコントロールする他の騎士(Knight)クリーチャーは+1/+1の修整を受けるとともに破壊不能を持つ。</t>
  </si>
  <si>
    <t>先制攻撃、プロテクション（黒）、プロテクション（赤）</t>
  </si>
  <si>
    <t>あなたがコントロールするパーマネントにつけられているオーラ(Aura)は族霊鎧を持つ。</t>
  </si>
  <si>
    <t>他の兵士(Soldier)クリーチャーは+1/+1の修整を受けるとともに先制攻撃を持つ。</t>
  </si>
  <si>
    <t>あなたの終了ステップの開始時に、鼓舞Ｘを行う。Ｘは、あなたがコントロールするタップ状態のクリーチャーの総数である。</t>
  </si>
  <si>
    <t>ベナリアの司令官</t>
  </si>
  <si>
    <t>クリーチャー１体があなたに戦闘ダメージを与えるたび、牢獄の管理人、ヒクサスがこのターンに戦場に出ていた場合、牢獄の管理人、ヒクサスが戦場を離れるまでそのクリーチャーを追放する。</t>
  </si>
  <si>
    <t>変異(３)(W)</t>
  </si>
  <si>
    <t>武士道５</t>
  </si>
  <si>
    <t>Ｌｖアップ(１)</t>
  </si>
  <si>
    <t>Lv6-11：絆魂6/6</t>
  </si>
  <si>
    <t>Lv12+：絆魂、破壊不能9/9</t>
  </si>
  <si>
    <t>レア</t>
    <phoneticPr fontId="1"/>
  </si>
  <si>
    <t>神話</t>
    <rPh sb="0" eb="2">
      <t>シンワ</t>
    </rPh>
    <phoneticPr fontId="1"/>
  </si>
  <si>
    <t>Lv4-6：2/4</t>
  </si>
  <si>
    <t>Lv7+：各終了ステップの開始時に、それがあなたのターンでない場合、あなたはこのターンに続いて追加の１ターンを行う。3/5</t>
  </si>
  <si>
    <t>Lv4-7：飛行4/4</t>
  </si>
  <si>
    <t>Lv2-5：(Ｔ)：緑の3/3の象(Elephant)クリーチャー・トークンを１体戦場に出す。1/1</t>
  </si>
  <si>
    <t>Lv6+：(Ｔ)：緑の3/3の象(Elephant)クリーチャー・トークンを２体戦場に出す。1/1</t>
  </si>
  <si>
    <t>英雄的 ― あなたが戦識の重装歩兵を対象とする呪文を１つ唱えるたび、戦識の重装歩兵の上に+1/+1カウンターを１個置き、その後占術１を行う。</t>
  </si>
  <si>
    <t>(３)(W)(U)：対戦相手１人がコントロールする土地でないパーマネント１つを対象とし、それを留置する。</t>
  </si>
  <si>
    <t>リーヴの空騎士が戦場に出たとき、対戦相手１人がコントロールする土地でないパーマネント１つを対象とし、それを留置する。</t>
  </si>
  <si>
    <t>昇殿</t>
  </si>
  <si>
    <t>高名２</t>
  </si>
  <si>
    <t>アン一門の勇者が攻撃するに際し、あなたはこれを督励してもよい。そうしたとき、あなたがコントロールする他のクリーチャーをすべてアンタップする。</t>
  </si>
  <si>
    <t>即席</t>
  </si>
  <si>
    <t>毅然たる生き残りが攻撃するに際し、あなたはこれを督励してもよい。</t>
  </si>
  <si>
    <t>〔赤/緑〕</t>
  </si>
  <si>
    <t>ならず者(Rogue)クリーチャーが１体戦場に出るたび、あなたは外套と短剣をそれにつけてもよい。</t>
    <phoneticPr fontId="1"/>
  </si>
  <si>
    <t>機体(Vehicle)</t>
    <phoneticPr fontId="1"/>
  </si>
  <si>
    <t>同盟者(Ally)</t>
    <phoneticPr fontId="1"/>
  </si>
  <si>
    <t>Lv1-2：3/3</t>
    <phoneticPr fontId="1"/>
  </si>
  <si>
    <t>Lv3+：ズーラポートの処罰者は黒でないクリーチャーによってはブロックされない。5/5</t>
    <phoneticPr fontId="1"/>
  </si>
  <si>
    <t>人間(Human)</t>
    <phoneticPr fontId="1"/>
  </si>
  <si>
    <t>狼変身：月の出の侵入者を変身させる。</t>
  </si>
  <si>
    <t>狼変身：無慈悲な捕食者を変身させる。</t>
  </si>
  <si>
    <t>狼変身：鉄牙を変身させる。</t>
  </si>
  <si>
    <t>狼変身：炎心の人狼を変身させる。</t>
  </si>
  <si>
    <t>狼変身：焼き印の咆哮者を変身させる。</t>
  </si>
  <si>
    <t>狼変身：首折りを変身させる。</t>
  </si>
  <si>
    <t>狼変身：ハンウィアーの災いを変身させる。</t>
  </si>
  <si>
    <t>狼変身：ヴィルディン群れの頭目を変身させる。</t>
  </si>
  <si>
    <t>狼変身：クルーイン峡の恐怖を変身させる。</t>
  </si>
  <si>
    <t>狼変身：猛り狂う狼男を変身させる。</t>
  </si>
  <si>
    <t>狼変身：野生の血の群れを変身させる。</t>
  </si>
  <si>
    <t>狼変身：ガツタフの荒廃者を変身させる。</t>
  </si>
  <si>
    <t>狼変身：村の伝書士を変身させる。</t>
    <phoneticPr fontId="1"/>
  </si>
  <si>
    <t>狼変身：無謀な浮浪者を変身させる。</t>
  </si>
  <si>
    <t>狼変身：既決殺人犯を変身させる。</t>
  </si>
  <si>
    <t>狼変身：首折れ路の乗り手を変身させる。</t>
  </si>
  <si>
    <t>狼変身：村の鉄鍛冶を変身させる。</t>
  </si>
  <si>
    <t>狼変身：ケッシグの鍛冶場主を変身させる。</t>
  </si>
  <si>
    <t>狼変身：ハンウィアーの砦守りを変身させる。</t>
  </si>
  <si>
    <t>狼変身：ガイアー岬の山賊を変身させる。</t>
  </si>
  <si>
    <t>狼変身：クルーインの無法者を変身させる。</t>
  </si>
  <si>
    <t>狼変身：苛まれし最下層民を変身させる。</t>
  </si>
  <si>
    <t>狼変身：苦悩の脱走者を変身させる。</t>
  </si>
  <si>
    <t>狼変身：扇動する集団を変身させる。</t>
  </si>
  <si>
    <t>狼変身：モンドロネンのシャーマンを変身させる。</t>
  </si>
  <si>
    <t>狼変身：ガツタフの放火魔を変身させる。</t>
  </si>
  <si>
    <t>狼変身：狼に噛まれた囚人を変身させる。</t>
  </si>
  <si>
    <t>狼変身：軽蔑された村人を変身させる。</t>
  </si>
  <si>
    <t>狼変身：内陸の木こりを変身させる。</t>
  </si>
  <si>
    <t>狼変身：ラムホルトの平和主義者を変身させる。</t>
  </si>
  <si>
    <t>狼変身：ガツタフの羊飼いを変身させる。</t>
  </si>
  <si>
    <t>狼変身：薄暮見の徴募兵を変身させる。</t>
  </si>
  <si>
    <t>狼変身：アヴァブルックの町長を変身させる。</t>
  </si>
  <si>
    <t>狼変身：エストワルドの村人を変身させる。</t>
  </si>
  <si>
    <t>狼変身：ナッターノールズの隠遁者を変身させる。</t>
  </si>
  <si>
    <t>狼変身：ラムホルトの古老を変身させる。</t>
  </si>
  <si>
    <t>狼変身：夜明けのレインジャーを変身させる。</t>
  </si>
  <si>
    <t>狼変身：孤独な狩人を変身させる。</t>
  </si>
  <si>
    <t>狼変身：ウルヴェンワルドの神秘家を変身させる。</t>
  </si>
  <si>
    <t>狼変身：灰毛ののけ者を変身させる。</t>
  </si>
  <si>
    <t>狼変身：古き知恵の賢者を変身させる。</t>
  </si>
  <si>
    <t>狼変身：爪の群れの殺人者を変身させる。</t>
  </si>
  <si>
    <t>狼変身：月傷の狼男を変身させる。</t>
  </si>
  <si>
    <t>狼変身：銀皮の狼男を変身させる。</t>
  </si>
  <si>
    <t>狼変身：森林を切り裂くものを変身させる。</t>
  </si>
  <si>
    <t>狼変身：ラムホルトの解体者を変身させる。</t>
  </si>
  <si>
    <t>狼変身：爪の群れの咆哮者を変身させる。</t>
  </si>
  <si>
    <t>狼変身：吠え群れの頭目を変身させる。</t>
  </si>
  <si>
    <t>狼変身：エストワルドの吠え群れを変身させる。</t>
  </si>
  <si>
    <t>狼変身：ナッターノールズの一匹狼を変身させる。</t>
  </si>
  <si>
    <t>狼変身：黄昏の捕食者を変身させる。</t>
  </si>
  <si>
    <t>狼変身：群れの一員を変身させる。</t>
  </si>
  <si>
    <t>狼変身：ウルヴェンワルドの根源を変身させる。</t>
  </si>
  <si>
    <t>狼変身：爪の群れののけ者を変身させる。</t>
  </si>
  <si>
    <t>狼変身：古き飢えの人狼を変身させる。</t>
  </si>
  <si>
    <t>狼変身：内陸の隠遁者を変身させる。</t>
    <phoneticPr fontId="1"/>
  </si>
  <si>
    <t>狼変身：内陸の災い魔を変身させる。</t>
    <phoneticPr fontId="1"/>
  </si>
  <si>
    <t>狼変身：狼男の荒らし屋を変身させる。</t>
    <phoneticPr fontId="1"/>
  </si>
  <si>
    <t>狼変身：トヴォラーの魔道士狩りを変身させる。</t>
    <phoneticPr fontId="1"/>
  </si>
  <si>
    <t>狼変身：ガツタフの咆哮者を変身させる。</t>
    <phoneticPr fontId="1"/>
  </si>
  <si>
    <t>ならず者の精製屋が戦場に出たとき、カードを１枚引き、あなたは(Ｅ)(Ｅ)（エネルギー・カウンター２個）を得る。</t>
    <phoneticPr fontId="1"/>
  </si>
  <si>
    <t>アミーシャの模範</t>
    <phoneticPr fontId="1"/>
  </si>
  <si>
    <t>山麓の案内人</t>
  </si>
  <si>
    <t>プロテクション（ゴブリン(Goblin)）</t>
  </si>
  <si>
    <t>Onslaught</t>
  </si>
  <si>
    <t>ダールの修理人</t>
  </si>
  <si>
    <t>Legions</t>
  </si>
  <si>
    <t>最前線の策士</t>
  </si>
  <si>
    <t>Scourge</t>
  </si>
  <si>
    <t>非凡な虚空魔道士</t>
  </si>
  <si>
    <t>(U)(U),ウィザード(Wizard)を１体生け贄に捧げる：呪文１つを対象とし、それを打ち消す。</t>
  </si>
  <si>
    <t>Time Spiral "Timeshifted"</t>
  </si>
  <si>
    <t>タイムシフト</t>
  </si>
  <si>
    <t>虚空魔道士の弟子</t>
  </si>
  <si>
    <t>流刑の終末論者</t>
  </si>
  <si>
    <t>すべての変異コストは、そのコストが(２)多くなる。（これは裏向きにクリーチャー呪文を唱えるためのコストには影響しない。）</t>
  </si>
  <si>
    <t>首を狩る者</t>
  </si>
  <si>
    <t>首を狩る者がプレイヤーに戦闘ダメージを与えるたび、そのプレイヤーはカードを１枚捨てる。</t>
  </si>
  <si>
    <t>アフェットの錬金術師</t>
  </si>
  <si>
    <t>(Ｔ)：クリーチャー１体かアーティファクト１つを対象とし、それをアンタップする。</t>
  </si>
  <si>
    <t>意志を曲げる者</t>
  </si>
  <si>
    <t>鞭縄使い</t>
  </si>
  <si>
    <t>激浪の生物学者</t>
  </si>
  <si>
    <t>プロテクション（ビースト(Beast)）</t>
  </si>
  <si>
    <t>レイヴンギルドの師匠</t>
  </si>
  <si>
    <t>レイヴンギルドの師匠がプレイヤーに戦闘ダメージを与えるたび、そのプレイヤーは自分のライブラリーの一番上から１０枚のカードを追放する。</t>
  </si>
  <si>
    <t>夜明けの浄化者</t>
  </si>
  <si>
    <t>夜明けの浄化者がプレイヤーに戦闘ダメージを与えるたび、そのプレイヤーがコントロールするエンチャント１つを対象とし、それを破壊してもよい。</t>
  </si>
  <si>
    <t>アフェットの駆除屋</t>
  </si>
  <si>
    <t>レイヴンギルドの信徒</t>
  </si>
  <si>
    <t>残響の追跡者</t>
  </si>
  <si>
    <t>激浪計画の生き残り</t>
  </si>
  <si>
    <t>漆黒の刃の死神</t>
  </si>
  <si>
    <t>漆黒の刃の死神が攻撃するたび、あなたは自分のライフの端数を切り上げた半分を失う。</t>
  </si>
  <si>
    <t>漆黒の刃の死神がプレイヤーに戦闘ダメージを与えるたび、そのプレイヤーは自分のライフの端数を切り上げた半分を失う。</t>
  </si>
  <si>
    <t>激浪の幻惑者</t>
  </si>
  <si>
    <t>激浪の幻惑者がプレイヤーに戦闘ダメージを与えるたび、あなたは激浪の幻惑者を生け贄に捧げてもよい。そうした場合、そのプレイヤーがコントロールするクリーチャー１体を対象とし、それのコントロールを得る。（この効果は永続する。）</t>
  </si>
  <si>
    <t>撹乱するピット魔道士</t>
  </si>
  <si>
    <t>(Ｔ)：呪文１つを対象とする。それのコントローラーが(１)を支払わないかぎり、それを打ち消す。</t>
  </si>
  <si>
    <t>ダールの癒し手</t>
  </si>
  <si>
    <t>(Ｔ)：クリーチャー１体かプレイヤー１人を対象とする。このターン、次にそれに与えられるダメージを１点軽減する。</t>
  </si>
  <si>
    <t>陰謀団の処刑人</t>
  </si>
  <si>
    <t>陰謀団の処刑人がプレイヤーに戦闘ダメージを与えるたび、そのプレイヤーはクリーチャーを１体生け贄に捧げる。</t>
  </si>
  <si>
    <t>冥府の世話人</t>
  </si>
  <si>
    <t>ダールの奉納者</t>
  </si>
  <si>
    <t>覆い隠しの達人</t>
  </si>
  <si>
    <t>石弾投擲兵</t>
  </si>
  <si>
    <t>(Ｔ)：攻撃しているクリーチャーかブロックしているクリーチャー１体を対象とする。石弾投擲兵は、それに１点のダメージを与える。</t>
  </si>
  <si>
    <t>斧のしもべ</t>
  </si>
  <si>
    <t>騎士団の防衛者</t>
  </si>
  <si>
    <t>鉄拳の破壊者</t>
  </si>
  <si>
    <t>鉄拳の破壊者は、好きな数のクリーチャーをブロックできる。</t>
  </si>
  <si>
    <t>カローナの盲信者</t>
  </si>
  <si>
    <t>ダールの槍騎兵</t>
  </si>
  <si>
    <t>(７)(U)</t>
  </si>
  <si>
    <t>_1</t>
  </si>
  <si>
    <t>_3</t>
  </si>
  <si>
    <t>_2</t>
  </si>
  <si>
    <t>_4</t>
  </si>
  <si>
    <t>_*</t>
  </si>
  <si>
    <t>*</t>
  </si>
  <si>
    <t>_5</t>
  </si>
  <si>
    <t>0</t>
  </si>
  <si>
    <t>P</t>
    <phoneticPr fontId="1"/>
  </si>
  <si>
    <t>T</t>
    <phoneticPr fontId="1"/>
  </si>
  <si>
    <t>T</t>
    <phoneticPr fontId="1"/>
  </si>
  <si>
    <t>_6</t>
  </si>
  <si>
    <t>軽蔑する利己主義者</t>
    <phoneticPr fontId="1"/>
  </si>
  <si>
    <t>Conspiracy: Take the Crown</t>
  </si>
  <si>
    <t>宮殿の看守</t>
  </si>
  <si>
    <t>宮殿の看守が戦場に出たとき、あなたが統治者になる。</t>
  </si>
  <si>
    <t>宮殿の看守が戦場に出たとき、対戦相手がコントロールするクリーチャー１体を対象とし、いずれかの対戦相手が統治者になるまでそれを追放する。（そのクリーチャーはオーナーのコントロール下で戦場に戻る。）</t>
  </si>
  <si>
    <t>運河の急使</t>
  </si>
  <si>
    <t>(５)(U)</t>
  </si>
  <si>
    <t>運河の急使が戦場に出たとき、あなたが統治者になる。</t>
  </si>
  <si>
    <t>運河の急使と他のクリーチャー１体が異なるプレイヤーを攻撃するたび、この戦闘で運河の急使はブロックされない。</t>
  </si>
  <si>
    <t>皮剥ぎの鞘</t>
  </si>
  <si>
    <t>L</t>
    <phoneticPr fontId="1"/>
  </si>
  <si>
    <t>アーティファクト --- 装備品(Equipment)</t>
  </si>
  <si>
    <t>装備(黒/Φ)(黒/Φ)（(黒/Φ)は(B)でも２点のライフでも支払うことができる。）</t>
  </si>
  <si>
    <t>装備(６)</t>
  </si>
  <si>
    <t>(３)：殴打頭蓋をオーナーの手札に戻す。</t>
  </si>
  <si>
    <t>装備(５)</t>
  </si>
  <si>
    <t>装備しているクリーチャーがプレイヤー１人に戦闘ダメージを与えるたび、そのプレイヤーは自分のライフの端数を切り上げた半分の点数のライフを失う。</t>
  </si>
  <si>
    <t>Commander 2015</t>
  </si>
  <si>
    <t>迫撃鞘</t>
  </si>
  <si>
    <t>鞭打ち悶え</t>
  </si>
  <si>
    <t>骨溜め</t>
  </si>
  <si>
    <t>皮羽根</t>
  </si>
  <si>
    <t>殴打頭蓋</t>
  </si>
  <si>
    <t>縒り糸歩き</t>
  </si>
  <si>
    <t>鎌爪</t>
  </si>
  <si>
    <t>屍襲い</t>
  </si>
  <si>
    <t>反射起こし</t>
  </si>
  <si>
    <t>居住を行う。（あなたがコントロールするクリーチャー・トークン１体のコピーであるトークンを１体生成する。）</t>
  </si>
  <si>
    <t>ドルイドの講話</t>
  </si>
  <si>
    <t>このターン、あなたに与えられるすべての戦闘ダメージを軽減する。居住を行う。（あなたがコントロールするクリーチャー・トークン１体のコピーであるトークンを１体生成する。）</t>
  </si>
  <si>
    <t>隔離する成長</t>
  </si>
  <si>
    <t>(G/W)(G/W)</t>
  </si>
  <si>
    <t>アーティファクト１つかエンチャント１つを対象とし、それを破壊する。その後居住を行う。（あなたがコントロールするクリーチャー・トークン１体のコピーであるトークンを１体生成する。）</t>
  </si>
  <si>
    <t>根生まれの防衛</t>
  </si>
  <si>
    <t>兵士の育成</t>
  </si>
  <si>
    <t>(２)(G/W)(G/W)</t>
  </si>
  <si>
    <t>あなたのアップキープの開始時に、居住を行う。（あなたがコントロールするクリーチャー・トークン１体のコピーであるトークンを１体戦場に出す。）</t>
  </si>
  <si>
    <t>天空の目</t>
  </si>
  <si>
    <t>飛行を持つ白の1/1の鳥(Bird)クリーチャー・トークンを１体生成し、その後、居住を行う。（あなたがコントロールするクリーチャー・トークン１体のコピーであるトークンを１体生成する。）</t>
  </si>
  <si>
    <t>トロスターニの裁き</t>
  </si>
  <si>
    <t>クリーチャー１体を対象とし、それを追放する。その後、居住を行う。（あなたがコントロールするクリーチャー・トークン１体のコピーであるトークンを１体生成する。）</t>
  </si>
  <si>
    <t>狩猟者の協定</t>
  </si>
  <si>
    <t>(４)(G)(W)</t>
  </si>
  <si>
    <t>緑の3/3のケンタウルス(Centaur)・クリーチャー・トークンを１体生成し、その後、居住を行う。（あなたがコントロールするクリーチャー・トークン１体のコピーであるトークンを１体生成する。）</t>
  </si>
  <si>
    <t>角呼びの詠唱</t>
  </si>
  <si>
    <t>トランプルを持つ緑の4/4のサイ(Rhino)・クリーチャー・トークンを１体生成し、その後、居住を行う。（あなたがコントロールするクリーチャー・トークン１体のコピーであるトークンを１体生成する。）</t>
  </si>
  <si>
    <t>E/A</t>
  </si>
  <si>
    <t>妨げる光</t>
  </si>
  <si>
    <t>あなたかあなたがコントロールするパーマネントを対象とする呪文１つを対象とし、それを打ち消す。</t>
  </si>
  <si>
    <t>劇的な救出</t>
  </si>
  <si>
    <t>クリーチャー１体を対象とし、それをオーナーの手札に戻す。あなたは２点のライフを得る。</t>
  </si>
  <si>
    <t>棄却</t>
  </si>
  <si>
    <t>(Ｘ)(W)(U)</t>
  </si>
  <si>
    <t>呪文１つを対象とする。それのコントローラーが(Ｘ)を支払わないかぎり、それを打ち消す。あなたはＸ点のライフを得る。</t>
  </si>
  <si>
    <t>正義の盾</t>
  </si>
  <si>
    <t>装備しているクリーチャーは+0/+2の修整を受けるとともに警戒を持つ。</t>
  </si>
  <si>
    <t>装備しているクリーチャーがクリーチャー１体をブロックするたび、そのクリーチャーはそれのコントローラーの次のアンタップ・ステップの間にアンタップしない。</t>
  </si>
  <si>
    <t>アゾリウスの魔除け</t>
  </si>
  <si>
    <t>以下から１つを選ぶ。</t>
  </si>
  <si>
    <t>・あなたがコントロールするクリーチャーはターン終了時まで絆魂を得る。</t>
  </si>
  <si>
    <t>・カードを１枚引く。</t>
  </si>
  <si>
    <t>・攻撃かブロックしているクリーチャー１体を対象とし、それをオーナーのライブラリーの一番上に置く。</t>
  </si>
  <si>
    <t>霧への変化</t>
  </si>
  <si>
    <t>(１)(W/U)</t>
  </si>
  <si>
    <t>クリーチャー１体を対象とし、それを追放する。次の終了ステップの開始時に、そのカードをそれのオーナーのコントロール下で戦場に戻す。</t>
  </si>
  <si>
    <t>捜査令状</t>
  </si>
  <si>
    <t>プレイヤー１人を対象とする。そのプレイヤーは自分の手札を公開する。あなたはそのプレイヤーの手札にあるカードの枚数に等しい点数のライフを得る。</t>
  </si>
  <si>
    <t>鎖の呪い</t>
  </si>
  <si>
    <t>エンチャント --- オーラ(Aura)</t>
  </si>
  <si>
    <t>各アップキープの開始時に、エンチャントされているクリーチャーをタップする。</t>
  </si>
  <si>
    <t>静寂宣告</t>
  </si>
  <si>
    <t>(W)(U)(U)</t>
  </si>
  <si>
    <t>呪文１つを対象とし、それを打ち消す。このターン、それのコントローラーは呪文を唱えられない。</t>
  </si>
  <si>
    <t>拘留の宝球</t>
  </si>
  <si>
    <t>拘留の宝球が戦場に出たとき、《拘留の宝球/Detention Sphere》という名前でなく土地でないパーマネント１つを対象とする。あなたはそのパーマネントと、そのパーマネントと同じ名前を持つ他のすべてのパーマネントを追放してもよい。</t>
  </si>
  <si>
    <t>拘留の宝球が戦場を離れたとき、その追放されたカードをオーナーのコントロール下で戦場に戻す。</t>
  </si>
  <si>
    <t>スフィンクスの啓示</t>
  </si>
  <si>
    <t>(Ｘ)(W)(U)(U)</t>
  </si>
  <si>
    <t>あなたはＸ点のライフを得て、カードをＸ枚引く。</t>
  </si>
  <si>
    <t>エファラの啓蒙</t>
  </si>
  <si>
    <t>エファラの啓蒙が戦場に出たとき、エンチャントされているクリーチャーの上に+1/+1カウンターを１個置く。</t>
  </si>
  <si>
    <t>エンチャントされているクリーチャーは飛行を持つ。</t>
  </si>
  <si>
    <t>クリーチャーが１体あなたのコントロール下で戦場に出るたび、あなたはエファラの啓蒙をオーナーの手札に戻してもよい。</t>
  </si>
  <si>
    <t>原霧の境界石</t>
  </si>
  <si>
    <t>あなたは原霧の境界石のマナ・コストを支払うのではなく、(１)を支払うとともにあなたがコントロールする基本土地１つをオーナーの手札に戻してもよい。</t>
  </si>
  <si>
    <t>原霧の境界石はタップ状態で戦場に出る。</t>
  </si>
  <si>
    <t>(Ｔ)：あなたのマナ・プールに(W)か(U)を加える。</t>
  </si>
  <si>
    <t>聖トラフトの祈祷</t>
  </si>
  <si>
    <t>エンチャントされているクリーチャーは「このクリーチャーが攻撃するたび、飛行を持つ白の4/4の天使(Angel)クリーチャー・トークンを１体タップ状態で攻撃している状態で生成する。戦闘終了時にそのトークンを追放する。」を持つ。</t>
  </si>
  <si>
    <t>平和の羽毛</t>
  </si>
  <si>
    <t>エンチャントされているクリーチャーは、それのコントローラーのアンタップ・ステップにアンタップしない。</t>
  </si>
  <si>
    <t>予見 ― (W)(U),あなたの手札から平和の羽毛を公開する：クリーチャー１体を対象とし、それをタップする。（この能力は、あなたのアップキープの間にのみ、各ターンに１回のみ起動できる。）</t>
  </si>
  <si>
    <t>献身的な嘆願</t>
  </si>
  <si>
    <t>続唱（あなたがこの呪文を唱えたとき、あなたのライブラリーの一番上のカードを、コストがより低い土地でないカードが追放されるまで追放する。あなたはそれをそのマナ・コストを支払うことなく唱えてもよい。追放されたカードをあなたのライブラリーの一番下に無作為の順番で置く。）</t>
  </si>
  <si>
    <t>平和の復元</t>
  </si>
  <si>
    <t>このターンに何かにダメージを与えた各クリーチャーをそれぞれオーナーの手札に戻す。</t>
  </si>
  <si>
    <t>乱動の噴出</t>
  </si>
  <si>
    <t>クリーチャー１体を対象とし、それをオーナーのライブラリーの一番上に置く。</t>
  </si>
  <si>
    <t>覚醒４ ― (４)(W)(U)（この呪文を(４)(W)(U)で唱えたなら、加えて、あなたがコントロールする土地１つを対象とする。それの上に+1/+1カウンターを４個置く。それは速攻を持つ0/0のエレメンタル(Elemental)・クリーチャーになる。それは土地でもある。）</t>
  </si>
  <si>
    <t>神格の鋼</t>
  </si>
  <si>
    <t>エンチャントされているクリーチャーが白であるかぎり、それは+1/+1の修整を受けるとともに絆魂を持つ。（そのクリーチャーがダメージを与える場合、さらにそのコントローラーは同じ点数のライフを得る。）</t>
  </si>
  <si>
    <t>エンチャントされているクリーチャーが青であるかぎり、それは+1/+1の修整を受けるとともにブロックされない。</t>
  </si>
  <si>
    <t>記憶への消失</t>
  </si>
  <si>
    <t>クリーチャー１体を対象とし、それを追放する。あなたはそのクリーチャーのパワーに等しい枚数のカードを引く。あなたの次のアップキープの開始時に、そのカードをオーナーのコントロール下で戦場に戻す。そうした場合、そのクリーチャーのタフネスに等しい枚数のカードを捨てる。</t>
  </si>
  <si>
    <t>嵐呼びの加護</t>
  </si>
  <si>
    <t>嵐呼びの加護を生け贄に捧げる：あなたがコントロールするクリーチャーは、ターン終了時まで飛行を得る。</t>
  </si>
  <si>
    <t>オジュタイの命令</t>
  </si>
  <si>
    <t>以下から２つを選ぶ。</t>
  </si>
  <si>
    <t>・あなたの墓地にある点数で見たマナ・コストが２以下のクリーチャー・カード１枚を対象とし、それを戦場に戻す。</t>
  </si>
  <si>
    <t>・あなたは４点のライフを得る。</t>
  </si>
  <si>
    <t>・クリーチャー呪文１つを対象とし、それを打ち消す。</t>
  </si>
  <si>
    <t>侵入の追い返し</t>
  </si>
  <si>
    <t>(３)(W/U)</t>
  </si>
  <si>
    <t>侵入の追い返しを唱えるために(W)が使われた場合、白の1/1のキスキン(Kithkin)・兵士(Soldier)クリーチャー・トークンを２体生成する。侵入の追い返しを唱えるために(U)が使われた場合、クリーチャー呪文を最大１つまで対象とし、それを打ち消す。（(W)(U)が使われた場合、両方を行う。）</t>
  </si>
  <si>
    <t>至高の評決</t>
  </si>
  <si>
    <t>(１)(W)(W)(U)</t>
  </si>
  <si>
    <t>至高の評決は打ち消されない。</t>
  </si>
  <si>
    <t>すべてのクリーチャーを破壊する。</t>
  </si>
  <si>
    <t>卓絶のナーセット</t>
  </si>
  <si>
    <t>伝説のプレインズウォーカー --- ナーセット(Narset)</t>
  </si>
  <si>
    <t>[+1]：あなたのライブラリーの一番上のカードを見る。それがクリーチャーでも土地でもないカードであるなら、あなたはそれを公開してあなたの手札に加えてもよい。</t>
  </si>
  <si>
    <t>[-2]：このターン、あなたが次にあなたの手札からインスタント呪文かソーサリー呪文を唱えたとき、それは反復を得る。</t>
  </si>
  <si>
    <t>[-9]：あなたは「あなたの対戦相手はクリーチャーでない呪文を唱えられない。」を持つ紋章を得る。</t>
  </si>
  <si>
    <t>鏡編み</t>
  </si>
  <si>
    <t>(２)(W/U)(W/U)</t>
  </si>
  <si>
    <t>伝説でないクリーチャー１体を対象とする。ターン終了時まで、他の各クリーチャーはそれのコピーになる。</t>
  </si>
  <si>
    <t>アゾリウスの策略</t>
  </si>
  <si>
    <t>クリーチャー１体を対象とする。このターン、それが与えるすべての戦闘ダメージを軽減する。</t>
  </si>
  <si>
    <t>クリーチャー１体を対象とする。このターン、それに与えられるすべての戦闘ダメージを軽減する。</t>
  </si>
  <si>
    <t>アーシャへの捧げ物</t>
  </si>
  <si>
    <t>呪文１つを対象とする。それのコントローラーが(４)を支払わないかぎり、それを打ち消す。あなたは４点のライフを得る。</t>
  </si>
  <si>
    <t>ドビン・バーン</t>
  </si>
  <si>
    <t>伝説のプレインズウォーカー --- ドビン(Dovin)</t>
  </si>
  <si>
    <t>[+1]：クリーチャー最大１体を対象とする。あなたの次のターンまで、それは-3/-0の修整を受けるとともにそれの起動型能力は起動できない。</t>
  </si>
  <si>
    <t>[-1]：あなたは２点のライフを得て、カードを１枚引く。</t>
  </si>
  <si>
    <t>[-7]：あなたは「対戦相手は、自分のアンタップ・ステップ中に、パーマネントを最大２つしかアンタップできない。」を持つ紋章を得る。</t>
  </si>
  <si>
    <t>霊気魔道士の接触</t>
  </si>
  <si>
    <t>あなたのライブラリーのカードを一番上から４枚公開する。あなたは、それらの中にあるクリーチャー・カードを１枚、戦場に出してもよい。それは「あなたの終了ステップの開始時に、このクリーチャーをオーナーの手札に戻す。」を得る。その後これにより公開された残りのカードを、あなたのライブラリーの一番下に望む順番で置く。</t>
  </si>
  <si>
    <t>引き霊気</t>
  </si>
  <si>
    <t>攻撃しているクリーチャーかブロックしているクリーチャー１体を対象とし、それをそのオーナーのライブラリーの一番上に置く。</t>
  </si>
  <si>
    <t>共謀（あなたがこの呪文を唱えるに際し、あなたはあなたがコントロールする、この呪文と共通の色を持つアンタップ状態のクリーチャーを２体タップしてもよい。そうした場合、その呪文をコピーし、あなたはそのコピーの新たな対象を選んでもよい。）</t>
  </si>
  <si>
    <t>伸ばし歯</t>
  </si>
  <si>
    <t>一時しのぎの協定</t>
  </si>
  <si>
    <t>対戦相手１人がコントロールするクリーチャーがタップ状態になるたび、一時しのぎの協定の上に盾(shield)カウンターを１個置く。</t>
  </si>
  <si>
    <t>一時しのぎの協定から盾カウンターを１個取り除く：このターン、あなたに与えられる次のダメージを１点軽減する。</t>
  </si>
  <si>
    <t>素早い静寂</t>
  </si>
  <si>
    <t>(２)(W)(U)(U)</t>
  </si>
  <si>
    <t>他の呪文をすべて打ち消す。これにより打ち消された呪文１つにつき、カードを１枚引く。</t>
  </si>
  <si>
    <t>魔法の夜</t>
  </si>
  <si>
    <t>すべてのパーマネントは、自身の他のタイプに加えてエンチャントでもある。</t>
  </si>
  <si>
    <t>滞留者ヴェンセール</t>
  </si>
  <si>
    <t>伝説のプレインズウォーカー --- ヴェンセール(Venser)</t>
  </si>
  <si>
    <t>[+2]：あなたがオーナーであるパーマネント１つを対象とし、それを追放する。次の終了ステップの開始時に、それをあなたのコントロール下で戦場に戻す。</t>
  </si>
  <si>
    <t>[-1]：このターン、クリーチャーはブロックされない。</t>
  </si>
  <si>
    <t>[-8]：あなたは「あなたが呪文を１つ唱えるたび、パーマネント１つを対象とし、それを追放する。」を持つ紋章を得る。</t>
  </si>
  <si>
    <t>正当な権威</t>
  </si>
  <si>
    <t>エンチャントされているクリーチャーは、それのコントローラーの手札にあるカード１枚につき+1/+1の修整を受ける。</t>
  </si>
  <si>
    <t>エンチャントされているクリーチャーのコントローラーのドロー・ステップの開始時に、そのプレイヤーは追加のカードを１枚引く。</t>
  </si>
  <si>
    <t>テフェリーの濠</t>
  </si>
  <si>
    <t>テフェリーの濠が戦場に出るに際し、色を１色選ぶ。</t>
  </si>
  <si>
    <t>選ばれた色の、飛行を持たないクリーチャーはあなたを攻撃できない。</t>
  </si>
  <si>
    <t>閉廷宣言</t>
  </si>
  <si>
    <t>呪文１つを対象とし、それを打ち消す。あなたは５点のライフを得る。</t>
  </si>
  <si>
    <t>アミーシャの口づけ</t>
  </si>
  <si>
    <t>(４)(W)(U)</t>
  </si>
  <si>
    <t>プレイヤー１人を対象とする。そのプレイヤーは７点のライフを得てカードを２枚引く。</t>
  </si>
  <si>
    <t>鳩散らし</t>
  </si>
  <si>
    <t>(３)(W/U)(W/U)(W/U)</t>
  </si>
  <si>
    <t xml:space="preserve">（(W/U)は(W)でも(U)でも支払うことができる） </t>
  </si>
  <si>
    <t>プレイヤー１人がクリーチャーでない呪文を唱えるたび、その呪文を打ち消す。そのプレイヤーは、飛行を持つ白である青である1/1の鳥(Bird)クリーチャー・トークンをＸ体生成する。Ｘは、その呪文の点数で見たマナ・コストである。</t>
  </si>
  <si>
    <t>思考の糸の計略</t>
  </si>
  <si>
    <t>(４)(W/U)(W/U)</t>
  </si>
  <si>
    <t>あなたの対戦相手がコントロールするすべてのクリーチャーをタップし、あなたがコントロールするすべてのクリーチャーをアンタップする。</t>
  </si>
  <si>
    <t>世界粛清</t>
  </si>
  <si>
    <t>(４)(W/U)(W/U)(W/U)(W/U)</t>
  </si>
  <si>
    <t>すべてのパーマネントをそれらのオーナーの手札に戻す。各プレイヤーは、自分の手札からカードを最大７枚まで選ぶ。その後、残りを自分のライブラリーに加えて切り直す。すべてのマナ・プールを空にする。</t>
  </si>
  <si>
    <t>夢の回収</t>
  </si>
  <si>
    <t>(U/B)</t>
  </si>
  <si>
    <t>対戦相手１人を対象とする。このターン、そのプレイヤーが捨てたカードの枚数に等しい枚数のカードを引く。</t>
  </si>
  <si>
    <t>記憶の放流</t>
  </si>
  <si>
    <t>プレイヤー１人を対象とする。そのプレイヤーは、自分のライブラリーのカードを上から４枚、自分の墓地に置く。</t>
  </si>
  <si>
    <t>不可思の一瞥</t>
  </si>
  <si>
    <t>プレイヤー１人を対象とする。そのプレイヤーは、自分のライブラリーのカードを上から１０枚、自分の墓地に置く。</t>
  </si>
  <si>
    <t>傷鱗の儀式</t>
  </si>
  <si>
    <t>傷鱗の儀式を唱えるための追加コストとして、あなたがコントロールするクリーチャー１体の上に-1/-1カウンターを１個置く。</t>
  </si>
  <si>
    <t>カードを２枚引く。</t>
  </si>
  <si>
    <t>被害妄想</t>
  </si>
  <si>
    <t>プレイヤー１人を対象とする。そのプレイヤーは、自分のライブラリーの一番上から３枚のカードを自分の墓地に置く。</t>
  </si>
  <si>
    <t>暗号（その後、あなたはあなたがコントロールするクリーチャー１体に暗号化した状態で、この呪文カードを追放してもよい。そのクリーチャーがプレイヤー１人に戦闘ダメージを与えるたび、それのコントローラーはその暗号化したカードのコピーを、それのマナ・コストを支払うことなく唱えてもよい。）</t>
  </si>
  <si>
    <t>精神削り</t>
  </si>
  <si>
    <t>(Ｘ)(U)(B)</t>
  </si>
  <si>
    <t>各対戦相手はそれぞれ自分のライブラリーの一番上から、土地カードがＸ枚公開されるまでカードを公開し続ける。その後、これにより公開されたすべてのカードを自分の墓地に置く。Ｘは０にできない。</t>
  </si>
  <si>
    <t>疑念の影</t>
  </si>
  <si>
    <t>このターン、プレイヤーはライブラリーのカードを探すことができない。</t>
  </si>
  <si>
    <t>ディミーアの魔除け</t>
  </si>
  <si>
    <t>・ソーサリー呪文１つを対象とし、それを打ち消す。</t>
  </si>
  <si>
    <t>・パワーが２以下のクリーチャー１体を対象とし、それを破壊する。</t>
  </si>
  <si>
    <t>・プレイヤー１人を対象とする。そのプレイヤーのライブラリーの一番上から３枚のカードを見る。そのうちの１枚を戻し、残りをそのプレイヤーの墓地に置く。</t>
  </si>
  <si>
    <t>対抗突風</t>
  </si>
  <si>
    <t>クリーチャーでない呪文１つを対象とし、それを打ち消す。それのコントローラーは２点のライフを失う。</t>
  </si>
  <si>
    <t>歪んだ体形</t>
  </si>
  <si>
    <t>クリーチャー１体を対象とする。それはターン終了時まで+X/-Xの修整を受ける。Ｘはあなたの手札にあるカードの枚数である。</t>
  </si>
  <si>
    <t>苦悶のねじれ</t>
  </si>
  <si>
    <t>クリーチャー１体を対象とする。それはターン終了時まで-3/-0の修整を受ける。</t>
  </si>
  <si>
    <t>クリーチャー１体を対象とする。それはターン終了時まで-0/-3の修整を受ける。</t>
  </si>
  <si>
    <t>精神の吸収</t>
  </si>
  <si>
    <t>プレイヤー１人を対象とする。そのプレイヤーは自分のライブラリーのカードを上からＸ枚、自分の墓地に置く。あなたはＸ点のライフを得る。</t>
  </si>
  <si>
    <t>謎の仮面</t>
  </si>
  <si>
    <t>装備しているクリーチャーは畏怖を持つ。（それは黒でもアーティファクトでもないクリーチャーによってはブロックされない。）</t>
  </si>
  <si>
    <t>装備しているクリーチャーがプレイヤー１人に戦闘ダメージを与えるたび、あなたはカードを１枚引いてもよい。</t>
  </si>
  <si>
    <t>命運の転送</t>
  </si>
  <si>
    <t>クリーチャー１体と別のクリーチャー１体を対象とする。前者の上に置かれているすべてのカウンターを後者の上に移動する。</t>
  </si>
  <si>
    <t>時の篩</t>
  </si>
  <si>
    <t>(Ｔ),アーティファクトを５つ生け贄に捧げる：このターンに続いて追加の１ターンを行う。</t>
  </si>
  <si>
    <t>当惑</t>
  </si>
  <si>
    <t>呪文１つを対象とし、それを、それのコントローラーが自分の手札を捨てないかぎり、打ち消す。</t>
  </si>
  <si>
    <t>変成(１)(U)(B)（(１)(U)(B),このカードを捨てる：あなたのライブラリーから、このカードと同じ点数で見たマナ・コストを持つカード１枚を探し、それを公開し、あなたの手札に加える。その後あなたのライブラリーを切り直す。変成はソーサリーとしてのみ行う。）</t>
  </si>
  <si>
    <t>テゼレットの手法</t>
  </si>
  <si>
    <t>エンチャント（アーティファクト）</t>
  </si>
  <si>
    <t>エンチャントされているアーティファクトは、他のタイプに加えて基本のパワーとタフネスが5/5のクリーチャーである。</t>
  </si>
  <si>
    <t>エンチャントされているアーティファクトが墓地に置かれたとき、そのカードをオーナーの手札に戻す。</t>
  </si>
  <si>
    <t>魂の操作</t>
  </si>
  <si>
    <t>以下から１つまたは両方を選ぶ。</t>
  </si>
  <si>
    <t>・あなたの墓地にあるクリーチャー・カード１枚を対象とし、それをあなたの手札に戻す。</t>
  </si>
  <si>
    <t>悪夢の織り手、アショク</t>
  </si>
  <si>
    <t>伝説のプレインズウォーカー --- アショク(Ashiok)</t>
  </si>
  <si>
    <t>[+2]：対戦相手１人を対象とする。そのプレイヤーのライブラリーの一番上から３枚のカードを追放する。</t>
  </si>
  <si>
    <t>[-X]：悪夢の織り手、アショクによって追放された、点数で見たマナ・コストがＸのクリーチャー・カード１枚をあなたのコントロール下で戦場に出す。そのクリーチャーは、他のタイプに加えてナイトメア(Nightmare)でもある。</t>
  </si>
  <si>
    <t>[-10]：すべての対戦相手の手札と墓地にあるすべてのカードを追放する。</t>
  </si>
  <si>
    <t>霧脈の境界石</t>
  </si>
  <si>
    <t>あなたは霧脈の境界石のマナ・コストを支払うのではなく、(１)を支払うとともにあなたがコントロールする基本土地１つをオーナーの手札に戻してもよい。</t>
  </si>
  <si>
    <t>霧脈の境界石はタップ状態で戦場に出る。</t>
  </si>
  <si>
    <t>(Ｔ)：あなたのマナ・プールに(U)か(B)を加える。</t>
  </si>
  <si>
    <t>屍賢者の助言</t>
  </si>
  <si>
    <t>・プレイヤー１人を対象とする。そのプレイヤーはカードを２枚引く。</t>
  </si>
  <si>
    <t>・プレイヤー１人を対象とする。そのプレイヤーはカードを２枚捨てる。</t>
  </si>
  <si>
    <t>精神の葬送</t>
  </si>
  <si>
    <t>対戦相手１人を対象とする。そのプレイヤーは自分のライブラリーの一番上のカードを、土地が４枚公開されるまで公開する。そのプレイヤーは、これにより公開されたすべてのカードを自分の墓地に置く。</t>
  </si>
  <si>
    <t>遅鈍の塵</t>
  </si>
  <si>
    <t>(２)(U/B)</t>
  </si>
  <si>
    <t>エンチャントされているクリーチャーは-3/-0の修整を受ける。</t>
  </si>
  <si>
    <t>心理的打撃</t>
  </si>
  <si>
    <t>呪文１つを対象とし、それを打ち消す。それのコントローラーは自分のライブラリーの一番上から２枚のカードを自分の墓地に置く。</t>
  </si>
  <si>
    <t>盗まれた計画</t>
  </si>
  <si>
    <t>プレイヤー１人を対象とする。そのプレイヤーは、自分のライブラリーの一番上から２枚のカードを自分の墓地に置く。カードを２枚引く。</t>
  </si>
  <si>
    <t>川の掌握</t>
  </si>
  <si>
    <t>(３)(U/B)</t>
  </si>
  <si>
    <t>川の掌握を唱えるために(U)が使われた場合、クリーチャーを最大１体まで対象とし、それをそのオーナーの手札に戻す。川の掌握を唱えるために(B)が使われた場合、プレイヤー１人を対象とする。そのプレイヤーは自分の手札を公開する。あなたはその中から土地でないカードを１枚選ぶ。その後、そのプレイヤーはそのカードを捨てる。（(U)(B)が使われた場合、両方を行う。）</t>
  </si>
  <si>
    <t>脳噛みつき</t>
  </si>
  <si>
    <t>対戦相手１人を対象とする。そのプレイヤーは自分の手札を公開する。あなたはその中からカードを１枚選ぶ。そのプレイヤーはそのカードを捨てる。</t>
  </si>
  <si>
    <t>囁く狂気</t>
  </si>
  <si>
    <t>各プレイヤーは自分の手札を捨て、その後、これによりプレイヤー１人が捨てたカードの枚数の最大値に等しい枚数のカードを引く。</t>
  </si>
  <si>
    <t>記憶の略取</t>
  </si>
  <si>
    <t>(U/B)(U/B)(U/B)(U/B)</t>
  </si>
  <si>
    <t>対戦相手１人の墓地にあるインスタント・カード１枚かソーサリー・カード１枚を対象とする。あなたはそれを、それのマナ・コストを支払うことなく唱えてもよい。</t>
  </si>
  <si>
    <t>夜翼の呼び声</t>
  </si>
  <si>
    <t>飛行を持つ青であり黒である1/1のホラー(Horror)・クリーチャー・トークンを１体生成する。</t>
  </si>
  <si>
    <t>魂の代償</t>
  </si>
  <si>
    <t>あなたはエンチャントされているクリーチャーをコントロールする。</t>
  </si>
  <si>
    <t>カードを２枚捨てる：魂の代償のコントローラーはこれを生け贄に捧げ、その後、カードを２枚引く。対戦相手１人のみがこの能力を起動できる。</t>
  </si>
  <si>
    <t>知力の刈り取り</t>
  </si>
  <si>
    <t>(Ｘ)(２)(U)(B)</t>
  </si>
  <si>
    <t>対戦相手１人を対象とする。そのプレイヤーは自分の手札を公開する。あなたはその中から土地でないカードを最大Ｘ枚まで選び、それらのカードを追放する。これにより追放されたカード１枚につき、そのプレイヤーの墓地と手札とライブラリーから、そのカードと同じ名前を持つカードを望む枚数探し、それらを追放する。その後、そのプレイヤーは自分のライブラリーを切り直す。</t>
  </si>
  <si>
    <t>恐君主の兜</t>
  </si>
  <si>
    <t>エンチャントされているクリーチャーが青であるかぎり、それは+1/+1の修整を受けるとともに「このクリーチャーが対戦相手１人にダメージを与えるたび、カードを１枚引く。」を持つ。</t>
  </si>
  <si>
    <t>エンチャントされているクリーチャーが黒であるかぎり、それは+1/+1の修整を受けるとともに「このクリーチャーが対戦相手１人にダメージを与えるたび、そのプレイヤーはカードを１枚捨てる。」を持つ。</t>
  </si>
  <si>
    <t>ボーラスの工作員、テゼレット</t>
  </si>
  <si>
    <t>伝説のプレインズウォーカー --- テゼレット(Tezzeret)</t>
  </si>
  <si>
    <t>[+1]：あなたのライブラリーの一番上から５枚のカードを見る。あなたはその中からアーティファクト・カード１枚を公開してあなたの手札に加えてもよい。残りをあなたのライブラリーの一番下に望む順番で置く。</t>
  </si>
  <si>
    <t>[-1]：アーティファクト１つを対象とする。それは基本のパワーとタフネスが5/5のアーティファクト・クリーチャーになる。</t>
  </si>
  <si>
    <t>[-4]：プレイヤー１人を対象とする。そのプレイヤーはＸ点のライフを失い、あなたはＸ点のライフを得る。Ｘはあなたがコントロールするアーティファクトの数の２倍である。</t>
  </si>
  <si>
    <t>策謀家テゼレット</t>
  </si>
  <si>
    <t>[+1]：《エーテリウム電池/Etherium Cell》という名前のアーティファクト・トークンを１つ生成する。それは「(Ｔ),このアーティファクトを生け贄に捧げる：あなたのマナ・プールに好きな色１色のマナ１点を加える。」を持つ。</t>
  </si>
  <si>
    <t>[-2]：クリーチャー１体を対象とする。ターン終了時まで、それは+X/-Xの修整を受ける。Ｘは、あなたがコントロールするアーティファクトの総数に等しい。</t>
  </si>
  <si>
    <t>[-7]：あなたは「あなたのターンの戦闘の開始時に、あなたがコントロールするアーティファクト１つを対象とする。それは基本のパワーとタフネスが5/5のアーティファクト・クリーチャーになる。」を持つ紋章を得る。</t>
  </si>
  <si>
    <t>地底街の手中</t>
  </si>
  <si>
    <t>(１)(U)(U)(B)</t>
  </si>
  <si>
    <t>パーマネント１つを対象とし、それをオーナーの手札に戻す。それのコントローラーは３点のライフを失う。</t>
  </si>
  <si>
    <t>現実の否定</t>
  </si>
  <si>
    <t>パーマネント１つを対象とし、それをオーナーの手札に戻す。</t>
  </si>
  <si>
    <t>精神的な介入</t>
  </si>
  <si>
    <t>対戦相手１人を対象とする。そのプレイヤーは自分の手札を公開する。あなたはそのプレイヤーの手札または墓地から、土地でないカードを１枚選び、そのカードを追放する。そのカードが追放され続けているかぎり、あなたはそのカードを唱えてもよい。あなたはその呪文を唱えるために、任意のマナをいずれかの色のマナであるかのように支払ってもよい。</t>
  </si>
  <si>
    <t>強要された自白</t>
  </si>
  <si>
    <t>(４)(U/B)</t>
  </si>
  <si>
    <t>プレイヤー１人を対象とする。そのプレイヤーは自分のライブラリーの一番上から４枚のカードを自分の墓地に置く。これにより墓地に置かれたクリーチャー・カード１枚につき、あなたはカードを１枚引く。</t>
  </si>
  <si>
    <t>恐るべき下層流</t>
  </si>
  <si>
    <t>(３)(U/B)(U/B)</t>
  </si>
  <si>
    <t>青のクリーチャーがあなたのコントロール下で戦場に出るたび、プレイヤー１人を対象とする。あなたは「そのプレイヤーはカードを１枚引く」ことを選んでもよい。</t>
  </si>
  <si>
    <t>黒のクリーチャーがあなたのコントロール下で戦場に出るたび、プレイヤー１人を対象とする。あなたは「そのプレイヤーはカードを１枚捨てる」ことを選んでもよい。</t>
  </si>
  <si>
    <t>テゼレットの企み</t>
  </si>
  <si>
    <t>クリーチャー１体を対象とし、それを破壊する。あなたはあなたのライブラリーやあなたの墓地から《金属の支配者、テゼレット/Tezzeret, Master of Metal》という名前のカード１枚を探し、それを公開してあなたの手札に加えてもよい。あなたがこれによりあなたのライブラリーからカードを探したなら、あなたのライブラリーを切り直す。</t>
  </si>
  <si>
    <t>シルムガルの命令</t>
  </si>
  <si>
    <t>・クリーチャーでない呪文１つを対象とし、それを打ち消す。</t>
  </si>
  <si>
    <t>・パーマネント１つを対象とし、それをオーナーの手札に戻す。</t>
  </si>
  <si>
    <t>・クリーチャー１体を対象とする。ターン終了時まで、それは-3/-3の修整を受ける。</t>
  </si>
  <si>
    <t>・プレインズウォーカー１体を対象とし、それを破壊する。</t>
  </si>
  <si>
    <t>よじれた正義</t>
  </si>
  <si>
    <t>(４)(U)(B)</t>
  </si>
  <si>
    <t>プレイヤー１人を対象とする。そのプレイヤーはクリーチャーを１体生け贄に捧げる。あなたはそのクリーチャーのパワーに等しい枚数のカードを引く。</t>
  </si>
  <si>
    <t>金属の支配者、テゼレット</t>
  </si>
  <si>
    <t>[+1]：アーティファクト・カードが公開されるまで、あなたのライブラリーの一番上からカードを１枚ずつ公開する。そのカードをあなたの手札に加え、残りをあなたのライブラリーの一番下に無作為の順番で置く。</t>
  </si>
  <si>
    <t>[-3]：対戦相手１人を対象とする。そのプレイヤーはあなたがコントロールするアーティファクトの総数に等しい点数のライフを失う。</t>
  </si>
  <si>
    <t>[-8]：対戦相手１人を対象とする。そのプレイヤーがコントロールするすべてのアーティファクトとそのプレイヤーがコントロールするすべてのクリーチャーのコントロールを得る。</t>
  </si>
  <si>
    <t>魂震</t>
  </si>
  <si>
    <t>(３)(U)(U)(B)(B)</t>
  </si>
  <si>
    <t>戦場に出ているすべてのクリーチャーと墓地にあるすべてのクリーチャー・カードをそれぞれのオーナーの手札に戻す。</t>
  </si>
  <si>
    <t>傷跡</t>
  </si>
  <si>
    <t>(B/R)</t>
  </si>
  <si>
    <t>クリーチャー１体を対象とする。それの上に-1/-1カウンターを１個置く。</t>
  </si>
  <si>
    <t>暴動のとげ</t>
  </si>
  <si>
    <t>（(B/R)は(B)でも(R)でも支払うことができる。）</t>
  </si>
  <si>
    <t>エンチャントされているクリーチャーは+2/-1の修整を受ける。</t>
  </si>
  <si>
    <t>ラクドスの魔除け</t>
  </si>
  <si>
    <t>・プレイヤー１人を対象とし、その墓地にあるすべてのカードを追放する。</t>
  </si>
  <si>
    <t>・アーティファクト１つを対象とし、それを破壊する。</t>
  </si>
  <si>
    <t>・各クリーチャーはそれぞれのコントローラーに１点のダメージを与える。</t>
  </si>
  <si>
    <t>悪魔骨の鞭</t>
  </si>
  <si>
    <t>(Ｘ)：装備しているクリーチャーは、ターン終了時まで+X/+0の修整を受ける。</t>
  </si>
  <si>
    <t>戦慄掘り</t>
  </si>
  <si>
    <t>クリーチャー１体かプレインズウォーカー１体を対象とし、それを破壊する。</t>
  </si>
  <si>
    <t>亜神の拳</t>
  </si>
  <si>
    <t>(１)(B/R)</t>
  </si>
  <si>
    <t>エンチャントされているクリーチャーが黒であるかぎり、それは+1/+1の修整を受けるとともに萎縮を持つ。（それはクリーチャーに-1/-1カウンターの形でダメージを与える。）</t>
  </si>
  <si>
    <t>エンチャントされているクリーチャーが赤であるかぎり、それは+1/+1の修整を受けるとともに先制攻撃を持つ。</t>
  </si>
  <si>
    <t>血糊の雨</t>
  </si>
  <si>
    <t>呪文や能力がそれのコントローラーにライフを得るようにする場合、代わりにそのプレイヤーは同じ点数のライフを失う。</t>
  </si>
  <si>
    <t>終止</t>
  </si>
  <si>
    <t>クリーチャー１体を対象とし、それを破壊する。それは再生できない。</t>
  </si>
  <si>
    <t>ラクドスの復活</t>
  </si>
  <si>
    <t>(Ｘ)(B)(R)</t>
  </si>
  <si>
    <t>対戦相手１人を対象とする。ラクドスの復活はそのプレイヤーにＸ点のダメージを与える。そのプレイヤーはカードをＸ枚捨てる。</t>
  </si>
  <si>
    <t>脈火の境界石</t>
  </si>
  <si>
    <t>あなたは脈火の境界石のマナ・コストを支払うのではなく、(１)を支払うとともにあなたがコントロールする基本土地１つをオーナーの手札に戻してもよい。</t>
  </si>
  <si>
    <t>脈火の境界石はタップ状態で戦場に出る。</t>
  </si>
  <si>
    <t>(Ｔ)：あなたのマナ・プールに(B)か(R)を加える。</t>
  </si>
  <si>
    <t>苦痛の拡大</t>
  </si>
  <si>
    <t>対戦相手１人に、単一の発生源から３点以上のダメージが与えられるたび、そのプレイヤーはカードを１枚捨てる。</t>
  </si>
  <si>
    <t>名演撃</t>
  </si>
  <si>
    <t>ターン終了時まで、あなたがコントロールするクリーチャーは「このクリーチャーが死亡したとき、対戦相手１人がコントロールするクリーチャー１体を対象とする。これはそれに２点のダメージを与える。」を得る。</t>
  </si>
  <si>
    <t>荒廃稲妻</t>
  </si>
  <si>
    <t>プレイヤー１人を対象とする。荒廃稲妻はそのプレイヤーに３点のダメージを与える。そのプレイヤーはカードを２枚捨てる。</t>
  </si>
  <si>
    <t>悪魔の戦慄</t>
  </si>
  <si>
    <t>クリーチャー１体を対象とする。このターン、それではブロックできない。</t>
  </si>
  <si>
    <t>無許可の分解</t>
  </si>
  <si>
    <t>クリーチャー１体を対象とし、それを破壊する。あなたがアーティファクトをコントロールしているなら、無許可の分解はそのクリーチャーのコントローラーに３点のダメージを与える。</t>
  </si>
  <si>
    <t>穴開け三昧</t>
  </si>
  <si>
    <t>クリーチャー１体を対象とする。それはターン終了時まで+4/-4の修整を受ける。</t>
  </si>
  <si>
    <t>コラガンの命令</t>
  </si>
  <si>
    <t>・プレイヤー１人を対象とする。そのプレイヤーはカードを１枚捨てる。</t>
  </si>
  <si>
    <t>・クリーチャー１体かプレイヤー１人を対象とする。コラガンの命令はそれに２点のダメージを与える。</t>
  </si>
  <si>
    <t>恒久の拷問</t>
  </si>
  <si>
    <t>(２)(B/R)</t>
  </si>
  <si>
    <t>プレイヤーはライフを得られない。</t>
  </si>
  <si>
    <t>ダメージは軽減されない。</t>
  </si>
  <si>
    <t>すべてのダメージは、その発生源が萎縮を持っているかのように与えられる。（萎縮を持つ発生源はクリーチャーに-1/-1カウンターの形でダメージを与える。）</t>
  </si>
  <si>
    <t>悪意に満ちた幻視</t>
  </si>
  <si>
    <t>(２)(B/R)(B/R)</t>
  </si>
  <si>
    <t>各プレイヤーのドロー・ステップの開始時に、そのプレイヤーは追加のカードを１枚引く。</t>
  </si>
  <si>
    <t>プレイヤー１人がカードを引くたび、悪意に満ちた幻視はそのプレイヤーは１点のダメージを与える。</t>
  </si>
  <si>
    <t>思考の大出血</t>
  </si>
  <si>
    <t>プレイヤー１人を対象とする。土地でないカード名を１つ選ぶ。そのプレイヤーは自分の手札を公開する。思考の大出血はそのプレイヤーに、これにより公開された選ばれた名前のカード１枚につき３点のダメージを与える。そのプレイヤーの墓地と手札とライブラリーから、その名前のカードをすべて探し、それらを追放する。その後、そのプレイヤーは自分のライブラリーを切り直す。</t>
  </si>
  <si>
    <t>井戸に毒</t>
  </si>
  <si>
    <t>土地１つを対象とし、それを破壊する。井戸に毒はその土地のコントローラーに２点のダメージを与える。</t>
  </si>
  <si>
    <t>破壊の宴</t>
  </si>
  <si>
    <t>クリーチャー１体か土地１つを対象とし、それを破壊する。</t>
  </si>
  <si>
    <t>殺戮遊戯</t>
  </si>
  <si>
    <t>殺戮遊戯は呪文や能力によっては打ち消されない。</t>
  </si>
  <si>
    <t>対戦相手１人を対象とし、土地でないカード名を１つ選ぶ。そのプレイヤーの墓地と手札とライブラリーから、その名前のカードを望む枚数探し、それらを追放する。その後、そのプレイヤーは自分のライブラリーを切り直す。</t>
  </si>
  <si>
    <t>玉砕</t>
  </si>
  <si>
    <t>(３)(B)(R)</t>
  </si>
  <si>
    <t>玉砕を生け贄に捧げる：あなたの対戦相手がコントロールするクリーチャーは、ターン終了時まで-1/-1の修整を受ける。このターン、それらのクリーチャーは可能ならば攻撃する。</t>
  </si>
  <si>
    <t>双撃</t>
  </si>
  <si>
    <t>クリーチャー２体を対象とする。双撃はそれらにそれぞれ２点のダメージを与える。</t>
  </si>
  <si>
    <t>暴勇 ― あなたの手札にカードが無い場合、代わりにそれらのクリーチャーを破壊する。</t>
  </si>
  <si>
    <t>炎鎖のアングラス</t>
  </si>
  <si>
    <t>伝説のプレインズウォーカー --- アングラス(Angrath)</t>
  </si>
  <si>
    <t>[+1]：各対戦相手はそれぞれ、カード１枚を捨て２点のライフを失う。</t>
  </si>
  <si>
    <t>[-3]：クリーチャー１体を対象とする。ターン終了時まで、それのコントロールを得る。それをアンタップする。ターン終了時まで、それは速攻を得る。それの点数で見たマナ・コストが３以下なら、次の終了ステップの開始時に、それを生け贄に捧げる。</t>
  </si>
  <si>
    <t>[-8]：各対戦相手はそれぞれ、自分の墓地にあるカードの枚数に等しい点数のライフを失う。</t>
  </si>
  <si>
    <t>ラクドスの頌歌</t>
  </si>
  <si>
    <t>(２)(B)(R)(R)</t>
  </si>
  <si>
    <t>あなたがコントロールするクリーチャー１体が攻撃するたび、それはターン終了時まで+2/+0の修整を受けるとともに、ラクドスの頌歌はあなたに１点のダメージを与える。</t>
  </si>
  <si>
    <t>暴勇 ― あなたの手札にカードが無いかぎり、あなたがコントロールする発生源１つがクリーチャーかプレイヤーにダメージを与える場合、代わりにそれはそのクリーチャーやプレイヤーにその２倍のダメージを与える。</t>
  </si>
  <si>
    <t>アングラスの憤怒</t>
  </si>
  <si>
    <t>クリーチャー１体とプレイヤー１人を対象とし、その前者を破壊する。アングラスの憤怒はその後者に３点のダメージを与える。あなたはあなたのライブラリーやあなたの墓地から《ミノタウルスの海賊、アングラス/Angrath, Minotaur Pirate》という名前のカード１枚を探し、それを公開してあなたの手札に加えてもよい。これによりあなたのライブラリーからカードを探したなら、あなたのライブラリーを切り直す。</t>
  </si>
  <si>
    <t>圧制</t>
  </si>
  <si>
    <t>(３)(B/R)(B/R)</t>
  </si>
  <si>
    <t>プレイヤー１人を対象とする。そのプレイヤーは、そのプレイヤーが７点のライフを支払わないかぎり自分の手札を捨てる。</t>
  </si>
  <si>
    <t>虚空</t>
  </si>
  <si>
    <t>数字を１つ選ぶ。点数で見たマナ・コストが選ばれた数字に等しい、すべてのアーティファクトとすべてのクリーチャーを破壊する。その後プレイヤー１人を対象とする。そのプレイヤーは、自分の手札を公開し、土地でないカードのうち、点数で見たマナ・コストが選ばれた数字に等しいカードを、すべて捨てる。</t>
  </si>
  <si>
    <t>裏切り者の咆哮</t>
  </si>
  <si>
    <t>(４)(B/R)</t>
  </si>
  <si>
    <t>アンタップ状態のクリーチャー１体を対象とし、それをタップする。それはそれのコントローラーに、自身のパワーに等しい点数のダメージを与える。</t>
  </si>
  <si>
    <t>頭蓋裂き</t>
  </si>
  <si>
    <t>頭蓋裂きは各対戦相手にそれぞれ２点のダメージを与える。それらのプレイヤーは、カードを２枚無作為に選んで捨てる。</t>
  </si>
  <si>
    <t>マルフェゴールの息</t>
  </si>
  <si>
    <t>マルフェゴールの息は各対戦相手に５点のダメージを与える。</t>
  </si>
  <si>
    <t>狂乱のサルカン</t>
  </si>
  <si>
    <t>伝説のプレインズウォーカー --- サルカン(Sarkhan)</t>
  </si>
  <si>
    <t>[0]：あなたのライブラリーの一番上のカードを公開し、それをあなたの手札に加える。狂乱のサルカンは自身に、そのカードの点数で見たマナ・コストに等しい点数のダメージを与える。</t>
  </si>
  <si>
    <t>[-2]：クリーチャー１体を対象とする。それのコントローラーはそれを生け贄に捧げる。その後、そのプレイヤーは飛行を持つ赤の5/5のドラゴン(Dragon)・クリーチャー・トークンを１体生成する。</t>
  </si>
  <si>
    <t>[-4]：プレイヤー１人を対象とする。あなたがコントロールする各ドラゴン・クリーチャーは、そのパワーに等しい点数のダメージをそのプレイヤーに与える。</t>
  </si>
  <si>
    <t>魂魄流</t>
  </si>
  <si>
    <t>魂魄流を唱えるために(B)が使われた場合、あなたの墓地にあるクリーチャー・カードを最大１枚まで対象とし、それを戦場に戻す。魂魄流を唱えるために(R)が使われた場合、プレイヤー１人を対象とする。そのプレイヤーがコントロールするクリーチャーは、ターン終了時まで+2/+0の修整を受けるとともに速攻を得る。（(B)(R)が使われた場合、両方を行う。）</t>
  </si>
  <si>
    <t>瀝青破</t>
  </si>
  <si>
    <t>クリーチャー１体を対象とする。瀝青破はそれに４点のダメージを与える。</t>
  </si>
  <si>
    <t>ミノタウルスの海賊、アングラス</t>
  </si>
  <si>
    <t>(４)(B)(R)</t>
  </si>
  <si>
    <t>[+2]：対戦相手１人を対象とする。ミノタウルスの海賊、アングラスはそのプレイヤーとそのプレイヤーがコントロールしている各クリーチャーにそれぞれ１点のダメージを与える。</t>
  </si>
  <si>
    <t>[-3]：あなたの墓地から海賊(Pirate)カード１枚を対象とし、それを戦場に戻す。</t>
  </si>
  <si>
    <t>[-11]：対戦相手１人を対象とする。そのプレイヤーがコントロールしているクリーチャーをすべて破壊する。ミノタウルスの海賊、アングラスはそのプレイヤーに、それらのパワーの合計に等しい点数のダメージを与える。</t>
  </si>
  <si>
    <t>騒乱の大祭</t>
  </si>
  <si>
    <t>各プレイヤーのアップキープの開始時に、そのプレイヤーは自分のライフの端数を切り上げた半分を失う。</t>
  </si>
  <si>
    <t>モルグの噴出</t>
  </si>
  <si>
    <t>あなたの墓地にあるクリーチャー・カード１枚を対象とし、クリーチャー１体かプレイヤー１人を対象とする。その前者をあなたの手札に戻し、モルグの噴出はこれにより戻されたカードのパワーに等しい点数のダメージをその後者に与える。</t>
  </si>
  <si>
    <t>火群れのどよめき</t>
  </si>
  <si>
    <t>(５)(B/R)(B/R)(B/R)</t>
  </si>
  <si>
    <t>対戦相手１人を対象とする。黒であり赤である5/5のエレメンタル(Elemental)・クリーチャー・トークンを１体生成する。そのプレイヤーは、あなたがコントロールする黒のクリーチャー１体につきクリーチャーを１体生け贄に捧げ、あなたがコントロールする赤のクリーチャー１体につき土地を１つ生け贄に捧げる。</t>
  </si>
  <si>
    <t>アーリン・コード</t>
  </si>
  <si>
    <t>伝説のプレインズウォーカー --- アーリン(Arlinn)</t>
  </si>
  <si>
    <t>[+1]：クリーチャーを最大１体まで対象とする。ターン終了時まで、それは+2/+2の修整を受けるとともに警戒と速攻を得る。</t>
  </si>
  <si>
    <t>[0]：緑の2/2の狼(Wolf)クリーチャー・トークンを１体生成する。アーリン・コードを変身させる。</t>
  </si>
  <si>
    <t>月の抱擁、アーリン</t>
  </si>
  <si>
    <t>　色指標：〔赤/緑〕</t>
  </si>
  <si>
    <t>[+1]：ターン終了時まで、あなたがコントロールするクリーチャーは+1/+1の修整を受けるとともにトランプルを得る。</t>
  </si>
  <si>
    <t>[-1]：クリーチャー１体かプレイヤー１人を対象とする。月の抱擁、アーリンはそれに３点のダメージを与える。月の抱擁、アーリンを変身させる。</t>
  </si>
  <si>
    <t>[-6]：あなたは「あなたがコントロールするクリーチャーは、速攻と『(Ｔ)：クリーチャー１体かプレイヤー１人を対象とする。このクリーチャーはそれに自身のパワーに等しい点数のダメージを与える。』を持つ。」を持つ紋章を得る。</t>
  </si>
  <si>
    <t>化石の発見</t>
  </si>
  <si>
    <t>あなたの墓地にあるカードを１枚無作為に選び、それをあなたの手札に戻す。その後、あなたの墓地をあなたが望む順番に並べ替える。</t>
  </si>
  <si>
    <t>耳障りな反応</t>
  </si>
  <si>
    <t>青のインスタント呪文１つを対象とし、それを打ち消す。</t>
  </si>
  <si>
    <t>闘技</t>
  </si>
  <si>
    <t>(１)(R/G)</t>
  </si>
  <si>
    <t>あなたがコントロールするクリーチャー１体を対象とし、他のクリーチャー１体を対象とする。その前者はその後者と格闘を行う。（それぞれはもう一方に自身のパワーに等しい点数のダメージを与える。）</t>
  </si>
  <si>
    <t>一族の誇示</t>
  </si>
  <si>
    <t>(Ｘ)(R)(G)</t>
  </si>
  <si>
    <t>以下から１つまたは複数を選ぶ。</t>
  </si>
  <si>
    <t>・飛行を持つクリーチャー１体を対象とする。一族の誇示はそれにＸ点のダメージを与える。</t>
  </si>
  <si>
    <t>・飛行を持たないクリーチャー１体を対象とする。一族の誇示はそれにＸ点のダメージを与える。</t>
  </si>
  <si>
    <t>・プレイヤー１人を対象とする。一族の誇示はそのプレイヤーにＸ点のダメージを与える。</t>
  </si>
  <si>
    <t>一族の信号</t>
  </si>
  <si>
    <t>あなたのライブラリーからクリーチャー・カードを３枚探し、それらを公開する。あなたが異なる名前のカードを３枚公開した場合、その中から１枚のカードを無作為に選び、それをあなたの手札に加える。残りをあなたのライブラリーに加えて切り直す。</t>
  </si>
  <si>
    <t>途方もない力</t>
  </si>
  <si>
    <t>クリーチャー１体を対象とする。それはターン終了時まで+4/+2の修整を受けるとともにトランプルを得る。</t>
  </si>
  <si>
    <t>魔力変</t>
  </si>
  <si>
    <t>あなたのマナ・プールに、望む色の組み合わせのマナ２点を加える。</t>
  </si>
  <si>
    <t>大竜巻</t>
  </si>
  <si>
    <t>大竜巻は、各クリーチャーに、それぞれＸ点のダメージを与える。</t>
  </si>
  <si>
    <t>破壊的な享楽</t>
  </si>
  <si>
    <t>アーティファクト１つかエンチャント１つを対象とし、それを破壊する。破壊的な享楽はそのパーマネントのコントローラーに２点のダメージを与える。</t>
  </si>
  <si>
    <t>グルールの魔除け</t>
  </si>
  <si>
    <t>・このターン、飛行を持たないクリーチャーではブロックできない。</t>
  </si>
  <si>
    <t>・あなたがオーナーであるすべてのパーマネントのコントロールを得る。</t>
  </si>
  <si>
    <t>・グルールの魔除けは、飛行を持つ各クリーチャーにそれぞれ３点のダメージを与える。</t>
  </si>
  <si>
    <t>地上の突撃</t>
  </si>
  <si>
    <t>クリーチャー１体を対象とする。地上の突撃はそれに、あなたがコントロールする土地の数に等しい点数のダメージを与える。</t>
  </si>
  <si>
    <t>アタルカの命令</t>
  </si>
  <si>
    <t>・このターン、あなたの対戦相手はライフを得られない。</t>
  </si>
  <si>
    <t>・アタルカの命令は各対戦相手にそれぞれ３点のダメージを与える。</t>
  </si>
  <si>
    <t>・あなたは、あなたの手札にある土地カードを１枚戦場に出してもよい。</t>
  </si>
  <si>
    <t>・ターン終了時まで、あなたがコントロールするクリーチャーは+1/+1の修整を受けるとともに到達を得る。</t>
  </si>
  <si>
    <t>火荒の境界石</t>
  </si>
  <si>
    <t>あなたは火荒の境界石のマナ・コストを支払うのではなく、(１)を支払うとともにあなたがコントロールする基本土地１つをオーナーの手札に戻してもよい。</t>
  </si>
  <si>
    <t>火荒の境界石はタップ状態で戦場に出る。</t>
  </si>
  <si>
    <t>(Ｔ)：あなたのマナ・プールに(R)か(G)を加える。</t>
  </si>
  <si>
    <t>嵐の束縛</t>
  </si>
  <si>
    <t>(２),カードを１枚無作為に選んで捨てる：クリーチャー１体かプレイヤー１人を対象とする。嵐の束縛はそれに２点のダメージを与える。</t>
  </si>
  <si>
    <t>炎渦竜巻</t>
  </si>
  <si>
    <t>(２)(R/G)</t>
  </si>
  <si>
    <t>炎渦竜巻を唱えるために(R)が使われた場合、炎渦竜巻は飛行を持たない各クリーチャーに３点のダメージを与え、炎渦竜巻を唱えるために(G)が使われた場合、炎渦竜巻は飛行を持つ各クリーチャーに３点のダメージを与える。（(R)(G)が使われた場合、両方を行う。）</t>
  </si>
  <si>
    <t>暴力的な突発</t>
  </si>
  <si>
    <t>ターン終了時まで、あなたがコントロールするクリーチャーは+1/+0の修整を受ける。</t>
  </si>
  <si>
    <t>枝分かれの稲妻</t>
  </si>
  <si>
    <t>・飛行を持つクリーチャー１体を対象とする。枝分かれの稲妻はそれに３点ダメージを与える。</t>
  </si>
  <si>
    <t>・飛行を持たないクリーチャー１体を対象とする。枝分かれの稲妻はそれに３点のダメージを与える。</t>
  </si>
  <si>
    <t>魔道士殺しの剣</t>
  </si>
  <si>
    <t>装備しているクリーチャーが攻撃するたび、それはそれのパワーに等しい点数のダメージを防御プレイヤーに与える。</t>
  </si>
  <si>
    <t>巨人釣り</t>
  </si>
  <si>
    <t>速攻を持つ赤であり緑である4/4の巨人(Giant)・戦士(Warrior)クリーチャー・トークンを１体生成する。次の終了ステップの開始時に、それを追放する。</t>
  </si>
  <si>
    <t>共謀（あなたがこの呪文を唱えるに際し、あなたはあなたがコントロールする、この呪文と共通の色を持つアンタップ状態のクリーチャーを２体タップしてもよい。そうした場合、その呪文をコピーする。）</t>
  </si>
  <si>
    <t>ドムリ・ラーデ</t>
  </si>
  <si>
    <t>伝説のプレインズウォーカー --- ドムリ(Domri)</t>
  </si>
  <si>
    <t>[+1]：あなたのライブラリーの一番上のカードを見る。それがクリーチャー・カードである場合、あなたはそれを公開してあなたの手札に加えてもよい。</t>
  </si>
  <si>
    <t>[-2]：あなたがコントロールするクリーチャー１体を対象とし、他のクリーチャー１体を対象とする。その前者はその後者と格闘を行う。</t>
  </si>
  <si>
    <t>[-7]：あなたは「あなたがコントロールするクリーチャーは二段攻撃、トランプル、呪禁、速攻を持つ。」を持つ紋章を得る。</t>
  </si>
  <si>
    <t>サルカン・ヴォル</t>
  </si>
  <si>
    <t>[+1]：あなたがコントロールするクリーチャーは、ターン終了時まで+1/+1の修整を受けるとともに速攻を得る。</t>
  </si>
  <si>
    <t>[-2]：クリーチャー１体を対象とする。ターン終了時までそれのコントロールを得る。そのクリーチャーをアンタップする。それはターン終了時まで速攻を得る。</t>
  </si>
  <si>
    <t>[-6]：飛行を持つ赤の4/4のドラゴン(Dragon)・クリーチャー・トークンを５体生成する。</t>
  </si>
  <si>
    <t>大惨事</t>
  </si>
  <si>
    <t>大惨事は呪文や能力によっては打ち消されない。</t>
  </si>
  <si>
    <t>歓楽者ゼナゴス</t>
  </si>
  <si>
    <t>伝説のプレインズウォーカー --- ゼナゴス(Xenagos)</t>
  </si>
  <si>
    <t>[+1]：あなたのマナ・プールに、(R)および(G)の好きな組み合わせのマナＸ点を加える。Ｘは、あなたがコントロールするクリーチャーの総数である。</t>
  </si>
  <si>
    <t>[0]：速攻を持つ赤であり緑である2/2のサテュロス(Satyr)・クリーチャー・トークンを１体生成する。</t>
  </si>
  <si>
    <t>[-6]：あなたのライブラリーの一番上から７枚のカードを追放する。あなたはそれらのカードの中から望む枚数のクリーチャー・カードおよび土地カードを戦場に出してもよい。</t>
  </si>
  <si>
    <t>爆発する境界</t>
  </si>
  <si>
    <t>版図 ― プレイヤー１人を対象とする。あなたのライブラリーから基本土地カードを１枚探し、そのカードをタップ状態で戦場に出す。その後、あなたのライブラリーを切り直す。爆発する境界はそのプレイヤーにＸ点のダメージを与える。Ｘはあなたがコントロールする土地の中の基本土地タイプの数に等しい。</t>
  </si>
  <si>
    <t>試練を超えた者、サムト</t>
  </si>
  <si>
    <t>伝説のプレインズウォーカー --- サムト(Samut)</t>
  </si>
  <si>
    <t>[+1]：クリーチャー最大１体を対象とする。ターン終了時まで、それは二段攻撃を得る。</t>
  </si>
  <si>
    <t>[-2]：クリーチャーやプレイヤー、１つか２つを対象とする。試練を超えた者、サムトはそれらに、２点のダメージをあなたの望むように分割して与える。</t>
  </si>
  <si>
    <t>[-7]：あなたのライブラリーからクリーチャー・カードやプレインズウォーカー・カード最大２枚を探し、それらを戦場に出し、その後あなたのライブラリーを切り直す。</t>
  </si>
  <si>
    <t>場当たりな襲撃</t>
  </si>
  <si>
    <t>(３)(R/G)</t>
  </si>
  <si>
    <t>(２)(R/G)：あなたのライブラリーの一番上のカードを公開する。それがクリーチャー・カードでない場合、それをあなたの墓地に置く。そうでない場合、そのカードを戦場に出す。そのクリーチャーは速攻を得る。次の終了ステップの開始時に、それを生け贄に捧げる。</t>
  </si>
  <si>
    <t>グルールの戦唄</t>
  </si>
  <si>
    <t>あなたがコントロールする攻撃クリーチャーは、+1/+0の修整を受けるとともに威迫を持つ。</t>
  </si>
  <si>
    <t>大神のルーン</t>
  </si>
  <si>
    <t>(４)(R/G)</t>
  </si>
  <si>
    <t>エンチャントされているクリーチャーが赤であるかぎり、それは+1/+1の修整を受けるとともに二段攻撃を持つ。（それは先制攻撃の戦闘ダメージと通常の戦闘ダメージの両方を与える。）</t>
  </si>
  <si>
    <t>エンチャントされているクリーチャーが緑であるかぎり、それは+1/+1の修整を受けるとともにトランプルを持つ。</t>
  </si>
  <si>
    <t>原初の訪れ</t>
  </si>
  <si>
    <t>エンチャントされているクリーチャーは+3/+3の修整を受けるとともに速攻を持つ。</t>
  </si>
  <si>
    <t>激情の耕作</t>
  </si>
  <si>
    <t>土地１つを対象とし、それを破壊する。あなたのライブラリーから基本土地カードを１枚探し、それをタップ状態で戦場に出す。その後あなたのライブラリーを切り直す。</t>
  </si>
  <si>
    <t>捕食者の優位</t>
  </si>
  <si>
    <t>各対戦相手の終了ステップの開始時に、そのプレイヤーがこのターンにクリーチャー呪文を唱えていない場合、緑の2/2のトカゲ(Lizard)・クリーチャー・トークンを１体生成する。</t>
  </si>
  <si>
    <t>復讐に燃えた再誕</t>
  </si>
  <si>
    <t>(４)(R)(G)</t>
  </si>
  <si>
    <t>あなたの墓地にあるカード１枚と、クリーチャー１体かプレイヤー１人を対象とする。前者をあなたの手札に戻す。これにより土地でないカードをあなたの手札に戻した場合、復讐に燃えた再誕は後者に、そのカードの点数で見たマナ・コストに等しい点数のダメージを与える。</t>
  </si>
  <si>
    <t>復讐に燃えた再誕を追放する。</t>
  </si>
  <si>
    <t>サングライトのうねり</t>
  </si>
  <si>
    <t>クリーチャー１体を対象とする。それはターン終了時まで+3/+3の修整を受けるとともに二段攻撃を得る。</t>
  </si>
  <si>
    <t>殺戮本能</t>
  </si>
  <si>
    <t>あなたのアップキープの開始時に、あなたのライブラリーの一番上のカードを公開する。それがクリーチャー・カードである場合、それを戦場に出す。そのクリーチャーは、ターン終了時まで速攻を得る。次の終了ステップの開始時に、それを生け贄に捧げる。</t>
  </si>
  <si>
    <t>倒れし神の宴</t>
  </si>
  <si>
    <t>(３)(R)(R)(G)(G)</t>
  </si>
  <si>
    <t>速攻を持つ赤であり緑である2/2のサテュロス(Satyr)・クリーチャー・トークンを４体生成する。</t>
  </si>
  <si>
    <t>アケノヒカリの注入</t>
  </si>
  <si>
    <t>(Ｘ)(G/W)</t>
  </si>
  <si>
    <t>アケノヒカリの注入を唱えるために(G)が使われた場合、あなたはＸ点のライフを得る。アケノヒカリの注入を唱えるために(W)が使われた場合、あなたはＸ点のライフを得る。（(G)(W)が使われた場合、両方を行う。）</t>
  </si>
  <si>
    <t>樹皮殻の祝福</t>
  </si>
  <si>
    <t>(G/W)</t>
  </si>
  <si>
    <t>クリーチャー１体を対象とする。それはターン終了時まで+2/+2の修整を受ける。</t>
  </si>
  <si>
    <t>守美者の探索</t>
  </si>
  <si>
    <t>あなたのライブラリーから森(Forest)カードか平地(Plains)カードを１枚探し、それを公開した上であなたの手札に加える。その後、あなたのライブラリーを切り直す。</t>
  </si>
  <si>
    <t>きらめく願い</t>
  </si>
  <si>
    <t>あなたは、ゲームの外部にあるあなたがオーナーである多色のカード１枚を選び、そのカードを公開し、あなたの手札に加えてもよい。きらめく願いを追放する。</t>
  </si>
  <si>
    <t>アジャニの誓い</t>
  </si>
  <si>
    <t>アジャニの誓いが戦場に出たとき、あなたがコントロールする各クリーチャーの上に+1/+1カウンターをそれぞれ１個置く。</t>
  </si>
  <si>
    <t>あなたがプレインズウォーカー呪文を唱えるためのコストは(１)少なくなる。</t>
  </si>
  <si>
    <t>編み上げ直し</t>
  </si>
  <si>
    <t>(１)(G/W)</t>
  </si>
  <si>
    <t>パーマネント１つを対象とし、それを再生する。</t>
  </si>
  <si>
    <t>議事会の招集</t>
  </si>
  <si>
    <t>緑の3/3のケンタウルス(Centaur)・クリーチャー・トークンを１体生成する。</t>
  </si>
  <si>
    <t>セレズニアの魔除け</t>
  </si>
  <si>
    <t>・クリーチャー１体を対象とする。ターン終了時まで、それは+2/+2の修整を受けるとともにトランプルを得る。</t>
  </si>
  <si>
    <t>・パワーが５以上のクリーチャー１体を対象とし、それを追放する。</t>
  </si>
  <si>
    <t>・警戒を持つ白の2/2の騎士(Knight)クリーチャー・トークンを１体生成する。</t>
  </si>
  <si>
    <t>印章の祝福</t>
  </si>
  <si>
    <t>あなたがコントロールするクリーチャー１体を対象とする。ターン終了時まで、それは+3/+3の修整を受けるとともに、あなたがコントロールする他のクリーチャーは+1/+1の修整を受ける。</t>
  </si>
  <si>
    <t>勇士の再会</t>
  </si>
  <si>
    <t>プレイヤー１人を対象とする。そのプレイヤーは７点のライフを得る。</t>
  </si>
  <si>
    <t>太陽と月の輪</t>
  </si>
  <si>
    <t>カードが１枚いずれかの領域からエンチャントされているプレイヤーの墓地に置かれる場合、代わりにそのカードを公開し、そのプレイヤーのライブラリーの一番下に置く。</t>
  </si>
  <si>
    <t>生まれ変わった希望</t>
  </si>
  <si>
    <t>あなたの墓地にある多色のカード１枚を対象とし、それをあなたの手札に戻す。</t>
  </si>
  <si>
    <t>力の種</t>
  </si>
  <si>
    <t>クリーチャー１体を対象とする。それはターン終了時まで+1/+1の修整を受ける。</t>
  </si>
  <si>
    <t>ドロモカの命令</t>
  </si>
  <si>
    <t>・インスタント呪文１つかソーサリー呪文１つを対象とする。このターン、それが与えるすべてのダメージを軽減する。</t>
  </si>
  <si>
    <t>・プレイヤー１人を対象とする。そのプレイヤーはエンチャントを１つ生け贄に捧げる。</t>
  </si>
  <si>
    <t>・クリーチャー１体を対象とし、それの上に+1/+1カウンターを１個置く。</t>
  </si>
  <si>
    <t>・あなたがコントロールするクリーチャー１体とあなたがコントロールしていないクリーチャー１体を対象とする。その前者はその後者と格闘を行う。</t>
  </si>
  <si>
    <t>ビヒモスの大鎚</t>
  </si>
  <si>
    <t>装備しているクリーチャーは+2/+2の修整を受けるとともにトランプルと絆魂を持つ。</t>
  </si>
  <si>
    <t>安楽死</t>
  </si>
  <si>
    <t>(２)(G/W)</t>
  </si>
  <si>
    <t>クリーチャー１体を対象とする。そのクリーチャーのコントローラーは、それを生け贄に捧げ、その後、緑であり白である1/1のエルフ(Elf)・戦士(Warrior)クリーチャー・トークンをＸ体生成する。Ｘはそのクリーチャーのパワーである。</t>
  </si>
  <si>
    <t>蒔かれたものの収穫</t>
  </si>
  <si>
    <t>クリーチャーを最大３体まで対象とし、それらの上にそれぞれ+1/+1カウンターを１個置く。</t>
  </si>
  <si>
    <t>荒原の境界石</t>
  </si>
  <si>
    <t>あなたは荒原の境界石のマナ・コストを支払うのではなく、(１)を支払うとともにあなたがコントロールする基本土地１つをオーナーの手札に戻してもよい。</t>
  </si>
  <si>
    <t>荒原の境界石はタップ状態で戦場に出る。</t>
  </si>
  <si>
    <t>(Ｔ)：あなたのマナ・プールに(G)か(W)を加える。</t>
  </si>
  <si>
    <t>ナヤの神の印章</t>
  </si>
  <si>
    <t>サイクリング(G/W)（(G/W),このカードを捨てる：カードを１枚引く。）</t>
  </si>
  <si>
    <t>大霊の盾</t>
  </si>
  <si>
    <t>エンチャントされているクリーチャーが緑であるかぎり、それは+1/+1の修整を受けるとともに破壊不能を持つ。（ダメージや「破壊する」効果では、それは破壊されない。それのタフネスが０以下である場合、それはオーナーの墓地に置かれる。）</t>
  </si>
  <si>
    <t>エンチャントされているクリーチャーが白であるかぎり、それは+1/+1の修整を受けるとともに飛行を持つ。</t>
  </si>
  <si>
    <t>ひるまぬ勇気</t>
  </si>
  <si>
    <t>エンチャントされているクリーチャーは+2/+2の修整を受けるとともにトランプルと絆魂を持つ。</t>
  </si>
  <si>
    <t>夜明けの集会</t>
  </si>
  <si>
    <t>(G)(G)(W)</t>
  </si>
  <si>
    <t>あなたのライブラリーからクリーチャー・カードを最大３枚まで探し、それらを公開する。あなたのライブラリーを切り直し、その後それらのカードをその一番上に望む順番で置く。</t>
  </si>
  <si>
    <t>共有の絆</t>
  </si>
  <si>
    <t>クリーチャー１体を対象とし、クリーチャー１体を対象とする。</t>
  </si>
  <si>
    <t>その前者の上に+1/+1カウンターを１個置き、その後者の上に+1/+1カウンターを１個置く。</t>
  </si>
  <si>
    <t>ワームの到来</t>
  </si>
  <si>
    <t>(１)(G)(G)(W)</t>
  </si>
  <si>
    <t>トランプルを持つ緑の5/5のワーム(Wurm)・クリーチャー・トークンを１体生成する。</t>
  </si>
  <si>
    <t>制圧の輝き</t>
  </si>
  <si>
    <t>あなたがコントロールするアンタップ状態のクリーチャー１体をタップする：アーティファクト１つかクリーチャー１体を対象とし、それをタップする。</t>
  </si>
  <si>
    <t>アジャニの援助</t>
  </si>
  <si>
    <t>アジャニの援助が戦場に出たとき、あなたはあなたのライブラリーやあなたの墓地から《勇敢な守護者、アジャニ/Ajani, Valiant Protector》という名前のカード１枚を探し、それを公開してあなたの手札に加えてもよい。あなたがこれによりあなたのライブラリーからカードを探したなら、あなたのライブラリーを切り直す。</t>
  </si>
  <si>
    <t>アジャニの援助を生け贄に捧げる：このターン、あなたが選んだクリーチャー１体が与えるすべての戦闘ダメージを軽減する。</t>
  </si>
  <si>
    <t>光輝の勇者、ファートリ</t>
  </si>
  <si>
    <t>伝説のプレインズウォーカー --- ファートリ(Huatli)</t>
  </si>
  <si>
    <t>[+1]：あなたがコントロールしているクリーチャー１体につき１個の忠誠(loyalty)カウンターを光輝の勇者、ファートリの上に置く。</t>
  </si>
  <si>
    <t>[-1]：クリーチャー１体を対象とする。ターン終了時まで、それは+X/+Xの修整を受ける。Ｘは、あなたがコントロールしているクリーチャーの総数に等しい。</t>
  </si>
  <si>
    <t>[-8]：あなたは「クリーチャーが１体あなたのコントロール下で戦場に出るたび、あなたはカードを１枚引いてもよい。」を持つ紋章を得る。</t>
  </si>
  <si>
    <t>捕らえられた陽光</t>
  </si>
  <si>
    <t>あなたは４点のライフを得る。</t>
  </si>
  <si>
    <t>英雄の導師、アジャニ</t>
  </si>
  <si>
    <t>伝説のプレインズウォーカー --- アジャニ(Ajani)</t>
  </si>
  <si>
    <t>[+1]：あなたのコントロールするクリーチャーを１体、または２体か３体対象とする。それらの上に３個の+1/+1カウンターを望むように割り振って置く。</t>
  </si>
  <si>
    <t>[+1]：あなたのライブラリーの一番上から４枚のカードを見る。あなたはその中からオーラ(Aura)・カード１枚かクリーチャー・カード１枚かプレインズウォーカー・カード１枚を公開してあなたの手札に加えてもよい。残りをあなたのライブラリーの一番下に望む順番で置く。</t>
  </si>
  <si>
    <t>[-8]：あなたは１００点のライフを得る。</t>
  </si>
  <si>
    <t>特権階級</t>
  </si>
  <si>
    <t>(２)(G/W)(G/W)(G/W)</t>
  </si>
  <si>
    <t>（(G/W)は(G)でも(W)でも支払うことができる。）</t>
  </si>
  <si>
    <t>あなたがコントロールする他のパーマネントは、呪禁を持つ。（それらは、あなたの対戦相手がコントロールする呪文や能力の対象にならない。）</t>
  </si>
  <si>
    <t>引き裂く突風</t>
  </si>
  <si>
    <t>すべてのアーティファクトとエンチャントを破壊する。あなたはこの方法で破壊されたパーマネント１つにつき２点のライフを得る。</t>
  </si>
  <si>
    <t>品種改良の力</t>
  </si>
  <si>
    <t>・クリーチャー１体を対象とする。ターン終了時まで、それは+5/+5の修整を受けるとともにトランプルを得る。</t>
  </si>
  <si>
    <t>・ターン終了時まで、あなたがコントロールするクリーチャーは+2/+2の修整を受けるとともに警戒を得る。</t>
  </si>
  <si>
    <t>集団的祝福</t>
  </si>
  <si>
    <t>(３)(G)(G)(W)</t>
  </si>
  <si>
    <t>あなたがコントロールするクリーチャーは+3/+3の修整を受ける。</t>
  </si>
  <si>
    <t>花粉光の羽</t>
  </si>
  <si>
    <t>エンチャントされているクリーチャーがプレイヤーに戦闘ダメージを与えるたび、同じ数の緑の1/1の苗木(Saproling)クリーチャー・トークンを生成する。</t>
  </si>
  <si>
    <t>不撓のアジャニ</t>
  </si>
  <si>
    <t>[+2]：あなたのライブラリーの一番上からカードを３枚公開する。これにより公開されたすべての土地でないパーマネント・カードをあなたの手札に加え、残りをあなたのライブラリーの一番下に望む順番で置く。</t>
  </si>
  <si>
    <t>[-2]：クリーチャー１体を対象とし、それを追放する。それのコントローラーは、それのパワーに等しい点数のライフを得る。</t>
  </si>
  <si>
    <t>[-9]：あなたがコントロールする各クリーチャーの上に+1/+1カウンターをそれぞれ５個と、あなたがコントロールする他の各プレインズウォーカーの上に忠誠(loyalty)カウンターをそれぞれ５個置く。</t>
  </si>
  <si>
    <t>勇敢な守護者、アジャニ</t>
  </si>
  <si>
    <t>[+2]：クリーチャー最大１体を対象とし、それの上に+1/+1カウンターを２個置く。</t>
  </si>
  <si>
    <t>[+1]：クリーチャー・カードが公開されるまで、あなたのライブラリーの一番上からカードを１枚ずつ公開する。そのカードをあなたの手札に加え、残りをあなたのライブラリーの一番下に無作為の順番で置く。</t>
  </si>
  <si>
    <t>[-11]：クリーチャー１体を対象とし、それの上に+1/+1カウンターをＸ個置く。Ｘはあなたのライフ総量に等しい。ターン終了時まで、そのクリーチャーはトランプルを得る。</t>
  </si>
  <si>
    <t>生体武器</t>
    <phoneticPr fontId="1"/>
  </si>
  <si>
    <t>アーティファクト</t>
    <phoneticPr fontId="1"/>
  </si>
  <si>
    <t>LC03</t>
  </si>
  <si>
    <t>LC06</t>
  </si>
  <si>
    <t>LC07</t>
  </si>
  <si>
    <t>LC08</t>
  </si>
  <si>
    <t>居住を行う。あなたがコントロールするクリーチャーは、ターン終了時まで破壊不能を得る。（居住を行うには、あなたがコントロールするクリーチャー・トークン１体のコピーであるトークンを１体生成する。）</t>
    <phoneticPr fontId="1"/>
  </si>
  <si>
    <t>悟った狂人が戦場に出たとき、無色の3/2のエルドラージ(Eldrazi)・ホラー(Horror)・クリーチャー・トークンを１体生成する。</t>
    <phoneticPr fontId="1"/>
  </si>
  <si>
    <t>狼変身：村の伝書士を変身させる。</t>
  </si>
  <si>
    <t>狼変身：狼男の荒らし屋を変身させる。</t>
  </si>
  <si>
    <t>ゴーレムの鋳造所</t>
  </si>
  <si>
    <t>あなたがアーティファクト呪文を唱えるたび、ゴーレムの鋳造所の上に蓄積(charge)カウンターを１個置いてもよい。</t>
  </si>
  <si>
    <t>ゴーレムの鋳造所から蓄積カウンターを３個取り除く：無色の3/3のゴーレム(Golem)・アーティファクト・クリーチャー・トークンを１体生成する。</t>
  </si>
  <si>
    <t>ミラディンの傷跡</t>
  </si>
  <si>
    <t>腕っぷし</t>
  </si>
  <si>
    <t>クリーチャー１体を対象とする。ターン終了時まで、それは+2/+2の修整を受ける。あなたが装備品(Equipment)をコントロールしているなら、白の1/1の人間(Human)・兵士(Soldier)クリーチャー・トークンを１体生成する。</t>
  </si>
  <si>
    <t>刃の篭手</t>
  </si>
  <si>
    <t>装備しているクリーチャーが人間(Human)か天使(Angel)であるかぎり、それは警戒を持つ。</t>
  </si>
  <si>
    <t>装備(２)（(２)：あなたがコントロールするクリーチャー１体を対象とし、それにつける。装備はソーサリーとしてのみ行う。）</t>
  </si>
  <si>
    <t>信条の香炉</t>
  </si>
  <si>
    <t>装備しているクリーチャーは+1/+1の修整を受けるとともに警戒を持つ。</t>
  </si>
  <si>
    <t>装備しているクリーチャーが人間(Human)であるかぎり、それは追加で+1/+0の修整を受ける。</t>
  </si>
  <si>
    <t>町民の結集</t>
  </si>
  <si>
    <t>白の1/1の人間(Human)クリーチャー・トークンを２体生成する。</t>
  </si>
  <si>
    <t>窮地 ― あなたのライフが５点以下である場合、代わりにそれらのトークンを５体生成する。</t>
  </si>
  <si>
    <t>信仰の縛め</t>
  </si>
  <si>
    <t>エンチャントされているクリーチャーは、それが人間(Human)であるかぎり+2/+2の修整を受ける。そうでない場合、それは攻撃したりブロックしたりできない。</t>
  </si>
  <si>
    <t>邪悪の排除</t>
  </si>
  <si>
    <t>あなたがコントロールするクリーチャーは、ターン終了時までプロテクション（人間(Human)でないクリーチャー）を得る。</t>
  </si>
  <si>
    <t>重いつるはし</t>
  </si>
  <si>
    <t>装備しているクリーチャーが人間(Human)であるかぎり、それは追加で+1/+1の修整を受ける。</t>
  </si>
  <si>
    <t>屋根職人の反乱</t>
  </si>
  <si>
    <t>死の愛撫</t>
  </si>
  <si>
    <t>クリーチャー１体を対象とし、それを破壊する。そのクリーチャーが人間(Human)だった場合、あなたはそれのタフネスに等しい点数のライフを得る。</t>
  </si>
  <si>
    <t>野の焼き払い</t>
  </si>
  <si>
    <t>土地１つを対象とし、その土地を破壊する。野の焼き払いは各人間(Human)クリーチャーにそれぞれ１点のダメージを与える。</t>
  </si>
  <si>
    <t>収穫の手</t>
  </si>
  <si>
    <t>収穫の手が死亡したとき、これを変身させた状態であなたのコントロール下で戦場に戻す。</t>
  </si>
  <si>
    <t>拾った大鎌</t>
  </si>
  <si>
    <t>装備しているクリーチャーが人間(Human)であるかぎり、それは威迫を持つ。（それは２体以上のクリーチャーによってしかブロックされない。）</t>
  </si>
  <si>
    <t>銀の象眼の短刀</t>
  </si>
  <si>
    <t>装備しているクリーチャーは+2/+0の修整を受ける。</t>
  </si>
  <si>
    <t>アヴァシンの首飾り</t>
  </si>
  <si>
    <t>装備しているクリーチャーは+1/+0の修整を受けるとともに警戒を持つ。</t>
  </si>
  <si>
    <t>とがった三つ叉</t>
  </si>
  <si>
    <t>忌の一掃</t>
  </si>
  <si>
    <t>このターンに人間(Human)でない発生源が与えるすべてのダメージを軽減する。</t>
  </si>
  <si>
    <t>肉屋の包丁</t>
  </si>
  <si>
    <t>装備しているクリーチャーは+3/+0の修整を受ける。</t>
  </si>
  <si>
    <t>装備しているクリーチャーが人間(Human)であるかぎり、それは絆魂を持つ。</t>
  </si>
  <si>
    <t>ウルヴェンワルドの謎</t>
  </si>
  <si>
    <t>あなたがコントロールするトークンでないクリーチャーが１体死亡するたび、調査を行う。（「(２),このアーティファクトを生け贄に捧げる：カードを１枚引く。」を持つ無色の手掛かり(Clue)アーティファクト・トークンを１つ生成する。）</t>
  </si>
  <si>
    <t>あなたが手掛かりを１つ生け贄に捧げるたび、白の1/1の人間(Human)・兵士(Soldier)クリーチャー・トークンを１体生成する。</t>
  </si>
  <si>
    <t>指揮官の威厳</t>
  </si>
  <si>
    <t>エンチャントされているクリーチャーは「あなたのアップキープの開始時に、白の1/1の人間(Human)クリーチャー・トークンを１体生成する。」を持つ。</t>
  </si>
  <si>
    <t>ウェストヴェイルの修道院</t>
  </si>
  <si>
    <t>(５),(Ｔ),ライフを１点支払う：白であり黒である1/1の人間(Human)・クレリック(Cleric)・クリーチャー・トークンを１体生成する。</t>
  </si>
  <si>
    <t>(５),(Ｔ),クリーチャー５体を生け贄に捧げる：ウェストヴェイルの修道院を変身させ、その後これをアンタップする。</t>
  </si>
  <si>
    <t>不敬の皇子、オーメンダール</t>
  </si>
  <si>
    <t>　色指標：〔黒〕</t>
  </si>
  <si>
    <t>伝説のクリーチャー --- デーモン(Demon)</t>
  </si>
  <si>
    <t>飛行、絆魂、破壊不能、速攻</t>
  </si>
  <si>
    <t>_9/7</t>
  </si>
  <si>
    <t>ヤナギの丘の絞首台</t>
  </si>
  <si>
    <t>(３),(Ｔ),あなたがコントロールするアンタップ状態の人間(Human)を３体タップする：クリーチャー１体を対象とし、それを破壊する。それのコントローラーは、飛行を持つ白の1/1のスピリット(Spirit)・クリーチャー・トークンを１体生成する。</t>
  </si>
  <si>
    <t>処刑者の板金鎧</t>
  </si>
  <si>
    <t>高まる献身</t>
  </si>
  <si>
    <t>白の1/1の人間(Human)クリーチャー・トークンを５体生成する。高まる献身が墓地から唱えられた場合、代わりにそれらのトークンを１０体生成する。</t>
  </si>
  <si>
    <t>フラッシュバック(７)(W)(W)（あなたはあなたの墓地にあるこのカードを、そのフラッシュバック・コストで唱えてもよい。その後それを追放する。）</t>
  </si>
  <si>
    <t>ゾンビの黙示録</t>
  </si>
  <si>
    <t>(３)(B)(B)(B)</t>
  </si>
  <si>
    <t>あなたの墓地にあるすべてのゾンビ(Zombie)・クリーチャー・カードをタップ状態で戦場に戻し、その後、すべての人間(Human)を破壊する。</t>
  </si>
  <si>
    <t>速攻を持つ赤の1/1の人間(Human)クリーチャー・トークンを３体生成する。次の終了ステップの開始時に、それらのトークンを生け贄に捧げる。</t>
    <phoneticPr fontId="1"/>
  </si>
  <si>
    <t xml:space="preserve">アーティファクト </t>
  </si>
  <si>
    <t xml:space="preserve"> 装備品(Equipment)</t>
  </si>
  <si>
    <t xml:space="preserve"> オーラ(Aura)</t>
  </si>
  <si>
    <t xml:space="preserve">アーティファクト・クリーチャー </t>
  </si>
  <si>
    <t xml:space="preserve"> カカシ(Scarecrow)</t>
  </si>
  <si>
    <t>驚恐の目覚め</t>
  </si>
  <si>
    <t>CIP</t>
  </si>
  <si>
    <t>トークン</t>
  </si>
  <si>
    <t>M</t>
    <phoneticPr fontId="1"/>
  </si>
  <si>
    <t>P</t>
  </si>
  <si>
    <t>T</t>
  </si>
  <si>
    <t>WU12</t>
  </si>
  <si>
    <t>UU12</t>
  </si>
  <si>
    <t>BU12</t>
  </si>
  <si>
    <t>RU12</t>
  </si>
  <si>
    <t>GU12</t>
  </si>
  <si>
    <t>I/ならず</t>
  </si>
  <si>
    <t>S/ならず</t>
  </si>
  <si>
    <t>「このクリーチャーを生け贄に捧げる：クリーチャー１体かプレイヤー１人を対象とする。このクリーチャーはそれに１点のダメージを与える。」</t>
  </si>
  <si>
    <t>飛行</t>
    <rPh sb="0" eb="2">
      <t>ヒコウ</t>
    </rPh>
    <phoneticPr fontId="1"/>
  </si>
  <si>
    <t>到達</t>
    <rPh sb="0" eb="2">
      <t>トウタツ</t>
    </rPh>
    <phoneticPr fontId="1"/>
  </si>
  <si>
    <t>速攻</t>
    <rPh sb="0" eb="2">
      <t>ソッコウ</t>
    </rPh>
    <phoneticPr fontId="1"/>
  </si>
  <si>
    <t>警戒　絆魂</t>
    <rPh sb="0" eb="2">
      <t>ケイカイ</t>
    </rPh>
    <rPh sb="3" eb="4">
      <t>キズナ</t>
    </rPh>
    <rPh sb="4" eb="5">
      <t>タマシイ</t>
    </rPh>
    <phoneticPr fontId="1"/>
  </si>
  <si>
    <t>X</t>
    <phoneticPr fontId="1"/>
  </si>
  <si>
    <t>X</t>
    <phoneticPr fontId="1"/>
  </si>
  <si>
    <t>X=沼</t>
    <rPh sb="2" eb="3">
      <t>ヌマ</t>
    </rPh>
    <phoneticPr fontId="1"/>
  </si>
  <si>
    <t>X=すべての墓地の生物数</t>
    <rPh sb="6" eb="8">
      <t>ボチ</t>
    </rPh>
    <rPh sb="9" eb="11">
      <t>セイブツ</t>
    </rPh>
    <rPh sb="11" eb="12">
      <t>スウ</t>
    </rPh>
    <phoneticPr fontId="1"/>
  </si>
  <si>
    <t>対戦相手１人を対象とする。黒であり赤である5/5のエレメンタル(Elemental)・クリーチャー・トークンを１体生成する。そのプレイヤーは、あなたがコントロールする黒のクリーチャー１体につきクリーチャーを１体生け贄に捧げ、あなたがコントロールする赤のクリーチャー１体につき土地を１つ生け贄に捧げる。</t>
    <phoneticPr fontId="1"/>
  </si>
  <si>
    <t>(２),クリーチャーを１体、生け贄に捧げる：クリーチャー１体かプレイヤー１人を対象とする。生け贄に捧げられたクリーチャーが赤である場合、血の魔女リゾルダはそれに２点のダメージを与える。生け贄に捧げられたクリーチャーが黒である場合、カードを１枚引く。</t>
    <phoneticPr fontId="1"/>
  </si>
  <si>
    <t>高原の狩りの達人</t>
    <phoneticPr fontId="1"/>
  </si>
  <si>
    <t>ブレイゴの名代</t>
  </si>
  <si>
    <t>クリーチャー --- 人間(Human)・アドバイザー(Advisor)</t>
  </si>
  <si>
    <t>投票中、あなたは追加で票を１つ得る。（その票は別の選択もしくは同じ選択に投票してもよい。）</t>
  </si>
  <si>
    <t>Conspiracy</t>
  </si>
  <si>
    <t>カストーディの霊魂縛り</t>
  </si>
  <si>
    <t>クリーチャー --- 人間(Human)・クレリック(Cleric)</t>
  </si>
  <si>
    <t>カストーディの霊魂縛りは、+1/+1カウンターがＸ個置かれた状態で戦場に出る。Ｘは戦場に出ている他のクリーチャーの総数に等しい。</t>
  </si>
  <si>
    <t>(２)(W),カストーディの霊魂縛りの上から+1/+1カウンターを１個取り除く：飛行を持つ白の1/1のスピリット(Spirit)・クリーチャー・トークンを１体生成する。</t>
  </si>
  <si>
    <t>_0/0</t>
  </si>
  <si>
    <t>アカデミーの精鋭</t>
  </si>
  <si>
    <t>クリーチャー --- 人間(Human)・ウィザード(Wizard)</t>
  </si>
  <si>
    <t>アカデミーの精鋭は、+1/+1カウンターがＸ個置かれた状態で戦場に出る。Ｘはすべての墓地にあるインスタント・カードとソーサリー・カードの総数に等しい。</t>
  </si>
  <si>
    <t>(２)(U),アカデミーの精鋭の上から+1/+1カウンターを１個取り除く：カードを１枚引き、その後カードを１枚捨てる。</t>
  </si>
  <si>
    <t>マルチェッサの使者</t>
  </si>
  <si>
    <t>クリーチャー --- 人間(Human)・ならず者(Rogue)</t>
  </si>
  <si>
    <t>廃位（このクリーチャーが最多あるいは最多と同点のライフを持つプレイヤーを攻撃するたび、これの上に+1/+1カウンターを１個置く。）</t>
  </si>
  <si>
    <t>マルチェッサの浸透者</t>
  </si>
  <si>
    <t>マルチェッサの浸透者がプレイヤー１人に戦闘ダメージを与えるたび、カードを１枚引く。</t>
  </si>
  <si>
    <t>先見的設計家、ムッツィオ</t>
  </si>
  <si>
    <t>伝説のクリーチャー --- 人間(Human)・工匠(Artificer)</t>
  </si>
  <si>
    <t>(３)(U),(Ｔ)：あなたのライブラリーの一番上からＸ枚のカードを見る。Ｘはあなたがコントロールするアーティファクトの点数で見たマナ・コストのうちで最も大きい数に等しい。あなたはその中からアーティファクト・カードを１枚公開して戦場に出してもよい。残りをあなたのライブラリーの一番下に望む順番で置く。</t>
  </si>
  <si>
    <t>怒れる革命家</t>
  </si>
  <si>
    <t>クリーチャー --- 人間(Human)・戦士(Warrior)</t>
  </si>
  <si>
    <t>火炎職人</t>
  </si>
  <si>
    <t>クリーチャー --- 人間(Human)・工匠(Artificer)</t>
  </si>
  <si>
    <t>(１),(Ｔ)：防衛を持つ無色の1/1の構築物(Construct)アーティファクト・クリーチャー・トークンを１体生成する。</t>
  </si>
  <si>
    <t>(Ｔ),防衛を持つクリーチャーを１体生け贄に捧げる：クリーチャー１体かプレイヤー１人を対象とする。火炎職人はそれに１点のダメージを与える。</t>
  </si>
  <si>
    <t>黒薔薇のマルチェッサ</t>
  </si>
  <si>
    <t>伝説のクリーチャー --- 人間(Human)・ウィザード(Wizard)</t>
  </si>
  <si>
    <t>あなたがコントロールする他のクリーチャーは廃位を持つ。</t>
  </si>
  <si>
    <t>あなたがコントロールする+1/+1カウンターが置かれたクリーチャー１体が死亡するたび、次の終了ステップの開始時に、そのカードをあなたのコントロール下で戦場に戻す。</t>
  </si>
  <si>
    <t>マルチェッサの密輸人</t>
  </si>
  <si>
    <t>(１)(U)(R)：あなたがコントロールするクリーチャー１体を対象とする。それはターン終了時まで速攻を得るとともに、このターン、それはブロックされない。</t>
  </si>
  <si>
    <t>投票の仲買人</t>
  </si>
  <si>
    <t>投票中、あなたは追加で１回投票してもよい。（その票は別の選択に投票しても同じ選択に投票してもよい。）</t>
  </si>
  <si>
    <t>カストーディの平和の番人</t>
  </si>
  <si>
    <t>カストーディの平和の番人をドラフトするに際し、これを公開し、カストーディの平和の番人を含めてこのドラフト・ラウンドでこれまでにドラフトしたカードの枚数を記録する。</t>
  </si>
  <si>
    <t>(W),(Ｔ)：あなたが《カストーディの平和の番人/Custodi Peacekeeper》という名前のカードによって記録した数のうち最大の数以下のパワーを持つクリーチャー１体を対象とし、それをタップする。</t>
  </si>
  <si>
    <t>カストーディの魂呼び</t>
  </si>
  <si>
    <t>会戦（このクリーチャーが攻撃するたび、ターン終了時まで、これはこの戦闘であなたがクリーチャーで攻撃した対戦相手１人につきそれぞれ+1/+1の修整を受ける。）</t>
  </si>
  <si>
    <t>カストーディの魂呼びが攻撃するたび、あなたの墓地から点数で見たマナ・コストがＸ以下のクリーチャー・カード１枚を対象とし、それを戦場に戻す。Ｘは、この戦闘であなたがクリーチャーで攻撃したプレイヤーの総数に等しい。</t>
  </si>
  <si>
    <t>護衛隊の副官</t>
  </si>
  <si>
    <t>クリーチャー --- 人間(Human)・兵士(Soldier)</t>
  </si>
  <si>
    <t>動議 ― 護衛隊の副官が戦場に出たとき、あなたから始めて各プレイヤーは「質」または「量」のいずれかに投票する。「質」１票につき護衛隊の副官の上に+1/+1カウンターを１個置き、「量」１票につき白の1/1の兵士(Soldier)クリーチャー・トークンを１体生成する。</t>
  </si>
  <si>
    <t>クリーチャー --- 人間(Human)・騎士(Knight)</t>
  </si>
  <si>
    <t>高潔な旗騎士を表向きの状態でドラフトする。</t>
  </si>
  <si>
    <t>あなたがクリーチャー・カードをドラフトするに際し、あなたはそれを公開してもよい。そうしたなら、それの名前を記録し、その後高潔な旗騎士を裏向きにする。</t>
  </si>
  <si>
    <t>あなたが、あなたが《高潔な旗騎士/Noble Banneret》という名前のカードによって記録した名前を持つクリーチャーを１体以上コントロールしているかぎり、高潔な旗騎士とそれらのクリーチャーは+1/+1の修整を受けるとともに絆魂を持つ。</t>
  </si>
  <si>
    <t>宮殿の歩哨</t>
  </si>
  <si>
    <t>宮殿の歩哨が戦場に出たとき、あなたが統治者になる。</t>
  </si>
  <si>
    <t>パリアノの先兵</t>
  </si>
  <si>
    <t>パリアノの先兵を表向きの状態でドラフトする。</t>
  </si>
  <si>
    <t>あなたがクリーチャー・カードをドラフトするに際し、あなたはそれを公開してもよい。そうしたなら、それのクリーチャー・タイプを記録し、その後パリアノの先兵を裏向きにする。</t>
  </si>
  <si>
    <t>あなたが、あなたが《パリアノの先兵/Paliano Vanguard》という名前のカードによって記録したタイプの、あなたがコントロールする他のクリーチャーは+1/+1の修整を受ける。</t>
  </si>
  <si>
    <t>護衛募集員</t>
  </si>
  <si>
    <t>護衛募集員が戦場に出たとき、あなたはあなたのライブラリーから、タフネスが２以下のクリーチャー・カード１枚を探してもよい。そうしたなら、それを公開してあなたの手札に加え、その後あなたのライブラリーを切り直す。</t>
  </si>
  <si>
    <t>聖域の僧院長</t>
  </si>
  <si>
    <t>聖域の僧院長が戦場に出るに際し、数を１つ選ぶ。</t>
  </si>
  <si>
    <t>点数で見たマナ・コストが選ばれた数に等しい、クリーチャーでない呪文は唱えられない。</t>
  </si>
  <si>
    <t>玉座警備兵</t>
  </si>
  <si>
    <t>あなたの終了ステップの開始時に、あなたが統治者であった場合、玉座警備兵の上に+1/+1カウンターを１個置く。</t>
  </si>
  <si>
    <t>ゲームの開始時にあなたがあなたのデッキを切り直す前に、あなたはあなたのデッキからこのカードを公開して、あなたがドラフトしたがあなたのデッキに入っていないインスタント・カード１枚かソーサリー・カード１枚を追放してもよい。</t>
  </si>
  <si>
    <t>秘儀の学者が戦場に出たとき、あなたが《秘儀の学者/Arcane Savant》という名前のカードによって追放したカード１枚をコピーする。あなたはそのコピーを、そのマナ・コストを支払うことなく唱えてもよい。</t>
  </si>
  <si>
    <t>_3/5</t>
  </si>
  <si>
    <t>鍵守り</t>
  </si>
  <si>
    <t>クリーチャー --- 人間(Human)・ならず者(Rogue)・ミュータント(Mutant)</t>
  </si>
  <si>
    <t>鍵守りが戦場に出たとき、あなたが統治者になる。</t>
  </si>
  <si>
    <t>あなたのアップキープの開始時に、あなたが統治者であった場合、このターン、あなたがコントロールするクリーチャーはブロックされない。</t>
  </si>
  <si>
    <t>_4/4</t>
  </si>
  <si>
    <t>冗長な諂い屋</t>
  </si>
  <si>
    <t>あなたの終了ステップの開始時に、あなたが統治者であった場合、各対戦相手はそれぞれ１点のライフを失い、あなたは１点のライフを得る。</t>
  </si>
  <si>
    <t>クリーチャー --- 人間(Human)・海賊(Pirate)</t>
  </si>
  <si>
    <t>密輸人の隊長を表向きの状態でドラフトする。</t>
  </si>
  <si>
    <t>あなたがカードをドラフトするに際し、あなたはそれを公開してもよい。そうしたなら、それの名前を記録し、その後密輸人の隊長を裏向きにする。</t>
  </si>
  <si>
    <t>密輸人の隊長が戦場に出たとき、あなたはあなたのライブラリーから《密輸人の隊長/Smuggler Captain》という名前のカードによって記録した名前を持つカード１枚を探してもよい。そうしたなら、それを公開してあなたの手札に加え、その後あなたのライブラリーを切り直す。</t>
  </si>
  <si>
    <t>黒薔薇の棘</t>
  </si>
  <si>
    <t>クリーチャー --- 人間(Human)・暗殺者(Assassin)</t>
  </si>
  <si>
    <t>黒薔薇の棘が戦場に出たとき、あなたが統治者になる。</t>
  </si>
  <si>
    <t>抗議代理人</t>
  </si>
  <si>
    <t>猛獣の解放者</t>
  </si>
  <si>
    <t>護衛隊長、アドリアナ</t>
  </si>
  <si>
    <t>伝説のクリーチャー --- 人間(Human)・騎士(Knight)</t>
  </si>
  <si>
    <t>あなたがコントロールする他のクリーチャーは会戦を持つ。（あるクリーチャーが複数の会戦を持っているなら、それぞれ誘発する。）</t>
  </si>
  <si>
    <t>黒薔薇の騎士団</t>
  </si>
  <si>
    <t>黒薔薇の騎士団が戦場に出たとき、あなたが統治者になる。</t>
  </si>
  <si>
    <t>対戦相手が１人統治者になるたび、このターンが始まったときにあなたが統治者であった場合、そのプレイヤーは２点のライフを失い、あなたは２点のライフを得る。</t>
  </si>
  <si>
    <t>マルチェッサ女王</t>
  </si>
  <si>
    <t>(１)(R)(W)(B)</t>
  </si>
  <si>
    <t>伝説のクリーチャー --- 人間(Human)・暗殺者(Assassin)</t>
  </si>
  <si>
    <t>接死、速攻</t>
  </si>
  <si>
    <t>マルチェッサ女王が戦場に出たとき、あなたが統治者になる。</t>
  </si>
  <si>
    <t>あなたのアップキープの開始時に、対戦相手が統治者であった場合、接死と速攻を持つ黒の1/1の暗殺者(Assassin)クリーチャー・トークンを１体生成する。</t>
  </si>
  <si>
    <t>Conspiracy</t>
    <phoneticPr fontId="1"/>
  </si>
  <si>
    <t>[投票]</t>
  </si>
  <si>
    <t>[廃位]</t>
  </si>
  <si>
    <t>[ドラフト]</t>
  </si>
  <si>
    <t>[会戦]</t>
  </si>
  <si>
    <t>[動議]</t>
  </si>
  <si>
    <t>[統治者]</t>
  </si>
  <si>
    <t>自然のままに</t>
  </si>
  <si>
    <t>点数で見たマナ・コストが３以下の、アーティファクト１つかエンチャント１つを対象とし、それを破壊する。</t>
  </si>
  <si>
    <t>破壊</t>
  </si>
  <si>
    <t>溶解</t>
  </si>
  <si>
    <t>アーティファクト１つを対象とし、それを破壊する。</t>
  </si>
  <si>
    <t>無効</t>
  </si>
  <si>
    <t>アーティファクト呪文１つかエンチャント呪文１つを対象とし、それを打ち消す。</t>
  </si>
  <si>
    <t>打消</t>
    <rPh sb="0" eb="2">
      <t>ウチケ</t>
    </rPh>
    <phoneticPr fontId="2"/>
  </si>
  <si>
    <t>腐れ落ち</t>
  </si>
  <si>
    <t>(Ｘ)(G)</t>
  </si>
  <si>
    <t>点数で見たマナ・コストがＸであるアーティファクト１つかエンチャント１つを対象とし、それを破壊する。それは再生できない。あなたはＸ点のライフを得る。</t>
  </si>
  <si>
    <t>圧壊</t>
  </si>
  <si>
    <t>クリーチャーでないアーティファクト１つを対象とし、それを破壊する。</t>
  </si>
  <si>
    <t>ぐるぐる</t>
  </si>
  <si>
    <t>アーティファクト１つかクリーチャー１体か土地１つを対象とする。あなたはそれをタップまたはアンタップしてもよい。</t>
  </si>
  <si>
    <t>静電気の稲妻</t>
  </si>
  <si>
    <t>クリーチャー１体を対象とする。静電気の稲妻はそれに２点のダメージを与える。それがアーティファクト・クリーチャーである場合、代わりに静電気の稲妻はそれに４点のダメージを与える。</t>
  </si>
  <si>
    <t>鋼の妨害</t>
  </si>
  <si>
    <t>・アーティファクト呪文１つを対象とし、それを打ち消す。</t>
  </si>
  <si>
    <t>・アーティファクト１つを対象とし、それをオーナーの手札に戻す。</t>
  </si>
  <si>
    <t>永存確約</t>
  </si>
  <si>
    <t>クリーチャー１体を対象とする。ターン終了時まで、それは+2/+2の修整を受ける。それがアーティファクト・クリーチャーであるなら、ターン終了時まで、それは破壊不能を得る。（ダメージや「破壊」と書かれた効果では、それは破壊されない。）</t>
  </si>
  <si>
    <t>感電破</t>
  </si>
  <si>
    <t>クリーチャー１体かプレイヤー１人を対象とする。感電破はそれに２点のダメージを与える。</t>
  </si>
  <si>
    <t>金属術 ― あなたがアーティファクトを３つ以上コントロールしているかぎり、代わりに感電破はそのクリーチャーかプレイヤーに４点のダメージを与える。</t>
  </si>
  <si>
    <t>未知との対決</t>
  </si>
  <si>
    <t>クリーチャー１体を対象とする。調査を行う。その後、ターン終了時まで、そのクリーチャーはあなたがコントロールする手掛かり(Clue)１つにつき+1/+1の修整を受ける。（調査を行うとは、「(２),このアーティファクトを生け贄に捧げる：カードを１枚引く。」を持つ無色の手掛かりアーティファクト・トークンを１つ生成することである。）</t>
  </si>
  <si>
    <t>たなびく暗闇</t>
  </si>
  <si>
    <t>クリーチャー１体を対象とする。それはターン終了時まで黒になるとともに畏怖を得る。（それは黒でもアーティファクトでもないクリーチャーによってはブロックされない。）</t>
  </si>
  <si>
    <t>ミラディンの血気</t>
  </si>
  <si>
    <t>金属術 ― あなたがアーティファクトを３つ以上コントロールしている場合、代わりにそのクリーチャーはターン終了時まで+4/+4の修整を受ける。</t>
  </si>
  <si>
    <t>撃砕確約</t>
  </si>
  <si>
    <t>攻撃クリーチャー１体を対象とする。ターン終了時まで、それは+3/+3の修整を受ける。それがアーティファクト・クリーチャーであるなら、ターン終了時まで、それはトランプルを得る。</t>
  </si>
  <si>
    <t>自然の要求</t>
  </si>
  <si>
    <t>アーティファクト１つかエンチャント１つを対象とし、それを破壊する。それのコントローラーは４点のライフを得る。</t>
  </si>
  <si>
    <t>高くつく略奪</t>
  </si>
  <si>
    <t>高くつく略奪を唱えるための追加コストとして、アーティファクト１つかクリーチャー１体を生け贄に捧げる。</t>
  </si>
  <si>
    <t>追放</t>
  </si>
  <si>
    <t>憤怒の魔除け</t>
  </si>
  <si>
    <t>・クリーチャー１体を対象とする。それはターン終了時まで+1/+1の修整を受けるとともにトランプルを得る。</t>
  </si>
  <si>
    <t>ジェイスの精査</t>
  </si>
  <si>
    <t>クリーチャー１体を対象とする。ターン終了時まで、それは-4/-0の修整を受ける。</t>
  </si>
  <si>
    <t>調査を行う。（「(２),このアーティファクトを生け贄に捧げる：カードを１枚引く。」を持つ無色の手掛かり(Clue)アーティファクト・トークンを１つ生成する。）</t>
  </si>
  <si>
    <t>帰化</t>
  </si>
  <si>
    <t>アーティファクト１つかエンチャント１つを対象とし、それを破壊する。</t>
  </si>
  <si>
    <t>粉々</t>
  </si>
  <si>
    <t>アーティファクト１つを対象とし、それを破壊する。粉々は、そのアーティファクトのコントローラーに３点のダメージを与える。</t>
  </si>
  <si>
    <t>恐怖</t>
  </si>
  <si>
    <t>アーティファクトでも黒でもないクリーチャー１体を対象とし、それを破壊する。それは再生できない。</t>
  </si>
  <si>
    <t>自然廃退</t>
  </si>
  <si>
    <t>アーティファクト１つを対象とし、それをオーナーのライブラリーの一番下に置く。</t>
  </si>
  <si>
    <t>使徒の祝福</t>
  </si>
  <si>
    <t>(１)(白/Φ)</t>
  </si>
  <si>
    <t>（(白/Φ)は(W)でも２点のライフでも支払うことができる。）</t>
  </si>
  <si>
    <t>あなたがコントロールするアーティファクト１つかクリーチャー１体を対象とする。あなたはアーティファクトか色を１色選ぶ。それはターン終了時までプロテクション（その選ばれた性質）を得る。</t>
  </si>
  <si>
    <t>破壊的一撃</t>
  </si>
  <si>
    <t>(１)(R/W)</t>
  </si>
  <si>
    <t>アーティファクト１つを対象とし、それを追放する。</t>
  </si>
  <si>
    <t>粉砕</t>
  </si>
  <si>
    <t>摩滅</t>
  </si>
  <si>
    <t>連繋（秘儀(Arcane)）(３)(G)（あなたが秘儀呪文を唱えるに際し、あなたはこのカードを手札から公開して連繋コストを支払ってもよい。そうした場合、このカードの効果をその呪文に追加する。）</t>
  </si>
  <si>
    <t>破壊追放</t>
  </si>
  <si>
    <t>骨組み溶かし</t>
  </si>
  <si>
    <t>アーティファクト・クリーチャー１体を対象とし、それを破壊する。</t>
  </si>
  <si>
    <t>サイクリング(２)（(２),このカードを捨てる：カードを１枚引く。）</t>
  </si>
  <si>
    <t>古えの遺恨</t>
  </si>
  <si>
    <t>フラッシュバック(G)（あなたはあなたの墓地にあるこのカードを、そのフラッシュバック・コストで唱えてもよい。その後それを追放する。）</t>
  </si>
  <si>
    <t>革命的拒絶</t>
  </si>
  <si>
    <t>アーティファクトでない呪文１つを対象とし、それのコントローラーが(２)を支払わないかぎり、それを打ち消す。</t>
  </si>
  <si>
    <t>神への捧げ物</t>
  </si>
  <si>
    <t>アーティファクト１つを対象とし、それを破壊する。あなたは、その点数で見たマナ・コストに等しい点数のライフを得る。</t>
  </si>
  <si>
    <t>剃刀の障壁</t>
  </si>
  <si>
    <t>あなたがコントロールするパーマネント１つを対象とする。それはターン終了時まで、プロテクション（アーティファクト）かあなたが選んだ色１色に対するプロテクションを得る。</t>
  </si>
  <si>
    <t>造反者の解放</t>
  </si>
  <si>
    <t>サイクリング(G)（(G),このカードを捨てる：カードを１枚引く。）</t>
  </si>
  <si>
    <t>邪悪の暴露</t>
  </si>
  <si>
    <t>クリーチャーを最大２体まで対象とし、それらをタップする。</t>
  </si>
  <si>
    <t>幻触落とし</t>
  </si>
  <si>
    <t>アーティファクト１つかエンチャント１つを対象とする。オーナーは、それを自分のライブラリーに加えて切り直す。</t>
  </si>
  <si>
    <t>テル＝ジラードの抵抗</t>
  </si>
  <si>
    <t>クリーチャー１体を対象とする。それはターン終了時までプロテクション（アーティファクト）を得る。</t>
  </si>
  <si>
    <t>グリッサの嘲笑</t>
  </si>
  <si>
    <t>アーティファクト１つを対象とし、それを破壊する。それのコントローラーは１点のライフを失う。</t>
  </si>
  <si>
    <t>策謀</t>
  </si>
  <si>
    <t>あなたのライブラリーのカードを上からＸ枚見る。Ｘはあなたがコントロールするアーティファクトの数である。それらのうちの１枚をあなたの手札に加え、残りをあなたのライブラリーの一番下に望む順番で置く。</t>
  </si>
  <si>
    <t>冷静な反論</t>
  </si>
  <si>
    <t>金属術 ― あなたがアーティファクトを３つ以上コントロールしている場合、冷静な反論を唱えるためのコストは(１)少なくなる。</t>
  </si>
  <si>
    <t>溶接の火花</t>
  </si>
  <si>
    <t>クリーチャー１体を対象とする。溶接の火花はそれにＸ点のダメージを与える。Ｘはあなたがコントロールするアーティファクトの総数に３を足した数に等しい。</t>
  </si>
  <si>
    <t>磁力の変転</t>
  </si>
  <si>
    <t>あなたがコントロールするアーティファクト・クリーチャーは、ターン終了時まで飛行を得る。</t>
  </si>
  <si>
    <t>改革派の逃亡</t>
  </si>
  <si>
    <t>パーマネント１つを対象とする。ターン終了時まで、それは破壊不能を得る。無色の1/1の霊気装置(Servo)アーティファクト・クリーチャー・トークンを１体生成する。（破壊不能を持つパーマネントは「破壊する」と書かれた効果では破壊されない。それがクリーチャーなら、ダメージによっても破壊されない。）</t>
  </si>
  <si>
    <t>引き裂く蔦</t>
  </si>
  <si>
    <t>アーティファクト１つかエンチャント１つを対象とする。その点数で見たマナ・コストがあなたの手札のカードの枚数以下である場合、それを破壊する。</t>
  </si>
  <si>
    <t>欲望の深み</t>
  </si>
  <si>
    <t>クリーチャー１体を対象とし、それをオーナーの手札に戻す。「(Ｔ),このアーティファクトを生け贄に捧げる：あなたのマナ・プールに好きな色１色のマナ１点を加える。」を持つ無色の宝物(Treasure)アーティファクト・トークンを１つ生成する。</t>
  </si>
  <si>
    <t>金属疲労</t>
  </si>
  <si>
    <t>すべてのアーティファクトをタップする。</t>
  </si>
  <si>
    <t>自然な最期</t>
  </si>
  <si>
    <t>アーティファクト１つかエンチャント１つを対象とし、それを破壊する。あなたは３点のライフを得る。</t>
  </si>
  <si>
    <t>今夜を生き延びる</t>
  </si>
  <si>
    <t>クリーチャー１体を対象とする。ターン終了時まで、それは+1/+0の修整を受けるとともに破壊不能を得る。（ダメージや「破壊」と書かれた効果では、これは破壊されない。）</t>
  </si>
  <si>
    <t>スマッシュ</t>
  </si>
  <si>
    <t>人工物への興味</t>
  </si>
  <si>
    <t>アーティファクト１つかエンチャント１つを対象とし、それを破壊する。あなたは２点のライフを得る。</t>
  </si>
  <si>
    <t>工匠の天啓</t>
  </si>
  <si>
    <t>カードを２枚引く。あなたがアーティファクトをコントロールしていないなら、カードを１枚捨てる。</t>
  </si>
  <si>
    <t>幽霊のゆらめき</t>
  </si>
  <si>
    <t>あなたがコントロールするアーティファクトやクリーチャーや土地２つを対象とし、それらを追放し、その後それらのカードをあなたのコントロール下で戦場に戻す。</t>
  </si>
  <si>
    <t>金属の叱責</t>
  </si>
  <si>
    <t>呪文１つを対象とする。それのコントローラーが(３)を支払わないかぎり、それを打ち消す。</t>
  </si>
  <si>
    <t>俗物の放棄</t>
  </si>
  <si>
    <t>アーティファクト１つかエンチャント１つを対象とし、それを追放する。</t>
  </si>
  <si>
    <t>押し潰す蔦</t>
  </si>
  <si>
    <t>・飛行を持つクリーチャー１体を対象とし、それを破壊する。</t>
  </si>
  <si>
    <t>稼働停止</t>
  </si>
  <si>
    <t>紛争 ― このターンにあなたがコントロールするパーマネントが戦場を離れていたなら、あなたは３点のライフを得る。</t>
  </si>
  <si>
    <t>ひきつり</t>
  </si>
  <si>
    <t>忘れられた運命</t>
  </si>
  <si>
    <t>踏みにじり</t>
  </si>
  <si>
    <t>呪文１つを対象とし、それを、それのコントローラーがあなたがコントロールするアーティファクト１つにつき(１)を支払わないかぎり、打ち消す。</t>
  </si>
  <si>
    <t>主の呼び声</t>
  </si>
  <si>
    <t>無色の1/1のマイア(Myr)・アーティファクト・クリーチャー・トークンを２体生成する。</t>
  </si>
  <si>
    <t>隔離する活力</t>
  </si>
  <si>
    <t>召集（あなたのクリーチャーが、この呪文を唱える助けとなる。この呪文を唱えるに際しあなたがタップしたクリーチャー１体で、(１)かそのクリーチャーの色のマナ１点を支払う。）</t>
  </si>
  <si>
    <t>戦争報告</t>
  </si>
  <si>
    <t>あなたは、戦場に出ているクリーチャーの総数に、戦場に出ているアーティファクトの総数を足した値に等しい点数のライフを得る。</t>
  </si>
  <si>
    <t>大あわての回収</t>
  </si>
  <si>
    <t>あなたの墓地にある望む枚数のアーティファクト・カードを対象とし、それらをあなたのライブラリーの一番上に置く。</t>
  </si>
  <si>
    <t>石弾化</t>
  </si>
  <si>
    <t>石弾化を唱えるための追加コストとして、アーティファクト１つかクリーチャー１体を生け贄に捧げる。</t>
  </si>
  <si>
    <t>クリーチャー１体かプレイヤー１人を対象とする。石弾化はそれに５点のダメージを与える。</t>
  </si>
  <si>
    <t>浴びせかけ</t>
  </si>
  <si>
    <t>クリーチャー１体を対象とする。それはターン終了時まで、あなたがコントロールするアーティファクト１つにつき-1/-1の修整を受ける。</t>
  </si>
  <si>
    <t>座礁</t>
  </si>
  <si>
    <t>アーティファクト１つかクリーチャー１体を対象とし、それをオーナーのライブラリーの一番上に置く。</t>
  </si>
  <si>
    <t>貪欲の重責</t>
  </si>
  <si>
    <t>プレイヤー１人を対象とする。そのプレイヤーは、自分がコントロールするタップ状態のアーティファクト１つにつき１点のライフを失う。</t>
  </si>
  <si>
    <t>忌まわしい光景</t>
  </si>
  <si>
    <t>アーティファクトでないクリーチャー１体を対象とし、それを破壊する。それのコントローラーは、自分のライブラリーの一番上からそのクリーチャーのパワーに等しい枚数のカードを自分の墓地に置く。</t>
  </si>
  <si>
    <t>春の賢者の儀式</t>
  </si>
  <si>
    <t>アーティファクト１つかエンチャント１つを対象とし、それを破壊する。あなたは４点のライフを得る。</t>
  </si>
  <si>
    <t>大地への回帰</t>
  </si>
  <si>
    <t>アーティファクト１つかエンチャント１つか飛行を持つクリーチャー１体を対象とし、それを破壊する。</t>
  </si>
  <si>
    <t>秘宝の破壊</t>
  </si>
  <si>
    <t>アーティファクト１つかエンチャント１つと、他のアーティファクトかエンチャントを最大１つまで対象とし、それらを破壊する。</t>
  </si>
  <si>
    <t>当然の結論</t>
  </si>
  <si>
    <t>クリーチャー１体を対象とし、それを破壊する。あなたはあなたがコントロールするアーティファクト１つにつき１点のライフを得る。</t>
  </si>
  <si>
    <t>消失の命令</t>
  </si>
  <si>
    <t>アーティファクト１つかクリーチャー１体かエンチャント１つを対象とし、それをオーナーのライブラリーの一番上に置く。</t>
  </si>
  <si>
    <t>錆の雨</t>
  </si>
  <si>
    <t>・土地１つを対象とし、それを破壊する。</t>
  </si>
  <si>
    <t>双呪(３)(R)（あなたが双呪コストを支払った場合、両方を選ぶ。）</t>
  </si>
  <si>
    <t>霧散</t>
  </si>
  <si>
    <t>親和（アーティファクト）（この呪文を唱えるためのコストは、あなたがコントロールするアーティファクト１つにつき(１)少なくなる。）</t>
  </si>
  <si>
    <t>アーティファクト１つを対象とし、それをオーナーの手札に戻す。</t>
  </si>
  <si>
    <t>断片化</t>
  </si>
  <si>
    <t>点数で見たマナ・コストが４以下の、アーティファクト１つかエンチャント１つを対象とし、それを破壊する。</t>
  </si>
  <si>
    <t>修復の儀式</t>
  </si>
  <si>
    <t>あなたの墓地にあるアーティファクト・カード１枚を対象とし、それをあなたの手札に戻す。</t>
  </si>
  <si>
    <t>カルドーサの再誕</t>
  </si>
  <si>
    <t>カルドーサの再誕を唱えるための追加コストとして、アーティファクトを１つ生け贄に捧げる。</t>
  </si>
  <si>
    <t>赤の1/1のゴブリン(Goblin)・クリーチャー・トークンを３体生成する。</t>
  </si>
  <si>
    <t>存在の破棄</t>
  </si>
  <si>
    <t>鉱山の採掘</t>
  </si>
  <si>
    <t>いずれかの墓地にあるアーティファクト・カード１枚かエンチャント・カード１枚を対象とし、それをそのオーナーの手札に戻す。</t>
  </si>
  <si>
    <t>屍賊の飢え</t>
  </si>
  <si>
    <t>クリーチャー１体を対象とする。それはターン終了時まで、あなたがコントロールするアーティファクト１つにつき+1/+0の修整を受ける。</t>
  </si>
  <si>
    <t>上機嫌の破壊</t>
  </si>
  <si>
    <t>精神ねじ切り</t>
  </si>
  <si>
    <t>プレイヤー１人を対象とする。そのプレイヤーは、アーティファクト・カードを１枚捨てないかぎり、カードを２枚捨てる。</t>
  </si>
  <si>
    <t>残響する破滅</t>
  </si>
  <si>
    <t>アーティファクト１つを対象とする。それと、そのアーティファクトと同じ名前を持つ他のすべてのアーティファクトを破壊する。</t>
  </si>
  <si>
    <t>回答の強要</t>
  </si>
  <si>
    <t>クリーチャー１体を対象とし、それをタップする。それは、そのコントローラーの次のアンタップ・ステップにアンタップしない。</t>
  </si>
  <si>
    <t>高名への苦役</t>
  </si>
  <si>
    <t>あなたは、あなたがコントロールするタップ状態のアーティファクト、クリーチャー、土地１つにつき１点のライフを得る。</t>
  </si>
  <si>
    <t>智恵ある帰還</t>
  </si>
  <si>
    <t>あなたの墓地からクリーチャー・カード１枚を対象とし、それをあなたの手札に戻す。あなたがアーティファクトをコントロールしているなら、カードを１枚引く。</t>
  </si>
  <si>
    <t>解体</t>
  </si>
  <si>
    <t>アーティファクト１つを対象とし、それを破壊する。あなたのマナ・プールに(G)(G)(G)を加える。</t>
  </si>
  <si>
    <t>鉄大工の浄化</t>
  </si>
  <si>
    <t>古代への衰退</t>
  </si>
  <si>
    <t>偶然の発見</t>
  </si>
  <si>
    <t>・あなたの墓地からアーティファクト・カード１枚を対象とし、それをあなたの手札に戻す。</t>
  </si>
  <si>
    <t>・あなたの墓地からクリーチャー・カード１枚を対象とし、それをあなたの手札に戻す。</t>
  </si>
  <si>
    <t>天羅至の掌握</t>
  </si>
  <si>
    <t>アーティファクト１つかエンチャント１つを対象とし、それを破壊する。あなたは、その点数で見たマナ・コストに等しい点数のライフを得る。</t>
  </si>
  <si>
    <t>真面目な捧げ物</t>
  </si>
  <si>
    <t>屑鉄場の斉射</t>
  </si>
  <si>
    <t>プレイヤー１人を対象とする。屑鉄場の斉射はそのプレイヤーに、あなたの墓地にあるアーティファクト・カードの数に等しい点数のダメージを与える。</t>
  </si>
  <si>
    <t>天使の粛清</t>
  </si>
  <si>
    <t>天使の粛清を唱えるための追加コストとして、パーマネントを１つ生け贄に捧げる。</t>
  </si>
  <si>
    <t>アーティファクト１つかクリーチャー１体かエンチャント１つを対象とし、それを追放する。</t>
  </si>
  <si>
    <t>根から絶つ</t>
  </si>
  <si>
    <t>倒れし者の記憶</t>
  </si>
  <si>
    <t>・あなたの墓地にあるアーティファクト・カード１枚を対象とし、それをあなたの手札に戻す。</t>
  </si>
  <si>
    <t>乗っ取り</t>
  </si>
  <si>
    <t>アーティファクト１つかクリーチャー１体を対象とする。ターン終了時まで、それのコントロールを得る。それをアンタップする。ターン終了時まで、それは速攻を得る。</t>
  </si>
  <si>
    <t>忌まわしい容貌</t>
  </si>
  <si>
    <t>あなたがコントロールするクリーチャーは、ターン終了時まで威嚇を得る。（それらの各クリーチャーはアーティファクト・クリーチャーかそれと共通の色を持つクリーチャー以外にはブロックされない。）</t>
  </si>
  <si>
    <t>破壊的細工</t>
  </si>
  <si>
    <t>回収蔦</t>
  </si>
  <si>
    <t>アーティファクト１つかエンチャント１つか土地１つを対象とし、それを破壊する。</t>
  </si>
  <si>
    <t>暴力的な衝撃</t>
  </si>
  <si>
    <t>構造のひずみ</t>
  </si>
  <si>
    <t>アーティファクト１つか土地１つを対象とし、それを追放する。構造のひずみはそのパーマネントのコントローラーに２点のダメージを与える。</t>
  </si>
  <si>
    <t>無情な侵略</t>
  </si>
  <si>
    <t>(３)(赤/Φ)</t>
  </si>
  <si>
    <t>（(赤/Φ)は(R)でも２点のライフでも支払うことができる。）</t>
  </si>
  <si>
    <t>このターン、アーティファクトでないクリーチャーではブロックできない。</t>
  </si>
  <si>
    <t>海賊の獲物</t>
  </si>
  <si>
    <t>カードを２枚引く。「(Ｔ),このアーティファクトを生け贄に捧げる：あなたのマナ・プールに好きな色１色のマナ１点を加える。」を持つ無色の宝物(Treasure)アーティファクト・トークンを１つ生成する。</t>
  </si>
  <si>
    <t>氷落とし</t>
  </si>
  <si>
    <t>復活(R)(R)（クリーチャー１体が戦場からあなたの墓地に置かれたとき、あなたは(R)(R)を支払ってもよい。そうした場合、あなたの墓地にあるこのカードをあなたの手札に戻す。そうでない場合、このカードを追放する。）</t>
  </si>
  <si>
    <t>勝利の破壊</t>
  </si>
  <si>
    <t>アーティファクト１つか土地１つを対象とし、それを破壊する。それのコントローラーは１点のライフを失う。</t>
  </si>
  <si>
    <t>行方不明</t>
  </si>
  <si>
    <t>パーマネント１つを対象とし、それをオーナーのライブラリーの一番上に置く。</t>
  </si>
  <si>
    <t>略取</t>
  </si>
  <si>
    <t>待機４ ― (１)(R)（このカードをあなたの手札から唱えるのではなく、(１)(R)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t>
  </si>
  <si>
    <t>テゼレットの野望</t>
  </si>
  <si>
    <t>カードを３枚引く。あなたがアーティファクトをコントロールしていないなら、カード１枚を捨てる。</t>
  </si>
  <si>
    <t>震盪の稲妻</t>
  </si>
  <si>
    <t>プレイヤー１人を対象とする。震盪の稲妻はそのプレイヤーに４点のダメージを与える。</t>
  </si>
  <si>
    <t>金属術 ― あなたがアーティファクトを３つ以上コントロールしている場合、このターン、そのプレイヤーがコントロールするクリーチャーではブロックできない。</t>
  </si>
  <si>
    <t>破壊行為</t>
  </si>
  <si>
    <t>火山流埋め</t>
  </si>
  <si>
    <t>地割れの孔</t>
  </si>
  <si>
    <t>・基本でない土地１つを対象とし、それを破壊する。</t>
  </si>
  <si>
    <t>依頼殺人</t>
  </si>
  <si>
    <t>クリーチャー１体を対象とし、それを破壊する。「(Ｔ),このアーティファクトを生け贄に捧げる：あなたのマナ・プールに好きな色１色のマナ１点を加える。」を持つ無色の宝物(Treasure)アーティファクト・トークンを２つ生成する</t>
  </si>
  <si>
    <t>物読み</t>
  </si>
  <si>
    <t>構造崩壊</t>
  </si>
  <si>
    <t>プレイヤー１人を対象とする。そのプレイヤーはアーティファクトを１つと土地を１つ生け贄に捧げる。構造崩壊はそのプレイヤーに２点のダメージを与える。</t>
  </si>
  <si>
    <t>変異(W)</t>
  </si>
  <si>
    <t>変異(W)</t>
    <phoneticPr fontId="1"/>
  </si>
  <si>
    <t>変異(１)(W)</t>
  </si>
  <si>
    <t>変異(２)(U)</t>
  </si>
  <si>
    <t>変異(２)(W)(W)</t>
  </si>
  <si>
    <t>変異(W)(W)</t>
  </si>
  <si>
    <t>表向き：このターンに兵士(Soldier)でないクリーチャーが与えるすべての戦闘ダメージを軽減する。</t>
    <phoneticPr fontId="1"/>
  </si>
  <si>
    <t>表向き：エンチャント１つを対象とし、それを破壊する。</t>
    <phoneticPr fontId="1"/>
  </si>
  <si>
    <t>表向き：クリーチャー１体を対象とし、それを再生する。</t>
    <phoneticPr fontId="1"/>
  </si>
  <si>
    <t>表向き：アンタップする。</t>
    <phoneticPr fontId="1"/>
  </si>
  <si>
    <t>表向き：クリーチャー１体を対象とする。このターン、これに与えられるすべてのダメージは、代わりにそのクリーチャーに与えられる。</t>
    <phoneticPr fontId="1"/>
  </si>
  <si>
    <t>表向き：対戦相手がコントロールするパワーが４以上のクリーチャー１体を対象とし、それを破壊する。</t>
    <phoneticPr fontId="1"/>
  </si>
  <si>
    <t>表向き：ターン終了時まで、あなたがコントロールするクリーチャーは+2/+2の修整を受ける。</t>
    <phoneticPr fontId="1"/>
  </si>
  <si>
    <t>表向き：あなたがコントロールするクリーチャーはターン終了時まで+0/+2の修整を受ける。</t>
    <phoneticPr fontId="1"/>
  </si>
  <si>
    <t>　</t>
    <phoneticPr fontId="1"/>
  </si>
  <si>
    <t>変異(２)(U)(U)</t>
  </si>
  <si>
    <t>変異 ― あなたがコントロールする鳥(Bird)１つをオーナーの手札に戻す。</t>
  </si>
  <si>
    <t>変異(U)</t>
  </si>
  <si>
    <t>変異 ― あなたの手札にある青のカードを１枚公開する。</t>
  </si>
  <si>
    <t>変異(１)(U)(U)</t>
  </si>
  <si>
    <t>変異(U)(U)</t>
  </si>
  <si>
    <t>変異(１)(U)</t>
  </si>
  <si>
    <t>変異(３)(B)</t>
  </si>
  <si>
    <t>変異 ― あなたの手札にある黒のカードを１枚公開する。</t>
  </si>
  <si>
    <t>変異(B)</t>
  </si>
  <si>
    <t>変異(３)(B)(B)</t>
  </si>
  <si>
    <t>大変異(２)(B)</t>
  </si>
  <si>
    <t>大変異(R)</t>
  </si>
  <si>
    <t>変異(３)(R)</t>
  </si>
  <si>
    <t>変異 ― カードを１枚捨てる。</t>
  </si>
  <si>
    <t>変異 ― あなたの手札にある赤のカードを１枚公開する。</t>
  </si>
  <si>
    <t>変異(R)(R)</t>
  </si>
  <si>
    <t>変異(G)</t>
  </si>
  <si>
    <t>大変異(３)(G)</t>
  </si>
  <si>
    <t>大変異(１)(G)</t>
  </si>
  <si>
    <t>変異(２)</t>
  </si>
  <si>
    <t>表向き：呪文１つを対象とし、それを打ち消す。</t>
    <phoneticPr fontId="1"/>
  </si>
  <si>
    <t>表向き：クリーチャー１体を対象とし、それをオーナーの手札に戻す。</t>
    <phoneticPr fontId="1"/>
  </si>
  <si>
    <t>表向き：以下から１つを選ぶ。</t>
    <phoneticPr fontId="1"/>
  </si>
  <si>
    <t>表向き：対戦相手１人を対象とし、そのプレイヤーの手札を見る。</t>
    <phoneticPr fontId="1"/>
  </si>
  <si>
    <t>表向き：カードを２枚捨てる。その後カードを３枚引く。</t>
    <phoneticPr fontId="1"/>
  </si>
  <si>
    <t>表向き：変異能力を持つクリーチャー１体を対象とし、それを裏向きにしてもよい。</t>
    <phoneticPr fontId="1"/>
  </si>
  <si>
    <t>表向き：単一の対象を持つ呪文か能力１つを対象とし、その対象を変更する。</t>
    <phoneticPr fontId="1"/>
  </si>
  <si>
    <t>表向き：すべての墓地にあるすべてのゾンビ(Zombie)・カードをオーナーの手札に戻す。</t>
    <phoneticPr fontId="1"/>
  </si>
  <si>
    <t>表向き：プレイヤー１人を対象とする。そのプレイヤーは２点のライフを失う。</t>
    <phoneticPr fontId="1"/>
  </si>
  <si>
    <t>表向き：クリーチャー１体を対象とする。それはターン終了時まで-3/-3の修整を受ける。</t>
    <phoneticPr fontId="1"/>
  </si>
  <si>
    <t>表向き：対戦相手がコントロールするパワーが３以下のクリーチャー１体を対象とし、それを破壊する。</t>
    <phoneticPr fontId="1"/>
  </si>
  <si>
    <t>表向き：クリーチャー１体を対象とする。ターン終了時まで、それは速攻を得る。</t>
  </si>
  <si>
    <t>表向き：クリーチャー１体を対象とする。ターン終了時まで、それは速攻を得る。</t>
    <phoneticPr fontId="1"/>
  </si>
  <si>
    <t>表向き：クリーチャー１体を対象とする。このターン、それではブロックできない。</t>
    <phoneticPr fontId="1"/>
  </si>
  <si>
    <t>表向き：あなたがコントロールする他のクリーチャー１体を対象とし、それの上に+1/+1カウンターを１個置く。</t>
  </si>
  <si>
    <t>表向き：あなたがコントロールする他のクリーチャー１体を対象とし、それの上に+1/+1カウンターを１個置く。</t>
    <phoneticPr fontId="1"/>
  </si>
  <si>
    <t>表向き：あなたの墓地にあるカード１枚を対象とし、それをあなたの手札に戻す。</t>
    <phoneticPr fontId="1"/>
  </si>
  <si>
    <t>表向き：あなたのマナ・プールに(G)(U)(R)を加える。</t>
    <phoneticPr fontId="1"/>
  </si>
  <si>
    <t>(１)(G),人間(Human)を１体生け贄に捧げる：クリーチャー１体を対象とし、それの上に+1/+1カウンターを２個置く。</t>
    <phoneticPr fontId="1"/>
  </si>
  <si>
    <t>秘儀(Arcane)</t>
  </si>
  <si>
    <t>オキシド峠の英雄</t>
    <phoneticPr fontId="1"/>
  </si>
  <si>
    <t>狼変身：トヴォラーの魔道士狩りを変身させる。</t>
  </si>
  <si>
    <t>ヴェールの呪いのガラク</t>
  </si>
  <si>
    <t>PW</t>
  </si>
  <si>
    <t>絶え間ない悪夢</t>
  </si>
  <si>
    <t>アクロゾズの神殿</t>
  </si>
  <si>
    <t>一番砦、アダント</t>
  </si>
  <si>
    <t>雲変化</t>
  </si>
  <si>
    <t>表向き：対戦相手がコントロールするパワーが３以下のクリーチャー１体を対象とし、それを破壊する。</t>
  </si>
  <si>
    <t>表向き：単一の対象を持つ呪文か能力１つを対象とし、その対象を変更する。</t>
  </si>
  <si>
    <t>表向き：対戦相手がコントロールするパワーが４以上のクリーチャー１体を対象とし、それを破壊する。</t>
  </si>
  <si>
    <t>眩い希望</t>
  </si>
  <si>
    <t>パワーがあなたのライフ総量以上であるクリーチャー１体を対象とし、それを追放する。</t>
  </si>
  <si>
    <t>黙考の時間</t>
  </si>
  <si>
    <t>このターンにゾンビ(Zombie)をブロックしたかゾンビにブロックされたクリーチャー１体を対象とし、それを追放する。</t>
  </si>
  <si>
    <t>防護の光</t>
  </si>
  <si>
    <t>クリーチャー１体を対象とする。ターン終了時まで、それは破壊不能を得る。占術１を行う。（ダメージや「破壊」と書かれた効果では、そのクリーチャーは破壊されない。）</t>
  </si>
  <si>
    <t>糾弾</t>
  </si>
  <si>
    <t>攻撃しているクリーチャー１体を対象とし、それをオーナーのライブラリーの一番下に置く。それのコントローラーは、そのタフネスに等しい点数のライフを得る。</t>
  </si>
  <si>
    <t>危害のあり方</t>
  </si>
  <si>
    <t>クリーチャー１体かプレインズウォーカー１体かプレイヤー１人を対象とする。このターン、あなたが選んだ発生源１つが、次にあなたやあなたがコントロールするパーマネントに与えるダメージ２点は、代わりにそれに与えられる。</t>
  </si>
  <si>
    <t>太陽神の一瞥</t>
  </si>
  <si>
    <t>クリーチャーＸ体を対象とし、それらをタップする。占術１を行う。（あなたのライブラリーの一番上のカードを見る。あなたはそのカードをあなたのライブラリーの一番下に置いてもよい。）</t>
  </si>
  <si>
    <t>不愉快の拒絶</t>
  </si>
  <si>
    <t>あなたがコントロールするパーマネント１つを対象とする呪文１つを対象とし、それを打ち消す。</t>
  </si>
  <si>
    <t>無傷の発現</t>
  </si>
  <si>
    <t>あなたがコントロールするクリーチャー１体を対象とする。あなたは色を１色選ぶ。ターン終了時まで、それはプロテクション（あなたが選んだ色）を得る。</t>
  </si>
  <si>
    <t>反復（この呪文があなたの手札から唱えられたなら、これの解決に際し、これを追放する。あなたの次のアップキープの開始時に、あなたはこのカードを追放領域からこれのマナ・コストを支払うことなく唱えてもよい。）</t>
  </si>
  <si>
    <t>骨髄の破片</t>
  </si>
  <si>
    <t>骨髄の破片は各攻撃クリーチャーに１点のダメージを与える。</t>
  </si>
  <si>
    <t>流刑への道</t>
  </si>
  <si>
    <t>クリーチャー１体を対象とし、それを追放する。それのコントローラーは、自分のライブラリーから基本土地カードを１枚探し、そのカードをタップ状態で戦場に出し、その後自分のライブラリーを切り直してもよい。</t>
  </si>
  <si>
    <t>矢ぶすま</t>
  </si>
  <si>
    <t>好きな数の攻撃しているクリーチャーを対象とする。矢ぶすまは、それらにＸ点のダメージを望むように割り振って与える。</t>
  </si>
  <si>
    <t>高潔のあかし</t>
  </si>
  <si>
    <t>ブロックしているクリーチャー１体を対象とする。それはターン終了時まで+7/+7の修整を受ける。</t>
  </si>
  <si>
    <t>信仰の盾</t>
  </si>
  <si>
    <t>あなたがコントロールするパーマネント１つを対象とする。それはターン終了時までプロテクション（あなたが選んだ色１色）を得る。</t>
  </si>
  <si>
    <t>窮地 ― あなたのライフが５点以下である場合、代わりにあなたとあなたがコントロールする各パーマネントは、ターン終了時までプロテクション（あなたが選んだ色１色）を得る。</t>
  </si>
  <si>
    <t>返礼</t>
  </si>
  <si>
    <t>このターン、あなたにダメージを与えたクリーチャー１体を対象とし、それを追放する。</t>
  </si>
  <si>
    <t>永遠からの引き抜き</t>
  </si>
  <si>
    <t>追放されている表向きのカード１枚を対象とし、それをオーナーの墓地に置く。</t>
  </si>
  <si>
    <t>急送</t>
  </si>
  <si>
    <t>クリーチャー１体を対象とし、それをタップする。</t>
  </si>
  <si>
    <t>金属術 ― あなたが３つ以上のアーティファクトをコントロールしている場合、そのクリーチャーを追放する。</t>
  </si>
  <si>
    <t>ギデオンの敗北</t>
  </si>
  <si>
    <t>攻撃かブロックしている白のクリーチャー１体を対象とし、それを追放する。それがギデオン(Gideon)・プレインズウォーカーであるなら、あなたは５点のライフを得る。</t>
  </si>
  <si>
    <t>ギルドパクトの祝祭</t>
  </si>
  <si>
    <t>このターン、あなたに与えられる次のダメージＸ点を軽減する。</t>
  </si>
  <si>
    <t>発光</t>
  </si>
  <si>
    <t>このターン、黒の発生源と赤の発生源が与えるすべてのダメージを軽減する。</t>
  </si>
  <si>
    <t>精霊への挑戦</t>
  </si>
  <si>
    <t>色を１色選ぶ。あなたがコントロールする白のクリーチャーは、ターン終了時までプロテクション（その選ばれた色）を得る。</t>
  </si>
  <si>
    <t>刃の雨</t>
  </si>
  <si>
    <t>刃の雨は、各攻撃しているクリーチャーにそれぞれ１点のダメージを与える。</t>
  </si>
  <si>
    <t>墓場の浄化</t>
  </si>
  <si>
    <t>いずれかの墓地にあるカード１枚を対象とし、それを追放する。</t>
  </si>
  <si>
    <t>フラッシュバック(W)（あなたはあなたの墓地にあるこのカードを、そのフラッシュバック・コストで唱えてもよい。その後それを追放する。）</t>
  </si>
  <si>
    <t>信仰の試練</t>
  </si>
  <si>
    <t>クリーチャー１体を対象とする。このターン、それに与えられる次のダメージを３点軽減する。これにより軽減されたダメージ１点につき、その上に+1/+1カウンターを１個置く。</t>
  </si>
  <si>
    <t>遥かなる旅路</t>
  </si>
  <si>
    <t>クリーチャー１体を対象とし、それを追放する。次の終了ステップの開始時に、そのカードをオーナーのコントロール下で、+1/+1カウンターが１個置かれた状態で戦場に戻す。</t>
  </si>
  <si>
    <t>天羅志の評決</t>
  </si>
  <si>
    <t>パワーが３以下の攻撃しているクリーチャー１体を対象とし、それを破壊する。</t>
  </si>
  <si>
    <t>混迷の挽回</t>
  </si>
  <si>
    <t>あなたがコントロールするクリーチャー１体を対象とする。それはターン終了時まで、あなたが選んだ色１色に対するプロテクションを得る。対戦相手１人と激突を行う。あなたが勝った場合、混迷の挽回をオーナーの手札に戻す。（激突を行う各プレイヤーは、自分のライブラリーの一番上のカードを公開し、そのカードを一番上か一番下に置く。自分のカードの点数で見たマナ・コストの方が大きいプレイヤーが勝つ。）</t>
  </si>
  <si>
    <t>蝋燭の輝き</t>
  </si>
  <si>
    <t>クリーチャー１体かプレインズウォーカー１体かプレイヤー１人を対象とする。このターン、それに与えられる次のダメージを３点軽減する。あなたはこれにより軽減されたダメージに等しい点数のライフを得る。</t>
  </si>
  <si>
    <t>連繋（秘儀(Arcane)）(１)(W)（あなたが秘儀呪文を唱えるに際し、あなたはこのカードを手札から公開して連繋コストを支払ってもよい。そうした場合、このカードの効果をその呪文に追加する。）</t>
  </si>
  <si>
    <t>勇敢な姿勢</t>
  </si>
  <si>
    <t>・クリーチャー１体を対象とする。ターン終了時まで、それは破壊不能を得る。</t>
  </si>
  <si>
    <t>・タフネスが４以上のクリーチャー１体を対象とし、それを破壊する。</t>
  </si>
  <si>
    <t>王の咆哮</t>
  </si>
  <si>
    <t>・あなたがコントロールするクリーチャーをすべてアンタップする。</t>
  </si>
  <si>
    <t>双呪(１)(W)（あなたが双呪コストを支払った場合、両方を選ぶ。）</t>
  </si>
  <si>
    <t>照らす光</t>
  </si>
  <si>
    <t>光輝 ― 色を１色選ぶ。クリーチャー１体を対象とする。それと、その他の共通の色を持つ各クリーチャーは、ターン終了時まで選ばれた色に対するプロテクションを得る。</t>
  </si>
  <si>
    <t>優雅な猶予</t>
  </si>
  <si>
    <t>クリーチャー１体を対象とする。このターン、それが死亡したとき、そのカードをオーナーのコントロール下で戦場に戻す。</t>
  </si>
  <si>
    <t>鑽火の輝き</t>
  </si>
  <si>
    <t>攻撃クリーチャー１体を対象とし、それを破壊する。</t>
  </si>
  <si>
    <t>粛清</t>
  </si>
  <si>
    <t>アーティファクト・クリーチャー１体か黒のクリーチャー１体を対象とし、それを破壊する。それは再生できない。</t>
  </si>
  <si>
    <t>一同集結！</t>
  </si>
  <si>
    <t>あなたがコントロールするすべてのクリーチャーをアンタップする。</t>
  </si>
  <si>
    <t>侍祭の報賞</t>
  </si>
  <si>
    <t>クリーチャー１体を対象とし、クリーチャー１体かプレインズウォーカー１体かプレイヤー１人を対象とする。このターン、次にその前者に与えられるダメージをＸ点軽減する。Ｘは、あなたの白への信心である。これによりダメージが軽減されるなら、侍祭の報賞はその点数に等しい点数のダメージをその後者に与える。（あなたの白への信心は、あなたがコントロールするパーマネントのマナ・コストに含まれる(W)の数に等しい。）</t>
  </si>
  <si>
    <t>神聖な協力</t>
  </si>
  <si>
    <t>増呪(２)（２つ目以降に選ぶモード１つにつき、このコストを１回支払う。）</t>
  </si>
  <si>
    <t>以下から１つ以上を選ぶ。</t>
  </si>
  <si>
    <t>・プレイヤー１人を対象とする。そのプレイヤーは４点のライフを得る。</t>
  </si>
  <si>
    <t>・クリーチャー最大２体を対象とし、それらをアンタップする。</t>
  </si>
  <si>
    <t>・対戦相手１人を対象とする。そのプレイヤーは攻撃クリーチャー１体を生け贄に捧げる。</t>
  </si>
  <si>
    <t>来世への旅</t>
  </si>
  <si>
    <t>クリーチャー１体を対象とし、それを追放する。次の終了ステップの開始時に、そのカードをオーナーのコントロール下で、その上に+1/+1カウンターが１個置かれた状態で戦場に戻す。</t>
  </si>
  <si>
    <t>復仇</t>
  </si>
  <si>
    <t>パワーが４以上のクリーチャー１体を対象とし、それを破壊する。それは再生できない。</t>
  </si>
  <si>
    <t>花粉の子守唄</t>
  </si>
  <si>
    <t>このターンに与えられるすべての戦闘ダメージを軽減する。対戦相手１人と激突を行う。あなたが勝った場合、そのプレイヤーがコントロールするクリーチャーは、そのプレイヤーの次のアンタップ・ステップにアンタップしない。（激突を行う各プレイヤーは、自分のライブラリーの一番上のカードを公開し、そのカードを一番上か一番下に置く。自分のカードの点数で見たマナ・コストの方が大きいプレイヤーが勝つ。）</t>
  </si>
  <si>
    <t>Lorwyn</t>
  </si>
  <si>
    <t>相応の敬意</t>
  </si>
  <si>
    <t>このターン、パーマネントはタップ状態で戦場に出る。</t>
  </si>
  <si>
    <t>天界の粛清</t>
  </si>
  <si>
    <t>黒か赤のパーマネント１つを対象とし、それを追放する。</t>
  </si>
  <si>
    <t>征服者の誇り</t>
  </si>
  <si>
    <t>ターン終了時まで、あなたがコントロールしているクリーチャーは+1/+1の修整を受ける。あなたが都市の承認を持っているなら、代わりに、ターン終了時まで、それらのクリーチャーは+2/+2の修整を受ける。</t>
  </si>
  <si>
    <t>正義のうねり</t>
  </si>
  <si>
    <t>攻撃かブロックしている、黒か赤のクリーチャー１体を対象とし、それを破壊する。あなたは２点のライフを得る。</t>
  </si>
  <si>
    <t>密集軍の隊形</t>
  </si>
  <si>
    <t>奮励 ― 密集軍の隊形を唱えるためのコストは、２つ目以降の対象１つにつき(１)(W)多くなる。</t>
  </si>
  <si>
    <t>望む数のクリーチャーを対象とする。それらはターン終了時まで二段攻撃を得る。（それらは先制攻撃の戦闘ダメージと通常の戦闘ダメージの両方を与える。）</t>
  </si>
  <si>
    <t>奮起</t>
  </si>
  <si>
    <t>クリーチャー１体を対象とし、それをアンタップする。それは、ターン終了時まで+2/+4の修整を受ける。</t>
  </si>
  <si>
    <t>瞬間の塵</t>
  </si>
  <si>
    <t>・各パーマネントと各待機状態のカードから時間(time)カウンターをそれぞれ２個取り除く。</t>
  </si>
  <si>
    <t>・時間カウンターが置かれている各パーマネントと各待機状態のカードの上に時間カウンターをそれぞれ２個置く。</t>
  </si>
  <si>
    <t>正義の施行</t>
  </si>
  <si>
    <t>プレイヤー１人を対象とする。そのプレイヤーは攻撃クリーチャーを１体生け贄に捧げる。</t>
  </si>
  <si>
    <t>金属術 ― あなたがアーティファクトを３つ以上コントロールしている場合、代わりにそのプレイヤーは攻撃クリーチャーを２体生け贄に捧げる。</t>
  </si>
  <si>
    <t>貪る光</t>
  </si>
  <si>
    <t>攻撃しているクリーチャーかブロックしているクリーチャー１体を対象とし、それを追放する。</t>
  </si>
  <si>
    <t>深夜の出没</t>
  </si>
  <si>
    <t>飛行を持つ白の1/1のスピリット(Spirit)・クリーチャー・トークンを２体生成する。</t>
  </si>
  <si>
    <t>結集する咆哮</t>
  </si>
  <si>
    <t>ターン終了時まで、あなたがコントロールしているクリーチャーは+1/+1の修整を受ける。それらをアンタップする。</t>
  </si>
  <si>
    <t>名誉の報賞</t>
  </si>
  <si>
    <t>あなたは４点のライフを得る。鼓舞２を行う。（あなたがコントロールするクリーチャーの中で最も小さいタフネスを持つクリーチャーを１体選び、それの上に+1/+1カウンターを２個置く。）</t>
  </si>
  <si>
    <t>不屈の猛攻</t>
  </si>
  <si>
    <t>クリーチャーを最大２体まで対象とする。それらはターン終了時までそれぞれ+2/+2の修整を受ける。</t>
  </si>
  <si>
    <t>落とし穴の罠</t>
  </si>
  <si>
    <t>ちょうど１体のクリーチャーが攻撃している場合、あなたは落とし穴の罠のマナ・コストを支払うのではなく(W)を支払ってもよい。</t>
  </si>
  <si>
    <t>飛行を持たない攻撃しているクリーチャー１体を対象とし、それを破壊する。</t>
  </si>
  <si>
    <t>空鯨捕りの一撃</t>
  </si>
  <si>
    <t>パワーが３以上のクリーチャー１体を対象とし、それを破壊する。占術１を行う。</t>
  </si>
  <si>
    <t>新たな信仰</t>
  </si>
  <si>
    <t>あなたは６点のライフを得る。</t>
  </si>
  <si>
    <t>サイクリング(１)(W)（(１)(W),このカードを捨てる：カードを１枚引く。）</t>
  </si>
  <si>
    <t>あなたが新たな信仰をサイクリングしたとき、あなたは２点のライフを得てもよい。</t>
  </si>
  <si>
    <t>外身の交換</t>
  </si>
  <si>
    <t>多相（このカードは、すべてのクリーチャー・タイプである。）</t>
  </si>
  <si>
    <t>クリーチャー１体を対象とし、それを追放する。それのコントローラーは、多相を持つ無色の1/1の多相の戦士(Shapeshifter)クリーチャー・トークンを１体生成する。</t>
  </si>
  <si>
    <t>取り囲む地割れ</t>
  </si>
  <si>
    <t>対戦相手１人を対象とする。このターン、そのプレイヤーがコントロールするクリーチャーが与えるすべての戦闘ダメージを軽減する。</t>
  </si>
  <si>
    <t>覚醒２ ― (４)(W)（この呪文を(４)(W)で唱えたなら、加えて、あなたがコントロールする土地１つを対象とする。それの上に+1/+1カウンターを２個置く。それは速攻を持つ0/0のエレメンタル(Elemental)・クリーチャーになる。それは土地でもある。）</t>
  </si>
  <si>
    <t>光の大嵐</t>
  </si>
  <si>
    <t>すべてのエンチャントを破壊する。</t>
  </si>
  <si>
    <t>農民の結集</t>
  </si>
  <si>
    <t>あなたがコントロールするクリーチャーは、ターン終了時まで+2/+0の修整を受ける。</t>
  </si>
  <si>
    <t>フラッシュバック(２)(R)（あなたはあなたの墓地にあるこのカードを、そのフラッシュバック・コストで唱えてもよい。その後それを追放する。）</t>
  </si>
  <si>
    <t>克服</t>
  </si>
  <si>
    <t>ブロックしているクリーチャー１体を対象とし、それを破壊する。</t>
  </si>
  <si>
    <t>均等化</t>
  </si>
  <si>
    <t>この呪文は、あなたが各対戦相手より少ない数のクリーチャーをコントロールしている場合にのみ唱えられる。</t>
  </si>
  <si>
    <t>白の1/1の兵士(Soldier)クリーチャー・トークンを３体生成する。</t>
  </si>
  <si>
    <t>窒息の噴煙</t>
  </si>
  <si>
    <t>各攻撃クリーチャーの上に-1/-1カウンターを１個ずつ置く。</t>
  </si>
  <si>
    <t>鱗の祝福</t>
  </si>
  <si>
    <t>鼓舞１を行い、その後あなたがコントロールする+1/+1カウンターが置かれている各クリーチャーの上に+1/+1カウンターをそれぞれ１個置く。（鼓舞１を行うには、あなたがコントロールするクリーチャーの中で最も小さいタフネスを持つクリーチャーを１体選び、それの上に+1/+1カウンターを１個置く。）</t>
  </si>
  <si>
    <t>一掃</t>
  </si>
  <si>
    <t>エンチャント１つを対象とし、それを追放する。それのコントローラーの墓地と手札とライブラリーから、そのエンチャントと同じ名前を持つカードをすべて探し、それらを追放する。その後、そのプレイヤーは自分のライブラリーを切り直す。</t>
  </si>
  <si>
    <t>一所懸命</t>
  </si>
  <si>
    <t>クリーチャー１体を対象とする。ターン終了時まで、それは+2/+6の修整を受けるとともに、このターン、それは望む数のクリーチャーをブロックできる。</t>
  </si>
  <si>
    <t>集い</t>
  </si>
  <si>
    <t>プレイヤー１人を対象とする。そのプレイヤーは、戦場に出ているクリーチャー１体につき２点のライフを得る。</t>
  </si>
  <si>
    <t>懲罰</t>
  </si>
  <si>
    <t>攻撃しているクリーチャー１体を対象とし、それを破壊する。あなたはそのクリーチャーのパワーに等しい点数のライフを得る。</t>
  </si>
  <si>
    <t>塵への帰結</t>
  </si>
  <si>
    <t>アーティファクト１つかエンチャント１つを対象とし、それを追放する。あなたがこの呪文をあなたのメイン・フェイズの間に唱えた場合、あなたは他のアーティファクトかエンチャントを最大１つまで対象とし、それを追放してもよい。</t>
  </si>
  <si>
    <t>屈折の罠</t>
  </si>
  <si>
    <t>このターン、対戦相手１人が赤のインスタント呪文かソーサリー呪文を唱えていた場合、あなたは屈折の罠のマナ・コストを支払うのではなく(W)を支払ってもよい。</t>
  </si>
  <si>
    <t>クリーチャー１体かプレイヤー１人を対象とする。このターン、あなたが選んだ発生源１つから、あなたかあなたがコントロールするパーマネント（それらの組み合わせでもよい）に与えられる次のダメージを３点軽減する。これによりダメージが軽減された場合、屈折の罠は同じ点数のダメージをそれに与える。</t>
  </si>
  <si>
    <t>巧みな放逐</t>
  </si>
  <si>
    <t>攻撃かブロックしているクリーチャー１体、２体、または３体を対象とする。巧みな放逐はそれらに、３点のダメージをあなたの望むように分割して与える。</t>
  </si>
  <si>
    <t>火花の結実</t>
  </si>
  <si>
    <t>アーティファクト１つかエンチャント１つを対象とし、それを破壊する。火花の結実を唱えるために(G)が使われた場合、緑の1/1の苗木(Saproling)クリーチャー・トークンを２体生成する。</t>
  </si>
  <si>
    <t>執念</t>
  </si>
  <si>
    <t>ターン終了時まで、あなたがコントロールするクリーチャーは+1/+1の修整を受けるとともに絆魂を得る。それらのクリーチャーをアンタップする。</t>
  </si>
  <si>
    <t>供犠台の光</t>
  </si>
  <si>
    <t>霊気の衝撃波</t>
  </si>
  <si>
    <t>・すべてのスピリット(Spirit)をタップする。</t>
  </si>
  <si>
    <t>・すべてのスピリットでないクリーチャーをタップする。</t>
  </si>
  <si>
    <t>銀の一撃</t>
  </si>
  <si>
    <t>攻撃クリーチャー１体を対象とし、それを破壊する。あなたは３点のライフを得る。</t>
  </si>
  <si>
    <t>粗暴者の貶め</t>
  </si>
  <si>
    <t>パワーが４以上のクリーチャー１体を対象とし、それを破壊する。</t>
  </si>
  <si>
    <t>衝撃の支え</t>
  </si>
  <si>
    <t>多色のクリーチャー１体を対象とする。このターン、それに与えられるすべてのダメージを軽減する。これにより軽減されたダメージ１点につき、そのクリーチャーの上に+1/+1カウンターを１個置く。</t>
  </si>
  <si>
    <t>飛来する矢の罠</t>
  </si>
  <si>
    <t>４体以上のクリーチャーが攻撃している場合、あなたはこの呪文のマナ・コストを支払うのではなく(１)(W)を支払ってもよい。</t>
  </si>
  <si>
    <t>望む数の攻撃しているクリーチャーを対象とする。飛来する矢の罠はそれらに、５点のダメージをあなたが望むように割り振って与える。</t>
  </si>
  <si>
    <t>一族の奮起</t>
  </si>
  <si>
    <t>・あなたがコントロールするクリーチャーは、ターン終了時まで+2/+2の修整を受ける。</t>
  </si>
  <si>
    <t>・ターン終了時まで、あなたがコントロールするクリーチャーは「このクリーチャーがダメージを与えるたび、あなたは同じ点数のライフを得る。」を得る。</t>
  </si>
  <si>
    <t>双呪(１)(W)（双呪コストを支払った場合、両方を選ぶ。）</t>
  </si>
  <si>
    <t>乱動の報復</t>
  </si>
  <si>
    <t>攻撃かブロックしているクリーチャーを望む数対象とする。乱動の報復はそれらに、５点のダメージをあなたの望むように分割して与える。</t>
  </si>
  <si>
    <t>輝く報復</t>
  </si>
  <si>
    <t>耐え忍び</t>
  </si>
  <si>
    <t>このターン、あなたとあなたがコントロールするパーマネントに与えられるすべてのダメージを軽減する。</t>
  </si>
  <si>
    <t>Eventide</t>
  </si>
  <si>
    <t>武器を手に</t>
  </si>
  <si>
    <t>白の1/1の戦士(Warrior)クリーチャー・トークンを３体生成する。</t>
  </si>
  <si>
    <t>荒場越えの突撃</t>
  </si>
  <si>
    <t>掃引 ― あなたがコントロールする平地(Plains)を好きな数だけ、オーナーの手札に戻す。あなたがコントロールするクリーチャーは、これにより戻された平地１枚につき、ターン終了時まで+1/+1の修整を受ける。</t>
  </si>
  <si>
    <t>魂の閃き</t>
  </si>
  <si>
    <t>攻撃しているクリーチャー１体を対象とする。それと、それに付けられているすべての装備品(Equipment)を追放する。</t>
  </si>
  <si>
    <t>膨らむ勇気</t>
  </si>
  <si>
    <t>あなたがコントロールするクリーチャーは、ターン終了時まで+2/+2の修整を受ける。</t>
  </si>
  <si>
    <t>補強Ｘ ― (Ｘ)(W)(W)（(Ｘ)(W)(W),このカードを捨てる：クリーチャー１体を対象とし、その上に+1/+1カウンターをＸ個置く。）</t>
  </si>
  <si>
    <t>払拭の一撃</t>
  </si>
  <si>
    <t>アーティファクト１つかクリーチャー１体かエンチャント１つを対象とし、それをオーナーのライブラリーの一番下に置く。</t>
  </si>
  <si>
    <t>奇跡(W)（あなたがこのカードを引いたとき、これがこのターンに最初に引いたカードだった場合、あなたはこれの奇跡コストを支払うことでこれを唱えてもよい。）</t>
  </si>
  <si>
    <t>交感の痛手</t>
  </si>
  <si>
    <t>クリーチャー１体を対象とする。このターンに、あなたがコントロールしていない発生源があなたやあなたがコントロールするパーマネントに与えるすべてのダメージを軽減する。これによりダメージが軽減されるなら、あなたは「交感の痛手はそれにその点数に等しい点数のダメージを与える」ことを選んでもよい。</t>
  </si>
  <si>
    <t>ヴィトゥ＝ガジーの詠唱</t>
  </si>
  <si>
    <t>(６)(W)(W)</t>
  </si>
  <si>
    <t>このターン、クリーチャーによって与えられるすべてのダメージを軽減する。あなたはこれにより軽減されたダメージに等しい点数のライフを得る。</t>
  </si>
  <si>
    <t>(W/Φ)</t>
    <phoneticPr fontId="1"/>
  </si>
  <si>
    <t>（(W/Φ)は(W)でも２点のライフでも支払うことができる。）</t>
    <phoneticPr fontId="1"/>
  </si>
  <si>
    <t>桃園の契り</t>
  </si>
  <si>
    <t>あなたがコントロールするクリーチャー１体につき、あなたは２点のライフを得る。</t>
  </si>
  <si>
    <t>失脚</t>
  </si>
  <si>
    <t>クリーチャー１体を対象とし、それをオーナーのライブラリーの一番上から２枚目に置く。それのコントローラーは３点のライフを得る。</t>
  </si>
  <si>
    <t>鋼打ちの贈り物</t>
  </si>
  <si>
    <t>あなたのライブラリーから装備品(Equipment)カードを１枚探し、それを公開し、あなたの手札に加える。その後あなたのライブラリーを切り直す。</t>
  </si>
  <si>
    <t>忘られじ</t>
  </si>
  <si>
    <t>墓地からカード１枚を対象とし、それをオーナーのライブラリーの一番上か一番下に置く。飛行を持つ白の1/1のスピリット(Spirit)・クリーチャー・トークンを１体生成する。</t>
  </si>
  <si>
    <t>異端の輝き</t>
  </si>
  <si>
    <t>白のパーマネント１つを対象とし、それを追放する。</t>
  </si>
  <si>
    <t>土地の寄進</t>
  </si>
  <si>
    <t>対戦相手１人があなたより多くの土地をコントロールしている場合、あなたはあなたのライブラリーから平地(Plains)カードを最大３枚まで探し、それらを公開し、あなたの手札に加える。その後、あなたのライブラリーを切り直す。</t>
  </si>
  <si>
    <t>霊気装置の展示</t>
  </si>
  <si>
    <t>無色の1/1の霊気装置(Servo)アーティファクト・クリーチャー・トークンを２体生成する。</t>
  </si>
  <si>
    <t>オンドゥの蜂起</t>
  </si>
  <si>
    <t>このターン、クリーチャーが１体攻撃するたび、ターン終了時まで、それは絆魂を得る。</t>
  </si>
  <si>
    <t>覚醒４ ― (４)(W)（この呪文を(４)(W)で唱えたなら、加えて、あなたがコントロールする土地１つを対象とする。それの上に+1/+1カウンターを４個置く。それは速攻を持つ0/0のエレメンタル(Elemental)・クリーチャーになる。それは土地でもある。）</t>
  </si>
  <si>
    <t>迅速な報い</t>
  </si>
  <si>
    <t>魔巧 ― あなたの墓地にインスタント・カードやソーサリー・カードが合わせて２枚以上あるなら、あなたは迅速な報いを、それが瞬速を持っているかのように唱えてもよい。（あなたはこれを、あなたがインスタントを唱えられるときならいつでも唱えてよい。）</t>
  </si>
  <si>
    <t>タップ状態のクリーチャー１体を対象とし、それを破壊する。</t>
  </si>
  <si>
    <t>武器庫の開放</t>
  </si>
  <si>
    <t>あなたのライブラリーからオーラ(Aura)・カード１枚か装備品(Equipment)カード１枚を探し、それを公開してあなたの手札に加える。その後、あなたのライブラリーを切り直す。</t>
  </si>
  <si>
    <t>正義の突撃</t>
  </si>
  <si>
    <t>幻月</t>
  </si>
  <si>
    <t>すべてのエンチャントを破壊する。これにより破壊されたエンチャント１つにつき、あなたは１点のライフを得る。</t>
  </si>
  <si>
    <t>機を見た援軍</t>
  </si>
  <si>
    <t>あなたのライフの点数がいずれかの対戦相手よりも低い場合、あなたは６点のライフを得る。あなたがコントロールしているクリーチャーの数がいずれかの対戦相手よりも少ない場合、白の1/1の兵士(Soldier)クリーチャー・トークンを３体生成する。</t>
  </si>
  <si>
    <t>生き残りの隠し場所</t>
  </si>
  <si>
    <t>あなたは２点のライフを得る。その後、あなたのライフがいずれかの対戦相手よりも多い場合、カードを１枚引く。</t>
  </si>
  <si>
    <t>清浄</t>
  </si>
  <si>
    <t>未練ある魂</t>
  </si>
  <si>
    <t>フラッシュバック(１)(B)（あなたはあなたの墓地にあるこのカードを、そのフラッシュバック・コストで唱えてもよい。その後それを追放する。）</t>
  </si>
  <si>
    <t>型破りな戦術</t>
  </si>
  <si>
    <t>クリーチャー１体を対象とする。ターン終了時まで、それは+3/+3の修整を受けるとともに飛行を得る。</t>
  </si>
  <si>
    <t>ゾンビ(Zombie)が１体あなたのコントロール下で戦場に出るたび、あなたは(W)を支払ってもよい。そうしたなら、あなたの墓地から型破りな戦術をあなたの手札に戻す。</t>
  </si>
  <si>
    <t>日の出から日没</t>
  </si>
  <si>
    <t>・あなたの墓地にあるエンチャント・カード１枚を対象とし、それをあなたの手札に戻す。</t>
  </si>
  <si>
    <t>・エンチャント１つを対象とし、それを破壊する。</t>
  </si>
  <si>
    <t>同盟者の援軍</t>
  </si>
  <si>
    <t>白の2/2の騎士(Knight)・同盟者(Ally)クリーチャー・トークンを２体生成する。</t>
  </si>
  <si>
    <t>知者の存在</t>
  </si>
  <si>
    <t>あなたの手札にあるカード１枚につき、あなたは２点のライフを得る。</t>
  </si>
  <si>
    <t>統一戦線</t>
  </si>
  <si>
    <t>収斂 ― 統一戦線を唱えるために支払われたマナの色１色につき、白の1/1のコー(Kor)・同盟者(Ally)クリーチャー・トークンを１体生成する。</t>
  </si>
  <si>
    <t>群れの召喚</t>
  </si>
  <si>
    <t>青の1/1のマーフォーク(Merfolk)・クリーチャー・トークンを２体生成する。</t>
  </si>
  <si>
    <t>あなたがコントロールするアンタップ状態のマーフォークを４つタップする：あなたの墓地にある群れの召喚をあなたの手札に戻す。</t>
  </si>
  <si>
    <t>復讐</t>
  </si>
  <si>
    <t>復元</t>
  </si>
  <si>
    <t>あなたの墓地からアーティファクト・カード１枚を対象とし、それを戦場に戻す。</t>
  </si>
  <si>
    <t>風をまとう突撃</t>
  </si>
  <si>
    <t>あなたがコントロールするクリーチャー２体を対象とする。それらはターン終了時までそれぞれ+2/+2の修整を受けるとともに飛行を得る。</t>
  </si>
  <si>
    <t>偉大なる師の指令</t>
  </si>
  <si>
    <t>ターン終了時まで、あなたがコントロールするクリーチャーは+2/+1の修整を受ける。</t>
  </si>
  <si>
    <t>土地縛りの儀式</t>
  </si>
  <si>
    <t>あなたは、あなたがコントロールする平地(Plains)１つにつき２点のライフを得る。</t>
  </si>
  <si>
    <t>死の超克</t>
  </si>
  <si>
    <t>あなたの墓地にあるクリーチャー・カード１枚を対象とし、それを戦場に戻す。それが天使(Angel)である場合、それの上に+1/+1カウンターを２個置く。</t>
  </si>
  <si>
    <t>塩撃破</t>
  </si>
  <si>
    <t>白でないパーマネント１つを対象とし、それを破壊する。</t>
  </si>
  <si>
    <t>幽体の行列</t>
  </si>
  <si>
    <t>(２/白)(２/白)(２/白)</t>
  </si>
  <si>
    <t>飛行を持つ白の1/1のスピリット(Spirit)・クリーチャー・トークンを３体生成する。</t>
  </si>
  <si>
    <t>邪悪退治</t>
  </si>
  <si>
    <t>パワーが４以上のクリーチャー１体を対象とし、それを破壊する。占術１を行う。（あなたのライブラリーの一番上のカードを見る。あなたはそのカードをあなたのライブラリーの一番下に置いてもよい。）</t>
  </si>
  <si>
    <t>反目殺しの評決</t>
  </si>
  <si>
    <t>あなたは１０点のライフを得る。その後あなたのライフがいずれかの対戦相手より多い場合、白の5/5の巨人(Giant)・戦士(Warrior)クリーチャー・トークンを１体生成する。</t>
  </si>
  <si>
    <t>卜占の逃走</t>
  </si>
  <si>
    <t>あなたの次のターンまで、クリーチャーはあなたを攻撃できない。卜占の逃走を、その上に時間(time)カウンターが３個置かれた状態で追放する。</t>
  </si>
  <si>
    <t>待機３ ― (２)(W)（このカードをあなたの手札から唱えるのではなく、(２)(W)を支払うとともにそれを時間カウンターが３個置かれた状態で追放してもよい。あなたのアップキープの開始時に、時間カウンターを１個取り除く。最後の１個を取り除いたとき、それをそのマナ・コストを支払うことなく唱える。）</t>
  </si>
  <si>
    <t>高所</t>
  </si>
  <si>
    <t>あなたがコントロールする各クリーチャーは、各戦闘で追加で１体のクリーチャーをブロックできる。</t>
  </si>
  <si>
    <t>影の槍</t>
  </si>
  <si>
    <t>エンチャントされているクリーチャーは先制攻撃を持つ。</t>
  </si>
  <si>
    <t>(１)(B)：エンチャントされているクリーチャーは、ターン終了時まで+2/+2の修整を受ける。</t>
  </si>
  <si>
    <t>聖なる秘宝の探索</t>
  </si>
  <si>
    <t>あなたがクリーチャー呪文を唱えるたび、あなたは聖なる秘宝の探索の上に探索(quest)カウンターを１個置いてもよい。</t>
  </si>
  <si>
    <t>聖なる秘宝の探索から探索カウンターを５個取り除くとともに、それを生け贄に捧げる：あなたのライブラリーから装備品(Equipment)カードを１枚探してそれを戦場に出し、それをあなたがコントロールするクリーチャー１体につける。その後、あなたのライブラリーを切り直す。</t>
  </si>
  <si>
    <t>グリフの加護</t>
  </si>
  <si>
    <t>エンチャントされているクリーチャーは、+1/+0の修整を受けるとともに飛行を持つ。</t>
  </si>
  <si>
    <t>(３)(W)：クリーチャー１体を対象とする。あなたの墓地からグリフの加護をそのクリーチャーにつけられている状態で戦場に戻す。この能力は、あなたがソーサリーを唱えられるときにのみ起動できる。</t>
  </si>
  <si>
    <t>野の源獣</t>
  </si>
  <si>
    <t>エンチャント（平地(Plains)）</t>
  </si>
  <si>
    <t>(２)：エンチャントされている平地は、ターン終了時まで「それがダメージを与えるたび、それのコントローラーは同じ点数のライフを得る。」を持つ白の2/5のスピリット(Spirit)・クリーチャーになる。それは土地でもある。</t>
  </si>
  <si>
    <t>エンチャントされている平地が墓地に置かれたとき、あなたの墓地にある野の源獣をあなたの手札に戻してもよい。</t>
  </si>
  <si>
    <t>ネフィリムの祝福</t>
  </si>
  <si>
    <t>エンチャントされているクリーチャーは、その色１色につき+1/+1の修整を受ける。</t>
  </si>
  <si>
    <t>魂の絆</t>
  </si>
  <si>
    <t>エンチャント（クリーチャー）（これを唱える際に、クリーチャー１体を対象とする。このカードはそのクリーチャーにつけられている状態で戦場に出る。）</t>
  </si>
  <si>
    <t>エンチャントされているクリーチャーがダメージを与えるたび、あなたは同じ点数のライフを得る。</t>
  </si>
  <si>
    <t>毎日の処方</t>
  </si>
  <si>
    <t>(１)(W)：エンチャントされているクリーチャーの上に+1/+1カウンターを１個置く。</t>
  </si>
  <si>
    <t>不可解な終焉</t>
  </si>
  <si>
    <t>不可解な終焉が戦場に出たとき、対戦相手がコントロールしていて点数で見たマナ・コストが３以下であるクリーチャー１体を対象とし、それを追放する。</t>
  </si>
  <si>
    <t>不可解な終焉が戦場を離れたとき、対戦相手１人を対象とする。そのプレイヤーはトランプルを持つ緑の3/3の恐竜(Dinosaur)クリーチャー・トークンを１体生成する。</t>
  </si>
  <si>
    <t>指導力のマントル</t>
  </si>
  <si>
    <t>クリーチャーが１体戦場に出るたび、エンチャントされているクリーチャーはターン終了時まで+2/+2の修整を受ける。</t>
  </si>
  <si>
    <t>霊魂のマントル</t>
  </si>
  <si>
    <t>エンチャントされているクリーチャーは+1/+1の修整を受けるとともにプロテクション（クリーチャー）を持つ。</t>
  </si>
  <si>
    <t>ナヒリの策謀</t>
  </si>
  <si>
    <t>あなたのターンの戦闘の開始時に、あなたがコントロールするクリーチャー１体を対象とする。ターン終了時まで、それは破壊不能を得る。</t>
  </si>
  <si>
    <t>(１)(R)：ブロック・クリーチャー１体を対象とする。ナヒリの策謀はそれに１点のダメージを与える。</t>
  </si>
  <si>
    <t>白の防御円</t>
  </si>
  <si>
    <t>(１)：このターン、あなたが選んだ白の発生源１つが次にあなたに与えるすべてのダメージを軽減する。</t>
  </si>
  <si>
    <t>セラの祝福</t>
  </si>
  <si>
    <t>あなたがコントロールするクリーチャーは警戒を持つ。</t>
  </si>
  <si>
    <t>魂の因縁</t>
  </si>
  <si>
    <t>エンチャント（あなたがコントロールするクリーチャー）</t>
  </si>
  <si>
    <t>魂の因縁が戦場からいずれかの墓地に置かれたとき、魂の因縁をオーナーの手札に戻す。</t>
  </si>
  <si>
    <t>ヘリオッドの試練</t>
  </si>
  <si>
    <t>エンチャントされているクリーチャーが攻撃するたび、その上に+1/+1カウンターを１個置く。その後、その上に+1/+1カウンターが３個以上置かれているならば、ヘリオッドの試練を生け贄に捧げる。</t>
  </si>
  <si>
    <t>あなたがヘリオッドの試練を生け贄に捧げたとき、あなたは１０点のライフを得る。</t>
  </si>
  <si>
    <t>絡め取る罠</t>
  </si>
  <si>
    <t>あなたが激突を行うたび、対戦相手１人がコントロールするクリーチャー１体を対象とし、それをタップする。あなたが勝った場合、そのクリーチャーはそれのコントローラーの次のアンタップ・ステップにアンタップしない。（この能力は、激突が終わった後に誘発する。）</t>
  </si>
  <si>
    <t>赤の防御円</t>
  </si>
  <si>
    <t>(１)：このターン、あなたが選んだ赤の発生源１つが次にあなたに与えるすべてのダメージを軽減する。</t>
  </si>
  <si>
    <t>抑制の場</t>
  </si>
  <si>
    <t>起動型能力は、それらがマナ能力で無いかぎり、それを起動するためのコストが(２)多くなる。</t>
  </si>
  <si>
    <t>殺人の捜査</t>
  </si>
  <si>
    <t>エンチャントされているクリーチャーが死亡したとき、白の1/1の兵士(Soldier)クリーチャー・トークンをＸ体生成する。Ｘは、そのエンチャントされているクリーチャーのパワーである。</t>
  </si>
  <si>
    <t>停止の場</t>
  </si>
  <si>
    <t>停止の場が戦場に出たとき、タフネスが３以上のクリーチャーを対象とする。停止の場が戦場を離れるまで、あなたはそれを追放してもよい。（そのクリーチャーはオーナーのコントロール下で戦場に戻る。）</t>
  </si>
  <si>
    <t>救済の恩寵</t>
  </si>
  <si>
    <t>救済の恩寵が戦場に出たとき、このターン、あなたやあなたがコントロールするパーマネントに与えられるダメージはすべて、代わりにエンチャントされているクリーチャーに与えられる。</t>
  </si>
  <si>
    <t>エンチャントされているクリーチャーは+0/+3の修整を受ける。</t>
  </si>
  <si>
    <t>偽の信心</t>
  </si>
  <si>
    <t>対戦相手１人がマナを引き出す目的で山(Mountain)をタップするたび、あなたは１点のライフを得てもよい。</t>
  </si>
  <si>
    <t>祝福</t>
  </si>
  <si>
    <t>(W)：エンチャントされているクリーチャーは、ターン終了時まで+1/+1の修整を受ける。</t>
  </si>
  <si>
    <t>緑の防御円</t>
  </si>
  <si>
    <t>(１)：このターン、あなたが選んだ緑の発生源１つが次にあなたに与えるすべてのダメージを軽減する。</t>
  </si>
  <si>
    <t>篤信の護法印</t>
  </si>
  <si>
    <t>(１)(W)：クリーチャー１体かプレイヤー１人を対象とする。このターン、エンチャントされているクリーチャーに与えられる次のダメージ１点は、代わりにそれに与えられる。</t>
  </si>
  <si>
    <t>砂への挑戦</t>
  </si>
  <si>
    <t>英雄の時</t>
  </si>
  <si>
    <t>あなたがコントロールするＬｖ(level)カウンターが置かれている各クリーチャーは+2/+2の修整を受ける。</t>
  </si>
  <si>
    <t>絹包み</t>
  </si>
  <si>
    <t>絹包みが戦場に出たとき、対戦相手がコントロールする点数で見たマナ・コストが３以下のクリーチャー１体を対象とし、絹包みが戦場を離れるまでそれを追放する。（そのクリーチャーはオーナーのコントロール下で戦場に戻る。）</t>
  </si>
  <si>
    <t>秘宝の防御円</t>
  </si>
  <si>
    <t>(２)：このターン、あなたが選んだアーティファクトである発生源１つが次にあなたに与えるすべてのダメージを軽減する。</t>
  </si>
  <si>
    <t>青の防御円</t>
  </si>
  <si>
    <t>(１)：このターン、あなたが選んだ青の発生源１つが次にあなたに与えるすべてのダメージを軽減する。</t>
  </si>
  <si>
    <t>魂の税収</t>
  </si>
  <si>
    <t>エンチャント（土地でないパーマネント）</t>
  </si>
  <si>
    <t>エンチャントされているパーマネントのコントローラーのアップキープの開始時に、そのプレイヤーが(Ｘ)を支払わないかぎり、それを生け贄に捧げる。Ｘは、それの点数で見たマナ・コストである。</t>
  </si>
  <si>
    <t>安らぎ</t>
  </si>
  <si>
    <t>(W),カードを１枚捨てる：あなたは３点のライフを得る。</t>
  </si>
  <si>
    <t>族樹の残響</t>
  </si>
  <si>
    <t>(２)(W)：鼓舞１を行う。（あなたがコントロールするクリーチャーの中で最も小さいタフネスを持つクリーチャーを１体選び、それの上に+1/+1カウンターを１個置く。）</t>
  </si>
  <si>
    <t>無形の美徳</t>
  </si>
  <si>
    <t>あなたがコントロールするクリーチャー・トークンは+1/+1の修整を受けるとともに警戒を持つ。</t>
  </si>
  <si>
    <t>黒の防御円</t>
  </si>
  <si>
    <t>(１)：このターン、あなたが選んだ黒の発生源１つが次にあなたに与えるすべてのダメージを軽減する。</t>
  </si>
  <si>
    <t>光明の目覚め</t>
  </si>
  <si>
    <t>エンチャントされているクリーチャーが攻撃かブロックするたび、あなたは４点のライフを得る。</t>
  </si>
  <si>
    <t>停滞の罠</t>
  </si>
  <si>
    <t>停滞の罠が戦場に出たとき、対戦相手がコントロールするクリーチャー１体を対象とし、停滞の罠が戦場を離れるまでそれを追放する。（そのクリーチャーはオーナーのコントロール下で戦場に戻る。）</t>
  </si>
  <si>
    <t>沈黙のオーラ</t>
  </si>
  <si>
    <t>あなたの対戦相手が唱えるアーティファクト呪文とエンチャント呪文は、それを唱えるためのコストが(２)多くなる。</t>
  </si>
  <si>
    <t>沈黙のオーラを生け贄に捧げる：アーティファクト１つかエンチャント１つを対象とし、それを破壊する。</t>
  </si>
  <si>
    <t>忘却の輪</t>
  </si>
  <si>
    <t>忘却の輪が戦場に出たとき、他の土地でないパーマネント１つを対象とし、それを追放する。</t>
  </si>
  <si>
    <t>忘却の輪が戦場を離れたとき、その追放されたカードをオーナーのコントロール下で戦場に戻す。</t>
  </si>
  <si>
    <t>光変化</t>
  </si>
  <si>
    <t>光変化が戦場に出たとき、これはエンチャント（クリーチャー）を持つオーラ(Aura)になる。あなたのライブラリーの一番上のカードを予示し、それに光変化をつける。（カードを予示するには、それを裏向きの状態で2/2クリーチャーとして戦場に出す。それがクリーチャー・カードであるなら、そのマナ・コストでいつでも表向きにしてよい。）</t>
  </si>
  <si>
    <t>エンチャントされているクリーチャーは飛行と絆魂を持つ。</t>
  </si>
  <si>
    <t>拘引</t>
  </si>
  <si>
    <t>エンチャントされているクリーチャーは攻撃もブロックもできず、その起動型能力を起動できない。</t>
  </si>
  <si>
    <t>払拭の光</t>
  </si>
  <si>
    <t>払拭の光が戦場に出たとき、対戦相手１人がコントロールする土地でないパーマネント１つを対象とし、払拭の光が戦場を離れるまでそれを追放する。（そのパーマネントはオーナーのコントロール下で戦場に戻る。）</t>
  </si>
  <si>
    <t>飛行機械による拘束</t>
  </si>
  <si>
    <t>飛行機械による拘束が戦場に出たとき、対戦相手がコントロールするアーティファクト１つかクリーチャー１体を対象とし、飛行機械による拘束が戦場を離れるまでそれを追放する。</t>
  </si>
  <si>
    <t>グリフィンの導き</t>
  </si>
  <si>
    <t>エンチャントされているクリーチャーは+2/+2の修整を受けるとともに飛行を持つ。</t>
  </si>
  <si>
    <t>エンチャントされているクリーチャーが死亡したとき、飛行を持つ白の2/2のグリフィン(Griffin)・クリーチャー・トークンを１体生成する。</t>
  </si>
  <si>
    <t>熟達した戦い</t>
  </si>
  <si>
    <t>エンチャントされているクリーチャーは二段攻撃を持つ。（それは先制攻撃の戦闘ダメージと通常の戦闘ダメージの両方を与える。）</t>
  </si>
  <si>
    <t>禁固刑</t>
  </si>
  <si>
    <t>クリーチャーが対戦相手１人のコントロール下で戦場に出るたび、あなたはそのクリーチャーに禁固刑をつけてもよい。</t>
  </si>
  <si>
    <t>砂漠の拘留</t>
  </si>
  <si>
    <t>砂漠の拘留が戦場に出たとき、あなたが砂漠(Desert)をコントロールしているかあなたの墓地に砂漠カードがある場合、あなたは３点のライフを得る。</t>
  </si>
  <si>
    <t>エンチャントされているクリーチャーでは攻撃したりブロックしたりできず、それの起動型能力は起動できない。</t>
  </si>
  <si>
    <t>法の定め</t>
  </si>
  <si>
    <t>各プレイヤーは、各ターンに１つしか呪文を唱えられない。</t>
  </si>
  <si>
    <t>静寂の捕縛</t>
  </si>
  <si>
    <t>エンチャントされているクリーチャーは攻撃したりブロックしたりできない。</t>
  </si>
  <si>
    <t>月銀の拘束</t>
  </si>
  <si>
    <t>エンチャントされているクリーチャーでは攻撃したりブロックしたりできず、それは変身できない。</t>
  </si>
  <si>
    <t>他のパーマネント１つを生け贄に捧げる：クリーチャー１体を対象とし、月銀の拘束をそれにつける。この能力は、あなたがソーサリーを唱えられるときにのみ、毎ターン１回のみ起動できる。</t>
  </si>
  <si>
    <t>結束の試練</t>
  </si>
  <si>
    <t>結束の試練が戦場に出たとき、ターン終了時まで、あなたがコントロールするクリーチャーは+2/+1の修整を受けるとともに警戒を得る。</t>
  </si>
  <si>
    <t>カルトーシュ(Cartouche)が１つあなたのコントロール下で戦場に出たとき、結束の試練をオーナーの手札に戻す。</t>
  </si>
  <si>
    <t>門の維持</t>
  </si>
  <si>
    <t>あなたがコントロールするクリーチャーは、あなたがコントロールする門(Gate)１つにつき+0/+1の修整を受けるとともに警戒を持つ。</t>
  </si>
  <si>
    <t>セラの加護</t>
  </si>
  <si>
    <t>エンチャントされているクリーチャーは、それが白であるかぎり+1/+2の修整を受ける。そうでない場合、それは-2/-1の修整を受ける。</t>
  </si>
  <si>
    <t>亡霊の牢獄</t>
  </si>
  <si>
    <t>クリーチャーは、それらのコントローラーが自分がコントロールする、あなたを攻撃するクリーチャー１体につき(２)を支払わないかぎり、あなたを攻撃できない。</t>
  </si>
  <si>
    <t>封鎖作戦</t>
  </si>
  <si>
    <t>エンチャント（土地）</t>
  </si>
  <si>
    <t>封鎖作戦が戦場に出たとき、警戒を持つ白の2/2の騎士(Knight)クリーチャー・トークンを１体生成する。</t>
  </si>
  <si>
    <t>エンチャントされている土地は「(Ｔ)：このターン、次にあなたに与えられるダメージを１点軽減する。」を持つ。</t>
  </si>
  <si>
    <t>罪人打ちの意志</t>
  </si>
  <si>
    <t>エンチャントされているクリーチャーは「(Ｔ)：攻撃しているクリーチャーかブロックしているクリーチャー１体を対象とする。このクリーチャーは、それにこれ自身のパワーに等しい点数のダメージを与える。」を持つ。</t>
  </si>
  <si>
    <t>賢人の夢想</t>
  </si>
  <si>
    <t>賢人の夢想が戦場に出たとき、クリーチャーにつけられている、あなたがコントロールするオーラ(Aura)１つにつきカードを１枚引く。</t>
  </si>
  <si>
    <t>エンチャントされているクリーチャーは、クリーチャーにつけられている、あなたがコントロールするオーラ１つにつき+1/+1の修整を受ける。</t>
  </si>
  <si>
    <t>セラの抱擁</t>
  </si>
  <si>
    <t>エンチャントされているクリーチャーは、+2/+2の修整を受けるとともに飛行と警戒を持つ。</t>
  </si>
  <si>
    <t>浄火の本殿</t>
  </si>
  <si>
    <t>あなたのアップキープの開始時に、あなたがコントロールする祭殿(Shrine)１つにつきあなたは２点のライフを得る。</t>
  </si>
  <si>
    <t>排斥</t>
  </si>
  <si>
    <t>排斥が戦場に出たとき、対戦相手がコントロールする土地でないパーマネント１つを対象とし、排斥が戦場を離れるまでそれを追放する。</t>
  </si>
  <si>
    <t>サイクリング(W)（(W),このカードを捨てる：カードを１枚引く。）</t>
  </si>
  <si>
    <t>聖なるマントル</t>
  </si>
  <si>
    <t>エンチャントされているクリーチャーは+2/+2の修整を受けるとともにプロテクション（クリーチャー）を持つ。</t>
  </si>
  <si>
    <t>イクサランの束縛</t>
  </si>
  <si>
    <t>イクサランの束縛が戦場に出たとき、対戦相手がコントロールしていて土地でないパーマネント１つを対象とする。イクサランの束縛が戦場を離れるまでそれを追放する。</t>
  </si>
  <si>
    <t>対戦相手は、その追放されたカードと同じ名前を持つ呪文を唱えられない。</t>
  </si>
  <si>
    <t>エメリアへの撤退</t>
  </si>
  <si>
    <t>上陸 ― 土地が１つあなたのコントロール下で戦場に出るたび、以下から１つを選ぶ。</t>
  </si>
  <si>
    <t>・白の1/1のコー(Kor)・同盟者(Ally)クリーチャー・トークンを１体生成する。</t>
  </si>
  <si>
    <t>・ターン終了時まで、あなたがコントロールするクリーチャーは+1/+1の修整を受ける。</t>
  </si>
  <si>
    <t>因果応報</t>
  </si>
  <si>
    <t>各プレイヤーのアップキープの開始時に、因果応報はそのプレイヤーに、そのプレイヤーがコントロールする沼(Swamp)の数に等しい点数のダメージを与える。</t>
  </si>
  <si>
    <t>天使の祝祷</t>
  </si>
  <si>
    <t>あなたがコントロールするいずれかのクリーチャーが単独で攻撃するたび、クリーチャー１体を対象とする。あなたはそれをタップしてもよい。</t>
  </si>
  <si>
    <t>失われし者への祈り</t>
  </si>
  <si>
    <t>あなたがコントロールするクリーチャーが死亡するたび、あなたは(Ｘ)を支払ってもよい。そうした場合、あなたはＸ点のライフを得る。</t>
  </si>
  <si>
    <t>アクロスでの武勇</t>
  </si>
  <si>
    <t>クリーチャーが１体あなたのコントロール下で戦場に出るたび、ターン終了時まで、あなたがコントロールするクリーチャーは+1/+1の修整を受ける。</t>
  </si>
  <si>
    <t>建築家の祝福</t>
  </si>
  <si>
    <t>あなたがコントロールするアンタップ状態のクリーチャーは+0/+2の修整を受ける。</t>
  </si>
  <si>
    <t>氷河の板金</t>
  </si>
  <si>
    <t>累加アップキープ(氷)（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氷)は氷雪パーマネントからのマナ１点で支払うことができる。）</t>
  </si>
  <si>
    <t>エンチャントされているクリーチャーは、氷河の板金の上に置かれている経年カウンター１個につき+3/+3の修整を受ける。</t>
  </si>
  <si>
    <t>天使の協定</t>
  </si>
  <si>
    <t>各終了ステップの開始時に、このターンあなたが４点以上のライフを得た場合、飛行を持つ白の4/4の天使(Angel)クリーチャー・トークンを１体生成する。</t>
  </si>
  <si>
    <t>疲労の呪い</t>
  </si>
  <si>
    <t>エンチャントされているプレイヤーは、各ターンに１つしか呪文を唱えられない。</t>
  </si>
  <si>
    <t>陽絆</t>
  </si>
  <si>
    <t>エンチャントされているクリーチャーは「あなたがライフを得るたび、その点数に等しい数の+1/+1カウンターをこのクリーチャーの上に置く。」を持つ。</t>
  </si>
  <si>
    <t>鎧をまとった上昇</t>
  </si>
  <si>
    <t>エンチャントされているクリーチャーは、あなたがコントロールする平地(Plains)１つにつき+1/+1の修整を受けるとともに、飛行を持つ。</t>
  </si>
  <si>
    <t>初期対応</t>
  </si>
  <si>
    <t>各アップキープの開始時に、直前のターンにあなたがライフを失っていた場合、白の1/1の兵士(Soldier)クリーチャー・トークンを１体生成する。</t>
  </si>
  <si>
    <t>領事府の看視</t>
  </si>
  <si>
    <t>領事府の看視が戦場に出たとき、あなたは(Ｅ)(Ｅ)(Ｅ)(Ｅ)（エネルギー・カウンター４個）を得る。</t>
  </si>
  <si>
    <t>(Ｅ)(Ｅ)を支払う：このターン、あなたが選んだ発生源１つからあなたに与えられるすべてのダメージを軽減する。</t>
  </si>
  <si>
    <t>イオナの祝福</t>
  </si>
  <si>
    <t>エンチャントされているクリーチャーは+2/+2の修整を受け、警戒を持つとともに、各戦闘で追加で１体のクリーチャーをブロックできる。</t>
  </si>
  <si>
    <t>揺るぎない信仰</t>
  </si>
  <si>
    <t>揺るぎない信仰が戦場に出たとき、対戦相手がコントロールするクリーチャー１体を対象とし、揺るぎない信仰が戦場を離れるまでそれを追放する。</t>
  </si>
  <si>
    <t>エンチャントされているクリーチャーは+2/+2の修整を受ける。</t>
  </si>
  <si>
    <t>ヘクマの防御</t>
  </si>
  <si>
    <t>対戦相手がコントロールする発生源があなたにダメージを与えるなら、そのダメージを１点軽減する。</t>
  </si>
  <si>
    <t>債務者の演壇</t>
  </si>
  <si>
    <t>エンチャントされている土地は「(Ｔ)：クリーチャー１体を対象とし、それをタップする。」を持つ。</t>
  </si>
  <si>
    <t>安全の領域</t>
  </si>
  <si>
    <t>クリーチャーは、そのコントローラーが攻撃クリーチャー１体につき(Ｘ)を支払わないかぎり、あなたやあなたがコントロールするプレインズウォーカーを攻撃できない。Ｘは、あなたがコントロールするエンチャントの数である。</t>
  </si>
  <si>
    <t>浮遊化改造</t>
  </si>
  <si>
    <t>エンチャント（クリーチャーか機体(Vehicle)）</t>
  </si>
  <si>
    <t>エンチャントされているパーマネントが機体であるかぎり、それは他のタイプに加えてクリーチャーでもある。</t>
  </si>
  <si>
    <t>マンモスの陰影</t>
  </si>
  <si>
    <t>エンチャントされているクリーチャーは+3/+3の修整を受けるとともに警戒を持つ。</t>
  </si>
  <si>
    <t>族霊鎧（エンチャントされているクリーチャーが破壊される場合、代わりにそれからすべてのダメージを取り除き、このオーラ(Aura)を破壊する。）</t>
  </si>
  <si>
    <t>排他の儀式</t>
  </si>
  <si>
    <t>刻印 ― 排他の儀式が戦場に出たとき、土地でないパーマネント１つを対象とし、それを追放する。</t>
  </si>
  <si>
    <t>プレイヤーはその追放されているカードと同じ名前を持つ呪文を唱えられない。</t>
  </si>
  <si>
    <t>罠(Trap)</t>
  </si>
  <si>
    <t>多相の戦士(Shapeshifter)</t>
  </si>
  <si>
    <t>巨人(Giant)</t>
  </si>
  <si>
    <t>部族エンチャント</t>
  </si>
  <si>
    <t>祭殿(Shrine)</t>
  </si>
  <si>
    <t>氷雪エンチャント</t>
  </si>
  <si>
    <t>高地の森林</t>
  </si>
  <si>
    <t>氷雪土地</t>
  </si>
  <si>
    <t>高地の森林はタップ状態で戦場に出る。</t>
  </si>
  <si>
    <t>(Ｔ)：(R)か(G)を加える。</t>
  </si>
  <si>
    <t>鮮烈な岩山</t>
  </si>
  <si>
    <t>鮮烈な岩山は、その上に蓄積(charge)カウンターが２個置かれた状態で、タップ状態で戦場に出る。</t>
  </si>
  <si>
    <t>聖遺の塔</t>
  </si>
  <si>
    <t>あなたの手札の上限は無くなる。</t>
  </si>
  <si>
    <t>(Ｔ)：(◇)を加える。</t>
  </si>
  <si>
    <t>Core Set 2019</t>
  </si>
  <si>
    <t>開拓地の野営地</t>
  </si>
  <si>
    <t>開拓地の野営地はタップ状態で戦場に出る。</t>
  </si>
  <si>
    <t>(Ｔ)：(G)か(U)か(R)を加える。</t>
  </si>
  <si>
    <t>平穏なる広野</t>
  </si>
  <si>
    <t>平穏なる広野はタップ状態で戦場に出る。</t>
  </si>
  <si>
    <t>(Ｔ)：(G)か(W)を加える。</t>
  </si>
  <si>
    <t>シェフェトの砂丘</t>
  </si>
  <si>
    <t>(２)(W)(W),(Ｔ),砂漠(Desert)１つを生け贄に捧げる：ターン終了時まで、あなたがコントロールするクリーチャーは+1/+1の修整を受ける。この能力は、あなたがソーサリーを唱えられるときにのみ起動できる。</t>
  </si>
  <si>
    <t>ちらつき蛾の井戸</t>
  </si>
  <si>
    <t>(２),(Ｔ)：クリーチャーでないアーティファクト１つを対象とし、それをタップする。</t>
  </si>
  <si>
    <t>ミラディンの核</t>
  </si>
  <si>
    <t>(Ｔ)：ミラディンの核の上に蓄積(charge)カウンターを１個置く。</t>
  </si>
  <si>
    <t>怒りの穴蔵、スカルグ</t>
  </si>
  <si>
    <t>(R)(G),(Ｔ)：クリーチャー１体を対象とする。ターン終了時まで、それは+1/+1の修整を受けるとともにトランプルを得る。</t>
  </si>
  <si>
    <t>戦慄艦の浅瀬</t>
  </si>
  <si>
    <t>(１),(Ｔ)：戦慄艦の浅瀬の上に貯蔵(storage)カウンターを１個置く。</t>
  </si>
  <si>
    <t>(１),戦慄艦の浅瀬から貯蔵カウンターをＸ個取り除く：(U)と(B)の好きな組み合わせのマナＸ点を加える。</t>
  </si>
  <si>
    <t>ヒル溜りの沼</t>
  </si>
  <si>
    <t>（(Ｔ)：(B)を加える。）</t>
  </si>
  <si>
    <t>ヒル溜りの沼はタップ状態で戦場に出る。</t>
  </si>
  <si>
    <t>(B),(Ｔ)：各対戦相手は１点のライフを失う。この能力は、あなたが黒のパーマネントを２つ以上コントロールしているときにのみ起動できる。</t>
  </si>
  <si>
    <t>カザンドゥの隠れ家</t>
  </si>
  <si>
    <t>カザンドゥの隠れ家はタップ状態で戦場に出る。</t>
  </si>
  <si>
    <t>カザンドゥの隠れ家が戦場に出たとき、あなたは１点のライフを得る。</t>
  </si>
  <si>
    <t>魔道士輪の魔力網</t>
  </si>
  <si>
    <t>(１),(Ｔ)：魔道士輪の魔力網の上に貯蔵(storage)カウンターを１個置く。</t>
  </si>
  <si>
    <t>森林地の小川</t>
  </si>
  <si>
    <t>森林地の小川はタップ状態で戦場に出る。</t>
  </si>
  <si>
    <t>(Ｔ)：(G)か(U)を加える。</t>
  </si>
  <si>
    <t>名誉の記念像</t>
  </si>
  <si>
    <t>名誉の記念像はタップ状態で戦場に出る。</t>
  </si>
  <si>
    <t>(Ｔ)：(W)を加える。</t>
  </si>
  <si>
    <t>(３)(W),(Ｔ),名誉の記念像を生け贄に捧げる：白の1/1の兵士(Soldier)クリーチャー・トークンを２体生成する。</t>
  </si>
  <si>
    <t>Dominaria</t>
  </si>
  <si>
    <t>ギトゥの宿営地</t>
  </si>
  <si>
    <t>ギトゥの宿営地はタップ状態で戦場に出る。</t>
  </si>
  <si>
    <t>(Ｔ)：(R)を加える。</t>
  </si>
  <si>
    <t>(１)(R)：ターン終了時まで、ギトゥの宿営地は先制攻撃を持つ赤の2/1の戦士(Warrior)クリーチャーになる。それは土地でもある。（それは、先制攻撃を持たないクリーチャーより先に戦闘ダメージを与える。）</t>
  </si>
  <si>
    <t>平穏な庭園</t>
  </si>
  <si>
    <t>オルゾフの聖堂</t>
  </si>
  <si>
    <t>オルゾフの聖堂はタップ状態で戦場に出る。</t>
  </si>
  <si>
    <t>オルゾフの聖堂が戦場に出たとき、あなたがコントロールする土地を１つ、オーナーの手札に戻す。</t>
  </si>
  <si>
    <t>ケルドの巨石</t>
  </si>
  <si>
    <t>ケルドの巨石はタップ状態で戦場に出る。</t>
  </si>
  <si>
    <t>暴勇 ― (１)(R),(Ｔ)：クリーチャー１体かプレインズウォーカー１体かプレイヤー１人を対象とする。ケルドの巨石は、それに１点のダメージを与える。この能力は、あなたの手札にカードがないときにのみ起動できる。</t>
  </si>
  <si>
    <t>秘儀の聖域</t>
  </si>
  <si>
    <t>秘儀の聖域はタップ状態で戦場に出る。</t>
  </si>
  <si>
    <t>(Ｔ)：(W)か(U)か(B)を加える。</t>
  </si>
  <si>
    <t>ファイレクシアの核</t>
  </si>
  <si>
    <t>(１),(Ｔ),アーティファクトを１つ生け贄に捧げる：あなたは１点のライフを得る。</t>
  </si>
  <si>
    <t>荒廃した瀑布</t>
  </si>
  <si>
    <t>(５)(U),(Ｔ),荒廃した瀑布を生け贄に捧げる：カードを２枚引く。</t>
  </si>
  <si>
    <t>死者の砂丘</t>
  </si>
  <si>
    <t>死者の砂丘が戦場から墓地に置かれたとき、黒の2/2のゾンビ(Zombie)・クリーチャー・トークンを１体生成する。</t>
  </si>
  <si>
    <t>隠れ石</t>
  </si>
  <si>
    <t>(６)：隠れ石は、3/3のエレメンタル(Elemental)・アーティファクト・クリーチャーになる。それは土地でもある。（この効果は永続する。）</t>
  </si>
  <si>
    <t>ゴルガリの腐敗農場</t>
  </si>
  <si>
    <t>ゴルガリの腐敗農場はタップ状態で戦場に出る。</t>
  </si>
  <si>
    <t>ゴルガリの腐敗農場が戦場に出たとき、あなたがコントロールする土地を１つ、オーナーの手札に戻す。</t>
  </si>
  <si>
    <t>(Ｔ)：(B)(G)を加える。</t>
  </si>
  <si>
    <t>秩序の尖塔、プラーフ</t>
  </si>
  <si>
    <t>(４)(W)(U),(Ｔ)：このターン、あなたが選んだ発生源１つが与えるすべてのダメージを軽減する。</t>
  </si>
  <si>
    <t>霜の湿地</t>
  </si>
  <si>
    <t>霜の湿地はタップ状態で戦場に出る。</t>
  </si>
  <si>
    <t>(Ｔ)：(U)か(B)を加える。</t>
  </si>
  <si>
    <t>ゆらめく岩屋</t>
  </si>
  <si>
    <t>古代の聖塔</t>
  </si>
  <si>
    <t>(Ｔ)：好きな色のマナ１点を加える。このマナは、クリーチャー呪文を唱えるためにのみ支払える。</t>
  </si>
  <si>
    <t>遊牧民の前哨地</t>
  </si>
  <si>
    <t>遊牧民の前哨地はタップ状態で戦場に出る。</t>
  </si>
  <si>
    <t>森林の地溝</t>
  </si>
  <si>
    <t>森林の地溝はタップ状態で戦場に出る。</t>
  </si>
  <si>
    <t>ラムナプの遺跡</t>
  </si>
  <si>
    <t>(２)(R)(R),(Ｔ),砂漠(Desert)１つを生け贄に捧げる：ラムナプの遺跡は各対戦相手にそれぞれ２点のダメージを与える。</t>
  </si>
  <si>
    <t>ウルザの塔</t>
  </si>
  <si>
    <t>影の家、ダスクマントル</t>
  </si>
  <si>
    <t>(U)(B),(Ｔ)：プレイヤー１人を対象とする。そのプレイヤーは、自分のライブラリーのカードの一番上のカードを１枚、自分の墓地に置く。</t>
  </si>
  <si>
    <t>石灰の池</t>
  </si>
  <si>
    <t>(１),(Ｔ)：石灰の池の上に貯蔵(storage)カウンターを１個置く。</t>
  </si>
  <si>
    <t>(１),石灰の池から貯蔵カウンターをＸ個取り除く：(W)と(U)の好きな組み合わせのマナＸ点を加える。</t>
  </si>
  <si>
    <t>鮮烈な草地</t>
  </si>
  <si>
    <t>鮮烈な草地は、その上に蓄積(charge)カウンターが２個置かれた状態で、タップ状態で戦場に出る。</t>
  </si>
  <si>
    <t>ジュワー島の隠れ家</t>
  </si>
  <si>
    <t>ジュワー島の隠れ家はタップ状態で戦場に出る。</t>
  </si>
  <si>
    <t>ジュワー島の隠れ家が戦場に出たとき、あなたは１点のライフを得る。</t>
  </si>
  <si>
    <t>領事の鋳造所</t>
  </si>
  <si>
    <t>(５),(Ｔ),領事の鋳造所を生け贄に捧げる：飛行を持つ無色の1/1の飛行機械(Thopter)アーティファクト・クリーチャー・トークンを２体生成する。</t>
  </si>
  <si>
    <t>採石場</t>
  </si>
  <si>
    <t>採石場はタップ状態で戦場に出る。</t>
  </si>
  <si>
    <t>(Ｔ)：(R)か(W)を加える。</t>
  </si>
  <si>
    <t>天才の記念像</t>
  </si>
  <si>
    <t>天才の記念像はタップ状態で戦場に出る。</t>
  </si>
  <si>
    <t>(Ｔ)：(U)を加える。</t>
  </si>
  <si>
    <t>(４)(U),(Ｔ),天才の記念像を生け贄に捧げる：カードを２枚引く。</t>
  </si>
  <si>
    <t>近づきがたい監視塔</t>
  </si>
  <si>
    <t>近づきがたい監視塔はタップ状態で戦場に出る。</t>
  </si>
  <si>
    <t>(１)(W)：ターン終了時まで、近づきがたい監視塔は白の1/5の兵士(Soldier)クリーチャーになる。それは土地でもある。</t>
  </si>
  <si>
    <t>水まといの洞窟</t>
  </si>
  <si>
    <t>イゼットの煮沸場</t>
  </si>
  <si>
    <t>イゼットの煮沸場はタップ状態で戦場に出る。</t>
  </si>
  <si>
    <t>イゼットの煮沸場が戦場に出たとき、あなたがコントロールする土地を１つ、オーナーの手札に戻す。</t>
  </si>
  <si>
    <t>(Ｔ)：(U)(R)を加える。</t>
  </si>
  <si>
    <t>ダクムーアの回収場</t>
  </si>
  <si>
    <t>ダクムーアの回収場はタップ状態で戦場に出る。</t>
  </si>
  <si>
    <t>(Ｔ)：(B)を加える。</t>
  </si>
  <si>
    <t>発掘２（あなたがカードを引く場合、代わりにあなたはあなたのライブラリーのカードを上からちょうど２枚、あなたの墓地に置いてもよい。そうした場合、あなたの墓地にあるこのカードをあなたの手札に戻す。そうしなかった場合、カードを１枚引く。）</t>
  </si>
  <si>
    <t>樹液染みの森</t>
  </si>
  <si>
    <t>樹液染みの森はタップ状態で戦場に出る。</t>
  </si>
  <si>
    <t>(G),(Ｔ)：あなたは１点のライフを得る。この能力は、あなたが緑のパーマネントを２つ以上コントロールしている場合にのみ起動できる。</t>
  </si>
  <si>
    <t>エルドラージの寺院</t>
  </si>
  <si>
    <t>(Ｔ)：(◇)(◇)を加える。このマナは、無色のエルドラージ(Eldrazi)呪文を唱えるためか、無色のエルドラージの能力を起動するためにのみ支払える。</t>
  </si>
  <si>
    <t>荒廃した湿原</t>
  </si>
  <si>
    <t>(４)(B),(Ｔ),荒廃した湿原を生け贄に捧げる：対戦相手１人を対象とする。そのプレイヤーはクリーチャーを１体生け贄に捧げる。</t>
  </si>
  <si>
    <t>絡みつく砂丘</t>
  </si>
  <si>
    <t>(１),(Ｔ),絡みつく砂丘を生け贄に捧げる：クリーチャー１体を対象とし、それの上に-1/-1カウンターを１個置く。この能力は、あなたがソーサリーを唱えられるときにのみ起動できる。</t>
  </si>
  <si>
    <t>産卵池</t>
  </si>
  <si>
    <t>産卵池はタップ状態で戦場に出る。</t>
  </si>
  <si>
    <t>(１)(B)：産卵池は、ターン終了時まで「(B)：このクリーチャーを再生する。」を持つ黒の1/1のスケルトン(Skeleton)・クリーチャーになる。それは土地でもある。（それが再生する場合、このターン、次にこそれが破壊される場合、それは破壊されない。 代わりに、それをタップし、それに与えられているダメージをすべて取り除き、戦闘から取り除く。）</t>
  </si>
  <si>
    <t>ディミーアの水路</t>
  </si>
  <si>
    <t>ディミーアの水路はタップ状態で戦場に出る。</t>
  </si>
  <si>
    <t>ディミーアの水路が戦場に出たとき、あなたがコントロールする土地を１つ、オーナーの手札に戻す。</t>
  </si>
  <si>
    <t>(Ｔ)：(U)(B)を加える。</t>
  </si>
  <si>
    <t>アゾリウスの大法官庁</t>
  </si>
  <si>
    <t xml:space="preserve">アゾリウスの大法官庁はタップ状態で戦場に出る。 </t>
  </si>
  <si>
    <t>アゾリウスの大法官庁が戦場に出たとき、あなたがコントロールする土地１つをオーナーの手札に戻す。</t>
  </si>
  <si>
    <t>(Ｔ)：(W)(U)を加える。</t>
  </si>
  <si>
    <t>生けるものの洞窟</t>
  </si>
  <si>
    <t>変異(２)（あなたはこのカードを、(３)を支払うことで2/2クリーチャーとして裏向きに唱えてもよい。その変異コストを支払うことで、それをいつでも表向きにしてよい。）</t>
  </si>
  <si>
    <t>海辺の城塞</t>
  </si>
  <si>
    <t>海辺の城塞はタップ状態で戦場に出る。</t>
  </si>
  <si>
    <t>神秘の僧院</t>
  </si>
  <si>
    <t>神秘の僧院はタップ状態で戦場に出る。</t>
  </si>
  <si>
    <t>水没した骨塚</t>
  </si>
  <si>
    <t>水没した骨塚はタップ状態で戦場に出る。</t>
  </si>
  <si>
    <t>イプヌの細流</t>
  </si>
  <si>
    <t>(Ｔ),１点のライフを支払う：(U)を加える。</t>
  </si>
  <si>
    <t>(１)(U),(Ｔ),砂漠(Desert)１つを生け贄に捧げる：プレイヤー１人を対象とする。そのプレイヤーは自分のライブラリーの一番上からカード４枚を自分の墓地に置く。</t>
  </si>
  <si>
    <t>ウルザの魔力炉</t>
  </si>
  <si>
    <t>安息の無い墓、スヴォグトース</t>
  </si>
  <si>
    <t>(３)(B)(G)：ターン終了時まで、安息の無い墓、スヴォグトースは「このクリーチャーのパワーとタフネスはそれぞれ、あなたの墓地にあるクリーチャー・カードの枚数に等しい。」を持つ黒であり緑である植物(Plant)・ゾンビ(Zombie)・クリーチャーになる。それは土地でもある。</t>
  </si>
  <si>
    <t>ボリアルの氷棚</t>
  </si>
  <si>
    <t>ボリアルの氷棚はタップ状態で戦場に出る。</t>
  </si>
  <si>
    <t>(Ｔ)：(W)か(U)を加える。</t>
  </si>
  <si>
    <t>ウルザの工廠</t>
  </si>
  <si>
    <t>(７),(Ｔ)：無色の2/2の組立作業員(Assembly-Worker)アーティファクト・クリーチャー・トークンを１体生成する。</t>
  </si>
  <si>
    <t>鮮烈な湿地</t>
  </si>
  <si>
    <t>鮮烈な湿地は、その上に蓄積(charge)カウンターが２個置かれた状態で、タップ状態で戦場に出る。</t>
  </si>
  <si>
    <t>灰色革の隠れ家</t>
  </si>
  <si>
    <t>灰色革の隠れ家はタップ状態で戦場に出る。</t>
  </si>
  <si>
    <t>灰色革の隠れ家が戦場に出たとき、あなたは１点のライフを得る。</t>
  </si>
  <si>
    <t>精霊龍の墓</t>
  </si>
  <si>
    <t>(２),(Ｔ)：あなたは、あなたがコントロールする無色のクリーチャー１体につき１点のライフを得る。</t>
  </si>
  <si>
    <t>高地の湖</t>
  </si>
  <si>
    <t>高地の湖はタップ状態で戦場に出る。</t>
  </si>
  <si>
    <t>(Ｔ)：(U)か(R)を加える。</t>
  </si>
  <si>
    <t>愚蒙の記念像</t>
  </si>
  <si>
    <t>愚蒙の記念像はタップ状態で戦場に出る。</t>
  </si>
  <si>
    <t>(２)(B),(Ｔ),愚蒙の記念像を生け贄に捧げる：あなたの墓地からクリーチャー・カード１枚を対象とし、それをあなたの手札に戻す。</t>
  </si>
  <si>
    <t>フェアリーの集会場</t>
  </si>
  <si>
    <t>フェアリーの集会場はタップ状態で戦場に出る。</t>
  </si>
  <si>
    <t>(１)(U)：ターン終了時まで、フェアリーの集会場は飛行を持つ青の2/1のフェアリー(Faerie)・クリーチャーになる。それは土地でもある。</t>
  </si>
  <si>
    <t>松の頂の峰</t>
  </si>
  <si>
    <t>グルールの芝地</t>
  </si>
  <si>
    <t>グルールの芝地はタップ状態で戦場に出る。</t>
  </si>
  <si>
    <t>グルールの芝地が戦場に出たとき、あなたがコントロールする土地を１つ、オーナーの手札に戻す。</t>
  </si>
  <si>
    <t>(Ｔ)：(R)(G)を加える。</t>
  </si>
  <si>
    <t>塩汚れのステップ</t>
  </si>
  <si>
    <t>(１),(Ｔ)：塩汚れのステップの上に貯蔵(storage)カウンターを１個置く。</t>
  </si>
  <si>
    <t>月の輪の島</t>
  </si>
  <si>
    <t>月の輪の島はタップ状態で戦場に出る。</t>
  </si>
  <si>
    <t>(U),(Ｔ)：プレイヤー１人を対象とする。そのプレイヤーのライブラリーの一番上のカードを見る。この能力は、あなたが青のパーマネントを２つ以上コントロールしている場合にのみ起動できる。</t>
  </si>
  <si>
    <t>地盤の際</t>
  </si>
  <si>
    <t>(１),(Ｔ),地盤の際を生け贄に捧げる：基本でない土地１つを対象とし、それを破壊する。この能力は、対戦相手１人が土地を４つ以上コントロールしている場合にのみ起動できる。</t>
  </si>
  <si>
    <t>荒廃した山峡</t>
  </si>
  <si>
    <t>(４)(R),(Ｔ),荒廃した山峡を生け贄に捧げる：クリーチャー１体かプレイヤー１人かプレインズウォーカー１体を対象とする。これはそれに２点のダメージを与える。</t>
  </si>
  <si>
    <t>隔絶した隠し場所</t>
  </si>
  <si>
    <t>(４),(Ｔ),隔絶した隠し場所を生け贄に捧げる：あなたのライブラリーの一番上からカードを５枚あなたの墓地に置く。その後あなたはあなたの墓地からアーティファクト・カード１枚をあなたのライブラリーの一番上に置いてもよい。</t>
  </si>
  <si>
    <t>ザルファーの虚空</t>
  </si>
  <si>
    <t>ザルファーの虚空が戦場に出たとき、占術１を行う。（あなたのライブラリーの一番上のカードを見る。あなたはそのカードをあなたのライブラリーの一番下に置いてもよい。）</t>
  </si>
  <si>
    <t>シヴのオアシス</t>
  </si>
  <si>
    <t>シヴのオアシスはタップ状態で戦場に出る。</t>
  </si>
  <si>
    <t>ボロスの駐屯地</t>
  </si>
  <si>
    <t>ボロスの駐屯地はタップ状態で戦場に出る。</t>
  </si>
  <si>
    <t>ボロスの駐屯地が戦場に出たとき、あなたがコントロールする土地を１つ、オーナーの手札に戻す。</t>
  </si>
  <si>
    <t>(Ｔ)：(R)(W)を加える。</t>
  </si>
  <si>
    <t>迷宮の宮殿、リックス・マーディ</t>
  </si>
  <si>
    <t>(１)(B)(R),(Ｔ)：各プレイヤーはカードを１枚捨てる。この能力は、あなたがソーサリーを唱えられるときにのみ起動できる。</t>
  </si>
  <si>
    <t>トレイリア西部</t>
  </si>
  <si>
    <t>トレイリア西部はタップ状態で戦場に出る。</t>
  </si>
  <si>
    <t>変成(１)(U)(U)（(１)(U)(U),このカードを捨てる：あなたのライブラリーから、点数で見たマナ・コストが０であるカード１枚を探し、それを公開し、あなたの手札に加える。その後あなたのライブラリーを切り直す。変成はソーサリーとしてのみ行う。）</t>
  </si>
  <si>
    <t>野蛮な地</t>
  </si>
  <si>
    <t>野蛮な地はタップ状態で戦場に出る。</t>
  </si>
  <si>
    <t>浸食する荒原</t>
  </si>
  <si>
    <t>(４),(Ｔ),浸食する荒原を生け贄に捧げる：基本でない土地１つを対象とし、それを破壊する。</t>
  </si>
  <si>
    <t>曲がりくねる川</t>
  </si>
  <si>
    <t>曲がりくねる川はタップ状態で戦場に出る。</t>
  </si>
  <si>
    <t>イフニルの死界</t>
  </si>
  <si>
    <t>(Ｔ),１点のライフを支払う：(B)を加える。</t>
  </si>
  <si>
    <t>(２)(B)(B),(Ｔ),砂漠(Desert)１つを生け贄に捧げる：対戦相手がコントロールするクリーチャー１体を対象とし、それの上に-1/-1カウンターを２個置く。この能力は、あなたがソーサリーを唱えられるときにのみ起動できる。</t>
  </si>
  <si>
    <t>ウルザの鉱山</t>
  </si>
  <si>
    <t>軍の要塞、サンホーム</t>
  </si>
  <si>
    <t>(２)(R)(W),(Ｔ)：クリーチャー１体を対象とする。ターン終了時まで、それは二段攻撃を得る。</t>
  </si>
  <si>
    <t>極北の干潟</t>
  </si>
  <si>
    <t>極北の干潟はタップ状態で戦場に出る。</t>
  </si>
  <si>
    <t>トレッサーホーンの掃き溜め</t>
  </si>
  <si>
    <t>トレッサーホーンの掃き溜めはタップ状態で戦場に出る。</t>
  </si>
  <si>
    <t>鮮烈な林</t>
  </si>
  <si>
    <t>鮮烈な林は、その上に蓄積(charge)カウンターが２個置かれた状態で、タップ状態で戦場に出る。</t>
  </si>
  <si>
    <t>アクームの隠れ家</t>
  </si>
  <si>
    <t>アクームの隠れ家はタップ状態で戦場に出る。</t>
  </si>
  <si>
    <t>アクームの隠れ家が戦場に出たとき、あなたは１点のライフを得る。</t>
  </si>
  <si>
    <t>(Ｔ)：(B)か(R)を加える。</t>
  </si>
  <si>
    <t>砂草原の城塞</t>
  </si>
  <si>
    <t>砂草原の城塞はタップ状態で戦場に出る。</t>
  </si>
  <si>
    <t>穢れた果樹園</t>
  </si>
  <si>
    <t>穢れた果樹園はタップ状態で戦場に出る。</t>
  </si>
  <si>
    <t>(Ｔ)：(B)か(G)を加える。</t>
  </si>
  <si>
    <t>手付かずの領土</t>
  </si>
  <si>
    <t>手付かずの領土が戦場に出るに際し、クリーチャー・タイプ１つを選ぶ。</t>
  </si>
  <si>
    <t>エルフェイムの宮殿</t>
  </si>
  <si>
    <t>エルフェイムの宮殿はタップ状態で戦場に出る。</t>
  </si>
  <si>
    <t>灯籠の灯る墓地</t>
  </si>
  <si>
    <t>(Ｔ)：(B)か(R)を加える。灯籠の灯る墓地は、あなたの次のアンタップ・ステップにアンタップしない。</t>
  </si>
  <si>
    <t>火想者の高巣、ニヴィックス</t>
  </si>
  <si>
    <t>(２)(U)(R),(Ｔ)：あなたのライブラリーの一番上のカードを１枚、追放する。あなたの次のターンまで、それがインスタント・カードかソーサリー・カードであるなら、あなたはそれを唱えてもよい。</t>
  </si>
  <si>
    <t>溶鉄の金屑場</t>
  </si>
  <si>
    <t>(１),(Ｔ)：溶鉄の金屑場の上に貯蔵(storage)カウンターを１個置く。</t>
  </si>
  <si>
    <t>霧覆いの平地</t>
  </si>
  <si>
    <t>霧覆いの平地はタップ状態で戦場に出る。</t>
  </si>
  <si>
    <t>(W),(Ｔ)：あなたの墓地にあるカード１枚を対象とし、それをあなたのライブラリーの一番下に置く。この能力は、あなたが白のパーマネントを２つ以上コントロールしている場合にのみ起動できる。</t>
  </si>
  <si>
    <t>戦慄の彫像</t>
  </si>
  <si>
    <t>(４)：ターン終了時まで、戦慄の彫像は4/2のゴーレム(Golem)・アーティファクト・クリーチャーになる。それは土地でもある。</t>
  </si>
  <si>
    <t>荒廃した草原</t>
  </si>
  <si>
    <t>(３)(W),(Ｔ),荒廃した草原を生け贄に捧げる：あなたは、あなたがコントロールするクリーチャー１体につき２点のライフを得る。</t>
  </si>
  <si>
    <t>霊気拠点</t>
  </si>
  <si>
    <t>霊気拠点が戦場に出たとき、あなたは(Ｅ)（エネルギー・カウンター１個）を得る。</t>
  </si>
  <si>
    <t>(Ｔ),(Ｅ)を支払う：好きな色１色のマナ１点を加える。</t>
  </si>
  <si>
    <t>闘争の記念像</t>
  </si>
  <si>
    <t>闘争の記念像はタップ状態で戦場に出る。</t>
  </si>
  <si>
    <t>(４)(R),(Ｔ),闘争の記念像を生け贄に捧げる：土地１つを対象とし、それを破壊する。</t>
  </si>
  <si>
    <t>塩の湿地</t>
  </si>
  <si>
    <t>塩の湿地はタップ状態で戦場に出る。</t>
  </si>
  <si>
    <t>霊界への門、神ヶ眼</t>
  </si>
  <si>
    <t>霊界への門、神ヶ眼が戦場からいずれかの墓地に置かれたとき、無色の1/1のスピリット(Spirit)・クリーチャー・トークンを１体生成する。</t>
  </si>
  <si>
    <t>進化の中心、ノヴィジェン</t>
  </si>
  <si>
    <t>(G)(U),(Ｔ)：このターンに戦場に出た各クリーチャーの上に+1/+1カウンターを１個置く。</t>
  </si>
  <si>
    <t>新ベナリア</t>
  </si>
  <si>
    <t>新ベナリアはタップ状態で戦場に出る。</t>
  </si>
  <si>
    <t>新ベナリアが戦場に出たとき、占術１を行う。（あなたのライブラリーの一番上のカードを見る。あなたはそのカードをあなたのライブラリーの一番下に置いてもよい。）</t>
  </si>
  <si>
    <t>ジャングルの祭殿</t>
  </si>
  <si>
    <t>ジャングルの祭殿はタップ状態で戦場に出る。</t>
  </si>
  <si>
    <t>(Ｔ)：(R)か(G)か(W)を加える。</t>
  </si>
  <si>
    <t>ならず者の道</t>
  </si>
  <si>
    <t>(４),(Ｔ)：クリーチャー１体を対象とする。このターン、それはブロックされない。</t>
  </si>
  <si>
    <t>燃え殻の痩せ地</t>
  </si>
  <si>
    <t>燃え殻の痩せ地はタップ状態で戦場に出る。</t>
  </si>
  <si>
    <t>ハシェプのオアシス</t>
  </si>
  <si>
    <t>(Ｔ),１点のライフを支払う：(G)を加える。</t>
  </si>
  <si>
    <t>(１)(G)(G),(Ｔ),砂漠(Desert)１つを生け贄に捧げる：クリーチャー１体を対象とする。ターン終了時まで、それは+3/+3の修整を受ける。この能力は、あなたがソーサリーを唱えられるときにのみ起動できる。</t>
  </si>
  <si>
    <t>アーボーグの火山</t>
  </si>
  <si>
    <t>アーボーグの火山はタップ状態で戦場に出る。</t>
  </si>
  <si>
    <t>都市の樹、ヴィトゥ＝ガジー</t>
  </si>
  <si>
    <t>(２)(G)(W),(Ｔ)：緑の1/1の苗木(Saproling)クリーチャー・トークンを１体生成する。</t>
  </si>
  <si>
    <t>シミックの成長室</t>
  </si>
  <si>
    <t>シミックの成長室はタップ状態で戦場に出る。</t>
  </si>
  <si>
    <t xml:space="preserve">シミックの成長室が戦場に出たとき、あなたがコントロールする土地を１つ、オーナーの手札に戻す。 </t>
  </si>
  <si>
    <t>ロノムの口</t>
  </si>
  <si>
    <t>(４)(氷),(Ｔ),ロノムの口を生け贄に捧げる：クリーチャー１体を対象とする。ロノムの口はそれに４点のダメージを与える。（(氷)は氷雪パーマネントからのマナ１点で支払うことができる。）</t>
  </si>
  <si>
    <t>鮮烈な小川</t>
  </si>
  <si>
    <t>鮮烈な小川は、その上に蓄積(charge)カウンターが２個置かれた状態で、タップ状態で戦場に出る。</t>
  </si>
  <si>
    <t>不安定な地平線</t>
  </si>
  <si>
    <t>(Ｔ)：あなたがコントロールする土地１つを対象とする。ターン終了時まで、それはあなたが選んだ１種類の基本土地タイプになる。</t>
  </si>
  <si>
    <t>華やかな宮殿</t>
  </si>
  <si>
    <t>華やかな宮殿はタップ状態で戦場に出る。</t>
  </si>
  <si>
    <t>放棄された聖域</t>
  </si>
  <si>
    <t>放棄された聖域はタップ状態で戦場に出る。</t>
  </si>
  <si>
    <t>(Ｔ)：(W)か(B)を加える。</t>
  </si>
  <si>
    <t>廃墟の地</t>
  </si>
  <si>
    <t>(２),(Ｔ),廃墟の地を生け贄に捧げる：対戦相手がコントロールしている基本でない土地１つを対象とし、それを破壊する。各プレイヤーはそれぞれ、自分のライブラリーから基本土地カード１枚を探し、それを戦場に出し、その後自分のライブラリーを切り直す。</t>
  </si>
  <si>
    <t>沿岸の塔</t>
  </si>
  <si>
    <t>沿岸の塔はタップ状態で戦場に出る。</t>
  </si>
  <si>
    <t>ダークスティールの城塞</t>
  </si>
  <si>
    <t>アーティファクト・土地</t>
  </si>
  <si>
    <t>取引の教会、オルゾヴァ</t>
  </si>
  <si>
    <t>(３)(W)(B),(Ｔ)：プレイヤー１人を対象とする。そのプレイヤーは１点のライフを失い、あなたは１点のライフを得る。</t>
  </si>
  <si>
    <t>菌類の到達地</t>
  </si>
  <si>
    <t>(１),(Ｔ)：菌類の到達地の上に貯蔵(storage)カウンターを１個置く。</t>
  </si>
  <si>
    <t>(１),菌類の到達地から貯蔵カウンターをＸ個取り除く：(R)と(G)の好きな組み合わせのマナＸ点を加える。</t>
  </si>
  <si>
    <t>狂気盲いの山</t>
  </si>
  <si>
    <t>狂気盲いの山はタップ状態で戦場に出る。</t>
  </si>
  <si>
    <t>(R),(Ｔ)：あなたのライブラリーを切り直す。この能力は、あなたが赤のパーマネントを２つ以上コントロールしている場合にのみ起動できる。</t>
  </si>
  <si>
    <t>セジーリの隠れ家</t>
  </si>
  <si>
    <t>セジーリの隠れ家はタップ状態で戦場に出る。</t>
  </si>
  <si>
    <t>セジーリの隠れ家が戦場に出たとき、あなたは１点のライフを得る。</t>
  </si>
  <si>
    <t>荒廃した森林</t>
  </si>
  <si>
    <t>(３)(G),(Ｔ),荒廃した森林を生け贄に捧げる：あなたのライブラリーから基本土地カードを最大２枚探し、それらをタップ状態で戦場に出す。その後、あなたのライブラリーを切り直す。</t>
  </si>
  <si>
    <t>ネファリアのアカデミー</t>
  </si>
  <si>
    <t>対戦相手がコントロールする呪文か能力によってあなたがカードを捨てるなら、あなたは、そのカードを他のいずれかの領域に置く代わりに、そのカードを公開してあなたのライブラリーの一番上に置いてもよい。</t>
  </si>
  <si>
    <t>結束の記念像</t>
  </si>
  <si>
    <t>結束の記念像はタップ状態で戦場に出る。</t>
  </si>
  <si>
    <t>(Ｔ)：(G)を加える。</t>
  </si>
  <si>
    <t>(２)(G),(Ｔ),結束の記念像を生け贄に捧げる：あなたのライブラリーの一番上からカードを５枚見る。あなたはその中からクリーチャー・カード１枚を公開してあなたの手札に加えてもよい。その後、残りをあなたのライブラリーの一番下に無作為の順番で置く。</t>
  </si>
  <si>
    <t>流砂</t>
  </si>
  <si>
    <t>(Ｔ),流砂を生け贄に捧げる：飛行を持たない攻撃しているクリーチャー１体を対象とする。ターン終了時まで、それは-1/-2の修整を受ける。</t>
  </si>
  <si>
    <t>頂雲の湖</t>
  </si>
  <si>
    <t>(Ｔ)：(U)か(W)を加える。頂雲の湖は、あなたの次のアンタップ・ステップにアンタップしない。</t>
  </si>
  <si>
    <t>幽霊街</t>
  </si>
  <si>
    <t>(Ｔ),幽霊街を生け贄に捧げる：土地１つを対象とし、それを破壊する。それのコントローラーは、自分のライブラリーから基本土地カードを１枚探してもよい。そうしたなら、それを戦場に出し、自分のライブラリーを切り直す。</t>
  </si>
  <si>
    <t>ラノワールの再生地</t>
  </si>
  <si>
    <t>ラノワールの再生地はタップ状態で戦場に出る。</t>
  </si>
  <si>
    <t>移植１（この土地は、その上に+1/+1カウンターが１個置かれた状態で戦場に出る。他のクリーチャーが１体戦場に出るたび、あなたはこの土地の上に置かれている+1/+1カウンターを１個、その上に移動してもよい。）</t>
  </si>
  <si>
    <t>崩れゆく死滅都市</t>
  </si>
  <si>
    <t>崩れゆく死滅都市はタップ状態で戦場に出る。</t>
  </si>
  <si>
    <t>(Ｔ)：(U)か(B)か(R)を加える。</t>
  </si>
  <si>
    <t>埋没した廃墟</t>
  </si>
  <si>
    <t>(２),(Ｔ),埋没した廃墟を生け贄に捧げる：あなたの墓地にあるアーティファクト・カード１枚を対象とし、それをあなたの手札に戻す。</t>
  </si>
  <si>
    <t>繁殖苗床</t>
  </si>
  <si>
    <t>永遠衆の墓所</t>
  </si>
  <si>
    <t>永遠衆の墓所が戦場に出たとき、あなたは１点のライフを得る。</t>
  </si>
  <si>
    <t>(１),(Ｔ)：(U)か(B)か(R)を加える。</t>
  </si>
  <si>
    <t>樹上の村</t>
  </si>
  <si>
    <t>樹上の村はタップ状態で戦場に出る。</t>
  </si>
  <si>
    <t>(１)(G)：樹上の村は、ターン終了時までトランプルを持つ緑の3/3の類人猿(Ape)クリーチャーになる。それは土地でもある。（それが、自身をブロックしているすべてのクリーチャーを破壊するのに十分な戦闘ダメージを割り振る場合、あなたはその残りのダメージを防御プレイヤーかプレインズウォーカーに割り振ってもよい。）</t>
  </si>
  <si>
    <t>セレズニアの聖域</t>
  </si>
  <si>
    <t>セレズニアの聖域はタップ状態で戦場に出る。</t>
  </si>
  <si>
    <t>セレズニアの聖域が戦場に出たとき、あなたがコントロールする土地を１つ、オーナーの手札に戻す。</t>
  </si>
  <si>
    <t>ラクドスの肉儀場</t>
  </si>
  <si>
    <t>ラクドスの肉儀場はタップ状態で戦場に出る。</t>
  </si>
  <si>
    <t xml:space="preserve">ラクドスの肉儀場が戦場に出たとき、あなたがコントロールする土地を１つ、オーナーの手札に戻す。 </t>
  </si>
  <si>
    <t>砂漠(Desert)</t>
  </si>
  <si>
    <t>沼(Swamp)</t>
  </si>
  <si>
    <t>(Urza’s)・塔(Tower)</t>
  </si>
  <si>
    <t>森(Forest)</t>
  </si>
  <si>
    <t>(Urza’s)・魔力炉(Power</t>
  </si>
  <si>
    <t>Plant)</t>
  </si>
  <si>
    <t>(Urza’s)</t>
  </si>
  <si>
    <t>島(Island)</t>
  </si>
  <si>
    <t>(Urza’s)・鉱山(Mine)</t>
  </si>
  <si>
    <t>平地(Plains)</t>
  </si>
  <si>
    <t>山(Mountain)</t>
  </si>
  <si>
    <t>(Ｔ)：(U)か(B)を加える。</t>
    <phoneticPr fontId="1"/>
  </si>
  <si>
    <t>(Ｔ)：(B)か(R)を加える。</t>
    <phoneticPr fontId="1"/>
  </si>
  <si>
    <t>(Ｔ)：(R)か(G)を加える。</t>
    <phoneticPr fontId="1"/>
  </si>
  <si>
    <t>(Ｔ),鮮烈な草地から蓄積カウンターを１個取り除く：、好きな色のマナ１点を加える。</t>
  </si>
  <si>
    <t>(Ｔ),鮮烈な小川から蓄積カウンターを１個取り除く：、好きな色のマナ１点を加える。</t>
  </si>
  <si>
    <t>(Ｔ),鮮烈な湿地から蓄積カウンターを１個取り除く：、好きな色のマナ１点を加える。</t>
  </si>
  <si>
    <t>(Ｔ),鮮烈な岩山から蓄積カウンターを１個取り除く：、好きな色のマナ１点を加える。</t>
  </si>
  <si>
    <t>(Ｔ),鮮烈な林から蓄積カウンターを１個取り除く：、好きな色のマナ１点を加える。</t>
  </si>
  <si>
    <t>(Ｔ),１点のライフを支払う：(W)を加える。</t>
  </si>
  <si>
    <t>(Ｔ),１点のライフを支払う：(R)を加える。</t>
  </si>
  <si>
    <t>(６),(Ｔ),繁殖苗床を生け贄に捧げる：無色の1/1のエルドラージ(Eldrazi)・末裔(Scion)クリーチャー・トークンを３体生成する。それらは「このクリーチャーを生け贄に捧げる：(◇)を加える。」を持つ。</t>
  </si>
  <si>
    <t>(Ｔ)：(R)か(G)を加える。松の頂の峰は、あなたの次のアンタップ・ステップにアンタップしない。</t>
  </si>
  <si>
    <t>(Ｔ)：(U)か(B)を加える。水まといの洞窟は、あなたの次のアンタップ・ステップにアンタップしない。</t>
  </si>
  <si>
    <t>(Ｔ)：(G)か(W)を加える。平穏な庭園は、あなたの次のアンタップ・ステップにアンタップしない。</t>
  </si>
  <si>
    <t>(Ｔ),ミラディンの核から蓄積カウンターを１個取り除く：、好きな色のマナ１点を加える。</t>
  </si>
  <si>
    <t>(Ｔ)：好きな色１色のマナ１点を加える。このマナは、その選ばれたタイプのクリーチャー呪文を唱えるためにのみ使用できる。</t>
  </si>
  <si>
    <t>(Ｔ)：(B)か(G)か(U)を加える。</t>
  </si>
  <si>
    <t>(Ｔ)：(W)か(B)か(G)を加える。</t>
  </si>
  <si>
    <t>(Ｔ)：(U)か(R)か(W)を加える。</t>
  </si>
  <si>
    <t>(Ｔ)：(R)か(W)か(B)を加える。</t>
  </si>
  <si>
    <t>(１),(Ｔ)：好きな色のマナ１点を加える。</t>
  </si>
  <si>
    <t>(Ｔ),魔道士輪の魔力網の上から望む数の貯蔵カウンターを取り除く：、これにより取り除かれた貯蔵カウンター１個につき(◇)を加える。</t>
  </si>
  <si>
    <t>(Ｔ)：(W)(B)を加える。</t>
  </si>
  <si>
    <t>(Ｔ)：(G)(U)を加える。</t>
  </si>
  <si>
    <t>(Ｔ)：(G)(W)を加える。</t>
  </si>
  <si>
    <t>(Ｔ)：(B)(R)を加える。</t>
  </si>
  <si>
    <t>(Ｔ)：(◇)を加える。あなたがウルザの(Urza's)・魔力炉(Power-Plant)とウルザの・塔(Tower)をコントロールしている場合、代わりに(◇)(◇)を加える。</t>
  </si>
  <si>
    <t>(Ｔ)：(◇)を加える。あなたがウルザの(Urza's)・鉱山(Mine)とウルザの・魔力炉(Power-Plant)をコントロールしている場合、代わりに(◇)(◇)(◇)を加える。</t>
  </si>
  <si>
    <t>(Ｔ)：(◇)を加える。あなたがウルザの(Urza's)・鉱山(Mine)とウルザの・塔(Tower)をコントロールしている場合、代わりに(◇)(◇)を加える。</t>
  </si>
  <si>
    <t>（(Ｔ)：(R)を加える。）</t>
  </si>
  <si>
    <t>（(Ｔ)：(U)を加える。）</t>
  </si>
  <si>
    <t>（(Ｔ)：(G)を加える。）</t>
  </si>
  <si>
    <t>（(Ｔ)：(W)を加える。）</t>
  </si>
  <si>
    <t>(Ｔ)：(G)か(W)か(U)を加える。</t>
  </si>
  <si>
    <t>(Ｔ)：(B)か(R)か(G)を加える。</t>
  </si>
  <si>
    <t>(１),塩汚れのステップから貯蔵カウンターをＸ個取り除く：、(G)と(W)の好きな組み合わせのマナＸ点を加える。</t>
  </si>
  <si>
    <t>(１),溶鉄の金屑場から貯蔵カウンターをＸ個取り除く：、(B)と(R)の好きな組み合わせのマナＸ点を加える。</t>
  </si>
  <si>
    <t>主導権の奪取</t>
  </si>
  <si>
    <t>クリーチャー１体を対象とする。それはターン終了時まで+1/+1の修整を受けるとともに先制攻撃を得る。</t>
  </si>
  <si>
    <t>啓蒙</t>
  </si>
  <si>
    <t>エンチャント１つを対象とし、それを破壊する。</t>
  </si>
  <si>
    <t>神々の思し召し</t>
  </si>
  <si>
    <t>あなたがコントロールするクリーチャー１体を対象とする。それはターン終了時までプロテクション（あなたが選んだ色１色）を得る。占術１を行う。（あなたのライブラリーの一番上のカードを見る。あなたはそのカードをあなたのライブラリーの一番下に置いてもよい。）</t>
  </si>
  <si>
    <t>定命の者の熱意</t>
  </si>
  <si>
    <t>クリーチャー１体を対象とする。それはターン終了時まで+1/+1の修整を受けるとともに絆魂を得る。（そのクリーチャーがダメージを与える場合、さらにそれのコントローラーは同じ点数のライフを得る。）</t>
  </si>
  <si>
    <t>デジェルの決意</t>
  </si>
  <si>
    <t>クリーチャー１体を対象とし、それをアンタップする。このターン、それに与えられるダメージをすべて軽減する。</t>
  </si>
  <si>
    <t>天空のもや</t>
  </si>
  <si>
    <t>このターン、クリーチャーによって与えられるすべてのダメージを軽減する。</t>
  </si>
  <si>
    <t>揃った連射</t>
  </si>
  <si>
    <t>攻撃かブロックをしているクリーチャー１体を対象とする。クリーチャー・タイプを１つ選ぶ。揃った連射は、そのクリーチャーに、あなたがコントロールする選ばれたタイプのパーマネントの数に等しい点数のダメージを与える。</t>
  </si>
  <si>
    <t>聖なる日</t>
  </si>
  <si>
    <t>このターンに与えられるすべての戦闘ダメージを軽減する。</t>
  </si>
  <si>
    <t>路地への回避</t>
  </si>
  <si>
    <t>・あなたがコントロールするクリーチャー１体を対象とする。ターン終了時まで、それは+1/+2の修整を受ける。</t>
  </si>
  <si>
    <t>・あなたがコントロールするクリーチャー１体を対象とし、それをオーナーの手札に戻す。</t>
  </si>
  <si>
    <t>断固</t>
  </si>
  <si>
    <t>クリーチャー１体を対象とする。それはターン終了時まで+1/+1の修整を受ける。占術２を行う。（あなたのライブラリーの一番上から２枚のカードを見て、そのうちの望む枚数のカードを望む順番であなたのライブラリーの一番下に置き、残りを望む順番で一番上に置く。）</t>
  </si>
  <si>
    <t>剥ぎ取り</t>
  </si>
  <si>
    <t>クリーチャー１体を対象とする。それにつけられている、すべてのオーラ(Aura)とすべての装備品(Equipment)を破壊する。</t>
  </si>
  <si>
    <t>古参兵の反応</t>
  </si>
  <si>
    <t>クリーチャー１体を対象とする。それはターン終了時まで+1/+1の修整を受ける。そのクリーチャーをアンタップする。</t>
  </si>
  <si>
    <t>物静かな純潔</t>
  </si>
  <si>
    <t>守られた道</t>
  </si>
  <si>
    <t>クリーチャー１体を対象とする。このターン、それに与えられるすべてのダメージを軽減する。</t>
  </si>
  <si>
    <t>目かくし</t>
  </si>
  <si>
    <t>クリーチャー１体かプレイヤー１人かプレインズウォーカー１体を対象とする。このターン、それに与えられる次のダメージを１点軽減する。</t>
  </si>
  <si>
    <t>突撃</t>
  </si>
  <si>
    <t>ターン終了時まで、あなたがコントロールしているクリーチャーは+1/+1の修整を受ける。</t>
  </si>
  <si>
    <t>霊的な訪れ</t>
  </si>
  <si>
    <t>無色の1/1のスピリット(Spirit)・クリーチャー・トークンを１体生成する。</t>
  </si>
  <si>
    <t>連繋（秘儀(Arcane)）(W)（あなたが秘儀呪文を唱えるに際し、あなたはこのカードを手札から公開して連繋コストを支払ってもよい。そうした場合、このカードの効果をその呪文に追加する。）</t>
  </si>
  <si>
    <t>マナの税収</t>
  </si>
  <si>
    <t>呪文１つを対象とし、それを、それのコントローラーが(１)を支払わないかぎり、打ち消す。</t>
  </si>
  <si>
    <t>雲隠れ</t>
  </si>
  <si>
    <t>あなたがコントロールするクリーチャー１体を対象とし、それを追放し、その後そのカードをあなたのコントロール下で戦場に戻す。</t>
  </si>
  <si>
    <t>治癒の軟膏</t>
  </si>
  <si>
    <t>・プレイヤー１人を対象とする。そのプレイヤーは、３点のライフを得る。</t>
  </si>
  <si>
    <t>・クリーチャー１体かプレインズウォーカー１体かプレイヤー１人を対象とする。このターン、それに与えられる次のダメージを３点軽減する。</t>
  </si>
  <si>
    <t>ウォジェクの号笛</t>
  </si>
  <si>
    <t>光輝 ― クリーチャー１体を対象とする。このターン、それと、その他の共通の色を持つ各クリーチャーはターン終了時まで+1/+1の修整を受ける。</t>
  </si>
  <si>
    <t>たなびく純白</t>
  </si>
  <si>
    <t>クリーチャー１体を対象とする。それはターン終了時まで白になる。そのクリーチャーをタップする。</t>
  </si>
  <si>
    <t>歯止め</t>
  </si>
  <si>
    <t>色を１色選ぶ。クリーチャー１体を対象とする。それはターン終了時までプロテクション（その選ばれた色）を得る。</t>
  </si>
  <si>
    <t>石術師の焦点</t>
  </si>
  <si>
    <t>クリーチャー１体を対象とする。ターン終了時まで、それは+2/+2の修整を受ける。このターン、無色の発生源からそのクリーチャーに与えられるすべてのダメージを軽減する。</t>
  </si>
  <si>
    <t>畏敬の一撃</t>
  </si>
  <si>
    <t>クリーチャー１体を対象とする。このターン、それが次に与えるすべてのダメージを軽減する。あなたはこれにより軽減されたダメージに等しい点数のライフを得る。</t>
  </si>
  <si>
    <t>制覇の時</t>
  </si>
  <si>
    <t>クリーチャー１体を対象とする。ターン終了時まで、それは+2/+2の修整を受ける。あなたは２点のライフを得る。</t>
  </si>
  <si>
    <t>消去</t>
  </si>
  <si>
    <t>エンチャント１つを対象とし、それを追放する。</t>
  </si>
  <si>
    <t>ヴェリズ・ヴェルの盾</t>
  </si>
  <si>
    <t>プレイヤー１人を対象とする。ターン終了時まで、そのプレイヤーがコントロールするクリーチャーは+0/+1の修整を受けるとともにすべてのクリーチャー・タイプを得る。</t>
  </si>
  <si>
    <t>真の武勇</t>
  </si>
  <si>
    <t>クリーチャー１体を対象とする。このターン、そのクリーチャーは好きな数のクリーチャーをブロックできる。</t>
  </si>
  <si>
    <t>素早い正義</t>
  </si>
  <si>
    <t>クリーチャー１体を対象とする。ターン終了時まで、それは+1/+0の修整を受けるとともに先制攻撃と絆魂を得る。</t>
  </si>
  <si>
    <t>果敢な一撃</t>
  </si>
  <si>
    <t>クリーチャー１体を対象とする。ターン終了時まで、それは+1/+0の修整を受ける。</t>
  </si>
  <si>
    <t>強打</t>
  </si>
  <si>
    <t>ブロックされているクリーチャー１体を対象とし、それを破壊する。</t>
  </si>
  <si>
    <t>吸血鬼の士気</t>
  </si>
  <si>
    <t>クリーチャー１体を対象とする。ターン終了時まで、それは+2/+2の修整を受ける。それが吸血鬼(Vampire)であるなら、ターン終了時まで、それは先制攻撃を得る。</t>
  </si>
  <si>
    <t>繕いの手</t>
  </si>
  <si>
    <t>クリーチャー１体かプレインズウォーカー１体かプレイヤー１人を対象とする。このターン、それに与えられる次のダメージを４点軽減する。</t>
  </si>
  <si>
    <t>神聖</t>
  </si>
  <si>
    <t>呪文１つを対象とする。このターン、それが与えるすべてのダメージを軽減する。あなたは、これにより軽減されたダメージに等しい点数のライフを得る。</t>
  </si>
  <si>
    <t>治癒の恩寵</t>
  </si>
  <si>
    <t>クリーチャー１体かプレインズウォーカー１体かプレイヤー１人を対象とする。このターン、あなたが選んだ発生源１つからそれに与えられるダメージを次の３点軽減する。あなたは３点のライフを得る。</t>
  </si>
  <si>
    <t>盾の仲間の祝福</t>
  </si>
  <si>
    <t>クリーチャー１体かプレイヤー１人を対象とする。このターン、それに与えられる次のダメージを３点軽減する。</t>
  </si>
  <si>
    <t>正義の一撃</t>
  </si>
  <si>
    <t>攻撃かブロックしているクリーチャー１体を対象とする。正義の一撃はそれに２点のダメージを与える。</t>
  </si>
  <si>
    <t>アジャニの存在</t>
  </si>
  <si>
    <t>奮励 ― この呪文を唱えるためのコストは、２つ目以降の対象１つにつき(２)(W)多くなる。</t>
  </si>
  <si>
    <t>望む数のクリーチャーを対象とする。ターン終了時まで、それらはそれぞれ+1/+1の修整を受けるとともに破壊不能を得る。（ダメージや「破壊する」効果では、それは破壊されない。）</t>
  </si>
  <si>
    <t>包み込む霧</t>
  </si>
  <si>
    <t>クリーチャー１体を対象とする。ターン終了時まで、それは+1/+1の修整を受ける。このターン、それに与えられるすべてのダメージを軽減する。それが高名であるなら、それをアンタップする。</t>
  </si>
  <si>
    <t>無視</t>
  </si>
  <si>
    <t>このターン、あなたが選んだ発生源１つが与えるすべてのダメージを軽減する。</t>
  </si>
  <si>
    <t>祝福の息吹</t>
  </si>
  <si>
    <t>あなたがコントロールするクリーチャー１体を対象とする。それはターン終了時まで、あなたが選んだ色１色に対するプロテクションを得る。</t>
  </si>
  <si>
    <t>焼尽の光</t>
  </si>
  <si>
    <t>攻撃かブロックしているパワーが２以下のクリーチャー１体を対象とし、それを破壊する。</t>
  </si>
  <si>
    <t>鉤爪の切りつけ</t>
  </si>
  <si>
    <t>攻撃クリーチャー１体かブロック・クリーチャー１体を対象とする。鉤爪の切りつけはそれに２点のダメージを与える。</t>
  </si>
  <si>
    <t>百爪の一撃</t>
  </si>
  <si>
    <t>クリーチャー１体を対象とする。それはターン終了時まで+1/+0の修整を受けるとともに先制攻撃を得る。</t>
  </si>
  <si>
    <t>連繋（秘儀(Arcane)） ― あなたがコントロールする、アンタップ状態の白のクリーチャーを１体タップする。（あなたが秘儀呪文を唱えるに際し、あなたはこのカードを手札から公開して連繋コストを支払ってもよい。そうした場合、このカードの効果をその呪文に追加する。）</t>
  </si>
  <si>
    <t>不屈の意志</t>
  </si>
  <si>
    <t>クリーチャー１体を対象とする。ターン終了時まで、それは+2/+2の修整を受けるとともに破壊不能を得る。（ダメージや「破壊」と書かれた効果では、それは破壊されない。）</t>
  </si>
  <si>
    <t>予防</t>
  </si>
  <si>
    <t>このターン、クリーチャーに与えられるすべてのダメージを軽減する。</t>
  </si>
  <si>
    <t>今わの際</t>
  </si>
  <si>
    <t>パワーが２以下のクリーチャー１体を対象とし、それを追放する。それのコントローラーは４点のライフを得る。</t>
  </si>
  <si>
    <t>天使歌</t>
  </si>
  <si>
    <t>戦慄の感覚</t>
  </si>
  <si>
    <t>フラッシュバック(１)(U)（あなたはあなたの墓地にあるこのカードを、そのフラッシュバック・コストで唱えてもよい。その後それを追放する。）</t>
  </si>
  <si>
    <t>まばゆい反射</t>
  </si>
  <si>
    <t>クリーチャー１体を対象とする。あなたはそれのパワーに等しい点数のライフを得る。このターン、そのクリーチャーが次に与えるダメージを軽減する。</t>
  </si>
  <si>
    <t>救い</t>
  </si>
  <si>
    <t>クリーチャーを最大２体まで対象とする。このターン、それらに与えられるすべてのダメージを軽減する。</t>
  </si>
  <si>
    <t>素早い行動</t>
  </si>
  <si>
    <t>クリーチャー１体かプレイヤー１人を対象とする。このターン、それに与えられる次のダメージを２点軽減する。</t>
  </si>
  <si>
    <t>次のターンのアップキープの開始時にカードを１枚引く。</t>
  </si>
  <si>
    <t>緊急の除霊</t>
  </si>
  <si>
    <t>スピリット(Spirit)１体かエンチャント１つを対象とし、それを破壊する。</t>
  </si>
  <si>
    <t>天駆ける進撃</t>
  </si>
  <si>
    <t>クリーチャー１体を対象とする。それはターン終了時まで+1/+1の修整を受けるとともに飛行と先制攻撃を得る。</t>
  </si>
  <si>
    <t>圧点</t>
  </si>
  <si>
    <t>残響する沈静</t>
  </si>
  <si>
    <t>エンチャント１つを対象とする。それと、そのエンチャントと同じ名前を持つ他のすべてのエンチャントを破壊する。</t>
  </si>
  <si>
    <t>光の幕</t>
  </si>
  <si>
    <t>この呪文は、戦闘中でブロック・クリーチャーが指定された後にのみ唱えられる。</t>
  </si>
  <si>
    <t>ブロックされていない攻撃しているクリーチャー１体を対象とする。それはブロックされた状態になる。（この呪文はブロックされないクリーチャーに対しても機能する。）</t>
  </si>
  <si>
    <t>卑しめる裁き</t>
  </si>
  <si>
    <t>攻撃しているクリーチャーかブロックしているクリーチャー１体を対象とする。占術３を行い、その後あなたのライブラリーの一番上のカードを公開する。卑しめる裁きは、そのクリーチャーにそのカードの点数で見たマナ・コストに等しい点数のダメージを与える。（占術３を行うには、あなたのライブラリーの一番上から３枚のカードを見て、そのうちの望む枚数のカードを望む順番であなたのライブラリーの一番下に置き、残りを望む順番で一番上に置く。）</t>
  </si>
  <si>
    <t>呪い破り</t>
  </si>
  <si>
    <t>エンチャント１つを対象とし、それを破壊する。あなたは２点のライフを得る。</t>
  </si>
  <si>
    <t>くぎ付け</t>
  </si>
  <si>
    <t>クリーチャー１体かプレインズウォーカー１体かプレイヤー１人を対象とする。このターン、次にそれに与えられるダメージを７点軽減する。</t>
  </si>
  <si>
    <t>二人戦術</t>
  </si>
  <si>
    <t>クリーチャーを最大２体対象とする。ターン終了時まで、それらはそれぞれ+1/+2の修整を受ける。あなたは２点のライフを得る。</t>
  </si>
  <si>
    <t>英雄的行動</t>
  </si>
  <si>
    <t>クリーチャー１体を対象とし、それをアンタップする。ターン終了時まで、それは+2/+2の修整を受けるとともに、このターン、それは追加で１体のクリーチャーをブロックできる。</t>
  </si>
  <si>
    <t>太陽の報奨</t>
  </si>
  <si>
    <t>復活(１)(W)（他のクリーチャーが戦場からあなたの墓地に置かれたとき、あなたは(１)(W)を支払ってもよい。そうした場合、あなたの墓地にあるこのカードをあなたの手札に戻す。そうでない場合、このカードを追放する。）</t>
  </si>
  <si>
    <t>力強い跳躍</t>
  </si>
  <si>
    <t>クリーチャー１体を対象とする。ターン終了時まで、それは+2/+2の修整を受けるとともに飛行を得る。</t>
  </si>
  <si>
    <t>アブザンの優位</t>
  </si>
  <si>
    <t>プレイヤー１人を対象とする。そのプレイヤーはエンチャントを１つ生け贄に捧げる。鼓舞１を行う。（あなたがコントロールするクリーチャーの中で最も小さいタフネスを持つクリーチャーを１体選び、それの上に+1/+1カウンターを１個置く。）</t>
  </si>
  <si>
    <t>活力回復</t>
  </si>
  <si>
    <t>あなたは３点のライフを得る。</t>
  </si>
  <si>
    <t>思考の糸のうねり</t>
  </si>
  <si>
    <t>あなたがコントロールするクリーチャーは、ターン終了時まで+1/+1の修整を受ける。あなたがキスキン(Kithkin)をコントロールしている場合、カードを１枚引く。</t>
  </si>
  <si>
    <t>疲弊の休息</t>
  </si>
  <si>
    <t>プレイヤー１人を対象とする。そのプレイヤーは４点のライフを得る。</t>
  </si>
  <si>
    <t>上陸 ― このターン、土地があなたのコントロール下で戦場に出ている場合、代わりにそのプレイヤーは８点のライフを得る。</t>
  </si>
  <si>
    <t>武勇の誇示</t>
  </si>
  <si>
    <t>クリーチャー１体を対象とする。それはターン終了時まで+2/+4の修整を受ける。</t>
  </si>
  <si>
    <t>天啓の光</t>
  </si>
  <si>
    <t>デジェルの拒絶</t>
  </si>
  <si>
    <t>クリーチャー最大２体を対象とし、それらをタップする。</t>
  </si>
  <si>
    <t>キイェルドーのときの声</t>
  </si>
  <si>
    <t>あなたがコントロールするクリーチャーは、ターン終了時まで+X/+Xの修整を受ける。Ｘは、すべての墓地にある《キイェルドーのときの声/Kjeldoran War Cry》という名前のカードの総数に１を加えた点数に等しい。</t>
  </si>
  <si>
    <t>霊都の驀進</t>
  </si>
  <si>
    <t>掃引 ― あなたがコントロールする平地(Plains)を好きな数だけ、オーナーの手札に戻す。クリーチャー１体を対象とする。それはターン終了時まで、これにより戻された平地１枚につき+1/+1の修整を受ける。</t>
  </si>
  <si>
    <t>暁の魔除け</t>
  </si>
  <si>
    <t>・このターンに与えられるすべての戦闘ダメージを軽減する。</t>
  </si>
  <si>
    <t>・クリーチャー１体を対象とし、それを再生する。</t>
  </si>
  <si>
    <t>・あなたを対象とする呪文１つを対象とし、それを打ち消す。</t>
  </si>
  <si>
    <t>白の太陽の通過</t>
  </si>
  <si>
    <t>あなたは５点のライフを得る。</t>
  </si>
  <si>
    <t>熟練の突き</t>
  </si>
  <si>
    <t>クリーチャー１体を対象とする。それはターン終了時まで+2/+0の修整を受けるとともに先制攻撃を得る。</t>
  </si>
  <si>
    <t>戦識の武勇</t>
  </si>
  <si>
    <t>クリーチャー１体を対象とする。それはターン終了時まで+2/+2の修整を受ける。占術１を行う。（あなたのライブラリーの一番上のカードを見る。あなたはそのカードをあなたのライブラリーの一番下に置いてもよい。）</t>
  </si>
  <si>
    <t>巧みな機動</t>
  </si>
  <si>
    <t>クリーチャー１体を対象とする。ターン終了時まで、それは+2/+2の修整を受ける。</t>
  </si>
  <si>
    <t>絶妙なタイミング</t>
  </si>
  <si>
    <t>攻撃クリーチャー１体かブロック・クリーチャー１体を対象とする。絶妙なタイミングはそれに３点のダメージを与える。</t>
  </si>
  <si>
    <t>痕跡消し</t>
  </si>
  <si>
    <t>光輝 ― エンチャント１つを対象とする。それと、その他の共通の色を持つ各エンチャントを破壊する。</t>
  </si>
  <si>
    <t>審問官の罠</t>
  </si>
  <si>
    <t>攻撃しているクリーチャーかブロックしているクリーチャー１体を対象とする。このターン、それが与えるすべてのダメージを軽減する。そのクリーチャーが黒か赤である場合、それを破壊する。</t>
  </si>
  <si>
    <t>盲信の一撃</t>
  </si>
  <si>
    <t>クリーチャー１体を対象とする。それはターン終了時まで+2/+2の修整を受けるとともに先制攻撃を得る。</t>
  </si>
  <si>
    <t>儚き盾</t>
  </si>
  <si>
    <t>クリーチャー１体を対象とする。それはターン終了時まで破壊不能を得る。（ダメージや「破壊する」と書かれた効果では、それは破壊されない。）</t>
  </si>
  <si>
    <t>ギデオンの叱責</t>
  </si>
  <si>
    <t>攻撃クリーチャー１体かブロック・クリーチャー１体を対象とする。ギデオンの叱責はそれに４点のダメージを与える。</t>
  </si>
  <si>
    <t>急報</t>
  </si>
  <si>
    <t>白の1/1の兵士(Soldier)クリーチャー・トークンを２体生成する。</t>
  </si>
  <si>
    <t>オケチラの名のもとに</t>
  </si>
  <si>
    <t>ターン終了時まで、あなたがコントロールするゾンビ(Zombie)は+2/+1の修整を受ける。ターン終了時まで、あなたがコントロールするゾンビでないクリーチャーは+1/+1の修整を受ける。</t>
  </si>
  <si>
    <t>栄光の呼び声</t>
  </si>
  <si>
    <t>あなたがコントロールするすべてのクリーチャーをアンタップする。あなたがコントロールするすべての侍(Samurai)クリーチャーはターン終了時まで+1/+1の修整を受ける。</t>
  </si>
  <si>
    <t>魂の優雅さ</t>
  </si>
  <si>
    <t>クリーチャー１体を対象とする。あなたはそれのパワーに等しい点数のライフを得る。</t>
  </si>
  <si>
    <t>一瞬の瞬き</t>
  </si>
  <si>
    <t>あなたがコントロールするクリーチャー１体を対象とし、それを追放する。その後それをオーナーのコントロール下で戦場に戻す。</t>
  </si>
  <si>
    <t>フラッシュバック(３)(U)（あなたはあなたの墓地にあるこのカードを、そのフラッシュバック・コストで唱えてもよい。その後それを追放する。）</t>
  </si>
  <si>
    <t>栄光の突撃</t>
  </si>
  <si>
    <t>あなたがコントロールするクリーチャーは、ターン終了時まで+1/+1の修整を受ける。</t>
  </si>
  <si>
    <t>魂の受け流し</t>
  </si>
  <si>
    <t>クリーチャー１体か２体を対象とする。このターン、それらから与えられるすべてのダメージを軽減する。</t>
  </si>
  <si>
    <t>暁天</t>
  </si>
  <si>
    <t>窮地 ― あなたのライフが５点以下である場合、さらにそれらのクリーチャーはターン終了時まで破壊不能を得る。（ダメージや「破壊する」効果では、それは破壊されない。）</t>
  </si>
  <si>
    <t>天界のほとばしり</t>
  </si>
  <si>
    <t>プレイヤー１人を対象とする。そのプレイヤーは攻撃かブロックしているクリーチャーを１体生け贄に捧げる。</t>
  </si>
  <si>
    <t>魂の基点</t>
  </si>
  <si>
    <t>あなたがコントロールするクリーチャー１体を対象とする。色を１色選ぶ。ターン終了時まで、それはプロテクション（その選ばれた色）を得る。</t>
  </si>
  <si>
    <t>玉突き衝突</t>
  </si>
  <si>
    <t>クリーチャー１体と、他のクリーチャー１体を対象とする。このターン、次に前者に与えられるダメージ１点を、代わりに後者に与える。</t>
  </si>
  <si>
    <t>刺し込む光</t>
  </si>
  <si>
    <t>攻撃かブロックしている、パワーが３以下のクリーチャー１体を対象とし、それを破壊する。</t>
  </si>
  <si>
    <t>勇壮の時</t>
  </si>
  <si>
    <t>クリーチャー１体を対象とする。それはターン終了時まで+2/+2の修整を受けるとともに絆魂を得る。（そのクリーチャーがダメージを与える場合、さらにそれのコントローラーは同じ点数のライフを得る。）</t>
  </si>
  <si>
    <t>抵抗の妙技</t>
  </si>
  <si>
    <t>あなたがコントロールするクリーチャー１体を対象とし、それの上に+1/+1カウンターを１個置く。ターン終了時まで、それはプロテクション（あなたが選んだ色１色）を得る。</t>
  </si>
  <si>
    <t>扉に閂</t>
  </si>
  <si>
    <t>あなたがコントロールするクリーチャーは、ターン終了時まで+0/+4の修整を受ける。</t>
  </si>
  <si>
    <t>暴動鎮圧</t>
  </si>
  <si>
    <t>あなたは、あなたの対戦相手がコントロールするクリーチャー１体につき１点のライフを得る。このターン、あなたに与えられるすべてのダメージを軽減する。</t>
  </si>
  <si>
    <t>砂爆破</t>
  </si>
  <si>
    <t>攻撃かブロックしているクリーチャー１体を対象とする。砂爆破はそれに５点のダメージを与える。</t>
  </si>
  <si>
    <t>信じ抜く心</t>
  </si>
  <si>
    <t>クリーチャー１体を対象とする。それはターン終了時まで飛行を得る。このターン、そのクリーチャーに与えられるすべてのダメージを軽減する。</t>
  </si>
  <si>
    <t>武力対応</t>
  </si>
  <si>
    <t>攻撃しているクリーチャー１体を対象とする。武力対応はそれに、あなたがコントロールする装備品(Equipment)の数に等しい点数のダメージを与える。</t>
  </si>
  <si>
    <t>断固たる立場</t>
  </si>
  <si>
    <t>予見 ― (W),あなたの手札から断固たる立場を公開する：クリーチャー１体を対象とする。それはターン終了時まで+1/+1の修整を受ける。（この能力は、あなたのアップキープの間にのみ、各ターンに１回のみ起動できる。）</t>
  </si>
  <si>
    <t>若返りの儀式</t>
  </si>
  <si>
    <t>燦爛たる放心</t>
  </si>
  <si>
    <t>クリーチャー２体を対象とする。それらをタップし、その後、それらからすべての装備品(Equipment)をはずす。</t>
  </si>
  <si>
    <t>まばゆい光線</t>
  </si>
  <si>
    <t>・クリーチャー２体を対象とし、それらをタップする。</t>
  </si>
  <si>
    <t>・プレイヤー１人を対象とする。そのプレイヤーの次のアンタップ・ステップにクリーチャーはアンタップしない。</t>
  </si>
  <si>
    <t>双呪(１)（あなたが双呪コストを支払った場合、両方を選ぶ。）</t>
  </si>
  <si>
    <t>恩寵借用</t>
  </si>
  <si>
    <t>増呪(１)(W)（２つ目以降に選ぶモード１つにつき、このコストを１回支払う。）</t>
  </si>
  <si>
    <t>・ターン終了時まで、あなたがコントロールするクリーチャーは+2/+0の修整を受ける。</t>
  </si>
  <si>
    <t>・ターン終了時まで、あなたがコントロールするクリーチャーは+0/+2の修整を受ける。</t>
  </si>
  <si>
    <t>命拾い</t>
  </si>
  <si>
    <t>あなたがコントロールするパーマネント１つを対象とし、それをオーナーの手札に戻す。あなたは４点のライフを得る。</t>
  </si>
  <si>
    <t>抗い</t>
  </si>
  <si>
    <t>護衛の誓約</t>
  </si>
  <si>
    <t>あなたがコントロールする白のクリーチャーは、ターン終了時まで+2/+2の修整を受ける。</t>
  </si>
  <si>
    <t>報復の矢</t>
  </si>
  <si>
    <t>このターンにダメージを与えたクリーチャー１体を対象とし、それを破壊する。</t>
  </si>
  <si>
    <t>光の柱</t>
  </si>
  <si>
    <t>タフネスが４以上のクリーチャー１体を対象とし、それを追放する。</t>
  </si>
  <si>
    <t>確実性の欠落</t>
  </si>
  <si>
    <t>呪文１つを対象とし、それを打ち消す。その呪文がこれにより打ち消された場合、それをそのプレイヤーの墓地に置く代わりに、オーナーのライブラリーの一番上に置く。</t>
  </si>
  <si>
    <t>戦士の誉れ</t>
  </si>
  <si>
    <t>勇敢な防御</t>
  </si>
  <si>
    <t>キッカー(３)(W)（あなたがこの呪文を唱えるに際し、あなたは追加の(３)(W)を支払ってもよい。）</t>
  </si>
  <si>
    <t>ターン終了時まで、あなたがコントロールするクリーチャーは+1/+1の修整を受ける。この呪文がキッカーされていたなら、ターン終了時まで、代わりにあなたがコントロールするクリーチャーは+2/+2の修整を受けるとともに先制攻撃を得る。</t>
  </si>
  <si>
    <t>解消の光</t>
  </si>
  <si>
    <t>エンチャント１つを対象とし、それを破壊する。あなたは３点のライフを得る。</t>
  </si>
  <si>
    <t>必殺の一射</t>
  </si>
  <si>
    <t>安全な道</t>
  </si>
  <si>
    <t>このターン、あなたとあなたがコントロールするクリーチャーに与えられるすべてのダメージを軽減する。</t>
  </si>
  <si>
    <t>神聖の発動</t>
  </si>
  <si>
    <t>闇の追い返し</t>
  </si>
  <si>
    <t>最大２体までのクリーチャーを対象とし、それらをタップする。</t>
  </si>
  <si>
    <t>叱責</t>
  </si>
  <si>
    <t>軽業の妙技</t>
  </si>
  <si>
    <t>あなたがコントロールするクリーチャー１体を対象とし、それを追放する。その後、そのカードをオーナーのコントロール下で戦場に戻す。</t>
  </si>
  <si>
    <t>ボロスの怒りの盾</t>
  </si>
  <si>
    <t>攻撃しているクリーチャーかブロックしているクリーチャー１体を対象とする。このターン、それによって与えられるすべての戦闘ダメージを軽減する。ボロスの怒りの盾を唱えるために(R)が使われた場合、それはそのクリーチャーのコントローラーにそのクリーチャーのパワーに等しい点数のダメージを与える。</t>
  </si>
  <si>
    <t>居住を行う。あなたがコントロールするクリーチャーは、ターン終了時まで破壊不能を得る。（居住を行うには、あなたがコントロールするクリーチャー・トークン１体のコピーであるトークンを１体生成する。）</t>
  </si>
  <si>
    <t>蘇生の妙薬</t>
  </si>
  <si>
    <t>補強</t>
  </si>
  <si>
    <t>・あなたがコントロールするクリーチャーは、ターン終了時まで+2/+0の修整を受ける。</t>
  </si>
  <si>
    <t>・あなたがコントロールするクリーチャーは、ターン終了時まで+0/+2の修整を受ける。</t>
  </si>
  <si>
    <t>神聖なる評決</t>
  </si>
  <si>
    <t>攻撃クリーチャー１体かブロック・クリーチャー１体を対象とし、それを破壊する。</t>
  </si>
  <si>
    <t>貴族階級の嘲笑</t>
  </si>
  <si>
    <t>このターン、あなたが他に白の呪文を唱えている場合、あなたは貴族階級の嘲笑を、そのマナ・コストを支払うことなく唱えてもよい。</t>
  </si>
  <si>
    <t>無害な突撃</t>
  </si>
  <si>
    <t>このターン、攻撃しているクリーチャーによって与えられるすべての戦闘ダメージを軽減する。</t>
  </si>
  <si>
    <t>天使の慈悲</t>
  </si>
  <si>
    <t>あなたは７点のライフを得る。</t>
  </si>
  <si>
    <t>高僧の詠唱</t>
  </si>
  <si>
    <t>・あなたは５点のライフを得る。</t>
  </si>
  <si>
    <t>・クリーチャー１体を対象とする。このターン、それに与えられる次のダメージを５点軽減する。</t>
  </si>
  <si>
    <t>双呪(２)（あなたが双呪コストを支払った場合、両方を選ぶ。）</t>
  </si>
  <si>
    <t>鼓舞する突撃</t>
  </si>
  <si>
    <t>ターン終了時まで、あなたがコントロールしているクリーチャーは+2/+1の修整を受ける。</t>
  </si>
  <si>
    <t>大物潰し</t>
  </si>
  <si>
    <t>結束</t>
  </si>
  <si>
    <t>あなたがコントロールするクリーチャーは、ターン終了時まで+0/+5の修整を受ける。</t>
  </si>
  <si>
    <t>兵員への参加</t>
  </si>
  <si>
    <t>白の1/1の兵士(Soldier)・同盟者(Ally)クリーチャー・トークンを２体生成する。</t>
  </si>
  <si>
    <t>首のへし折り</t>
  </si>
  <si>
    <t>攻撃かブロックしているクリーチャー１体を対象とし、それを破壊する。</t>
  </si>
  <si>
    <t>圧倒する静寂</t>
  </si>
  <si>
    <t>攻撃しているクリーチャー１体を対象とし、それを追放する。</t>
  </si>
  <si>
    <t>サイクリング(５)(G)(W)(U)（(５)(G)(W)(U),このカードを捨てる：カードを１枚引く。）</t>
  </si>
  <si>
    <t>あなたが圧倒する静寂をサイクリングしたとき、攻撃しているクリーチャーを最大２体まで対象とし、それらを追放する。</t>
  </si>
  <si>
    <t>清められた突撃</t>
  </si>
  <si>
    <t>あなたがコントロールするクリーチャーは、ターン終了時まで+2/+1の修整を受ける。あなたがコントロールする白のクリーチャーは、さらにターン終了時まで先制攻撃を得る。（それらは先制攻撃を持たないクリーチャーよりも先に戦闘ダメージを与える。）</t>
  </si>
  <si>
    <t>祝福の光</t>
  </si>
  <si>
    <t>クリーチャー１体かエンチャント１つを対象とし、それを追放する。</t>
  </si>
  <si>
    <t>不朽の勝利</t>
  </si>
  <si>
    <t>攻撃かブロックしているクリーチャー１体を対象とし、それを破壊する。鼓舞１を行う。（あなたがコントロールするクリーチャーの中で最も小さいタフネスを持つクリーチャーを１体選び、それの上に+1/+1カウンターを１個置く。）</t>
  </si>
  <si>
    <t>瞑想パズル</t>
  </si>
  <si>
    <t>あなたは８点のライフを得る。</t>
  </si>
  <si>
    <t>抵抗の微光</t>
  </si>
  <si>
    <t>あなたがコントロールするクリーチャーは、ターン終了時まで+1/+2の修整を受ける。それらのクリーチャーをアンタップする。</t>
  </si>
  <si>
    <t>基本土地サイクリング(１)(W)（(１)(W),このカードを捨てる：あなたのライブラリーから基本土地カードを１枚探す。それを公開し、あなたの手札に加える。その後あなたのライブラリーを切り直す。）</t>
  </si>
  <si>
    <t>補給</t>
  </si>
  <si>
    <t>太陽の槍</t>
  </si>
  <si>
    <t>白でないクリーチャー１体を対象とする。太陽の槍はそれに３点のダメージを与える。</t>
  </si>
  <si>
    <t>正義の凝視</t>
  </si>
  <si>
    <t>この呪文を唱えるための追加コストとして、あなたがコントロールするアンタップ状態の白のクリーチャーを３体タップする。</t>
  </si>
  <si>
    <t>クリーチャー１体を対象とし、それを追放する。</t>
  </si>
  <si>
    <t>フラッシュバック(５)(W)（あなたはあなたの墓地にあるこのカードを、そのフラッシュバック・コストと追加コストで唱えてもよい。その後それを追放する。）</t>
  </si>
  <si>
    <t>司祭の祈り</t>
  </si>
  <si>
    <t>月の祈祷</t>
  </si>
  <si>
    <t>あなたはプレイヤー１人につき１点のライフを得る。</t>
  </si>
  <si>
    <t>憑依（この呪文カードが解決後に墓地に置かれたとき、クリーチャー１体を対象とする。このカードをそれに憑依している状態で追放する。）</t>
  </si>
  <si>
    <t>月の祈祷が憑依しているクリーチャーが死亡したとき、あなたはプレイヤー１人につき１点のライフを得る。</t>
  </si>
  <si>
    <t>聖なる蜜</t>
  </si>
  <si>
    <t>魂の召喚</t>
  </si>
  <si>
    <t>あなたのライブラリーの一番上のカードを予示する。（それを裏向きの状態で2/2クリーチャーとして戦場に出す。それがクリーチャー・カードであるなら、そのマナ・コストでいつでも表向きにしてよい。）</t>
  </si>
  <si>
    <t>返報</t>
  </si>
  <si>
    <t>リーヴの命令</t>
  </si>
  <si>
    <t>あなたの対戦相手がコントロールするクリーチャーを最大２体まで対象とし、それらを留置する。（あなたの次のターンまで、それらのクリーチャーでは攻撃もブロックもできず、その起動型能力を起動できない。）</t>
  </si>
  <si>
    <t>浄化の光</t>
  </si>
  <si>
    <t>・吸血鬼(Vampire)１体を対象とし、それを破壊する。</t>
  </si>
  <si>
    <t>女王の任命</t>
  </si>
  <si>
    <t>絆魂を持つ白の1/1の吸血鬼(Vampire)クリーチャー・トークンを２体生成する。</t>
  </si>
  <si>
    <t>キテオンの戦術</t>
  </si>
  <si>
    <t>魔巧 ― あなたの墓地にインスタント・カードやソーサリー・カードが合わせて２枚以上あるなら、ターン終了時まで、それらのクリーチャーは警戒も得る。（それらは攻撃してもタップしない。）</t>
  </si>
  <si>
    <t>この呪文を唱えるための追加コストとして、パーマネントを１つ生け贄に捧げる。</t>
  </si>
  <si>
    <t>巣の活性化</t>
  </si>
  <si>
    <t>無色の1/1のスリヴァー(Sliver)・クリーチャー・トークンを２体生成する。</t>
  </si>
  <si>
    <t>軍団の裁き</t>
  </si>
  <si>
    <t>破門</t>
  </si>
  <si>
    <t>治癒の手</t>
  </si>
  <si>
    <t>天使の祝福</t>
  </si>
  <si>
    <t>クリーチャー１体を対象とする。それはターン終了時まで+3/+3の修整を受けるとともに飛行を得る。（それは飛行や到達を持たないクリーチャーによってはブロックされない。）</t>
  </si>
  <si>
    <t>天上からの導き</t>
  </si>
  <si>
    <t>戮力協心</t>
  </si>
  <si>
    <t>支援２を行う。（クリーチャーを最大２体対象とし、それらの上に+1/+1カウンターをそれぞれ１個置く。）</t>
  </si>
  <si>
    <t>隊列の叫び</t>
  </si>
  <si>
    <t>あなたがコントロールするクリーチャーは、ターン終了時まで+1/+1の修整を受けるとともに警戒を得る。</t>
  </si>
  <si>
    <t>フラッシュバック(３)(W)（あなたはあなたの墓地にあるこのカードを、そのフラッシュバック・コストで唱えてもよい。その後それを追放する。）</t>
  </si>
  <si>
    <t>真っ逆さま</t>
  </si>
  <si>
    <t>覚醒３ ― (５)(W)（この呪文を(５)(W)で唱えたなら、加えて、あなたがコントロールする土地１つを対象とする。それの上に+1/+1カウンターを３個置く。それは速攻を持つ0/0のエレメンタル(Elemental)・クリーチャーになる。それは土地でもある。）</t>
  </si>
  <si>
    <t>剥離</t>
  </si>
  <si>
    <t>タップ状態のクリーチャー１体を対象とし、それを追放する。</t>
  </si>
  <si>
    <t>隊長の号令</t>
  </si>
  <si>
    <t>神聖なる集い</t>
  </si>
  <si>
    <t>プレイヤー１人を対象とする。あなたはそのプレイヤーがコントロールするクリーチャー１体につき２点のライフを得る。</t>
  </si>
  <si>
    <t>待機５ ― (１)(W)（このカードをあなたの手札から唱えるのではなく、(１)(W)を支払うとともにそれを時間(time)カウンターが５個置かれた状態で追放する。あなたのアップキープの開始時に、時間カウンターを１個取り除く。最後の１個を取り除いたとき、それをそのマナ・コストを支払うことなく唱える。）</t>
  </si>
  <si>
    <t>鼓舞する咆哮</t>
  </si>
  <si>
    <t>あなたがコントロールする各クリーチャーの上に+1/+1カウンターをそれぞれ１個置く。</t>
  </si>
  <si>
    <t>主の募兵</t>
  </si>
  <si>
    <t>白の1/1のキスキン(Kithkin)・兵士(Soldier)クリーチャー・トークンを２体生成する。</t>
  </si>
  <si>
    <t>回顧（あなたはこのカードを、それの他のコストの支払いに加えて土地カードを１枚捨てることで、このカードをあなたの墓地から唱えてもよい。）</t>
  </si>
  <si>
    <t>戦場での猛進</t>
  </si>
  <si>
    <t>ターン終了時まで、あなたがコントロールするクリーチャーは+2/+1の修整を受ける。ターン終了時まで、あなたがコントロールする戦士(Warrior)クリーチャーは絆魂を得る。（それらの戦士クリーチャーがダメージを与えるなら、さらにそれらのコントローラーはその点数分のライフを得る。）</t>
  </si>
  <si>
    <t>騎兵呼集</t>
  </si>
  <si>
    <t>警戒を持つ白の2/2の騎士(Knight)クリーチャー・トークンを２体生成する。</t>
  </si>
  <si>
    <t>霊体の予備兵</t>
  </si>
  <si>
    <t>飛行を持つ白の1/1のスピリット(Spirit)・クリーチャー・トークンを２体生成する。あなたは２点のライフを得る。</t>
  </si>
  <si>
    <t>天羅至の叫び</t>
  </si>
  <si>
    <t>クリーチャーを最大３体まで対象とし、それらをタップする。</t>
  </si>
  <si>
    <t>天使の布告</t>
  </si>
  <si>
    <t>イオナの裁き</t>
  </si>
  <si>
    <t>騎士の見張り</t>
  </si>
  <si>
    <t>三つぞろいの霊魂</t>
  </si>
  <si>
    <t>飛行を持つ白の1/1のスピリット(Spirit)・クリーチャー・トークンを３体生成する。（それは飛行や到達を持たないクリーチャーによってブロックされない。）</t>
  </si>
  <si>
    <t>希望の幻霊</t>
  </si>
  <si>
    <t>授与(３)(W)（このカードを授与コストで唱えた場合、これはエンチャント（クリーチャー）を持つオーラ(Aura)呪文である。クリーチャーにつけられていない場合、これは再びクリーチャーになる。）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</si>
  <si>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エンチャントされているクリーチャーは+1/+1の修整を受けるとともに絆魂を持つ。</t>
  </si>
  <si>
    <t>知恵への怯え</t>
  </si>
  <si>
    <t>エンチャントされているクリーチャーは、それのコントローラーがあなたの手札のカード１枚につき(１)を支払わないかぎり、クリーチャーは攻撃したりブロックしたりできない。</t>
  </si>
  <si>
    <t>留置呪文</t>
  </si>
  <si>
    <t>エンチャントされているクリーチャーの起動型能力は起動できない。</t>
  </si>
  <si>
    <t>(１)(W)：クリーチャー１体を対象とし、留置呪文をそれにつける。</t>
  </si>
  <si>
    <t>陽の泉の探検</t>
  </si>
  <si>
    <t>上陸 ― 土地が１つあなたのコントロール下で場に出るたび、あなたは陽の泉の探検の上に探索(quest)カウンターを１個置いてもよい。</t>
  </si>
  <si>
    <t>陽の泉の探検から探索カウンターを３個取り除くとともに、それを生け贄に捧げる：あなたは８点のライフを得る。</t>
  </si>
  <si>
    <t>聖なる力</t>
  </si>
  <si>
    <t>罪の重責</t>
  </si>
  <si>
    <t>(１)：エンチャントされているクリーチャーをタップする。</t>
  </si>
  <si>
    <t>酷寒の枷</t>
  </si>
  <si>
    <t>エンチャントされているクリーチャーではブロックできず、その起動型能力を起動できない。</t>
  </si>
  <si>
    <t>(氷)：エンチャントされているクリーチャーは、ターン終了時まで防衛を得る。（(氷)は氷雪パーマネントからのマナ１点で支払うことができる。）</t>
  </si>
  <si>
    <t>ギルド嘲笑いの護法印</t>
  </si>
  <si>
    <t>エンチャントされているクリーチャーはプロテクション（多色）を持つ。</t>
  </si>
  <si>
    <t>ハイエナの陰影</t>
  </si>
  <si>
    <t>エンチャントされているクリーチャーは+1/+1の修整を受けるとともに先制攻撃を持つ。</t>
  </si>
  <si>
    <t>授与(２)(W)（このカードを授与コストで唱えた場合、これはエンチャント（クリーチャー）を持つオーラ(Aura)呪文である。クリーチャーにつけられていない場合、これは再びクリーチャーになる。）</t>
  </si>
  <si>
    <t>抑圧的な光線</t>
  </si>
  <si>
    <t>エンチャントされているクリーチャーは、それのコントローラーが(３)を支払わないかぎり、攻撃したりブロックしたりできない。</t>
  </si>
  <si>
    <t>エンチャントされているクリーチャーの起動型能力は、それを起動するためのコストが(３)多くなる。</t>
  </si>
  <si>
    <t>花崗岩の贈り物</t>
  </si>
  <si>
    <t>エンチャントされているクリーチャーは+0/+2の修整を受ける。</t>
  </si>
  <si>
    <t>護衛の任務</t>
  </si>
  <si>
    <t>エンチャントされているクリーチャーは防衛を持つ。</t>
  </si>
  <si>
    <t>エファラの輝き</t>
  </si>
  <si>
    <t>エンチャントされているクリーチャーは「(１)(W),(Ｔ)：あなたは３点のライフを得る。」を持つ。</t>
  </si>
  <si>
    <t>エンチャントされているクリーチャーは警戒を持つ。</t>
  </si>
  <si>
    <t>定命の者の強情</t>
  </si>
  <si>
    <t>エンチャントされているクリーチャーは+1/+1の修整を受ける。</t>
  </si>
  <si>
    <t>エンチャントされているクリーチャーがプレイヤー１人に戦闘ダメージを与えるたび、あなたは定命の者の強情を生け贄に捧げてもよい。そうしたなら、エンチャント１つを対象とし、それを破壊する。</t>
  </si>
  <si>
    <t>結束のカルトーシュ</t>
  </si>
  <si>
    <t>結束のカルトーシュが戦場に出たとき、警戒を持つ白の1/1の戦士(Warrior)クリーチャー・トークンを１体生成する。</t>
  </si>
  <si>
    <t>エンチャントされているクリーチャーは絆魂を持つ。（このクリーチャーがダメージを与える場合、さらにそのコントローラーは同じ点数のライフを得る。）</t>
  </si>
  <si>
    <t>天上の鎧</t>
  </si>
  <si>
    <t>エンチャントされているクリーチャーは、あなたがコントロールするエンチャント１つにつき+1/+1の修整を受けるとともに、先制攻撃を持つ。</t>
  </si>
  <si>
    <t>まばゆい神盾</t>
  </si>
  <si>
    <t>まばゆい神盾が戦場に出たとき、対戦相手がコントロールするクリーチャー１体を対象とし、それをタップする。</t>
  </si>
  <si>
    <t>エンチャントされているクリーチャーは+1/+3の修整を受ける。</t>
  </si>
  <si>
    <t>不退転の意志</t>
  </si>
  <si>
    <t>神聖なる好意</t>
  </si>
  <si>
    <t>神聖なる好意が戦場に出たとき、あなたは３点のライフを得る。</t>
  </si>
  <si>
    <t>強制的永眠</t>
  </si>
  <si>
    <t>エンチャントされているクリーチャーでは攻撃したりブロックしたりできない。</t>
  </si>
  <si>
    <t>エンチャントされているクリーチャーは「(２),このクリーチャーを生け贄に捧げる：あなたは２点のライフを得る。」を持つ。</t>
  </si>
  <si>
    <t>牙抜き</t>
  </si>
  <si>
    <t>エンチャントされているクリーチャーが与えるすべてのダメージを軽減する。</t>
  </si>
  <si>
    <t>停滞の繭</t>
  </si>
  <si>
    <t>エンチャントされているアーティファクトは攻撃したりブロックしたりできず、その起動型能力は起動できない。</t>
  </si>
  <si>
    <t>光糸の場</t>
  </si>
  <si>
    <t>あなたがコントロールするクリーチャーは+0/+1の修整を受ける。</t>
  </si>
  <si>
    <t>変異(１)(W)（あなたはこのカードを、(３)で2/2クリーチャーとして裏向きに唱えてもよい。これの変異コストで、これをいつでも表向きにしてもよい。）</t>
  </si>
  <si>
    <t>強制された崇拝</t>
  </si>
  <si>
    <t>エンチャントされているクリーチャーは攻撃できない。</t>
  </si>
  <si>
    <t>(２)(W)：強制された崇拝をオーナーの手札に戻す。</t>
  </si>
  <si>
    <t>奉仕へのいざない</t>
  </si>
  <si>
    <t>エンチャント（黒でないクリーチャー）</t>
  </si>
  <si>
    <t>エンチャントされているクリーチャーは+1/+2の修整を受けるとともに飛行を持ち、それはそれの他のタイプに加えて天使(Angel)である。</t>
  </si>
  <si>
    <t>ヘリオッドの選抜</t>
  </si>
  <si>
    <t>ヘリオッドの選抜が戦場に出たとき、カードを１枚引く。</t>
  </si>
  <si>
    <t>天使の贈り物</t>
  </si>
  <si>
    <t>天使の贈り物が戦場に出たとき、カードを１枚引く。</t>
  </si>
  <si>
    <t>アジャニのマントラ</t>
  </si>
  <si>
    <t>あなたのアップキープの開始時に、あなたは１点のライフを得てもよい。</t>
  </si>
  <si>
    <t>活力の泉</t>
  </si>
  <si>
    <t>(２)(W),活力の泉を生け贄に捧げる：あなたは７点のライフを得る。</t>
  </si>
  <si>
    <t>良心の呵責</t>
  </si>
  <si>
    <t>あなたがコントロールする、共通のクリーチャー・タイプを持つアンタップ状態のクリーチャーを２体タップする：エンチャントされているクリーチャーを追放する。</t>
  </si>
  <si>
    <t>雨雲の翼</t>
  </si>
  <si>
    <t>エンチャントされているクリーチャーは+1/+2の修整を受けるとともに飛行を持つ。</t>
  </si>
  <si>
    <t>月皇の外套</t>
  </si>
  <si>
    <t>エンチャントされているクリーチャーは+2/+2の修整を受けるとともに「(１),パーマネント１つを生け贄に捧げる：ターン終了時まで、このクリーチャーは飛行を得る。」を持つ。</t>
  </si>
  <si>
    <t>三つ目巨人の視線</t>
  </si>
  <si>
    <t>三つ目巨人の視線が戦場に出たとき、エンチャントされているクリーチャーをアンタップする。</t>
  </si>
  <si>
    <t>エンチャントされているクリーチャーは+1/+1の修整を受けるとともに警戒を持つ。</t>
  </si>
  <si>
    <t>未達への旅</t>
  </si>
  <si>
    <t>未達への旅が戦場に出たとき、クリーチャー１体を対象とし、それを追放する。</t>
  </si>
  <si>
    <t>未達への旅が戦場を離れたとき、その追放されたカードをオーナーのコントロール下で戦場に戻す。</t>
  </si>
  <si>
    <t>秘儀術師の掌握</t>
  </si>
  <si>
    <t>エンチャントされているクリーチャーは+1/+1の修整を受けるとともに「このクリーチャーが攻撃するたび、防御プレイヤーがコントロールするクリーチャー１体を対象とし、それをタップする。」を持つ。</t>
  </si>
  <si>
    <t>平和な心</t>
  </si>
  <si>
    <t>騎士の誓約</t>
  </si>
  <si>
    <t>罪の自覚</t>
  </si>
  <si>
    <t>(W)：罪の自覚をオーナーの手札に戻す。</t>
  </si>
  <si>
    <t>時間の孤立</t>
  </si>
  <si>
    <t>エンチャントされているクリーチャーはシャドーを持つ。（それは、シャドーを持つクリーチャーのみブロックでき、シャドーを持つクリーチャーによってのみブロックされる。）</t>
  </si>
  <si>
    <t>エンチャントされているクリーチャーによって与えられるすべてのダメージを軽減する。</t>
  </si>
  <si>
    <t>エランドの陰影</t>
  </si>
  <si>
    <t>エンチャントされているクリーチャーは+0/+4の修整を受ける。</t>
  </si>
  <si>
    <t>刹那の器</t>
  </si>
  <si>
    <t>(２)(W),刹那の器を生け贄に捧げる：飛行を持つ白の1/1のスピリット(Spirit)・クリーチャー・トークンを２体生成する。</t>
  </si>
  <si>
    <t>収穫守りのアルセイド</t>
  </si>
  <si>
    <t>星座 ― 収穫守りのアルセイドか他のエンチャント１つがあなたのコントロール下で戦場に出るたび、クリーチャー１体を対象とする。このターン、それに与えられるすべてのダメージを軽減する。</t>
  </si>
  <si>
    <t>アーシャの好意</t>
  </si>
  <si>
    <t>エンチャントされているクリーチャーは飛行、先制攻撃、警戒を持つ。</t>
  </si>
  <si>
    <t>アブザンの呪印</t>
  </si>
  <si>
    <t>エンチャントされているクリーチャーは、あなたが黒か緑のパーマネントをコントロールしているかぎり警戒を持つ。</t>
  </si>
  <si>
    <t>叙爵</t>
  </si>
  <si>
    <t>エンチャントされているクリーチャーは、+2/+2の修整を受けるとともに先制攻撃を持ち、それの他のタイプに加えて騎士(Knight)でもある。</t>
  </si>
  <si>
    <t>五制術の護法印</t>
  </si>
  <si>
    <t>五制術の護法印が戦場に出るに際し、色を１色選ぶ。</t>
  </si>
  <si>
    <t>五制術の護法印が戦場に出たとき、カードを１枚引く。</t>
  </si>
  <si>
    <t>エンチャントされているクリーチャーは、選ばれた色に対するプロテクションを持つ。この効果は五制術の護法印を取り除かない。</t>
  </si>
  <si>
    <t>護衛のゼンディコン</t>
  </si>
  <si>
    <t>エンチャントされている土地は、防衛を持つ白の2/6の壁(Wall)クリーチャーである。それは土地でもある。</t>
  </si>
  <si>
    <t>エンチャントされている土地が死亡したとき、そのカードをオーナーの手札に戻す。</t>
  </si>
  <si>
    <t>ニクスの武装</t>
  </si>
  <si>
    <t>エンチャントされているクリーチャーは、それがエンチャントであるかぎり二段攻撃を持つ。そうでないなら、エンチャントされているクリーチャーが与えるすべてのダメージを軽減する。（二段攻撃を持つクリーチャーは先制攻撃の戦闘ダメージと通常の戦闘ダメージの両方を与える。）</t>
  </si>
  <si>
    <t>光に目が眩む</t>
  </si>
  <si>
    <t>あなたがコントロールする(Vechile)が１つ攻撃したとき、エンチャントされているクリーチャーを追放する。</t>
  </si>
  <si>
    <t>至福の休息</t>
  </si>
  <si>
    <t>エンチャントされているクリーチャーは、攻撃したりブロックしたりできない。</t>
  </si>
  <si>
    <t>従者の献身</t>
  </si>
  <si>
    <t>従者の献身が戦場に出たとき、絆魂を持つ白の1/1の吸血鬼(Vampire)クリーチャー・トークンを１体生成する。</t>
  </si>
  <si>
    <t>特権剥奪</t>
  </si>
  <si>
    <t>エンチャントされているクリーチャーでは攻撃したりブロックしたりできず、それは機体(Vehicle)に搭乗できない。</t>
  </si>
  <si>
    <t>光の心</t>
  </si>
  <si>
    <t>エンチャント（クリーチャー）（あなたがこれを唱えるに際し、クリーチャー１体を対象とする。このカードはそのクリーチャーにつけられた状態で戦場に出る。）</t>
  </si>
  <si>
    <t>エンチャントされているクリーチャーが与えるダメージと、エンチャントされているクリーチャーに与えられるすべてのダメージを軽減する。</t>
  </si>
  <si>
    <t>光明の縛め</t>
  </si>
  <si>
    <t>手の檻</t>
  </si>
  <si>
    <t>(１)(W)：手の檻をオーナーの手札に戻す。</t>
  </si>
  <si>
    <t>幽霊の憑依</t>
  </si>
  <si>
    <t>エンチャントされているクリーチャーが与える戦闘ダメージと与えられる戦闘ダメージをすべて軽減する。</t>
  </si>
  <si>
    <t>守護者の魔法印</t>
  </si>
  <si>
    <t>あなたがコントロールする、エンチャントされている各クリーチャーは+1/+1の修整を受ける。</t>
  </si>
  <si>
    <t>絞首束縛</t>
  </si>
  <si>
    <t>(３)(W)(W),絞首束縛を生け贄に捧げる：エンチャントされているクリーチャーを追放する。</t>
  </si>
  <si>
    <t>目ざといアルセイド</t>
  </si>
  <si>
    <t>授与(４)(W)（このカードを授与コストで唱えた場合、これはエンチャント（クリーチャー）を持つオーラ(Aura)呪文である。クリーチャーにつけられていない場合、これは再びクリーチャーになる。）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</si>
  <si>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エンチャントされているクリーチャーは+2/+2の修整を受けるとともに警戒を持つ。</t>
  </si>
  <si>
    <t>議事会の祝福</t>
  </si>
  <si>
    <t>エンチャントされているクリーチャーは、あなたがコントロールする他のクリーチャー１体につき+0/+2の修整を受ける。</t>
  </si>
  <si>
    <t>孤立領域</t>
  </si>
  <si>
    <t>孤立領域が戦場に出たとき、対戦相手がコントロールするクリーチャー１体かエンチャント１つを対象とし、孤立領域が戦場を離れるまでそれを追放する。（そのパーマネントはオーナーのコントロール下で戦場に戻る。）</t>
  </si>
  <si>
    <t>包囲戦法</t>
  </si>
  <si>
    <t>エンチャントされているクリーチャーは+2/+4の修整を受ける。</t>
  </si>
  <si>
    <t>名誉の印</t>
  </si>
  <si>
    <t>エンチャントされているクリーチャーは+2/+2の修整を受けるとともに警戒を持つ。（それは攻撃してもタップしない。）</t>
  </si>
  <si>
    <t>抑制する縛め</t>
  </si>
  <si>
    <t>エンチャントされているパーマネントでは攻撃したりブロックしたりできず、それの起動型能力は起動できない。</t>
  </si>
  <si>
    <t>純潔の宝球</t>
  </si>
  <si>
    <t>アーティファクトがあなたにダメージを与えるとき、そのダメージを１点軽減する。</t>
  </si>
  <si>
    <t>崇高な阻止</t>
  </si>
  <si>
    <t>エンチャント(クリーチャー)</t>
  </si>
  <si>
    <t>崇高な阻止が戦場に出たとき、あなたは２点のライフを得る。</t>
  </si>
  <si>
    <t>信仰の足枷</t>
  </si>
  <si>
    <t>エンチャント（パーマネント）</t>
  </si>
  <si>
    <t>信仰の足枷が戦場に出たとき、あなたは４点のライフを得る。</t>
  </si>
  <si>
    <t>エンチャントされているパーマネントの起動型能力は、それがマナ能力でないかぎり起動できない。エンチャントされているパーマネントがクリーチャーである場合、それは攻撃したりブロックしたりできない。</t>
  </si>
  <si>
    <t>輝く透光</t>
  </si>
  <si>
    <t>騎士の勇気</t>
  </si>
  <si>
    <t>騎士の勇気が戦場に出たとき、警戒を持つ白の2/2の騎士(Knight)クリーチャー・トークンを１体生成する。（それは攻撃してもタップしない。）</t>
  </si>
  <si>
    <t>飛翔する希望</t>
  </si>
  <si>
    <t>飛翔する希望が戦場に出たとき、あなたは３点のライフを得る。</t>
  </si>
  <si>
    <t>(W)：飛翔する希望をオーナーのライブラリーの一番上に置く。</t>
  </si>
  <si>
    <t>岩への繋ぎ止め</t>
  </si>
  <si>
    <t>エンチャント（あなたがコントロールする山(Mountain)）</t>
  </si>
  <si>
    <t>岩への繋ぎ止めが戦場に出たとき、対戦相手がコントロールするクリーチャー１体を対象とする。岩への繋ぎ止めが戦場を離れるまで、それを追放する。（そのクリーチャーはオーナーのコントロール下で戦場に戻る。）</t>
  </si>
  <si>
    <t>領事の権限</t>
  </si>
  <si>
    <t>対戦相手がコントロールするクリーチャーはタップ状態で戦場に出る。</t>
  </si>
  <si>
    <t>クリーチャーが１体対戦相手のコントロール下で戦場に出るたび、あなたは１点のライフを得る。</t>
  </si>
  <si>
    <t>軍団の上陸</t>
  </si>
  <si>
    <t>軍団の上陸が戦場に出たとき、絆魂を持つ白の1/1の吸血鬼(Vampire)クリーチャー・トークンを１体生成する。</t>
  </si>
  <si>
    <t>あなたがクリーチャー３体以上で攻撃したとき、軍団の上陸を変身させる。</t>
  </si>
  <si>
    <t>（《軍団の上陸/Legion's Landing》から変身する。）</t>
  </si>
  <si>
    <t>(２)(W),(Ｔ)：絆魂を持つ白の1/1の吸血鬼(Vampire)クリーチャー・トークンを１体生成する。</t>
  </si>
  <si>
    <t>斑岩の節</t>
  </si>
  <si>
    <t>あなたのアップキープの開始時に、パワーが最も低いクリーチャー１体を破壊する。それは再生できない。最も低いパワーを持つクリーチャーが２体以上いる場合、その中の１体を選ぶ。</t>
  </si>
  <si>
    <t>戦場にクリーチャーが１体もいないとき、斑岩の節を生け贄に捧げる。</t>
  </si>
  <si>
    <t>神話実現</t>
  </si>
  <si>
    <t>あなたがクリーチャーでない呪文を１つ唱えるたび、神話実現の上に伝承(lore)カウンターを１個置く。</t>
  </si>
  <si>
    <t>(２)(W)：神話実現の上に伝承カウンターを１個置く。</t>
  </si>
  <si>
    <t>(W)：ターン終了時まで、神話実現は他のタイプに加えてモンク(Monk)・アバター(Avatar)・クリーチャーになり、「このクリーチャーのパワーとタフネスは、それぞれこの上に置かれている伝承カウンターの総数に等しい。」を得る。</t>
  </si>
  <si>
    <t>シガルダの助け</t>
  </si>
  <si>
    <t>あなたは、オーラ(Aura)呪文や装備品(Equipment)呪文を、それが瞬速を持っているかのように唱えてもよい。</t>
  </si>
  <si>
    <t>装備品が１つあなたのコントロール下で戦場に出るたび、あなたがコントロールするクリーチャー１体を対象とする。あなたはその装備品をそのクリーチャーにつけてもよい。</t>
  </si>
  <si>
    <t>民兵団の誇り</t>
  </si>
  <si>
    <t>あなたがコントロールするトークンでないクリーチャーが攻撃するたび、あなたは(W)を支払ってもよい。そうした場合、タップ状態で攻撃している白の1/1のキスキン(Kithkin)・兵士(Soldier)クリーチャー・トークンを１体生成する。</t>
  </si>
  <si>
    <t>迷宮の霊魂</t>
  </si>
  <si>
    <t>各プレイヤーは、各ターンにカードを２枚以上引くことができない。</t>
  </si>
  <si>
    <t>霊魂の絆</t>
  </si>
  <si>
    <t>トークンでないクリーチャーが１体あなたのコントロール下で戦場に出るたび、あなたは(W)を支払ってもよい。そうしたなら、飛行を持つ白の1/1のスピリット(Spirit)・クリーチャー・トークンを１体生成する。</t>
  </si>
  <si>
    <t>(１)(W),スピリットを１体生け贄に捧げる：スピリットでないクリーチャー１体を対象とする。それはターン終了時まで破壊不能を得る。（ダメージや「破壊する」と書かれた効果では、それは破壊されない。）</t>
  </si>
  <si>
    <t>雄鹿の蹄の跡</t>
  </si>
  <si>
    <t>あなたがカードを引くたび、あなたは雄鹿の蹄の跡の上に蹄跡(hoofprint)カウンターを１個置いてもよい。</t>
  </si>
  <si>
    <t>(２)(W),雄鹿の蹄の跡から蹄跡カウンターを４個取り除く：飛行を持つ白の4/4のエレメンタル(Elemental)・クリーチャー・トークンを１体生成する。この能力は、あなたのターンの間にのみ起動できる。</t>
  </si>
  <si>
    <t>清浄の名誉</t>
  </si>
  <si>
    <t>あなたがコントロールする白のクリーチャーは+1/+1の修整を受ける。</t>
  </si>
  <si>
    <t>強き者の優位</t>
  </si>
  <si>
    <t>点数で見たマナ・コストが最も大きい各クリーチャーは、それぞれプロテクション（すべての色）を持つ。</t>
  </si>
  <si>
    <t>盲従</t>
  </si>
  <si>
    <t>あなたの対戦相手がコントロールするアーティファクトとクリーチャーは、タップ状態で戦場に出る。</t>
  </si>
  <si>
    <t>ちらつく形態</t>
  </si>
  <si>
    <t>(２)(W)(W)：エンチャントされているクリーチャーと、それにつけられているすべてのオーラ(Aura)を追放する。次の終了ステップの開始時に、そのカードをオーナーのコントロール下で戦場に戻す。そうした場合、これにより追放された他のカードをオーナーのコントロール下で、そのクリーチャーにエンチャントされている状態で戦場に戻す。</t>
  </si>
  <si>
    <t>ルーンの光輪</t>
  </si>
  <si>
    <t>ルーンの光輪が戦場に出るに際し、カード名を１つ選ぶ。</t>
  </si>
  <si>
    <t>あなたは選ばれた名前に対するプロテクションを持つ。（あなたはそのカード名を持つものの対象にならず、ダメージを与えられず、エンチャントされない。）</t>
  </si>
  <si>
    <t>聖なる場</t>
  </si>
  <si>
    <t>対戦相手がコントロールする呪文や能力によって土地が戦場からあなたの墓地に置かれるたび、そのカードを戦場に戻す。</t>
  </si>
  <si>
    <t>避難所の印</t>
  </si>
  <si>
    <t>あなたがコントロールするクリーチャーに与えられる、すべての戦闘ダメージでないダメージを軽減する。</t>
  </si>
  <si>
    <t>石のような静寂</t>
  </si>
  <si>
    <t>アーティファクトの起動型能力は起動できない。</t>
  </si>
  <si>
    <t>あなたは呪禁を持つ。（あなたは、あなたの対戦相手がコントロールする呪文や能力の対象にならない。）</t>
  </si>
  <si>
    <t>安らかなる眠り</t>
  </si>
  <si>
    <t>安らかなる眠りが戦場に出たとき、すべての墓地にあるすべてのカードを追放する。</t>
  </si>
  <si>
    <t>カードかトークンがいずれかの領域からいずれかの墓地に置かれる場合、代わりにそれを追放する。</t>
  </si>
  <si>
    <t>権威の微光</t>
  </si>
  <si>
    <t>エンチャントされているクリーチャーは、あなたがコントロールする他のクリーチャーの上に置かれている+1/+1カウンター１個につき+1/+1の修整を受ける。</t>
  </si>
  <si>
    <t>エンチャントされているクリーチャーは警戒を持つとともに「(W),(Ｔ)：鼓舞１を行う。」を持つ。（鼓舞１を行うには、あなたがコントロールするクリーチャーの中で最も小さいタフネスを持つクリーチャーを１体選び、それの上に+1/+1カウンターを１個置く。）</t>
  </si>
  <si>
    <t>穢れを灰に</t>
  </si>
  <si>
    <t>プレイヤーは墓地から呪文を唱えたり墓地にあるカードの能力を起動したりできない。</t>
  </si>
  <si>
    <t>クリーチャーが１体死亡するたび、あなたは１点のライフを得る。</t>
  </si>
  <si>
    <t>偉大なるオーラ術</t>
  </si>
  <si>
    <t>あなたがコントロールする他のエンチャントは被覆を持つ。（被覆を持つパーマネントは呪文や能力の対象にならない。）</t>
  </si>
  <si>
    <t>あなたがコントロールする、エンチャントされているクリーチャーは被覆を持つ。</t>
  </si>
  <si>
    <t>光輝王の昇天</t>
  </si>
  <si>
    <t>各対戦相手の終了ステップの開始時に、あなたがこのターンにライフを失っていない場合、あなたは光輝王の昇天の上に探索(quest)カウンターを１個置いてもよい。（ダメージはライフを失わせる。）</t>
  </si>
  <si>
    <t>(１)(W)：飛行を持つ白の4/4の天使(Angel)クリーチャー・トークンを１体生成する。この能力は、光輝王の昇天の上に探索カウンターが４個以上置かれている場合にしか起動できない。</t>
  </si>
  <si>
    <t>見えざるものの熟達</t>
  </si>
  <si>
    <t>あなたがコントロールするパーマネントが１つ表向きになるたび、あなたはあなたがコントロールするクリーチャー１体につき１点のライフを得る。</t>
  </si>
  <si>
    <t>(３)(W)：あなたのライブラリーの一番上のカードを予示する。（それを裏向きの状態で2/2クリーチャーとして戦場に出す。それがクリーチャー・カードであるなら、そのマナ・コストでいつでも表向きにしてよい。）</t>
  </si>
  <si>
    <t>ローリング・ストーンズ</t>
  </si>
  <si>
    <t>壁(Wall)クリーチャーは、それが防衛を持たないかのように攻撃できる。</t>
  </si>
  <si>
    <t>夜明けの宝冠</t>
  </si>
  <si>
    <t>エンチャント（他のオーラ(Aura)がつけられているクリーチャー）</t>
  </si>
  <si>
    <t>エンチャントされているクリーチャーは+3/+3の修整を受けるとともに先制攻撃、警戒、絆魂を持つ。（このクリーチャーがダメージを与える場合、さらにあなたは同じ点数のライフを得る。）</t>
  </si>
  <si>
    <t>光輝の運命</t>
  </si>
  <si>
    <t>光輝の運命が戦場に出るに際し、クリーチャー・タイプ１つを選ぶ。</t>
  </si>
  <si>
    <t>あなたがコントロールしていてその選ばれたタイプを持つクリーチャーは+1/+1の修整を受ける。あなたが都市の承認を持っているかぎり、それらは警戒も持つ。</t>
  </si>
  <si>
    <t>最下層民</t>
  </si>
  <si>
    <t>あなたに与えられるすべてのダメージは、代わりにエンチャントされているクリーチャーに与えられる。</t>
  </si>
  <si>
    <t>個人的聖域</t>
  </si>
  <si>
    <t>あなたのターンの間、あなたに与えられるすべてのダメージを軽減する。</t>
  </si>
  <si>
    <t>物語の円</t>
  </si>
  <si>
    <t>物語の円が戦場に出るに際し、色を１色選ぶ。</t>
  </si>
  <si>
    <t>(W)：このターン、あなたが選んだ、選ばれた色の発生源１つが次にあなたに与えるすべてのダメージを軽減する。</t>
  </si>
  <si>
    <t>分霊の確約</t>
  </si>
  <si>
    <t>あなたがコントロールするクリーチャーが死亡したとき、分霊の確約を生け贄に捧げる。そうした場合、無色の1/1のスピリット(Spirit)・クリーチャー・トークンを４体生成する。</t>
  </si>
  <si>
    <t>勇気の道</t>
  </si>
  <si>
    <t>あなたのライフの総量が、ゲーム開始時のあなたのライフの総量以上であるかぎり、あなたがコントロールするクリーチャーは+1/+1の修整を受ける。</t>
  </si>
  <si>
    <t>あなたがコントロールする１体以上のクリーチャーが攻撃するたび、あなたは攻撃クリーチャーの総数に等しい点数のライフを得る。</t>
  </si>
  <si>
    <t>認可の光</t>
  </si>
  <si>
    <t>あなたがコントロールする発生源によってあなたがコントロールするクリーチャーに与えられるすべてのダメージを軽減する。</t>
  </si>
  <si>
    <t>ファイレクシアの非生</t>
  </si>
  <si>
    <t>あなたはライフが０点以下であることによりゲームに敗北しない。</t>
  </si>
  <si>
    <t>あなたのライフが０点以下であるかぎり、あなたに与えられるすべてのダメージは、それの発生源が感染を持つかのように与えられる。（ダメージはあなたに毒(poison)カウンターの形で与えられる。）</t>
  </si>
  <si>
    <t>万戦の幻霊</t>
  </si>
  <si>
    <t>授与(２)(W)(W)（このカードを授与コストで唱えた場合、これはエンチャント（クリーチャー）を持つオーラ(Aura)呪文である。クリーチャーにつけられていない場合、これは再びクリーチャーになる。）</t>
  </si>
  <si>
    <t>万戦の幻霊とエンチャントされているクリーチャーは、それぞれあなたがコントロールするクリーチャー１体につき+1/+1の修整を受けるとともに、あなたがコントロールするオーラ１つにつき+1/+1の修整を受ける。</t>
  </si>
  <si>
    <t>永遠の土</t>
  </si>
  <si>
    <t>すべての土地は破壊不能を持つ。</t>
  </si>
  <si>
    <t>動員令</t>
  </si>
  <si>
    <t>兵士(Soldier)クリーチャーは警戒を持つ。</t>
  </si>
  <si>
    <t>(２)(W)：白の1/1の兵士クリーチャー・トークンを１体生成する。</t>
  </si>
  <si>
    <t>ヘリオッドの槍</t>
  </si>
  <si>
    <t>伝説のエンチャント・アーティファクト</t>
  </si>
  <si>
    <t>あなたがコントロールするクリーチャーは+1/+1の修整を受ける。</t>
  </si>
  <si>
    <t>(１)(W)(W),(Ｔ)：このターンにあなたにダメージを与えたクリーチャー１体を対象とし、それを破壊する。</t>
  </si>
  <si>
    <t>オパールの守護者</t>
  </si>
  <si>
    <t>(W)(W)(W)</t>
  </si>
  <si>
    <t>対戦相手１人がクリーチャー呪文を唱えたとき、オパールの守護者がエンチャントである場合、オパールの守護者は飛行とプロテクション（赤）を持つ3/4のガーゴイル(Gargoyle)・クリーチャーになる。</t>
  </si>
  <si>
    <t>不死の贈り物</t>
  </si>
  <si>
    <t>エンチャントされているクリーチャーが死亡したとき、そのカードをオーナーのコントロール下で戦場に戻す。次の終了ステップの開始時に、不死の贈り物をそのクリーチャーにつけられた状態で戦場に戻す。</t>
  </si>
  <si>
    <t>鍛えられた鋼</t>
  </si>
  <si>
    <t>あなたがコントロールするアーティファクト・クリーチャーは+2/+2の修整を受ける。</t>
  </si>
  <si>
    <t>永遠の見守り</t>
  </si>
  <si>
    <t>あなたがコントロールするトークンでないクリーチャーは、+1/+1の修整を受けるとともに警戒を持つ。</t>
  </si>
  <si>
    <t>冬の覆い</t>
  </si>
  <si>
    <t>累加アップキープ(氷)（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</si>
  <si>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クリーチャー１体があなたかあなたがコントロールする１体以上のクリーチャーに戦闘ダメージを与える場合、そのダメージをＸ点軽減する。Ｘは、冬の覆いの上に置かれている経年カウンターの数である。</t>
  </si>
  <si>
    <t>(氷)：冬の覆いの上に経年カウンターを１個置く。</t>
  </si>
  <si>
    <t>金輪際</t>
  </si>
  <si>
    <t>金輪際が戦場に出るに際し、土地でないカード名を１つ選ぶ。</t>
  </si>
  <si>
    <t>選ばれた名前の呪文は唱えられない。</t>
  </si>
  <si>
    <t>厳粛</t>
  </si>
  <si>
    <t>プレイヤーはカウンターを得られない。</t>
  </si>
  <si>
    <t>アーティファクト、クリーチャー、エンチャント、土地の上にカウンターを置くことはできない。</t>
  </si>
  <si>
    <t>栄光の頌歌</t>
  </si>
  <si>
    <t>上位の狐、呪之尾</t>
  </si>
  <si>
    <t>あなたのライフが３０点以上あるとき、上位の狐、呪之尾を反転する。</t>
  </si>
  <si>
    <t>呪之尾の本質</t>
  </si>
  <si>
    <t>あなたがコントロールするクリーチャーに与えられるすべてのダメージを軽減する。</t>
  </si>
  <si>
    <t>ギデオンの誓い</t>
  </si>
  <si>
    <t>ギデオンの誓いが戦場に出たとき、白の1/1のコー(Kor)・同盟者(Ally)クリーチャー・トークンを２体生成する。</t>
  </si>
  <si>
    <t>あなたがコントロールする各プレインズウォーカーはそれぞれ、忠誠(loyalty)カウンターが追加で１個置かれた状態で戦場に出る。</t>
  </si>
  <si>
    <t>崇敬</t>
  </si>
  <si>
    <t>パワーが２以下のクリーチャーは、あなたを攻撃できない。</t>
  </si>
  <si>
    <t>弱者の力線</t>
  </si>
  <si>
    <t>弱者の力線があなたのゲーム開始時の手札にある場合、あなたはそれが戦場に出ている状態でゲームを始めてもよい。</t>
  </si>
  <si>
    <t>クリーチャー・トークンは+1/+1の修整を受ける。</t>
  </si>
  <si>
    <t>内面からの光</t>
  </si>
  <si>
    <t>彩色 ― あなたがコントロールする各クリーチャーは、それぞれそれのマナ・コストに含まれる白マナ・シンボル１つにつき+1/+1の修整を受ける。</t>
  </si>
  <si>
    <t>不滅</t>
  </si>
  <si>
    <t>エンチャントされているパーマネントは破壊不能を持つ。（「破壊する」効果では、そのパーマネントは破壊されない。破壊不能を持つクリーチャーは、ダメージによって破壊されない。）</t>
  </si>
  <si>
    <t>光雷原</t>
  </si>
  <si>
    <t>１体以上のクリーチャーが攻撃するたび、光雷原はそれらの各クリーチャーにそれぞれ、攻撃しているクリーチャーの数に等しい点数のダメージを与える。</t>
  </si>
  <si>
    <t>終わり無き地平線</t>
  </si>
  <si>
    <t>終わり無き地平線が戦場に出たとき、あなたのライブラリーから望む数の平地(Plains)カードを探し、それらを追放してもよい。その後、あなたのライブラリーを切り直す。</t>
  </si>
  <si>
    <t>あなたのアップキープの開始時に、あなたは終わり無き地平線によって追放されたあなたがオーナーであるカードを１枚、あなたの手札に加えてもよい。</t>
  </si>
  <si>
    <t>領事府による拘禁</t>
  </si>
  <si>
    <t>エンチャント（あなたがコントロールしていないクリーチャー）</t>
  </si>
  <si>
    <t>エンチャントされているクリーチャーでは攻撃できない。</t>
  </si>
  <si>
    <t>対戦相手が呪文を１つ唱えるたび、それが単一の対象を持つ場合、可能ならその対象をエンチャントされているクリーチャーに変更する。</t>
  </si>
  <si>
    <t>降霊術</t>
  </si>
  <si>
    <t>各アップキープの開始時に、あなたの墓地にあるクリーチャー・カード１枚を対象とする。あなたはそれを追放してもよい。そうした場合、それの他のタイプに加えてスピリット(Spirit)であることを除き、それのコピーであるトークンを１体生成する。次の終了ステップの開始時に、それを追放する。</t>
  </si>
  <si>
    <t>ギデオンの介入</t>
  </si>
  <si>
    <t>ギデオンの介入が戦場に出るに際し、カード名１つを選ぶ。</t>
  </si>
  <si>
    <t>対戦相手は選ばれた名前を持つ呪文を唱えられない。</t>
  </si>
  <si>
    <t>選ばれた名前を持つ発生源からあなたとあなたがコントロールするパーマネントに与えられるダメージをすべて軽減する。</t>
  </si>
  <si>
    <t>運命の日</t>
  </si>
  <si>
    <t>あなたがコントロールする伝説のクリーチャーは+2/+2の修整を受ける。</t>
  </si>
  <si>
    <t>アジャニ最後の抵抗</t>
  </si>
  <si>
    <t>あなたがコントロールしているクリーチャーかプレインズウォーカーが１体死亡するたび、あなたはアジャニ最後の抵抗を生け贄に捧げてもよい。そうしたなら、飛行を持つ白の4/4のアバター(Avatar)・クリーチャー・トークンを１体生成する。</t>
  </si>
  <si>
    <t>対戦相手がコントロールしている呪文か能力によってあなたがこのカードを捨てるとき、あなたが平地(Plains)をコントロールしている場合、飛行を持つ白の4/4のアバター・クリーチャー・トークンを１体生成する。</t>
  </si>
  <si>
    <t>選定された行進</t>
  </si>
  <si>
    <t>効果によりあなたのコントロール下でトークンが１つ以上生成されるなら、代わりにその効果はそれらのトークンをその２倍の数生成する。</t>
  </si>
  <si>
    <t>臣下の義務</t>
  </si>
  <si>
    <t>(１)：あなたがコントロールする伝説のクリーチャー１体を対象とする。このターン、それに与えられる次のダメージ１点は、代わりにあなたに与えられる。</t>
  </si>
  <si>
    <t>司令官の頌歌</t>
  </si>
  <si>
    <t>多重キッカー(１)(W)（あなたがこの呪文を唱えるに際し、あなたは追加の(１)(W)を望む回数支払ってもよい。）</t>
  </si>
  <si>
    <t>司令官の頌歌が戦場に出たとき、あなたの墓地にあるクリーチャー・カードを最大Ｘ枚まで対象とし、それらを戦場に戻す。Ｘは司令官の頌歌がキッカーされている回数である。</t>
  </si>
  <si>
    <t>象牙の仮面</t>
  </si>
  <si>
    <t>あなたは被覆を持つ。（あなたは呪文や能力の対象にならない。）</t>
  </si>
  <si>
    <t>一枚岩の努力</t>
  </si>
  <si>
    <t>各アップキープの開始時に、あなたがコントロールするクリーチャーの１体が飛行を持っている場合、ターン終了時まで、あなたがコントロールするクリーチャーは飛行を得る。畏怖、先制攻撃、二段攻撃、土地渡り、プロテクション、トランプル、警戒についても同様である。</t>
  </si>
  <si>
    <t>戒厳令</t>
  </si>
  <si>
    <t>あなたのアップキープの開始時に、対戦相手１人がコントロールするクリーチャー１体を対象とし、それを留置する。（あなたの次のターンまで、そのクリーチャーでは攻撃もブロックもできず、その起動型能力を起動できない。）</t>
  </si>
  <si>
    <t>神聖の力線</t>
  </si>
  <si>
    <t>神聖の力線があなたのゲーム開始時の手札にある場合、あなたはそれが戦場に出ている状態でゲームを開始してもよい。</t>
  </si>
  <si>
    <t>適切な埋葬</t>
  </si>
  <si>
    <t>あなたがコントロールするクリーチャーが死亡するたび、あなたはそのクリーチャーのタフネスに等しい点数のライフを得る。</t>
  </si>
  <si>
    <t>活力の揺り篭</t>
  </si>
  <si>
    <t>あなたがライフを得るたび、クリーチャー１体を対象とする。あなたは(１)(W)を支払ってもよい。そうした場合、それの上に、あなたが得たライフ１点につき+1/+1カウンターを１個置く。</t>
  </si>
  <si>
    <t>崇拝</t>
  </si>
  <si>
    <t>あなたがクリーチャーを１体でもコントロールしている場合、あなたのライフの総量を１点未満に減少させるダメージは、代わりにあなたのライフの総量が１点になるまで減少させる。</t>
  </si>
  <si>
    <t>城塞の包囲</t>
  </si>
  <si>
    <t>城塞の包囲が戦場に出るに際し、カンか龍かを選ぶ。</t>
  </si>
  <si>
    <t>・カン ― あなたのターンの戦闘の開始時に、あなたがコントロールするクリーチャー１体を対象とし、それの上に+1/+1カウンターを２個置く。</t>
  </si>
  <si>
    <t>・龍 ― 各対戦相手のターンの戦闘の開始時に、そのプレイヤーがコントロールしているクリーチャー１体を対象とし、それをタップする。</t>
  </si>
  <si>
    <t>臨死体験</t>
  </si>
  <si>
    <t>あなたのアップキープの開始時に、あなたのライフがちょうど１点である場合、あなたはこのゲームに勝利する。</t>
  </si>
  <si>
    <t>聖戦士の進軍</t>
  </si>
  <si>
    <t>クリーチャーが１体あなたのコントロール下で戦場に出るたび、あなたがコントロールする各クリーチャーの上に+1/+1カウンターを１個置く。</t>
  </si>
  <si>
    <t>ギデオンの決意</t>
  </si>
  <si>
    <t>ギデオンの決意が戦場に出たとき、あなたはあなたのライブラリーやあなたの墓地から《武芸の模範、ギデオン/Gideon, Martial Paragon》という名前のカード１枚を探し、それを公開してあなたの手札に加えてもよい。これによりあなたのライブラリーからカードを探したなら、あなたのライブラリーを切り直す。</t>
  </si>
  <si>
    <t>崇高なる目的</t>
  </si>
  <si>
    <t>あなたがコントロールするクリーチャーが戦闘ダメージを与えるたび、あなたはそのダメージに等しい点数のライフを得る。</t>
  </si>
  <si>
    <t>光波の護法印</t>
  </si>
  <si>
    <t>エンチャントされているクリーチャーは+2/+2の修整を受けるとともにプロテクション（すべての色）を持つ。この効果はオーラ(Aura)を取り除かない。（それは白や青や黒や赤や緑のものによって、ブロックされず、対象にならず、ダメージを与えられない。）</t>
  </si>
  <si>
    <t>天使の合唱</t>
  </si>
  <si>
    <t>あなたのコントロール下でクリーチャーが１体戦場に出るたび、あなたはそのタフネスに等しい点数のライフを得る。</t>
  </si>
  <si>
    <t>空位の玉座の印章</t>
  </si>
  <si>
    <t>あなたがエンチャント呪文を唱えるたび、飛行を持つ白の4/4の天使(Angel)クリーチャー・トークンを１体生成する。</t>
  </si>
  <si>
    <t>空封じ</t>
  </si>
  <si>
    <t>星座 ― 空封じか他のエンチャント１つがあなたのコントロール下で戦場に出るたび、エンチャントでないパーマネント１つを対象とし、それを追放する。次の終了ステップの開始時に、そのカードをオーナーのコントロール下で戦場に戻す。</t>
  </si>
  <si>
    <t>結束への呼びかけ</t>
  </si>
  <si>
    <t>紛争 ― あなたの終了ステップの開始時に、このターンにあなたがコントロールするパーマネントが戦場を離れていた場合、結束への呼びかけの上に結束(unity)カウンターを１個置く。</t>
  </si>
  <si>
    <t>あなたがコントロールするクリーチャーは、結束への呼びかけの上に置かれている結束カウンター１個につき+1/+1の修整を受ける。</t>
  </si>
  <si>
    <t>皇帝の仮面</t>
  </si>
  <si>
    <t>皇帝の仮面が戦場に出たとき、それがトークンでない場合、あなたの各チームメイトは皇帝の仮面のコピーであるトークンを１つ生成する。</t>
  </si>
  <si>
    <t>加護の反射</t>
  </si>
  <si>
    <t>あなたがライフを得る場合、代わりにあなたはその２倍の総量のライフを得る。</t>
  </si>
  <si>
    <t>天界の執政官</t>
  </si>
  <si>
    <t>授与(５)(W)(W)（このカードを授与コストで唱えた場合、これはエンチャント（クリーチャー）を持つオーラ(Aura)呪文である。クリーチャーにつけられていない場合、これは再びクリーチャーになる。）</t>
  </si>
  <si>
    <t>飛行、先制攻撃</t>
  </si>
  <si>
    <t>エンチャントされているクリーチャーは+4/+4の修整を受けるとともに飛行と先制攻撃を持つ。</t>
  </si>
  <si>
    <t>ヘリオッドの指図</t>
  </si>
  <si>
    <t>あなたがコントロールするクリーチャーは+2/+2の修整を受ける。</t>
  </si>
  <si>
    <t>領事府の弾圧</t>
  </si>
  <si>
    <t>領事府の弾圧が戦場に出たとき、領事府の弾圧が戦場を離れるまで、対戦相手がコントロールするすべてのアーティファクトを追放する。</t>
  </si>
  <si>
    <t>不毛の栄光</t>
  </si>
  <si>
    <t>あなたのアップキープの開始時に、あなたが不毛の栄光以外のパーマネントをコントロールしておらず、かつあなたの手札にカードがない場合、あなたはこのゲームに勝利する。</t>
  </si>
  <si>
    <t>真実の確信</t>
  </si>
  <si>
    <t>(３)(W)(W)(W)</t>
  </si>
  <si>
    <t>あなたがコントロールするクリーチャーは二段攻撃と絆魂を持つ。</t>
  </si>
  <si>
    <t>スランの崩落</t>
  </si>
  <si>
    <t>（この英雄譚(Saga)が出た際とあなたのドロー・ステップの後に、伝承(lore)カウンターを１個加える。IIIの後に、生け贄に捧げる。）</t>
  </si>
  <si>
    <t>I ― 土地をすべて破壊する。</t>
  </si>
  <si>
    <t>II,III ― 各プレイヤーはそれぞれ、自分の墓地から土地カード２枚を戦場に戻す。</t>
  </si>
  <si>
    <t>天界のマントル</t>
  </si>
  <si>
    <t>エンチャントされているクリーチャーがプレイヤー１人に戦闘ダメージを与えるたび、それのコントローラーのライフの総数を２倍にする。</t>
  </si>
  <si>
    <t>永遠との接触</t>
  </si>
  <si>
    <t>あなたのアップキープの開始時に、あなたがコントロールするパーマネントの数を数える。あなたのライフの総量は、その数になる。</t>
  </si>
  <si>
    <t>隔離の場</t>
  </si>
  <si>
    <t>(Ｘ)(Ｘ)(W)(W)</t>
  </si>
  <si>
    <t>隔離の場は、(isolation)・カウンターがＸ個置かれた状態で戦場に出る。</t>
  </si>
  <si>
    <t>隔離の場が戦場に出たとき、これの上に置かれている・カウンター１個につき、対戦相手がコントロールする土地でないパーマネントを最大１つ対象とし、隔離の場が戦場を離れるまでそれらを追放する。</t>
  </si>
  <si>
    <t>ベナリア史</t>
  </si>
  <si>
    <t>I,II ― 警戒を持つ白の2/2の騎士(Knight)クリーチャー・トークンを１体生成する。</t>
  </si>
  <si>
    <t>III ― ターン終了時まで、あなたがコントロールしている騎士は+2/+1の修整を受ける。</t>
  </si>
  <si>
    <t>太陽の神、ヘリオッド</t>
  </si>
  <si>
    <t>あなたの白への信心が５未満であるかぎり、太陽の神、ヘリオッドはクリーチャーではない。（あなたの白への信心は、あなたがコントロールするパーマネントのマナ・コストに含まれる(W)の数に等しい。）</t>
  </si>
  <si>
    <t>あなたがコントロールする他のクリーチャーは警戒を持つ。</t>
  </si>
  <si>
    <t>(２)(W)(W)：白の2/1のクレリック(Cleric)・クリーチャー・エンチャント・トークンを１体生成する。</t>
  </si>
  <si>
    <t>_5/6</t>
  </si>
  <si>
    <t>天使の運命</t>
  </si>
  <si>
    <t>エンチャントされているクリーチャーは+4/+4の修整を受けるとともに飛行と先制攻撃を持ち、それはそれの他のタイプに加えて天使(Angel)である。</t>
  </si>
  <si>
    <t>エンチャントされているクリーチャーが死亡したとき、天使の運命をオーナーの手札に戻す。</t>
  </si>
  <si>
    <t>ニクスの星原</t>
  </si>
  <si>
    <t>あなたのアップキープの開始時に、あなたの墓地にあるエンチャント・カード１枚を対象とする。あなたはそれを戦場に戻してもよい。</t>
  </si>
  <si>
    <t>あなたが５つ以上のエンチャントをコントロールしているかぎり、あなたがコントロールする他のオーラ(Aura)でないエンチャントは、それの他のタイプに加えてクリーチャーである。それらはそれぞれ、その点数で見たマナ・コストに等しい基本のパワーと基本のタフネスを持つ。</t>
  </si>
  <si>
    <t>定命の枢軸</t>
  </si>
  <si>
    <t>あなたのアップキープの開始時に、プレイヤー２人を対象とする。あなたは「その両者はライフ総量を公開する。」を選んでもよい。</t>
  </si>
  <si>
    <t>圧倒的輝き</t>
  </si>
  <si>
    <t>エンチャントされているプレイヤーがコントロールするクリーチャーは、能力をすべて失うとともに基本のパワーとタフネスが1/1になる。</t>
  </si>
  <si>
    <t>エンチャントされているプレイヤーは、マナ能力でも忠誠度能力でもない能力を起動できない。</t>
  </si>
  <si>
    <t>土地の聖別</t>
  </si>
  <si>
    <t>エンチャントされている土地は破壊不能を持つとともに、他のオーラ(Aura)によってはエンチャントされない。</t>
  </si>
  <si>
    <t>天界の曙光</t>
  </si>
  <si>
    <t>あなたがコントロールする土地は平地(Plains)である。</t>
  </si>
  <si>
    <t>あなたがコントロールする土地でないパーマネントは白である。あなたがコントロールする呪文とあなたがオーナーであり戦場にない土地でないカードについても同様である。</t>
  </si>
  <si>
    <t>あなたは、白マナを好きな色のマナであるかのように支払ってもよい。あなたは他のマナを無色マナであるかのようにのみ支払ってもよい。</t>
  </si>
  <si>
    <t>聖なるメサ</t>
  </si>
  <si>
    <t>あなたのアップキープの開始時に、ペガサス(Pegasus)を１体生け贄に捧げないかぎり、聖なるメサを生け贄に捧げる。</t>
  </si>
  <si>
    <t>(１)(W)：飛行を持つ白の1/1のペガサス・クリーチャー・トークンを１体生成する。</t>
  </si>
  <si>
    <t>永劫の輪廻</t>
  </si>
  <si>
    <t>あなたの手札を公開した状態でプレイする。</t>
  </si>
  <si>
    <t>あなたがカードを引く場合、代わりにあなたのライブラリーの一番上のカードを公開する。それがクリーチャー・カードである場合、それをあなたの墓地に置く。そうでない場合、カードを１枚引く。</t>
  </si>
  <si>
    <t>クリーチャー１体が戦場からあなたの墓地に置かれるたび、それをあなたの手札に戻す。</t>
  </si>
  <si>
    <t>蘇生</t>
  </si>
  <si>
    <t>あなたの墓地にあるクリーチャー・カード１枚を対象とし、それを戦場に戻す。</t>
  </si>
  <si>
    <t>均衡の復元</t>
  </si>
  <si>
    <t>　色指標：〔白〕</t>
  </si>
  <si>
    <t>待機６ ― (W)（このカードをあなたの手札から唱えるのではなく、(W)を支払うとともにそれを時間(time)カウンターが６個置かれた状態で追放する。あなたのアップキープの開始時に、時間カウンターを１個取り除く。最後の１個を取り除いたとき、それをそのマナ・コストを支払うことなく唱える。）</t>
  </si>
  <si>
    <t>各プレイヤーは、最も少ない数の土地をコントロールしているプレイヤーがコントロールする土地の数に等しい数だけ、自分がコントロールする土地を選ぶ。その後残りを生け贄に捧げる。プレイヤーは同じ方法でクリーチャーを生け贄に捧げ、同じ方法でカードを捨てる。</t>
  </si>
  <si>
    <t>船団の出航</t>
  </si>
  <si>
    <t>奮励 ― この呪文を唱えるためのコストは、２つ目以降の対象１つにつき(１)多くなる。</t>
  </si>
  <si>
    <t>望む数のクリーチャーを対象とする。ターン終了時まで、それらはそれぞれ「このクリーチャーが攻撃するたび、タップ状態で攻撃している白の1/1の兵士(Soldier)クリーチャー・トークンを１体生成する。」を得る。</t>
  </si>
  <si>
    <t>軍部政変</t>
  </si>
  <si>
    <t>(Ｘ)(W)(W)</t>
  </si>
  <si>
    <t>白の1/1の兵士(Soldier)クリーチャー・トークンをＸ体生成する。Ｘが５以上の場合、他のすべてのクリーチャーを破壊する。</t>
  </si>
  <si>
    <t>戦列への復帰</t>
  </si>
  <si>
    <t>あなたの墓地にある、点数で見たマナ・コストが２以下のクリーチャー・カードＸ枚を対象とし、それらを戦場に戻す。</t>
  </si>
  <si>
    <t>スフィンクスの命令</t>
  </si>
  <si>
    <t>各対戦相手は、次の自分のターンの間、インスタントかソーサリーである呪文を唱えられない。</t>
  </si>
  <si>
    <t>石の宣告</t>
  </si>
  <si>
    <t>クリーチャー１体を対象とする。それと、それのコントローラーがコントロールするそれと同じ名前を持つ他のクリーチャーをすべて追放する。そのプレイヤーは、これにより追放されたトークンでないクリーチャー１体につき１回調査を行う。</t>
  </si>
  <si>
    <t>ゲートウォッチ招致</t>
  </si>
  <si>
    <t>あなたのライブラリーからプレインズウォーカー・カードを１枚探し、それを公開してあなたの手札に加える。その後あなたのライブラリーを切り直す。</t>
  </si>
  <si>
    <t>再誕の宣言</t>
  </si>
  <si>
    <t>あなたの墓地にある、点数で見たマナ・コストが１以下のクリーチャー・カードを最大３枚まで対象とし、それらを戦場に戻す。</t>
  </si>
  <si>
    <t>予見 ― (５)(W),あなたの手札から再誕の宣言を公開する：あなたの墓地にある、点数で見たマナ・コストが１以下のクリーチャー・カード１枚を対象とし、それを戦場に戻す。（この能力は、あなたのアップキープの間にのみ、各ターンに１回のみ起動できる。）</t>
  </si>
  <si>
    <t>集団的努力</t>
  </si>
  <si>
    <t>増呪 ― あなたがコントロールするアンタップ状態のクリーチャー１体をタップする。（２つ目以降に選ぶモード１つにつき、このコストを１回支払う。）</t>
  </si>
  <si>
    <t>・パワーが４以上のクリーチャー１体を対象とし、それを破壊する。</t>
  </si>
  <si>
    <t>・プレイヤー１人を対象とする。そのプレイヤーがコントロールする各クリーチャーの上に+1/+1カウンターをそれぞれ１個置く。</t>
  </si>
  <si>
    <t>強者鏖殺</t>
  </si>
  <si>
    <t>各プレイヤーはそれぞれ、自分がコントロールしている望む数のクリーチャーを、それらのパワーの合計が４以下になるように選び、その後自分がコントロールしている他のクリーチャーをすべて生け贄に捧げる。</t>
  </si>
  <si>
    <t>オケチラ最後の慈悲</t>
  </si>
  <si>
    <t>あなたのライフの総量はあなたの初期ライフ総量と等しい点数になる。あなたがコントロールする土地は、あなたの次のアンタップ・ステップにアンタップしない。</t>
  </si>
  <si>
    <t>牧歌的な教示者</t>
  </si>
  <si>
    <t>あなたのライブラリーからエンチャント・カードを１枚探し、それを公開し、あなたの手札に加える。その後あなたのライブラリーを切り直す。</t>
  </si>
  <si>
    <t>神の怒り</t>
  </si>
  <si>
    <t>すべてのクリーチャーを破壊する。それらは再生できない。</t>
  </si>
  <si>
    <t>審判の日</t>
  </si>
  <si>
    <t>再拘束</t>
  </si>
  <si>
    <t>あなたの墓地にある各オーラ(Aura)・カードを戦場に戻す。これらはクリーチャーにのみエンチャントできる。（クリーチャーにエンチャントできないオーラ・カードは、あなたの墓地に残る。）</t>
  </si>
  <si>
    <t>黄昏</t>
  </si>
  <si>
    <t>パワーが３以上のクリーチャーをすべて破壊する。</t>
  </si>
  <si>
    <t>払暁</t>
  </si>
  <si>
    <t>余波（この呪文はあなたの墓地からのみ唱えられる。その後、これを追放する。）</t>
  </si>
  <si>
    <t>あなたの墓地からパワーが２以下のクリーチャー・カードをすべてあなたの手札に戻す。</t>
  </si>
  <si>
    <t>神聖なる報い</t>
  </si>
  <si>
    <t>各プレイヤーは、自分がコントロールするクリーチャーを１体選ぶ。残りを破壊する。</t>
  </si>
  <si>
    <t>フラッシュバック(５)(W)(W)（あなたはあなたの墓地にあるこのカードを、そのフラッシュバック・コストで唱えてもよい。その後それを追放する。）</t>
  </si>
  <si>
    <t>アジャニの影響</t>
  </si>
  <si>
    <t>クリーチャー１体を対象とし、それの上に+1/+1カウンターを２個置く。</t>
  </si>
  <si>
    <t>あなたのライブラリーの一番上からカードを５枚見る。あなたはその中から白のカード１枚を公開してあなたの手札に加えてもよい。残りをあなたのライブラリーの一番下に無作為の順番で置く。</t>
  </si>
  <si>
    <t>スラムの巧技</t>
  </si>
  <si>
    <t>無色の1/1の霊気装置(Servo)アーティファクト・クリーチャー・トークンを３体生成する。</t>
  </si>
  <si>
    <t>あなたは、あなたの手札から点数で見たマナ・コストが３以下のカード１枚を、そのマナ・コストを支払うことなく唱えてもよい。</t>
  </si>
  <si>
    <t>福音</t>
  </si>
  <si>
    <t>バイバック(２)(W)(W)（あなたがこの呪文を唱えるに際し、あなたは追加の(２)(W)(W)を支払ってもよい。そうした場合、その解決に際し、このカードをあなたの手札に加える。）</t>
  </si>
  <si>
    <t>対戦相手１人が選んだ、そのプレイヤーがコントロールするクリーチャー１体を対象とし、そのコントロールを得る。</t>
  </si>
  <si>
    <t>浄化の輝き</t>
  </si>
  <si>
    <t>・クリーチャーをすべて破壊する。</t>
  </si>
  <si>
    <t>・アーティファクトとエンチャントをすべて破壊する。</t>
  </si>
  <si>
    <t>燻蒸</t>
  </si>
  <si>
    <t>すべてのクリーチャーを破壊する。これにより破壊されたクリーチャー１体につき、あなたは１点のライフを得る。</t>
  </si>
  <si>
    <t>ウルザの殲滅破</t>
  </si>
  <si>
    <t>伝説のソーサリー</t>
  </si>
  <si>
    <t>（伝説のソーサリーは、あなたが伝説のクリーチャーか伝説のプレインズウォーカーをコントロールしているときにのみ唱えられる。）</t>
  </si>
  <si>
    <t>伝説でなく土地でもないパーマネントをすべて追放する。</t>
  </si>
  <si>
    <t>次元の激高</t>
  </si>
  <si>
    <t>すべての土地でないクリーチャーを破壊する。</t>
  </si>
  <si>
    <t>覚醒４ ― (５)(W)(W)(W)（この呪文を(５)(W)(W)(W)で唱えたなら、加えて、あなたがコントロールする土地１つを対象とする。それの上に+1/+1カウンターを４個置く。それは速攻を持つ0/0のエレメンタル(Elemental)・クリーチャーになる。それは土地でもある。）</t>
  </si>
  <si>
    <t>神聖なる埋葬</t>
  </si>
  <si>
    <t>すべてのクリーチャーを、それらのオーナーのライブラリーの一番下に置く。</t>
  </si>
  <si>
    <t>征服者の誓約</t>
  </si>
  <si>
    <t>キッカー(６)（あなたがこの呪文を唱えるに際し、あなたは追加の(６)を支払ってもよい。）</t>
  </si>
  <si>
    <t>白の1/1のコー(Kor)・兵士(Soldier)クリーチャー・トークンを６体生成する。この呪文がキッカーされていたなら、代わりにそれらのトークンを１２体生成する。</t>
  </si>
  <si>
    <t>悲劇的な傲慢</t>
  </si>
  <si>
    <t>プレイヤー１人につき、あなたはそのプレイヤーがコントロールしているパーマネントの中からアーティファクト１つ、クリーチャー１体、エンチャント１つ、プレインズウォーカー１体を選ぶ。その後、各プレイヤーはそれぞれ、自分がコントロールする他のすべての土地でないパーマネントを生け贄に捧げる。</t>
  </si>
  <si>
    <t>三つの夢</t>
  </si>
  <si>
    <t>あなたのライブラリーから異なる名前のオーラ(Aura)・カードを最大３枚まで探し、それらを公開し、あなたの手札に加える。その後あなたのライブラリーを切り直す。</t>
  </si>
  <si>
    <t>対立の終結</t>
  </si>
  <si>
    <t>すべてのクリーチャーと、クリーチャーにつけられているすべてのパーマネントを破壊する。</t>
  </si>
  <si>
    <t>ファイレクシアの再誕</t>
  </si>
  <si>
    <t>すべてのクリーチャーを破壊する。その後、無色のX/Xのホラー(Horror)・アーティファクト・クリーチャー・トークンを１体生成する。Ｘは、これにより破壊されたクリーチャーの総数である。</t>
  </si>
  <si>
    <t>遊牧の民の集合</t>
  </si>
  <si>
    <t>あなたがコントロールするクリーチャー１体につき、白の1/1のコー(Kor)・兵士(Soldier)クリーチャー・トークンを１体生成する。</t>
  </si>
  <si>
    <t>質素な命令</t>
  </si>
  <si>
    <t>・すべてのアーティファクトを破壊する。</t>
  </si>
  <si>
    <t>・すべてのエンチャントを破壊する。</t>
  </si>
  <si>
    <t>・点数で見たマナ・コストが３以下のすべてのクリーチャーを破壊する。</t>
  </si>
  <si>
    <t>・点数で見たマナ・コストが４以上のすべてのクリーチャーを破壊する。</t>
  </si>
  <si>
    <t>突然の消失</t>
  </si>
  <si>
    <t>プレイヤー１人を対象とする。そのプレイヤーがコントロールするすべての土地でないパーマネントを追放する。次の終了ステップの開始時に、それらの追放されたカードをオーナーのコントロール下で戦場に戻す。</t>
  </si>
  <si>
    <t>最後の裁き</t>
  </si>
  <si>
    <t>すべてのクリーチャーを追放する。</t>
  </si>
  <si>
    <t>陽光の潮流</t>
  </si>
  <si>
    <t>・パワーが２以下のクリーチャーをすべて破壊する。</t>
  </si>
  <si>
    <t>・パワーが３以上のクリーチャーをすべて破壊する。</t>
  </si>
  <si>
    <t>双呪 ― 土地を２つ生け贄に捧げる。（あなたが双呪コストを支払った場合、両方を選ぶ。）</t>
  </si>
  <si>
    <t>導きの嘆願</t>
  </si>
  <si>
    <t>あなたのライブラリーからエンチャント・カードを最大２枚まで探し、それらを公開してあなたの手札に加える。その後、あなたのライブラリーを切り直す。</t>
  </si>
  <si>
    <t>次元の浄化</t>
  </si>
  <si>
    <t>すべての土地でないパーマネントを破壊する。</t>
  </si>
  <si>
    <t>終末</t>
  </si>
  <si>
    <t>すべてのクリーチャーをオーナーのライブラリーの一番下に置く。</t>
  </si>
  <si>
    <t>蔵の開放</t>
  </si>
  <si>
    <t>すべての墓地にあるすべてのアーティファクト・カードとすべてのエンチャント・カードを、それらのオーナーのコントロール下で戦場に戻す。（エンチャントするものがないオーラは墓地に残る。）</t>
  </si>
  <si>
    <t>啓示の刻</t>
  </si>
  <si>
    <t>戦場に土地でないパーマネントが１０個以上あるなら、この呪文を唱えるためのコストは(３)少なくなる。</t>
  </si>
  <si>
    <t>土地でないパーマネントをすべて破壊する。</t>
  </si>
  <si>
    <t>不朽の理想</t>
  </si>
  <si>
    <t>あなたのライブラリーからエンチャント・カードを１枚探し、そのカードを戦場に出す。その後あなたのライブラリーを切り直す。</t>
  </si>
  <si>
    <t>歴伝（ゲームの残りの間、あなたは呪文を唱えられない。あなたの各アップキープの開始時に、その歴伝能力を除き、この呪文をコピーする。）</t>
  </si>
  <si>
    <t>太陽の一掃</t>
  </si>
  <si>
    <t>あなたは、太陽の一掃のマナ・コストを支払うのではなく、あなたの手札にある白のカード２枚を追放することを選んでもよい。</t>
  </si>
  <si>
    <t>神の導き</t>
  </si>
  <si>
    <t>あなたはあなたのゲームの開始時の手札からこのカードを公開してもよい。そうしたなら、最初のアップキープの開始時に、あなたのライフの総量は26点になる。</t>
  </si>
  <si>
    <t>あなたのライフの総量は26点になる。</t>
  </si>
  <si>
    <t>副陽の接近</t>
  </si>
  <si>
    <t>(６)(W)</t>
  </si>
  <si>
    <t>副陽の接近があなたの手札から唱えられ、かつ、あなたがこのゲームで《副陽の接近/Approach of the Second Sun》という名前の他の呪文を唱えていたなら、あなたはこのゲームに勝利する。そうでないなら、副陽の接近をオーナーのライブラリーの一番上から７枚目に置き、あなたは７点のライフを得る。</t>
  </si>
  <si>
    <t>集団の石灰化</t>
  </si>
  <si>
    <t>すべての白でないクリーチャーを破壊する。</t>
  </si>
  <si>
    <t>再利用の咆哮</t>
  </si>
  <si>
    <t>各プレイヤーは、自分の墓地にあるすべてのアーティファクト・カードを戦場に戻す。</t>
  </si>
  <si>
    <t>深遠な旅</t>
  </si>
  <si>
    <t>あなたの墓地にあるパーマネント・カード１枚を対象とし、それを戦場に戻す。</t>
  </si>
  <si>
    <t>報いの時</t>
  </si>
  <si>
    <t>(４)(W)(W)(W)</t>
  </si>
  <si>
    <t>すべてのトークンでないクリーチャーを破壊する。</t>
  </si>
  <si>
    <t>無敵の賛歌</t>
  </si>
  <si>
    <t>あなたのライブラリーの枚数を数える。あなたのライフの総量はその数になる。</t>
  </si>
  <si>
    <t>砂の逆流</t>
  </si>
  <si>
    <t>好きな数のプレイヤーのそれぞれのライフの総量を再配分する。（各プレイヤーのライフは、誰かのそれまでのライフの総量になる。）</t>
  </si>
  <si>
    <t>記憶に残る勇姿</t>
  </si>
  <si>
    <t>(６)(W)(W)(W)</t>
  </si>
  <si>
    <t>あなたは２０点のライフを得る。</t>
  </si>
  <si>
    <t>待機１０ ― (W)（このカードをあなたの手札から唱えるのではなく、(W)を支払うとともにそれを時間(time)カウンターが１０個置かれた状態で追放する。あなたのアップキープの開始時に、時間カウンターを１個取り除く。最後の１個を取り除いたとき、それをそのマナ・コストを支払うことなく唱える。）</t>
  </si>
  <si>
    <t>嵐の獣群</t>
  </si>
  <si>
    <t>(８)(W)(W)</t>
  </si>
  <si>
    <t>飛行を持つ白の1/1のペガサス(Pegasus)・クリーチャー・トークンをＸ体生成する。Ｘはあなたの総ライフである。</t>
  </si>
  <si>
    <t>魂流し</t>
  </si>
  <si>
    <t>(７)(W)(W)(W)</t>
  </si>
  <si>
    <t>すべてのアーティファクトでないパーマネントを破壊する。</t>
  </si>
  <si>
    <t>天使への願い</t>
  </si>
  <si>
    <t>(Ｘ)(Ｘ)(W)(W)(W)</t>
  </si>
  <si>
    <t>飛行を持つ白の4/4の天使(Angel)クリーチャー・トークンをＸ体生成する。</t>
  </si>
  <si>
    <t>奇跡(Ｘ)(W)(W)（あなたがこのカードを引いたとき、これがこのターンに最初に引いたカードだった場合、あなたはこれの奇跡コストを支払うことでこれを唱えてもよい。）</t>
  </si>
  <si>
    <t>罪人への急襲</t>
  </si>
  <si>
    <t>昂揚 ― あなたの墓地にあるカードにカード・タイプが合計４種類以上含まれるなら、飛行を持つ白の4/4の天使(Angel)クリーチャー・トークンを１体生成する。</t>
  </si>
  <si>
    <t>ゲートウォッチ配備</t>
  </si>
  <si>
    <t>あなたのライブラリーの一番上からカードを７枚見る。その中からプレインズウォーカー・カード最大２枚を戦場に出す。残りをあなたのライブラリーの一番下に無作為の順番で置く。</t>
  </si>
  <si>
    <t>敬虔な祈り</t>
  </si>
  <si>
    <t>あなたは、あなたがコントロールするアンタップ状態のクリーチャーを望む数タップする。これによりタップされたクリーチャー１体につき、飛行を持つ4/4の天使(Angel)クリーチャー・トークンを１体生成する。</t>
  </si>
  <si>
    <t>大天使の光</t>
  </si>
  <si>
    <t>(７)(W)</t>
  </si>
  <si>
    <t>あなたは、あなたの墓地にあるカード１枚につき２点のライフを得る。その後、あなたの墓地をあなたのライブラリーに加えて切り直す。</t>
  </si>
  <si>
    <t>仲裁の契約</t>
  </si>
  <si>
    <t>このターン、あなたが選んだ発生源１つが次にあなたに与えるすべてのダメージを軽減する。あなたは、これにより軽減されたダメージに等しい点数のライフを得る。</t>
  </si>
  <si>
    <t>あなたの次のアップキープの開始時に(１)(W)(W)を支払う。そうしない場合、あなたはこのゲームに敗北する。</t>
  </si>
  <si>
    <t>斥候の警告</t>
  </si>
  <si>
    <t>このターン、あなたが次にプレイする次のクリーチャー・カードはそれが瞬速を持つかのようにプレイできる。</t>
  </si>
  <si>
    <t>荒野の確保</t>
  </si>
  <si>
    <t>白の1/1の戦士(Warrior)クリーチャー・トークンをＸ体生成する。</t>
  </si>
  <si>
    <t>天使の嗜み</t>
  </si>
  <si>
    <t>刹那（この呪文がスタックにあるかぎり、プレイヤーは呪文を唱えられず、マナ能力でない起動型能力を起動できない。）</t>
  </si>
  <si>
    <t>このターン、あなたはゲームに敗北することはなく、あなたの対戦相手はゲームに勝利することはない。ターン終了時まで、あなたのライフの総量を１点未満に減少させるダメージは、代わりにあなたのライフの総量が１点になるまで減少させる。</t>
  </si>
  <si>
    <t>神聖なる反撃</t>
  </si>
  <si>
    <t>クリーチャー１体かプレインズウォーカー１体かプレイヤー１人を対象とする。このターン、次にあなたやあなたがコントロールするパーマネントに与えられるダメージをＸ点軽減する。これによりダメージが軽減されるなら、神聖なる反撃はそのクリーチャーかプレインズウォーカーかプレイヤーに同じ点数のダメージを与える。</t>
  </si>
  <si>
    <t>疎外</t>
  </si>
  <si>
    <t>点数で見たマナ・コストが１のパーマネント１つを対象とし、それを追放する。</t>
  </si>
  <si>
    <t>純粋な意図</t>
  </si>
  <si>
    <t>このターン、対戦相手がコントロールする呪文や能力によってあなたがカードを捨てさせられるたび、あなたの墓地にあるそれらのカードをあなたの手札に戻す。</t>
  </si>
  <si>
    <t>対戦相手１人がコントロールする呪文や能力によって、あなたが純粋な意図を捨てさせられたとき、次の終了ステップの開始時に、あなたの墓地にある純粋な意図をあなたの手札に戻す。</t>
  </si>
  <si>
    <t>沈黙</t>
  </si>
  <si>
    <t>このターン、あなたの対戦相手は呪文を唱えられない。（すでに唱えられている呪文は影響を受けない。）</t>
  </si>
  <si>
    <t>輝く群れ</t>
  </si>
  <si>
    <t xml:space="preserve">あなたは、輝く群れのマナ・コストを支払うのではなく、あなたの手札にある、点数で見たマナ・コストがＸである白のカード１枚を追放することを選んでもよい。 </t>
  </si>
  <si>
    <t>クリーチャー１体かプレイヤー１人を対象とする。このターン、あなたが選んだ発生源１つが、あなたかあなたがコントロールするクリーチャーに与えるＸ点のダメージは、代わりにそれに与えられる。</t>
  </si>
  <si>
    <t>幸いなる逆転</t>
  </si>
  <si>
    <t>あなたを攻撃しているクリーチャー１体につき、あなたは３点のライフを得る。</t>
  </si>
  <si>
    <t>鮮血の秘儀</t>
  </si>
  <si>
    <t>あなたはＸの２倍の点数のライフを得る。鮮血の秘儀をオーナーのライブラリーの一番下に置く。</t>
  </si>
  <si>
    <t>ギルドとの縁切り</t>
  </si>
  <si>
    <t>各プレイヤーはそれぞれ多色のパーマネントを１つ生け贄に捧げる。</t>
  </si>
  <si>
    <t>光輝の粛清</t>
  </si>
  <si>
    <t>多色のクリーチャー１体か多色のエンチャント１つを対象とし、それを追放する。</t>
  </si>
  <si>
    <t>先祖の結集</t>
  </si>
  <si>
    <t>あなたの墓地にある、点数で見たマナ・コストがＸ以下の各クリーチャー・カードをそれぞれ戦場に戻す。あなたの次のアップキープの開始時に、それらのクリーチャーを追放する。先祖の結集を追放する。</t>
  </si>
  <si>
    <t>神討ち</t>
  </si>
  <si>
    <t>エンチャント１つを対象とし、それを追放する。その追放されたカードが神(God)カードであるなら、そのコントローラーの墓地と手札とライブラリーから、そのカードと同じ名前を持つカードを望む枚数探し、それらを追放する。その後、そのプレイヤーは自分のライブラリーを切り直す。</t>
  </si>
  <si>
    <t>神聖なる月光</t>
  </si>
  <si>
    <t>ターン終了時まで、クリーチャーが、それが唱えられることなく戦場に出るなら、代わりにそれを追放する。</t>
  </si>
  <si>
    <t>戦線維持</t>
  </si>
  <si>
    <t>ブロックしているクリーチャーはターン終了時まで+7/+7の修整を受ける。</t>
  </si>
  <si>
    <t>ダメージ反転</t>
  </si>
  <si>
    <t>第二の日の出</t>
  </si>
  <si>
    <t>各プレイヤーは、このターン戦場から自分の墓地に置かれたアーティファクト、クリーチャー、エンチャント、土地カードをすべて戦場に戻す。</t>
  </si>
  <si>
    <t>霊の通り路</t>
  </si>
  <si>
    <t>あなたがコントロールする各クリーチャーを追放する。次の終了ステップの開始時に、それらのカードをオーナーのコントロール下で戦場に戻す。</t>
  </si>
  <si>
    <t>奇妙な幕間</t>
  </si>
  <si>
    <t>あなたがコントロールする望む数のクリーチャーを対象とし、それらを追放する。次の終了ステップの開始時に、それらのカードをオーナーのコントロール下で戦場に戻す。</t>
  </si>
  <si>
    <t>白の太陽の頂点</t>
  </si>
  <si>
    <t>(Ｘ)(W)(W)(W)</t>
  </si>
  <si>
    <t>白の2/2の猫(Cat)クリーチャー・トークンをＸ体生成する。白の太陽の頂点をオーナーのライブラリーに加えて切り直す。</t>
  </si>
  <si>
    <t>原野の脈動</t>
  </si>
  <si>
    <t>あなたは４点のライフを得る。その後対戦相手１人のライフがあなたより多い場合、原野の脈動をオーナーの手札に戻す。</t>
  </si>
  <si>
    <t>信仰の見返り</t>
  </si>
  <si>
    <t>このターンに戦場からあなたの墓地に置かれたすべてのパーマネント・カードを戦場に戻す。</t>
  </si>
  <si>
    <t>応酬</t>
  </si>
  <si>
    <t>このターン、あなたにダメージを与えたすべてのクリーチャーを破壊する。</t>
  </si>
  <si>
    <t>残骸の漂着</t>
  </si>
  <si>
    <t>プレイヤー１人を対象とし、そのプレイヤーがコントロールしている攻撃クリーチャーをすべて追放する。そのプレイヤーは自分のライブラリーから、その数に等しい枚数の基本土地カードを探してもよい。そうしたなら、そのプレイヤーはそれらのカードをタップ状態で戦場に出し、その後自分のライブラリーを切り直す。</t>
  </si>
  <si>
    <t>形勢逆転</t>
  </si>
  <si>
    <t>攻撃しているクリーチャー１体を対象とする。このターン、あなたに与えられるすべての戦闘ダメージは、代わりにそれに与えられる。</t>
  </si>
  <si>
    <t>不死の標</t>
  </si>
  <si>
    <t>プレイヤー１人を対象とする。そのプレイヤーのライフの総量は２倍になる。不死の標をオーナーのライブラリーに加えて切り直す。</t>
  </si>
  <si>
    <t>ギデオンの密集軍</t>
  </si>
  <si>
    <t>警戒を持つ白の2/2の騎士(Knight)クリーチャー・トークンを４体生成する。</t>
  </si>
  <si>
    <t>魔巧 ― あなたの墓地にインスタント・カードやソーサリー・カードが合わせて２枚以上あるなら、ターン終了時まで、あなたがコントロールするクリーチャーは破壊不能を得る。</t>
  </si>
  <si>
    <t>宿命的報復</t>
  </si>
  <si>
    <t>すべてのクリーチャーとすべてのプレインズウォーカーを破壊する。あなたのターンであるなら、占術２を行う。（あなたのライブラリーの一番上から２枚のカードを見て、そのうちの望む枚数のカードを望む順番であなたのライブラリーの一番下に置き、残りを望む順番で一番上に置く。）</t>
  </si>
  <si>
    <t>名誉の道行き</t>
  </si>
  <si>
    <t>クリーチャー１体かプレインズウォーカー１体かプレイヤー１人を対象とする。このターン、あなたが選んだ発生源１つが次にそれに与えるすべてのダメージを軽減する。赤の発生源からのダメージがこれにより軽減されたなら、名誉の道行きはその発生源のコントローラーに同じ点数のダメージを与える。</t>
  </si>
  <si>
    <t>解呪</t>
  </si>
  <si>
    <t>オーラの術策</t>
  </si>
  <si>
    <t>あなたがコントロールするオーラ(Aura)１つを対象とし、クリーチャー１体を対象とする。その前者を後者につける。</t>
  </si>
  <si>
    <t>夢のよじれ</t>
  </si>
  <si>
    <t>ミジウムの外皮</t>
  </si>
  <si>
    <t>あなたがコントロールするクリーチャー１体を対象とする。それはターン終了時まで+0/+1の修整を受けるとともに呪禁を得る。</t>
  </si>
  <si>
    <t>超過(１)(U)（あなたはこの呪文をその超過コストで唱えてもよい。そうしたなら、あなたがコントロールする各クリーチャーは、ターン終了時までそれぞれ+0/+1の修整を受けるとともに呪禁を得る。）</t>
  </si>
  <si>
    <t>潜水</t>
  </si>
  <si>
    <t>あなたがコントロールしているクリーチャー１体を対象とする。ターン終了時まで、それは+0/+3の修整を受けるとともに呪禁を得る。（それは対戦相手がコントロールする呪文や能力の対象にならない。）</t>
  </si>
  <si>
    <t>押さえつける触手</t>
  </si>
  <si>
    <t>迷宮での迷子</t>
  </si>
  <si>
    <t>クリーチャー１体を対象とする。それはターン終了時まで-3/-0の修整を受ける。占術１を行う。（あなたのライブラリーの一番上のカードを見る。あなたはそのカードをあなたのライブラリーの一番下に置いてもよい。）</t>
  </si>
  <si>
    <t>無意識の流れ</t>
  </si>
  <si>
    <t>クリーチャー１体を対象とする。それはターン終了時まで-4/-0の修整を受ける。あなたがウィザード(Wizard)をコントロールしている場合、カードを１枚引く。</t>
  </si>
  <si>
    <t>撤回のらせん</t>
  </si>
  <si>
    <t>クリーチャー１体を対象とする。それはターン終了時まで「(Ｔ)：土地でないパーマネント１つを対象とし、それをオーナーの手札に戻す。」を得る。</t>
  </si>
  <si>
    <t>身柄拘束</t>
  </si>
  <si>
    <t>クリーチャー１体を対象とし、それをタップする。それは、それのコントローラーの次のアンタップ・ステップにアンタップしない。</t>
  </si>
  <si>
    <t>目くらましの呪文</t>
  </si>
  <si>
    <t>変成(１)(U)(U)（(１)(U)(U),このカードを捨てる：あなたのライブラリーから、このカードと同じ点数で見たマナ・コストを持つカード１枚を探し、それを公開し、あなたの手札に加える。その後あなたのライブラリーを切り直す。変成はソーサリーとしてのみ行う。）</t>
  </si>
  <si>
    <t>消し去りの才覚</t>
  </si>
  <si>
    <t>圧縮</t>
  </si>
  <si>
    <t>あなたがコントロールしていないクリーチャー１体を対象とする。それはターン終了時まで-4/-0の修整を受ける。</t>
  </si>
  <si>
    <t>超過(２)(U)（あなたはこの呪文をその超過コストで唱えてもよい。そうしたなら、あなたがコントロールしていない各クリーチャーはそれぞれターン終了時まで-4/-0の修整を受ける。）</t>
  </si>
  <si>
    <t>砕けた野望</t>
  </si>
  <si>
    <t>(Ｘ)(U)</t>
  </si>
  <si>
    <t>呪文１つを対象とする。それのコントローラーが(Ｘ)を支払わないかぎり、それを打ち消す。対戦相手１人と激突を行う。あなたが勝った場合、その呪文のコントローラーは自分のライブラリーのカードを上から４枚、自分の墓地に置く。（激突を行う各プレイヤーは、自分のライブラリーの一番上のカードを公開し、そのカードを一番上か一番下に置く。自分のカードの点数で見たマナ・コストの方が大きいプレイヤーが勝つ。）</t>
  </si>
  <si>
    <t>縮退</t>
  </si>
  <si>
    <t>クリーチャー１体を対象とする。それはターン終了時まで基本のパワーとタフネスが1/1である。</t>
  </si>
  <si>
    <t>夢の掌握</t>
  </si>
  <si>
    <t>・パーマネント１つを対象とし、それをタップする。</t>
  </si>
  <si>
    <t>・パーマネント１つを対象とし、それをアンタップする。</t>
  </si>
  <si>
    <t>地の縛めの切断</t>
  </si>
  <si>
    <t>エンチャントされているパーマネント１つを対象とし、それをオーナーの手札に戻す。</t>
  </si>
  <si>
    <t>のぞき見</t>
  </si>
  <si>
    <t>プレイヤー１人を対象とする。そのプレイヤーの手札を見る。</t>
  </si>
  <si>
    <t>卑下</t>
  </si>
  <si>
    <t>呪文１つを対象とし、それをそれのコントローラーが(Ｘ)を支払わないかぎり、打ち消す。占術２を行う。（あなたのライブラリーの一番上から２枚のカードを見て、そのうちの望む枚数のカードを望む順番であなたのライブラリーの一番下に置き、残りを望む順番で一番上に置く。）</t>
  </si>
  <si>
    <t>払拭</t>
  </si>
  <si>
    <t>インスタント呪文１つを対象とし、それを打ち消す。</t>
  </si>
  <si>
    <t>蒸気の絡みつき</t>
  </si>
  <si>
    <t>クリーチャー１体を対象とし、それをオーナーの手札に戻す。それのコントローラーは１点のライフを失う。</t>
  </si>
  <si>
    <t>打ち寄せる水</t>
  </si>
  <si>
    <t>クリーチャー１体を対象とする。それはターン終了時まで-5/-0の修整を受ける。</t>
  </si>
  <si>
    <t>撤廃</t>
  </si>
  <si>
    <t>点数で見たマナ・コストがＸである、土地でないパーマネント１つを対象とし、それをオーナーの手札に戻す。</t>
  </si>
  <si>
    <t>武装解除</t>
  </si>
  <si>
    <t>クリーチャー１体を対象とする。それからすべての装備品(Equipment)をはずす。</t>
  </si>
  <si>
    <t>空への跳躍</t>
  </si>
  <si>
    <t>クリーチャー１体を対象とする。それはターン終了時まで飛行を得る。それをアンタップする。</t>
  </si>
  <si>
    <t>思考掃き</t>
  </si>
  <si>
    <t>プレイヤー１人を対象とする。そのプレイヤーは、自分のライブラリーの一番上から２枚のカードを自分の墓地に置く。</t>
  </si>
  <si>
    <t>霧中の到達</t>
  </si>
  <si>
    <t>中略</t>
  </si>
  <si>
    <t>呪文１つを対象とする。それのコントローラーが(Ｘ)を支払わないかぎり、それを打ち消す。これによりその呪文が打ち消されたなら、それをオーナーの墓地に置く代わりに追放する。</t>
  </si>
  <si>
    <t>万の眠り</t>
  </si>
  <si>
    <t>複製(U)（あなたがこの呪文を唱えるとき、あなたがその複製コストを支払った回数１回につき、それをコピーする。あなたはそのコピーの新しい対象を選んでもよい。）</t>
  </si>
  <si>
    <t>パーマネント１つを対象とし、それをタップする。</t>
  </si>
  <si>
    <t>一瞬の散漫</t>
  </si>
  <si>
    <t>クリーチャー１体を対象とする。それはターン終了時まで-1/-0の修整を受ける。</t>
  </si>
  <si>
    <t>ジャンプ</t>
  </si>
  <si>
    <t>クリーチャー１体を対象とする。それはターン終了時まで飛行を得る。</t>
  </si>
  <si>
    <t>取り繕い</t>
  </si>
  <si>
    <t>あなたがコントロールするパーマネントを対象とする呪文１つを対象とし、それを打ち消す。</t>
  </si>
  <si>
    <t>救助の手</t>
  </si>
  <si>
    <t>あなたがオーナーであるクリーチャー１体を対象とし、それをあなたの手札に戻す。</t>
  </si>
  <si>
    <t>選択</t>
  </si>
  <si>
    <t>占術１を行う。（あなたのライブラリーの一番上のカードを見る。あなたはそのカードをあなたのライブラリーの一番下に置いてもよい。）</t>
  </si>
  <si>
    <t>抜き取り検査</t>
  </si>
  <si>
    <t>タップ状態のクリーチャー１体を対象とし、それをオーナーの手札に戻す。占術１を行う。（あなたのライブラリーの一番上のカードを見る。あなたはそのカードをあなたのライブラリーの一番下に置いてもよい。）</t>
  </si>
  <si>
    <t>時計回し</t>
  </si>
  <si>
    <t>バイバック(３)（あなたはこの呪文を唱えるための追加コストとして(３)を支払ってもよい。そうした場合、解決に際しこのカードをあなたの手札に加える。）</t>
  </si>
  <si>
    <t>パーマネント１つか待機状態のカード１枚を対象とし、その上に置かれているカウンターを１つ選ぶ。そのパーマネントかカードからそのカウンターを取り除くか、その上にそのカウンターを１個置く。</t>
  </si>
  <si>
    <t>知恵比べ</t>
  </si>
  <si>
    <t>いずれかのプレイヤーを対象とする呪文１つを対象とし、それを打ち消す。</t>
  </si>
  <si>
    <t>空中隊形</t>
  </si>
  <si>
    <t>奮励 ― この呪文を唱えるためのコストは、２つ目以降の対象１つにつき(２)(U)多くなる。</t>
  </si>
  <si>
    <t>望む数のクリーチャーを対象とする。ターン終了時まで、それらはそれぞれ+1/+1の修整を受けるとともに飛行を得る。</t>
  </si>
  <si>
    <t>海賊の魔除け</t>
  </si>
  <si>
    <t>・クリーチャー１体を対象とする。ターン終了時まで、それは島渡りを得る。（それは、防御プレイヤーが島(Island)をコントロールしているかぎりブロックされない。）</t>
  </si>
  <si>
    <t>・クリーチャー１体を対象とする。ターン終了時まで、それは+2/-1の修整を受ける。</t>
  </si>
  <si>
    <t>熱風の変転</t>
  </si>
  <si>
    <t>・氷雪でないパーマネント１つを対象とする。それはターン終了時まで氷雪になる。</t>
  </si>
  <si>
    <t>・氷雪パーマネント１つを対象とする。それはターン終了時まで氷雪でない。</t>
  </si>
  <si>
    <t>たなびく紺碧</t>
  </si>
  <si>
    <t>クリーチャー１体を対象とする。それはターン終了時まで青になる。そのクリーチャーをアンタップする。</t>
  </si>
  <si>
    <t>呪文貫き</t>
  </si>
  <si>
    <t>クリーチャーでない呪文１つを対象とする。そのコントローラーが(２)を支払わないかぎり、それを打ち消す。</t>
  </si>
  <si>
    <t>救出</t>
  </si>
  <si>
    <t>あなたがコントロールするパーマネント１つを対象とし、それをオーナーの手札に戻す。</t>
  </si>
  <si>
    <t>緊急阻止</t>
  </si>
  <si>
    <t>映像のもつれ</t>
  </si>
  <si>
    <t>各プレイヤーはカードを２枚引く。</t>
  </si>
  <si>
    <t>早霜</t>
  </si>
  <si>
    <t>土地を最大３つまで対象とし、それらをタップする。</t>
  </si>
  <si>
    <t>予期</t>
  </si>
  <si>
    <t>あなたのライブラリーの一番上から３枚のカードを見る。そのうち１枚をあなたの手札に加え、残りをあなたのライブラリーの一番下に望む順番で置く。</t>
  </si>
  <si>
    <t>消耗の渦</t>
  </si>
  <si>
    <t>連繋（秘儀(Arcane)）(３)(U)（あなたが秘儀呪文を唱えるに際し、あなたはこのカードを手札から公開して連繋コストを支払ってもよい。そうした場合、このカードの効果をその呪文に追加する。）</t>
  </si>
  <si>
    <t>熟慮</t>
  </si>
  <si>
    <t>フラッシュバック(２)(U)（あなたはあなたの墓地にあるこのカードを、そのフラッシュバック・コストで唱えてもよい。その後それを追放する。）</t>
  </si>
  <si>
    <t>俗世の相談</t>
  </si>
  <si>
    <t>版図 ― あなたのライブラリーのカードを上からＸ枚見る。Ｘは、あなたがコントロールする土地の中の基本土地タイプの数に等しい。それらのカードの中から１枚をあなたの手札に加え、残りをあなたのライブラリーの一番下に置く。</t>
  </si>
  <si>
    <t>眠りへの誘い</t>
  </si>
  <si>
    <t>魔巧 ― あなたの墓地にインスタント・カードやソーサリー・カードが合わせて２枚以上あるなら、それらのクリーチャーは、それらのコントローラーの次のアンタップ・ステップにアンタップしない。</t>
  </si>
  <si>
    <t>思考の鈍化</t>
  </si>
  <si>
    <t>連繋（秘儀(Arcane)）(１)(U)（あなたが秘儀呪文を唱えるに際し、あなたはこのカードを手札から公開して連繋コストを支払ってもよい。そうした場合、このカードの効果をその呪文に追加する。）</t>
  </si>
  <si>
    <t>劇的な逆転</t>
  </si>
  <si>
    <t>あなたがコントロールする土地でないすべてのパーマネントをアンタップする。</t>
  </si>
  <si>
    <t>一瞬</t>
  </si>
  <si>
    <t>キッカー(１)(U)（あなたはこの呪文を唱えるに際し、追加で(１)(U)を支払ってもよい。）</t>
  </si>
  <si>
    <t>土地でないパーマネント１つを対象とし、それをオーナーの手札に戻す。この呪文がキッカーされていたなら、カードを１枚引く。</t>
  </si>
  <si>
    <t>否認</t>
  </si>
  <si>
    <t>クリーチャーでない呪文１つを対象とし、それを打ち消す。</t>
  </si>
  <si>
    <t>乱動への突入</t>
  </si>
  <si>
    <t>キッカー(１)(U)（あなたがこの呪文を唱えるに際し、あなたは追加の(１)(U)を支払ってもよい。）</t>
  </si>
  <si>
    <t>時間の把握</t>
  </si>
  <si>
    <t>あなたのライブラリーのカードを上から３枚見る。それらのカードのうち１枚をあなたの手札に加え、１枚をあなたのライブラリーの一番上に置き、１枚をあなたのライブラリーの一番下に置く。</t>
  </si>
  <si>
    <t>応じ返し</t>
  </si>
  <si>
    <t>あなたは、応じ返しのマナ・コストを支払うのではなく、あなたの手札から青のカード１枚を追放してもよい。</t>
  </si>
  <si>
    <t>呪文の吸い上げ</t>
  </si>
  <si>
    <t>呪文１つを対象とし、それを、そのコントローラーがあなたがコントロールする青のパーマネント１つにつき(１)を支払わないかぎり打ち消す。</t>
  </si>
  <si>
    <t>傲慢</t>
  </si>
  <si>
    <t>クリーチャー１体を対象とし、それとそれにつけられているすべてのオーラ(Aura)をオーナーの手札に戻す。</t>
  </si>
  <si>
    <t>密の反抗</t>
  </si>
  <si>
    <t>スピリット(Spirit)呪文１つか秘儀(Arcane)呪文１つを対象とし、それを打ち消す。</t>
  </si>
  <si>
    <t>論理の結び目</t>
  </si>
  <si>
    <t>(Ｘ)(U)(U)</t>
  </si>
  <si>
    <t>呪文１つを対象とする。それのコントローラーが(Ｘ)を支払わないかぎり、それを打ち消す。</t>
  </si>
  <si>
    <t>セイレーンの策略</t>
  </si>
  <si>
    <t>あなたがコントロールしているクリーチャー１体を対象とし、それを追放する。その後、そのカードをオーナーのコントロール下で戦場に戻す。これにより海賊(Pirate)が追放されたなら、カードを１枚引く。</t>
  </si>
  <si>
    <t>ルーンのほつれ</t>
  </si>
  <si>
    <t>呪文１つを対象とする。それのコントローラーが(２)とすべての墓地にある《ルーンのほつれ/Rune Snag》という名前のカード１枚につき追加の(２)を支払わないかぎり、それを打ち消す。</t>
  </si>
  <si>
    <t>分散</t>
  </si>
  <si>
    <t>土地でないパーマネント１つを対象とし、それをオーナーの手札に戻す。</t>
  </si>
  <si>
    <t>本質の散乱</t>
  </si>
  <si>
    <t>クリーチャー呪文１つを対象とし、それを打ち消す。</t>
  </si>
  <si>
    <t>保護色</t>
  </si>
  <si>
    <t>あなたがコントロールするクリーチャー１体を対象とする。それはターン終了時までプロテクション（あなたの対戦相手がコントロールするクリーチャー）を得る。それをアンタップする。</t>
  </si>
  <si>
    <t>現実からの剥離</t>
  </si>
  <si>
    <t>あなたがコントロールするクリーチャー１体と、あなたがコントロールしていないクリーチャー１体を対象とし、それらをオーナーの手札に戻す。</t>
  </si>
  <si>
    <t>心理の障壁</t>
  </si>
  <si>
    <t>クリーチャー呪文１つを対象とし、それを打ち消す。それのコントローラーは１点のライフを失う。</t>
  </si>
  <si>
    <t>土砂降り</t>
  </si>
  <si>
    <t>叱責の風</t>
  </si>
  <si>
    <t>土地でないパーマネント１つを対象とし、それをオーナーの手札に戻す。各プレイヤーはそれぞれ、自分のライブラリーの一番上からカードを２枚自分の墓地に置く。</t>
  </si>
  <si>
    <t>呪文裂き</t>
  </si>
  <si>
    <t>呪文１つを対象とする。それのコントローラーが(Ｘ)を支払わないかぎり、それを打ち消す。Ｘは、あなたがコントロールするクリーチャーの中の最大のパワーである。</t>
  </si>
  <si>
    <t>軽蔑的な一撃</t>
  </si>
  <si>
    <t>点数で見たマナ・コストが４以上の呪文１つを対象とし、それを打ち消す。</t>
  </si>
  <si>
    <t>危険な研究</t>
  </si>
  <si>
    <t>カードを２枚引き、その後パーマネントを１つ生け贄に捧げる。</t>
  </si>
  <si>
    <t>ヴェリズ・ヴェルの翼</t>
  </si>
  <si>
    <t>クリーチャー１体を対象とする。ターン終了時まで、それは基本のパワーとタフネスが4/4になるとともに、すべてのクリーチャー・タイプと飛行を得る。</t>
  </si>
  <si>
    <t>航海の終わり</t>
  </si>
  <si>
    <t>クリーチャー１体を対象とし、それをオーナーの手札に戻す。占術１を行う。（あなたのライブラリーの一番上のカードを見る。あなたはそのカードをあなたのライブラリーの一番下に置いてもよい。）</t>
  </si>
  <si>
    <t>ただの風</t>
  </si>
  <si>
    <t>マッドネス(U)（あなたがこのカードを捨てるなら、これを追放領域に捨てる。あなたがそうしたとき、マッドネス・コストでこれを唱えるか、これをあなたの墓地に置く。）</t>
  </si>
  <si>
    <t>深遠の覗き見</t>
  </si>
  <si>
    <t>あなたのライブラリーのカードを上から５枚見る。それらの中からソーサリー・カード１枚かインスタント・カード１枚を公開しそれをあなたの手札に加えてもよい。残りのカードをあなたのライブラリーの一番下に望む順番で置く。</t>
  </si>
  <si>
    <t>交錯の混乱</t>
  </si>
  <si>
    <t>インスタント呪文１つかソーサリー呪文１つを対象とし、それを打ち消す。</t>
  </si>
  <si>
    <t>形勢一変</t>
  </si>
  <si>
    <t>あなたの対戦相手がコントロールするクリーチャーはターン終了時まで-2/-0の修整を受ける。</t>
  </si>
  <si>
    <t>精神のくぐつ</t>
  </si>
  <si>
    <t>パーマネント１つを対象とする。あなたはそれをタップまたはアンタップしてもよい。</t>
  </si>
  <si>
    <t>連繋（秘儀(Arcane)）(U)（あなたが秘儀呪文を唱えるに際し、あなたはこのカードを手札から公開して連繋コストを支払ってもよい。そうした場合、このカードの効果をその呪文に追加する。）</t>
  </si>
  <si>
    <t>早変わり</t>
  </si>
  <si>
    <t>クリーチャー１体を対象とする。ターン終了時まで、そのクリーチャーの色はあなたが選んだ色１色または色の組み合わせになる。</t>
  </si>
  <si>
    <t>後追いの呼び声</t>
  </si>
  <si>
    <t>クリーチャー１体を対象とし、それをオーナーの手札に戻す。それのコントローラーはカードを１枚引く。</t>
  </si>
  <si>
    <t>剥奪</t>
  </si>
  <si>
    <t>この呪文を唱えるための追加コストとして、あなたがコントロールする土地１つをオーナーの手札に戻す。</t>
  </si>
  <si>
    <t>ブーメラン</t>
  </si>
  <si>
    <t>引き剥がし</t>
  </si>
  <si>
    <t>獰猛 ― あなたがパワーが４以上のクリーチャーをコントロールしているなら、あなたはカードを１枚引いてもよい。そうしたなら、カードを１枚捨てる。</t>
  </si>
  <si>
    <t>霊魂放逐</t>
  </si>
  <si>
    <t>秘密の帷</t>
  </si>
  <si>
    <t>クリーチャー１体を対象とする。それはターン終了時まで被覆を得るとともに、このターン、それはブロックされない。（被覆を持つクリーチャーは呪文や能力の対象にならない。）</t>
  </si>
  <si>
    <t>連繋（秘儀(Arcane)） ― あなたがコントロールする青のクリーチャー１体をオーナーの手札に戻す。（あなたが秘儀呪文を唱えるに際し、あなたはこのカードを手札から公開して連繋コストを支払ってもよい。そうした場合、このカードの効果をその呪文に追加する。）</t>
  </si>
  <si>
    <t>渦巻沈め</t>
  </si>
  <si>
    <t>クリーチャー１体を対象とする。対戦相手１人と激突を行う。その後そのクリーチャーをオーナーの手札に戻す。あなたが勝った場合、代わりにそれをオーナーのライブラリーの一番上に置いてもよい。（激突を行う各プレイヤーは、自分のライブラリーの一番上のカードを公開し、そのカードを一番上か一番下に置く。自分のカードの点数で見たマナ・コストの方が大きいプレイヤーが勝つ。）</t>
  </si>
  <si>
    <t>阻まれた希望</t>
  </si>
  <si>
    <t>呪文１つを対象とする。そのコントローラーが(１)を支払わないかぎり、それを打ち消す。占術１を行う。（あなたのライブラリーの一番上のカードを見る。あなたはそのカードをあなたのライブラリーの一番下に置いてもよい。）</t>
  </si>
  <si>
    <t>マナ漏出</t>
  </si>
  <si>
    <t>再集中</t>
  </si>
  <si>
    <t>クリーチャー１体を対象とし、それをアンタップする。</t>
  </si>
  <si>
    <t>残響する真実</t>
  </si>
  <si>
    <t>土地でないパーマネント１つを対象とする。それと、そのパーマネントと同じ名前を持つ他のすべてのパーマネントを、オーナーの手札に戻す。</t>
  </si>
  <si>
    <t>きらめき</t>
  </si>
  <si>
    <t>あなたがコントロールするクリーチャー１体を対象とする。ターン終了時まで、それは+0/+3の修整を受けるとともに呪禁を得る。（それはあなたの対戦相手がコントロールする呪文や能力の対象にならない。）</t>
  </si>
  <si>
    <t>雲の上昇</t>
  </si>
  <si>
    <t>うつろう突然変異</t>
  </si>
  <si>
    <t>クリーチャー１体を対象として選ぶ。あなたのライブラリーのカードを、上から土地でないカードが公開されるまで公開する。そのクリーチャーはターン終了時まで+X/-Xの修整を受ける。Ｘはそのカードの点数で見たマナ・コストである。これにより公開されたすべてのカードをあなたのライブラリーの一番下に、望む順番で置く。</t>
  </si>
  <si>
    <t>ウーナの寵愛</t>
  </si>
  <si>
    <t>プレイヤー１人を対象とする。そのプレイヤーはカードを１枚引く。</t>
  </si>
  <si>
    <t>妖精の計略</t>
  </si>
  <si>
    <t>フェアリー(Faerie)でない呪文１つを対象とし、それを打ち消す。その呪文がこれにより打ち消された場合、それをオーナーの墓地に置く代わりに追放する。</t>
  </si>
  <si>
    <t>着実な進歩</t>
  </si>
  <si>
    <t>増殖を行う。（あなたはカウンターの置かれているパーマネントやプレイヤーを望む数だけ選び、その後それぞれに、その上に置かれているカウンターのうち１種類を１個置く。）</t>
  </si>
  <si>
    <t>ラクシャーサの侮蔑</t>
  </si>
  <si>
    <t>呪文１つを対象とする。それのコントローラーがあなたの墓地にあるカード１枚につき(１)を支払わないかぎり、それを打ち消す。</t>
  </si>
  <si>
    <t>存在の否定</t>
  </si>
  <si>
    <t>クリーチャー呪文１つを対象とし、それを打ち消す。その呪文がこれにより打ち消されたなら、それをオーナーの墓地に置く代わりに追放する。</t>
  </si>
  <si>
    <t>彼方からの呟き</t>
  </si>
  <si>
    <t>あなたのライブラリーのカードを上から３枚公開する。対戦相手はそれらのうちから１枚を選ぶ。そのカードをあなたの墓地に置き、残りをあなたの手札に加える。</t>
  </si>
  <si>
    <t>混迷</t>
  </si>
  <si>
    <t>戸惑い</t>
  </si>
  <si>
    <t>逆行</t>
  </si>
  <si>
    <t>霜のブレス</t>
  </si>
  <si>
    <t>クリーチャーを最大２体まで対象とし、それらをタップする。そのクリーチャーは、それのコントローラーの次のアンタップ・ステップにアンタップしない。</t>
  </si>
  <si>
    <t>悲劇的教訓</t>
  </si>
  <si>
    <t>カードを２枚引く。その後、あなたが「あなたがコントロールする土地１つをオーナーの手札に戻す。」を選ばないかぎり、カード１枚を捨てる。</t>
  </si>
  <si>
    <t>驚愕ルーン</t>
  </si>
  <si>
    <t>呪文１つを対象とする。それのコントローラーが(１)を支払わないかぎり、それを打ち消す。</t>
  </si>
  <si>
    <t>掃き飛ばし</t>
  </si>
  <si>
    <t>クリーチャー１体を対象とし、それをオーナーの手札に戻す。そのクリーチャーが攻撃しているなら、あなたは代わりにそれをオーナーのライブラリーの一番上に置いてもよい。</t>
  </si>
  <si>
    <t>悪寒</t>
  </si>
  <si>
    <t>砂のふるい分け</t>
  </si>
  <si>
    <t>カードを２枚引き、その後カードを１枚捨てる。</t>
  </si>
  <si>
    <t>このターン、あなたが《深遠の覗き見/Peer Through Depths》という名前の呪文と《霧中の到達/Reach Through Mists》という名前の呪文を唱えていた場合、あなたは「あなたのライブラリーから《語られざるもの、忌話図/The Unspeakable》という名前のカードを１枚探し、それを戦場に出す。その後あなたのライブラリーを切り直す」ことを選んでもよい。</t>
  </si>
  <si>
    <t>相殺の風</t>
  </si>
  <si>
    <t>呪文摘み</t>
  </si>
  <si>
    <t>呪文１つを対象とする。それを、それのコントローラーが(１)を支払わないかぎり打ち消す。</t>
  </si>
  <si>
    <t>恐慌盲</t>
  </si>
  <si>
    <t>あなたの対戦相手がコントロールするクリーチャーは、ターン終了時まで-4/-0の修整を受ける。</t>
  </si>
  <si>
    <t>難解な干渉</t>
  </si>
  <si>
    <t>欠色（このカードは無色である。）</t>
  </si>
  <si>
    <t>呪文１つを対象とする。そのコントローラーが(１)を支払わないかぎり、それを打ち消す。あなたは無色の1/1のエルドラージ(Eldrazi)・末裔(Scion)クリーチャー・トークンを１体生成する。それは「このクリーチャーを生け贄に捧げる：(◇)を加える。」を持つ。（(◇)は無色マナを表す。）</t>
  </si>
  <si>
    <t>相変位</t>
  </si>
  <si>
    <t>あなたがコントロールするクリーチャー最大２体を対象とし、それらを追放する。その後、それらのカードをオーナーのコントロール下で戦場に戻す。</t>
  </si>
  <si>
    <t>抑圧的意志</t>
  </si>
  <si>
    <t>呪文１つを対象とする。それを、それのコントローラーがあなたの手札のカード１枚につき(１)を支払わないかぎり、打ち消す。</t>
  </si>
  <si>
    <t>上天の貿易風</t>
  </si>
  <si>
    <t>あなたがコントロールするパーマネント１つと、あなたがコントロールしていないパーマネント１つを対象とし、それらをオーナーの手札に戻す。</t>
  </si>
  <si>
    <t>計算された放逐</t>
  </si>
  <si>
    <t>魔巧 ― あなたの墓地にインスタント・カードやソーサリー・カードが合わせて２枚以上あるなら、占術２を行う。（あなたのライブラリーの一番上から２枚のカードを見て、そのうちの望む枚数のカードを望む順番であなたのライブラリーの一番下に置き、残りを望む順番で一番上に置く。）</t>
  </si>
  <si>
    <t>思考縛り</t>
  </si>
  <si>
    <t>点数で見たマナ・コストが４以下の呪文１つを対象とし、それを打ち消す。</t>
  </si>
  <si>
    <t>ヴェンセールの拡散</t>
  </si>
  <si>
    <t>土地でないパーマネント１つか待機状態のカード１枚を対象とし、それをオーナーの手札に戻す。</t>
  </si>
  <si>
    <t>圧倒する波</t>
  </si>
  <si>
    <t>サイクリング(５)(W)(U)(B)（(５)(W)(U)(B),このカードを捨てる：カードを１枚引く。）</t>
  </si>
  <si>
    <t>あなたが圧倒する波をサイクリングしたとき、パーマネント２つを対象とし、それらをそれぞれのオーナーの手札に戻す。</t>
  </si>
  <si>
    <t>恐るべき妄想</t>
  </si>
  <si>
    <t>呪文１つを対象とする。それのコントローラーが(１)を支払わないかぎり、それを打ち消す。そのプレイヤーはカードを１枚捨てる。</t>
  </si>
  <si>
    <t>目録</t>
  </si>
  <si>
    <t>日夜の苦役</t>
  </si>
  <si>
    <t>パーマネント１つと、別のパーマネント１つを対象とする。あなたはそれらの一方をタップまたはアンタップしてもよい。その後あなたはもう一方をタップまたはアンタップしてもよい。</t>
  </si>
  <si>
    <t>払いのけ</t>
  </si>
  <si>
    <t>攻撃かブロックしているクリーチャー１体を対象とし、それをオーナーのライブラリーの一番上に置く。</t>
  </si>
  <si>
    <t>難題</t>
  </si>
  <si>
    <t>呪文１つを対象とし、それを打ち消す。その呪文のコントローラーは、カードを１枚引いてもよい。</t>
  </si>
  <si>
    <t>不快な冷気</t>
  </si>
  <si>
    <t>ターン終了時まで、対戦相手がコントロールしているクリーチャーは-2/-0の修整を受ける。</t>
  </si>
  <si>
    <t>夢への委託</t>
  </si>
  <si>
    <t>パーマネント１つを対象とし、それをそのオーナーの手札に戻す。そのパーマネントが赤か緑である場合、代わりにそれをそのオーナーのライブラリーの一番上に置く。</t>
  </si>
  <si>
    <t>オジュタイの息吹</t>
  </si>
  <si>
    <t>禁忌の錬金術</t>
  </si>
  <si>
    <t>あなたのライブラリーの一番上から４枚のカードを見る。それらの１枚をあなたの手札に加え、残りをあなたの墓地に置く。</t>
  </si>
  <si>
    <t>フラッシュバック(６)(B)（あなたはあなたの墓地にあるこのカードを、そのフラッシュバック・コストで唱えてもよい。その後それを追放する。）</t>
  </si>
  <si>
    <t>呪文萎れ</t>
  </si>
  <si>
    <t>呪文１つを対象とする。そのコントローラーが(４)を支払わないかぎり、それを打ち消す。その呪文がこれにより打ち消されたなら、それをオーナーの墓地に置く代わりに追放する。</t>
  </si>
  <si>
    <t>クリーチャー１体を対象とし、それをオーナーの手札に戻す。「(Ｔ),このアーティファクトを生け贄に捧げる：好きな色１色のマナ１点を加える。」を持つ無色の宝物(Treasure)アーティファクト・トークンを１つ生成する。</t>
  </si>
  <si>
    <t>巻き込み</t>
  </si>
  <si>
    <t>呪文１つを対象とする。それのコントローラーが(４)を支払わないかぎり、それを打ち消す。</t>
  </si>
  <si>
    <t>巻き戻し</t>
  </si>
  <si>
    <t>クリーチャーでない呪文１つを対象とし、それを打ち消す。土地最大３つをアンタップする。</t>
  </si>
  <si>
    <t>判断麻痺</t>
  </si>
  <si>
    <t>クリーチャー最大２体を対象とし、それらをタップする。それらのクリーチャーは、それらのコントローラーの次のアンタップ・ステップにアンタップしない。</t>
  </si>
  <si>
    <t>妄想の誘導</t>
  </si>
  <si>
    <t>呪文１つを対象とし、それを打ち消す。妄想の誘導を唱えるために(B)が使われた場合、その呪文のコントローラーは自分のライブラリーのカードを上からＸ枚、自分の墓地に置く。Ｘはその呪文の点数で見たマナ・コストである。</t>
  </si>
  <si>
    <t>否定の法典</t>
  </si>
  <si>
    <t>呪文１つを対象とし、それを打ち消す。あなたが青のクリーチャーをコントロールしているなら、カードを１枚引き、その後カードを１枚捨てる。</t>
  </si>
  <si>
    <t>乱動魔道士の計略</t>
  </si>
  <si>
    <t>収斂 ― ターン終了時まで、対戦相手がコントロールするクリーチャーは-X/-0の修整を受ける。Ｘは、乱動魔道士の計略を唱えるために支払われたマナの色の総数に等しい。</t>
  </si>
  <si>
    <t>水面院の翻弄</t>
  </si>
  <si>
    <t>呪文１つを対象とし、それを打ち消す。その呪文のコントローラーは自分の手札を公開し、この呪文に連繋されたカードと同じ名前を持つ各カードを捨てる。</t>
  </si>
  <si>
    <t>骨を灰に</t>
  </si>
  <si>
    <t>霊感</t>
  </si>
  <si>
    <t>プレイヤー１人を対象とする。そのプレイヤーはカードを２枚引く。</t>
  </si>
  <si>
    <t>検査不合格</t>
  </si>
  <si>
    <t>呪文１つを対象とし、それを打ち消す。カードを１枚引き、その後カード１枚を捨てる。</t>
  </si>
  <si>
    <t>無気力の罠</t>
  </si>
  <si>
    <t>３体以上のクリーチャーが攻撃しているなら、あなたはこの呪文のマナ・コストを支払うのではなく(U)を支払ってもよい。</t>
  </si>
  <si>
    <t>ターン終了時まで、攻撃クリーチャーは-3/-0の修整を受ける。</t>
  </si>
  <si>
    <t>霊奪い</t>
  </si>
  <si>
    <t>クリーチャー呪文１つを対象とし、それを打ち消す。飛行を持つ青の1/1のスピリット(Spirit)・クリーチャー・トークンを１体生成する。</t>
  </si>
  <si>
    <t>陸亀の体勢</t>
  </si>
  <si>
    <t>あなたがコントロールするクリーチャーは、ターン終了時まで被覆を得る。（それらは呪文や能力の対象にならない。）</t>
  </si>
  <si>
    <t>精神静電</t>
  </si>
  <si>
    <t>呪文１つを対象とする。そのコントローラーが(６)を支払わないかぎり、それを打ち消す。</t>
  </si>
  <si>
    <t>うねる霊気</t>
  </si>
  <si>
    <t>波及４（あなたがこの呪文を唱えたとき、あなたは自分のライブラリーの一番上から４枚のカードを公開してもよい。あなたは公開されたカードの中から、この呪文と同じ名前を持つカードを、そのマナ・コストを支払うことなく唱えてもよい。残りのカードをあなたのライブラリーの一番下に置く。）</t>
  </si>
  <si>
    <t>目的のための燃料</t>
  </si>
  <si>
    <t>呪文１つを対象とし、それを打ち消す。その後、増殖を行う。（あなたはカウンターの置かれているパーマネントやプレイヤーを望む数だけ選び、その後それぞれに、その上に置かれているカウンターのうち１種類を１個置く。）</t>
  </si>
  <si>
    <t>解明</t>
  </si>
  <si>
    <t>呪文１つを対象とし、それを打ち消す。それのコントローラーの手札を見る。</t>
  </si>
  <si>
    <t>散乱する電弧</t>
  </si>
  <si>
    <t>運命編み</t>
  </si>
  <si>
    <t>置き去り</t>
  </si>
  <si>
    <t>神秘の指導</t>
  </si>
  <si>
    <t>あなたのライブラリーからインスタント・カードか瞬速を持つカードを１枚探し、それを公開し、あなたの手札に加える。その後あなたのライブラリーを切り直す。</t>
  </si>
  <si>
    <t>フラッシュバック(５)(B)（あなたはあなたの墓地にあるこのカードを、そのフラッシュバック・コストで唱えてもよい。その後それを追放する。）</t>
  </si>
  <si>
    <t>片付け</t>
  </si>
  <si>
    <t>呪文１つと、あなたの墓地にあるカードを最大１枚まで対象とする。前者を打ち消す。あなたは、後者をあなたのライブラリーに加えて切り直してもよい。</t>
  </si>
  <si>
    <t>撤回命令</t>
  </si>
  <si>
    <t>呪文１つを対象とし、それを打ち消す。それのコントローラーは自分のライブラリーの一番上から４枚のカードを自分の墓地に置く。</t>
  </si>
  <si>
    <t>比較分析</t>
  </si>
  <si>
    <t>怒濤(２)(U)（あなたかチームメイトがこのターンに他の呪文を唱えていたなら、あなたはこの呪文を怒濤コストで唱えてもよい。）</t>
  </si>
  <si>
    <t>認識不能</t>
  </si>
  <si>
    <t>クリーチャー１体を対象とする。それはターン終了時まで-7/-0の修整を受ける。</t>
  </si>
  <si>
    <t>巻き直し</t>
  </si>
  <si>
    <t>呪文１つを対象とし、それを打ち消す。土地を最大４つまでアンタップする。</t>
  </si>
  <si>
    <t>Urza's Saga</t>
  </si>
  <si>
    <t>ヒエログリフの輝き</t>
  </si>
  <si>
    <t>サイクリング(U)（(U),このカードを捨てる：カードを１枚引く。）</t>
  </si>
  <si>
    <t>捕海</t>
  </si>
  <si>
    <t>突然の嵐</t>
  </si>
  <si>
    <t>クリーチャーを最大２体まで対象とし、それらをタップする。それらのクリーチャーは、それらのコントローラーの次のアンタップ・ステップにアンタップしない。占術１を行う。（あなたのライブラリーの一番上のカードを見る。あなたはそのカードをあなたのライブラリーの一番下に置いてもよい。）</t>
  </si>
  <si>
    <t>水銀の噴出</t>
  </si>
  <si>
    <t>土地でないパーマネントを最大２つまで対象とし、それらをオーナーの手札に戻す。</t>
  </si>
  <si>
    <t>深遠の謎</t>
  </si>
  <si>
    <t>上陸 ― このターン、土地があなたのコントロール下で戦場に出ている場合、代わりにカードを３枚引く。</t>
  </si>
  <si>
    <t>霧の中の喪失</t>
  </si>
  <si>
    <t>呪文１つを対象とし、それを打ち消す。パーマネント１つを対象とし、それをオーナーの手札に戻す。</t>
  </si>
  <si>
    <t>強化された知覚</t>
  </si>
  <si>
    <t>カードを３枚引き、その後カードを１枚捨てる。</t>
  </si>
  <si>
    <t>否定</t>
  </si>
  <si>
    <t>鞭打ちの罠</t>
  </si>
  <si>
    <t>このターン、対戦相手１人が自分のコントロール下で２体以上のクリーチャーを戦場に出した場合、あなたは鞭打ちの罠のマナ・コストを支払うのではなく(U)を支払ってもよい。</t>
  </si>
  <si>
    <t>クリーチャー２体を対象とし、それらをオーナーの手札に戻す。</t>
  </si>
  <si>
    <t>道迷い</t>
  </si>
  <si>
    <t>土地でないパーマネント１つを対象とし、それをオーナーのライブラリーの一番上に置く。</t>
  </si>
  <si>
    <t>衝撃的な幻視</t>
  </si>
  <si>
    <t>基本土地サイクリング(１)(U)（(１)(U),このカードを捨てる：あなたのライブラリーから基本土地カードを１枚探す。それを公開し、あなたの手札に加える。その後あなたのライブラリーを切り直す。）</t>
  </si>
  <si>
    <t>時間づまり</t>
  </si>
  <si>
    <t>クリーチャー１体を対象とし、それをオーナーのライブラリーの一番上から２枚目に置く。</t>
  </si>
  <si>
    <t>ナーガの意志</t>
  </si>
  <si>
    <t>クリーチャーを最大２体まで対象とし、それらをタップする。それらのクリーチャーは、それらのコントローラーの次のアンタップ・ステップにアンタップしない。</t>
  </si>
  <si>
    <t>ギタクシア派の調査</t>
  </si>
  <si>
    <t>(青/Φ)</t>
  </si>
  <si>
    <t>（(青/Φ)は(U)でも２点のライフでも支払うことができる。）</t>
  </si>
  <si>
    <t>プレイヤー１人を対象とし、そのプレイヤーの手札を見る。</t>
  </si>
  <si>
    <t>虚空の罠</t>
  </si>
  <si>
    <t>思案</t>
  </si>
  <si>
    <t>あなたのライブラリーのカードを上から３枚見る。その後それらを望む順番で戻す。あなたはあなたのライブラリーを切り直してもよい。</t>
  </si>
  <si>
    <t>空間の擦り抜け</t>
  </si>
  <si>
    <t>クリーチャー１体を対象とする。このターン、それはブロックされない。</t>
  </si>
  <si>
    <t>定業</t>
  </si>
  <si>
    <t>占術２を行い、その後カードを１枚引く。（占術２を行うには、あなたのライブラリーの一番上から２枚のカードを見て、そのうちの望む枚数のカードを望む順番であなたのライブラリーの一番下に置き、残りを望む順番で一番上に置く。）</t>
  </si>
  <si>
    <t>巧みな回避</t>
  </si>
  <si>
    <t>フラッシュバック(U)（あなたはあなたの墓地にあるこのカードを、そのフラッシュバック・コストで唱えてもよい。その後それを追放する。）</t>
  </si>
  <si>
    <t>水大工の意思</t>
  </si>
  <si>
    <t>土地１つを対象とし、その上に洪水(flood)カウンターを１個置く。その土地は、その上に洪水カウンターが置かれ続けているかぎり、それの他のタイプに加えて島(Island)である。あなたがマーフォーク(Merfolk)をコントロールしている場合、カードを１枚引く。</t>
  </si>
  <si>
    <t>氷の猛進</t>
  </si>
  <si>
    <t>覚醒３ ― (４)(U)（この呪文を(４)(U)で唱えたなら、加えて、あなたがコントロールする土地１つを対象とする。それの上に+1/+1カウンターを３個置く。それは速攻を持つ0/0のエレメンタル(Elemental)・クリーチャーになる。それは土地でもある。）</t>
  </si>
  <si>
    <t>血清の幻視</t>
  </si>
  <si>
    <t>カードを１枚引く。占術２を行う。</t>
  </si>
  <si>
    <t>秘本掃き</t>
  </si>
  <si>
    <t>プレイヤー１人を対象とする。そのプレイヤーは、自分のライブラリーの一番上から５枚のカードを自分の墓地に置く。</t>
  </si>
  <si>
    <t>分かち合う発見</t>
  </si>
  <si>
    <t>分かち合う発見を唱えるための追加コストとして、あなたがコントロールするアンタップ状態のクリーチャー４体をタップする。</t>
  </si>
  <si>
    <t>カードを３枚引く。</t>
  </si>
  <si>
    <t>静かな旅立ち</t>
  </si>
  <si>
    <t>フラッシュバック(４)(U)（あなたはあなたの墓地にあるこのカードを、そのフラッシュバック・コストで唱えてもよい。その後それを追放する。）</t>
  </si>
  <si>
    <t>索引</t>
  </si>
  <si>
    <t>あなたのライブラリーのカードを上から５枚見る。その後それらを望む順番で戻す。</t>
  </si>
  <si>
    <t>掴み掛かる水流</t>
  </si>
  <si>
    <t>手練</t>
  </si>
  <si>
    <t>あなたのライブラリーのカードを上から２枚見る。そのうちの１枚をあなたの手札に加え、残りをあなたのライブラリーの一番下に置く。</t>
  </si>
  <si>
    <t>ひずみの一撃</t>
  </si>
  <si>
    <t>クリーチャー１体を対象とする。それはターン終了時まで+1/+0の修整を受けるとともに、このターン、それはブロックされない。</t>
  </si>
  <si>
    <t>テイガムの策謀</t>
  </si>
  <si>
    <t>あなたのライブラリーの一番上から５枚のカードを見る。そのうちの望む枚数をあなたの墓地に置き、残りをあなたのライブラリーの一番上に望む順番で置く。</t>
  </si>
  <si>
    <t>棚卸し</t>
  </si>
  <si>
    <t>カードを１枚引き、その後カードを、あなたの墓地にある《棚卸し/Take Inventory》という名前のカードの枚数に等しい枚数引く。</t>
  </si>
  <si>
    <t>束縛の手</t>
  </si>
  <si>
    <t>対戦相手１人がコントロールするクリーチャー１体を対象とし、それをタップする。そのクリーチャーは、それのコントローラーの次のアンタップ・ステップにアンタップしない。</t>
  </si>
  <si>
    <t>宝物探し</t>
  </si>
  <si>
    <t>あなたが土地でないカードを公開するまで、あなたのライブラリーの一番上のカードを公開する。そのあと、これにより公開されたすべてのカードをあなたの手札に加える。</t>
  </si>
  <si>
    <t>有事対策</t>
  </si>
  <si>
    <t>あなたのライブラリーの一番上からカードを５枚見る。それらのうち望む枚数をあなたの墓地に置き、残りをあなたのライブラリーの一番上に望む順番で置く。</t>
  </si>
  <si>
    <t>思考訓練</t>
  </si>
  <si>
    <t>複製(１)(U)（あなたがこの呪文を唱えるとき、あなたがその複製コストを支払った回数１回につき、それをコピーする。あなたはそのコピーの新しい対象を選んでもよい。）</t>
  </si>
  <si>
    <t>未達の目</t>
  </si>
  <si>
    <t>罠探しの計略</t>
  </si>
  <si>
    <t>プレイヤー１人を対象とする。そのプレイヤーは自分の手札を公開し、すべての罠(Trap)カードを捨てる。</t>
  </si>
  <si>
    <t>謹慎命令</t>
  </si>
  <si>
    <t>対戦相手１人がコントロールするクリーチャー１体を対象とし、それを留置する。（あなたの次のターンまで、そのクリーチャーでは攻撃もブロックもできず、その起動型能力を起動できない。）</t>
  </si>
  <si>
    <t>留まらぬ発想</t>
  </si>
  <si>
    <t>カードを３枚引く。次の終了ステップの開始時にカードを３枚捨てる。</t>
  </si>
  <si>
    <t>抗えない主張</t>
  </si>
  <si>
    <t>プレイヤー１人を対象とする。そのプレイヤーは、自分のライブラリーの一番上からカードを５枚自分の墓地に置く。</t>
  </si>
  <si>
    <t>精神刻み</t>
  </si>
  <si>
    <t>対戦相手１人を対象とする。そのプレイヤーは、自分のライブラリーの一番上から７枚のカードを自分の墓地に置く。</t>
  </si>
  <si>
    <t>巧みな軍略</t>
  </si>
  <si>
    <t>あなたのライブラリーの一番上からカードを３枚見る。そのうち１枚をあなたの手札に加え、残りをあなたの墓地に置く。</t>
  </si>
  <si>
    <t>先読み</t>
  </si>
  <si>
    <t>カードを２枚引き、その後、あなたの手札にあるカード１枚をあなたのライブラリーに加えた上で切り直す。</t>
  </si>
  <si>
    <t>幽体化</t>
  </si>
  <si>
    <t>クリーチャー最大２体を対象とする。このターン、それらはブロックされない。</t>
  </si>
  <si>
    <t>見えざる糸</t>
  </si>
  <si>
    <t>パーマネント１つと、他のパーマネント１つを対象とする。あなたはその前者をタップまたはアンタップしてもよく、その後、その後者をタップまたはアンタップしてもよい。</t>
  </si>
  <si>
    <t>収まらぬ思い</t>
  </si>
  <si>
    <t>あなたのライブラリーの一番上から２枚のカードを見る。そのうち１枚をあなたの手札に加え、もう１枚をあなたの墓地に置く。</t>
  </si>
  <si>
    <t>マッドネス(１)(U)（あなたがこのカードを捨てるなら、これを追放領域に捨てる。あなたがそうしたとき、マッドネス・コストでこれを唱えるか、これをあなたの墓地に置く。）</t>
  </si>
  <si>
    <t>粉砕する潮流</t>
  </si>
  <si>
    <t>あなたがマーフォーク(Merfolk)をコントロールしているかぎり、粉砕する潮流は瞬速を持つ。</t>
  </si>
  <si>
    <t>時の引き潮</t>
  </si>
  <si>
    <t>引きずり込み</t>
  </si>
  <si>
    <t>強迫的な研究</t>
  </si>
  <si>
    <t>プレイヤー１人を対象とする。そのプレイヤーはカードを３枚引き、その後そのプレイヤーは土地カードを１枚捨てないかぎり、カードを２枚捨てる。</t>
  </si>
  <si>
    <t>実在への書き込み</t>
  </si>
  <si>
    <t>あなたのライブラリーの一番上から２枚のカードを見る。そのうちの１枚を予示し、もう１枚をあなたのライブラリーの一番上か一番下に置く。（カードを予示するには、それを裏向きの状態で2/2クリーチャーとして戦場に出す。それがクリーチャー・カードであるなら、そのマナ・コストでいつでも表向きにしてよい。）</t>
  </si>
  <si>
    <t>経時的策謀</t>
  </si>
  <si>
    <t>クリーチャー１体を対象とし、それをオーナーの手札に戻す。あなたがアーティファクトをコントロールしているなら、カードを１枚引く。</t>
  </si>
  <si>
    <t>予言</t>
  </si>
  <si>
    <t>発掘された道しるべ</t>
  </si>
  <si>
    <t>あなたのライブラリーの一番上から４枚のカードを見る。あなたはそれらの中からインスタント・カードやソーサリー・カードを合わせて最大２枚まで公開してもよい。そうしたなら、その公開したカードをあなたの手札に加える。残りをあなたのライブラリーの一番下に望む順番で置く。</t>
  </si>
  <si>
    <t>パズルの欠片</t>
  </si>
  <si>
    <t>あなたのライブラリーの一番上から５枚のカードを公開する。その中からインスタント・カードやソーサリー・カードを最大２枚まであなたの手札に加え、残りをあなたの墓地に置く。</t>
  </si>
  <si>
    <t>悲しげな考え</t>
  </si>
  <si>
    <t>プレイヤー１人を対象とする。そのプレイヤーはカードを２枚引き、その後カードを４枚捨てる。</t>
  </si>
  <si>
    <t>黄金都市の秘密</t>
  </si>
  <si>
    <t>カードを２枚引く。あなたが都市の承認を持っているなら、代わりにカードを３枚引く。</t>
  </si>
  <si>
    <t>恐ろしい発見</t>
  </si>
  <si>
    <t>空民の助言</t>
  </si>
  <si>
    <t>時間の渦</t>
  </si>
  <si>
    <t>クリーチャー１体か土地１つを対象とし、それをオーナーのライブラリーの一番上に置く。</t>
  </si>
  <si>
    <t>戦慄水</t>
  </si>
  <si>
    <t>プレイヤー１人を対象とする。そのプレイヤーのライブラリーの一番上からＸ枚のカードをそのプレイヤーの墓地に置く。Ｘは、あなたがコントロールする土地の枚数である。</t>
  </si>
  <si>
    <t>テイガムの一撃</t>
  </si>
  <si>
    <t>クリーチャー１体を対象とする。ターン終了時まで、それは+2/+0の修整を受けるとともに、このターン、それはブロックされない。</t>
  </si>
  <si>
    <t>遠くの旋律</t>
  </si>
  <si>
    <t>クリーチャー・タイプを１つ選ぶ。あなたがコントロールする、そのタイプを持つパーマネント１つにつきカードを１枚引く。</t>
  </si>
  <si>
    <t>生体解剖</t>
  </si>
  <si>
    <t>生体解剖を唱えるための追加コストとして、クリーチャーを１体生け贄に捧げる。</t>
  </si>
  <si>
    <t>材料集め</t>
  </si>
  <si>
    <t>カードを３枚引き、その後あなたの手札にあるカードを１枚、あなたのライブラリーの一番下に置く。</t>
  </si>
  <si>
    <t>最後の思考</t>
  </si>
  <si>
    <t>神秘の瞑想</t>
  </si>
  <si>
    <t>カードを３枚引く。その後、あなたがクリーチャー・カードを１枚捨てないかぎり、カードを２枚捨てる。</t>
  </si>
  <si>
    <t>ふるい分け</t>
  </si>
  <si>
    <t>予感</t>
  </si>
  <si>
    <t>占術４を行い、その後カードを２枚引く。（占術４を行うには、あなたのライブラリーの一番上から４枚のカードを見て、そのうちの望む枚数のカードを望む順番であなたのライブラリーの一番下に置き、残りを望む順番で一番上に置く。）</t>
  </si>
  <si>
    <t>輝く光波</t>
  </si>
  <si>
    <t>収斂 ― カードをＸ枚引く。Ｘは、輝く光波を唱えるために支払われたマナの色の総数に等しい。その後、カードを２枚捨てる。</t>
  </si>
  <si>
    <t>幻影の掌握</t>
  </si>
  <si>
    <t>フラッシュバック(７)(U)（あなたはあなたの墓地にあるこのカードを、そのフラッシュバック・コストで唱えてもよい。その後それを追放する。）</t>
  </si>
  <si>
    <t>洞察力の花弁</t>
  </si>
  <si>
    <t>あなたのライブラリーのカードを上から３枚見る。あなたはそれらのカードを、望む順番であなたのライブラリーの一番下に置いてもよい。そうした場合、洞察力の花弁をオーナーの手札に戻す。そうでない場合、カードを３枚引く。</t>
  </si>
  <si>
    <t>オジュタイの召喚</t>
  </si>
  <si>
    <t>飛行を持つ青の2/2のジン(Djinn)・モンク(Monk)・クリーチャー・トークンを１体生成する。</t>
  </si>
  <si>
    <t>霊界の飾り紐</t>
  </si>
  <si>
    <t>あなたがコントロールするスピリット(Spirit)１つにつき、カードを１枚引く。</t>
  </si>
  <si>
    <t>鷲の飛翔</t>
  </si>
  <si>
    <t>飛行を持つ青の2/2の鳥(Bird)クリーチャー・エンチャント・トークンを２体生成する。占術１を行う。（あなたのライブラリーの一番上のカードを見る。あなたはそのカードをあなたのライブラリーの一番下に置いてもよい。）</t>
  </si>
  <si>
    <t>大水</t>
  </si>
  <si>
    <t>クリーチャー最大２体を対象とし、それらをオーナーの手札に戻す。</t>
  </si>
  <si>
    <t>タッサの褒賞</t>
  </si>
  <si>
    <t>プレイヤー１人を対象とする。あなたはカードを３枚引く。そのプレイヤーは、自分のライブラリーの一番上から３枚のカードを自分の墓地に置く。</t>
  </si>
  <si>
    <t>宝船の巡航</t>
  </si>
  <si>
    <t>ゆらめく翼</t>
  </si>
  <si>
    <t>エンチャントされているクリーチャーは飛行を持つ。（それは飛行や到達を持たないクリーチャーによってはブロックされない。）</t>
  </si>
  <si>
    <t>(U)：ゆらめく翼をオーナーの手札に戻す。</t>
  </si>
  <si>
    <t>風のゼンディコン</t>
  </si>
  <si>
    <t>エンチャントされている土地は、飛行を持つ青の2/2のエレメンタル(Elemental)・クリーチャーである。それは土地でもある。</t>
  </si>
  <si>
    <t>海の要求</t>
  </si>
  <si>
    <t>エンチャント（土地）（あなたがこれを唱えるに際し、土地１つを対象とする。このカードはその土地につけられた状態で戦場に出る。）</t>
  </si>
  <si>
    <t>エンチャントされている土地は島(Island)である。</t>
  </si>
  <si>
    <t>防御姿勢</t>
  </si>
  <si>
    <t>エンチャントされているクリーチャーは-1/+1の修整を受ける。</t>
  </si>
  <si>
    <t>液態化</t>
  </si>
  <si>
    <t>エンチャントされているクリーチャーはブロックされない。</t>
  </si>
  <si>
    <t>エンチャントされているクリーチャーが攻撃するたび、占術１を行う。（あなたのライブラリーの一番上のカードを見る。あなたはそのカードをあなたのライブラリーの一番下に置いてもよい。）</t>
  </si>
  <si>
    <t>秘儀での飛行</t>
  </si>
  <si>
    <t>エンチャントされているクリーチャーは、+1/+1の修整を受けるとともに飛行を持つ。</t>
  </si>
  <si>
    <t>突発的変化</t>
  </si>
  <si>
    <t>エンチャントされているクリーチャーは-X/-0の修整を受ける。Ｘは、あなたの墓地にあるカードの枚数に等しい。</t>
  </si>
  <si>
    <t>鏡のローブ</t>
  </si>
  <si>
    <t>エンチャントされているクリーチャーは被覆を持つ。（それは呪文や能力の対象にならない。）</t>
  </si>
  <si>
    <t>感覚の剥奪</t>
  </si>
  <si>
    <t>一過性の知力</t>
  </si>
  <si>
    <t>エンチャントされているクリーチャーは「(１)(U),(Ｔ)：プレイヤー１人を対象とする。そのプレイヤーは、自分のライブラリーの一番上から３枚のカードを自分の墓地に置く。」を持つ。</t>
  </si>
  <si>
    <t>船慣れ</t>
  </si>
  <si>
    <t>エンチャントされているクリーチャーが海賊(Pirate)であるかぎり、それは+0/+2の修整を受ける。そうでないなら、それは-2/-0の修整を受ける。</t>
  </si>
  <si>
    <t>通過令状</t>
  </si>
  <si>
    <t>エンチャントされているクリーチャーが攻撃するたび、そのパワーが２以下ならば、このターン、それはブロックされない。</t>
  </si>
  <si>
    <t>予見 ― (１)(U),あなたの手札から通過令状を公開する：パワーが２以下のクリーチャー１体を対象とする。このターン、それはブロックされない。（この能力は、あなたのアップキープの間にのみ、各ターンに１回のみ起動できる。）</t>
  </si>
  <si>
    <t>凍り付け</t>
  </si>
  <si>
    <t>エンチャント（アーティファクトかクリーチャー）</t>
  </si>
  <si>
    <t>エンチャントされているパーマネントは、それのコントローラーのアンタップ・ステップにアンタップしない。</t>
  </si>
  <si>
    <t>大地への縫い止め</t>
  </si>
  <si>
    <t>エンチャントされているクリーチャーは-6/-0の修整を受ける。</t>
  </si>
  <si>
    <t>風と共に</t>
  </si>
  <si>
    <t>見紛う蜃気楼</t>
  </si>
  <si>
    <t>見紛う蜃気楼が戦場に出るに際し、基本土地タイプを１つ選ぶ。</t>
  </si>
  <si>
    <t>エンチャントされている土地は選ばれたタイプである。</t>
  </si>
  <si>
    <t>巻き締め付け</t>
  </si>
  <si>
    <t>エンチャントされているクリーチャーは-6/-0の修整を受けるとともに飛行を失う。</t>
  </si>
  <si>
    <t>運命の泉</t>
  </si>
  <si>
    <t>(１)(U),運命の泉を生け贄に捧げる：カードを２枚引く。</t>
  </si>
  <si>
    <t>幽体の飛行</t>
  </si>
  <si>
    <t>エンチャントされているクリーチャーは、+2/+2の修整を受けるとともに飛行を持つ。</t>
  </si>
  <si>
    <t>広がりゆく海</t>
  </si>
  <si>
    <t>広がりゆく海が戦場に出たとき、カードを１枚引く。</t>
  </si>
  <si>
    <t>慢性的な水害</t>
  </si>
  <si>
    <t>エンチャントされている土地がタップ状態になるたび、それのコントローラーは自分のライブラリーの一番上から３枚のカードを自分の墓地に置く。</t>
  </si>
  <si>
    <t>予記された運命</t>
  </si>
  <si>
    <t>予記された運命が戦場に出たとき、カードを１枚引く。</t>
  </si>
  <si>
    <t>エンチャントされているクリーチャーが死亡したとき、そのコントローラーはカードを１枚引く。</t>
  </si>
  <si>
    <t>層雲歩み</t>
  </si>
  <si>
    <t>層雲歩みが戦場に出たとき、カードを１枚引く。</t>
  </si>
  <si>
    <t>エンチャントされているクリーチャーは飛行を持つクリーチャーのみをブロックできる。</t>
  </si>
  <si>
    <t>抑え難い渇き</t>
  </si>
  <si>
    <t>抑え難い渇きが戦場に出たとき、あなたが砂漠(Desert)をコントロールしているかあなたの墓地に砂漠カードがある場合、エンチャントされているクリーチャーをタップする。</t>
  </si>
  <si>
    <t>不可視</t>
  </si>
  <si>
    <t>エンチャントされているクリーチャーは壁(Wall)によってしかブロックされない。</t>
  </si>
  <si>
    <t>健忘の器</t>
  </si>
  <si>
    <t>(U),健忘の器を生け贄に捧げる：プレイヤー１人を対象とする。そのプレイヤーは、自分のライブラリーの一番上から３枚のカードを自分の墓地に置く。カードを１枚引く。</t>
  </si>
  <si>
    <t>幻影の翼</t>
  </si>
  <si>
    <t>幻影の翼を生け贄に捧げる：エンチャントされているクリーチャーをオーナーの手札に戻す。</t>
  </si>
  <si>
    <t>ジェイスの消去</t>
  </si>
  <si>
    <t>あなたがカードを１枚引くたび、プレイヤー１人を対象とする。あなたは「そのプレイヤーは自分のライブラリーの一番上のカードを自分の墓地に置く」ことを選んでもよい。</t>
  </si>
  <si>
    <t>西風の突撃</t>
  </si>
  <si>
    <t>(１)(U)：クリーチャー１体を対象とする。それはターン終了時まで飛行を得る。</t>
  </si>
  <si>
    <t>西風の網</t>
  </si>
  <si>
    <t>エンチャントされているクリーチャーは防衛と飛行を持つ。</t>
  </si>
  <si>
    <t>鐘音の一撃</t>
  </si>
  <si>
    <t>鐘音の一撃が戦場に出たとき、エンチャントされているクリーチャーをタップする。</t>
  </si>
  <si>
    <t>エンチャントされているクリーチャーは「(６)：このクリーチャーをアンタップする。」を持つ。</t>
  </si>
  <si>
    <t>アイオーの廃墟の探検</t>
  </si>
  <si>
    <t>上陸 ― 土地が１つあなたのコントロール下で戦場に出るたび、あなたはアイオーの廃墟の探検の上に探索(quest)カウンターを１個置いてもよい。</t>
  </si>
  <si>
    <t>アイオーの廃墟の探検から探索カウンターを３個取り除くとともに、それを生け贄に捧げる：カードを２枚引く。</t>
  </si>
  <si>
    <t>惰性の泡</t>
  </si>
  <si>
    <t>エンチャントされているアーティファクトは、それのコントローラーのアンタップ・ステップにアンタップしない。</t>
  </si>
  <si>
    <t>睡眠発作</t>
  </si>
  <si>
    <t>各アップキープの開始時に、エンチャントされているクリーチャーがアンタップ状態である場合、それをタップする。</t>
  </si>
  <si>
    <t>走者止め</t>
  </si>
  <si>
    <t>エンチャント（パワーが３以下のクリーチャー）</t>
  </si>
  <si>
    <t>走者止めが戦場に出たとき、エンチャントされているクリーチャーをタップする。</t>
  </si>
  <si>
    <t>知識のカルトーシュ</t>
  </si>
  <si>
    <t>知識のカルトーシュが戦場に出たとき、カードを１枚引く。</t>
  </si>
  <si>
    <t>エンチャントされているクリーチャーは+1/+1の修整を受けるとともに飛行を持つ。</t>
  </si>
  <si>
    <t>魚の肝の油</t>
  </si>
  <si>
    <t>エンチャントされているクリーチャーは島渡りを持つ。（このクリーチャーは、防御プレイヤーが島(Island)をコントロールしているかぎりブロックされない。）</t>
  </si>
  <si>
    <t>氷の牢獄</t>
  </si>
  <si>
    <t>エンチャントされているクリーチャーは攻撃したりブロックしたりできず、その起動型能力を起動できない。</t>
  </si>
  <si>
    <t>エンチャントされているクリーチャーが呪文や能力の対象になったとき、氷の牢獄を破壊する。</t>
  </si>
  <si>
    <t>幽体の牢獄</t>
  </si>
  <si>
    <t>エンチャントされているクリーチャーが呪文の対象になったとき、幽体の牢獄を生け贄に捧げる。</t>
  </si>
  <si>
    <t>かそけき翼</t>
  </si>
  <si>
    <t>カードを１枚捨てる：エンチャントされているクリーチャーを、オーナーの手札に戻す。</t>
  </si>
  <si>
    <t>長魚の陰影</t>
  </si>
  <si>
    <t>天空試合</t>
  </si>
  <si>
    <t>エンチャントされている土地は「(Ｔ)：クリーチャー１体を対象とする。それはターン終了時まで飛行を得る。この能力は、あなたがソーサリーを唱えられるときにのみ起動できる。」を持つ。</t>
  </si>
  <si>
    <t>ちらつき粉のうたた寝</t>
  </si>
  <si>
    <t>エンチャント（タップ状態のクリーチャー）</t>
  </si>
  <si>
    <t>雨雲のナイアード</t>
  </si>
  <si>
    <t>授与(４)(U)（このカードを授与コストで唱えた場合、これはエンチャント（クリーチャー）を持つオーラ(Aura)呪文である。クリーチャーにつけられていない場合、これは再びクリーチャーになる。）</t>
  </si>
  <si>
    <t>スキフサングの詠唱</t>
  </si>
  <si>
    <t>エンチャントされているクリーチャーは-13/-0の修整を受ける。</t>
  </si>
  <si>
    <t>萎凋</t>
  </si>
  <si>
    <t>エンチャントされているクリーチャーでブロックしたとき、それを破壊する。（攻撃クリーチャーはブロックされたままである。）</t>
  </si>
  <si>
    <t>凍結</t>
  </si>
  <si>
    <t>エンチャントされているクリーチャーにダメージが与えられたとき、それを破壊する。</t>
  </si>
  <si>
    <t>重い拳</t>
  </si>
  <si>
    <t>エンチャントされているクリーチャーは+3/+3の修整を受けるとともに、それのコントローラーのアンタップ・ステップにアンタップしない。</t>
  </si>
  <si>
    <t>現実の場</t>
  </si>
  <si>
    <t>エンチャントされているクリーチャーはスピリット(Spirit)によってはブロックされない。</t>
  </si>
  <si>
    <t>(１)(U)：現実の場をオーナーの手札に戻す。</t>
  </si>
  <si>
    <t>体躯の縮小</t>
  </si>
  <si>
    <t>エンチャントされているクリーチャーは基本のパワーとタフネスが0/2になる。</t>
  </si>
  <si>
    <t>浸透者の魔法印</t>
  </si>
  <si>
    <t>あなたがコントロールする、エンチャントされている各クリーチャーは+1/+1の修整を受けるとともに、防衛を持つクリーチャーによってしかブロックされない。</t>
  </si>
  <si>
    <t>現実の酸</t>
  </si>
  <si>
    <t>消失３（このオーラは時間(time)カウンターが３個置かれた状態で戦場に出る。あなたのアップキープの開始時に、その上から時間カウンターを１個取り除く。最後の１個が取り除かれたとき、それを生け贄に捧げる。）</t>
  </si>
  <si>
    <t>現実の酸が戦場を離れたとき、エンチャントされているパーマネントのコントローラーはそれを生け贄に捧げる。</t>
  </si>
  <si>
    <t>沈む感覚</t>
  </si>
  <si>
    <t>エンチャントされているクリーチャーは、そのコントローラーのアンタップ・ステップの間にアンタップしない。</t>
  </si>
  <si>
    <t>エンチャントされているクリーチャーは「(１),このクリーチャーの上に-1/-1カウンターを１個置く：このクリーチャーをアンタップする。」を持つ。</t>
  </si>
  <si>
    <t>ジェスカイの呪印</t>
  </si>
  <si>
    <t>エンチャントされているクリーチャーは、あなたが赤か白のパーマネントをコントロールしているかぎり飛行を持つ。</t>
  </si>
  <si>
    <t>氷結</t>
  </si>
  <si>
    <t>エンチャントされているクリーチャーは、基本のパワーとタフネスが0/4になり、防衛を得るとともに他の能力をすべて失い、それの他の色やタイプに加えて青の壁(Wall)でもある。</t>
  </si>
  <si>
    <t>麻痺の掌握</t>
  </si>
  <si>
    <t>エンチャントされているクリーチャーは、それのコントローラーのアンタップ・ステップの間にアンタップしない。</t>
  </si>
  <si>
    <t>知恵の蛇の眼</t>
  </si>
  <si>
    <t>エンチャントされているクリーチャーが対戦相手にダメージを与えるたび、あなたはカードを１枚引いてもよい。</t>
  </si>
  <si>
    <t>ニクス生まれのトリトン</t>
  </si>
  <si>
    <t>エンチャントされているクリーチャーは+2/+3の修整を受ける。</t>
  </si>
  <si>
    <t>錯覚の覆い</t>
  </si>
  <si>
    <t>血まみれの書の呪い</t>
  </si>
  <si>
    <t>エンチャントされているプレイヤーのアップキープの開始時に、そのプレイヤーは自分のライブラリーの一番上から２枚のカードを自分の墓地に置く。</t>
  </si>
  <si>
    <t>水結び</t>
  </si>
  <si>
    <t>水結びが戦場に出たとき、エンチャントされているクリーチャーをタップする。</t>
  </si>
  <si>
    <t>硬化</t>
  </si>
  <si>
    <t>エンチャントされているパーマネントは、それのコントローラーのアンタップ・ステップにアンタップせず、それの起動型能力は起動できない。</t>
  </si>
  <si>
    <t>閉所恐怖症</t>
  </si>
  <si>
    <t>閉所恐怖症が戦場に出たとき、エンチャントされているクリーチャーをタップする。</t>
  </si>
  <si>
    <t>現実からの遊離</t>
  </si>
  <si>
    <t>(U)：エンチャントされているクリーチャーをタップする。</t>
  </si>
  <si>
    <t>(U)：エンチャントされているクリーチャーをアンタップする。</t>
  </si>
  <si>
    <t>封止の被膜</t>
  </si>
  <si>
    <t>怒濤(U)（あなたかチームメイトがこのターンに他の呪文を唱えていたなら、あなたはこの呪文を怒濤コストで唱えてもよい。）</t>
  </si>
  <si>
    <t>秘教の抑制</t>
  </si>
  <si>
    <t>秘教の抑制が戦場に出たとき、エンチャントしているクリーチャーをタップする。</t>
  </si>
  <si>
    <t>眼球の輪</t>
  </si>
  <si>
    <t>エンチャントされているクリーチャーは「(Ｔ)：カードを１枚引く。」を持つ。</t>
  </si>
  <si>
    <t>(W)：エンチャントされているクリーチャーは、ターン終了時まで警戒を得る。</t>
  </si>
  <si>
    <t>盗賊の道</t>
  </si>
  <si>
    <t>エンチャントされているクリーチャーは、あなたが門(Gate)をコントロールしているかぎりブロックされない。</t>
  </si>
  <si>
    <t>誤動作</t>
  </si>
  <si>
    <t>誤動作が戦場に出たとき、エンチャントされているパーマネントをタップする。</t>
  </si>
  <si>
    <t>漂流者の絶望</t>
  </si>
  <si>
    <t>漂流者の絶望が戦場に出たとき、エンチャントされているクリーチャーをタップする。</t>
  </si>
  <si>
    <t>脱水</t>
  </si>
  <si>
    <t>水銀の縛め</t>
  </si>
  <si>
    <t>空想の飛行</t>
  </si>
  <si>
    <t>空想の飛行が戦場に出たとき、カードを２枚引く。</t>
  </si>
  <si>
    <t>商売の秘訣</t>
  </si>
  <si>
    <t>エンチャントされているクリーチャーは+2/+0の修整を受けるとともにブロックされない。</t>
  </si>
  <si>
    <t>金縛り</t>
  </si>
  <si>
    <t>金縛りが戦場に出たとき、エンチャントされているクリーチャーをタップする。</t>
  </si>
  <si>
    <t>防護の泡</t>
  </si>
  <si>
    <t>エンチャントされているクリーチャーはブロックされず、被覆を持つ。（それは呪文や能力の対象にならない。）</t>
  </si>
  <si>
    <t>無感覚の投薬</t>
  </si>
  <si>
    <t>エンチャントされているパーマネントは、それのコントローラーのアンタップ・ステップの間にアンタップしない。</t>
  </si>
  <si>
    <t>エンチャントされているパーマネントのコントローラーのアップキープの開始時に、そのプレイヤーは１点のライフを失う。</t>
  </si>
  <si>
    <t>昏睡のヴェール</t>
  </si>
  <si>
    <t>停滞の監房</t>
  </si>
  <si>
    <t>(３)(U)：クリーチャー１体を対象とし、それに停滞の監房をつける。</t>
  </si>
  <si>
    <t>タッサの貪り食い</t>
  </si>
  <si>
    <t>星座 ― タッサの貪り食いか他のエンチャント１つがあなたのコントロール下で戦場に出るたび、プレイヤー１人を対象とする。そのプレイヤーは、自分のライブラリーの一番上から２枚のカードを自分の墓地に置く。</t>
  </si>
  <si>
    <t>_2/6</t>
  </si>
  <si>
    <t>永遠の罠</t>
  </si>
  <si>
    <t>永遠の罠が戦場に出たとき、カードを１枚引く。</t>
  </si>
  <si>
    <t>秘教の思索</t>
  </si>
  <si>
    <t xml:space="preserve">バイバック(２)（あなたがこの呪文を唱えるに際し、あなたは追加の(２)を支払ってもよい。そうした場合、その解決に際し、このカードをあなたの手札に加える） </t>
  </si>
  <si>
    <t>占術３を行う。（あなたのライブラリーの一番上から３枚のカードを見て、そのうちの望む枚数のカードを望む順番であなたのライブラリーの一番下に置き、残りを望む順番で一番上に置く。）</t>
  </si>
  <si>
    <t>航路の作成</t>
  </si>
  <si>
    <t>カードを２枚引く。その後、このターンにあなたがクリーチャーで攻撃していないかぎり、カード１枚を捨てる。</t>
  </si>
  <si>
    <t>空中文字</t>
  </si>
  <si>
    <t>各プレイヤーはカードをＸ枚引く。</t>
  </si>
  <si>
    <t>予見 ― (２)(U),あなたの手札から空中文字を公開する：各プレイヤーはカードを１枚引く。（この能力は、あなたのアップキープの間にのみ、各ターンに１回のみ起動できる。）</t>
  </si>
  <si>
    <t>驚異への入り口</t>
  </si>
  <si>
    <t>クリーチャーＸ体を対象とする。このターン、それらはブロックされない。ターン終了時まで、それらのクリーチャーは「このクリーチャーがプレイヤー１人に戦闘ダメージを与えるたび、カードを１枚引く。」を得る。</t>
  </si>
  <si>
    <t>陶酔</t>
  </si>
  <si>
    <t>・各プレイヤーはそれぞれカードをＸ枚引く。</t>
  </si>
  <si>
    <t>・各プレイヤーはそれぞれ、自分のライブラリーの一番上からＸ枚のカードを自分の墓地に置く。</t>
  </si>
  <si>
    <t>商人の巻物</t>
  </si>
  <si>
    <t>あなたのライブラリーから青のインスタント・カードを１枚探す。そのカードを公開し、あなたの手札に加える。その後あなたのライブラリーを切り直す。</t>
  </si>
  <si>
    <t>深遠の研究</t>
  </si>
  <si>
    <t>カードを１枚引く。対戦相手１人と激突を行う。あなたが勝った場合、深遠の研究をオーナーの手札に戻す。（激突を行う各プレイヤーは、自分のライブラリーの一番上のカードを公開し、そのカードを一番上か一番下に置く。自分のカードの点数で見たマナ・コストの方が大きいプレイヤーが勝つ。）</t>
  </si>
  <si>
    <t>想起横溢</t>
  </si>
  <si>
    <t>あなたの墓地からインスタントかソーサリーであるカード１枚を対象とし、それをあなたの手札に戻す。想起横溢を追放する。</t>
  </si>
  <si>
    <t>加工</t>
  </si>
  <si>
    <t>あなたのライブラリーからアーティファクト・カードを１枚探し、それを公開し、あなたの手札に加える。その後あなたのライブラリーを切り直す。</t>
  </si>
  <si>
    <t>霊気の武装</t>
  </si>
  <si>
    <t>ターン終了時まで、あなたがコントロールするクリーチャーは「このクリーチャーが対戦相手１人にダメージを与えるたび、そのプレイヤーがコントロールするクリーチャー１体を対象とする。あなたはそれをオーナーの手札に戻してもよい。」を得る。</t>
  </si>
  <si>
    <t>予言の寒気</t>
  </si>
  <si>
    <t>各プレイヤーは、自分のライブラリーの一番上から５枚のカードを自分の墓地に置く。</t>
  </si>
  <si>
    <t>疲労困憊</t>
  </si>
  <si>
    <t>対戦相手１人を対象とする。そのプレイヤーがコントロールするクリーチャーと土地は、そのプレイヤーの次のアンタップ・ステップにアンタップしない。</t>
  </si>
  <si>
    <t>萎縮の凝視</t>
  </si>
  <si>
    <t>対戦相手１人を対象とする。そのプレイヤーは自分の手札を公開する。その中にある森(Forest)カードと緑のカード１枚につき、あなたはカードを１枚引く。</t>
  </si>
  <si>
    <t>思い起こし</t>
  </si>
  <si>
    <t>あなたの墓地にあるインスタント・カード１枚かソーサリー・カード１枚を対象とし、それをあなたの手札に戻す。</t>
  </si>
  <si>
    <t>ルーンの反復</t>
  </si>
  <si>
    <t>あなたがオーナーである、フラッシュバックを持つ追放されているカード１枚を対象とし、それをあなたの手札に戻す。</t>
  </si>
  <si>
    <t>悪意の眼差し</t>
  </si>
  <si>
    <t>対戦相手１人を対象とする。そのプレイヤーは自分の手札を公開する。その中にある山(Mountain)カードと赤のカード１枚につき、あなたはカードを１枚引く。</t>
  </si>
  <si>
    <t>真空溶</t>
  </si>
  <si>
    <t>複製(２)(U)（あなたがこの呪文を唱えるとき、あなたがその複製コストを支払った回数１回につき、それをコピーする。あなたはそのコピーの新しい対象を選んでもよい。）</t>
  </si>
  <si>
    <t>垣間見る未来</t>
  </si>
  <si>
    <t>あなたのライブラリーの一番上から３枚のカードを見る。それらのうち１枚をあなたの手札に加え、残りをあなたの墓地に置く。</t>
  </si>
  <si>
    <t>追憶</t>
  </si>
  <si>
    <t>プレイヤー１人を対象とする。そのプレイヤーは、自分の墓地を自分のライブラリーに加えて切り直す。</t>
  </si>
  <si>
    <t>不気味な行列</t>
  </si>
  <si>
    <t>あなたのライブラリーから秘儀(Arcane)カードを１枚探し、それを公開し、あなたの手札に加える。その後あなたのライブラリーを切り直す。</t>
  </si>
  <si>
    <t>霊気への抑留</t>
  </si>
  <si>
    <t>クリーチャー１体を対象とし、それをオーナーのライブラリーの一番上に置く。占術１を行う。（あなたのライブラリーの一番上のカードを見る。あなたはそのカードをあなたのライブラリーの一番下に置いてもよい。）</t>
  </si>
  <si>
    <t>虚無渡り</t>
  </si>
  <si>
    <t>クリーチャー１体を対象とし、それを追放する。次の終了ステップの開始時に、それをオーナーのコントロール下で戦場に戻す。</t>
  </si>
  <si>
    <t>深海からの引き寄せ</t>
  </si>
  <si>
    <t>あなたの墓地にあるインスタント・カードを最大１枚までと、あなたの墓地にあるソーサリー・カードを最大１枚まで対象とし、それらをあなたの手札に戻す。深海からの引き寄せを追放する。</t>
  </si>
  <si>
    <t>ターランドの発動</t>
  </si>
  <si>
    <t>飛行を持つ青の2/2のドレイク(Drake)・クリーチャー・トークンを２体生成する。</t>
  </si>
  <si>
    <t>千里眼</t>
  </si>
  <si>
    <t>あなたのライブラリーの一番上から２枚のカードを見る。そのうち１枚をあなたの手札に加え、もう１枚をあなたのライブラリーの一番下に置く。</t>
  </si>
  <si>
    <t>集中</t>
  </si>
  <si>
    <t>聖なる発掘</t>
  </si>
  <si>
    <t>あなたの墓地からサイクリングを持つカード最大２枚を対象とし、それらをあなたの手札に戻す。</t>
  </si>
  <si>
    <t>睡眠</t>
  </si>
  <si>
    <t>プレイヤー１人を対象とする。そのプレイヤーがコントロールするすべてのクリーチャーをタップする。それらのクリーチャーは、そのプレイヤーの次のアンタップ・ステップの間にアンタップしない。</t>
  </si>
  <si>
    <t>いましめの切断</t>
  </si>
  <si>
    <t>スピリット(Spirit)１つにつき、それのコントローラーが(３)を支払わないかぎり、それをオーナーの手札に戻す。</t>
  </si>
  <si>
    <t>テゼレットの計略</t>
  </si>
  <si>
    <t>(３)(青/Φ)</t>
  </si>
  <si>
    <t>カードを２枚引く。その後、増殖を行う。（あなたはカウンターの置かれているパーマネントやプレイヤーを望む数だけ選び、その後それぞれに、その上に置かれているカウンターのうち１種類を１個置く。）</t>
  </si>
  <si>
    <t>虚空への突入</t>
  </si>
  <si>
    <t>クリーチャーを最大２体まで対象とし、それらをオーナーの手札に戻す。</t>
  </si>
  <si>
    <t>沿岸の発見</t>
  </si>
  <si>
    <t>覚醒４ ― (５)(U)（この呪文を(５)(U)で唱えたなら、加えて、あなたがコントロールする土地１つを対象とする。それの上に+1/+1カウンターを４個置く。それは速攻を持つ0/0のエレメンタル(Elemental)・クリーチャーになる。それは土地でもある。）</t>
  </si>
  <si>
    <t>神秘の回復</t>
  </si>
  <si>
    <t>巧みな交渉術</t>
  </si>
  <si>
    <t>あなたがコントロールするアーティファクト１つと、あなたがコントロールしていないアーティファクト１つかクリーチャー１体を対象とし、それらのコントロールを交換する。</t>
  </si>
  <si>
    <t>連絡</t>
  </si>
  <si>
    <t>カードを４枚引く。</t>
  </si>
  <si>
    <t>虚空のスコール</t>
  </si>
  <si>
    <t>霧の用心</t>
  </si>
  <si>
    <t>あなたのライブラリーの一番上のカードをあなたの墓地に置く。その後そのカードの点数で見たマナ・コストに等しい枚数のカードを引く。</t>
  </si>
  <si>
    <t>どんでん返し</t>
  </si>
  <si>
    <t>クリーチャー２体を対象とし、それらのコントロールを交換する。</t>
  </si>
  <si>
    <t>熟読</t>
  </si>
  <si>
    <t>カードを３枚引き、土地を最大２つアンタップし、その後カードを１枚捨てる。</t>
  </si>
  <si>
    <t>記憶の意義</t>
  </si>
  <si>
    <t>プレイヤー１人を対象とする。カードを３枚引く。そのプレイヤーは、自分のライブラリーの一番上からカードを３枚自分の墓地に置く。</t>
  </si>
  <si>
    <t>解析調査</t>
  </si>
  <si>
    <t>現実のストロボ</t>
  </si>
  <si>
    <t>パーマネント１つを対象とし、それをオーナーの手札に戻す。現実のストロボを、その上に時間(time)カウンターが３個置かれた状態で追放する。</t>
  </si>
  <si>
    <t>待機３ ― (２)(U)（このカードをあなたの手札から唱えるのではなく、(２)(U)を支払うとともにそれを時間カウンターが３個置かれた状態で追放する。あなたのアップキープの開始時に、時間カウンターを１個取り除く。最後の１個を取り除いたとき、それをそのマナ・コストを支払うことなく唱える。）</t>
  </si>
  <si>
    <t>潮からの蘇生</t>
  </si>
  <si>
    <t>あなたの墓地にあるインスタント・カードとソーサリー・カードの合計に等しい数の、黒の2/2のゾンビ(Zombie)・クリーチャー・トークンをタップ状態で生成する。</t>
  </si>
  <si>
    <t>啓示の解読</t>
  </si>
  <si>
    <t>占術３を行い、その後あなたのライブラリーの一番上のカードを公開する。そのカードの点数で見たマナ・コストに等しい枚数のカードを引く。（占術３を行うには、あなたのライブラリーの一番上から３枚のカードを見て、そのうちの望む枚数のカードを望む順番であなたのライブラリーの一番下に置き、残りを望む順番で一番上に置く。）</t>
  </si>
  <si>
    <t>海神の復讐</t>
  </si>
  <si>
    <t>対戦相手がコントロールするクリーチャーを最大３体まで対象とし、それらをオーナーの手札に戻す。占術１を行う。（あなたのライブラリーの一番上のカードを見る。あなたはそのカードをあなたのライブラリーの一番下に置いてもよい。）</t>
  </si>
  <si>
    <t>変容する忠誠</t>
  </si>
  <si>
    <t>共通のカード・タイプを持つパーマネント２つを対象とし、それらのコントロールを交換する。（「アーティファクト」「クリーチャー」「エンチャント」「土地」「プレインズウォーカー」はカード・タイプである。）</t>
  </si>
  <si>
    <t>妖精からの助言</t>
  </si>
  <si>
    <t>(２/青)(２/青)(２/青)</t>
  </si>
  <si>
    <t>（(２/青)は任意の２マナか(U)で支払うことができる。このカードの点数で見たマナ・コストは６である。）</t>
  </si>
  <si>
    <t>あなたのライブラリーのカードを上から５枚見る。あなたが他の各プレイヤーよりも多くのクリーチャーをコントロールしている場合、それらのカードのうち２枚をあなたの手札に加える。そうでない場合、それらの１枚をあなたの手札に加える。その後、残りをあなたのライブラリーの一番下に望む順番で置く。</t>
  </si>
  <si>
    <t>発想の流れ</t>
  </si>
  <si>
    <t>あなたがコントロールする島(Island)１つにつきカードを１枚引く。</t>
  </si>
  <si>
    <t>精神間引き</t>
  </si>
  <si>
    <t>対戦相手１人を対象とする。あなたはカードを２枚引き、そのプレイヤーはカードを２枚捨てる。</t>
  </si>
  <si>
    <t>漂流</t>
  </si>
  <si>
    <t>水脈の乱動</t>
  </si>
  <si>
    <t>対戦相手がコントロールするクリーチャーを最大２体と、プレイヤー１人を対象とする。それらのクリーチャーをオーナーの手札に戻す。その対象になったプレイヤーはカードを２枚引く。</t>
  </si>
  <si>
    <t>立ち退きの印</t>
  </si>
  <si>
    <t>あなたのアップキープの開始時に、エンチャントされているクリーチャーとそのクリーチャーにつけられているすべてのオーラ(Aura)をオーナーの手札に戻す。</t>
  </si>
  <si>
    <t>タッサの激憤</t>
  </si>
  <si>
    <t>(３)(U)：クリーチャー１体を対象とする。あなたはそれをタップまたはアンタップしてもよい。</t>
  </si>
  <si>
    <t>好奇心</t>
  </si>
  <si>
    <t>本能の制御</t>
  </si>
  <si>
    <t>エンチャント（赤か緑のクリーチャー）</t>
  </si>
  <si>
    <t>滝の源獣</t>
  </si>
  <si>
    <t>エンチャント（島(Island)）</t>
  </si>
  <si>
    <t>(２)：エンチャントされている島は、ターン終了時まで飛行を持つ青の3/2のスピリット(Spirit)・クリーチャーになる。それは土地でもある。</t>
  </si>
  <si>
    <t>エンチャントされている島が墓地に置かれたとき、あなたの墓地にある滝の源獣をあなたの手札に戻してもよい。</t>
  </si>
  <si>
    <t>テレパシー</t>
  </si>
  <si>
    <t>あなたの対戦相手は、手札を公開した状態でプレイする。</t>
  </si>
  <si>
    <t>蟹の陰影</t>
  </si>
  <si>
    <t>(２)(U)：エンチャントされているクリーチャーをアンタップする。</t>
  </si>
  <si>
    <t>執着的探訪</t>
  </si>
  <si>
    <t>エンチャントされているクリーチャーは+1/+1の修整を受けるとともに「このクリーチャーがプレイヤー１人に戦闘ダメージを与えるたび、あなたはカードを１枚引いてもよい。」を持つ。</t>
  </si>
  <si>
    <t>あなたの終了ステップの開始時に、このターンにあなたがクリーチャーで攻撃していなかった場合、執着的探訪を生け贄に捧げる。</t>
  </si>
  <si>
    <t>古き秘密の探索</t>
  </si>
  <si>
    <t>いずれかの領域からカードが１枚あなたの墓地に置かれるたび、あなたは古き秘密の探索の上に探索(quest)カウンターを１個置いてもよい。</t>
  </si>
  <si>
    <t>古き秘密の探索から探索カウンターを５個取り除くとともに、それを生け贄に捧げる：プレイヤー１人を対象とする。そのプレイヤーは自分の墓地を自分のライブラリーに加えた上で切り直す。</t>
  </si>
  <si>
    <t>氷固め</t>
  </si>
  <si>
    <t>氷固めが戦場に出たとき、エンチャントされているクリーチャーをタップする。</t>
  </si>
  <si>
    <t>幽霊の接触</t>
  </si>
  <si>
    <t>エンチャントされているクリーチャーは「このクリーチャーが攻撃するたび、パーマネント１つを対象とする。あなたはそれをタップまたはアンタップしてもよい。」を持つ。</t>
  </si>
  <si>
    <t>革新の時代</t>
  </si>
  <si>
    <t>アーティファクトか工匠(Artificer)が１つあなたのコントロール下で戦場に出るたび、あなたは(１)を支払ってもよい。そうしたなら、あなたは(Ｅ)(Ｅ)（エネルギー・カウンター２個）を得る。</t>
  </si>
  <si>
    <t>(Ｅ)(Ｅ)(Ｅ)(Ｅ)(Ｅ)(Ｅ)を支払う,革新の時代を生け贄に捧げる：カードを３枚引く。</t>
  </si>
  <si>
    <t>順風</t>
  </si>
  <si>
    <t>あなたがコントロールする飛行を持つクリーチャーは+1/+1の修整を受ける。</t>
  </si>
  <si>
    <t>霊気溶融</t>
  </si>
  <si>
    <t>霊気溶融が戦場に出たとき、あなたは(Ｅ)(Ｅ)（エネルギー・カウンター２個）を得る。</t>
  </si>
  <si>
    <t>エンチャントされているパーマネントは-4/-0の修整を受ける。</t>
  </si>
  <si>
    <t>謎変化</t>
  </si>
  <si>
    <t>あなたがクリーチャーでない呪文を１つ唱えるたび、あなたは「ターン終了時まで、謎変化はそれの他のタイプに加えて飛行を持つ3/3のスフィンクス(Sphinx)・クリーチャーになる。」を選んでもよい。</t>
  </si>
  <si>
    <t>(２)(U)：占術１を行う。</t>
  </si>
  <si>
    <t>奥義の翼</t>
  </si>
  <si>
    <t>オーラ交換(２)(U)（(２)(U)：このオーラ(Aura)を、あなたの手札にあるオーラ・カード１枚と交換する。）</t>
  </si>
  <si>
    <t>タッサの試練</t>
  </si>
  <si>
    <t>エンチャントされているクリーチャーが攻撃するたび、その上に+1/+1カウンターを１個置く。その後、その上に+1/+1カウンターが３個以上置かれているならば、タッサの試練を生け贄に捧げる。</t>
  </si>
  <si>
    <t>あなたがタッサの試練を生け贄に捧げたとき、カードを２枚引く。</t>
  </si>
  <si>
    <t>軍事情報</t>
  </si>
  <si>
    <t>あなたが２体以上のクリーチャーで攻撃するたび、カードを１枚引く。</t>
  </si>
  <si>
    <t>持ち去り</t>
  </si>
  <si>
    <t>エンチャント（装備品(Equipment)）</t>
  </si>
  <si>
    <t>持ち去りが戦場に出たとき、エンチャントされている装備品をはずす。</t>
  </si>
  <si>
    <t>あなたはエンチャントされている装備品をコントロールする。</t>
  </si>
  <si>
    <t>アーティファクトの魂込め</t>
  </si>
  <si>
    <t>統制のオーラ</t>
  </si>
  <si>
    <t>(１),あなたがコントロールするアンタップ状態のクリーチャーを１体タップする：エンチャントされているクリーチャーをアンタップする。</t>
  </si>
  <si>
    <t>メロウの交易</t>
  </si>
  <si>
    <t>あなたの終了ステップの開始時に、あなたがコントロールするすべてのマーフォーク(Merfolk)をアンタップする。</t>
  </si>
  <si>
    <t>外出恐怖症</t>
  </si>
  <si>
    <t>エンチャントされているクリーチャーは-5/-0の修整を受ける。</t>
  </si>
  <si>
    <t>(２)(U)：外出恐怖症をオーナーの手札に戻す。</t>
  </si>
  <si>
    <t>継続する調査</t>
  </si>
  <si>
    <t>あなたがコントロールする１体以上のクリーチャーがプレイヤー１人に戦闘ダメージを与えるたび、調査を行う。（「(２),このアーティファクトを生け贄に捧げる：カードを１枚引く。」を持つ無色の手掛かり(Clue)アーティファクト・トークンを１つ生成する。）</t>
  </si>
  <si>
    <t>(１)(G),あなたの墓地からクリーチャー・カード１枚を追放する：調査を行う。あなたは２点のライフを得る。</t>
  </si>
  <si>
    <t>相殺</t>
  </si>
  <si>
    <t>対戦相手が呪文を１つ唱えるたび、あなたは自分のライブラリーの一番上のカードを公開してもよい。そうした場合、その呪文の点数で見たマナ・コストが公開されたカードの点数で見たマナ・コストと等しいならば、その呪文を打ち消す。</t>
  </si>
  <si>
    <t>航海士の喪失</t>
  </si>
  <si>
    <t>強襲 ― あなたの終了ステップの開始時に、このターンにあなたがクリーチャーで攻撃していた場合、対戦相手１人を対象とする。そのプレイヤーは自分のライブラリーの一番上からカードを４枚自分の墓地に置く。</t>
  </si>
  <si>
    <t>撹乱のオーラ</t>
  </si>
  <si>
    <t>エンチャントされているアーティファクトは「あなたのアップキープの開始時に、あなたがこのアーティファクトのマナ・コストを支払わないかぎり、このアーティファクトを生け贄に捧げる。」を持つ。</t>
  </si>
  <si>
    <t>魅惑的な一瞥</t>
  </si>
  <si>
    <t>あなたの終了ステップの開始時に、対戦相手１人と激突を行う。あなたが勝った場合、エンチャントされているクリーチャーのコントロールを得る。そうでない場合、そのプレイヤーがエンチャントされているクリーチャーのコントロールを得る。（激突を行う各プレイヤーは、自分のライブラリーの一番上のカードを公開し、そのカードを一番上か一番下に置く。自分のカードの点数で見たマナ・コストの方が大きいプレイヤーが勝つ。）</t>
  </si>
  <si>
    <t>束の間の記憶</t>
  </si>
  <si>
    <t>束の間の記憶が戦場に出たとき、調査を行う。（「(２),このアーティファクトを生け贄に捧げる：カードを１枚引く。」を持つ無色の手掛かり(Clue)アーティファクト・トークンを１つ生成する。）</t>
  </si>
  <si>
    <t>あなたが手掛かりを１つ生け贄に捧げるたび、プレイヤー１人を対象とする。そのプレイヤーは自分のライブラリーの一番上から３枚のカードを自分の墓地に置く。</t>
  </si>
  <si>
    <t>横暴</t>
  </si>
  <si>
    <t>エンチャント（アーティファクト・クリーチャー）</t>
  </si>
  <si>
    <t>あなたはエンチャントされているアーティファクト・クリーチャーをコントロールする。</t>
  </si>
  <si>
    <t>雲変化が戦場に出たとき、これはエンチャント（クリーチャー）を持つオーラ(Aura)になる。あなたのライブラリーの一番上のカードを予示し、それに雲変化をつける。（カードを予示するには、それを裏向きの状態で2/2クリーチャーとして戦場に出す。それがクリーチャー・カードであるなら、そのマナ・コストでいつでも表向きにしてよい。）</t>
  </si>
  <si>
    <t>エンチャントされているクリーチャーは飛行と呪禁を持つ。</t>
  </si>
  <si>
    <t>深根の水域</t>
  </si>
  <si>
    <t>あなたがマーフォーク(Merfolk)呪文を唱えるたび、呪禁を持つ青の1/1のマーフォーク・クリーチャー・トークンを１体生成する。（呪禁を持つクリーチャーは、対戦相手がコントロールする呪文や能力の対象にならない。）</t>
  </si>
  <si>
    <t>見張る者の目</t>
  </si>
  <si>
    <t>あなたがインスタント呪文かソーサリー呪文を唱えるたび、あなたは(１)を支払ってもよい。そうした場合、占術２を行う。（あなたのライブラリーの一番上から２枚のカードを見て、そのうちの望む枚数のカードを望む順番であなたのライブラリーの一番下に置き、残りを望む順番で一番上に置く。）</t>
  </si>
  <si>
    <t>新たな精力</t>
  </si>
  <si>
    <t>(Ｔ)：エンチャントされているクリーチャーをタップする。</t>
  </si>
  <si>
    <t>(Ｔ)：エンチャントされているクリーチャーをアンタップする。</t>
  </si>
  <si>
    <t>珊瑚兜への撤退</t>
  </si>
  <si>
    <t>・クリーチャー１体を対象とする。あなたはそれをタップまたはアンタップしてもよい。</t>
  </si>
  <si>
    <t>・占術１を行う。（あなたのライブラリーの一番上のカードを見る。あなたはそのカードをあなたのライブラリーの一番下に置いてもよい。）</t>
  </si>
  <si>
    <t>穏やかな霞</t>
  </si>
  <si>
    <t>あなたがクリーチャー呪文を唱えるたび、穏やかな霞はターン終了時まで、それの他のタイプに加えてエンチャントでもある、飛行を持つ4/4のイリュージョン(Illusion)・クリーチャーになる。</t>
  </si>
  <si>
    <t>物静かな熟考</t>
  </si>
  <si>
    <t>あなたがクリーチャーでない呪文を１つ唱えるたび、対戦相手がコントロールするクリーチャー１体を対象とする。あなたは(１)を支払ってもよい。そうしたなら、そのクリーチャーをタップする。そのクリーチャーはそれのコントローラーの次のアンタップ・ステップにアンタップしない。</t>
  </si>
  <si>
    <t>死者の秘密</t>
  </si>
  <si>
    <t>あなたがあなたの墓地から呪文を１つ唱えるたび、あなたはカードを１枚引く。</t>
  </si>
  <si>
    <t>史学者の護法印</t>
  </si>
  <si>
    <t>エンチャントされているパーマネントは呪禁を持つ。</t>
  </si>
  <si>
    <t>エンチャントされているパーマネントが戦場を離れたとき、それが歴史的であった場合、カードを２枚引く。（歴史的とは、アーティファクトと伝説と英雄譚(Saga)のことである。）</t>
  </si>
  <si>
    <t>月の力</t>
  </si>
  <si>
    <t>対戦相手が呪文を１つ唱えたとき、月の力を生け贄に捧げるとともに、その呪文を打ち消す。</t>
  </si>
  <si>
    <t>逆説のもや</t>
  </si>
  <si>
    <t>エンチャントされているプレイヤーの各ターン最初のアップキープの開始時に、そのプレイヤーはこのステップの後に追加のアップキープ・ステップを得る。</t>
  </si>
  <si>
    <t>スフィンクスの後見</t>
  </si>
  <si>
    <t>あなたがカードを１枚引くたび、対戦相手１人を対象とする。そのプレイヤーは自分のライブラリーの一番上から２枚のカードを自分の墓地に置く。それら２枚がともに土地でないカードであり共通の色を持つなら、この手順を繰り返す。</t>
  </si>
  <si>
    <t>(５)(U)：カードを１枚引き、その後カードを１枚捨てる。</t>
  </si>
  <si>
    <t>証拠の痕跡</t>
  </si>
  <si>
    <t>あなたがインスタント呪文かソーサリー呪文を１つ唱えるたび、調査を行う。（「(２),このアーティファクトを生け贄に捧げる：カードを１枚引く。」を持つ無色の手掛かり(Clue)アーティファクト・トークンを１つ生成する。）</t>
  </si>
  <si>
    <t>氷河期</t>
  </si>
  <si>
    <t>I,II ― 対戦相手がコントロールしているクリーチャー１体を対象とし、それをタップする。あなたが氷河期をコントロールし続けているかぎり、そのクリーチャーはそれのコントローラーのアンタップ・ステップにアンタップしない。</t>
  </si>
  <si>
    <t>III ― タップ状態のクリーチャーをすべてオーナーの手札に戻す。</t>
  </si>
  <si>
    <t>貴重な収集品</t>
  </si>
  <si>
    <t>(２)(U)(U)：カードを１枚引く。</t>
  </si>
  <si>
    <t>家畜化</t>
  </si>
  <si>
    <t>あなたの終了ステップの開始時に、エンチャントされているクリーチャーのパワーが４以上である場合、家畜化を生け贄に捧げる。</t>
  </si>
  <si>
    <t>精神の過負荷</t>
  </si>
  <si>
    <t>精神の過負荷が戦場に出たとき、エンチャントされているパーマネントをタップする。</t>
  </si>
  <si>
    <t>エンチャントされているパーマネントは「アーティファクト・カードを２枚捨てる：このパーマネントをアンタップする。」を持つ。</t>
  </si>
  <si>
    <t>鈍化する脈動</t>
  </si>
  <si>
    <t>あなたの対戦相手がコントロールするクリーチャーは-1/-0の修整を受ける。</t>
  </si>
  <si>
    <t>怠惰な思考</t>
  </si>
  <si>
    <t>(２)：あなたの手札にカードがない場合、カードを１枚引く。</t>
  </si>
  <si>
    <t>知識の試練</t>
  </si>
  <si>
    <t>知識の試練が戦場に出たとき、カードを３枚引き、その後カード１枚を捨てる。</t>
  </si>
  <si>
    <t>カルトーシュ(Cartouche)が１つあなたのコントロール下で戦場に出たとき、知識の試練をオーナーの手札に戻す。</t>
  </si>
  <si>
    <t>水中からの侵略</t>
  </si>
  <si>
    <t>水中からの侵略が戦場に出たとき、呪禁を持つ青の1/1のマーフォーク(Merfolk)・クリーチャー・トークンを２体生成する。（それらは対戦相手がコントロールしている呪文や能力の対象にならない。）</t>
  </si>
  <si>
    <t>(３)(U)：マーフォーク１体を対象とする。このターン、それはブロックされない。</t>
  </si>
  <si>
    <t>併合</t>
  </si>
  <si>
    <t>あなたはエンチャントされている土地をコントロールする。</t>
  </si>
  <si>
    <t>神託者の眼識</t>
  </si>
  <si>
    <t>エンチャントされているクリーチャーは「(Ｔ)：占術１を行う。その後、カードを１枚引く。」を持つ。（占術１を行うには、あなたのライブラリーの一番上のカードを見る。あなたはそのカードをあなたのライブラリーの一番下に置いてもよい。）</t>
  </si>
  <si>
    <t>クロヴの囁き</t>
  </si>
  <si>
    <t>累加アップキープ(U)または(B)（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</si>
  <si>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クロヴの囁きが戦場からいずれかの墓地に置かれたとき、あなたはその上に置かれている経年カウンター１個につき２点のライフを失う。</t>
  </si>
  <si>
    <t>秘宝奪取</t>
  </si>
  <si>
    <t>あなたは、エンチャントされているアーティファクトをコントロールする。</t>
  </si>
  <si>
    <t>凍りつく霊気</t>
  </si>
  <si>
    <t>あなたの対戦相手がコントロールする、アーティファクトとクリーチャーと土地は、タップ状態で戦場に出る。</t>
  </si>
  <si>
    <t>空智の教え</t>
  </si>
  <si>
    <t>あなたがクリーチャーでない呪文を１つ唱えるたび、あなたは(１)(U)を支払ってもよい。そうしたなら、飛行を持つ青の2/2のジン(Djinn)・モンク(Monk)・クリーチャー・トークンを１体生成する。</t>
  </si>
  <si>
    <t>空中浮遊</t>
  </si>
  <si>
    <t>効率的構築</t>
  </si>
  <si>
    <t>あなたがアーティファクト呪文を１つ唱えるたび、飛行を持つ無色の1/1の飛行機械(Thopter)アーティファクト・クリーチャー・トークンを１体生成する。</t>
  </si>
  <si>
    <t>オーラ術師の装い</t>
  </si>
  <si>
    <t>エンチャントされているクリーチャーは、それにつけられているオーラ(Aura)１つにつき+2/+2の修整を受けるとともに警戒を持つ。</t>
  </si>
  <si>
    <t>精神の制御</t>
  </si>
  <si>
    <t>マリット・レイジの怒り</t>
  </si>
  <si>
    <t>マリット・レイジの怒りが戦場に出たとき、すべての赤のクリーチャーをタップする。</t>
  </si>
  <si>
    <t>赤のクリーチャーは、それぞれのコントローラーのアンタップ・ステップにアンタップしない。</t>
  </si>
  <si>
    <t>愚か者の死</t>
  </si>
  <si>
    <t>エンチャントされているクリーチャーが死亡したとき、そのカードをあなたのコントロール下で戦場に戻す。</t>
  </si>
  <si>
    <t>愚か者の死が戦場からいずれかの墓地に置かれたとき、愚か者の死をオーナーの手札に戻す。</t>
  </si>
  <si>
    <t>ドレイクの陰影</t>
  </si>
  <si>
    <t>エンチャントされているクリーチャーは+3/+3の修整を受けるとともに飛行を持つ。</t>
  </si>
  <si>
    <t>風見の本殿</t>
  </si>
  <si>
    <t>あなたのアップキープの開始時に、あなたがコントロールする祭殿(Shrine)１つにつきカードを１枚引く。</t>
  </si>
  <si>
    <t>食いつくいましめ</t>
  </si>
  <si>
    <t>あなたのアップキープの開始時に、エンチャントされているクリーチャーの上に-1/-1カウンターを１個置く。</t>
  </si>
  <si>
    <t>幻影の鎧</t>
  </si>
  <si>
    <t>エンチャントされているクリーチャーは+4/+4の修整を受ける。</t>
  </si>
  <si>
    <t>エンチャントされているクリーチャーが呪文や能力の対象になったとき、幻影の鎧を生け贄に捧げる。</t>
  </si>
  <si>
    <t>説得</t>
  </si>
  <si>
    <t>蒸気の捕獲</t>
  </si>
  <si>
    <t>あなたのアップキープの開始時に、あなたがコントロールする土地を１つオーナーの手札に戻さないかぎり、蒸気の捕獲を生け贄に捧げる。</t>
  </si>
  <si>
    <t>堕落した良心</t>
  </si>
  <si>
    <t>エンチャントされているクリーチャーは感染を持つ。（それはクリーチャーに-1/-1カウンターの形でダメージを与え、プレイヤーに毒(poison)カウンターの形でダメージを与える。）</t>
  </si>
  <si>
    <t>ボーラスの手中</t>
  </si>
  <si>
    <t>あなたはエンチャントされているパーマネントをコントロールする。</t>
  </si>
  <si>
    <t>エンチャントされているパーマネントは伝説である。</t>
  </si>
  <si>
    <t>押収</t>
  </si>
  <si>
    <t>エンチャント（パーマネント）（あなたがこれを唱えるに際し、パーマネント１つを対象とする。このカードはそのパーマネントにつけられた状態で戦場に出る。）</t>
  </si>
  <si>
    <t>あなたは、エンチャントされているパーマネントをコントロールする。</t>
  </si>
  <si>
    <t>決断の手綱</t>
  </si>
  <si>
    <t>(３)(U)(U)(U)</t>
  </si>
  <si>
    <t>決断の手綱が戦場に出たとき、それがエンチャントされているパーマネントがタップ状態の場合、それをアンタップする。</t>
  </si>
  <si>
    <t>占有</t>
  </si>
  <si>
    <t>主張</t>
  </si>
  <si>
    <t>常在精神</t>
  </si>
  <si>
    <t>　色指標：〔青〕</t>
  </si>
  <si>
    <t>（存在しないマナ・コストは支払えない。）</t>
  </si>
  <si>
    <t>頑固な否認</t>
  </si>
  <si>
    <t>クリーチャーでない呪文１つを対象とする。それのコントローラーが(１)を支払わないかぎり、それを打ち消す。</t>
  </si>
  <si>
    <t>獰猛 ― あなたがパワーが４以上のクリーチャーをコントロールしているなら、代わりにその呪文を打ち消す。</t>
  </si>
  <si>
    <t>急速混成</t>
  </si>
  <si>
    <t>クリーチャー１体を対象とし、それを破壊する。それは再生できない。そのクリーチャーのコントローラーは、緑の3/3のカエル(Frog)・トカゲ(Lizard)・クリーチャー・トークンを１体生成する。</t>
  </si>
  <si>
    <t>よじれた映像</t>
  </si>
  <si>
    <t>クリーチャー１体を対象とする。ターン終了時まで、それのパワーとタフネスを入れ替える。</t>
  </si>
  <si>
    <t>交通渋滞</t>
  </si>
  <si>
    <t>土地でないパーマネントＸ個を対象とし、それらをタップする。</t>
  </si>
  <si>
    <t>侵襲手術</t>
  </si>
  <si>
    <t>ソーサリー呪文１つを対象とし、それを打ち消す。</t>
  </si>
  <si>
    <t>昂揚 ― あなたの墓地にあるカードにカード・タイプが合計４種類以上含まれるなら、その呪文のコントローラーの墓地と手札とライブラリーからその呪文と同じ名前を持つカードを望む枚数探し、それらのカードを追放する。その後、そのプレイヤーは自分のライブラリーを切り直す。</t>
  </si>
  <si>
    <t>儀礼的拒否</t>
  </si>
  <si>
    <t>無色の呪文１つを対象とし、それを打ち消す。</t>
  </si>
  <si>
    <t>キオーラの放逐</t>
  </si>
  <si>
    <t>奮励 ― この呪文を唱えるためのコストは、２つ目以降の対象１つにつき(U)多くなる。</t>
  </si>
  <si>
    <t>望む数のエンチャントを対象とし、それらをオーナーの手札に戻す。</t>
  </si>
  <si>
    <t>牙の贈り物</t>
  </si>
  <si>
    <t>クリーチャー１体を対象とする。ターン終了時まで、それはすべての能力を失うとともに基本のパワーとタフネスが3/3の緑の象(Elephant)になる。</t>
  </si>
  <si>
    <t>意思の激突</t>
  </si>
  <si>
    <t>精神的つまづき</t>
  </si>
  <si>
    <t>点数で見たマナ・コストが１の呪文１つを対象とし、それを打ち消す。</t>
  </si>
  <si>
    <t>呪文嵌め</t>
  </si>
  <si>
    <t>点数で見たマナ・コストが２である呪文１つを対象とし、それを打ち消す。</t>
  </si>
  <si>
    <t>暴突風</t>
  </si>
  <si>
    <t>あなたがコントロールしていないクリーチャー１体を対象とし、それをタップする。</t>
  </si>
  <si>
    <t>超過(３)(U)（あなたはこの呪文をその超過コストで唱えてもよい。そうしたなら、あなたがコントロールしていない各クリーチャーをそれぞれタップする。）</t>
  </si>
  <si>
    <t>本質の変転</t>
  </si>
  <si>
    <t>あなたがコントロールするクリーチャー１体を対象とし、それを追放する。その後、そのカードをオーナーのコントロール下で戦場に戻す。それがスピリット(Spirit)であるなら、それの上に+1/+1カウンターを１個置く。</t>
  </si>
  <si>
    <t>呪文の噴出</t>
  </si>
  <si>
    <t>バイバック(３)（あなたがこの呪文を唱えるに際し、あなたは追加の(３)を支払ってもよい。そうした場合、その解決に際し、このカードをあなたの手札に加える。）</t>
  </si>
  <si>
    <t>点数で見たマナ・コストがＸである呪文１つを対象とし、それを打ち消す。</t>
  </si>
  <si>
    <t>ヴェナーリアの微光</t>
  </si>
  <si>
    <t>プレイヤー１人を対象とする。そのプレイヤーは自分の手札を公開する。あなたはその中から点数で見たマナ・コストがＸ以下の土地でないカードを１枚選ぶ。そのプレイヤーはそのカードを捨てる。</t>
  </si>
  <si>
    <t>呪文破</t>
  </si>
  <si>
    <t>点数で見たマナ・コストがＸである呪文１つを対象とし、それを打ち消す。（たとえば、マナ・コストが(３)(U)(U)である呪文の場合、Ｘは５である。）</t>
  </si>
  <si>
    <t>猿術</t>
  </si>
  <si>
    <t>クリーチャー１体を対象とし、それを破壊する。それは再生できない。そのコントローラーは、緑の3/3の類人猿(Ape)クリーチャー・トークンを１体生成する。</t>
  </si>
  <si>
    <t>トリトンの戦術</t>
  </si>
  <si>
    <t>クリーチャーを最大２体まで対象とする。それらはターン終了時までそれぞれ+0/+3の修整を受ける。それらのクリーチャーをアンタップする。このターンの次の戦闘終了時に、このターンにそれらのクリーチャーの少なくとも１体によってブロックされた各クリーチャーをタップする。それらはそれらのコントローラーの次のアンタップ・ステップにアンタップしない。</t>
  </si>
  <si>
    <t>当て推量</t>
  </si>
  <si>
    <t>このターンで２つ目に唱えられた呪文１つを対象とし、それを打ち消す。</t>
  </si>
  <si>
    <t>空智の踊り</t>
  </si>
  <si>
    <t>あなたがコントロールするクリーチャー１体を対象とする。ターン終了時まで、それは基本のパワーとタフネスが4/4の青のドラゴン(Dragon)・イリュージョン(Illusion)になり、すべての能力を失い、飛行を得る。</t>
  </si>
  <si>
    <t>精神的反論</t>
  </si>
  <si>
    <t>あなたを対象とするインスタント呪文１つかソーサリー呪文１つを対象とし、それを打ち消す。</t>
  </si>
  <si>
    <t>魔巧 ― あなたの墓地にインスタント・カードやソーサリー・カードが合わせて２枚以上あるなら、あなたはこれにより打ち消された呪文をコピーしてもよい。あなたはそのコピーの新しい対象を選んでもよい。</t>
  </si>
  <si>
    <t>差し戻し</t>
  </si>
  <si>
    <t>呪文１つを対象とし、それを打ち消す。その呪文がこれにより打ち消された場合、それをそのプレイヤーの墓地に置く代わりにオーナーの手札に加える。</t>
  </si>
  <si>
    <t>記憶の旅</t>
  </si>
  <si>
    <t>プレイヤー１人と、そのプレイヤーの墓地にあるカードを最大３枚まで対象とする。そのプレイヤーは、それらのカードを自分のライブラリーに加えて切り直す。</t>
  </si>
  <si>
    <t>瞬間凍結</t>
  </si>
  <si>
    <t>赤か緑の呪文１つを対象とし、それを打ち消す。</t>
  </si>
  <si>
    <t>意識の流れ</t>
  </si>
  <si>
    <t>プレイヤー１人と、そのプレイヤーの墓地にあるカードを最大４枚まで対象とする。そのプレイヤーは、それらのカードを自分のライブラリーに加えて切り直す。</t>
  </si>
  <si>
    <t>遅延</t>
  </si>
  <si>
    <t>呪文１つを対象とし、それを打ち消す。これによりそれが打ち消された場合、それをオーナーの墓地に置く代わりに時間(time)カウンターが３個置かれた状態で追放する。それが待機を持っていない場合、それは待機を得る。（オーナーのアップキープの開始時に、時間カウンターを１個取り除く。最後の１個を取り除いたとき、それをそのマナ・コストを支払うことなくプレイする。それがクリーチャーである場合、それは速攻を持つ。）</t>
  </si>
  <si>
    <t>蛙変化</t>
  </si>
  <si>
    <t>クリーチャー１体を対象とする。ターン終了時まで、それはすべての能力を失うとともに基本のパワーとタフネスが1/1の青のカエル(Frog)になる。</t>
  </si>
  <si>
    <t>罠師の引き込み</t>
  </si>
  <si>
    <t>あなたのライブラリーから罠(Trap)カードを１枚探し、それを公開してあなたの手札に加える。その後、あなたのライブラリーを切り直す。</t>
  </si>
  <si>
    <t>現実変容</t>
  </si>
  <si>
    <t>クリーチャー１体を対象とし、それを追放する。それのコントローラーは自分のライブラリーの一番上のカードを予示する。（そのプレイヤーは自分のライブラリーの一番上のカードを裏向きの状態で2/2クリーチャーとして戦場に出す。それがクリーチャー・カードであるなら、そのマナ・コストでいつでも表向きにしてよい。）</t>
  </si>
  <si>
    <t>ジェイスの敗北</t>
  </si>
  <si>
    <t>青の呪文１つを対象とし、それを打ち消す。それがジェイス(Jace)・プレインズウォーカー呪文であるなら、占術２を行う。</t>
  </si>
  <si>
    <t>オーラの移植</t>
  </si>
  <si>
    <t>パーマネント１つにつけられているオーラ(Aura)１つを対象とし、そのコントロールを得る。それを、それがエンチャントできる他のパーマネントにつける。</t>
  </si>
  <si>
    <t>真実か詐話か</t>
  </si>
  <si>
    <t>あなたのライブラリーのカードを上から５枚公開し、それらのカードを２つの束に分ける。対戦相手１人が選んだ１つの束のカード１枚をあなたの手札に加え、これにより公開された他のカードをあなたのライブラリーの一番下に望む順番で置く。</t>
  </si>
  <si>
    <t>羊術</t>
  </si>
  <si>
    <t>クリーチャー１体を対象とする。それはターン終了時まで、能力をすべて失うとともに、基本のパワーとタフネスが0/1である。</t>
  </si>
  <si>
    <t>非実体化</t>
  </si>
  <si>
    <t>呪文１つかクリーチャー１体を対象とし、それをオーナーの手札に戻す。</t>
  </si>
  <si>
    <t>検閲</t>
  </si>
  <si>
    <t>無化破</t>
  </si>
  <si>
    <t>多色の呪文１つを対象とし、それを打ち消す。</t>
  </si>
  <si>
    <t>押しつぶし</t>
  </si>
  <si>
    <t>起動型能力１つを対象とし、それを打ち消す。（マナ能力は対象にできない。）</t>
  </si>
  <si>
    <t>統一された意思</t>
  </si>
  <si>
    <t>呪文１つを対象とする。あなたがその呪文のコントローラーよりも多くのクリーチャーをコントロールしている場合、それを打ち消す。</t>
  </si>
  <si>
    <t>シルムガルの嘲笑</t>
  </si>
  <si>
    <t>シルムガルの嘲笑を唱えるための追加コストとして、あなたの手札にあるドラゴン(Dragon)・カードを１枚公開してもよい。</t>
  </si>
  <si>
    <t>呪文１つを対象とする。そのコントローラーが(１)を支払わないかぎり、それを打ち消す。あなたがシルムガルの嘲笑を唱えた時点でドラゴン・カードを公開したかドラゴンをコントロールしていたなら、代わりにその呪文を打ち消す。</t>
  </si>
  <si>
    <t>オラーズカからの排斥</t>
  </si>
  <si>
    <t>土地でないパーマネント１つを対象とし、それをオーナーの手札に戻す。あなたが都市の承認を持っているなら、代わりに、あなたはそのパーマネントをオーナーのライブラリーの一番上に置いてもよい。</t>
  </si>
  <si>
    <t>反論</t>
  </si>
  <si>
    <t>青の呪文１つを対象とし、それを打ち消す。</t>
  </si>
  <si>
    <t>使い魔の策略</t>
  </si>
  <si>
    <t>この呪文を唱えるための追加コストとして、あなたがコントロールするクリーチャー１体をオーナーの手札に戻す。</t>
  </si>
  <si>
    <t>堕落した決意</t>
  </si>
  <si>
    <t>呪文１つを対象とする。それのコントローラーが毒を受けている場合、それを打ち消す。</t>
  </si>
  <si>
    <t>タッサの拒絶</t>
  </si>
  <si>
    <t>呪文１つを対象とする。それのコントローラーが(Ｘ)を支払わらないかぎり、それを打ち消す。Ｘはあなたの青への信心である。（あなたの青への信心は、あなたがコントロールするパーマネントのマナ・コストに含まれる(U)の数に等しい。）</t>
  </si>
  <si>
    <t>手酷い失敗</t>
  </si>
  <si>
    <t>点数で見たマナ・コストが４以下のクリーチャー呪文１つを対象とし、それを打ち消す。その呪文がこれにより打ち消されたなら、それをオーナーの墓地に置く代わりに追放する。</t>
  </si>
  <si>
    <t>上空からの視界</t>
  </si>
  <si>
    <t>クリーチャー１体を対象とする。それはターン終了時まで飛行を得る。あなたが白のパーマネントをコントロールしている場合、上空からの視界をオーナーの手札に戻す。</t>
  </si>
  <si>
    <t>抗えない抑止</t>
  </si>
  <si>
    <t>土地でないパーマネント１つを対象とし、それをオーナーの手札に戻す。あなたがゾンビ(Zombie)をコントロールしているなら、その後そのプレイヤーはカードを１枚捨てる。</t>
  </si>
  <si>
    <t>現実のひきつけ</t>
  </si>
  <si>
    <t>・パーマネントＸ個を対象とし、それらをタップする。</t>
  </si>
  <si>
    <t>・パーマネントＸ個を対象とし、それらをアンタップする。</t>
  </si>
  <si>
    <t>危険な航海</t>
  </si>
  <si>
    <t>あなたがコントロールしておらず土地でもないパーマネント１つを対象とし、それをオーナーの手札に戻す。それの点数で見たマナ・コストが２以下であったなら、占術２を行う。</t>
  </si>
  <si>
    <t>夢の破れ目</t>
  </si>
  <si>
    <t>呪文１つを対象とし、それを打ち消す。それのコントローラーはカードを１枚引く。</t>
  </si>
  <si>
    <t>虚空の粉砕</t>
  </si>
  <si>
    <t>呪文１つを対象とし、それを打ち消す。これによりその呪文が打ち消されたなら、それをオーナーの墓地に置く代わりに追放する。</t>
  </si>
  <si>
    <t>呪文の歪曲</t>
  </si>
  <si>
    <t>多重キッカー(１)(U)（あなたがこの呪文を唱えるに際し、あなたは追加の(１)(U)を望む回数支払ってもよい。）</t>
  </si>
  <si>
    <t>呪文１つを対象とし、それをそれのコントローラーが(２)を支払わないかぎり打ち消す。それがキッカーされている１回につきカードを１枚引く。</t>
  </si>
  <si>
    <t>冷たいわしづかみ</t>
  </si>
  <si>
    <t>マッドネス(３)(U)（あなたがこのカードを捨てるなら、これを追放領域に捨てる。あなたがそうしたとき、マッドネス・コストでこれを唱えるか、これをあなたの墓地に置く。）</t>
  </si>
  <si>
    <t>見張りによる消散</t>
  </si>
  <si>
    <t>あなたが海賊(Pirate)をコントロールしているなら、見張りによる消散を唱えるためのコストは(１)少なくなる。</t>
  </si>
  <si>
    <t>呪文１つを対象とする。そのコントローラーが(４)を支払わないかぎり、それを打ち消す。</t>
  </si>
  <si>
    <t>解消</t>
  </si>
  <si>
    <t>呪文１つを対象とし、それを打ち消す。占術１を行う。（あなたのライブラリーの一番上のカードを見る。あなたはそのカードをあなたのライブラリーの一番下に置いてもよい。）</t>
  </si>
  <si>
    <t>失跡</t>
  </si>
  <si>
    <t>この呪文を唱えるための追加コストとして、あなたがコントロールするパーマネント１つをオーナーの手札に戻す。</t>
  </si>
  <si>
    <t>洞察力</t>
  </si>
  <si>
    <t>・対戦相手１人を対象とする。そのプレイヤーのライブラリーのカードを上から５枚見る。その後それらを望む順番で戻す。</t>
  </si>
  <si>
    <t>・あなたのライブラリーのカードを上から５枚見る。その後それらを望む順番で戻す。</t>
  </si>
  <si>
    <t>双呪(U)（あなたが双呪コストを支払った場合、両方を選ぶ。）</t>
  </si>
  <si>
    <t>至高の意志</t>
  </si>
  <si>
    <t>・呪文１つを対象とする。それのコントローラーが(３)を支払わないかぎり、それを打ち消す。</t>
  </si>
  <si>
    <t>・あなたのライブラリーの一番上からカードを４枚見る。そのうち１枚をあなたの手札に加え、残りをあなたのライブラリーの一番下に望む順番で置く。</t>
  </si>
  <si>
    <t>大洪水</t>
  </si>
  <si>
    <t>飛行を持たないすべてのクリーチャーをタップする。</t>
  </si>
  <si>
    <t>拭い捨て</t>
  </si>
  <si>
    <t>停止命令</t>
  </si>
  <si>
    <t>アーティファクト呪文１つを対象とし、それを打ち消す。</t>
  </si>
  <si>
    <t>水撃</t>
  </si>
  <si>
    <t>ターン終了時まで、攻撃クリーチャーは-2/-0の修整を受ける。</t>
  </si>
  <si>
    <t>魔術師の反駁</t>
  </si>
  <si>
    <t>あなたがウィザード(Wizard)をコントロールしているなら、この呪文を唱えるためのコストは(１)少なくなる。</t>
  </si>
  <si>
    <t>賢人の消火</t>
  </si>
  <si>
    <t>呪文１つを対象とする。それのコントローラーが(３)を支払わないかぎり、それを打ち消す。あなたがウィザード(Wizard)をコントロールしている場合、カードを１枚引く。</t>
  </si>
  <si>
    <t>突風撃</t>
  </si>
  <si>
    <t>タップ状態のクリーチャー１体を対象とし、それをオーナーの手札に戻す。</t>
  </si>
  <si>
    <t>知識の渇望</t>
  </si>
  <si>
    <t>カードを３枚引き、その後アーティファクト・カードを１枚捨てないかぎり、カードを２枚捨てる。</t>
  </si>
  <si>
    <t>集中破り</t>
  </si>
  <si>
    <t>詐取</t>
  </si>
  <si>
    <t>クリーチャー呪文１つを対象とし、それを打ち消す。あなたは「(Ｔ),このアーティファクトを生け贄に捧げる：好きな色１色のマナ１点を加える。」を持つ無色の宝物(Treasure)アーティファクト・トークンを１つ生成する。</t>
  </si>
  <si>
    <t>冬眠</t>
  </si>
  <si>
    <t>すべての緑のパーマネントを、オーナーの手札に戻す。</t>
  </si>
  <si>
    <t>難局</t>
  </si>
  <si>
    <t>奮励 ― この呪文を唱えるためのコストは、２つ目以降の対象１つにつき(１)(U)多くなる。</t>
  </si>
  <si>
    <t>望む数のクリーチャーを対象とし、それらを追放する。これにより追放されたクリーチャー１体につき、そのコントローラーは飛行を持つ青の4/4のスフィンクス(Sphinx)・クリーチャー・トークンを１体生成する。</t>
  </si>
  <si>
    <t>乱動の握撃</t>
  </si>
  <si>
    <t>怒濤(１)(U)（あなたかチームメイトがこのターンに他の呪文を唱えていたなら、あなたはこの呪文を怒濤コストで唱えてもよい。）</t>
  </si>
  <si>
    <t>いかづち頭</t>
  </si>
  <si>
    <t>防衛と飛行を持つ青の3/3の奇魔(Weird)クリーチャー・トークンを１体生成する。ターン終了時に、それを追放する。</t>
  </si>
  <si>
    <t>邪魔</t>
  </si>
  <si>
    <t>呪文１つを対象とし、それを打ち消す。その呪文がこれにより打ち消された場合、そのカードをオーナーの墓地に置く代わりにそのプレイヤーのライブラリーの一番上か一番下に置く。</t>
  </si>
  <si>
    <t>雲散霧消</t>
  </si>
  <si>
    <t>呪文１つを対象とし、それを打ち消す。その呪文がこれにより打ち消された場合、それをオーナーの墓地に置く代わりに追放する。</t>
  </si>
  <si>
    <t>自我の消去</t>
  </si>
  <si>
    <t>プレイヤー１人を対象とする。そのプレイヤーがコントロールするクリーチャーは、ターン終了時まで-2/-0の修整を受けるとともにすべてのクリーチャー・タイプを失う。</t>
  </si>
  <si>
    <t>銀白の突然変異</t>
  </si>
  <si>
    <t>パーマネント１つを対象とする。ターン終了時まで、それはそれの他のタイプに加えてアーティファクトになる。</t>
  </si>
  <si>
    <t>霊気への折り込み</t>
  </si>
  <si>
    <t>呪文１つを対象とし、それを打ち消す。その呪文がこれにより打ち消された場合、その呪文のコントローラーは、自分の手札からクリーチャー・カードを１枚、戦場に出してもよい。</t>
  </si>
  <si>
    <t>陰鬱な失敗</t>
  </si>
  <si>
    <t>呪文１つを対象とし、それを打ち消す。それのコントローラーはカードを１枚捨てる。</t>
  </si>
  <si>
    <t>まごつき</t>
  </si>
  <si>
    <t>呪文１つを対象とし、それを打ち消す。あなたは自分のライブラリーのカードを上から４枚見て、その後それらを望む順番で戻す。</t>
  </si>
  <si>
    <t>鎮圧</t>
  </si>
  <si>
    <t>インスタント呪文１つかソーサリー呪文１つを対象とし、それを打ち消す。それのコントローラーの墓地と手札とライブラリーから、そのカードと同じ名前を持つカードをすべて探し、それらを追放する。その後、そのプレイヤーは自分のライブラリーを切り直す。</t>
  </si>
  <si>
    <t>一致団結</t>
  </si>
  <si>
    <t>あなたがコントロールする、+1/+1カウンターが置かれている各クリーチャーをそれぞれアンタップする。</t>
  </si>
  <si>
    <t>永久凍土の罠</t>
  </si>
  <si>
    <t>このターン、対戦相手１人が緑のクリーチャーを自分のコントロール下で戦場に出した場合、あなたは永久凍土の罠のマナ・コストを支払うのではなく(U)を支払ってもよい。</t>
  </si>
  <si>
    <t>クリーチャーを最大２体まで対象とし、それらをタップする。それらのクリーチャーは、それのコントローラーの次のアンタップ・ステップの間にアンタップしない。</t>
  </si>
  <si>
    <t>記憶のきずな</t>
  </si>
  <si>
    <t>各プレイヤーは、自分の墓地を自分のライブラリーに加えて切り直す。</t>
  </si>
  <si>
    <t>論駁</t>
  </si>
  <si>
    <t>復活(２)(U)(U)（他のクリーチャーが戦場からあなたの墓地に置かれたとき、あなたは(２)(U)(U)を支払ってもよい。そうした場合、あなたの墓地にあるこのカードをあなたの手札に戻す。そうでない場合、このカードを追放する。）</t>
  </si>
  <si>
    <t>まき散らす殴打</t>
  </si>
  <si>
    <t>呪文１つを対象とし、それを打ち消す。対戦相手１人と激突を行う。あなたが勝ったなら、あなたの次のメイン・フェイズの開始時に、あなたはあなたのマナ・プールに、その呪文の点数で見たマナ・コストに等しい量の(◇)を加える。（激突を行う各プレイヤーは、自分のライブラリーの一番上のカードを公開し、そのカードを一番上か一番下に置く。自分のカードの点数で見たマナ・コストの方が大きいプレイヤーが勝つ。）</t>
  </si>
  <si>
    <t>召喚士の破滅</t>
  </si>
  <si>
    <t>クリーチャー呪文１つを対象とし、それを打ち消す。青の2/2のイリュージョン(Illusion)・クリーチャー・トークンを１体生成する。</t>
  </si>
  <si>
    <t>空想の脅威</t>
  </si>
  <si>
    <t>対戦相手１人を対象とする。このターン、そのプレイヤーがコントロールするクリーチャーは可能なら攻撃する。そのプレイヤーの次のアンタップ・ステップに、そのプレイヤーがコントロールするクリーチャーはアンタップしない。</t>
  </si>
  <si>
    <t>変容する境界</t>
  </si>
  <si>
    <t>土地２つを対象とする。それらのコントロールを交換する。</t>
  </si>
  <si>
    <t>幻術師の謀</t>
  </si>
  <si>
    <t>あなたがコントロールするクリーチャー最大２体を対象とし、それらを追放し、その後それらのカードをオーナーのコントロール下で戦場に戻す。</t>
  </si>
  <si>
    <t>入念な考慮</t>
  </si>
  <si>
    <t>プレイヤー１人を対象とする。そのプレイヤーはカードを４枚引き、その後カードを３枚捨てる。あなたがこの呪文をあなたのメイン・フェイズの間に唱えた場合、代わりにそのプレイヤーはカードを４枚引き、その後カードを２枚捨てる。</t>
  </si>
  <si>
    <t>霊気化</t>
  </si>
  <si>
    <t>すべての攻撃クリーチャーをオーナーの手札に戻す。</t>
  </si>
  <si>
    <t>過去に学ぶ</t>
  </si>
  <si>
    <t>プレイヤー１人を対象とする。そのプレイヤーは自分の墓地を自分のライブラリーに加えて切り直す。</t>
  </si>
  <si>
    <t>偏った幸運</t>
  </si>
  <si>
    <t>対戦相手１人を対象とする。そのプレイヤーはあなたのライブラリーの一番上からカードを４枚見て、それらを裏向きの束１つと表向きの束１つに分ける。一方の束をあなたの手札に加え、もう一方をあなたの墓地に置く。</t>
  </si>
  <si>
    <t>逆境</t>
  </si>
  <si>
    <t>クリーチャーを最大２体対象とし、それらをタップする。それらのクリーチャーは、それらのコントローラーの次のアンタップ・ステップにアンタップしない。無色の1/1のエルドラージ(Eldrazi)・末裔(Scion)クリーチャー・トークンを１体生成する。それは「このクリーチャーを生け贄に捧げる：(◇)を加える。」を持つ。</t>
  </si>
  <si>
    <t>天才の片鱗</t>
  </si>
  <si>
    <t>占術２を行い、その後カードを２枚引く。あなたは(Ｅ)(Ｅ)（エネルギー・カウンター２個）を得る。</t>
  </si>
  <si>
    <t>擦り切れ</t>
  </si>
  <si>
    <t>青でない呪文１つを対象とし、それを打ち消す。</t>
  </si>
  <si>
    <t>神話送り</t>
  </si>
  <si>
    <t>クリーチャー１体を対象とし、それをオーナーのライブラリーの一番上に置く。その後、消術２を行う。（消術２を行うには、対戦相手１人のライブラリーの一番上から２枚のカードを見て、そのうちの望む枚数のカードをそのプレイヤーのライブラリーの一番下に置き、残りを望む順番で一番上に置く。）</t>
  </si>
  <si>
    <t>目潰しのしぶき</t>
  </si>
  <si>
    <t>ターン終了時まで、対戦相手がコントロールするクリーチャーは-4/-0の修整を受ける。</t>
  </si>
  <si>
    <t>再帰の儀式</t>
  </si>
  <si>
    <t>あなたがコントロールする土地でないパーマネント１つと、あなたがコントロールしていない土地でないパーマネント１つを対象とし、それらをオーナーの手札に戻す。</t>
  </si>
  <si>
    <t>心理のらせん</t>
  </si>
  <si>
    <t>プレイヤー１人を対象とする。あなたの墓地にあるすべてのカードをあなたのライブラリーに加えて切り直す。そのプレイヤーは、同じ枚数のカードを自分のライブラリーの一番上から自分の墓地に置く。</t>
  </si>
  <si>
    <t>ジェイスの創意</t>
  </si>
  <si>
    <t>消え去り</t>
  </si>
  <si>
    <t>奇跡(U)（あなたがこのカードを引いたとき、これがこのターンに最初に引いたカードだった場合、あなたはこれの奇跡コストを支払うことでこれを唱えてもよい。）</t>
  </si>
  <si>
    <t>抗い難い知力</t>
  </si>
  <si>
    <t>クリーチャー呪文１つを対象とし、それを打ち消す。その呪文の点数で見たマナ・コストに等しい枚数のカードを引く。</t>
  </si>
  <si>
    <t>好機</t>
  </si>
  <si>
    <t>プレイヤー１人を対象とする。そのプレイヤーはカードを４枚引く。</t>
  </si>
  <si>
    <t>研究室の捜索</t>
  </si>
  <si>
    <t>昂揚 ― あなたの墓地にあるカードにカード・タイプが合計４種類以上含まれるなら、研究室の捜索を唱えるためのコストは(２)少なくなる。</t>
  </si>
  <si>
    <t>水渦</t>
  </si>
  <si>
    <t>権威の確立</t>
  </si>
  <si>
    <t>ウーラの寺院の探索</t>
  </si>
  <si>
    <t>あなたのアップキープの開始時に、あなたはあなたのライブラリーの一番上のカードを見てもよい。それがクリーチャー・カードである場合、あなたはそれを公開し、ウーラの寺院の探索の上に探索(quest)カウンターを１個置いてもよい。</t>
  </si>
  <si>
    <t>各終了ステップの開始時に、ウーラの寺院の探索の上に探索カウンターが３個以上置かれている場合、あなたの手札にあるクラーケン(Kraken)かリバイアサン(Leviathan)かタコ(Octopus)か海蛇(Serpent)クリーチャー・カード１枚を戦場に出してもよい。</t>
  </si>
  <si>
    <t>惑乱のセイレーン</t>
  </si>
  <si>
    <t>授与(５)(U)(U)（このカードを授与コストで唱えた場合、これはエンチャント（クリーチャー）を持つオーラ(Aura)呪文である。クリーチャーにつけられていない場合、これは再びクリーチャーになる。）</t>
  </si>
  <si>
    <t>訓練場</t>
  </si>
  <si>
    <t>あなたがコントロールするクリーチャーの起動型能力は、それを起動するためのコストが最大(２)少なくなる。この効果は、能力を起動するためのコストのマナの総量を１マナより少なくすることはない。</t>
  </si>
  <si>
    <t>工匠の直感</t>
  </si>
  <si>
    <t>(U),アーティファクト・カードを１枚捨てる：あなたのライブラリーから、点数で見たマナ・コストが１以下のアーティファクト・カードを１枚探し、そのカードを公開し、それをあなたの手札に加える。その後あなたのライブラリーを切り直す。</t>
  </si>
  <si>
    <t>失敗の宣告</t>
  </si>
  <si>
    <t>失敗の宣告が戦場に出るに際し、カード名を１つ選ぶ。</t>
  </si>
  <si>
    <t>(U)：選ばれた名前を持つ呪文１つを対象とし、それを打ち消す。</t>
  </si>
  <si>
    <t>孵化計画</t>
  </si>
  <si>
    <t>孵化計画が戦場からいずれかの墓地に置かれたとき、カードを３枚引く。</t>
  </si>
  <si>
    <t>変態変異</t>
  </si>
  <si>
    <t>変態変異が戦場に出るに際し、クリーチャー１体を選ぶ。</t>
  </si>
  <si>
    <t>エンチャントされているクリーチャーは、その選ばれたクリーチャーのコピーになる。</t>
  </si>
  <si>
    <t>心理的手術</t>
  </si>
  <si>
    <t>対戦相手１人が自分のライブラリーを切り直すたび、あなたはそのライブラリーの一番上から２枚のカードを見てもよい。あなたはそれらのカードのうち１枚を追放してもよい。その後、残りをそのライブラリーの一番上に望む順番で置く。</t>
  </si>
  <si>
    <t>嘲る映し身</t>
  </si>
  <si>
    <t>エンチャントされているクリーチャーが攻撃するたび、あなたはそのクリーチャーのコピーであるトークンを１体生成してもよい。戦闘終了時に、そのトークンを追放する。</t>
  </si>
  <si>
    <t>アズカンタの探索</t>
  </si>
  <si>
    <t>あなたのアップキープの開始時に、あなたのライブラリーの一番上のカードを見る。あなたはそれをあなたの墓地に置いてもよい。その後、あなたの墓地にカードが７枚以上あるなら、あなたはアズカンタの探索を変身させてもよい。</t>
  </si>
  <si>
    <t>水没遺跡、アズカンタ</t>
  </si>
  <si>
    <t>（《アズカンタの探索/Search for Azcanta》から変身する。）</t>
  </si>
  <si>
    <t>(２)(U),(Ｔ)：あなたのライブラリーの一番上からカードを４枚見る。あなたはその中からクリーチャーでも土地でもないカード１枚を公開してあなたの手札に加えてもよい。残りをあなたのライブラリーの一番下に望む順番で置く。</t>
  </si>
  <si>
    <t>上位の空民、エラヨウ</t>
  </si>
  <si>
    <t>いずれかのターンに４つ目の呪文が唱えられるたび、上位の空民、エラヨウを反転する。</t>
  </si>
  <si>
    <t>エラヨウの本質</t>
  </si>
  <si>
    <t>対戦相手１人が各ターンの最初の呪文を唱えるたび、その呪文を打ち消す。</t>
  </si>
  <si>
    <t>交易路</t>
  </si>
  <si>
    <t>(１)：あなたがコントロールする土地１つを対象とし、それをオーナーの手札に戻す。</t>
  </si>
  <si>
    <t>(１),土地カードを１枚捨てる：カードを１枚引く。</t>
  </si>
  <si>
    <t>僧院の包囲</t>
  </si>
  <si>
    <t>僧院の包囲が戦場に出るに際し、カンか龍かを選ぶ。</t>
  </si>
  <si>
    <t>・カン ― あなたのドロー・ステップの開始時に、カードを追加で１枚引き、その後カードを１枚捨てる。</t>
  </si>
  <si>
    <t>・龍 ― 対戦相手が唱える、あなたやあなたがコントロールするパーマネントを対象とする呪文は、それを唱えるためのコストが(２)多くなる。</t>
  </si>
  <si>
    <t>変容する大空</t>
  </si>
  <si>
    <t>変容する大空が戦場に出るに際し、色を１色選ぶ。</t>
  </si>
  <si>
    <t>すべての土地でないパーマネントは、選んだ色になる。</t>
  </si>
  <si>
    <t>正気減らし</t>
  </si>
  <si>
    <t>各終了ステップの開始時に、エンチャントされているプレイヤーは自分のライブラリーの一番上からカードをＸ枚自分の墓地に置く。Ｘは、このターンにいずれかの領域からその墓地に置かれたカードの枚数に等しい。</t>
  </si>
  <si>
    <t>エンチャント複製</t>
  </si>
  <si>
    <t>エンチャント複製が戦場に出るに際し、あなたは戦場に出ているエンチャントを１つ選んでもよい。そうした場合、エンチャント複製はそのエンチャントのコピーとして戦場に出る。</t>
  </si>
  <si>
    <t>大魔導師の昇天</t>
  </si>
  <si>
    <t>各終了ステップの開始時に、このターンにあなたが２枚以上のカードを引いていた場合、大魔導師の昇天の上に探索(quest)カウンターを１個置いてもよい。</t>
  </si>
  <si>
    <t>大魔導師の昇天の上に探索カウンターが６個以上置かれているかぎり、あなたがカードを１枚引く場合、代わりにあなたは「あなたのライブラリーからカードを１枚探してそれをあなたの手札に加え、その後あなたのライブラリーを切り直す」ことを選んでもよい。</t>
  </si>
  <si>
    <t>クルフィックスの指図</t>
  </si>
  <si>
    <t>各プレイヤーのドロー・ステップの開始時に、そのプレイヤーはカードを追加で１枚引く。</t>
  </si>
  <si>
    <t>誘導記憶喪失</t>
  </si>
  <si>
    <t>誘導記憶喪失が戦場に出たとき、プレイヤー１人を対象とする。そのプレイヤーは、自分の手札のカードをすべて裏向きに追放し、その後その枚数に等しい枚数のカードを引く。</t>
  </si>
  <si>
    <t>誘導記憶喪失が戦場から墓地に置かれたとき、それらの追放されたカードをオーナーの手札に戻す。</t>
  </si>
  <si>
    <t>月への封印</t>
  </si>
  <si>
    <t>エンチャント（クリーチャーか土地かプレインズウォーカー）</t>
  </si>
  <si>
    <t>エンチャントされているパーマネントは「(Ｔ)：(◇)を加える。」を持つ無色の土地であるとともに、他のすべてのカード・タイプと能力を失う。</t>
  </si>
  <si>
    <t>記憶の浸食</t>
  </si>
  <si>
    <t>対戦相手１人が呪文を唱えるたび、そのプレイヤーは自分のライブラリーのカードを一番上から２枚、自分の墓地に置く。</t>
  </si>
  <si>
    <t>ジェイスの誓い</t>
  </si>
  <si>
    <t>ジェイスの誓いが戦場に出たとき、カードを３枚引き、その後カードを２枚捨てる。</t>
  </si>
  <si>
    <t>あなたのアップキープの開始時に、占術Ｘを行う。Ｘは、あなたがコントロールするプレインズウォーカーの総数に等しい。</t>
  </si>
  <si>
    <t>侵入警報</t>
  </si>
  <si>
    <t>クリーチャーは、それのコントローラーのアンタップ・ステップにアンタップしない。</t>
  </si>
  <si>
    <t>クリーチャーが１体戦場に出るたび、すべてのクリーチャーをアンタップする。</t>
  </si>
  <si>
    <t>ドレイクの安息地</t>
  </si>
  <si>
    <t>あなたがカードを１枚サイクリングするか捨てるたび、あなたは(１)を支払ってもよい。そうしたなら、飛行を持つ青の2/2のドレイク(Drake)・クリーチャー・トークンを１体生成する。</t>
  </si>
  <si>
    <t>秘儀での順応</t>
  </si>
  <si>
    <t>秘儀での順応が戦場に出るに際し、クリーチャー・タイプ１つを選ぶ。</t>
  </si>
  <si>
    <t>あなたがコントロールしているクリーチャーは、それらの他のタイプに加えてその選ばれたタイプでもある。あなたがコントロールしているクリーチャー呪文と、あなたがオーナーである戦場にないクリーチャー・カードについても同様である。</t>
  </si>
  <si>
    <t>不忠の糸</t>
  </si>
  <si>
    <t>エンチャント（点数で見たマナ・コストが２以下のクリーチャー）</t>
  </si>
  <si>
    <t>面晶体の連結</t>
  </si>
  <si>
    <t>呪禁</t>
  </si>
  <si>
    <t>あなたのアップキープの開始時に、あなたはあなたの手札を公開してもよい。そうしたなら、あなたがオーナーである《面晶体の連結/Hedron Alignment》という名前のカードが追放領域とあなたの手札とあなたの墓地と戦場のいずれにもあるなら、あなたはこのゲームに勝利する。</t>
  </si>
  <si>
    <t>(１)(U)：占術１を行う。</t>
  </si>
  <si>
    <t>タッサの二叉槍</t>
  </si>
  <si>
    <t>あなたがコントロールするクリーチャー１体がプレイヤー１人に戦闘ダメージを与えるたび、あなたはカードを１枚引いてもよい。</t>
  </si>
  <si>
    <t>(１)(U),(Ｔ)：あなたの対戦相手がコントロールするクリーチャーは、このターン可能なら攻撃する。</t>
  </si>
  <si>
    <t>霧消の場</t>
  </si>
  <si>
    <t>パーマネント１つがあなたにダメージを与えるたび、それをオーナーの手札に戻す。</t>
  </si>
  <si>
    <t>渦巻く霧</t>
  </si>
  <si>
    <t>渦巻く霧が戦場に出るに際し、好きな色１色を選ぶ。</t>
  </si>
  <si>
    <t>呪文やパーマネントに書かれているすべての「色を指定する言葉」は、あなたが選んだ色の言葉に変えられる。</t>
  </si>
  <si>
    <t>プーカの悪戯</t>
  </si>
  <si>
    <t>あなたのアップキープの開始時に、あなたがコントロールする土地でないパーマネント１つと、対戦相手１人がコントロールする、点数で見たマナ・コストがそれ以下の土地でないパーマネント１つを対象とする。あなたは、それらのコントロールを交換してもよい。</t>
  </si>
  <si>
    <t>前知の場</t>
  </si>
  <si>
    <t>あなたはあなたのライブラリーの一番上のカードを見てもよい。（これはいつでも行ってよい。）</t>
  </si>
  <si>
    <t>あなたのライブラリーの一番上のカードがインスタントかソーサリーであるカードであるなら、あなたはそれを唱えてもよい。</t>
  </si>
  <si>
    <t>(３)：あなたのライブラリーの一番上のカードを追放する。</t>
  </si>
  <si>
    <t>沿岸の海賊行為</t>
  </si>
  <si>
    <t>あなたがコントロールするクリーチャー１体が対戦相手に戦闘ダメージを与えるたび、あなたはカードを１枚引いてもよい。</t>
  </si>
  <si>
    <t>精神の占有</t>
  </si>
  <si>
    <t>エンチャント（対戦相手）</t>
  </si>
  <si>
    <t>あなたのドロー・ステップを飛ばす。</t>
  </si>
  <si>
    <t>エンチャントされている対戦相手がカードを引くたび、あなたはカードを１枚引いてもよい。</t>
  </si>
  <si>
    <t>予期の力線</t>
  </si>
  <si>
    <t>予期の力線があなたのゲーム開始時の手札にある場合、あなたはそれが戦場に出ている状態でゲームを開始してもよい。</t>
  </si>
  <si>
    <t>あなたは呪文を、それが瞬速を持っているかのように唱えてもよい。（あなたはそれらを、あなたがインスタントを唱えられるときならいつでも唱えてよい。）</t>
  </si>
  <si>
    <t>飛行機械の諜報網</t>
  </si>
  <si>
    <t>あなたのアップキープの開始時に、あなたがアーティファクトをコントロールしている場合、飛行を持つ無色の1/1の飛行機械(Thopter)アーティファクト・クリーチャー・トークンを１体生成する。</t>
  </si>
  <si>
    <t>あなたがコントロールする１体以上のアーティファクト・クリーチャーがプレイヤー１人に戦闘ダメージを与えるたび、カードを１枚引く。</t>
  </si>
  <si>
    <t>クメーナの覚醒</t>
  </si>
  <si>
    <t>あなたのアップキープの開始時に、各プレイヤーはそれぞれカードを１枚引く。あなたが都市の承認を持っているなら、代わりに、あなたのみがカードを１枚引く。</t>
  </si>
  <si>
    <t>ジェイスの聖域</t>
  </si>
  <si>
    <t>あなたがインスタント呪文かソーサリー呪文を１つ唱えるたび、占術１を行う。（あなたのライブラリーの一番上のカードを見る。あなたはそのカードをあなたのライブラリーの一番下に置いてもよい。）</t>
  </si>
  <si>
    <t>機械の行進</t>
  </si>
  <si>
    <t>クリーチャーでない各アーティファクトは、パワーとタフネスがそれぞれ点数で見たマナ・コストに等しいアーティファクト・クリーチャーである。（クリーチャーである装備品(Equipment)をクリーチャーに装備することはできない。）</t>
  </si>
  <si>
    <t>不同の力線</t>
  </si>
  <si>
    <t>不同の力線があなたのゲーム開始時の手札にある場合、あなたはそれが戦場に出ている状態でゲームを始めてもよい。</t>
  </si>
  <si>
    <t>すべての土地でないパーマネントは、伝説である。</t>
  </si>
  <si>
    <t>ズアーの運命支配</t>
  </si>
  <si>
    <t>プレイヤーは自分の手札を公開した状態でプレイする。</t>
  </si>
  <si>
    <t>プレイヤー１人がカードを１枚引く場合、代わりにそのプレイヤーはそれを公開する。その後、他のプレイヤーは２点のライフを支払ってもよい。いずれか１人のプレイヤーがそうした場合、そのカードをオーナーの墓地に置く。そうでない場合、そのプレイヤーはそのカードを引く。</t>
  </si>
  <si>
    <t>同族の呼び声</t>
  </si>
  <si>
    <t>あなたのアップキープの開始時に、あなたはあなたのライブラリーの一番上から５枚のカードを見てもよい。そうした場合、それらの中からエンチャントされているクリーチャーと共通のクリーチャー・タイプを持つクリーチャー・カードを１枚、戦場に出してもよい。その後、それらの残りのカードをあなたのライブラリーの一番下に望む順番で置く。</t>
  </si>
  <si>
    <t>多相の戦士の真髄</t>
  </si>
  <si>
    <t>各対戦相手のアップキープの開始時に、そのプレイヤーは自分のライブラリーの一番上のカードを公開する。それがクリーチャー・カードである場合、そのプレイヤーはそのカードを自分の墓地に置き、多相の戦士の真髄はそのカードのコピーになる。（そうした場合、それはこの能力を失う。）</t>
  </si>
  <si>
    <t>アンティキティー戦争</t>
  </si>
  <si>
    <t>I,II ― あなたのライブラリーの一番上からカードを５枚見る。あなたはその中からアーティファクト・カード１枚を公開してあなたの手札に加えてもよい。残りをあなたのライブラリーの一番下に無作為の順番で置く。</t>
  </si>
  <si>
    <t>III ― ターン終了時まで、あなたがコントロールしているアーティファクトは基本のパワーとタフネスが5/5のアーティファクト・クリーチャーになる。</t>
  </si>
  <si>
    <t>ついえし希望</t>
  </si>
  <si>
    <t>各プレイヤーのアップキープの開始時に、そのプレイヤーは自分がコントロールするクリーチャーを１体、オーナーの手札に戻す。</t>
  </si>
  <si>
    <t>プリズム結界</t>
  </si>
  <si>
    <t>収斂 ― プリズム結界は、これを唱えるために支払われたマナの色１色につき、水晶(crystal)カウンターが１個置かれた状態で戦場に出る。</t>
  </si>
  <si>
    <t>プリズム結界から水晶カウンターを１個取り除く：クリーチャー１体を対象とし、それをタップする。</t>
  </si>
  <si>
    <t>(W)(U)(B)(R)(G)：占術３を行う。（あなたのライブラリーの一番上から３枚のカードを見て、そのうちの望む枚数のカードを望む順番であなたのライブラリーの一番下に置き、残りを望む順番で一番上に置く。）</t>
  </si>
  <si>
    <t>秘儀の打ち合い</t>
  </si>
  <si>
    <t>インスタント呪文とソーサリー呪文は、それを唱えるためのコストが(２)少なくなる。</t>
  </si>
  <si>
    <t>機知の戦い</t>
  </si>
  <si>
    <t>あなたのアップキープの開始時に、あなたのライブラリーに２００枚以上のカードがある場合、あなたはこのゲームに勝利する。</t>
  </si>
  <si>
    <t>市内捜査</t>
  </si>
  <si>
    <t>市内捜査が戦場に出たとき、あなたのライブラリーの一番上から５枚のカードを追放する。</t>
  </si>
  <si>
    <t>あなたがその追放したカードのうちの１枚と同じ名前を持つカードを１枚プレイするたび、あなたはこれにより追放されているその名前のカードをオーナーの手札に加えてもよい。その後、市内捜査によって追放されているカードがない場合、これを生け贄に捧げる。そうした場合、このターンの後に追加の１ターンを得る。</t>
  </si>
  <si>
    <t>悠長な再構築</t>
  </si>
  <si>
    <t>あなたのアップキープの開始時に、対戦相手１人を対象とする。そのプレイヤーは、自分のライブラリーの一番上からカードを３枚自分の墓地に置く。その後、あなたはこれにより墓地に置かれた土地カード１枚につきカードを１枚引く。</t>
  </si>
  <si>
    <t>分かち合う運命</t>
  </si>
  <si>
    <t>プレイヤー１人がカードを引く場合、代わりにそのプレイヤーは自分の対戦相手のうち１人のライブラリーの一番上のカードを裏向きのまま追放する。</t>
  </si>
  <si>
    <t>各プレイヤーは、分かち合う運命により自分が追放したカードを見てプレイしてもよい。</t>
  </si>
  <si>
    <t>異種移植</t>
  </si>
  <si>
    <t>異種移植が戦場に出るに際し、クリーチャー・タイプを１つ選ぶ。</t>
  </si>
  <si>
    <t>あなたがコントロールする各クリーチャーは、それの他のタイプに加えてその選ばれたタイプである。</t>
  </si>
  <si>
    <t>こだまの呪い</t>
  </si>
  <si>
    <t>エンチャントされているプレイヤーがインスタント呪文かソーサリー呪文を１つ唱えるたび、他の各プレイヤーはその呪文をコピーしてもよいとともに、自分がコントロールするそのコピーの新たな対象を選んでもよい。</t>
  </si>
  <si>
    <t>重力の変容</t>
  </si>
  <si>
    <t>飛行を持つクリーチャーは+2/+0の修整を受ける。</t>
  </si>
  <si>
    <t>飛行を持たないクリーチャーは-2/-0の修整を受ける。</t>
  </si>
  <si>
    <t>厄介なキマイラ</t>
  </si>
  <si>
    <t>対戦相手１人が呪文を１つ唱えるたび、あなたは厄介なキマイラとその呪文とのコントロールを交換してもよい。そうしたなら、あなたはその呪文の新しい対象を選んでもよい。（その呪文がパーマネントとなったなら、あなたがそのパーマネントをコントロールする。）</t>
  </si>
  <si>
    <t>呪文織りの渦巻</t>
  </si>
  <si>
    <t>エンチャント（いずれかの墓地にあるインスタント・カード）</t>
  </si>
  <si>
    <t>あなたがソーサリー呪文を唱えるたび、エンチャントされているインスタント・カードをコピーする。あなたはそのコピーを、そのマナ・コストを支払うことなく唱えてもよい。そうした場合、エンチャントされているカードを追放し、呪文織りの渦巻をいずれかの墓地にある他のインスタント・カードにつける。</t>
  </si>
  <si>
    <t>ミラーリ予想</t>
  </si>
  <si>
    <t>I ― あなたの墓地からインスタント・カード１枚を対象とし、それをあなたの手札に戻す。</t>
  </si>
  <si>
    <t>II ― あなたの墓地からソーサリー・カード１枚を対象とし、それをあなたの手札に戻す。</t>
  </si>
  <si>
    <t>III ― ターン終了時まで、あなたがインスタントかソーサリーである呪文を唱えるたび、それをコピーする。あなたはそのコピーの新しい対象を選んでもよい。</t>
  </si>
  <si>
    <t>追われる足跡</t>
  </si>
  <si>
    <t>あなたのアップキープの開始時に、エンチャントされているクリーチャーのコピーであるクリーチャー・トークンを１体生成する。</t>
  </si>
  <si>
    <t>容赦無い潮流</t>
  </si>
  <si>
    <t>あなたが呪文を１つ唱えるたび、増殖を行う。（あなたはカウンターの置かれているパーマネントやプレイヤーを望む数だけ選び、その後それぞれに、その上に置かれているカウンターのうち１種類を１個置く。）</t>
  </si>
  <si>
    <t>錯覚の利得</t>
  </si>
  <si>
    <t>クリーチャーが１体対戦相手のコントロール下で戦場に出るたび、そのクリーチャーに錯覚の利得をつける。</t>
  </si>
  <si>
    <t>卑怯</t>
  </si>
  <si>
    <t>クリーチャーが呪文や能力の対象になるたび、そのクリーチャーをオーナーの手札に戻す。</t>
  </si>
  <si>
    <t>夢のつなぎ紐</t>
  </si>
  <si>
    <t>あなたがこの呪文を唱えるに際し、あなたはこの呪文の対象としてアンタップ状態のパーマネントを選ぶことはできない。</t>
  </si>
  <si>
    <t>瀬戸際からの帰還</t>
  </si>
  <si>
    <t>あなたの墓地にあるクリーチャー・カードを１枚追放し、それのマナ・コストを支払う：そのカードのコピーであるトークンを１体生成する。この能力は、あなたがソーサリーを唱えられるときにのみ起動できる。</t>
  </si>
  <si>
    <t>無限反射</t>
  </si>
  <si>
    <t>無限反射がクリーチャーにつけられた状態で戦場に出たとき、あなたがコントロールする他のトークンでないクリーチャーはそのクリーチャーのコピーになる。</t>
  </si>
  <si>
    <t>あなたがコントロールするトークンでないクリーチャーは、エンチャントされているクリーチャーのコピーとして戦場に出る。</t>
  </si>
  <si>
    <t>解放された精神</t>
  </si>
  <si>
    <t>あなたのアップキープの開始時に、解放された精神の上に伝承(lore)カウンターを１個置き、その後、解放された精神の上に置かれている伝承カウンター１個につきカードを１枚引く。</t>
  </si>
  <si>
    <t>新たな視点</t>
  </si>
  <si>
    <t>新たな視点が戦場に出たとき、カードを３枚引く。</t>
  </si>
  <si>
    <t>あなたの手札に７枚以上のカードがあるかぎり、あなたはサイクリング・コストを支払うのではなく(０)を支払ってもよい。</t>
  </si>
  <si>
    <t>無理強いた成果</t>
  </si>
  <si>
    <t>対戦相手１人が呪文を唱えるたび、そのプレイヤーはカードを７枚引く。</t>
  </si>
  <si>
    <t>集団意識</t>
  </si>
  <si>
    <t>プレイヤー１人がインスタント呪文かソーサリー呪文を唱えるたび、他の各プレイヤーはその呪文をコピーする。その各プレイヤーは、自分のコピーの新たな対象を選んでもよい。</t>
  </si>
  <si>
    <t>妖術による金</t>
  </si>
  <si>
    <t>あなたのアップキープの開始時に、あなたがオーナーでもコントローラーでもないパーマネント１つを対象とする。あなたはそれと妖術による金のコントロールを交換してもよい。</t>
  </si>
  <si>
    <t>屋根の上の嵐</t>
  </si>
  <si>
    <t>あなたは、あなたが唱えるゾンビ(Zombie)・クリーチャー呪文のマナ・コストを支払うのではなく、(０)を支払ってもよい。</t>
  </si>
  <si>
    <t>大群の諜報</t>
  </si>
  <si>
    <t>(６)(U)</t>
  </si>
  <si>
    <t>あなたがインスタントかソーサリーである呪文を１つ唱えるたび、あなたはその呪文をコピーしてもよい。あなたはそのコピーの新しい対象を選んでもよい。</t>
  </si>
  <si>
    <t>嵐の目</t>
  </si>
  <si>
    <t>プレイヤー１人がインスタント・カードかソーサリー・カードを唱えるたび、それを追放する。その後、そのプレイヤーは嵐の目によって追放された各インスタント・カードと各ソーサリー・カードをコピーする。各コピーについて、そのプレイヤーはそのコピーを、そのマナ・コストを支払うことなく唱えてもよい。</t>
  </si>
  <si>
    <t>夢への放逐</t>
  </si>
  <si>
    <t>あなたの対戦相手がコントロールする各クリーチャーは、それぞれの他のタイプに加えてイリュージョン(Illusion)であり、「このクリーチャーが呪文や能力の対象になったとき、これを生け贄に捧げる。」を持つ。</t>
  </si>
  <si>
    <t>精神の檻、迷心</t>
  </si>
  <si>
    <t>(４)(U)(U)(U)</t>
  </si>
  <si>
    <t>すべてのクリーチャーは-X/-0の修整を受ける。Xは、あなたの手札のカードの枚数である。</t>
  </si>
  <si>
    <t>思考の反射</t>
  </si>
  <si>
    <t>あなたがカードを引く場合、代わりにカードを２枚引く。</t>
  </si>
  <si>
    <t>魂運び</t>
  </si>
  <si>
    <t>不安定性突然変異</t>
  </si>
  <si>
    <t>エンチャントされているクリーチャーのコントローラーのアップキープの開始時に、そのクリーチャーの上に-1/-1カウンターを１個置く。</t>
  </si>
  <si>
    <t>予言により</t>
  </si>
  <si>
    <t>あなたのアップキープの開始時に、予言によりに上に時間(time)カウンターを１個置く。</t>
  </si>
  <si>
    <t>毎ターン１回、あなたは点数で見たマナ・コストがＸ以下の呪文１つを、それのマナ・コストではなく(０)を支払って唱えてもよい。Ｘは、予言によりの上に置かれている時間カウンターの総数に等しい。</t>
  </si>
  <si>
    <t>海の神、タッサ</t>
  </si>
  <si>
    <t>あなたの青への信心が５未満であるかぎり、海の神、タッサはクリーチャーではない。（あなたの青への信心は、あなたがコントロールするパーマネントのマナ・コストに含まれる(U)の数に等しい。）</t>
  </si>
  <si>
    <t>あなたのアップキープの開始時に占術１を行う。</t>
  </si>
  <si>
    <t>(１)(U)：あなたがコントロールするクリーチャー１体を対象とする。このターン、それはブロックされない。</t>
  </si>
  <si>
    <t>_5/5</t>
  </si>
  <si>
    <t>機械化製法</t>
  </si>
  <si>
    <t>エンチャント（あなたがコントロールするアーティファクト）</t>
  </si>
  <si>
    <t>あなたのアップキープの開始時に、エンチャントされているアーティファクトのコピーであるトークンを１つ生成する。その後、あなたが互いに同じ名前を持つアーティファクトを８つ以上コントロールしているなら、あなたはこのゲームに勝利する。</t>
  </si>
  <si>
    <t>機械医学的召喚</t>
  </si>
  <si>
    <t>あなたがインスタント呪文かソーサリー呪文を１つ唱えるたび、無色のX/Xの構築物(Construct)アーティファクト・クリーチャー・トークンを１体生成する。Ｘは、その呪文の点数で見たマナ・コストに等しい。</t>
  </si>
  <si>
    <t>(３)(U)(U),機械医学的召喚を追放する：あなたの墓地からすべてのインスタント・カードとソーサリー・カードをあなたの手札に戻す。この能力は、あなたがアーティファクトを６つ以上コントロールしているときにのみ起動できる。</t>
  </si>
  <si>
    <t>意識の拡張</t>
  </si>
  <si>
    <t>対戦相手１人が各ターンの自分の１つ目の呪文を唱えるたび、そのプレイヤーは自分のライブラリーの一番上のカードを追放する。それが土地でないカードであるなら、あなたはそれをそのマナ・コストを支払うことなく唱えてもよい。</t>
  </si>
  <si>
    <t>時を越えた詠唱</t>
  </si>
  <si>
    <t>あなたがコントロールするインスタント呪文とソーサリー呪文は反復を持つ。（その呪文があなたの手札から唱えられたなら、それの解決に際し、それを追放する。あなたの次のアップキープの開始時に、あなたはそのカードを追放領域からそのマナ・コストを支払うことなく唱えてもよい。）</t>
  </si>
  <si>
    <t>全知</t>
  </si>
  <si>
    <t>(７)(U)(U)(U)</t>
  </si>
  <si>
    <t>あなたは、あなたの手札から呪文を、それらのマナ・コストを支払うことなく唱えてもよい。</t>
  </si>
  <si>
    <t>祖先の幻視</t>
  </si>
  <si>
    <t>待機４ ― (U)（このカードをあなたの手札から唱えるのではなく、(U)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t>
  </si>
  <si>
    <t>プレイヤー１人を対象とする。そのプレイヤーはカードを３枚引く。</t>
  </si>
  <si>
    <t>特質改竄</t>
  </si>
  <si>
    <t>パーマネント１つを対象とする。ターン終了時まで、それに書かれた色を表す言葉１種類をすべて別な色に書き換えるか、基本土地タイプ１種類をすべて別な基本土地タイプに書き換える。</t>
  </si>
  <si>
    <t>高まる混乱</t>
  </si>
  <si>
    <t>プレイヤー１人を対象とする。そのプレイヤーは、自分のライブラリーの一番上からＸ枚のカードを自分の墓地に置く。高まる混乱が墓地から唱えられた場合、代わりにそのプレイヤーはその２倍のカードを自分の墓地に置く。</t>
  </si>
  <si>
    <t>フラッシュバック(Ｘ)(U)（あなたはあなたの墓地にあるこのカードを、そのフラッシュバック・コストで唱えてもよい。その後それを追放する。）</t>
  </si>
  <si>
    <t>変位の波</t>
  </si>
  <si>
    <t>点数で見たマナ・コストがＸ以下のすべての土地でないパーマネントをオーナーの手札に戻す。</t>
  </si>
  <si>
    <t>思考の泉</t>
  </si>
  <si>
    <t>カードをＸ枚引く。</t>
  </si>
  <si>
    <t>幻惑の旋律</t>
  </si>
  <si>
    <t>点数で見たマナ・コストがＸのクリーチャー１体を対象とし、それのコントロールを得る。</t>
  </si>
  <si>
    <t>作り直し</t>
  </si>
  <si>
    <t>作り直しを唱えるための追加コストとして、アーティファクトを１つ生け贄に捧げる。</t>
  </si>
  <si>
    <t>あなたのライブラリーから、点数で見たマナ・コストがＸ以下であるアーティファクト・カードを１枚探し、それを戦場に出す。その後あなたのライブラリーを切り直す。</t>
  </si>
  <si>
    <t>豚の呪い</t>
  </si>
  <si>
    <t>クリーチャーＸ体を対象とし、それを追放する。これにより追放されたクリーチャー１体につき、そのコントローラーは緑の2/2の猪(Boar)クリーチャー・トークンを１体生成する。</t>
  </si>
  <si>
    <t>永遠の刻</t>
  </si>
  <si>
    <t>(Ｘ)(Ｘ)(U)(U)(U)</t>
  </si>
  <si>
    <t>あなたの墓地からクリーチャー・カードＸ枚を対象とし、それらを追放する。これにより追放されたカード１枚につき、黒の4/4のゾンビ(Zombie)であることを除きそのカードのコピーであるトークンを１体生成する。</t>
  </si>
  <si>
    <t>正気の削り落し</t>
  </si>
  <si>
    <t>(U)(U)(U)</t>
  </si>
  <si>
    <t>彩色 ― 対戦相手１人を対象とする。あなたのライブラリーのカードを上から１０枚公開する。公開されたカードのマナ・コストに含まれる青マナ・シンボル１つにつき、そのプレイヤーは自分のライブラリーの一番上のカードを自分の墓地に置く。その後、この方法であなたが公開したカードをあなたのライブラリーの一番下に望む順番で置く。</t>
  </si>
  <si>
    <t>久遠の闇からの誘引</t>
  </si>
  <si>
    <t>あなたはゲームの外部か追放領域にある、あなたがオーナーであるエルドラージ(Eldrazi)・カード１枚を選んでもよい。そうしたなら、それを公開してあなたの手札に加える。</t>
  </si>
  <si>
    <t>分裂の操作</t>
  </si>
  <si>
    <t>あなたのライブラリーの一番上から７枚のカードを見る。あなたはそれらのカードのうち１枚を、それがいずれかのパーマネントと同じ名前を持つ場合、戦場に出してもよい。残りのをあなたのライブラリーの一番下に望む順番で置く。</t>
  </si>
  <si>
    <t>瞬間の味わい</t>
  </si>
  <si>
    <t>このターンに続いて追加の１ターンを行う。そのターンのアンタップ・ステップを飛ばす。</t>
  </si>
  <si>
    <t>ケフネト最後の言葉</t>
  </si>
  <si>
    <t>アーティファクト１つかクリーチャー１体かエンチャント１つを対象とし、それのコントロールを得る。あなたがコントロールする土地は、あなたの次のアンタップ・ステップにアンタップしない。</t>
  </si>
  <si>
    <t>複写作成</t>
  </si>
  <si>
    <t>複製(３)(U)（あなたがこの呪文を唱えるとき、あなたがその複製コストを支払った回数１回につき、それをコピーする。あなたはそのコピーの新しい対象を選んでもよい。）</t>
  </si>
  <si>
    <t>対戦相手１人がコントロールするパーマネント１つを対象とする。そのプレイヤーのライブラリーから、それと同じ名前を持つカードを１枚探し、それをあなたのコントロール下で戦場に出す。その後そのプレイヤーは自分のライブラリーを切り直す。</t>
  </si>
  <si>
    <t>教団の歓迎</t>
  </si>
  <si>
    <t>マッドネス(Ｘ)(U)(U)（あなたがこのカードを捨てるなら、これを追放領域に捨てる。あなたがそうしたとき、マッドネス・コストでこれを唱えるか、これをあなたの墓地に置く。）</t>
  </si>
  <si>
    <t>クリーチャー１体を対象とする。そのクリーチャーのタフネスが２以下であるなら、それのコントロールを得る。教団の歓迎のマッドネス・コストが支払われていたなら、代わりに、そのクリーチャーのタフネスがＸ以下であるなら、それのコントロールを得る。</t>
  </si>
  <si>
    <t>選り抜きの記憶</t>
  </si>
  <si>
    <t>あなたのライブラリーから土地でないカードを望む枚数探し、それらを追放する。その後、あなたのライブラリーを切り直す。</t>
  </si>
  <si>
    <t>圧倒的な波</t>
  </si>
  <si>
    <t>クラーケン(Kraken)、リバイアサン(Leviathan)、タコ(Octopus)、海蛇(Serpent)以外のすべてのクリーチャーをオーナーの手札に戻す。</t>
  </si>
  <si>
    <t>遥かなる記憶</t>
  </si>
  <si>
    <t>あなたのライブラリーからカードを１枚探し、それを追放する。その後、あなたのライブラリーを切り直す。いずれの対戦相手も「あなたはそのカードをあなたの手札に加える」ことを選んでもよい。いずれのプレイヤーもそうしなかった場合、あなたはカードを３枚引く。</t>
  </si>
  <si>
    <t>テレパスの才能</t>
  </si>
  <si>
    <t>対戦相手１人を対象とする。そのプレイヤーは自分のライブラリーの一番上から７枚のカードを公開する。あなたはその中にあるインスタント・カードかソーサリー・カード１枚を、そのマナ・コストを支払うことなく唱えてもよい。その後、そのプレイヤーは残りのカードを自分の墓地に置く。</t>
  </si>
  <si>
    <t>魔巧 ― あなたの墓地にインスタント・カードやソーサリー・カードが合わせて２枚以上あるなら、あなたは公開されたインスタント・カードやソーサリー・カードを１枚の代わりに最大２枚まで唱えてもよい。</t>
  </si>
  <si>
    <t>機械と共に</t>
  </si>
  <si>
    <t>あなたがコントロールしているアーティファクトの点数で見たマナ・コストのうちで最も大きいものに等しい枚数のカードを引く。</t>
  </si>
  <si>
    <t>複製の儀式</t>
  </si>
  <si>
    <t>キッカー(５)（あなたがこの呪文を唱えるに際し、あなたは追加の(５)を支払ってもよい。）</t>
  </si>
  <si>
    <t>クリーチャー１体を対象とする。それのコピーであるトークンを１体生成する。複製の儀式がキッカーされていた場合、代わりにそのトークンを５体生成する。</t>
  </si>
  <si>
    <t>変身</t>
  </si>
  <si>
    <t>クリーチャー１体を対象とし、それを破壊する。それは再生できない。それのコントローラーは、自分のライブラリーを、クリーチャー・カードが公開されるまで上から１枚ずつ公開し続ける。そのプレイヤーはそのカードを戦場に出し、その後、これにより公開された他のすべてのカードを自分のライブラリーに加えて切り直す。</t>
  </si>
  <si>
    <t>新たな造形</t>
  </si>
  <si>
    <t>アーティファクト１つを対象とする。それのコントローラーはそれを生け贄に捧げる。その後、そのプレイヤーは自分のライブラリーのカードを一番上からアーティファクト・カードが公開されるまで公開する。そのプレイヤーはそのカードを戦場に出し、その後、これにより公開された他のすべてのカードを自分のライブラリーに加えて切り直す。</t>
  </si>
  <si>
    <t>悪名高き群れ</t>
  </si>
  <si>
    <t>盗品</t>
  </si>
  <si>
    <t>対戦相手１人を対象とする。そのプレイヤーは自分が土地でないカードを追放するまで、自分のライブラリーの一番上のカードを追放し続ける。ターン終了時まで、あなたはそのカードをそのマナ・コストを支払うことなく唱えてもよい。</t>
  </si>
  <si>
    <t>夢への帰着</t>
  </si>
  <si>
    <t>すべてのアーティファクトとすべてのエンチャントをオーナーの手札に戻す。</t>
  </si>
  <si>
    <t>テレミンの演技</t>
  </si>
  <si>
    <t>対戦相手１人を対象とする。そのプレイヤーは自分のライブラリーを一番上から、クリーチャー・カードが公開されるまで公開し続ける。そのプレイヤーは、これにより公開されたクリーチャーでないすべてのカードを自分の墓地に置き、その後、そのクリーチャー・カードをあなたのコントロール下で戦場に出す。</t>
  </si>
  <si>
    <t>袖の下</t>
  </si>
  <si>
    <t>対戦相手１人を対象とする。そのプレイヤーのライブラリーから、クリーチャー・カードを１枚探し、それをあなたのコントロール下で戦場に出す。その後そのプレイヤーは自分のライブラリーを切り直す。</t>
  </si>
  <si>
    <t>心の傷跡</t>
  </si>
  <si>
    <t>プレイヤー１人を対象とする。そのプレイヤーは、自分のライブラリーの一番上から端数を切り捨てた半分を自分の墓地に置く。</t>
  </si>
  <si>
    <t>壊滅的大潮</t>
  </si>
  <si>
    <t>すべての土地でないパーマネントをオーナーの手札に戻す。</t>
  </si>
  <si>
    <t>奇跡(１)(U)（あなたがこのカードを引いたとき、これがこのターンに最初に引いたカードだった場合、あなたはこれの奇跡コストを支払うことでこれを唱えてもよい。）</t>
  </si>
  <si>
    <t>ウギンの洞察力</t>
  </si>
  <si>
    <t>占術Ｘを行う。Ｘは、あなたがコントロールするパーマネントの点数で見たマナ・コストの中で最も大きいものに等しい。その後、カードを３枚引く。</t>
  </si>
  <si>
    <t>精神の誓約</t>
  </si>
  <si>
    <t>対戦相手１人を対象とする。あなたのライブラリーのカードを上から３枚公開する。そのプレイヤーは、それらのカードをあなたの手札に加えることを選んでもよい。そうしなかったなら、それらのカードをあなたの墓地に置き、カードを５枚引く。</t>
  </si>
  <si>
    <t>慮外な押収</t>
  </si>
  <si>
    <t>アーティファクト１つかクリーチャー１体を対象とする。あなたは(Ｅ)(Ｅ)(Ｅ)(Ｅ)（エネルギー・カウンター４個）を得る。その後あなたは、そのパーマネントの点数で見たマナ・コストに等しい数の(Ｅ)を支払ってもよい。そうしたなら、それのコントロールを得る。</t>
  </si>
  <si>
    <t>深水の底引き</t>
  </si>
  <si>
    <t>あなたのライブラリーの一番上のカードを、土地でないカードが３枚公開されるまで公開する。これにより公開された、その土地でないカードをあなたの手札に加え、その後公開されたカードの残りをあなたのライブラリーの一番下に望む順番で置く。</t>
  </si>
  <si>
    <t>影響力の行使</t>
  </si>
  <si>
    <t>収斂 ― クリーチャー１体を対象とする。それのパワーが、影響力の行使を唱えるために支払われたマナの色の総数以下であるなら、それのコントロールを得る。</t>
  </si>
  <si>
    <t>接収</t>
  </si>
  <si>
    <t>対戦相手１人を対象とする。そのプレイヤーのライブラリーからアーティファクト・カードを１枚探し、それをあなたのコントロール下で戦場に出す。その後そのプレイヤーは自分のライブラリーを切り直す。</t>
  </si>
  <si>
    <t>呑み込む水流</t>
  </si>
  <si>
    <t>あなたのライブラリーやあなたの墓地から《巧妙な精神魔道士、ジェイス/Jace, Ingenious Mind-Mage》という名前のカード１枚を探し、それを公開してあなたの手札に加える。これによりあなたのライブラリーからカードを探したなら、あなたのライブラリーを切り直す。</t>
  </si>
  <si>
    <t>バラルの巧技</t>
  </si>
  <si>
    <t>アーティファクトやクリーチャーを最大３つ対象とし、それらをオーナーの手札に戻す。</t>
  </si>
  <si>
    <t>あなたは、あなたの手札から点数で見たマナ・コストが４以下のカード１枚を、そのマナ・コストを支払うことなく唱えてもよい。</t>
  </si>
  <si>
    <t>力の均衡</t>
  </si>
  <si>
    <t>対戦相手１人を対象とする。そのプレイヤーの手札があなたより多い場合、その差に等しい枚数のカードを引く。</t>
  </si>
  <si>
    <t>サヒーリの芸術</t>
  </si>
  <si>
    <t>・アーティファクト１つを対象とし、それのコピーであるトークンを１つ生成する。</t>
  </si>
  <si>
    <t>・クリーチャー１体を対象とし、それの他のタイプに加えてアーティファクトであることを除きそれのコピーであるトークンを１体生成する。</t>
  </si>
  <si>
    <t>川の叱責</t>
  </si>
  <si>
    <t>プレイヤー１人を対象とし、そのプレイヤーがコントロールしている土地でないパーマネントをすべてオーナーの手札に戻す。</t>
  </si>
  <si>
    <t>ギルド無き統治</t>
  </si>
  <si>
    <t>単色のクリーチャー１体を対象とし、そのコントロールを得る。</t>
  </si>
  <si>
    <t>予見 ― (１)(U),あなたの手札からギルド無き統治を公開する：クリーチャー１体を対象とする。それはターン終了時まで、あなたが選んだ色１色か色の組み合わせになる。（この能力は、あなたのアップキープの間にのみ、各ターンに１回のみ起動できる。）</t>
  </si>
  <si>
    <t>集団変身</t>
  </si>
  <si>
    <t>あなたがコントロールするすべてのクリーチャーを追放する。その後、あなたのライブラリーの一番上のカードを、その数に等しい枚数のクリーチャー・カードが公開されるまで公開する。これにより公開されたすべてのクリーチャー・カードを戦場に出し、その後、公開された残りのカードをあなたのライブラリーに加えて切り直す。</t>
  </si>
  <si>
    <t>身分詐称</t>
  </si>
  <si>
    <t>アーティファクト１つかクリーチャー１体を対象とし、それのコピーであるトークンを１つ生成する。</t>
  </si>
  <si>
    <t>繰り返すひらめき</t>
  </si>
  <si>
    <t>対戦相手１人を対象とする。そのプレイヤーの手札にあるカードの枚数に等しい枚数のカードを引く。</t>
  </si>
  <si>
    <t>水浸し</t>
  </si>
  <si>
    <t>すべての青でないクリーチャーをそれらのオーナーの手札に戻す。</t>
  </si>
  <si>
    <t>呪文ねじり</t>
  </si>
  <si>
    <t>あなたの墓地にあるインスタント・カード１枚かソーサリー・カード１枚と、対戦相手１人の墓地にあるインスタント・カード１枚かソーサリー・カード１枚を対象とし、それらを追放する。それらのカードをコピーする。可能ならばそれらのコピーをそのマナ・コストを支払うことなく唱える。呪文ねじりを追放する。</t>
  </si>
  <si>
    <t>視野狭窄</t>
  </si>
  <si>
    <t>カード名を１つ選ぶ。プレイヤー１人を対象とする。そのプレイヤーは自分のライブラリーを、その名前のカードが公開されるまで上から１枚ずつ公開する。そのカードが公開されたなら、そのプレイヤーは公開された残りのカードを自分の墓地に置き、その選ばれた名前のカードを自分のライブラリーの一番上に置く。そうでないなら、そのプレイヤーは自分のライブラリーを切り直す。</t>
  </si>
  <si>
    <t>永劫での歩み</t>
  </si>
  <si>
    <t>バイバック ― 島(Island)を３つ生け贄に捧げる。（あなたはこの呪文を唱えるに際し、他のコストに加えて島を３つ生け贄に捧げてもよい。そうした場合、その解決に際し、このカードをあなたの手札に加える。）</t>
  </si>
  <si>
    <t>プレイヤー１人を対象とする。そのプレイヤーはこのターンに続いて追加の１ターンを行う。</t>
  </si>
  <si>
    <t>カーンの経時隔離</t>
  </si>
  <si>
    <t>プレイヤー１人と土地でないパーマネント最大１つを対象とする。そのプレイヤーは、このターンの後に追加の１ターンを得る。そのパーマネントをオーナーの手札に戻す。カーンの経時隔離を追放する。</t>
  </si>
  <si>
    <t>知識の搾取</t>
  </si>
  <si>
    <t>時間の滝</t>
  </si>
  <si>
    <t>・各プレイヤーは、自分の手札と墓地を自分のライブラリーに加えて切り直す。</t>
  </si>
  <si>
    <t>・各プレイヤーはカードを７枚引く。</t>
  </si>
  <si>
    <t>明日の標</t>
  </si>
  <si>
    <t>(６)(U)(U)</t>
  </si>
  <si>
    <t>プレイヤー１人を対象とする。そのプレイヤーは、このターンに続いて追加の１ターンを行う。明日の標をオーナーのライブラリーに加えて切り直す。</t>
  </si>
  <si>
    <t>裂断術</t>
  </si>
  <si>
    <t>(７)(U)(U)</t>
  </si>
  <si>
    <t>対戦相手１人を対象とする。そのプレイヤーがコントロールするタップ状態の土地でないパーマネント１つにつき、そのプレイヤーのライブラリーからそのパーマネントと同じ名前を持つカードを１枚探し、それをあなたのコントロール下で戦場に出す。その後、そのプレイヤーは自分のライブラリーを切り直す。</t>
  </si>
  <si>
    <t>待機３ ― (１)(U)(U)（このカードをあなたの手札から唱えるのではなく、(U)を支払うとともにそれを時間(time)カウンターが３個置かれた状態で追放する。あなたのアップキープの開始時に、時間カウンターを１個取り除く。最後の１個を取り除いたとき、それをそのマナ・コストを支払うことなく唱える。）</t>
  </si>
  <si>
    <t>星の揺らぎ</t>
  </si>
  <si>
    <t>(８)(U)(U)</t>
  </si>
  <si>
    <t>各プレイヤーは自分がオーナーである手札、墓地、パーマネントを自分のライブラリーに加えて切り直す。その後カードを７枚引く。各プレイヤーの総ライフは７になる。</t>
  </si>
  <si>
    <t>時間の伸長</t>
  </si>
  <si>
    <t>プレイヤー１人を対象とする。そのプレイヤーは、このターンの後に追加の２ターンを行う。</t>
  </si>
  <si>
    <t>永遠の統制</t>
  </si>
  <si>
    <t>対戦相手１人を対象とする。そのプレイヤーのライブラリーから、アーティファクト・カードかクリーチャー・カードかエンチャント・カードか土地カードを１枚探す。そのカードをあなたのコントロール下で戦場に出す。その後そのプレイヤーは自分のライブラリーを切り直す。</t>
  </si>
  <si>
    <t>一日のやり直し</t>
  </si>
  <si>
    <t>各プレイヤーはそれぞれ、自分の手札と墓地を自分のライブラリーに加えて切り直し、その後カードを７枚引く。あなたのターンであるなら、ターンを終了する。（このカードを含め、スタック領域にある呪文や能力をすべて追放する。あなたの手札の最大枚数になるまで手札を捨てる。ダメージは消え、「このターン」と「ターン終了時まで」の効果は終わる。）</t>
  </si>
  <si>
    <t>対戦相手１人を対象とする。そのプレイヤーは、自分のライブラリーの一番上から１３枚のカードを自分の墓地に置く。</t>
  </si>
  <si>
    <t>(３)(U)(U)：あなたの墓地から驚恐の目覚めを変身させた状態で戦場に出す。この能力は、あなたがソーサリーを唱えられるときにのみ起動できる。</t>
  </si>
  <si>
    <t>絶え間ない悪夢がプレイヤー１人に戦闘ダメージを与えたとき、これをオーナーの手札に戻す。</t>
  </si>
  <si>
    <t>時の逆転</t>
  </si>
  <si>
    <t>各プレイヤーは、自分の手札と墓地を自分のライブラリーに加えて切り直し、その後カードを７枚引く。時の逆転を追放する。</t>
  </si>
  <si>
    <t>時間のねじれ</t>
  </si>
  <si>
    <t>水の帳の分離</t>
  </si>
  <si>
    <t>このターンに続いて追加の１ターンを行う。水の帳の分離を追放する。</t>
  </si>
  <si>
    <t>覚醒６ ― (６)(U)(U)(U)（この呪文を(６)(U)(U)(U)で唱えたなら、加えて、あなたがコントロールする土地１つを対象とする。それの上に+1/+1カウンターを６個置く。それは速攻を持つ0/0のエレメンタル(Elemental)・クリーチャーになる。それは土地でもある。）</t>
  </si>
  <si>
    <t>押し潰す触手</t>
  </si>
  <si>
    <t>怒濤(３)(U)(U)（あなたかチームメイトがこのターンに他の呪文を唱えていたなら、あなたはこの呪文を怒濤コストで唱えてもよい。）</t>
  </si>
  <si>
    <t>すべての土地でないパーマネントをオーナーの手札に戻す。押し潰す触手の怒濤コストが支払われていたなら、青の8/8のタコ(Octopus)・クリーチャー・トークンを１体生成する。</t>
  </si>
  <si>
    <t>溢れ出る洞察</t>
  </si>
  <si>
    <t>プレイヤー１人を対象とする。そのプレイヤーはカードを７枚引く。</t>
  </si>
  <si>
    <t>時間の熟達</t>
  </si>
  <si>
    <t>このターンの後に追加の１ターンを行う。時間の熟達を追放する。</t>
  </si>
  <si>
    <t>クローンの軍勢</t>
  </si>
  <si>
    <t>プレイヤー１人を対象とする。そのプレイヤーがコントロールするクリーチャー１体につき、あなたはそのクリーチャーのコピーであるトークンを１体生成する。</t>
  </si>
  <si>
    <t>時間への侵入</t>
  </si>
  <si>
    <t>(８)(U)(U)(U)</t>
  </si>
  <si>
    <t>このターンに続いて追加の１ターンを行う。時間への侵入を追放する。</t>
  </si>
  <si>
    <t>無限への突入</t>
  </si>
  <si>
    <t>(８)(U)(U)(U)(U)</t>
  </si>
  <si>
    <t>あなたのライブラリーにあるカードの枚数と等しい枚数のカードを引く。その後、あなたの手札にあるカードを１枚、あなたのライブラリーの一番上に置く。あなたの次のターンまで、あなたの手札の上限は無くなる。</t>
  </si>
  <si>
    <t>精神壊しの罠</t>
  </si>
  <si>
    <t>このターン、対戦相手１人が３つ以上の呪文を唱えていたなら、あなたはこの呪文のマナ・コストを支払うのではなく(０)を支払ってもよい。</t>
  </si>
  <si>
    <t>望む数の呪文を対象とし、それらを追放する。</t>
  </si>
  <si>
    <t>運命のきずな</t>
  </si>
  <si>
    <t>このターンに続いて追加の１ターンを行う。</t>
  </si>
  <si>
    <t>運命のきずながいずれかの領域から墓地に置かれるなら、代わりに運命のきずなを公開し、オーナーのライブラリーに加えて切り直す。</t>
  </si>
  <si>
    <t>否定の契約</t>
  </si>
  <si>
    <t>あなたの次のアップキープの開始時に(３)(U)(U)を支払う。そうしない場合、あなたはこのゲームに敗北する。</t>
  </si>
  <si>
    <t>撤収</t>
  </si>
  <si>
    <t>あなたがコントロールするすべてのアーティファクトを、オーナーの手札に戻す。</t>
  </si>
  <si>
    <t>拒否</t>
  </si>
  <si>
    <t>呪文１つを対象とする。それを唱えるためにマナが使われていない場合、それを打ち消す。</t>
  </si>
  <si>
    <t>幻覚</t>
  </si>
  <si>
    <t>パーマネント１つを対象とし、それに書かれた色を表す単語１種をすべて別の単語１種類に置き換える。または、基本土地タイプ１種をすべて別の基本土地タイプ１種に置き換える。（例えば、あなたは「黒でないクリーチャー」を「緑でないクリーチャー」に変えたり、「森渡り」を「島渡り」に変えたりできる。この効果は永続する。）</t>
  </si>
  <si>
    <t>急かし</t>
  </si>
  <si>
    <t>このターン、あなたが唱える次のソーサリー・カードは、それが瞬速を持っているかのように唱えられる。（それは、あなたがインスタントを唱えられるときならいつでも唱えることができる。）</t>
  </si>
  <si>
    <t>彼方の映像</t>
  </si>
  <si>
    <t>カードを１枚引く。いずれかの墓地に２０枚以上のカードがある場合、代わりにカードを３枚引く。</t>
  </si>
  <si>
    <t>溺墓での天啓</t>
  </si>
  <si>
    <t>あなたのライブラリーの一番上からＸに１を足した枚数のカードを公開し、それらを２つの束に分ける。対戦相手１人はそのうちの束１つを選ぶ。選ばれた束をあなたの手札に加え、もう一方をあなたの墓地に置く。</t>
  </si>
  <si>
    <t>凍氷破</t>
  </si>
  <si>
    <t>クリーチャーＸ体を対象とし、それらをタップする。</t>
  </si>
  <si>
    <t>獰猛 ― あなたがパワーが４以上のクリーチャーをコントロールしているなら、それらのクリーチャーは、それらのコントローラーの次のアンタップ・ステップにアンタップしない。</t>
  </si>
  <si>
    <t>白鳥の歌</t>
  </si>
  <si>
    <t>エンチャント呪文１つかインスタント呪文１つかソーサリー呪文１つを対象とし、それを打ち消す。それのコントローラーは、飛行を持つ青の2/2の鳥(Bird)クリーチャー・トークンを１体生成する。</t>
  </si>
  <si>
    <t>月の色</t>
  </si>
  <si>
    <t>呪文１つかパーマネント１つを対象とする。その色は無色になる。</t>
  </si>
  <si>
    <t>双つ術</t>
  </si>
  <si>
    <t>インスタント呪文１つかソーサリー呪文１つを対象とし、それをコピーする。あなたはそのコピーの新たな対象を選んでもよい。</t>
  </si>
  <si>
    <t>幽体の変容</t>
  </si>
  <si>
    <t>・呪文１つかパーマネント１つを対象とする。それに書かれた基本土地タイプ１種をすべて別の基本土地タイプ１種に置き換える。（この効果は永続する。）</t>
  </si>
  <si>
    <t>・呪文１つかパーマネント１つを対象とする。それに書かれた色を表す単語１種をすべて別の単語１種類に置き換える。（この効果は永続する。）</t>
  </si>
  <si>
    <t>幻色染め</t>
  </si>
  <si>
    <t>呪文１つかパーマネント１つを対象とする。それに書かれた、色を表す単語１種類をすべて別の色の単語１種類に置き換える。</t>
  </si>
  <si>
    <t>明日からの引き寄せ</t>
  </si>
  <si>
    <t>カードをＸ枚引き、その後カード１枚を捨てる。</t>
  </si>
  <si>
    <t>撹乱する群れ</t>
  </si>
  <si>
    <t>あなたは、この呪文のマナ・コストを支払うのではなく、あなたの手札にある、点数で見たマナ・コストがＸである青のカードを１枚、追放することを選んでもよい。</t>
  </si>
  <si>
    <t>呪文１つを対象とする。その点数で見たマナ・コストがＸであるなら、それを打ち消す。</t>
  </si>
  <si>
    <t>ハーキルの召還術</t>
  </si>
  <si>
    <t>プレイヤー１人を対象とする。そのプレイヤーがオーナーであるすべてのアーティファクトを、そのプレイヤーの手札に戻す。</t>
  </si>
  <si>
    <t>計略縛り</t>
  </si>
  <si>
    <t>起動型能力１つか誘発型能力１つを対象とし、それを打ち消す。これによりパーマネントの能力が打ち消された場合、このターン、そのパーマネントの起動型能力は起動できない。（マナ能力は対象にできない。）</t>
  </si>
  <si>
    <t>移し変え</t>
  </si>
  <si>
    <t>呪文１つを対象とする。あなたはそれの新たな対象を選んでもよい。</t>
  </si>
  <si>
    <t>サイクロンの裂け目</t>
  </si>
  <si>
    <t>あなたがコントロールしていない土地でないパーマネント１つを対象とし、それをオーナーの手札に戻す。</t>
  </si>
  <si>
    <t>超過(６)(U)（あなたはこの呪文をその超過コストで唱えてもよい。そうしたなら、あなたがコントロールしていない土地でない各パーマネントをそれぞれオーナーの手札に戻す。）</t>
  </si>
  <si>
    <t>提督の命令</t>
  </si>
  <si>
    <t>強襲 ― このターンにあなたがクリーチャーで攻撃していたなら、あなたはこの呪文のマナ・コストを支払うのではなく(U)を支払ってもよい。</t>
  </si>
  <si>
    <t>発明品の唸り</t>
  </si>
  <si>
    <t>(Ｘ)(U)(U)(U)</t>
  </si>
  <si>
    <t>あなたのライブラリーから、点数で見たマナ・コストがＸ以下のアーティファクト・カード１枚を探し、それを戦場に出す。その後、あなたのライブラリーを切り直す。</t>
  </si>
  <si>
    <t>大笑いの写し身</t>
  </si>
  <si>
    <t>あなたがコントロールするクリーチャー１体を対象とし、それのコピーであるトークンを１体生成する。</t>
  </si>
  <si>
    <t>フラッシュバック(５)(U)(U)（あなたはあなたの墓地にあるこのカードを、そのフラッシュバック・コストで唱えてもよい。その後それを追放する。）</t>
  </si>
  <si>
    <t>グリッドの脈動</t>
  </si>
  <si>
    <t>カードを２枚引き、その後カードを１枚捨てる。その後対戦相手１人の手札があなたより多い場合、グリッドの脈動をオーナーの手札に戻す。</t>
  </si>
  <si>
    <t>変身体の殺到</t>
  </si>
  <si>
    <t>奮励 ― 変身体の殺到を唱えるためのコストは、２つ目以降の対象１つにつき(１)(U)多くなる。</t>
  </si>
  <si>
    <t>望む数のあなたがコントロールするクリーチャーを対象とする。戦場に出ているクリーチャー１体を選ぶ。それらはそれぞれターン終了時まで選ばれたクリーチャーのコピーになる。</t>
  </si>
  <si>
    <t>不許可</t>
  </si>
  <si>
    <t>呪文１つか起動型能力１つか誘発型能力１つを対象とし、それを打ち消す。（マナ能力は対象にできない。）</t>
  </si>
  <si>
    <t>宿命的心酔</t>
  </si>
  <si>
    <t>あなたがコントロールするクリーチャー１体を対象とし、それのコピーであるトークンを１体生成する。あなたのターンであるなら、占術２を行う。（あなたのライブラリーの一番上から２枚のカードを見て、そのうちの望む枚数のカードを望む順番であなたのライブラリーの一番下に置き、残りを望む順番で一番上に置く。）</t>
  </si>
  <si>
    <t>青の太陽の頂点</t>
  </si>
  <si>
    <t>プレイヤー１人を対象とする。そのプレイヤーはカードをＸ枚引く。青の太陽の頂点をオーナーのライブラリーに加えて切り直す。</t>
  </si>
  <si>
    <t>風への散乱</t>
  </si>
  <si>
    <t>覚醒３ ― (４)(U)(U)（この呪文を(４)(U)(U)で唱えたなら、加えて、あなたがコントロールする土地１つを対象とする。それの上に+1/+1カウンターを３個置く。それは速攻を持つ0/0のエレメンタル(Elemental)・クリーチャーになる。それは土地でもある。）</t>
  </si>
  <si>
    <t>風への放流</t>
  </si>
  <si>
    <t>土地でないパーマネント１つを対象とし、それを追放する。そのカードが追放されて続けているかぎり、それのオーナーはそれをそれのマナ・コストを支払うことなく唱えてもよい。</t>
  </si>
  <si>
    <t>変身術士の戯れ</t>
  </si>
  <si>
    <t>プレイヤー１人を対象とする。ターン終了時まで、そのプレイヤーがコントロールする各クリーチャーはすべての能力を失うとともに基本のパワーとタフネスが1/1の青のカエル(Frog)になる。</t>
  </si>
  <si>
    <t>祝福された転生</t>
  </si>
  <si>
    <t>対戦相手がコントロールするクリーチャー１体を対象とし、それを追放する。そのプレイヤーは自分のライブラリーの一番上から、クリーチャー・カードが公開されるまでカードを公開し続ける。そのプレイヤーはそのカードを戦場に出し、その後、残りを自分のライブラリーに加えて切り直す。</t>
  </si>
  <si>
    <t>盗用</t>
  </si>
  <si>
    <t>プレイヤー１人を対象とする。ターン終了時まで、そのプレイヤーがカードを１枚引く場合、代わりにそのプレイヤーはそのドローを飛ばし、あなたがカードを１枚引く。</t>
  </si>
  <si>
    <t>けちな贈り物</t>
  </si>
  <si>
    <t>対戦相手１人を対象とする。あなたのライブラリーから異なる名前のカードを最大４枚まで探し、それらを公開する。そのプレイヤーはそれらのカードから２枚を選ぶ。選ばれたカードをあなたの墓地に置き、残りをあなたの手札に加える。その後、あなたのライブラリーを切り直す。</t>
  </si>
  <si>
    <t>岸の飲み込み</t>
  </si>
  <si>
    <t>タフネスがあなたのコントロールする島(Island)の総数以下であるクリーチャーをすべてオーナーの手札に戻す。</t>
  </si>
  <si>
    <t>呪文変容</t>
  </si>
  <si>
    <t>インスタント呪文１つかソーサリー呪文１つを対象とし、それを打ち消す。それのコントローラーは自分のライブラリーのカードを、上からインスタント・カードかソーサリー・カードが公開されるまで公開する。そのプレイヤーは、そのカードをそのマナ・コストを支払うことなく唱えてもよい。その後、そのプレイヤーは自分のライブラリーを切り直す。</t>
  </si>
  <si>
    <t>逆説的な結果</t>
  </si>
  <si>
    <t>望む数のあなたがコントロールする土地でもトークンでもないパーマネントを対象とし、それらをオーナーの手札に戻す。これによりあなたの手札に戻されたカード１枚につき、カードを１枚引く。</t>
  </si>
  <si>
    <t>偏向</t>
  </si>
  <si>
    <t>単一の対象を取る呪文１つを対象とし、その対象を変更する。</t>
  </si>
  <si>
    <t>圧倒的な否定</t>
  </si>
  <si>
    <t>怒濤(U)(U)（あなたかチームメイトがこのターンに他の呪文を唱えていたなら、あなたはこの呪文を怒濤コストで唱えてもよい。）</t>
  </si>
  <si>
    <t>圧倒的な否定は呪文や能力によっては打ち消されない。</t>
  </si>
  <si>
    <t>腹黒い意志</t>
  </si>
  <si>
    <t>・呪文１つを対象とし、それを打ち消す。</t>
  </si>
  <si>
    <t>・呪文１つを対象とする。あなたはそれの新しい対象を選んでもよい。</t>
  </si>
  <si>
    <t>・インスタント呪文１つかソーサリー呪文１つを対象とし、それをコピーする。あなたはそのコピーの新しい対象を選んでもよい。</t>
  </si>
  <si>
    <t>暗記</t>
  </si>
  <si>
    <t>呪文１つか土地でないパーマネント１つを対象とし、それをオーナーのライブラリーの一番上から２枚目に置く。</t>
  </si>
  <si>
    <t>記憶</t>
  </si>
  <si>
    <t>各プレイヤーはそれぞれ、自分の手札と墓地を自分のライブラリーに加えて切り直し、その後カードを７枚引く。</t>
  </si>
  <si>
    <t>帷の切断</t>
  </si>
  <si>
    <t>あなたがコントロールするすべてのクリーチャーをオーナーの手札に戻す。</t>
  </si>
  <si>
    <t>即時却下</t>
  </si>
  <si>
    <t>他のすべての呪文を追放し、すべての能力を打ち消す。</t>
  </si>
  <si>
    <t>最後の言葉</t>
  </si>
  <si>
    <t>この呪文は打ち消されない。</t>
  </si>
  <si>
    <t>謎めいた命令</t>
  </si>
  <si>
    <t>(１)(U)(U)(U)</t>
  </si>
  <si>
    <t>・あなたの対戦相手がコントロールするすべてのクリーチャーをタップする。</t>
  </si>
  <si>
    <t>疑惑の裏付け</t>
  </si>
  <si>
    <t>調査を３回行う。（調査を行うとは、「(２),このアーティファクトを生け贄に捧げる：カードを１枚引く。」を持つ無色の手掛かり(Clue)アーティファクト・トークンを１つ生成することである。）</t>
  </si>
  <si>
    <t>霊気渦竜巻</t>
  </si>
  <si>
    <t>攻撃クリーチャー１体につき、それぞれ、オーナーはそれを自分のライブラリーの一番上か一番下に置く。</t>
  </si>
  <si>
    <t>書庫の罠</t>
  </si>
  <si>
    <t>このターン、対戦相手１人が自分のライブラリーを探していた場合、あなたはこの呪文のマナ・コストを支払うのではなく(０)を支払ってもよい。</t>
  </si>
  <si>
    <t>呪文詐欺</t>
  </si>
  <si>
    <t>呪文１つを対象とし、それを打ち消す。無色の宝物(Treasure)アーティファクト・トークンをＸ個生成する。Ｘは、その呪文の点数で見たマナ・コストに等しい。それらは「(Ｔ),このアーティファクトを生け贄に捧げる：あなたのマナ・プールに好きな色１色のマナ１点を加える。」を持つ。</t>
  </si>
  <si>
    <t>脱出</t>
  </si>
  <si>
    <t>すべてのクリーチャーを、オーナーの手札に戻す。</t>
  </si>
  <si>
    <t>呪文穿ち</t>
  </si>
  <si>
    <t>呪文１つを対象とし、それを打ち消す。それのコントローラーの墓地と手札とライブラリーから、その呪文と同じ名前を持つカードをすべて探し、それらを追放する。その後、そのプレイヤーは自分のライブラリーを切り直す。</t>
  </si>
  <si>
    <t>編直し</t>
  </si>
  <si>
    <t>パーマネント１つを対象とする。それのコントローラーはそれを生け贄に捧げる。そのプレイヤーがそうした場合、そのプレイヤーは自分のライブラリーを、生け贄に捧げたパーマネントと共通するカード・タイプを持つパーマネント・カードが公開されるまで上から１枚ずつ公開する。そのカードを戦場に出し、その後自分のライブラリーを切り直す。</t>
  </si>
  <si>
    <t>連繋（秘儀(Arcane)）(２)(U)(U)（あなたが秘儀呪文を唱えるに際し、あなたはこのカードを手札から公開して連繋コストを支払ってもよい。そうした場合、このカードの効果をその呪文に追加する。）</t>
  </si>
  <si>
    <t>対抗激</t>
  </si>
  <si>
    <t>呪文１つを対象とし、それを打ち消す。あなたはあなたの手札にある、その呪文と共通のカード・タイプを持つ土地でないカード１枚を、それのマナ・コストを支払うことなく唱えてもよい。</t>
  </si>
  <si>
    <t>龍王の大権</t>
  </si>
  <si>
    <t>この呪文を唱えるための追加コストとして、あなたの手札にあるドラゴン(Dragon)・カードを１枚公開してもよい。</t>
  </si>
  <si>
    <t>あなたがこの呪文を唱えた時点でドラゴン・カードを公開したかドラゴンをコントロールしていたなら、この呪文は打ち消されない。</t>
  </si>
  <si>
    <t>時間停止</t>
  </si>
  <si>
    <t>ターンを終了する。（このカードを含む、スタック上のすべての呪文と能力を追放する。ターンを進めているプレイヤーは自分の手札のカードを、自分の手札の枚数の最大値になるまで捨てる。ダメージは取り除かれ、「このターン」と「ターン終了時まで」の効果は終了する。）</t>
  </si>
  <si>
    <t>標本集め</t>
  </si>
  <si>
    <t>このターン、クリーチャーが対戦相手のコントロール下で戦場に出る場合、代わりにそれはあなたのコントロール下で戦場に出る。</t>
  </si>
  <si>
    <t>奪取の形態</t>
  </si>
  <si>
    <t>クリーチャー１体を対象とし、それをオーナーの手札に戻す。あなたはそのクリーチャーのコピーであるトークンを１体生成する。</t>
  </si>
  <si>
    <t>徴用</t>
  </si>
  <si>
    <t>あなたは、この呪文のマナ・コストを支払うのではなく、あなたの手札にある青のカード２枚を追放することを選んでもよい。</t>
  </si>
  <si>
    <t>クリーチャーでない呪文１つを対象とし、そのコントロールを得る。あなたはそれの新たな対象を選んでもよい。（その呪文がアーティファクトかエンチャントかプレインズウォーカーである場合、それはあなたのコントロール下で戦場に出る。）</t>
  </si>
  <si>
    <t>時を越えた探索</t>
  </si>
  <si>
    <t>あなたのライブラリーの一番上から７枚のカードを見る。それらのうちの２枚をあなたの手札に加え、残りをあなたのライブラリーの一番下に望む順番で置く。</t>
  </si>
  <si>
    <t>ちらつき蛾の注入</t>
  </si>
  <si>
    <t>(１２)(U)(U)</t>
  </si>
  <si>
    <t>すべてのアーティファクトをアンタップする。</t>
  </si>
  <si>
    <t>ミューズの囁き</t>
  </si>
  <si>
    <t>バイバック(５)（あなたがこの呪文を唱えるに際し、あなたは追加の(５)を支払ってもよい。そうした場合、その解決に際し、このカードをあなたの手札に加える。）</t>
  </si>
  <si>
    <t>心霊破</t>
  </si>
  <si>
    <t>クリーチャー１体かプレイヤー１人を対象とする。心霊破はそれに４点のダメージを与え、あなたに２点のダメージを与える。</t>
  </si>
  <si>
    <t>E</t>
  </si>
  <si>
    <t>T</t>
    <phoneticPr fontId="1"/>
  </si>
  <si>
    <t>M</t>
    <phoneticPr fontId="1"/>
  </si>
  <si>
    <t>T</t>
    <phoneticPr fontId="1"/>
  </si>
  <si>
    <t>不快な再誕（ふかいなさいたん）</t>
  </si>
  <si>
    <t>いずれかの墓地にあるクリーチャー・カード１枚を対象とし、それを追放する。黒の2/2のゾンビ(Zombie)・クリーチャー・トークンを１体生成する。</t>
  </si>
  <si>
    <t>毒塗り（どくぬり）</t>
  </si>
  <si>
    <t>クリーチャー１体を対象とする。ターン終了時まで、それは+1/+2の修整を受けるとともに接死を得る。（それが何らかのダメージをクリーチャーに与えたら、それだけで破壊する。）</t>
  </si>
  <si>
    <t>コショウ煙（こしょうけむり）</t>
  </si>
  <si>
    <t>クリーチャー１体を対象とする。それはターン終了時まで-1/-1の修整を受ける。あなたがフェアリー(Faerie)をコントロールしている場合、カードを１枚引く。</t>
  </si>
  <si>
    <t>汚れた一撃（よごれたいちげき）</t>
  </si>
  <si>
    <t>クリーチャー１体を対象とする。それはターン終了時まで+1/+0の修整を受けるとともに感染を得る。（それはクリーチャーに-1/-1カウンターの形でダメージを与え、プレイヤーに毒(poison)カウンターの形でダメージを与える。）</t>
  </si>
  <si>
    <t>ツキノテブクロの浸潤（つきのてぶくろのしんじゅん）</t>
  </si>
  <si>
    <t>あなたがコントロールするクリーチャー１体を対象とする。ターン終了時まで、それは+1/+0の修整を受けるとともに接死を得る。このターン、そのクリーチャーによってダメージを与えられたクリーチャーが死亡するたび、そのコントローラーは２点のライフを失う。（接死を持つクリーチャーが何らかのダメージをクリーチャーに与えたら、それだけで破壊する。）</t>
  </si>
  <si>
    <t>悲劇的な過ち（ひげきてきなあやまち）</t>
  </si>
  <si>
    <t>クリーチャー１体を対象とする。それはターン終了時まで-1/-1の修整を受ける。</t>
  </si>
  <si>
    <t>陰鬱 ― このターン、クリーチャーが死亡していた場合、代わりにそのクリーチャーはターン終了時まで-13/-13の修整を受ける。</t>
  </si>
  <si>
    <t>菌類感染（きんるいかんせん）</t>
  </si>
  <si>
    <t>クリーチャー１体を対象とする。ターン終了時まで、それは-1/-1の修整を受ける。緑の1/1の苗木(Saproling)クリーチャー・トークンを１体生成する。</t>
  </si>
  <si>
    <t>腹わた抜き（はらわたぬき）</t>
  </si>
  <si>
    <t>(Ｘ)(B)</t>
  </si>
  <si>
    <t>点数で見たマナ・コストがＸのクリーチャー１体を対象とし、それを破壊する。</t>
  </si>
  <si>
    <t>影餌付け（かげえづけ）</t>
  </si>
  <si>
    <t>墓地にあるカード１枚を対象とし、それを追放する。あなたは３点のライフを得る。</t>
  </si>
  <si>
    <t>肉体のねじ切り（にくたいのねじきり）</t>
  </si>
  <si>
    <t>クリーチャー１体を対象とする。それはターン終了時まで-3/-1の修整を受ける。</t>
  </si>
  <si>
    <t>目抉り（めえぐり）</t>
  </si>
  <si>
    <t>クリーチャー１体を対象とする。それはターン終了時まで-1/-1の修整を受ける。それがサイクロプス(Cyclops)であるなら、それを破壊する。</t>
  </si>
  <si>
    <t>吸血鬼の一噛み（きゅうけつきのひとかみ）</t>
  </si>
  <si>
    <t>キッカー(２)(B)（あなたがこの呪文を唱えるに際し、あなたは追加の(２)(B)を支払ってもよい。）</t>
  </si>
  <si>
    <t>クリーチャー１体を対象とする。それはターン終了時まで+3/+0の修整を受ける。吸血鬼の一噛みがキッカーされていた場合、そのクリーチャーはターン終了時まで絆魂を得る。（そのクリーチャーがダメージを与える場合、さらにあなたは同じ点数のライフを得る。）</t>
  </si>
  <si>
    <t>邪悪借用（じゃあくしゃくよう）</t>
  </si>
  <si>
    <t>・クリーチャー１体を対象とする。ターン終了時まで、それは+1/+1の修整を受ける。</t>
  </si>
  <si>
    <t>・クリーチャー１体を対象とする。ターン終了時まで、それは-1/-1の修整を受ける。</t>
  </si>
  <si>
    <t>死体焼却（したいしょうきゃく）</t>
  </si>
  <si>
    <t>墓地にあるカード１枚を対象とし、それを追放する。</t>
  </si>
  <si>
    <t>忌呪の金切り声（きじゅのかなきりごえ）</t>
  </si>
  <si>
    <t>対戦相手１人を対象とする。そのプレイヤーはあなたがコントロールする攻撃クリーチャー１体につき１点のライフを失う。あなたはその点数に等しい点数のライフを得る。</t>
  </si>
  <si>
    <t>たなびく暗闇（たなびくくらやみ）</t>
  </si>
  <si>
    <t>超常的耐久力（ちょうじょうてきたいきゅうりょく）</t>
  </si>
  <si>
    <t>クリーチャー１体を対象とする。ターン終了時まで、それは+2/+0の修整を受けるとともに「このクリーチャーが死亡したとき、これをオーナーのコントロール下でタップ状態で戦場に戻す。」を得る。</t>
  </si>
  <si>
    <t>突き刺す苦痛（つきさすくつう）</t>
  </si>
  <si>
    <t>クリーチャー１体を対象とする。それはターン終了時まで-1/-1の修整を受ける。そのクリーチャーをタップする。</t>
  </si>
  <si>
    <t>血の復讐（ちのふくしゅう）</t>
  </si>
  <si>
    <t>黒でないクリーチャー１体を対象とし、それを破壊する。それは再生できない。あなたは、そのクリーチャーのタフネスに等しい点数のライフを失う。</t>
  </si>
  <si>
    <t>見栄え損ない（みばえそこない）</t>
  </si>
  <si>
    <t>クリーチャー１体を対象とする。それはターン終了時まで-2/-2の修整を受ける。</t>
  </si>
  <si>
    <t>死の風（しのかぜ）</t>
  </si>
  <si>
    <t>クリーチャー１体を対象とする。ターン終了時まで、それは-X/-Xの修整を受ける。</t>
  </si>
  <si>
    <t>卑怯な行為（ひきょうなこうい）</t>
  </si>
  <si>
    <t>あなたがコントロールしているクリーチャー１体と対戦相手がコントロールしているクリーチャー１体を対象とする。ターン終了時まで、その前者は+1/+1の修整を受け、その後者は-1/-1の修整を受ける。</t>
  </si>
  <si>
    <t>ベルゼンロックの祝福（べるぜんろっくのしゅくふく）</t>
  </si>
  <si>
    <t>クリーチャー１体を対象とする。ターン終了時まで、それは+2/+1の修整を受ける。それが伝説であるなら、ターン終了時まで、それは絆魂も得る。</t>
  </si>
  <si>
    <t>悪性の傷（あくせいのきず）</t>
  </si>
  <si>
    <t>クリーチャー１体を対象とし、その上に-1/-1カウンターを１個置く。このターン、そのクリーチャーが死亡したとき、それのコントローラーは毒(poison)カウンターを１個得る。</t>
  </si>
  <si>
    <t>エレボスの加護（えれぼすのかご）</t>
  </si>
  <si>
    <t>クリーチャー１体を対象とする。それはターン終了時まで+2/+0の修整を受ける。それを再生する。あなたは２点のライフを失う。</t>
  </si>
  <si>
    <t>スカラベの饗宴（すからべのきょうえん）</t>
  </si>
  <si>
    <t>１つの墓地からカード最大３枚を対象とし、それらを追放する。</t>
  </si>
  <si>
    <t>サイクリング(B)（(B),このカードを捨てる：カードを１枚引く。）</t>
  </si>
  <si>
    <t>希望の喪失（きぼうのそうしつ）</t>
  </si>
  <si>
    <t>クリーチャー１体を対象とする。それはターン終了時まで-1/-1の修整を受ける。占術２を行う。（あなたのライブラリーの一番上から２枚のカードを見て、そのうちの望む枚数のカードを望む順番であなたのライブラリーの一番下に置き、残りを望む順番で一番上に置く。）</t>
  </si>
  <si>
    <t>死せざる邪悪（しせざるじゃあく）</t>
  </si>
  <si>
    <t>クリーチャー１体を対象とする。それはターン終了時まで不死を得る。（それが死亡したとき、それの上に+1/+1カウンターが置かれていなかった場合、それを+1/+1カウンターが１個置かれた状態でオーナーのコントロール下で戦場に戻す。）</t>
  </si>
  <si>
    <t>残忍な食餌（ざんにんなしょくじ）</t>
  </si>
  <si>
    <t>奮励 ― この呪文を唱えるためのコストは、２つ目以降の対象１つにつき(２)(B)多くなる。</t>
  </si>
  <si>
    <t>望む数のクリーチャーを対象とする。ターン終了時まで、それらはそれぞれ+1/+0の修整を受けるとともに絆魂を得る。（絆魂を持つクリーチャーがダメージを与えると、さらにそれのコントローラーは同じ点数のライフを得る。）</t>
  </si>
  <si>
    <t>異常な忍耐（いじょうなにんたい）</t>
  </si>
  <si>
    <t>クリーチャー１体を対象とする。ターン終了時まで、それは+2/+0の修整を受ける。それを再生する。</t>
  </si>
  <si>
    <t>深夜の魔除け（しんやのまよけ）</t>
  </si>
  <si>
    <t>・クリーチャー１体を対象とする。深夜の魔除けはそれに１点のダメージを与え、あなたは１点のライフを得る。</t>
  </si>
  <si>
    <t>・クリーチャー１体を対象とする。それはターン終了時まで先制攻撃を得る。</t>
  </si>
  <si>
    <t>活力の奔出（かつりょくのほんしゅつ）</t>
  </si>
  <si>
    <t>クリーチャー１体を対象とする。ターン終了時まで、それは+1/+0の修整を受けるとともに絆魂と破壊不能を得る。（そのクリーチャーがダメージを与えると、さらにそれのコントローラーはその点数分のライフを得る。ダメージや「破壊」と書かれた効果では、それは破壊されない。）</t>
  </si>
  <si>
    <t>最後の喘ぎ（さいごのあえぎ）</t>
  </si>
  <si>
    <t>クリーチャー１体を対象とする。それはターン終了時まで-3/-3の修整を受ける。</t>
  </si>
  <si>
    <t>ソリンの渇き（そりんのかわき）</t>
  </si>
  <si>
    <t>クリーチャー１体を対象とする。ソリンの渇きはそれに２点のダメージを与え、あなたは２点のライフを得る。</t>
  </si>
  <si>
    <t>夢の饗宴（ゆめのきょうえん）</t>
  </si>
  <si>
    <t>エンチャントされているクリーチャー１体かクリーチャー・エンチャント１体を対象とし、それを破壊する。</t>
  </si>
  <si>
    <t>弱点消し（じゃくてんけし）</t>
  </si>
  <si>
    <t>あなたがコントロールするクリーチャー１体を対象とする。ターン終了時まで、それは破壊不能を得る。（ダメージや「破壊」と書かれた効果では、それは破壊されない。それのタフネスが０以下であるなら、それはオーナーの墓地に置かれる。）</t>
  </si>
  <si>
    <t>打ち砕く希望（うちくだくきぼう）</t>
  </si>
  <si>
    <t>あなたがこの呪文を唱えたとき、いずれのプレイヤーも５点のライフを支払ってもよい。プレイヤー１人がそうしたなら、打ち砕く希望を打ち消す。</t>
  </si>
  <si>
    <t>名も無き転置（なもなきてんち）</t>
  </si>
  <si>
    <t>クリーチャー１体を対象とする。それはターン終了時まで+3/-3の修整を受けるとともにすべてのクリーチャー・タイプを失う。</t>
  </si>
  <si>
    <t>残響する衰微（ざんきょうするすいび）</t>
  </si>
  <si>
    <t>クリーチャー１体を対象とする。それと、そのクリーチャーと同じ名前を持つ他のすべてのクリーチャーは、ターン終了時まで-2/-2の修整を受ける。</t>
  </si>
  <si>
    <t>無残な収穫（むざんなしゅうかく）</t>
  </si>
  <si>
    <t>あなたの墓地にあるクリーチャー・カード１枚を対象とし、それをあなたの手札に戻す。</t>
  </si>
  <si>
    <t>復活(２)(B)（他のクリーチャーが戦場からあなたの墓地に置かれたとき、あなたは(２)(B)を支払ってもよい。そうした場合、あなたの墓地にあるこのカードをあなたの手札に戻す。そうでない場合、このカードを追放する。）</t>
  </si>
  <si>
    <t>屍体の攪拌（したいのかくはん）</t>
  </si>
  <si>
    <t>あなたのライブラリーの一番上から３枚のカードをあなたの墓地に置く。その後、あなたはあなたの墓地からクリーチャー・カード１枚をあなたの手札に戻してもよい。</t>
  </si>
  <si>
    <t>魂無き蘇生（たましいなきそせい）</t>
  </si>
  <si>
    <t>連繋（秘儀(Arcane)）(１)(B)（あなたが秘儀呪文を唱えるに際し、あなたはこのカードを手札から公開して連繋コストを支払ってもよい。そうした場合、このカードの効果をその呪文に追加する。）</t>
  </si>
  <si>
    <t>揺り籠から墓場まで（ゆりかごからはかばまで）</t>
  </si>
  <si>
    <t>このターン戦場に出た黒でないクリーチャー１体を対象とし、それを破壊する。</t>
  </si>
  <si>
    <t>渇望の時（かつぼうのとき）</t>
  </si>
  <si>
    <t>クリーチャー１体を対象とする。ターン終了時まで、それは-2/-2の修整を受ける。あなたは２点のライフを得る。</t>
  </si>
  <si>
    <t>闇の掌握（やみのしょうあく）</t>
  </si>
  <si>
    <t>クリーチャー１体を対象とする。ターン終了時まで、それは-4/-4の修整を受ける。</t>
  </si>
  <si>
    <t>肉貪り（にくむさぼり）</t>
  </si>
  <si>
    <t>プレイヤー１人を対象とする。そのプレイヤーはクリーチャー１体を生け贄に捧げ、その後、そのクリーチャーのタフネスに等しい点数のライフを得る。</t>
  </si>
  <si>
    <t>異様な忍耐（いようなにんたい）</t>
  </si>
  <si>
    <t>クリーチャー１体を対象とする。ターン終了時まで、それは+2/+0の修整を受け、「このクリーチャーが死亡したとき、これをオーナーのコントロール下でタップ状態で戦場に戻す。」を得る。</t>
  </si>
  <si>
    <t>ファリカの療法（ふぁりかのりょうほう）</t>
  </si>
  <si>
    <t>クリーチャー１体を対象とする。ファリカの療法はそれに２点のダメージを与え、あなたは２点のライフを得る。</t>
  </si>
  <si>
    <t>夜の犠牲（よるのぎせい）</t>
  </si>
  <si>
    <t>吸血鬼(Vampire)でも狼男(Werewolf)でもゾンビ(Zombie)でもないクリーチャー１体を対象とし、それを破壊する。</t>
  </si>
  <si>
    <t>死の否定（しのひてい）</t>
  </si>
  <si>
    <t>(Ｘ)(B)(B)</t>
  </si>
  <si>
    <t>あなたの墓地にあるクリーチャー・カードX枚を対象とし、それらをあなたの手札に戻す。</t>
  </si>
  <si>
    <t>不純な捧げ物（ふじゅんなささげもの）</t>
  </si>
  <si>
    <t>キッカー ― クリーチャー１体を生け贄に捧げる。（あなたはこの呪文を唱えるに際し、他のコストに加えてクリーチャー１体を生け贄に捧げてもよい。）</t>
  </si>
  <si>
    <t>クリーチャー１体を対象とする。ターン終了時まで、それは-2/-2の修整を受ける。この呪文がキッカーされていたなら、代わりに、ターン終了時まで、そのクリーチャーは-5/-5の修整を受ける。</t>
  </si>
  <si>
    <t>ゲスの評決（げすのひょうけつ）</t>
  </si>
  <si>
    <t>プレイヤー１人を対象とする。そのプレイヤーはクリーチャーを１体生け贄に捧げ、１点のライフを失う。</t>
  </si>
  <si>
    <t>奇怪な突然変異（きかいなとつぜんへんい）</t>
  </si>
  <si>
    <t>クリーチャー１体を対象とする。ターン終了時まで、それは+3/+1の修整を受けるとともに絆魂を得る。（そのクリーチャーがダメージを与えると、さらにそのコントローラーはその点数分のライフを得る。）</t>
  </si>
  <si>
    <t>隠然たる襲撃（いんぜんたるしゅうげき）</t>
  </si>
  <si>
    <t>恐怖（きょうふ）</t>
  </si>
  <si>
    <t>引き裂かれた記憶（ひきさかれたきおく）</t>
  </si>
  <si>
    <t>単一の墓地にあるカードを最大４枚まで対象とし、それらを追放する。</t>
  </si>
  <si>
    <t>変成(１)(B)(B)（(１)(B)(B),このカードを捨てる：あなたのライブラリーから、このカードと同じ点数で見たマナ・コストを持つカード１枚を探し、それを公開し、あなたの手札に加える。その後あなたのライブラリーを切り直す。変成はソーサリーとしてのみ行う。）</t>
  </si>
  <si>
    <t>群れの侮蔑（むれのぶべつ）</t>
  </si>
  <si>
    <t>クリーチャー１体を対象とする。クリーチャー・タイプを１つ選ぶ。そのクリーチャーはターン終了時まで、あなたがコントロールする選ばれたタイプのパーマネント１つにつき-1/-1の修整を受ける。</t>
  </si>
  <si>
    <t>破滅の刃（はめつのやいば）</t>
  </si>
  <si>
    <t>黒でないクリーチャー１体を対象とし、それを破壊する。</t>
  </si>
  <si>
    <t>祭壇の刈り取り（さいだんのかりとり）</t>
  </si>
  <si>
    <t>この呪文を唱えるための追加コストとして、クリーチャーを１体生け贄に捧げる。</t>
  </si>
  <si>
    <t>高くつく略奪（たかくつくりゃくだつ）</t>
  </si>
  <si>
    <t>この呪文を唱えるための追加コストとして、アーティファクト１つかクリーチャー１体を生け贄に捧げる。</t>
  </si>
  <si>
    <t>墓所への乱入（ぼしょへのらんにゅう）</t>
  </si>
  <si>
    <t>プレイヤー１人を対象とし、そのプレイヤーの墓地にあるすべてのクリーチャー・カードを追放する。これにより追放されたカード１枚につき、あなたは３点のライフを得る。</t>
  </si>
  <si>
    <t>絞殺の煤（こうさつのすす）</t>
  </si>
  <si>
    <t>タフネスが３以下のクリーチャー１体を対象とし、それを破壊する。</t>
  </si>
  <si>
    <t>フラッシュバック(５)(R)（あなたはあなたの墓地にあるこのカードを、そのフラッシュバック・コストで唱えてもよい。その後それを追放する。）</t>
  </si>
  <si>
    <t>引きずり下ろし（ひきずりおろし）</t>
  </si>
  <si>
    <t>版図 ― クリーチャー１体を対象とする。それはターン終了時まで、あなたがコントロールする土地の中の基本土地タイプ１種につき-1/-1の修整を受ける。</t>
  </si>
  <si>
    <t>タールの罠（たーるのわな）</t>
  </si>
  <si>
    <t>クリーチャー１体を対象とする。ターン終了時まで、それは-3/-2の修整を受ける。</t>
  </si>
  <si>
    <t>墳墓の呪詛（ふんぼのじゅそ）</t>
  </si>
  <si>
    <t>上陸 ― このターン、土地があなたのコントロール下で戦場に出ている場合、代わりにそのクリーチャーはターン終了時まで-4/-4の修整を受ける。</t>
  </si>
  <si>
    <t>殺害（さつがい）</t>
  </si>
  <si>
    <t>クリーチャー１体を対象とし、それを破壊する。</t>
  </si>
  <si>
    <t>誘惑に負けて（ゆうわくにまけて）</t>
  </si>
  <si>
    <t>あなたはカードを２枚引き、あなたは２点のライフを失う。</t>
  </si>
  <si>
    <t>闇への追放（やみへのついほう）</t>
  </si>
  <si>
    <t>黒でないクリーチャー１体を対象とし、それを破壊する。それは再生できない。</t>
  </si>
  <si>
    <t>闇の試み（やみのこころみ）</t>
  </si>
  <si>
    <t>クリーチャー１体を対象とし、それを再生する。カードを１枚引く。（このターン、次にそのクリーチャーが破壊されるなら、それは破壊されない。代わりに、それをタップし、ダメージをすべて取り除き、戦闘から取り除く。）</t>
  </si>
  <si>
    <t>魔巧 ― あなたの墓地にインスタント・カードやソーサリー・カードが合わせて２枚以上あるなら、あなたがコントロールする他のクリーチャーもそれぞれ再生する。</t>
  </si>
  <si>
    <t>改革派の逃亡（かいかくはのとうぼう）</t>
  </si>
  <si>
    <t>墓所粛正（ぼしょしゅくせい）</t>
  </si>
  <si>
    <t>あなたの墓地にあるクリーチャー・カードを望む枚数だけ対象とし、それらをあなたのライブラリーの一番上に置く。</t>
  </si>
  <si>
    <t>居すくみ（いすくみ）</t>
  </si>
  <si>
    <t>あなたの対戦相手がコントロールするクリーチャーは、ターン終了時まで-1/-1の修整を受ける。</t>
  </si>
  <si>
    <t>足の底の饗宴（あしのそこのきょうえん）</t>
  </si>
  <si>
    <t>あなたの墓地にある望む枚数のクリーチャー・カードを対象とし、それらをあなたのライブラリーの一番上に置く。</t>
  </si>
  <si>
    <t>残酷な決断（ざんこくなけつだん）</t>
  </si>
  <si>
    <t>クリーチャー１体を対象とする。ターン終了時まで、それは-2/-2の修整を受ける。占術１を行う。（あなたのライブラリーの一番上のカードを見る。あなたはそのカードをあなたのライブラリーの一番下に置いてもよい。）</t>
  </si>
  <si>
    <t>屍賊の嘆き（しぞくのなげき）</t>
  </si>
  <si>
    <t>・あなたがコントロールする各クリーチャーを再生する。</t>
  </si>
  <si>
    <t>・屍賊の嘆きは各プレイヤーと各クリーチャーにそれぞれ１点のダメージを与える。</t>
  </si>
  <si>
    <t>双呪(B)（双呪コストを支払った場合、両方を選ぶ。）</t>
  </si>
  <si>
    <t>不気味な苦悩（ぶきみなくのう）</t>
  </si>
  <si>
    <t>クリーチャー１体を対象とする。それの上に-1/-1カウンターを１個置き、その後、増殖を行う。（あなたはカウンターの置かれているパーマネントやプレイヤーを望む数だけ選び、その後それぞれに、その上に置かれているカウンターのうち１種類を１個置く。）</t>
  </si>
  <si>
    <t>墓の出産（はかのしゅっさん）</t>
  </si>
  <si>
    <t>対戦相手１人を対象とする。そのプレイヤーは自分の墓地からカードを１枚追放する。あなたは無色の1/1のエルドラージ(Eldrazi)・末裔(Scion)クリーチャー・トークンを１体生成する。それは「このクリーチャーを生け贄に捧げる：(◇)を加える。」を持つ。</t>
  </si>
  <si>
    <t>霊魂の奪取（れいこんのだっしゅ）</t>
  </si>
  <si>
    <t>スピリット(Spirit)１つを対象とし、それを破壊する。</t>
  </si>
  <si>
    <t>忌まわしい最期（いまわしいさいご）</t>
  </si>
  <si>
    <t>黒でないクリーチャー１体を対象とし、それを破壊する。それのコントローラーは２点のライフを失う。</t>
  </si>
  <si>
    <t>屍噛み（しかばねかみ）</t>
  </si>
  <si>
    <t>クリーチャー１体を対象とする。それはターン終了時まで接死を得る。それを再生する。（このターン、次にこのクリーチャーが破壊される場合、それは破壊されない。代わりに、それをタップし、それに与えられているダメージをすべて取り除き、それを戦闘から取り除く。接死を持つクリーチャーが何らかのダメージをクリーチャーに与えたら、それだけで破壊する。）</t>
  </si>
  <si>
    <t>無慈悲な決意（むじひなけつい）</t>
  </si>
  <si>
    <t>この呪文を唱えるための追加コストとして、クリーチャー１体か土地１つを生け贄に捧げる。</t>
  </si>
  <si>
    <t>弱者成敗（じゃくしゃせいばい）</t>
  </si>
  <si>
    <t>パワーが３以下のクリーチャー１体を対象とし、それを破壊する。</t>
  </si>
  <si>
    <t>苦悩（くのう）</t>
  </si>
  <si>
    <t>眼腐りの終焉（めくさりのしゅうえん）</t>
  </si>
  <si>
    <t>エルフ(Elf)でないクリーチャー１体を対象とし、それを破壊する。</t>
  </si>
  <si>
    <t>薄暗がりへの消失（うすくらがりへのしょうしつ）</t>
  </si>
  <si>
    <t>クリーチャー１体を対象とする。薄暗がりへの消失はそれに２点のダメージを与え、あなたは２点のライフを得る。</t>
  </si>
  <si>
    <t>完全無視（かんぜんむし）</t>
  </si>
  <si>
    <t>パワーが３以下のクリーチャー１体を対象とし、それを追放する。</t>
  </si>
  <si>
    <t>華麗な苦悶（かれいなくもん）</t>
  </si>
  <si>
    <t>クリーチャー１体か２体を対象とし、それらの上に-1/-1カウンターを２個、望むように割り振って置く。</t>
  </si>
  <si>
    <t>肉体の奪取（にくたいのだっしゅ）</t>
  </si>
  <si>
    <t>スピリット(Spirit)でないクリーチャー１体を対象とし、それを破壊する。</t>
  </si>
  <si>
    <t>死体の突進（したいのとっしん）</t>
  </si>
  <si>
    <t>この呪文を唱えるための追加コストとして、あなたの墓地にあるクリーチャー・カードを１枚追放する。</t>
  </si>
  <si>
    <t>クリーチャー１体を対象とする。死体の突進はそれに、その追放されたカードのパワーに等しい点数のダメージを与える。</t>
  </si>
  <si>
    <t>最後の口づけ（さいごのくちづけ）</t>
  </si>
  <si>
    <t>クリーチャー１体を対象とする。最後の口づけはそれに２点のダメージを与え、あなたは２点のライフを得る。</t>
  </si>
  <si>
    <t>解体者の歓び（かいたいしゃのよろこび）</t>
  </si>
  <si>
    <t>クリーチャー１体を対象とする。ターン終了時まで、それは+3/+0の修整を受けるとともに絆魂を得る。それを再生する。（絆魂を持つクリーチャーがダメージを与えると、さらにそのコントローラーはその点数分のライフを得る。）</t>
  </si>
  <si>
    <t>崩老卑の囁き（ほろびのささやき）</t>
  </si>
  <si>
    <t>あなたが沼(Swamp)をコントロールしている場合、黒でないクリーチャー１体を対象とし、それを破壊する。</t>
  </si>
  <si>
    <t>連繋（秘儀(Arcane)） ― あなたの墓地にあるカードを４枚、追放する。（あなたが秘儀呪文を唱えるに際し、あなたはこのカードを手札から公開して連繋コストを支払ってもよい。そうした場合、このカードの効果をその呪文に追加する。）</t>
  </si>
  <si>
    <t>絶望の誘導（ぜつぼうのゆうどう）</t>
  </si>
  <si>
    <t>この呪文を唱えるための追加コストとして、あなたの手札からクリーチャー・カードを１枚公開する。</t>
  </si>
  <si>
    <t>クリーチャー１体を対象とする。ターン終了時まで、それは-X/-Xの修整を受ける。Ｘは、その公開されたカードの点数で見たマナ・コストである。</t>
  </si>
  <si>
    <t>闇の取り引き（やみのとりひき）</t>
  </si>
  <si>
    <t>あなたのライブラリーの一番上からカードを３枚見る。そのうち２枚をあなたの手札に加え、他の１枚をあなたの墓地に置く。闇の取り引きはあなたに２点のダメージを与える。</t>
  </si>
  <si>
    <t>浴びせかけ（あびせかけ）</t>
  </si>
  <si>
    <t>貪欲の重責（どんよくのじゅうせき）</t>
  </si>
  <si>
    <t>感染の賦活（かんせんのふかつ）</t>
  </si>
  <si>
    <t>致命的な噴煙（ちめいてきなふんえん）</t>
  </si>
  <si>
    <t>クリーチャー１体を対象とする。それはターン終了時まで-4/-2の修整を受ける。</t>
  </si>
  <si>
    <t>束縛の胞子（そくばくのほうし）</t>
  </si>
  <si>
    <t>クリーチャー１体を対象とする。ターン終了時まで、それは-3/-3の修整を受ける。</t>
  </si>
  <si>
    <t>毒の責め苦（どくのせめく）</t>
  </si>
  <si>
    <t>クリーチャー１体を対象とし、それの上に-1/-1カウンターを３個置く。それのコントローラーは、そのプレイヤーが他の土地でないパーマネントを１つ生け贄に捧げるかカード１枚を捨てるかしないかぎり、そのプレイヤーは３点のライフを失う。</t>
  </si>
  <si>
    <t>骨に染む凍え（ほねにしむこごえ）</t>
  </si>
  <si>
    <t>氷雪でないクリーチャー１体を対象とし、それを破壊する。</t>
  </si>
  <si>
    <t>忌まわしい光景（いまわしいこうけい）</t>
  </si>
  <si>
    <t>押し拉ぎ（おしひしぎ）</t>
  </si>
  <si>
    <t>堕落の触手（だらくのしょくしゅ）</t>
  </si>
  <si>
    <t>クリーチャー１体を対象とする。堕落の触手はそれにＸ点のダメージを与え、あなたはＸ点のライフを得る。Ｘはあなたがコントロールする沼(Swamp)の数である。</t>
  </si>
  <si>
    <t>打ち上げ（うちあげ）</t>
  </si>
  <si>
    <t>クリーチャー１体を対象とし、それを破壊する。それのコントローラーは２点のライフを失う。</t>
  </si>
  <si>
    <t>最後の報賞（さいごのほうしょう）</t>
  </si>
  <si>
    <t>影の手の内（かげのてのうち）</t>
  </si>
  <si>
    <t>１色以上の色を持つクリーチャー１体を対象とし、それを破壊する。</t>
  </si>
  <si>
    <t>絞首（こうしゅ）</t>
  </si>
  <si>
    <t>千の針の死（せんのはりのし）</t>
  </si>
  <si>
    <t>プレイヤー１人を対象とする。そのプレイヤーは１点のライフを失い、あなたは１点のライフを得る。</t>
  </si>
  <si>
    <t>あなたのアップキープの開始時に、あなたの手札のカードの枚数がどの対戦相手よりも多い場合、あなたはあなたの墓地にある千の針の死をあなたの手札に戻してもよい。</t>
  </si>
  <si>
    <t>裏切り者の手中（うらぎりもののしゅちゅう）</t>
  </si>
  <si>
    <t>クリーチャー１体を対象とする。それはターン終了時まで+1/+0の修整を受けるとともに黒になり、シャドーを得る。（それは、シャドーを持つクリーチャーのみブロックでき、シャドーを持つクリーチャーによってのみブロックされる。）</t>
  </si>
  <si>
    <t>墓損ない（はかそこない）</t>
  </si>
  <si>
    <t>あなたの墓地にあるクリーチャー・カードを最大２枚まで対象とし、それらをあなたの手札に戻す。</t>
  </si>
  <si>
    <t>当然の結論（とうぜんのけつろん）</t>
  </si>
  <si>
    <t>スミレの棺（すみれのひつぎ）</t>
  </si>
  <si>
    <t>黒でないクリーチャー１体を対象とし、それを破壊する。飛行を持つ、黒の1/1のフェアリー(Faerie)・ならず者(Rogue)クリーチャー・トークンを１体生成する。</t>
  </si>
  <si>
    <t>鞭の一振り（むちのひとふり）</t>
  </si>
  <si>
    <t>クリーチャー１体を対象とする。それはターン終了時まで-4/-4の修整を受ける。</t>
  </si>
  <si>
    <t>肉は塵に（にくはちりに）</t>
  </si>
  <si>
    <t>血の訴え（ちのうったえ）</t>
  </si>
  <si>
    <t>クリーチャー１体を対象とする。ターン終了時まで、それは-X/-Xの修整を受ける。Ｘは、生け贄に捧げられたクリーチャーのパワーに等しい。</t>
  </si>
  <si>
    <t>不浄な飢え（ふじょうなうえ）</t>
  </si>
  <si>
    <t>魔巧 ― あなたの墓地にインスタント・カードやソーサリー・カードが合わせて２枚以上あるなら、あなたは２点のライフを得る。</t>
  </si>
  <si>
    <t>引き込み（ひきこみ）</t>
  </si>
  <si>
    <t>クリーチャー１体を対象とする。それはターン終了時まで-5/-5の修整を受ける。</t>
  </si>
  <si>
    <t>死に際の喘ぎ（しにぎわのあえぎ）</t>
  </si>
  <si>
    <t>緑でないクリーチャー１体を対象とし、それを破壊する。それは再生できない。</t>
  </si>
  <si>
    <t>闇の萎縮（やみのいしゅく）</t>
  </si>
  <si>
    <t>肉体の饗宴（にくたいのきょうえん）</t>
  </si>
  <si>
    <t>クリーチャー１体を対象とする。肉体の饗宴はそれにＸ点のダメージを与え、あなたはＸ点のライフを得る。Ｘは、すべての墓地にある《肉体の饗宴/Feast of Flesh》という名前のカードの総数に１を加えた点数に等しい。</t>
  </si>
  <si>
    <t>カラスの罪（からすのつみ）</t>
  </si>
  <si>
    <t>プレイヤー１人を対象とする。そのプレイヤーはカードを１枚捨てる。</t>
  </si>
  <si>
    <t>グール呼びの詠唱（ぐーるよびのえいしょう）</t>
  </si>
  <si>
    <t>・あなたの墓地にあるゾンビ(Zombie)・カード２枚を対象とし、それをあなたの手札に戻す。</t>
  </si>
  <si>
    <t>夜霞（よるがすみ）</t>
  </si>
  <si>
    <t>クリーチャー１体を対象とする。それはターン終了時まで沼渡りを得る。（それは、防御プレイヤーが沼(Swamp)をコントロールしているかぎりブロックされない。）</t>
  </si>
  <si>
    <t>死者再生（ししゃさいせい）</t>
  </si>
  <si>
    <t>骨の粉砕（ほねのふんさい）</t>
  </si>
  <si>
    <t>恐ろしき天啓（おそろしきてんけい）</t>
  </si>
  <si>
    <t>プレイヤー１人を対象とする。そのプレイヤーはカードを１枚捨てる。その後、そのプレイヤーは自分のライブラリーの一番上のカードを自分の墓地に置く。</t>
  </si>
  <si>
    <t>精神の槍（せいしんのやり）</t>
  </si>
  <si>
    <t>プレイヤー１人を対象とする。そのプレイヤーは自分の手札を公開する。あなたはその中からスピリット(Spirit)・カードか秘儀(Arcane)カードを１枚選ぶ。そのプレイヤーは、選ばれたカードを捨てる。</t>
  </si>
  <si>
    <t>夜の衝突（よるのしょうとつ）</t>
  </si>
  <si>
    <t>対戦相手１人を対象とする。そのプレイヤーは３点のライフを失う。</t>
  </si>
  <si>
    <t>強迫（きょうはく）</t>
  </si>
  <si>
    <t>対戦相手１人を対象とする。そのプレイヤーは、自分の手札を公開する。あなたはその中からクリーチャーでも土地でもないカードを１枚選ぶ。そのプレイヤーは、そのカードを捨てる。</t>
  </si>
  <si>
    <t>抜去（ばっきょ）</t>
  </si>
  <si>
    <t>プレイヤー１人を対象とする。そのプレイヤーは自分の手札を公開する。あなたはその中からアーティファクトかクリーチャーであるカード１枚を選ぶ。そのプレイヤーはそのカードを捨てる。</t>
  </si>
  <si>
    <t>墓場の騒乱（はかばのそうらん）</t>
  </si>
  <si>
    <t>あなたの墓地にある、点数で見たマナ・コストがＸ以下であるクリーチャー・カード１枚を対象とし、それを戦場に戻す。</t>
  </si>
  <si>
    <t>墓暴き（はかあばき）</t>
  </si>
  <si>
    <t>溺死者の行進（できししゃのこうしん）</t>
  </si>
  <si>
    <t>・あなたの墓地から海賊(Pirate)カード２枚を対象とし、それらをあなたの手札に戻す。</t>
  </si>
  <si>
    <t>ぬかるみの代価（ぬかるみのだいか）</t>
  </si>
  <si>
    <t>プレイヤー１人を対象とする。そのプレイヤーは自分の手札にあるカードを、あなたがコントロールする沼(Swamp)の数に等しい枚数だけ公開する。あなたはそれらの中から１枚を選ぶ。そのプレイヤーはそのカードを捨てる。</t>
  </si>
  <si>
    <t>冥界への呼び声（めいかいへのよびごえ）</t>
  </si>
  <si>
    <t>あなたの墓地にある黒のクリーチャー・カード１枚を対象とし、それをあなたの手札に戻す。</t>
  </si>
  <si>
    <t>マッドネス(０)（あなたがこのカードを捨てるなら、これを追放領域に捨てる。あなたがそうしたとき、マッドネス・コストでこれを唱えるか、これをあなたの墓地に置く。）</t>
  </si>
  <si>
    <t>ボガートの誕生の儀式（ぼがーとのたんじょうのぎしき）</t>
  </si>
  <si>
    <t>あなたの墓地にあるゴブリン(Goblin)・カード１枚を対象とし、それをあなたの手札に戻す。</t>
  </si>
  <si>
    <t>惨めな食事（みじめなしょくじ）</t>
  </si>
  <si>
    <t>クリーチャー１体を対象とする。それのパワーが、戦場に出ているクリーチャーの中で最も小さいか、最も小さい値に等しい場合、それを破壊する。</t>
  </si>
  <si>
    <t>血の味（ちのあじ）</t>
  </si>
  <si>
    <t>プレイヤー１人を対象とする。血の味はそのプレイヤーに１点のダメージを与え、あなたは１点のライフを得る。</t>
  </si>
  <si>
    <t>悔恨の泣き声（かいこんのなきごえ）</t>
  </si>
  <si>
    <t>悔恨の泣き声が憑依しているクリーチャーが死亡したとき、プレイヤー１人を対象とする。そのプレイヤーはカードを１枚捨てる。</t>
  </si>
  <si>
    <t>よろめく帰還（よろめくきかん）</t>
  </si>
  <si>
    <t>墓地からクリーチャー・カード１枚を対象とし、それを追放する。黒の2/2のゾンビ(Zombie)・クリーチャー・トークンを１体生成する。あなたは２点のライフを得る。</t>
  </si>
  <si>
    <t>歯の引き抜き（はのひきぬき）</t>
  </si>
  <si>
    <t>プレイヤー１人を対象とする。対戦相手１人と激突を行う。あなたが勝った場合、そのプレイヤーはカードを２枚捨てる。そうでない場合、そのプレイヤーはカードを１枚捨てる。（激突を行う各プレイヤーは、自分のライブラリーの一番上のカードを公開し、そのカードを一番上か一番下に置く。自分のカードの点数で見たマナ・コストの方が大きいプレイヤーが勝つ。）</t>
  </si>
  <si>
    <t>吐き気（はきけ）</t>
  </si>
  <si>
    <t>すべてのクリーチャーはターン終了時まで-1/-1の修整を受ける。</t>
  </si>
  <si>
    <t>うねる狂気（うねるきょうき）</t>
  </si>
  <si>
    <t>短命（たんめい）</t>
  </si>
  <si>
    <t>クリーチャー１体を対象とする。あなたは(Ｅ)(Ｅ)（エネルギー・カウンター２個）を得る。その後あなたは望む数の(Ｅ)を支払ってもよい。ターン終了時まで、そのクリーチャーは、これにより支払われた(Ｅ)１個につき-1/-1の修整を受ける。</t>
  </si>
  <si>
    <t>魂裂き（たましいさき）</t>
  </si>
  <si>
    <t>血の署名（ちのしょめい）</t>
  </si>
  <si>
    <t>プレイヤー１人を対象とする。そのプレイヤーはカードを２枚引くとともに２点のライフを失う。</t>
  </si>
  <si>
    <t>死の円舞曲（しのえんぶきょく）</t>
  </si>
  <si>
    <t>あなたの墓地からクリーチャー・カード最大２枚を対象とし、それらをあなたの手札に戻す。その後カードを１枚捨てる。</t>
  </si>
  <si>
    <t>消耗の儀式（しょうもうのぎしき）</t>
  </si>
  <si>
    <t>消耗の儀式を唱えるための追加コストとして、クリーチャーを１体生け贄に捧げる。</t>
  </si>
  <si>
    <t>プレイヤー１人を対象とする。消耗の儀式はそのプレイヤーに、生け贄に捧げられたクリーチャーのパワーに等しい点数のダメージを与える。あなたはこの方法で与えられたダメージに等しい点数のライフを得る。</t>
  </si>
  <si>
    <t>墓地からの徴用（ぼちからのちょうよう）</t>
  </si>
  <si>
    <t>あなたの墓地からクリーチャー・カード１枚を対象とし、それをあなたの手札に戻す。それがゾンビ(Zombie)・カードであるなら、カードを１枚引く。</t>
  </si>
  <si>
    <t>精神ねじ切り（せいしんねじきり）</t>
  </si>
  <si>
    <t>タララの苦悩（たららのくのう）</t>
  </si>
  <si>
    <t>対戦相手１人を対象とする。そのプレイヤーは自分の手札を公開する。あなたはその中から緑か白のクリーチャー・カードを１枚選ぶ。あなたはそのクリーチャー・カードのタフネスに等しい点数のライフを得る。その後、そのプレイヤーはそのカードを捨てる。</t>
  </si>
  <si>
    <t>精神の瘴気（せいしんのしょうき）</t>
  </si>
  <si>
    <t>プレイヤー１人を対象とする。そのプレイヤーはカードを１枚捨てる。これにより土地カードが捨てられた場合、精神の瘴気をオーナーの手札に戻す。</t>
  </si>
  <si>
    <t>智恵ある帰還（ちえあるきかん）</t>
  </si>
  <si>
    <t>魂の消耗（たましいのしょうもう）</t>
  </si>
  <si>
    <t>(Ｘ)(１)(B)</t>
  </si>
  <si>
    <t>Ｘは黒マナでしか支払えない。</t>
  </si>
  <si>
    <t>クリーチャー１体かプレインズウォーカー１体かプレイヤー１人を対象とする。魂の消耗はそれにＸ点のダメージを与え、あなたはＸ点のライフを得る。</t>
  </si>
  <si>
    <t>不純な飢え（ふじゅんなうえ）</t>
  </si>
  <si>
    <t>クリーチャー１体を対象とする。不純な飢えはそれに２点のダメージを与え、あなたは２点のライフを得る。</t>
  </si>
  <si>
    <t>押し倒し（おしたおし）</t>
  </si>
  <si>
    <t>パワーが２以下のクリーチャー１体を対象とし、それを破壊する。</t>
  </si>
  <si>
    <t>屍賊の飢え（しぞくのうえ）</t>
  </si>
  <si>
    <t>困惑する策謀（こんわくするさくぼう）</t>
  </si>
  <si>
    <t>いずれかの墓地にあるクリーチャー・カード１枚を対象とし、それをそれのオーナーの手札に戻す。</t>
  </si>
  <si>
    <t>魂の刈り取り（たましいのかりとり）</t>
  </si>
  <si>
    <t>緑でないクリーチャー１体を対象とし、それを破壊する。このターンにあなたが他に黒の呪文を唱えていた場合、それのコントローラーは３点のライフを失う。</t>
  </si>
  <si>
    <t>減縮（げんしゅく）</t>
  </si>
  <si>
    <t>君主の一噛み（くんしゅのひとかみ）</t>
  </si>
  <si>
    <t>プレイヤー１人を対象とする。そのプレイヤーは３点のライフを失い、あなたは３点のライフを得る。</t>
  </si>
  <si>
    <t>困窮（こんきゅう）</t>
  </si>
  <si>
    <t>プレイヤー１人を対象とする。そのプレイヤーは、自分の手札を公開する。あなたは、その中から土地でないカードを１枚選ぶ。そのプレイヤーは、そのカードを捨てる。</t>
  </si>
  <si>
    <t>失われた時間（うしなわれたじかん）</t>
  </si>
  <si>
    <t>プレイヤー１人を対象とする。そのプレイヤーは手札を公開する。あなたはその中から土地でないカードを１枚選ぶ。そのプレイヤーは、そのカードを自分のライブラリーの上から３枚目に置く。</t>
  </si>
  <si>
    <t>巣穴の運命支配（すあなのうんめいしはい）</t>
  </si>
  <si>
    <t>プレイヤー１人を対象とする。そのプレイヤーはクリーチャーを１体生け贄に捧げる。これによりゴブリン(Goblin)が生け贄に捧げられた場合、そのプレイヤーは黒の1/1のゴブリン・ならず者(Rogue)クリーチャー・トークンを２体生成する。ターン終了時まで、それらのトークンは速攻を得る。</t>
  </si>
  <si>
    <t>不気味な発見（ぶきみなはっけん）</t>
  </si>
  <si>
    <t>・あなたの墓地にある土地カード１枚を対象とし、それをあなたの手札に戻す。</t>
  </si>
  <si>
    <t>殺人衝動（さつじんしょうどう）</t>
  </si>
  <si>
    <t>思考の消滅（しこうのしょうめつ）</t>
  </si>
  <si>
    <t>対戦相手１人を対象とする。そのプレイヤーは自分の手札を公開する。あなたはその中からカードを１枚選ぶ。そのプレイヤーは、そのカードを自分のライブラリーに加えて切り直す。</t>
  </si>
  <si>
    <t>本質の収穫（ほんしつのしゅうかく）</t>
  </si>
  <si>
    <t>プレイヤー１人を対象とする。そのプレイヤーはＸ点のライフを失い、あなたはＸ点のライフを得る。Ｘはあなたがコントロールするクリーチャーの中で最も大きいパワーの値である。</t>
  </si>
  <si>
    <t>偶然の発見（ぐうぜんのはっけん）</t>
  </si>
  <si>
    <t>精神腐敗（せいしんふはい）</t>
  </si>
  <si>
    <t>プレイヤー１人を対象とする。そのプレイヤーはカードを２枚捨てる。</t>
  </si>
  <si>
    <t>目覚めの悪夢（めざめのあくむ）</t>
  </si>
  <si>
    <t>滑る胆液（すべるたんえき）</t>
  </si>
  <si>
    <t xml:space="preserve">サイクリング(２)（(２),このカードを捨てる：カードを１枚引く） </t>
  </si>
  <si>
    <t>マッドネス(３)(B)（あなたがこのカードを捨てるなら、これを追放領域に捨てる。あなたがそうしたとき、マッドネス・コストでこれを唱えるか、これをあなたの墓地に置く。）</t>
  </si>
  <si>
    <t>圧倒する叫び（あっとうするさけび）</t>
  </si>
  <si>
    <t>プレイヤー１人を対象とする。そのプレイヤーはカードを１枚無作為に選んで捨てる。</t>
  </si>
  <si>
    <t>サイクリング(５)(U)(B)(R)（(５)(U)(B)(R),このカードを捨てる：カードを１枚引く。）</t>
  </si>
  <si>
    <t>あなたが圧倒する叫びをサイクリングしたとき、プレイヤー１人を対象とする。そのプレイヤーはカードを２枚無作為に選んで捨てる。</t>
  </si>
  <si>
    <t>病的な略取（びょうてきなりゃくしゅ）</t>
  </si>
  <si>
    <t>死後の放浪（しごのほうろう）</t>
  </si>
  <si>
    <t>あなたの墓地からクリーチャー・カード最大２枚を対象とし、それらをあなたの手札に戻す。</t>
  </si>
  <si>
    <t>窒息死（ちっそくし）</t>
  </si>
  <si>
    <t>アンタップ状態のクリーチャー１体を対象とし、それを破壊する。</t>
  </si>
  <si>
    <t>血管の施し（けっかんのほどこし）</t>
  </si>
  <si>
    <t>対戦相手１人を対象とする。そのプレイヤーは３点のライフを失い、あなたは３点のライフを得る。</t>
  </si>
  <si>
    <t>闇の尋問（やみのじんもん）</t>
  </si>
  <si>
    <t>対戦相手１人を対象とする。そのプレイヤーは自分の手札を公開する。あなたはその中から土地でないカード１枚を選ぶ。そのプレイヤーはそのカードを捨てる。</t>
  </si>
  <si>
    <t>海墓の刈り取り（かいぼのかりとり）</t>
  </si>
  <si>
    <t>黒の2/2のゾンビ(Zombie)・クリーチャー・トークンを１体生成する。</t>
  </si>
  <si>
    <t>ラクシャーサの秘密（らくしゃーさのひみつ）</t>
  </si>
  <si>
    <t>対戦相手１人を対象とする。そのプレイヤーはカードを２枚捨てる。あなたのライブラリーの一番上から２枚のカードをあなたの墓地に置く。</t>
  </si>
  <si>
    <t>魂回収（たましいかいしゅう）</t>
  </si>
  <si>
    <t>病的な出来事（びょうてきなできごと）</t>
  </si>
  <si>
    <t>プレイヤー１人を対象とする。そのプレイヤーは自分の手札と自分のライブラリーの一番上のカードを公開する。あなたはこれにより公開されたカードを１枚選ぶ。そのプレイヤーは選ばれたカードを自分のライブラリーの一番下に置く。</t>
  </si>
  <si>
    <t>痛ましい教訓（いたましいきょうくん）</t>
  </si>
  <si>
    <t>プレイヤー１人を対象とする。そのプレイヤーはカードを２枚引き、２点のライフを失う。</t>
  </si>
  <si>
    <t>忌まわしい容貌（いまわしいようぼう）</t>
  </si>
  <si>
    <t>骨読み（ほねよみ）</t>
  </si>
  <si>
    <t>占術２を行い、その後カードを２枚引く。あなたは２点のライフを失う。（占術２を行うには、あなたのライブラリーの一番上から２枚のカードを見て、そのうちの望む枚数のカードを望む順番であなたのライブラリーの一番下に置き、残りを望む順番で一番上に置く。）</t>
  </si>
  <si>
    <t>狂乱病のもつれ（きょうらんびょうのもつれ）</t>
  </si>
  <si>
    <t>各プレイヤーはカードを３枚捨てる。</t>
  </si>
  <si>
    <t>吸命（きゅうめい）</t>
  </si>
  <si>
    <t>プレイヤー１人を対象とする。そのプレイヤーは２点のライフを失い、あなたは２点のライフを得る。</t>
  </si>
  <si>
    <t>大群の殺到（たいぐんのさっとう）</t>
  </si>
  <si>
    <t>ターン終了時まで、あなたがコントロールするクリーチャーは+2/+0の修整を受ける。ターン終了時まで、あなたがコントロールする無色のクリーチャーはさらに先制攻撃を得る。</t>
  </si>
  <si>
    <t>強要（きょうよう）</t>
  </si>
  <si>
    <t>対戦相手１人を対象とする。そのプレイヤーは自分の手札を公開する。あなたはその中からカードを１枚選ぶ。そのプレイヤーは、そのカードを捨てる。</t>
  </si>
  <si>
    <t>死の報い（しのむくい）</t>
  </si>
  <si>
    <t>クリーチャー１体を対象とする。あなたの墓地にあるクリーチャー・カード１枚を対象とし、それをあなたのライブラリーの一番上に置いてもよい。そうした場合、死の報いはそのクリーチャーにそのカードのパワーに等しい点数のダメージを与える。</t>
  </si>
  <si>
    <t>夜の恐怖（よるのきょうふ）</t>
  </si>
  <si>
    <t>プレイヤー１人を対象とする。そのプレイヤーは自分の手札を公開する。あなたはその中の土地でないカードを１枚選ぶ。そのカードを追放する。</t>
  </si>
  <si>
    <t>荷降ろし（におろし）</t>
  </si>
  <si>
    <t>暗殺（あんさつ）</t>
  </si>
  <si>
    <t>放埒（ほうらつ）</t>
  </si>
  <si>
    <t>あなたはカードを２枚引き、２点のライフを失い、(Ｅ)(Ｅ)（エネルギー・カウンター２個）を得る。</t>
  </si>
  <si>
    <t>致死の一刺し（ちしのひとさし）</t>
  </si>
  <si>
    <t>この呪文を唱えるための追加コストとして、あなたがコントロールするクリーチャー１体の上に-1/-1カウンターを１個置く。</t>
  </si>
  <si>
    <t>爛れ暗がり（ただれくらがり）</t>
  </si>
  <si>
    <t>黒でないクリーチャーは、ターン終了時まで-1/-1の修整を受ける。</t>
  </si>
  <si>
    <t>陰惨な運命（いんさんなうんめい）</t>
  </si>
  <si>
    <t>各対戦相手はそれぞれ、あなたがコントロールしているクリーチャー１体につき１点のライフを失う。</t>
  </si>
  <si>
    <t>復活（ふっかつ）</t>
  </si>
  <si>
    <t>あなたの墓地からクリーチャー・カード１枚を対象とし、それをあなたの手札に戻す。</t>
  </si>
  <si>
    <t>竹沼への沈み込み（たけぬまへのしずみこみ）</t>
  </si>
  <si>
    <t>掃引 ― あなたがコントロールする好きな数の沼(Swamp)をオーナーの手札に戻す。プレイヤー１人を対象とする。そのプレイヤーは、これにより戻された沼１枚につきカードを１枚捨てる。</t>
  </si>
  <si>
    <t>割れるような頭痛（われるようなずつう）</t>
  </si>
  <si>
    <t>・プレイヤー１人を対象とする。そのプレイヤーは自分の手札を公開する。あなたはその中からカードを１枚選ぶ。そのプレイヤーはそのカードを捨てる。</t>
  </si>
  <si>
    <t>襲い掛かる恐怖（おそいかかるきょうふ）</t>
  </si>
  <si>
    <t>プレイヤー１人を対象とする。そのプレイヤーはカードを２枚捨てる。占術２を行う。（あなたのライブラリーの一番上から２枚のカードを見て、そのうちの望む枚数のカードを望む順番であなたのライブラリーの一番下に置き、残りを望む順番で一番上に置く。）</t>
  </si>
  <si>
    <t>真夜中の復活（まよなかのふっかつ）</t>
  </si>
  <si>
    <t>終末の目撃（しゅうまつのもくげき）</t>
  </si>
  <si>
    <t>対戦相手１人を対象とする。そのプレイヤーは自分の手札からカードを２枚追放し、２点のライフを失う。</t>
  </si>
  <si>
    <t>陰惨な発見（いんさんなはっけん）</t>
  </si>
  <si>
    <t>陰鬱 ― このターン、クリーチャーが死亡していた場合、代わりにそのプレイヤーは自分の手札を公開し、あなたはその中からカードを２枚選ぶ。その後、そのプレイヤーはそれらのカードを捨てる。</t>
  </si>
  <si>
    <t>苦々しい天啓（にがにがしいてんけい）</t>
  </si>
  <si>
    <t>あなたのライブラリーの一番上から４枚のカードを見る。そのうち２枚をあなたの手札に加え、残りをあなたの墓地に置く。あなたは２点のライフを失う。</t>
  </si>
  <si>
    <t>夜の罠（よるのわな）</t>
  </si>
  <si>
    <t>対戦相手１人を対象とする。そのプレイヤーは自分の手札を公開する。あなたはその中から土地でないカードを１枚選んでもよい。そうしたなら、そのプレイヤーはそのカードを捨てる。そうしなかったなら、そのプレイヤーはカードを２枚捨てる。</t>
  </si>
  <si>
    <t>忘却の一撃（ぼうきゃくのいちげき）</t>
  </si>
  <si>
    <t>従順な復活（じゅうじゅんなふっかつ）</t>
  </si>
  <si>
    <t>臓腑抜き（ぞうふぬき）</t>
  </si>
  <si>
    <t>血の税収（ちのぜいしゅう）</t>
  </si>
  <si>
    <t>各対戦相手は３点のライフを失う。あなたはこれにより失われたライフに等しい点数のライフを得る。</t>
  </si>
  <si>
    <t>精神的苦悶（せいしんてきくもん）</t>
  </si>
  <si>
    <t>プレイヤー１人を対象とする。そのプレイヤーはカードを２枚捨て、２点のライフを失う。</t>
  </si>
  <si>
    <t>果敢な爆破（かかんなばくは）</t>
  </si>
  <si>
    <t>クリーチャー１体か機体(Vehicle)１つを対象とし、それを破壊する。</t>
  </si>
  <si>
    <t>貪る強欲（むさぼるごうよく）</t>
  </si>
  <si>
    <t>この呪文を唱えるための追加コストとして、好きな数のスピリット(Spirit)を生け贄に捧げてもよい。</t>
  </si>
  <si>
    <t>プレイヤー１人を対象とする。そのプレイヤーは２点のライフを失い、これにより生け贄に捧げられたスピリット１つにつきさらに２点のライフを失う。あなたはその点数に等しい点数のライフを得る。</t>
  </si>
  <si>
    <t>蘇りし者の行進（よみがえりしもののこうしん）</t>
  </si>
  <si>
    <t>刺突（しとつ）</t>
  </si>
  <si>
    <t>ぬかるみの敵意（ぬかるみのてきい）</t>
  </si>
  <si>
    <t>対戦相手１人を対象とする。そのプレイヤーはカードを２枚捨てる。</t>
  </si>
  <si>
    <t>覚醒３ ― (５)(B)（この呪文を(５)(B)で唱えたなら、加えて、あなたがコントロールする土地１つを対象とする。それの上に+1/+1カウンターを３個置く。それは速攻を持つ0/0のエレメンタル(Elemental)・クリーチャーになる。それは土地でもある。）</t>
  </si>
  <si>
    <t>汚れ（よごれ）</t>
  </si>
  <si>
    <t>土地１つか黒でないクリーチャー１体を対象とし、それを破壊する。それは再生できない。</t>
  </si>
  <si>
    <t>リッチの愛撫（りっちのあいぶ）</t>
  </si>
  <si>
    <t>クリーチャー１体を対象とし、それを破壊する。あなたは３点のライフを得る。</t>
  </si>
  <si>
    <t>影切り（かげきり）</t>
  </si>
  <si>
    <t>悪魔の掌握（あくまのしょうあく）</t>
  </si>
  <si>
    <t>クリーチャー１体を対象とする。ターン終了時まで、それは-5/-5の修整を受ける。</t>
  </si>
  <si>
    <t>冒涜された地（ぼうとくされたち）</t>
  </si>
  <si>
    <t>土地１つを対象とし、それを破壊する。それのコントローラーはカードを１枚捨てる。</t>
  </si>
  <si>
    <t>蔓延する腐敗（まんえんするふはい）</t>
  </si>
  <si>
    <t>土地１つを対象とし、それを破壊する。それのコントローラーは２点のライフを失う。</t>
  </si>
  <si>
    <t>不純な裏切り（ふじゅんなうらぎり）</t>
  </si>
  <si>
    <t>不純な裏切りを唱えるための追加コストとして、望む数のクリーチャーを生け贄に捧げる。</t>
  </si>
  <si>
    <t>クリーチャー１体を対象とする。それはターン終了時まで、これにより生け贄に捧げられたクリーチャー１体につき+2/+2の修整を受ける。</t>
  </si>
  <si>
    <t>証拠隠滅（しょうこいんめつ）</t>
  </si>
  <si>
    <t>土地１つを対象とし、それを破壊する。それのコントローラーは自分のライブラリーの一番上のカードを、土地カードが公開されるまで公開し続ける。その後、それらのカードを自分の墓地に置く。</t>
  </si>
  <si>
    <t>雑草の絡めとり（ざっそうのからめとり）</t>
  </si>
  <si>
    <t>クリーチャー１体を対象とし、それを破壊する。対戦相手１人と激突を行う。あなたが勝った場合、あなたはそのクリーチャーのタフネスに等しい点数のライフを得る。（激突を行う各プレイヤーは、自分のライブラリーの一番上のカードを公開し、そのカードを一番上か一番下に置く。自分のカードの点数で見たマナ・コストの方が大きいプレイヤーが勝つ。）</t>
  </si>
  <si>
    <t>憂鬱の槍（ゆううつのやり）</t>
  </si>
  <si>
    <t>クリーチャー１体を対象とし、それを破壊する。そのクリーチャーが緑か白である場合、それのコントローラーはカードを１枚捨てる。</t>
  </si>
  <si>
    <t>死の愛撫（しのあいぶ）</t>
  </si>
  <si>
    <t>依頼殺人（いらいさつじん）</t>
  </si>
  <si>
    <t>クリーチャー１体を対象とし、それを破壊する。「(Ｔ),このアーティファクトを生け贄に捧げる：好きな色１色のマナ１点を加える。」を持つ無色の宝物(Treasure)アーティファクト・トークンを２つ生成する。</t>
  </si>
  <si>
    <t>本質の吸収（ほんしつのきゅうしゅう）</t>
  </si>
  <si>
    <t>クリーチャー１体かプレインズウォーカー１体かプレイヤー１人を対象とする。本質の吸収はそれに３点のダメージを与え、あなたは３点のライフを得る。</t>
  </si>
  <si>
    <t>病気の拡散（びょうきのかくさん）</t>
  </si>
  <si>
    <t>クリーチャー１体を対象とする。それを破壊し、その後、増殖を行う。（あなたはカウンターの置かれているパーマネントやプレイヤーを望む数だけ選び、その後それぞれに、その上に置かれているカウンターのうち１種類を１個置く。）</t>
  </si>
  <si>
    <t>血の儀式文（ちのぎしきぶん）</t>
  </si>
  <si>
    <t>クリーチャー１体を対象とし、それを破壊する。(B)(B)(B)を加える。</t>
  </si>
  <si>
    <t>脳崩し（のうくずし）</t>
  </si>
  <si>
    <t>エンチャントされていないクリーチャー１体を対象とし、それを破壊する。それは再生できない。</t>
  </si>
  <si>
    <t>ぬかるみの大口（ぬかるみのおおぐち）</t>
  </si>
  <si>
    <t>土地１つを対象とし、それを破壊する。あなたは４点のライフを得る。</t>
  </si>
  <si>
    <t>大蛇の儀式（だいじゃのぎしき）</t>
  </si>
  <si>
    <t>クリーチャー１体を対象とし、それを破壊する。そのクリーチャーの上に+1/+1カウンターが置かれていたなら、緑の1/1の蛇(Snake)クリーチャー・トークンを１体生成する。</t>
  </si>
  <si>
    <t>一口の草毒（ひとくちのそうどく）</t>
  </si>
  <si>
    <t>本質の給餌（ほんしつのきゅうじ）</t>
  </si>
  <si>
    <t>プレイヤー１人を対象とする。そのプレイヤーは３点のライフを失う。あなたは３点のライフを得るとともに、無色の0/1のエルドラージ(Eldrazi)・落とし子(Spawn)クリーチャー・トークンを３体生成する。それらは「このクリーチャーを生け贄に捧げる：(◇)を加える。」を持つ。</t>
  </si>
  <si>
    <t>精神攪乱（せいしんかくらん）</t>
  </si>
  <si>
    <t>プレイヤー１人を対象とする。そのプレイヤーはカードを３枚捨てる。</t>
  </si>
  <si>
    <t>待機４ ― (B)（このカードをあなたの手札から唱えるのではなく、(B)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t>
  </si>
  <si>
    <t>生命の危機（せいめいのきき）</t>
  </si>
  <si>
    <t>クリーチャー１体を対象とし、それを破壊する。それのコントローラーは２点のライフを失い、あなたは２点のライフを得る。</t>
  </si>
  <si>
    <t>墓の入れ替え（はかのいれかえ）</t>
  </si>
  <si>
    <t>あなたの墓地にあるクリーチャー・カード１枚とプレイヤー１人を対象とする。その前者をあなたの手札に戻し、その後者はクリーチャーを１体生け贄に捧げる。</t>
  </si>
  <si>
    <t>タシグルの残虐（たしぐるのざんぎゃく）</t>
  </si>
  <si>
    <t>各対戦相手はそれぞれカードを２枚捨てる。</t>
  </si>
  <si>
    <t>血の誓約（ちのせいやく）</t>
  </si>
  <si>
    <t>(６)(B)</t>
  </si>
  <si>
    <t>クリーチャー１体かプレインズウォーカー１体かプレイヤー１人を対象とする。血の誓約はそれに４点のダメージを与え、あなたは４点のライフを得る。</t>
  </si>
  <si>
    <t>ヴィスの吸収（う゛ぃすのきゅうしゅう）</t>
  </si>
  <si>
    <t>プレイヤー１人を対象とする。そのプレイヤーは４点のライフを失い、あなたは４点のライフを得る。</t>
  </si>
  <si>
    <t>基本土地サイクリング(１)(B)（(１)(B),このカードを捨てる：あなたのライブラリーから基本土地カードを１枚探す。それを公開し、あなたの手札に加える。その後あなたのライブラリーを切り直す。）</t>
  </si>
  <si>
    <t>衰弱（すいじゃく）</t>
  </si>
  <si>
    <t>エンチャントされているクリーチャーは-2/-1の修整を受ける。</t>
  </si>
  <si>
    <t>ひどい荒廃（ひどいこうはい）</t>
  </si>
  <si>
    <t>エンチャントされているクリーチャーは、-1/-1の修整を受けるとともに、それではブロックできない。</t>
  </si>
  <si>
    <t>悪魔的活力（あくまてきかつりょく）</t>
  </si>
  <si>
    <t>エンチャントされているクリーチャーが死亡したとき、そのカードをオーナーの手札に戻す。</t>
  </si>
  <si>
    <t>悪意ある占有（あくいあるせんゆう）</t>
  </si>
  <si>
    <t>エンチャントされているクリーチャーが攻撃するかブロックするたび、それのコントローラーは２点のライフを失う。</t>
  </si>
  <si>
    <t>邪悪なる力（じゃあくなるちから）</t>
  </si>
  <si>
    <t>エンチャントされているクリーチャーは+2/+1の修整を受ける。</t>
  </si>
  <si>
    <t>陰惨な醜さ（いんさんなみにくさ）</t>
  </si>
  <si>
    <t>エンチャントされているクリーチャーは威嚇を持つ。（それはアーティファクト・クリーチャーかそれと共通の色を持つクリーチャー以外にはブロックされない。）</t>
  </si>
  <si>
    <t>死の接近（しのせっきん）</t>
  </si>
  <si>
    <t>エンチャントされているクリーチャーは-X/-Xの修整を受ける。Ｘは、それのコントローラーの墓地にあるクリーチャー・カードの枚数である。</t>
  </si>
  <si>
    <t>邪悪の気配（じゃあくのけはい）</t>
  </si>
  <si>
    <t>エンチャントされている土地は沼(Swamp)である。</t>
  </si>
  <si>
    <t>死の重み（しのおもみ）</t>
  </si>
  <si>
    <t>エンチャントされているクリーチャーは-2/-2の修整を受ける。</t>
  </si>
  <si>
    <t>毒蛇座の口づけ（どくへびざのくちづけ）</t>
  </si>
  <si>
    <t>エンチャントされているクリーチャーは-1/-1の修整を受けるとともに、それの起動型能力は起動できない。</t>
  </si>
  <si>
    <t>魂の階段の探検（たましいのかいだんのたんけん）</t>
  </si>
  <si>
    <t>上陸 ― 土地が１つあなたのコントロール下で場に出るたび、あなたは魂の階段の探検の上に探索(quest)カウンターを１個置いてもよい。</t>
  </si>
  <si>
    <t>魂の階段の探検から探索カウンターを３個取り除くとともに、それを生け贄に捧げる：あなたの墓地にあるクリーチャー・カードを最大２枚まで対象とし、それらをあなたの手札に戻す。</t>
  </si>
  <si>
    <t>捕食者の計略（ほしょくしゃのけいりゃく）</t>
  </si>
  <si>
    <t>エンチャントされているクリーチャーは、それのコントローラーが他にクリーチャーをコントロールしていないかぎり威嚇を持つ。（それはアーティファクト・クリーチャーかそれと共通の色を持つクリーチャー以外にはブロックされない。）</t>
  </si>
  <si>
    <t>拷問（ごうもん）</t>
  </si>
  <si>
    <t>(１)(B)：エンチャントされているクリーチャーの上に-1/-1カウンターを１個置く。</t>
  </si>
  <si>
    <t>ぬかるみの荒廃（ぬかるみのこうはい）</t>
  </si>
  <si>
    <t>腐肉化（ふにくか）</t>
  </si>
  <si>
    <t>エンチャントされているクリーチャーは-1/-1の修整を受けるとともに、それの他の色やタイプに加えて黒のゾンビ(Zombie)である。</t>
  </si>
  <si>
    <t>奇妙な増強（きみょうなぞうきょう）</t>
  </si>
  <si>
    <t>昂揚 ― あなたの墓地にあるカードにカード・タイプが合計４種類以上含まれるかぎり、エンチャントされているクリーチャーは追加で+2/+2の修整を受ける。</t>
  </si>
  <si>
    <t>悪魔の食欲（あくまのしょくよく）</t>
  </si>
  <si>
    <t>あなたのアップキープの開始時に、クリーチャーを１体生け贄に捧げる。</t>
  </si>
  <si>
    <t>逸脱者の歓び（いつだつしゃのよろこび）</t>
  </si>
  <si>
    <t>エンチャントされているクリーチャーは+2/+1の修整を受けるとともに「(R)：このクリーチャーは、ターン終了時までトランプルを得る。」を持つ。</t>
  </si>
  <si>
    <t>吸血の絆（きゅうけつのきずな）</t>
  </si>
  <si>
    <t xml:space="preserve">エンチャント（クリーチャー） </t>
  </si>
  <si>
    <t>殻脱ぎ（からぬぎ）</t>
  </si>
  <si>
    <t>エンチャントされているクリーチャーは+2/+0の修整を受けるとともに「(２)(B)：このクリーチャーを再生する。」を持つ。</t>
  </si>
  <si>
    <t>忌むべき者の頸木（いむべきもののくびき）</t>
  </si>
  <si>
    <t>クリーチャー１体が死亡したとき、エンチャントされているクリーチャーを破壊する。</t>
  </si>
  <si>
    <t>骸骨の渋面（がいこつのじゅうめん）</t>
  </si>
  <si>
    <t>エンチャントされているクリーチャーは+1/+1の修整を受けるとともに「(B)：このクリーチャーを再生する。」を持つ。</t>
  </si>
  <si>
    <t>悪意の器（あくいのうつわ）</t>
  </si>
  <si>
    <t>(１)(B),悪意の器を生け贄に捧げる：対戦相手１人を対象とする。そのプレイヤーは自分の手札からカードを２枚追放する。この能力は、あなたがソーサリーを唱えられるときにのみ起動できる。</t>
  </si>
  <si>
    <t>腐敗したゼンディコン（ふはいしたぜんでぃこん）</t>
  </si>
  <si>
    <t>エンチャントされている土地は、黒の3/3のウーズ(Ooze)・クリーチャーである。それは土地でもある。</t>
  </si>
  <si>
    <t>弱体化（じゃくたいか）</t>
  </si>
  <si>
    <t>虚弱（きょじゃく）</t>
  </si>
  <si>
    <t>ファイレクシア化（ふぁいれくしあか）</t>
  </si>
  <si>
    <t>エンチャントされているクリーチャーは感染を持つ。（それは、クリーチャーに-1/-1カウンターの形でダメージを与え、プレイヤーに毒(poison)カウンターの形でダメージを与える。）</t>
  </si>
  <si>
    <t>消耗する負傷（しょうもうするふしょう）</t>
  </si>
  <si>
    <t>破滅蜂の苦悩（はめつばちのくのう）</t>
  </si>
  <si>
    <t>エンチャントされているクリーチャーが死亡したとき、そのクリーチャーのコントローラーはそれのタフネスに等しい点数のライフを失う。</t>
  </si>
  <si>
    <t>エレボスの催促（えれぼすのさいそく）</t>
  </si>
  <si>
    <t>エンチャントされているクリーチャーは「(１)(B),(Ｔ)：プレイヤー１人を対象とする。そのプレイヤーは２点のライフを失う。」を持つ。</t>
  </si>
  <si>
    <t>侵入者への呪い（しんにゅうしゃへののろい）</t>
  </si>
  <si>
    <t>クリーチャーが１体、エンチャントされているプレイヤーのコントロール下で戦場に出るたび、そのプレイヤーは１点のライフを失い、あなたは１点のライフを得る。</t>
  </si>
  <si>
    <t>汚染された結合（おせんされたけつごう）</t>
  </si>
  <si>
    <t>エンチャントされているクリーチャーが攻撃かブロックするたび、それのコントローラーは３点のライフを失う。</t>
  </si>
  <si>
    <t>永遠の口渇（えいえんのこうかつ）</t>
  </si>
  <si>
    <t>エンチャントされているクリーチャーは絆魂を持つとともに「対戦相手がコントロールするクリーチャーが１体死亡するたび、このクリーチャーの上に+1/+1カウンターを１個置く。」を持つ。（絆魂を持つクリーチャーがダメージを与えると、さらにそのコントローラーはその点数分のライフを得る。）</t>
  </si>
  <si>
    <t>忘却の冠（ぼうきゃくのかんむり）</t>
  </si>
  <si>
    <t>エンチャントされているクリーチャーは「カードを１枚捨てる：このクリーチャーは、ターン終了時まで+1/+1の修整を受ける。」を持つ。</t>
  </si>
  <si>
    <t>冥府の傷跡（めいふのきずあと）</t>
  </si>
  <si>
    <t>エンチャントされているクリーチャーは+2/+0の修整を受け、「このクリーチャーが死亡したとき、カードを１枚引く。」を持つ。</t>
  </si>
  <si>
    <t>回帰の泉（かいきのいずみ）</t>
  </si>
  <si>
    <t>(３)(B),回帰の泉を生け贄に捧げる：あなたの墓地にあるクリーチャー・カードを最大３枚まで対象とし、それらをあなたの手札に戻す。</t>
  </si>
  <si>
    <t>危険な墓（きけんなはか）</t>
  </si>
  <si>
    <t>黒でないクリーチャーが戦場に出たとき、危険な墓を生け贄に捧げる。そうした場合、そのクリーチャーを破壊する。</t>
  </si>
  <si>
    <t>災いの印（わざわいのいん）</t>
  </si>
  <si>
    <t>災いの印が戦場に出たとき、カードを１枚引く。</t>
  </si>
  <si>
    <t>エンチャントされているクリーチャーは+1/+0の修整を受ける。</t>
  </si>
  <si>
    <t>ほつれた血管（ほつれたけっかん）</t>
  </si>
  <si>
    <t>エンチャントされているクリーチャーがダメージを与えられるたび、それのコントローラーは同じ点数のライフを失う。</t>
  </si>
  <si>
    <t>闇の好意（やみのこうい）</t>
  </si>
  <si>
    <t>闇の好意が戦場に出たとき、あなたは１点のライフを失う。</t>
  </si>
  <si>
    <t>エンチャントされているクリーチャーは+3/+1の修整を受ける。</t>
  </si>
  <si>
    <t>悪意の幻霊（あくいのげんれい）</t>
  </si>
  <si>
    <t>授与(４)(B)（このカードを授与コストで唱えた場合、これはエンチャント（クリーチャー）を持つオーラ(Aura)呪文である。クリーチャーにつけられていない場合、これは再びクリーチャーになる。）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</si>
  <si>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エンチャントされているクリーチャーは+1/+1の修整を受けるとともに接死を持つ。</t>
  </si>
  <si>
    <t>先祖の復讐（せんぞのふくしゅう）</t>
  </si>
  <si>
    <t>先祖の復讐が戦場に出たとき、あなたがコントロールするクリーチャー１体を対象とし、それの上に+1/+1カウンターを１個置く。</t>
  </si>
  <si>
    <t>エンチャントされているクリーチャーは-1/-1の修整を受ける。</t>
  </si>
  <si>
    <t>深夜の誓約（しんやのせいやく）</t>
  </si>
  <si>
    <t>エンチャントされているクリーチャーは「(B)：このクリーチャーは、ターン終了時まで+1/+1の修整を受ける。」を持つ。</t>
  </si>
  <si>
    <t>悪意に満ちた影（あくいにみちたかげ）</t>
  </si>
  <si>
    <t>エンチャントされているクリーチャーにダメージが与えられるたび、それはその点数に等しい点数のダメージをそれのコントローラーに与える。</t>
  </si>
  <si>
    <t>ニクス生まれの幻霊（にくすうまれのげんれい）</t>
  </si>
  <si>
    <t>すがりつく闇（すがりつくやみ）</t>
  </si>
  <si>
    <t>エンチャントされているクリーチャーは-4/-1の修整を受ける。</t>
  </si>
  <si>
    <t>汚染された地（おせんされたち）</t>
  </si>
  <si>
    <t>エンチャントされている土地がタップ状態になるたび、それのコントローラーは２点のライフを失う。</t>
  </si>
  <si>
    <t>闇への投入（やみへのとうにゅう）</t>
  </si>
  <si>
    <t>エンチャントされているクリーチャーは-2/-0の修整を受けるとともに、それではブロックできない。</t>
  </si>
  <si>
    <t>畏怖（いふ）</t>
  </si>
  <si>
    <t>エンチャントされているクリーチャーは畏怖を持つ。（それは黒でもアーティファクトでもないクリーチャーによってはブロックされない。）</t>
  </si>
  <si>
    <t>忌まわしい変身（いまわしいへんしん）</t>
  </si>
  <si>
    <t>忌まわしい変身が戦場に出たとき、カードを１枚引く。</t>
  </si>
  <si>
    <t>ゴルゴンの血（ごるごんのち）</t>
  </si>
  <si>
    <t>エンチャントされているクリーチャーは+1/+3の修整を受けるとともに接死を持つ。（これが何らかのダメージをクリーチャーに与えたら、それだけで破壊する。）</t>
  </si>
  <si>
    <t>荒々しい渇望（あらあらしいかつぼう）</t>
  </si>
  <si>
    <t>エンチャントされているクリーチャーは、+2/+1の修整を受けるとともに威迫を持つ。（それは２体以上のクリーチャーによってしかブロックされない。）</t>
  </si>
  <si>
    <t>不浄の契約（ふじょうのけいやく）</t>
  </si>
  <si>
    <t>苛立ちの呪い（いらだちののろい）</t>
  </si>
  <si>
    <t>(１)(R)：エンチャントされているクリーチャーは、このターン可能ならば攻撃する。</t>
  </si>
  <si>
    <t>秘宝の腐敗（ひほうのふはい）</t>
  </si>
  <si>
    <t>エンチャントされているアーティファクトがタップ状態になるたび、それのコントローラーは毒(poison)カウンターを１個得る。</t>
  </si>
  <si>
    <t>ヒルの祝福（ひるのしゅくふく）</t>
  </si>
  <si>
    <t>あなたのアップキープの開始時に、あなたは１点のライフを失う。</t>
  </si>
  <si>
    <t>(０)：エンチャントされているクリーチャーを再生する。</t>
  </si>
  <si>
    <t>野望のカルトーシュ（やぼうのかるとーしゅ）</t>
  </si>
  <si>
    <t>野望のカルトーシュが戦場に出たとき、クリーチャー１体を対象とする。あなたはそれの上に-1/-1カウンターを１個置いてもよい。</t>
  </si>
  <si>
    <t>屍術師の魔法印（しじゅつしのまほういん）</t>
  </si>
  <si>
    <t>あなたがコントロールする、エンチャントされているクリーチャーが死亡する場合、代わりにそれをオーナーの手札に戻す。</t>
  </si>
  <si>
    <t>泥沼病（どろぬまびょう）</t>
  </si>
  <si>
    <t>エンチャントされているクリーチャーは、あなたがコントロールする沼(Swamp)１つにつき-1/-1の修整を受ける。</t>
  </si>
  <si>
    <t>刺し傷（さしきず）</t>
  </si>
  <si>
    <t>エンチャントされているクリーチャーのコントローラーのアップキープの開始時に、そのプレイヤーは２点のライフを失う。</t>
  </si>
  <si>
    <t>ニクスの注入（にくすのちゅうにゅう）</t>
  </si>
  <si>
    <t>エンチャントされているクリーチャーは、それがエンチャントであるかぎり+2/+2の修整を受ける。そうでないなら、それは-2/-2の修整を受ける。</t>
  </si>
  <si>
    <t>スゥルタイの呪印（すぅるたいのじゅいん）</t>
  </si>
  <si>
    <t>エンチャントされているクリーチャーは、あなたが緑か青のパーマネントをコントロールしているかぎり接死を持つ。（これが何らかのダメージをクリーチャーに与えたら、それだけで破壊する。）</t>
  </si>
  <si>
    <t>厳かな守護者（おごそかなしゅごしゃ）</t>
  </si>
  <si>
    <t>星座 ― 厳かな守護者か他のエンチャント１つがあなたのコントロール下で戦場に出るたび、各対戦相手はそれぞれ１点のライフを失う。</t>
  </si>
  <si>
    <t>破滅の印章（はめつのいんしょう）</t>
  </si>
  <si>
    <t>破滅の印章を生け贄に捧げる：黒でないクリーチャー１体を対象とし、それを破壊する。それは再生できない。</t>
  </si>
  <si>
    <t>魂の出血（たましいのしゅっけつ）</t>
  </si>
  <si>
    <t>エンチャントされているクリーチャーのコントローラーのアップキープの開始時に、そのプレイヤーは１点のライフを失う。</t>
  </si>
  <si>
    <t>エムラクールの加護（えむらくーるのかご）</t>
  </si>
  <si>
    <t>エンチャントされているクリーチャーは+3/-3の修整を受ける。</t>
  </si>
  <si>
    <t>哀愁（あいしゅう）</t>
  </si>
  <si>
    <t>哀愁が戦場に出たとき、エンチャントされているクリーチャーをタップする。</t>
  </si>
  <si>
    <t>あなたのアップキープの開始時に、あなたが(B)を支払わないかぎり哀愁を生け贄に捧げる。</t>
  </si>
  <si>
    <t>屍術の渇き（しじゅつのかわき）</t>
  </si>
  <si>
    <t>エンチャントされているクリーチャーがプレイヤーに戦闘ダメージを与えるたび、あなたの墓地にあるクリーチャー・カード１枚を対象とする。あなたはそれをあなたの手札に戻してもよい。</t>
  </si>
  <si>
    <t>影麻呂の手中（かげまろのしゅちゅう）</t>
  </si>
  <si>
    <t>エンチャントされているクリーチャーは-X/-Xの修整を受ける。Xは、あなたの手札のカードの枚数である。</t>
  </si>
  <si>
    <t>災難の瀬戸際（さいなんのせとぎわ）</t>
  </si>
  <si>
    <t>エンチャント（クリーチャーか土地）</t>
  </si>
  <si>
    <t>エンチャントされているパーマネントがタップ状態になったとき、それを破壊する。</t>
  </si>
  <si>
    <t>忘却の呪い（ぼうきゃくののろい）</t>
  </si>
  <si>
    <t>エンチャントされているプレイヤーのアップキープの開始時に、そのプレイヤーは自分の墓地にあるカードを２枚追放する。</t>
  </si>
  <si>
    <t>死の国の重み（しのくにのおもみ）</t>
  </si>
  <si>
    <t>エンチャントされているクリーチャーは-3/-2の修整を受ける。</t>
  </si>
  <si>
    <t>不死の断片（ふしのだんぺん）</t>
  </si>
  <si>
    <t>不死の断片が戦場に出たとき、プレイヤー１人を対象とする。そのプレイヤーはカードを２枚捨てる。</t>
  </si>
  <si>
    <t>(B)：エンチャントされているクリーチャーを再生する。</t>
  </si>
  <si>
    <t>吸血鬼の印（きゅうけつきのいん）</t>
  </si>
  <si>
    <t>エンチャントされているクリーチャーは+2/+2の修整を受けるとともに絆魂を持つ。</t>
  </si>
  <si>
    <t>寄生的移植（きせいてきいしょく）</t>
  </si>
  <si>
    <t>あなたのアップキープの開始時に、エンチャントされているクリーチャーのコントローラーはそれを生け贄に捧げ、あなたは無色の1/1のマイア(Myr)・アーティファクト・クリーチャー・トークンを１体生成する。</t>
  </si>
  <si>
    <t>洞窟のランパード（どうくつのらんぱーど）</t>
  </si>
  <si>
    <t>授与(５)(B)（このカードを授与コストで唱えた場合、これはエンチャント（クリーチャー）を持つオーラ(Aura)呪文である。クリーチャーにつけられていない場合、これは再びクリーチャーになる。）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</si>
  <si>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エンチャントされているクリーチャーは+2/+2の修整を受けるとともに威嚇を持つ。</t>
  </si>
  <si>
    <t>戦慄運びのランパード（せんりつはこびのらんぱーど）</t>
  </si>
  <si>
    <t>星座 ― 戦慄運びのランパードか他のエンチャント１つがあなたのコントロール下で戦場に出るたび、クリーチャー１体を対象とする。それはターン終了時まで威嚇を得る。（それはアーティファクト・クリーチャーかそれと共通の色を持つクリーチャー以外にはブロックされない。）</t>
  </si>
  <si>
    <t>殺意の凝視</t>
  </si>
  <si>
    <t>パワーがＸ以下のクリーチャー１体を対象とし、それを破壊する。</t>
  </si>
  <si>
    <t>悪性の強打</t>
  </si>
  <si>
    <t>クリーチャー１体を対象とする。それはターン終了時まで+2/+0の修整を受けるとともに、接死を得る。</t>
  </si>
  <si>
    <t>死の風</t>
  </si>
  <si>
    <t>致命的な一押し</t>
  </si>
  <si>
    <t>クリーチャー１体を対象とし、それの点数で見たマナ・コストが２以下であるなら、それを破壊する。</t>
  </si>
  <si>
    <t>紛争 ― このターンにあなたがコントロールするパーマネントが戦場を離れていたなら、代わりに、そのクリーチャーの点数で見たマナ・コストが４以下であるなら、それを破壊する。</t>
  </si>
  <si>
    <t>過去の受難</t>
  </si>
  <si>
    <t>プレイヤー１人を対象とし、そのプレイヤーの墓地にあるカードＸ枚を対象とする。その後者を追放する。これにより追放されたカード１枚につき、そのプレイヤーは１点のライフを失い、あなたは１点のライフを得る。</t>
  </si>
  <si>
    <t>潰瘍化</t>
  </si>
  <si>
    <t>クリーチャー１体を対象とする。それはターン終了時まで-3/-3の修整を受ける。あなたは３点のライフを失う。</t>
  </si>
  <si>
    <t>闇の裏切り</t>
  </si>
  <si>
    <t>黒のクリーチャー１体を対象とし、それを破壊する。</t>
  </si>
  <si>
    <t>暗黒破</t>
  </si>
  <si>
    <t>発掘３（あなたがカードを引く場合、代わりにあなたはあなたのライブラリーのカードを上からちょうど３枚、あなたの墓地に置いてもよい。そうした場合、あなたの墓地にあるこのカードをあなたの手札に戻す。そうしなかった場合、カードを１枚引く。）</t>
  </si>
  <si>
    <t>破滅の刃</t>
  </si>
  <si>
    <t>究極の価格</t>
  </si>
  <si>
    <t>単色のクリーチャー１体を対象とし、それを破壊する。</t>
  </si>
  <si>
    <t>喪心</t>
  </si>
  <si>
    <t>伝説でないクリーチャー１体を対象とし、それを破壊する。</t>
  </si>
  <si>
    <t>影の中の貪り</t>
  </si>
  <si>
    <t>クリーチャー１体を対象とし、それを破壊する。それは再生できない。あなたはそのタフネスに等しい点数のライフを失う。</t>
  </si>
  <si>
    <t>食餌の衝動</t>
  </si>
  <si>
    <t>クリーチャー１体を対象とする。それはターン終了時まで-3/-3の修整を受ける。あなたは、あなたがコントロールするアンタップ状態の吸血鬼(Vampire)クリーチャーを望む数だけタップしてもよい。そうした場合、それらの各吸血鬼の上に+1/+1カウンターを１個置く。</t>
  </si>
  <si>
    <t>夜寄せ</t>
  </si>
  <si>
    <t>ターン終了時まで、すべてのクリーチャーは黒になり、すべての土地は沼(Swamp)になる。</t>
  </si>
  <si>
    <t>喉首狙い</t>
  </si>
  <si>
    <t>アーティファクトでないクリーチャー１体を対象とし、それを破壊する。</t>
  </si>
  <si>
    <t>燻し</t>
  </si>
  <si>
    <t>点数で見たマナ・コストが３以下のクリーチャー１体を対象とし、それを破壊する。それは再生できない。</t>
  </si>
  <si>
    <t>闇の掌握</t>
  </si>
  <si>
    <t>胆汁病</t>
  </si>
  <si>
    <t>クリーチャー１体を対象とする。それと、そのクリーチャーと同じ名前を持つ他のすべてのクリーチャーは、ターン終了時まで-3/-3の修整を受ける。</t>
  </si>
  <si>
    <t>忌呪の発動</t>
  </si>
  <si>
    <t>プレイヤー１人を対象とする。そのプレイヤーはクリーチャーを１体生け贄に捧げる。あなたがこの呪文を唱えた時点でドラゴン・カードを公開したかドラゴンをコントロールしていたなら、あなたは４点のライフを得る。</t>
  </si>
  <si>
    <t>殺戮</t>
  </si>
  <si>
    <t>緑のクリーチャー１体を対象とし、それを破壊する。それは再生できない。</t>
  </si>
  <si>
    <t>崩老卑の囁き</t>
  </si>
  <si>
    <t>処刑</t>
  </si>
  <si>
    <t>白のクリーチャー１体を対象とし、それを破壊する。それは再生できない。</t>
  </si>
  <si>
    <t>突然の死</t>
  </si>
  <si>
    <t>飢えへの貢ぎ物</t>
  </si>
  <si>
    <t>対戦相手１人を対象とする。そのプレイヤーはクリーチャーを１体生け贄に捧げる。あなたはそのクリーチャーのタフネスに等しい点数のライフを得る。</t>
  </si>
  <si>
    <t>陳腐化</t>
  </si>
  <si>
    <t>ターン終了時まで、対戦相手がコントロールするクリーチャーは-1/-1の修整を受ける。</t>
  </si>
  <si>
    <t>略奪者の急襲</t>
  </si>
  <si>
    <t>クロヴの腐敗</t>
  </si>
  <si>
    <t>復活(１)(B)(B)（他のクリーチャーが戦場からあなたの墓地に置かれたとき、あなたは(１)(B)(B)を支払ってもよい。そうした場合、あなたの墓地にあるこのカードをあなたの手札に戻す。そうでない場合、このカードを追放する。）</t>
  </si>
  <si>
    <t>四肢切断</t>
  </si>
  <si>
    <t>(１)(黒/Φ)(黒/Φ)</t>
  </si>
  <si>
    <t>（(黒/Φ)は(B)でも２点のライフでも支払うことができる。）</t>
  </si>
  <si>
    <t>殺害</t>
  </si>
  <si>
    <t>本質の摘出</t>
  </si>
  <si>
    <t>クリーチャー１体を対象とする。本質の摘出はそれに３点のダメージを与える。あなたは３点のライフを得る。</t>
  </si>
  <si>
    <t>悪夢のような末路</t>
  </si>
  <si>
    <t>クリーチャー１体を対象とする。それはターン終了時まで-X/-Xの修整を受ける。Ｘは、あなたの手札にあるカードの枚数である。</t>
  </si>
  <si>
    <t>コーの葬送歌</t>
  </si>
  <si>
    <t>あなたがコントロールするクリーチャー１体を対象とする。別のクリーチャー１体を対象とする。このターン、あなたが選んだ発生源１つがあなたがコントロールするそのクリーチャーに与えるすべてのダメージは、代わりにそのクリーチャーに与えられる。</t>
  </si>
  <si>
    <t>居すくみ</t>
  </si>
  <si>
    <t>忌まわしい笑い</t>
  </si>
  <si>
    <t>すべてのクリーチャーはターン終了時まで-2/-2の修整を受ける。</t>
  </si>
  <si>
    <t>連繋（秘儀(Arcane)）(３)(B)(B)（あなたが秘儀呪文を唱えるに際し、あなたはこのカードを手札から公開して連繋コストを支払ってもよい。そうした場合、このカードの効果をその呪文に追加する。）</t>
  </si>
  <si>
    <t>殺し屋の行動</t>
  </si>
  <si>
    <t>クリーチャーを最大２体まで対象とする。それらはそれぞれターン終了時まで+1/+1の修整を受けるとともに絆魂を得る。</t>
  </si>
  <si>
    <t>その場しのぎの人形</t>
  </si>
  <si>
    <t>あなたの墓地にあるクリーチャー・カード１枚を対象とし、それをその上にマネキン(mannequin)・カウンターが１個置かれた状態で戦場に戻す。そのクリーチャーがその上にマネキン・カウンターが置かれ続けているかぎり、それは「このクリーチャーが呪文や能力の対象になったとき、これを生け贄に捧げる。」を持つ。</t>
  </si>
  <si>
    <t>蘇りし者の儀式</t>
  </si>
  <si>
    <t>あなたの墓地にあるクリーチャー・カード１枚を対象とし、それを追放する。黒のゾンビ(Zombie)・クリーチャー・トークンを１体生成する。それのパワーはそのカードのパワーに等しく、それのタフネスはそのカードのタフネスに等しい。</t>
  </si>
  <si>
    <t>貪欲な罠</t>
  </si>
  <si>
    <t>このターン、対戦相手１人がいずれかの領域から自分の墓地に３枚以上のカードを置いていた場合、あなたは貪欲な罠のマナ・コストを支払うのではなく(０)を支払ってもよい。</t>
  </si>
  <si>
    <t>プレイヤー１人を対象とする。そのプレイヤーの墓地のカードをすべて追放する。</t>
  </si>
  <si>
    <t>不実な衝動</t>
  </si>
  <si>
    <t>対戦相手１人を対象とする。そのプレイヤーは自分の手札を公開する。あなたはその中からクリーチャー・カードを１枚、あなたのコントロール下で戦場に出してもよい。そのクリーチャーは速攻を得る。次の終了ステップの開始時に、それを生け贄に捧げる。</t>
  </si>
  <si>
    <t>危険な窮地</t>
  </si>
  <si>
    <t>各対戦相手はそれぞれ、アーティファクト・クリーチャー１体とアーティファクトでないクリーチャー１体を生け贄に捧げる。</t>
  </si>
  <si>
    <t>死の国からの救出</t>
  </si>
  <si>
    <t>死の国からの救出を唱えるための追加コストとして、クリーチャーを１体生け贄に捧げる。</t>
  </si>
  <si>
    <t>あなたの墓地にあるクリーチャー・カード１枚を対象とする。あなたの次のアップキープの開始時に、そのカードと生け贄に捧げられたカードをあなたのコントロール下で戦場に戻す。死の国からの救出を追放する。</t>
  </si>
  <si>
    <t>残忍な切断</t>
  </si>
  <si>
    <t>残酷な蘇生</t>
  </si>
  <si>
    <t>ゾンビ(Zombie)でないクリーチャー１体を対象とし、それを破壊する。それは再生できない。あなたの墓地にあるゾンビ・カードを最大１枚まで対象とし、それをあなたの手札に戻す。</t>
  </si>
  <si>
    <t>闇の滋養</t>
  </si>
  <si>
    <t>クリーチャー１体かプレインズウォーカー１体かプレイヤー１人を対象とする。闇の滋養はそれに３点のダメージを与える。あなたは３点のライフを得る。</t>
  </si>
  <si>
    <t>消えない賛歌</t>
  </si>
  <si>
    <t>プレイヤー１人を対象とする。そのプレイヤーはカードを２枚捨てる。あなたがこの呪文をあなたのメイン・フェイズの間に唱えた場合、そのプレイヤーは代わりにカードを４枚捨てる。</t>
  </si>
  <si>
    <t>公開処刑</t>
  </si>
  <si>
    <t>対戦相手１人がコントロールするクリーチャー１体を対象とし、それを破壊する。そのプレイヤーがコントロールする他のクリーチャーはターン終了時まで-2/-0の修整を受ける。</t>
  </si>
  <si>
    <t>肉体の裏切り</t>
  </si>
  <si>
    <t>・クリーチャー１体を対象とし、それを破壊する。</t>
  </si>
  <si>
    <t>・あなたの墓地にあるクリーチャー・カード１枚を対象とし、それを戦場に戻す。</t>
  </si>
  <si>
    <t>双呪 ― 土地を３つ生け贄に捧げる。（あなたが双呪コストを支払った場合、両方を選ぶ。）</t>
  </si>
  <si>
    <t>死に際の喘ぎ</t>
  </si>
  <si>
    <t>残忍な戦利品</t>
  </si>
  <si>
    <t>黒でないクリーチャー１体を対象とし、それを破壊する。それは再生できない。あなたはそれにつけられているすべての装備品(Equipment)のコントロールを得る。（この効果は永続する。）</t>
  </si>
  <si>
    <t>応報の罠</t>
  </si>
  <si>
    <t>白のクリーチャーが攻撃している場合、あなたは応報の罠のマナ・コストを支払うのではなく(B)(B)を支払ってもよい。</t>
  </si>
  <si>
    <t>攻撃しているクリーチャー１体を対象とし、それを追放する。そのクリーチャーのコピーであるトークンを１体生成する。次の終了ステップの開始時に、それを追放する。</t>
  </si>
  <si>
    <t>荒廃の一掴み</t>
  </si>
  <si>
    <t>クリーチャー１体と土地１つを対象とし、それらを追放する。</t>
  </si>
  <si>
    <t>噛み針の罠</t>
  </si>
  <si>
    <t>このターン、対戦相手１人がライフを得た場合、あなたは噛み針の罠のマナ・コストを支払うのではなく(B)を支払ってもよい。</t>
  </si>
  <si>
    <t>プレイヤー１人を対象とする。そのプレイヤーは５点のライフを失い、あなたは５点のライフを得る。</t>
  </si>
  <si>
    <t>墓の収穫</t>
  </si>
  <si>
    <t>あなたがコントロールするゾンビ(Zombie)は威迫を持つ。（それらは２体以上のクリーチャーによってしかブロックされない。）</t>
  </si>
  <si>
    <t>(３)(B),あなたの墓地からクリーチャー・カード１枚を追放する：黒の2/2のゾンビ・クリーチャー・トークンを１体生成する。</t>
  </si>
  <si>
    <t>金切り声の苦悶</t>
  </si>
  <si>
    <t>各対戦相手のアップキープの開始時に、そのプレイヤーの手札にあるカードが１枚以下の場合、そのプレイヤーは３点のライフを失う。</t>
  </si>
  <si>
    <t>悪意の調合</t>
  </si>
  <si>
    <t>(B),ライフを１点支払う,あなたのライブラリーの一番上のカードをあなたの墓地に置く,カードを１枚捨てる,悪意の調合を生け贄に捧げる：クリーチャー１体を対象とし、それを破壊する。</t>
  </si>
  <si>
    <t>吸血の儀式</t>
  </si>
  <si>
    <t>(１)(B),クリーチャーを１体生け贄に捧げる：あなたは１点のライフを得てカードを１枚引く。</t>
  </si>
  <si>
    <t>工匠の呪詛</t>
  </si>
  <si>
    <t>あなたのアップキープの開始時に、エンチャントされている装備品がクリーチャーにつけられている場合、そのクリーチャーを破壊する。</t>
  </si>
  <si>
    <t>湿原の源獣</t>
  </si>
  <si>
    <t>エンチャント（沼(Swamp)）</t>
  </si>
  <si>
    <t>(２)：エンチャントされている沼は、ターン終了時まで「(B)：このクリーチャーは、ターン終了時まで+1/+1の修整を受ける。」を持つ黒の2/2のスピリット(Spirit)・クリーチャーになる。それは土地でもある。</t>
  </si>
  <si>
    <t>エンチャントされている沼が墓地に置かれたとき、あなたの墓地にある湿原の源獣をあなたの手札に戻してもよい。</t>
  </si>
  <si>
    <t>墓所王の探索</t>
  </si>
  <si>
    <t>クリーチャー１体が死亡するたび、あなたは墓所王の探索の上に探索(quest)カウンターを１個置いてもよい。</t>
  </si>
  <si>
    <t>墓所王の探索から探索カウンターを３個取り除くとともに、それを生け贄に捧げる：黒の5/5のゾンビ(Zombie)・巨人(Giant)クリーチャー・トークンを１体生成する。</t>
  </si>
  <si>
    <t>腐敗した根</t>
  </si>
  <si>
    <t>エンチャント（森(Forest)か平地(Plains)）</t>
  </si>
  <si>
    <t>ゴンティの策謀</t>
  </si>
  <si>
    <t>あなたが各ターン最初にライフを失うたび、あなたは(Ｅ)を得る。（あなたはエネルギー・カウンターを１個得る。ダメージはライフを失わせる。）</t>
  </si>
  <si>
    <t>(Ｅ)(Ｅ)を支払う,ゴンティの策謀を生け贄に捧げる：各対戦相手はそれぞれ３点のライフを失う。あなたはこれにより失われたライフに等しい点数のライフを得る。</t>
  </si>
  <si>
    <t>集団疾病</t>
  </si>
  <si>
    <t>クリーチャー・トークンは-1/-1の修整を受ける。</t>
  </si>
  <si>
    <t>エレボスの試練</t>
  </si>
  <si>
    <t>エンチャントされているクリーチャーが攻撃するたび、その上に+1/+1カウンターを１個置く。その後、その上に+1/+1カウンターが３個以上置かれているならば、エレボスの試練を生け贄に捧げる。</t>
  </si>
  <si>
    <t>あなたがエレボスの試練を生け贄に捧げたとき、プレイヤー１人を対象とする。そのプレイヤーはカードを２枚捨てる。</t>
  </si>
  <si>
    <t>リリアナの愛撫</t>
  </si>
  <si>
    <t>対戦相手１人がカードを１枚捨てるたび、そのプレイヤーは２点のライフを失う。</t>
  </si>
  <si>
    <t>野望の試練</t>
  </si>
  <si>
    <t>野望の試練が戦場に出たとき、対戦相手１人を対象とする。そのプレイヤーはクリーチャー１体を生け贄に捧げる。</t>
  </si>
  <si>
    <t>カルトーシュ(Cartouche)が１つあなたのコントロール下で戦場に出たとき、野望の試練をオーナーの手札に戻す。</t>
  </si>
  <si>
    <t>悪人に休息なし</t>
  </si>
  <si>
    <t>悪人に休息なしを生け贄に捧げる：このターン、戦場からあなたの墓地に置かれたすべてのクリーチャー・カードをあなたの手札に戻す。</t>
  </si>
  <si>
    <t>粗暴な幻視</t>
  </si>
  <si>
    <t>エンチャントされているクリーチャーではブロックできない。</t>
  </si>
  <si>
    <t>エンチャントされているクリーチャーがダメージを与えるたび、それのコントローラーはその点数に等しいライフを失う。</t>
  </si>
  <si>
    <t>麗しき者の勇気</t>
  </si>
  <si>
    <t>他のトークンでないエルフ(Elf)が戦場からあなたの墓地に置かれるたび、あなたは緑の1/1のエルフ・戦士(Warrior)クリーチャー・トークンを１体生成してもよい。</t>
  </si>
  <si>
    <t>苦悩の円</t>
  </si>
  <si>
    <t>苦悩の円が戦場に出るに際し、色を１色選ぶ。</t>
  </si>
  <si>
    <t>選ばれた色の発生源１つがあなたにダメージを与えるたび、プレイヤー１人を対象とする。あなたは(１)を支払ってもよい。そうした場合、そのプレイヤーは１点のライフを失い、あなたは１点のライフを得る。</t>
  </si>
  <si>
    <t>ゾンビの横行</t>
  </si>
  <si>
    <t>カードを２枚捨てる：黒の2/2のゾンビ(Zombie)・クリーチャー・トークンを１体生成する。</t>
  </si>
  <si>
    <t>死に際の願い</t>
  </si>
  <si>
    <t>エンチャントされているクリーチャーが死亡したとき、プレイヤー１人を対象とする。そのプレイヤーはＸ点のライフを失い、あなたはＸ点のライフを得る。Ｘは、エンチャントされているクリーチャーのパワーである。</t>
  </si>
  <si>
    <t>霧氷の輸血</t>
  </si>
  <si>
    <t>エンチャントされているクリーチャーは+2/+1の修整を受けるとともに「(氷)：このクリーチャーはこのターン、氷雪クリーチャーによってしかブロックされない。」を持つ。（(氷)は氷雪パーマネントからのマナ１点で支払える。）</t>
  </si>
  <si>
    <t>過去の過ち</t>
  </si>
  <si>
    <t>クリーチャーが１体死亡するたび、占術１を行う。（あなたのライブラリーの一番上のカードを見る。あなたはそのカードをあなたのライブラリーの一番下に置いてもよい。）</t>
  </si>
  <si>
    <t>(４)(B)：各対戦相手はそれぞれ２点のライフを失い、あなたは２点のライフを得る。この能力は、あなたの墓地にクリーチャー・カードが４枚以上あるときにのみ起動できる。</t>
  </si>
  <si>
    <t>血統の呼び出し</t>
  </si>
  <si>
    <t>(１),カードを１枚捨てる：絆魂を持つ黒の1/1の吸血鬼(Vampire)・騎士(Knight)クリーチャー・トークンを１体生成する。この能力は、毎ターン１回のみ起動できる。</t>
  </si>
  <si>
    <t>崩れ落ちる灰</t>
  </si>
  <si>
    <t>あなたのアップキープの開始時に、-1/-1カウンターが置かれているクリーチャー１体を対象とし、それを破壊する。</t>
  </si>
  <si>
    <t>奥の手</t>
  </si>
  <si>
    <t>アーティファクトが１つあなたのコントロール下で戦場に出るたび、あなたは(１)を支払ってもよい。そうしたなら、各対戦相手はそれぞれ１点のライフを失い、あなたは１点のライフを得る。</t>
  </si>
  <si>
    <t>(１)(B),奥の手を生け贄に捧げる：クリーチャー１体を対象とし、それを破壊する。この能力は、あなたがアーティファクトを２つ以上コントロールしているときにのみ起動できる。</t>
  </si>
  <si>
    <t>溜まる毒</t>
  </si>
  <si>
    <t>(３)(B)：エンチャントされている土地を破壊する。</t>
  </si>
  <si>
    <t>鬼の憑依</t>
  </si>
  <si>
    <t>エンチャントされているクリーチャーは+3/+3の修整を受けるとともにトランプルを持つ。</t>
  </si>
  <si>
    <t>エンチャントされているクリーチャーは、デーモン(Demon)・スピリット(Spirit)である。</t>
  </si>
  <si>
    <t>殴りハエの蔓延</t>
  </si>
  <si>
    <t>クリーチャーが１体死亡するたび、それの上に-1/-1カウンターが置かれていた場合、クリーチャー１体を対象とし、それの上に-1/-1カウンターを１個置く。</t>
  </si>
  <si>
    <t>悪性の疫病</t>
  </si>
  <si>
    <t>クリーチャー・トークンは-2/-2の修整を受ける。</t>
  </si>
  <si>
    <t>内面からの悲鳴</t>
  </si>
  <si>
    <t>エンチャントされているクリーチャーが死亡したとき、あなたの墓地にある内面からの悲鳴を戦場に戻す。</t>
  </si>
  <si>
    <t>スカラベの巣</t>
  </si>
  <si>
    <t>あなたがクリーチャー１体の上に-1/-1カウンターを１個以上置くたび、その数に等しい数の黒の1/1の昆虫(Insect)クリーチャー・トークンを生成する。</t>
  </si>
  <si>
    <t>精神創傷</t>
  </si>
  <si>
    <t>(B),クリーチャーを１体、生け贄に捧げる：対戦相手１人を対象とする。そのプレイヤーは、自分の手札を公開する。その中からカードを１枚選ぶ。そのプレイヤーは、そのカードを捨てる。この能力は、あなたがソーサリーを唱えられるときにのみ起動できる。</t>
  </si>
  <si>
    <t>フェアリーの嘲り</t>
  </si>
  <si>
    <t>あなたが対戦相手１人のターンの間に呪文を唱えるたび、あなたは「各対戦相手は１点のライフを失う」ことを選んでもよい。</t>
  </si>
  <si>
    <t>信者の確信</t>
  </si>
  <si>
    <t>あなたがカードを１枚サイクリングするか捨てるたび、あなたは(１)を支払ってもよい。そうしたなら、各対戦相手はそれぞれ２点のライフを失い、あなたは２点のライフを得る。</t>
  </si>
  <si>
    <t>偏頭痛</t>
  </si>
  <si>
    <t>対戦相手がカードを１枚捨てるたび、偏頭痛はそのプレイヤーに２点のダメージを与える。</t>
  </si>
  <si>
    <t>堕ちたる理想</t>
  </si>
  <si>
    <t>エンチャントされているクリーチャーは飛行と「クリーチャーを１体生け贄に捧げる：このクリーチャーは、ターン終了時まで+2/+1の修整を受ける。」を持つ。</t>
  </si>
  <si>
    <t>堕ちたる理想が戦場からいずれかの墓地に置かれたとき、堕ちたる理想をオーナーの手札に戻す。</t>
  </si>
  <si>
    <t>残虐の勝利</t>
  </si>
  <si>
    <t>あなたのアップキープの開始時に、対戦相手１人を対象とする。あなたがパワーが最も大きいクリーチャーをコントロールしているか、パワーが最も大きいクリーチャーのうち１体をコントロールしている場合、そのプレイヤーはカードを１枚捨てる。</t>
  </si>
  <si>
    <t>ハグラへの撤退</t>
  </si>
  <si>
    <t>・クリーチャー１体を対象とする。ターン終了時まで、それは+1/+0の修整を受けるとともに接死を得る。</t>
  </si>
  <si>
    <t>・各対戦相手はそれぞれ１点のライフを失い、あなたは１点のライフを得る。</t>
  </si>
  <si>
    <t>魔女の霧</t>
  </si>
  <si>
    <t>(２)(B),(Ｔ)：このターンにダメージを与えられているクリーチャー１体を対象とし、それを破壊する。</t>
  </si>
  <si>
    <t>裏工作</t>
  </si>
  <si>
    <t>あなたがコントロールするクリーチャーは潜伏を持つ。（それらは、自身より大きなパワーを持つクリーチャーによってはブロックされない。）</t>
  </si>
  <si>
    <t>(４)(W)：ターン終了時まで、あなたがコントロールするクリーチャーは+1/+1の修整を受ける。</t>
  </si>
  <si>
    <t>鬼の印</t>
  </si>
  <si>
    <t>終了ステップの開始時に、あなたがデーモン(Demon)を１体もコントロールしていない場合、鬼の印を生け贄に捧げる。</t>
  </si>
  <si>
    <t>堕ちたる者の饗宴</t>
  </si>
  <si>
    <t>各アップキープの開始時に、直前のターンに各対戦相手がライフを失っていた場合、あなたがコントロールするクリーチャー１体を対象とし、それの上に+1/+1カウンターを１個置く。</t>
  </si>
  <si>
    <t>破滅の印章</t>
  </si>
  <si>
    <t>風切る瘴気</t>
  </si>
  <si>
    <t>クリーチャー１体があなたを攻撃するたび、それのコントローラーは１点のライフを失う。</t>
  </si>
  <si>
    <t>秘宝の破滅</t>
  </si>
  <si>
    <t>エンチャントされているアーティファクトは「あなたのアップキープの開始時に、あなたは２点のライフを失う。」を持つ。</t>
  </si>
  <si>
    <t>刺し傷</t>
  </si>
  <si>
    <t>忍び寄る驚怖</t>
  </si>
  <si>
    <t>あなたのアップキープの開始時に、各プレイヤーはそれぞれカードを１枚捨てる。あなたが捨てたカードと共通のカード・タイプを持つカードを捨てた各対戦相手は、それぞれ３点のライフを失う。（すべてのプレイヤーは捨てるカードを同時に公開する。）</t>
  </si>
  <si>
    <t>墓所の嘆き声</t>
  </si>
  <si>
    <t>(１),あなたの墓地にあるクリーチャー・カード２枚を追放する：プレイヤー１人を対象とする。そのプレイヤーはカードを１枚捨てる。この能力は、あなたがソーサリーを唱えられるときにのみ起動できる。</t>
  </si>
  <si>
    <t>悪意の度量</t>
  </si>
  <si>
    <t>あなたの終了ステップの開始時に、悪意の度量を生け贄に捧げるとともにあなたは８点のライフを失う。</t>
  </si>
  <si>
    <t>いずれの領域からでも他のカードがあなたの墓地に置かれるたび、対戦相手１人を対象とする。そのプレイヤーは、悪意の度量のコントロールを得る。</t>
  </si>
  <si>
    <t>魔術の呪い</t>
  </si>
  <si>
    <t>魔術の呪いが戦場に出るに際し、色を１色選ぶ。</t>
  </si>
  <si>
    <t>プレイヤーが選ばれた色の呪文を１つ唱えるたび、そのプレイヤーは１点のライフを失う。</t>
  </si>
  <si>
    <t>血の報い</t>
  </si>
  <si>
    <t>クリーチャー１体が、あなたかあなたがコントロールするプレインズウォーカーを攻撃するたび、そのクリーチャーのコントローラーは１点のライフを失う。</t>
  </si>
  <si>
    <t>略奪者の戦利品</t>
  </si>
  <si>
    <t>あなたがコントロールするクリーチャーは+1/+0の修整を受ける。</t>
  </si>
  <si>
    <t>あなたがコントロールする戦士(Warrior)１体がプレイヤーに戦闘ダメージを与えるたび、あなたはライフを１点支払ってもよい。そうしたなら、カードを１枚引く。</t>
  </si>
  <si>
    <t>略奪者の痕跡</t>
  </si>
  <si>
    <t>対戦相手がカードを１枚捨てるたび、そのプレイヤーは２点のライフを失う。</t>
  </si>
  <si>
    <t>強襲 ― あなたの終了ステップの開始時に、このターンにあなたがクリーチャーで攻撃していた場合、対戦相手１人を対象とする。そのプレイヤーはカード１枚を捨てる。</t>
  </si>
  <si>
    <t>蛇教団の聖儀式</t>
  </si>
  <si>
    <t>エンチャントされているクリーチャーは有毒３の能力を持つ。（それがプレイヤーに戦闘ダメージを与えるたび、そのプレイヤーは毒(poison)カウンターを３個得る。１０個以上の毒カウンターを持っているプレイヤーはこのゲームに敗北する。）</t>
  </si>
  <si>
    <t>夜陰の本殿</t>
  </si>
  <si>
    <t>あなたのアップキープの開始時に、対戦相手１人を対象とする。あなたがコントロールする祭殿(Shrine)１つにつき、そのプレイヤーはカードを１枚捨てる。</t>
  </si>
  <si>
    <t>血による聖別</t>
  </si>
  <si>
    <t>エンチャントされているクリーチャーは+2/+2の修整を受けるとともに飛行と「他のクリーチャーを２体生け贄に捧げる：このクリーチャーを再生する。」を持つ。（このターン、次にこのクリーチャーが破壊されるなら、それは破壊されない。代わりに、それをタップし、ダメージをすべて取り除き、戦闘から取り除く。）</t>
  </si>
  <si>
    <t>スカラベの責め苦</t>
  </si>
  <si>
    <t>エンチャントされているプレイヤーのアップキープの開始時に、そのプレイヤーが土地でないパーマネントを１つ生け贄に捧げるかカード１枚を捨てるかしないかぎり、そのプレイヤーは３点のライフを失う。</t>
  </si>
  <si>
    <t>命取りの放浪</t>
  </si>
  <si>
    <t>あなたがコントロールするクリーチャーがちょうど１体であるかぎり、そのクリーチャーは+2/+0の修整を受けるとともに接死と絆魂を持つ。</t>
  </si>
  <si>
    <t>恐怖の中の恐怖</t>
  </si>
  <si>
    <t>沼(Swamp)を１つ生け贄に捧げる：黒のクリーチャー１体を対象とし、それを再生する。</t>
  </si>
  <si>
    <t>人殺しの隠遁生活</t>
  </si>
  <si>
    <t>あなたがコントロールしているクリーチャーがちょうど１体だけであるかぎり、そのクリーチャーは+3/+1の修整を受けるとともに絆魂を持つ。</t>
  </si>
  <si>
    <t>渇きの呪い</t>
  </si>
  <si>
    <t>エンチャントされているプレイヤーのアップキープの開始時に、渇きの呪いはそのプレイヤーに、そのプレイヤーにつけられている呪い(Curse)の数に等しい点数のダメージを与える。</t>
  </si>
  <si>
    <t>隷属</t>
  </si>
  <si>
    <t>あなたのアップキープの開始時に、エンチャントされているクリーチャーはオーナーに１点のダメージを与える。</t>
  </si>
  <si>
    <t>苛性タール</t>
  </si>
  <si>
    <t>エンチャントされている土地は「(Ｔ)：プレイヤー１人を対象とする。そのプレイヤーは３点のライフを失う。」を持つ。</t>
  </si>
  <si>
    <t>脅迫状</t>
  </si>
  <si>
    <t>プレイヤー１人を対象とする。そのプレイヤーは自分の手札からカードを３枚公開し、あなたはその中から１枚を選ぶ。そのプレイヤーは、選ばれたカードを捨てる。</t>
  </si>
  <si>
    <t>砕かれた夢</t>
  </si>
  <si>
    <t>対戦相手１人を対象とする。そのプレイヤーは、自分の手札を公開する。あなたはその中からアーティファクト・カードを１枚選ぶ。そのプレイヤーは、そのカードを捨てる。</t>
  </si>
  <si>
    <t>死の印</t>
  </si>
  <si>
    <t>緑か白のクリーチャー１体を対象とし、それを破壊する。</t>
  </si>
  <si>
    <t>隠された知識</t>
  </si>
  <si>
    <t>対戦相手１人を対象とする。そのプレイヤーはあなたの墓地にあるカードを１枚選ぶ。あなたは(B)を支払ってもよい。そうした場合、あなたはその対戦相手が、既に隠された知識のために選ばれたカードを除きカードを選べなくなるまでこの過程を繰り返してもよい。その後最後に選ばれたカードをあなたの手札に加える。</t>
  </si>
  <si>
    <t>リリアナの憤り</t>
  </si>
  <si>
    <t>プレイヤー１人を対象とする。あなたのライブラリーの一番上からＸ枚のカードをあなたの墓地に置く。そのプレイヤーは、これによりあなたの墓地に置かれたクリーチャー・カード１枚につき２点のライフを失う。</t>
  </si>
  <si>
    <t>過酷な精査</t>
  </si>
  <si>
    <t>対戦相手１人を対象とする。そのプレイヤーは自分の手札を公開する。あなたはその中からクリーチャー・カード１枚を選ぶ。そのプレイヤーはそのカードを捨てる。占術１を行う。</t>
  </si>
  <si>
    <t>死後の一突き</t>
  </si>
  <si>
    <t>(Ｘ)(黒/Φ)</t>
  </si>
  <si>
    <t>あなたの墓地にある、点数で見たマナ・コストがＸのクリーチャー・カード１枚を対象とし、それを戦場に戻す。それは速攻を得る。次の終了ステップの開始時に、それを追放する。</t>
  </si>
  <si>
    <t>苦悶の結合</t>
  </si>
  <si>
    <t>この呪文を唱えるための追加コストとして、Ｘ点のライフを支払う。</t>
  </si>
  <si>
    <t>他の各プレイヤーはＸ点のライフを失う。</t>
  </si>
  <si>
    <t>脳食願望</t>
  </si>
  <si>
    <t>対戦相手１人を対象とする。そのプレイヤーは自分の手札を公開する。あなたはその中から点数で見たマナ・コストが４以上のカードを１枚選び、そのカードを追放する。</t>
  </si>
  <si>
    <t>蔑み</t>
  </si>
  <si>
    <t>対戦相手１人を対象とする。そのプレイヤーは自分の手札を公開する。あなたはその中からクリーチャー・カード１枚かプレインズウォーカー・カード１枚を選ぶ。そのプレイヤーはそのカードを捨てる。</t>
  </si>
  <si>
    <t>命取りの魅惑</t>
  </si>
  <si>
    <t>クリーチャー１体を対象とする。それはターン終了時まで接死を得るとともに、このターン、可能ならブロックされなければならない。</t>
  </si>
  <si>
    <t>リリアナの敗北</t>
  </si>
  <si>
    <t>黒のクリーチャー１体か黒のプレインズウォーカー１体を対象とし、それを破壊する。そのパーマネントがリリアナ(Liliana)・プレインズウォーカーであったなら、それのコントローラーは３点のライフを失う。</t>
  </si>
  <si>
    <t>コジレックの審問</t>
  </si>
  <si>
    <t>プレイヤー１人を対象とする。そのプレイヤーは自分の手札を公開する。あなたはその中から点数で見たマナ・コストが３以下の土地でないカードを１枚選ぶ。そのプレイヤーはそのカードを捨てる。</t>
  </si>
  <si>
    <t>夜の囁き</t>
  </si>
  <si>
    <t>脳の詮索</t>
  </si>
  <si>
    <t>プレイヤー１人を対象とする。土地でないカード名を１つ選ぶ。そのプレイヤーは手札を公開する。そのプレイヤーはその名前のカードを１枚捨てる。そのプレイヤーがそうできない場合、あなたはカードを１枚引く。</t>
  </si>
  <si>
    <t>小悪疫</t>
  </si>
  <si>
    <t>各プレイヤーは１点のライフを失い、カードを１枚捨て、クリーチャーを１体生け贄に捧げ、その後土地を１つ生け贄に捧げる。</t>
  </si>
  <si>
    <t>湿地での被災</t>
  </si>
  <si>
    <t>キッカー(３)（あなたがこの呪文を唱えるに際し、あなたは追加の(３)を支払ってもよい。）</t>
  </si>
  <si>
    <t>プレイヤー１人を対象とする。そのプレイヤーがコントロールするクリーチャーはターン終了時まで-1/-1の修整を受ける。湿地での被災がキッカーされていた場合、代わりにそれらのクリーチャーはターン終了時まで-2/-2の修整を受ける。</t>
  </si>
  <si>
    <t>エムラクールの囁き</t>
  </si>
  <si>
    <t>対戦相手１人を対象とする。そのプレイヤーはカード１枚を無作為に選んで捨てる。</t>
  </si>
  <si>
    <t>昂揚 ― あなたの墓地にあるカードにカード・タイプが合計４種類以上含まれるなら、代わりに、そのプレイヤーはカード２枚を無作為に選んで捨てる。</t>
  </si>
  <si>
    <t>早すぎる埋葬</t>
  </si>
  <si>
    <t>あなたの最後のターンが終了してから戦場に出た、黒でないクリーチャー１体を対象とし、それを破壊する。</t>
  </si>
  <si>
    <t>血の饗宴</t>
  </si>
  <si>
    <t>この呪文は、あなたが吸血鬼(Vampire)を２体以上コントロールしている場合にしか唱えられない。</t>
  </si>
  <si>
    <t>クリーチャー１体を対象とし、それを破壊する。あなたは４点のライフを得る。</t>
  </si>
  <si>
    <t>切苦の影</t>
  </si>
  <si>
    <t>クリーチャー１体を対象とする。そのクリーチャーは自身に、そのパワーに等しい点数のダメージを与える。</t>
  </si>
  <si>
    <t>残酷な布告</t>
  </si>
  <si>
    <t>対戦相手１人を対象とする。そのプレイヤーはクリーチャーを１体生け贄に捧げる。</t>
  </si>
  <si>
    <t>巣穴の運命支配</t>
  </si>
  <si>
    <t>自傷疵</t>
  </si>
  <si>
    <t>対戦相手１人を対象とする。そのプレイヤーは緑か白のクリーチャーを１体生け贄に捧げる。そうしたなら、そのプレイヤーは２点のライフを失う。</t>
  </si>
  <si>
    <t>心臓露呈</t>
  </si>
  <si>
    <t>対戦相手１人を対象とする。そのプレイヤーは自分の手札を公開する。あなたはその中から伝説でも土地でもないカードを１枚選ぶ。そのプレイヤーはそのカードを捨てる。</t>
  </si>
  <si>
    <t>食い込む疫病</t>
  </si>
  <si>
    <t>クリーチャー１体を対象とする。食い込む疫病はそれにＸ点のダメージを与え、あなたはＸ点のライフを得る。</t>
  </si>
  <si>
    <t>瀉血</t>
  </si>
  <si>
    <t>各対戦相手はＸ点のライフを失う。あなたはこれにより失われたライフに等しい点数のライフを得る。</t>
  </si>
  <si>
    <t>堕ちたる者の蘇生</t>
  </si>
  <si>
    <t>いずれかの墓地にあるクリーチャー・カード１枚を対象とし、それをオーナーの手札に戻す。対戦相手１人と激突を行う。あなたが勝った場合、堕ちたる者の蘇生をオーナーの手札に戻す。（激突を行う各プレイヤーは、自分のライブラリーの一番上のカードを公開し、そのカードを一番上か一番下に置く。自分のカードの点数で見たマナ・コストの方が大きいプレイヤーが勝つ。）</t>
  </si>
  <si>
    <t>墓所の力</t>
  </si>
  <si>
    <t>クリーチャー１体を対象とする。あなたのライブラリーの一番上から３枚のカードをあなたの墓地に置く。その後、そのクリーチャーの上に、あなたの墓地にあるクリーチャー・カード１枚につき+1/+1カウンターを１個置く。</t>
  </si>
  <si>
    <t>魂の消耗</t>
  </si>
  <si>
    <t>精神背信</t>
  </si>
  <si>
    <t>プレイヤー１人を対象とする。そのプレイヤーは自分の手札を公開する。あなたはその中から点数で見たマナ・コストが３以上のカードを１枚選び、そのカードを追放する。</t>
  </si>
  <si>
    <t>板歩きの刑</t>
  </si>
  <si>
    <t>マーフォーク(Merfolk)でないクリーチャー１体を対象とし、それを破壊する。</t>
  </si>
  <si>
    <t>闇取引</t>
  </si>
  <si>
    <t>各プレイヤーはそれぞれ、自分の手札にあるカードをすべて捨てる。その後、それよりも１枚少ない枚数のカードを引く。</t>
  </si>
  <si>
    <t>病的な好奇心</t>
  </si>
  <si>
    <t>病的な好奇心を唱えるための追加コストとして、アーティファクト１つかクリーチャー１体を生け贄に捧げる。</t>
  </si>
  <si>
    <t>その生け贄に捧げたパーマネントの点数で見たマナ・コストに等しい枚数のカードを引く。</t>
  </si>
  <si>
    <t>吸命</t>
  </si>
  <si>
    <t>蔓延</t>
  </si>
  <si>
    <t>すべてのクリーチャーは、ターン終了時まで-2/-2の修整を受ける。</t>
  </si>
  <si>
    <t>無情な略奪</t>
  </si>
  <si>
    <t>対戦相手１人を対象とする。そのプレイヤーはカード２枚を捨てる。</t>
  </si>
  <si>
    <t>強襲 ― このターンにあなたがクリーチャーで攻撃していたなら、「(Ｔ),このアーティファクトを生け贄に捧げる：好きな色１色のマナ１点を加える。」を持つ無色の宝物(Treasure)アーティファクト・トークンを１つ生成する。</t>
  </si>
  <si>
    <t>ディミーアの策謀</t>
  </si>
  <si>
    <t>プレイヤー１人を対象とする。そのプレイヤーのライブラリーのカードを上から３枚見る。それらのカードのうち、望む枚数のカードを追放し、その後残りを望む順番で戻す。</t>
  </si>
  <si>
    <t>荒野での交渉</t>
  </si>
  <si>
    <t>対戦相手１人を対象とする。そのプレイヤーは自分の手札を公開する。あなたはその中から土地でないカードを１枚選ぶ。そのプレイヤーはそのカードを捨てる。あなたが戦士(Warrior)をコントロールしているなら、そのプレイヤーは２点のライフを失う。</t>
  </si>
  <si>
    <t>大災厄</t>
  </si>
  <si>
    <t>・対戦相手１人を対象とする。そのプレイヤーは自分がコントロールするクリーチャー１体を追放する。</t>
  </si>
  <si>
    <t>・対戦相手１人を対象とする。そのプレイヤーは自分の手札を公開する。あなたはその中から土地でないカード１枚を選ぶ。そのカードを追放する。</t>
  </si>
  <si>
    <t>陰惨な再演</t>
  </si>
  <si>
    <t>対戦相手１人の墓地にあるクリーチャー・カード１枚を対象とし、それをあなたのコントロール下で戦場に出す。それは速攻を得る。それを次の終了ステップの開始時に追放する。そのクリーチャーが戦場を離れる場合、それが他のいずれかの領域に置かれる代わりにそれを追放する。</t>
  </si>
  <si>
    <t>不気味な船長の召集</t>
  </si>
  <si>
    <t>あなたの墓地から海賊(Pirate)カード１枚をあなたの手札に戻す。その後、吸血鬼(Vampire)と恐竜(Dinosaur)とマーフォーク(Merfolk)について同様のことを行う。</t>
  </si>
  <si>
    <t>たかり</t>
  </si>
  <si>
    <t>対戦相手１人を対象とする。そのプレイヤーは、自分の墓地にあるアーティファクト・カードを１枚選ぶ。そのカードをあなたのコントロール下で戦場に出す。</t>
  </si>
  <si>
    <t>悲哀まみれ</t>
  </si>
  <si>
    <t>すべてのクリーチャーは、ターン終了時まで-2/-2の修整を受ける。占術１を行う。（あなたのライブラリーの一番上のカードを見る。あなたはそのカードをあなたのライブラリーの一番下に置いてもよい。）</t>
  </si>
  <si>
    <t>黄金の死</t>
  </si>
  <si>
    <t>ターン終了時まで、クリーチャーはすべて-2/-2の修整を受ける。あなたが都市の承認を持っているなら、代わりに、ターン終了時まで、対戦相手がコントロールしているクリーチャーのみが-2/-2の修整を受ける。</t>
  </si>
  <si>
    <t>鞭打つ触手</t>
  </si>
  <si>
    <t>ターン終了時まで、すべてのクリーチャーは-2/-2の修整を受ける。このターンにクリーチャーが死亡するなら、代わりにそれを追放する。</t>
  </si>
  <si>
    <t>涙の雨</t>
  </si>
  <si>
    <t>土地１つを対象とし、それを破壊する。</t>
  </si>
  <si>
    <t>御霊の足跡</t>
  </si>
  <si>
    <t>あなたの墓地にあるクリーチャー・カード１枚を対象とし、それを戦場に戻す。次の終了ステップの開始時に、そのクリーチャーを生け贄に捧げる。</t>
  </si>
  <si>
    <t>詮索</t>
  </si>
  <si>
    <t>対戦相手１人を対象とする。そのプレイヤーは３点のライフを失うとともに自分の手札からカード１枚を自分のライブラリーの一番上に置く。</t>
  </si>
  <si>
    <t>鮮血流</t>
  </si>
  <si>
    <t>各対戦相手はそれぞれカード２枚を捨てる。あなたが吸血鬼(Vampire)をコントロールしているなら、各対戦相手はそれぞれ２点のライフを失い、あなたは２点のライフを得る。</t>
  </si>
  <si>
    <t>苛まれし思考</t>
  </si>
  <si>
    <t>苛まれし思考を唱えるための追加コストとして、クリーチャーを１体生け贄に捧げる。</t>
  </si>
  <si>
    <t>プレイヤー１人を対象とする。そのプレイヤーは、生け贄に捧げたクリーチャーのパワーに等しい枚数のカードを捨てる。</t>
  </si>
  <si>
    <t>知恵の拝借</t>
  </si>
  <si>
    <t>対戦相手１人を対象とする。そのプレイヤーは自分の手札を公開する。あなたはその中から土地でないカードを１枚選び、そのカードを追放する。</t>
  </si>
  <si>
    <t>昂揚 ― あなたの墓地にあるカードにカード・タイプが合計４種類以上含まれるなら、そのプレイヤーの墓地と手札とライブラリーからそのカードと同じ名前を持つカードを望む枚数探し、それらのカードを追放する。その後、そのプレイヤーは自分のライブラリーを切り直す。</t>
  </si>
  <si>
    <t>精神的蒸気</t>
  </si>
  <si>
    <t>湧き上がる瘴気</t>
  </si>
  <si>
    <t>ターン終了時まで、すべてのクリーチャーは-2/-2の修整を受ける。</t>
  </si>
  <si>
    <t>覚醒３ ― (５)(B)(B)（この呪文を(５)(B)(B)で唱えたなら、加えて、あなたがコントロールする土地１つを対象とする。それの上に+1/+1カウンターを３個置く。それは速攻を持つ0/0のエレメンタル(Elemental)・クリーチャーになる。それは土地でもある。）</t>
  </si>
  <si>
    <t>要塞の規律</t>
  </si>
  <si>
    <t>各プレイヤーは、自分がコントロールするクリーチャー１体につきそれぞれ１点のライフを失う。</t>
  </si>
  <si>
    <t>貯め込み屋の欲</t>
  </si>
  <si>
    <t>あなたは２点のライフを失い、カードを２枚引く。その後あなたの対戦相手と激突を行う。あなたが勝った場合、この手順を繰り返す。（激突を行う各プレイヤーは、自分のライブラリーの一番上のカードを公開し、そのカードを一番上か一番下に置く。自分のカードの点数で見たマナ・コストの方が大きいプレイヤーが勝つ。）</t>
  </si>
  <si>
    <t>神聖を汚す者のうめき</t>
  </si>
  <si>
    <t>黒の2/2のゾンビ(Zombie)・クリーチャー・トークンを２体生成する。</t>
  </si>
  <si>
    <t>フラッシュバック(５)(B)(B)（あなたはあなたの墓地にあるこのカードを、そのフラッシュバック・コストで唱えてもよい。その後それを追放する。）</t>
  </si>
  <si>
    <t>意趣返し</t>
  </si>
  <si>
    <t>クリーチャー１体を対象とし、それを追放する。あなたがコントロールしているプレインズウォーカー１体の上に忠誠(loyalty)カウンターを２個置く。</t>
  </si>
  <si>
    <t>血のやりとり</t>
  </si>
  <si>
    <t>各プレイヤーは、クリーチャーを２体生け贄に捧げる。</t>
  </si>
  <si>
    <t>撲滅</t>
  </si>
  <si>
    <t>黒でないクリーチャー１体を対象とし、それを追放する。それのコントローラーの墓地と手札とライブラリーから、そのクリーチャーと同じ名前を持つカードをすべて探し、それらを追放する。その後、そのプレイヤーは自分のライブラリーを切り直す。</t>
  </si>
  <si>
    <t>貪る強欲</t>
  </si>
  <si>
    <t>ギサの召集</t>
  </si>
  <si>
    <t>マッドネス(２)(B)（あなたがこのカードを捨てるなら、これを追放領域に捨てる。あなたがそうしたとき、マッドネス・コストでこれを唱えるか、これをあなたの墓地に置く。）</t>
  </si>
  <si>
    <t>死後剛直</t>
  </si>
  <si>
    <t>あなたの墓地にあるクリーチャー・カード１枚を対象とし、それを戦場に出す。死後剛直を唱えるために(G)が使われた場合、そのクリーチャーはその上に追加の+1/+1カウンターが１個置かれた状態で戦場に出る。</t>
  </si>
  <si>
    <t>有象無象の発射</t>
  </si>
  <si>
    <t>この呪文を唱えるための追加コストとして、ゴブリン(Goblin)を１つ生け贄に捧げる。</t>
  </si>
  <si>
    <t>クリーチャー１体を対象とする。ターン終了時まで、それは-5/-5の修整を受ける。有象無象の発射はそのクリーチャーのコントローラーに５点のダメージを与える。</t>
  </si>
  <si>
    <t>苦悶の記憶</t>
  </si>
  <si>
    <t>プレイヤー１人を対象とする。そのプレイヤーの手札を見て、その中からカードを２枚選ぶ。それらをそのプレイヤーのライブラリーの一番上に望む順番で置く。</t>
  </si>
  <si>
    <t>眼腐りの虐殺</t>
  </si>
  <si>
    <t>ターン終了時まで、エルフ(Elf)でないクリーチャーは-2/-2の修整を受ける。</t>
  </si>
  <si>
    <t>魔性の教示者</t>
  </si>
  <si>
    <t>あなたのライブラリーからカード１枚を探し、それをあなたの手札に加える。その後あなたのライブラリーを切り直す。</t>
  </si>
  <si>
    <t>肉体アレルギー</t>
  </si>
  <si>
    <t>クリーチャー１体を対象とし、それを破壊する。それのコントローラーは、このターンに死亡したクリーチャーの数に等しい点数のライフを失う。</t>
  </si>
  <si>
    <t>突き刺さる雨</t>
  </si>
  <si>
    <t>腐食の雨</t>
  </si>
  <si>
    <t>土地１つを対象とし、それを追放する。</t>
  </si>
  <si>
    <t>戦慄の復活</t>
  </si>
  <si>
    <t>フラッシュバック ― クリーチャーを３体生け贄に捧げる。（あなたはあなたの墓地にあるこのカードを、そのフラッシュバック・コストで唱えてもよい。その後それを追放する。）</t>
  </si>
  <si>
    <t>下僕の呟き</t>
  </si>
  <si>
    <t>あなたはカードをＸ枚引き、Ｘ点のライフを失う。Ｘはあなたがコントロールするクリーチャーの数である。</t>
  </si>
  <si>
    <t>野望の代償</t>
  </si>
  <si>
    <t>あなたはカードを３枚引き、あなたは３点のライフを失う。</t>
  </si>
  <si>
    <t>悪夢の虚空</t>
  </si>
  <si>
    <t>プレイヤー１人を対象とする。そのプレイヤーは、自分の手札を公開する。あなたはその中からカードを１枚選ぶ。そのプレイヤーは、そのカードを捨てる。</t>
  </si>
  <si>
    <t>正気への葛藤</t>
  </si>
  <si>
    <t>対戦相手１人を対象とする。そのプレイヤーは自分の手札を公開する。そのプレイヤーはそこからカードを１枚追放し、その後、あなたはそこからカードを１枚追放する。この過程を、その手札にあるすべてのカードが追放されるまで繰り返す。そのプレイヤーはこれにより自分が追放したカードを自分の手札に戻し、残りを自分の墓地に置く。</t>
  </si>
  <si>
    <t>ゾンビ化</t>
  </si>
  <si>
    <t>掘葬の儀式</t>
  </si>
  <si>
    <t>三つの悲劇</t>
  </si>
  <si>
    <t>プレイヤー１人を対象とする。そのプレイヤーは、カードを３枚捨てる。</t>
  </si>
  <si>
    <t>死骸孵化</t>
  </si>
  <si>
    <t>黒でないクリーチャー１体を対象とし、それを破壊する。無色の0/1のエルドラージ(Eldrazi)・落とし子(Spawn)クリーチャー・トークンを２体生成する。それらは「このクリーチャーを生け贄に捧げる：(◇)を加える。」を持つ。</t>
  </si>
  <si>
    <t>病気の拡散</t>
  </si>
  <si>
    <t>増え続ける荒廃</t>
  </si>
  <si>
    <t>クリーチャー１体と、他のクリーチャー１体と、他のクリーチャー１体を対象とする。１体目の上に-1/-1カウンターを１個置き、２体目の上に-1/-1カウンターを２個置き、３体目の上に-1/-1カウンターを３個置く。</t>
  </si>
  <si>
    <t>屍術的召喚</t>
  </si>
  <si>
    <t>墓地にあるクリーチャー・カード１枚を対象とし、それをあなたのコントロール下で戦場に出す。</t>
  </si>
  <si>
    <t>魔巧 ― あなたの墓地にインスタント・カードやソーサリー・カードが合わせて２枚以上あるなら、そのクリーチャーは+1/+1カウンターが追加で２個置かれた状態で戦場に出る。</t>
  </si>
  <si>
    <t>血占術</t>
  </si>
  <si>
    <t>あなたはカードをＸ枚引き、Ｘ点のライフを失う。Ｘはあなたの黒への信心である。（あなたの黒への信心は、あなたがコントロールするパーマネントのマナ・コストに含まれる(B)の数に等しい。）</t>
  </si>
  <si>
    <t>魂の饗宴</t>
  </si>
  <si>
    <t>恐るべき目覚め</t>
  </si>
  <si>
    <t>あなたの墓地にあるクリーチャー・カード１枚を対象とし、それを戦場に戻す。それがドラゴン(Dragon)であるなら、それの上に+1/+1カウンターを２個置く。</t>
  </si>
  <si>
    <t>最後の別れ</t>
  </si>
  <si>
    <t>あなたのライブラリーからカード２枚を探す。そのうち１枚をあなたの手札に加え、他の１枚をあなたの墓地に置く。その後あなたのライブラリーを切り直す。</t>
  </si>
  <si>
    <t>影の舞い</t>
  </si>
  <si>
    <t>あなたがコントロールするクリーチャーは、ターン終了時まで+1/+0の修整を受けるとともに畏怖を得る。（それは黒でもアーティファクトでもないクリーチャーによってはブロックされない。）</t>
  </si>
  <si>
    <t>ラザケシュの儀式</t>
  </si>
  <si>
    <t>あなたのライブラリーからカード１枚を探し、そのカードをあなたの手札に加える。その後、あなたのライブラリーを切り直す。</t>
  </si>
  <si>
    <t>霊魂切断</t>
  </si>
  <si>
    <t>黒でないクリーチャー１体を対象とし、それを破壊する。それは再生できない。あなたは、そのクリーチャーのタフネスに等しい点数のライフを得る。</t>
  </si>
  <si>
    <t>最後のお祭り騒ぎ</t>
  </si>
  <si>
    <t>・すべてのクリーチャーは、ターン終了時まで+2/+0の修整を受ける。</t>
  </si>
  <si>
    <t>・すべてのクリーチャーは、ターン終了時まで-0/-2の修整を受ける。</t>
  </si>
  <si>
    <t>無情な処分</t>
  </si>
  <si>
    <t>無情な処分を唱えるための追加コストとして、カード１枚を捨てるとともにクリーチャー１体を生け贄に捧げる。</t>
  </si>
  <si>
    <t>クリーチャー２体を対象とする。ターン終了時まで、それらはそれぞれ-13/-13の修整を受ける。</t>
  </si>
  <si>
    <t>悲惨な旅</t>
  </si>
  <si>
    <t>プレイヤー１人を対象とする。そのプレイヤーはカードを３枚引き、３点のライフを失う。</t>
  </si>
  <si>
    <t>墓場からの復活</t>
  </si>
  <si>
    <t>墓地からクリーチャー・カード１枚を対象とし、それをあなたのコントロール下で戦場に出す。そのクリーチャーは、それの他の色とタイプに加えて黒のゾンビ(Zombie)である。</t>
  </si>
  <si>
    <t>虚空からの声</t>
  </si>
  <si>
    <t>版図 ― プレイヤー１人を対象とする。そのプレイヤーは、あなたがコントロールする土地の中の基本土地タイプ１種につきカードを１枚捨てる。</t>
  </si>
  <si>
    <t>精神ヘドロ</t>
  </si>
  <si>
    <t>プレイヤー１人を対象とする。そのプレイヤーは、あなたがコントロールする沼(Swamp)１つにつきカードを１枚捨てる。</t>
  </si>
  <si>
    <t>闇への流刑</t>
  </si>
  <si>
    <t>プレイヤー１人を対象とする。そのプレイヤーは、点数で見たマナ・コストが３以下のクリーチャーを１体、生け贄に捧げる。</t>
  </si>
  <si>
    <t>あなたのアップキープの開始時に、あなたの手札のカードの枚数がどの対戦相手よりも多い場合、あなたはあなたの墓地にある闇への流刑をあなたの手札に戻してもよい。</t>
  </si>
  <si>
    <t>ただれた行進</t>
  </si>
  <si>
    <t>あなたの対戦相手がコントロールするクリーチャーは、ターン終了時まで-1/-1の修整を受ける。ただれた行進を、その上に時間(time)カウンターが３個置かれた状態で追放する。</t>
  </si>
  <si>
    <t>待機３ ― (２)(B)（このカードをあなたの手札から唱えるのではなく、(２)(B)を支払うとともにそれを時間カウンターが３個置かれた状態で追放する。あなたのアップキープの開始時に、時間カウンターを１個取り除く。最後の１個を取り除いたとき、それをそのマナ・コストを支払うことなく唱える。）</t>
  </si>
  <si>
    <t>ファイレクシアの愛撫</t>
  </si>
  <si>
    <t>プレイヤー１人を対象とする。そのプレイヤーはカードを３枚引き、３点のライフを失い、毒(poison)カウンターを３個得る。</t>
  </si>
  <si>
    <t>夜の飾り紐</t>
  </si>
  <si>
    <t>クリーチャー１体を対象とする。夜の飾り紐はそれに４点のダメージを与え、あなたは４点のライフを得る。夜の飾り紐を唱えるために(U)が使われた場合、カードを１枚引く。</t>
  </si>
  <si>
    <t>悪意ある一撃</t>
  </si>
  <si>
    <t>クリーチャー１体と土地１つを対象とし、それらを破壊する。</t>
  </si>
  <si>
    <t>暗殺者の一撃</t>
  </si>
  <si>
    <t>クリーチャー１体を対象とし、それを破壊する。それのコントローラーはカードを１枚捨てる。</t>
  </si>
  <si>
    <t>女王への懇願</t>
  </si>
  <si>
    <t>(２/黒)(２/黒)(２/黒)</t>
  </si>
  <si>
    <t>（(２/黒)は任意の２マナか(B)で支払うことができる。このカードの点数で見たマナ・コストは６である。）</t>
  </si>
  <si>
    <t>あなたのライブラリーから、点数で見たマナ・コストがあなたがコントロールする土地の数以下であるカードを１枚探し、それを公開しあなたの手札に加える。その後、あなたのライブラリーを切り直す。</t>
  </si>
  <si>
    <t>砂の撹拌</t>
  </si>
  <si>
    <t>黒の2/2のゾンビ(Zombie)・クリーチャー・トークンを３体生成する。</t>
  </si>
  <si>
    <t>サイクリング(３)(B)（(３)(B),このカードを捨てる：カードを１枚引く。）</t>
  </si>
  <si>
    <t>あなたが砂の撹拌をサイクリングしたとき、黒の2/2のゾンビ・クリーチャー・トークンを１体生成する。</t>
  </si>
  <si>
    <t>堕落</t>
  </si>
  <si>
    <t>クリーチャー１体かプレインズウォーカー１体かプレイヤー１人を対象とする。堕落はそれに、あなたがコントロールする沼(Swamp)の数に等しい点数のダメージを与える。あなたは、これにより与えられたダメージに等しい点数のライフを得る。</t>
  </si>
  <si>
    <t>終わりなき従順</t>
  </si>
  <si>
    <t>胆液の爆発</t>
  </si>
  <si>
    <t>ターン終了時まで、すべてのクリーチャーは-X/-Xの修整を受ける。Ｘは、生け贄に捧げられたクリーチャーのパワーである。</t>
  </si>
  <si>
    <t>結核</t>
  </si>
  <si>
    <t>(３)(B)(B)(B)(B)</t>
  </si>
  <si>
    <t>クリーチャー１体を対象とし、それを破壊する。それのコントローラーは、そのパワーにそのタフネスを加えた点数に等しい点数のライフを失う。</t>
  </si>
  <si>
    <t>待機５ ― (１)(B)（このカードをあなたの手札から唱えるのではなく、(１)(B)を支払うとともにそれを時間(time)カウンターが５個置かれた状態で追放する。あなたのアップキープの開始時に、時間カウンターを１個取り除く。最後の１個を取り除いたとき、それをそのマナ・コストを支払うことなく唱える。）</t>
  </si>
  <si>
    <t>死の投下</t>
  </si>
  <si>
    <t>(９)(B)</t>
  </si>
  <si>
    <t>プレイヤー１人を対象とする。そのプレイヤーはクリーチャーを２体生け贄に捧げる。</t>
  </si>
  <si>
    <t>虚石の探索</t>
  </si>
  <si>
    <t>対戦相手１人がカードを捨てるたび、あなたは虚石の探索の上に探索(quest)カウンターを１個置いてもよい。</t>
  </si>
  <si>
    <t>各対戦相手のアップキープの開始時に、そのプレイヤーの手札にカードが無く、虚石の探索の上に探索カウンターが２個以上置かれている場合、あなたは「そのプレイヤーは５点のライフを失う」ことを選んでもよい。</t>
  </si>
  <si>
    <t>古き者どもの報復</t>
  </si>
  <si>
    <t>(B),望む数のあなたがコントロールするクリーチャーの上から+1/+1カウンターをＸ個取り除く：クリーチャー１体を対象とする。ターン終了時まで、それは-X/-Xの修整を受ける。</t>
  </si>
  <si>
    <t>血の長の昇天</t>
  </si>
  <si>
    <t>各終了ステップの開始時に、このターンに対戦相手１人が２点以上のライフを失っていた場合、あなたは血の長の昇天の上に探索(quest)カウンターを１個置いてもよい。（ダメージはライフを失わせる。）</t>
  </si>
  <si>
    <t>いずれかの領域から対戦相手１人の墓地にカードが置かれるたび、血の長の昇天の上に探索カウンターが３個以上置かれている場合、あなたは「そのプレイヤーは２点のライフを失う」ことを選んでもよい。そうした場合、あなたは２点のライフを得る。</t>
  </si>
  <si>
    <t>苦花</t>
  </si>
  <si>
    <t>あなたのアップキープの開始時に、あなたは１点のライフを失い、飛行を持つ黒の1/1のフェアリー(Faerie)・ならず者(Rogue)クリーチャー・トークンを１体生成する。</t>
  </si>
  <si>
    <t>ぎらつく油</t>
  </si>
  <si>
    <t>エンチャントされているクリーチャーは感染を持つ。</t>
  </si>
  <si>
    <t>ぎらつく油が戦場からいずれかの墓地に置かれたとき、ぎらつく油をオーナーの手札に戻す。</t>
  </si>
  <si>
    <t>アルゲールの断血</t>
  </si>
  <si>
    <t>(１)(B),２点のライフを支払う：カードを１枚引く。</t>
  </si>
  <si>
    <t>あなたのアップキープの開始時に、あなたのライフが５点以下である場合、あなたはアルゲールの断血を変身させてもよい。</t>
  </si>
  <si>
    <t>（《アルゲールの断血/Arguel's Blood Fast》から変身する。）</t>
  </si>
  <si>
    <t>(Ｔ)：あなたのマナ・プールに(B)を加える。</t>
  </si>
  <si>
    <t>(Ｔ),クリーチャー１体を生け贄に捧げる：あなたは生け贄に捧げたクリーチャーのタフネスに等しい点数のライフを得る。</t>
  </si>
  <si>
    <t>無駄省き</t>
  </si>
  <si>
    <t>対戦相手１人がクリーチャー・カードを１枚捨てるたび、黒の2/2のゾンビ(Zombie)・クリーチャー・トークンを１体生成する。</t>
  </si>
  <si>
    <t>対戦相手１人が土地カードを１枚捨てるたび、あなたのマナ・プールに(B)(B)を加える。</t>
  </si>
  <si>
    <t>対戦相手１人がクリーチャーでも土地でもないカードを１枚捨てるたび、カードを１枚引く。</t>
  </si>
  <si>
    <t>心なき召喚</t>
  </si>
  <si>
    <t>あなたが唱えるクリーチャー呪文は、それを唱えるためのコストが(２)少なくなる。</t>
  </si>
  <si>
    <t>あなたがコントロールするクリーチャーは-1/-1の修整を受ける。</t>
  </si>
  <si>
    <t>屍術士の備蓄品</t>
  </si>
  <si>
    <t>(１)(B),クリーチャー・カードを１枚捨てる：カードを１枚引く。その捨てられたカードがゾンビ(Zombie)・カードであったなら、黒の2/2のゾンビ・クリーチャー・トークンを１体タップ状態で生成する。</t>
  </si>
  <si>
    <t>血の呼び水</t>
  </si>
  <si>
    <t>あなたが唱えるクリーチャーでない呪文は、それを唱えるためのコストが(２)少なくなる。</t>
  </si>
  <si>
    <t>あなたがクリーチャーでない呪文を唱えるたび、あなたがクリーチャーを１体生け贄に捧げないかぎり、その呪文を打ち消す。</t>
  </si>
  <si>
    <t>死者の宝箱</t>
  </si>
  <si>
    <t>エンチャント（対戦相手がコントロールしているクリーチャー）</t>
  </si>
  <si>
    <t>エンチャントされているクリーチャーが死亡したとき、それのオーナーのライブラリーの一番上から、それのパワーに等しい枚数のカードを追放する。それらのカードが追放され続けているかぎり、あなたはそれらの中から土地でないカードを唱えてもよい。あなたは、それらの呪文を唱えるために、任意のマナを望むタイプのマナであるかのように支払ってもよい。</t>
  </si>
  <si>
    <t>歪んだ愛着</t>
  </si>
  <si>
    <t>パーマネントがプレイヤーの手札に戻るたび、そのプレイヤーはカードを１枚捨てる。</t>
  </si>
  <si>
    <t>ファイレクシアの食刻</t>
  </si>
  <si>
    <t>累加アップキープ(B)（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</si>
  <si>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あなたの終了ステップの開始時に、ファイレクシアの食刻の上に置かれている経年カウンター１個につきカードを１枚引く。</t>
  </si>
  <si>
    <t>ファイレクシアの食刻が戦場からいずれかの墓地に置かれたとき、その上に置かれている経年カウンター１個につき２点のライフを失う。</t>
  </si>
  <si>
    <t>ファイレクシアの闘技場</t>
  </si>
  <si>
    <t>あなたのアップキープの開始時に、あなたはカードを１枚引き、１点のライフを失う。</t>
  </si>
  <si>
    <t>闇の予言</t>
  </si>
  <si>
    <t>あなたがコントロールするクリーチャーが１体死亡するたび、あなたはカードを１枚引くとともに１点のライフを失う。</t>
  </si>
  <si>
    <t>穢れた療法</t>
  </si>
  <si>
    <t>対戦相手がライフを得るなら、代わりにそのプレイヤーはその点数に等しいライフを失う。</t>
  </si>
  <si>
    <t>責め苦の伝令</t>
  </si>
  <si>
    <t>授与(３)(B)(B)（このカードを授与コストで唱えた場合、これはエンチャント（クリーチャー）を持つオーラ(Aura)呪文である。クリーチャーにつけられていない場合、これは再びクリーチャーになる。）</t>
  </si>
  <si>
    <t>屍気の霧</t>
  </si>
  <si>
    <t>各プレイヤーのアップキープの開始時に、そのプレイヤーはカードを１枚捨てる。</t>
  </si>
  <si>
    <t>地下世界の人脈</t>
  </si>
  <si>
    <t>エンチャントされている土地は「(Ｔ),ライフを１点支払う：カードを１枚引く。」を持つ。</t>
  </si>
  <si>
    <t>残忍な裏切り</t>
  </si>
  <si>
    <t>(B)(B),あなたのライフの端数を切り上げた半分を支払う：黒でないクリーチャー１体を対象とし、それを破壊する。それは再生できない。</t>
  </si>
  <si>
    <t>黄泉からの橋</t>
  </si>
  <si>
    <t>トークンでないクリーチャーが１体戦場からあなたの墓地に置かれるたび、黄泉からの橋があなたの墓地にある場合、黒の2/2のゾンビ(Zombie)・クリーチャー・トークンを１体生成する。</t>
  </si>
  <si>
    <t>クリーチャーが戦場から対戦相手１人の墓地に置かれたとき、黄泉からの橋があなたの墓地にある場合、黄泉からの橋を追放する。</t>
  </si>
  <si>
    <t>闇の後見</t>
  </si>
  <si>
    <t>あなたのアップキープの開始時に、あなたのライブラリーの一番上のカードを公開し、そのカードをあなたの手札に加える。あなたはそれの点数で見たマナ・コストに等しい点数のライフを失う。</t>
  </si>
  <si>
    <t>饗宴の主</t>
  </si>
  <si>
    <t>あなたのアップキープの開始時に、各対戦相手はそれぞれカードを１枚引く。</t>
  </si>
  <si>
    <t>地獄界の夢</t>
  </si>
  <si>
    <t>対戦相手がカードを１枚引くたび、地獄界の夢はそのプレイヤーに１点のダメージを与える。</t>
  </si>
  <si>
    <t>死体結い</t>
  </si>
  <si>
    <t>(１)(B),あなたの墓地にあるクリーチャー・カードを１枚以上追放する：黒のX/Xのゾンビ(Zombie)・ホラー(Horror)・クリーチャー・トークンを１体、タップ状態で生成する。Ｘはこれにより追放されたカードの枚数の２倍である。</t>
  </si>
  <si>
    <t>上位の大峨、苦御</t>
  </si>
  <si>
    <t>終了ステップの開始時に、このターン、３体以上のクリーチャーが死亡した場合、上位の大峨、苦御を反転する。</t>
  </si>
  <si>
    <t>苦御の本質</t>
  </si>
  <si>
    <t>各プレイヤーのアップキープの開始時に、そのプレイヤーはクリーチャーを１体生け贄に捧げる。</t>
  </si>
  <si>
    <t>夜の咆哮獣</t>
  </si>
  <si>
    <t>授与(２)(B)(B)（このカードを授与コストで唱えた場合、これはエンチャント（クリーチャー）を持つオーラ(Aura)呪文である。クリーチャーにつけられていない場合、これは再びクリーチャーになる。）</t>
  </si>
  <si>
    <t>夜の咆哮獣とエンチャントされているクリーチャーは、それぞれ+X/+Xの修整を受ける。Ｘは、すべての墓地にあるクリーチャー・カードの数である。</t>
  </si>
  <si>
    <t>リリアナの誓い</t>
  </si>
  <si>
    <t>リリアナの誓いが戦場に出たとき、各対戦相手はそれぞれクリーチャー１体を生け贄に捧げる。</t>
  </si>
  <si>
    <t>各終了ステップの開始時に、そのターンにプレインズウォーカーがあなたのコントロール下で戦場に出ていた場合、黒の2/2のゾンビ(Zombie)・クリーチャー・トークンを１体生成する。</t>
  </si>
  <si>
    <t>魂の裏切りの夜</t>
  </si>
  <si>
    <t>すべてのクリーチャーは-1/-1の修整を受ける。</t>
  </si>
  <si>
    <t>十三恐怖症</t>
  </si>
  <si>
    <t>あなたのアップキープの開始時に、１つを選ぶ。</t>
  </si>
  <si>
    <t>・ちょうど13点のライフを持つ各プレイヤーはそれぞれゲームに敗北する。その後、各プレイヤーはそれぞれ１点のライフを得る。</t>
  </si>
  <si>
    <t>・ちょうど13点のライフを持つ各プレイヤーはそれぞれゲームに敗北する。その後、各プレイヤーはそれぞれ１点のライフを失う。</t>
  </si>
  <si>
    <t>墓穴までの契約</t>
  </si>
  <si>
    <t>(１)(B)(B)(B)</t>
  </si>
  <si>
    <t>あなたがコントロールするクリーチャーが死亡するたび、他の各プレイヤーはクリーチャーを１体生け贄に捧げる。</t>
  </si>
  <si>
    <t>夜の分配</t>
  </si>
  <si>
    <t>あなたがコントロールする発生源が他のプレイヤーにダメージを与えるたび、夜の分配の上に同じ数の窃盗(theft)カウンターを置く。</t>
  </si>
  <si>
    <t>(２)(B)(B),夜の分配から窃盗カウンターをＸ個取り除く：あなたのライブラリーから、点数で見たマナ・コストがＸの土地でないカードを１枚探す。それを公開し、あなたの手札に加える。その後あなたのライブラリーを切り直す。</t>
  </si>
  <si>
    <t>虚無主義の喜び</t>
  </si>
  <si>
    <t>(２)(B),カードを１枚捨てる：対戦相手１人を対象とする。そのプレイヤーは１点のライフを失い、あなたは１点のライフを得る。</t>
  </si>
  <si>
    <t>暴勇 ― (１),２点のライフを支払う：カードを１枚引く。この能力は、あなたの手札にカードがない場合にのみ起動できる。</t>
  </si>
  <si>
    <t>コルフェノールの計画</t>
  </si>
  <si>
    <t>コルフェノールの計画が戦場に出たとき、あなたのライブラリーのカードを上から７枚裏向きに追放する。</t>
  </si>
  <si>
    <t>あなたはコルフェノールの計画によって追放されたカードを見てプレイしてもよい。</t>
  </si>
  <si>
    <t>あなたは各ターンに呪文を１つしか唱えられない。</t>
  </si>
  <si>
    <t>終わりなき囁き</t>
  </si>
  <si>
    <t>各クリーチャーは「このクリーチャーが死亡したとき、対戦相手１人を対象として選ぶ。次の終了ステップの開始時に、そのプレイヤーはこのカードを、オーナーの墓地から自分のコントロール下で戦場に戻す。」を持つ。</t>
  </si>
  <si>
    <t>死の奈落の捧げ物</t>
  </si>
  <si>
    <t>死の奈落の捧げ物が戦場に出たとき、あなたがコントロールするすべてのクリーチャーを生け贄に捧げる。</t>
  </si>
  <si>
    <t>虚空の力線</t>
  </si>
  <si>
    <t>虚空の力線があなたのゲーム開始時の手札にある場合、あなたはそれが戦場に出ている状態でゲームを始めてもよい。</t>
  </si>
  <si>
    <t>いずれかの領域から対戦相手の墓地にカードが置かれる場合、代わりにそれを追放する。</t>
  </si>
  <si>
    <t>壊死の疫病</t>
  </si>
  <si>
    <t>エンチャントされているクリーチャーは「あなたのアップキープの開始時に、このクリーチャーを生け贄に捧げる。」を持つ。</t>
  </si>
  <si>
    <t>エンチャントされているクリーチャーが死亡したとき、それのコントローラーは自分の対戦相手のうち１人がコントロールするクリーチャー１体を対象とする。壊死の疫病をオーナーの墓地からそのクリーチャーにつけられた状態で戦場に戻す。</t>
  </si>
  <si>
    <t>運命をほぐす者</t>
  </si>
  <si>
    <t>対戦相手１人がカードを１枚引くたび、運命をほぐす者はそのプレイヤーに１点のダメージを与える。</t>
  </si>
  <si>
    <t>エレボスの鞭</t>
  </si>
  <si>
    <t>あなたがコントロールするクリーチャーは絆魂を持つ。</t>
  </si>
  <si>
    <t>(２)(B)(B),(Ｔ)：あなたの墓地にあるクリーチャー・カード１枚を対象とし、それを戦場に戻す。それは速攻を得る。次の終了ステップの開始時に、それを追放する。それが戦場を離れる場合、それを他のいずれかの領域に置く代わりに追放する。この能力は、あなたがソーサリーを唱えられるときにのみ起動できる。</t>
  </si>
  <si>
    <t>夜更かし</t>
  </si>
  <si>
    <t>夜更かしは(hour)・カウンターが７個置かれた状態で戦場に出る。</t>
  </si>
  <si>
    <t>あなたのドロー・ステップの開始時に、あなたはカードを追加で１枚引き、夜更かしの上から・カウンターを２個取り除く。</t>
  </si>
  <si>
    <t>あなたの手札の上限は、夜更かしの上に置かれている・カウンターの数に等しい。</t>
  </si>
  <si>
    <t>あなたがカードを１枚捨てるたび、あなたは１点のライフを失う。</t>
  </si>
  <si>
    <t>死闘</t>
  </si>
  <si>
    <t>あなたのアップキープの開始時に、あなたの墓地に２０枚以上のクリーチャー・カードがある場合、あなたはこのゲームに勝利する。</t>
  </si>
  <si>
    <t>終わり無き死者の列</t>
  </si>
  <si>
    <t>あなたのアップキープの開始時に、黒の2/2のゾンビ(Zombie)・クリーチャー・トークンをＸ体生成する。Ｘは、あなたがコントロールするゾンビの数の、端数を切り捨てた半分である。</t>
  </si>
  <si>
    <t>窃盗</t>
  </si>
  <si>
    <t>あなたがコントロールするクリーチャーがプレイヤーに戦闘ダメージを与えるたび、そのプレイヤーはカードを１枚捨てる。</t>
  </si>
  <si>
    <t>死の支配の呪い</t>
  </si>
  <si>
    <t>エンチャントされているプレイヤーがコントロールするクリーチャーは-1/-1の修整を受ける。</t>
  </si>
  <si>
    <t>エレボスの指図</t>
  </si>
  <si>
    <t>あなたがコントロールするクリーチャーが１体死亡するたび、各対戦相手はそれぞれクリーチャーを１体生け贄に捧げる。</t>
  </si>
  <si>
    <t>富の享楽</t>
  </si>
  <si>
    <t>対戦相手がコントロールしているクリーチャーが１体死亡するたび、「(Ｔ),このアーティファクトを生け贄に捧げる：あなたのマナ・プールに好きな色１色のマナ１点を加える。」を持つ無色の宝物(Treasure)アーティファクト・トークンを１つ生成する。</t>
  </si>
  <si>
    <t>あなたのアップキープの開始時に、あなたが宝物を１０個以上コントロールしている場合、あなたはこのゲームに勝利する。</t>
  </si>
  <si>
    <t>宮殿の包囲</t>
  </si>
  <si>
    <t>宮殿の包囲が戦場に出るに際し、カンか龍かを選ぶ。</t>
  </si>
  <si>
    <t>・カン ― あなたのアップキープの開始時に、あなたの墓地にあるクリーチャー・カード１枚を対象とし、それをあなたの手札に戻す。</t>
  </si>
  <si>
    <t>・龍 ― あなたのアップキープの開始時に、各対戦相手はそれぞれ２点のライフを失い、あなたは２点のライフを得る。</t>
  </si>
  <si>
    <t>リリアナの契約</t>
  </si>
  <si>
    <t>リリアナの契約が戦場に出たとき、あなたはカードを４枚引き、あなたは４点のライフを失う。</t>
  </si>
  <si>
    <t>あなたのアップキープの開始時に、あなたが異なる名前のデーモン(Demon)を４体以上コントロールしている場合、あなたはこのゲームに勝利する。</t>
  </si>
  <si>
    <t>破滅喚起の巨人</t>
  </si>
  <si>
    <t>星座 ― 破滅喚起の巨人か他のエンチャント１つがあなたのコントロール下で戦場に出るたび、あなたの対戦相手がコントロールするクリーチャーは、ターン終了時まで-1/-1の修整を受ける。</t>
  </si>
  <si>
    <t>_4/6</t>
  </si>
  <si>
    <t>悪魔の顕現</t>
  </si>
  <si>
    <t>あなたの終了ステップの開始時に、あなたがコントロールしているクリーチャーがちょうど１体である場合、飛行を持つ黒の5/5のデーモン(Demon)・クリーチャー・トークンを１体生成する。</t>
  </si>
  <si>
    <t>ラースの死の奈落</t>
  </si>
  <si>
    <t>クリーチャーにダメージが与えられるたび、それを破壊する。それは再生できない。</t>
  </si>
  <si>
    <t>痛ましい苦境</t>
  </si>
  <si>
    <t>対戦相手１人が呪文を１つ唱えるたび、そのプレイヤーはカードを１枚捨てないかぎり５点のライフを失う。</t>
  </si>
  <si>
    <t>リリアナの支配</t>
  </si>
  <si>
    <t>あなたがコントロールするゾンビ(Zombie)は+1/+1の修整を受ける。</t>
  </si>
  <si>
    <t>リリアナの支配が戦場に出たとき、黒の2/2のゾンビ・クリーチャー・トークンを２体生成する。</t>
  </si>
  <si>
    <t>不幸の呪い</t>
  </si>
  <si>
    <t>あなたのアップキープの開始時に、あなたはあなたのライブラリーから、エンチャントされているプレイヤーにつけられているどの呪い(Curse)とも同じ名前を持たない呪いカードを１枚探してもよい。そうしたなら、それをそのプレイヤーにつけられた状態で戦場に出し、その後、あなたのライブラリーを切り直す。</t>
  </si>
  <si>
    <t>血なまぐさい結合</t>
  </si>
  <si>
    <t>あなたがライフを得るたび、対戦相手１人を対象とする。そのプレイヤーは、その点数に等しい点数のライフを失う。</t>
  </si>
  <si>
    <t>穢れた結合</t>
  </si>
  <si>
    <t>土地が対戦相手１人のコントロール下で戦場に出るたび、そのプレイヤーは２点のライフを失い、あなたは２点のライフを得る。</t>
  </si>
  <si>
    <t>極上の血</t>
  </si>
  <si>
    <t>対戦相手１人がライフを失うたび、あなたは同じ点数のライフを得る。</t>
  </si>
  <si>
    <t>墓地解放</t>
  </si>
  <si>
    <t>あなたがコントロールしていてトーンでないクリーチャーが１体死亡するたび、黒の2/2のゾンビ(Zombie)・クリーチャー・トークンを１体生成する。</t>
  </si>
  <si>
    <t>墓への呼び声</t>
  </si>
  <si>
    <t>各プレイヤーのアップキープの開始時に、そのプレイヤーはゾンビ(Zombie)でないクリーチャー１体を生け贄に捧げる。</t>
  </si>
  <si>
    <t>終了ステップの開始時に、戦場に１体もクリーチャーがいない場合、墓への呼び声を生け贄に捧げる。</t>
  </si>
  <si>
    <t>有り余る無</t>
  </si>
  <si>
    <t>あなたがカードをプレイするたび、カードを１枚引く。</t>
  </si>
  <si>
    <t>あなたの手札の最大値は２である。</t>
  </si>
  <si>
    <t>イラクサヅタ病</t>
  </si>
  <si>
    <t>エンチャント（クリーチャーまたは土地）</t>
  </si>
  <si>
    <t>エンチャントされているパーマネントは「あなたの終了ステップの開始時に、このパーマネントを生け贄に捧げ、イラクサヅタ病をあなたがコントロールするクリーチャーか土地につける。」を持つ。</t>
  </si>
  <si>
    <t>リッチの熟達</t>
  </si>
  <si>
    <t>あなたはこのゲームに敗北できない。</t>
  </si>
  <si>
    <t>あなたがライフを得るたび、その点数に等しい枚数のカードを引く。</t>
  </si>
  <si>
    <t>あなたがライフを失うたび、あなたが失ったライフ１点につき、あなたがコントロールしているパーマネント１つか、あなたの手札か墓地からカード１枚を追放する。</t>
  </si>
  <si>
    <t>リッチの熟達が戦場を離れたとき、あなたはこのゲームに敗北する。</t>
  </si>
  <si>
    <t>傷の反射</t>
  </si>
  <si>
    <t>各終了ステップの開始時に、各対戦相手はこのターンに自分が失ったライフの点数に等しい点数のライフを失う。（ダメージによりライフは失われる。）</t>
  </si>
  <si>
    <t>不明の下降</t>
  </si>
  <si>
    <t>各プレイヤーのアップキープの開始時に、そのプレイヤーは１点のライフを失い、カードを１枚捨てる。</t>
  </si>
  <si>
    <t>暴勇 ― あなたの手札にカードがない場合、あなたのアップキープ・ステップを飛ばす。</t>
  </si>
  <si>
    <t>マッドネス(２)(B)(B)（あなたがこのカードを捨てるなら、これを追放領域に捨てる。あなたがそうしたとき、マッドネス・コストでこれを唱えるか、これをあなたの墓地に置く。）</t>
  </si>
  <si>
    <t>墓所の裏切り</t>
  </si>
  <si>
    <t>あなたがコントロールしていないクリーチャーが１体死亡するたび、次の終了ステップの開始時に、それを追加の+1/+1カウンターが１個置かれた状態であなたのコントロール下で戦場に戻す。そのクリーチャーは、それの他の色やタイプに加えて黒のゾンビ(Zombie)である。</t>
  </si>
  <si>
    <t>享楽者の宝物庫</t>
  </si>
  <si>
    <t>享楽者の宝物庫が戦場に出たとき、対戦相手１人を対象とする。そのプレイヤーの墓地にあるすべてのカードを追放する。</t>
  </si>
  <si>
    <t>あなたは享楽者の宝物庫により追放された土地カードをプレイしてもよい。</t>
  </si>
  <si>
    <t>あなたは享楽者の宝物庫により追放された土地でないカードを唱えてもよい。あなたは毎ターン、この方法では１つしか呪文を唱えられない。</t>
  </si>
  <si>
    <t>有害な前兆</t>
  </si>
  <si>
    <t>(４)(B)(B)(B)</t>
  </si>
  <si>
    <t>あなたの終了ステップの開始時に、あなたはあなたのライブラリーの一番上のカードを公開してもよい。そうした場合、各対戦相手はそのカードの点数で見たマナ・コストに等しい点数のライフを失う。</t>
  </si>
  <si>
    <t>不吉の月</t>
  </si>
  <si>
    <t>黒のクリーチャーは+1/+1の修整を受ける。</t>
  </si>
  <si>
    <t>奸謀</t>
  </si>
  <si>
    <t>奸謀が戦場に出るに際し、クリーチャー・タイプを１つ選ぶ。</t>
  </si>
  <si>
    <t>あなたがコントロールするクリーチャーは選ばれたタイプである。あなたがコントロールするクリーチャー呪文と、あなたがオーナーであり戦場にないクリーチャー・カードについても同様である。</t>
  </si>
  <si>
    <t>死者の神、エレボス</t>
  </si>
  <si>
    <t>あなたの黒への信心が５未満であるかぎり、死者の神、エレボスはクリーチャーではない。（あなたの黒への信心は、あなたがコントロールするパーマネントのマナ・コストに含まれる(B)の数に等しい。）</t>
  </si>
  <si>
    <t>あなたの対戦相手はライフを得られない。</t>
  </si>
  <si>
    <t>(１)(B),ライフを２点支払う：カードを１枚引く。</t>
  </si>
  <si>
    <t>_5/7</t>
  </si>
  <si>
    <t>悪魔の契約</t>
  </si>
  <si>
    <t>あなたのアップキープの開始時に、以下からまだ選ばれていないもの１つを選ぶ。</t>
  </si>
  <si>
    <t>・クリーチャー１体かプレインズウォーカー１体かプレイヤー１人を対象とする。悪魔の契約はそれに４点のダメージを与え、あなたは４点のライフを得る。</t>
  </si>
  <si>
    <t>・対戦相手１人を対象とする。そのプレイヤーはカードを２枚捨てる。</t>
  </si>
  <si>
    <t>・カードを２枚引く。</t>
  </si>
  <si>
    <t>・あなたはこのゲームに敗北する。</t>
  </si>
  <si>
    <t>狂気堕ち</t>
  </si>
  <si>
    <t>あなたのアップキープの開始時に、狂気堕ちの上に絶望(despair)カウンターを１個置く。その後、各プレイヤーは自分がコントロールするパーマネントや自分の手札のカードを合わせてＸ個追放する。Ｘは狂気堕ちの上に置かれた絶望カウンターの数である。</t>
  </si>
  <si>
    <t>残酷な現実</t>
  </si>
  <si>
    <t>エンチャントされているプレイヤーのアップキープの開始時に、そのプレイヤーはクリーチャー１体かプレインズウォーカー１体を生け贄に捧げる。そうできないなら、そのプレイヤーは５点のライフを失う。</t>
  </si>
  <si>
    <t>死せる生</t>
  </si>
  <si>
    <t>待機３ ― (２)(B)(B)（このカードをあなたの手札から唱えるのではなく、(２)(B)(B)を支払うとともにそれを時間(time)カウンターが３個置かれた状態で追放する。あなたのアップキープの開始時に、時間カウンターを１個取り除く。最後の１個を取り除いたとき、それをそのマナ・コストを支払うことなく唱える。）</t>
  </si>
  <si>
    <t>各プレイヤーは自分の墓地にあるすべてのクリーチャー・カードを追放する。その後自分がコントロールするすべてのクリーチャーを生け贄に捧げる。その後自分がこれにより追放したすべてのカードを戦場に出す。</t>
  </si>
  <si>
    <t>思考囲い</t>
  </si>
  <si>
    <t>プレイヤー１人を対象とする。そのプレイヤーは手札を公開する。あなたはその中から土地でないカードを１枚選ぶ。そのプレイヤーはそのカードを捨てる。あなたは２点のライフを失う。</t>
  </si>
  <si>
    <t>殺戮の波</t>
  </si>
  <si>
    <t>クリーチャー１体につき、それのコントローラーがライフをＸ点支払わないかぎり、それのコントローラーはそれを生け贄に捧げる。</t>
  </si>
  <si>
    <t>闇の救済</t>
  </si>
  <si>
    <t>(Ｘ)(Ｘ)(B)</t>
  </si>
  <si>
    <t>プレイヤー１人とクリーチャー最大１体を対象とする。そのプレイヤーは黒の2/2のゾンビ(Zombie)・クリーチャー・トークンをＸ体生成する。その後、ターン終了時まで、その対象としたクリーチャーは、その対象としたプレイヤーがコントロールするゾンビ１体につき-1/-1の修整を受ける。</t>
  </si>
  <si>
    <t>橋上の戦い</t>
  </si>
  <si>
    <t>クリーチャー１体を対象とする。ターン終了時まで、それは-X/-Xの修整を受ける。あなたはＸ点のライフを得る。</t>
  </si>
  <si>
    <t>不敬の命令</t>
  </si>
  <si>
    <t>・プレイヤー１人を対象とする。そのプレイヤーはＸ点のライフを失う。</t>
  </si>
  <si>
    <t>・あなたの墓地にある、点数で見たマナ・コストがＸ以下のクリーチャー・カード１枚を対象とし、それを戦場に戻す。</t>
  </si>
  <si>
    <t>・クリーチャー１体を対象とする。それはターン終了時まで-X/-Xの修整を受ける。</t>
  </si>
  <si>
    <t>・クリーチャーを最大Ｘ体まで対象とする。それらはターン終了時まで畏怖を得る。（それらは、黒でもアーティファクトでもないクリーチャーによってはブロックされない。）</t>
  </si>
  <si>
    <t>黒の太陽の頂点</t>
  </si>
  <si>
    <t>各クリーチャーの上に-1/-1カウンターをＸ個置く。黒の太陽の頂点をオーナーのライブラリーに加えて切り直す。</t>
  </si>
  <si>
    <t>集団的蛮行</t>
  </si>
  <si>
    <t>増呪 ― カードを１枚捨てる。（２つ目以降に選ぶモード１つにつき、このコストを１回支払う。）</t>
  </si>
  <si>
    <t>・対戦相手１人を対象とする。そのプレイヤーは自分の手札を公開する。あなたはその中からインスタント・カード１枚かソーサリー・カード１枚を選ぶ。そのプレイヤーはそのカードを捨てる。</t>
  </si>
  <si>
    <t>・クリーチャー１体を対象とする。ターン終了時まで、それは-2/-2の修整を受ける。</t>
  </si>
  <si>
    <t>・対戦相手１人を対象とする。そのプレイヤーは２点のライフを失い、あなたは２点のライフを得る。</t>
  </si>
  <si>
    <t>禍々しい協定</t>
  </si>
  <si>
    <t>プレイヤー１人を対象とする。そのプレイヤーはカードをＸ枚引き、Ｘ点のライフを失う。</t>
  </si>
  <si>
    <t>冥府の教示者</t>
  </si>
  <si>
    <t>あなたの手札からカードを１枚公開する。あなたのライブラリーから、そのカードと同じ名前を持つカードを１枚探し、それを公開した上であなたの手札に加える。その後あなたのライブラリーを切り直す。</t>
  </si>
  <si>
    <t>暴勇 ― あなたの手札にカードがない場合、代わりにあなたのライブラリーからカードを１枚探し、それをあなたの手札に加える。その後あなたのライブラリーを切り直す。</t>
  </si>
  <si>
    <t>思考の粉砕</t>
  </si>
  <si>
    <t>プレイヤー１人を対象とする。そのプレイヤーは、カードをＸ枚無作為に選んで捨てる。</t>
  </si>
  <si>
    <t>霰炎の責め苦</t>
  </si>
  <si>
    <t>次の手順をＸ回繰り返す。各対戦相手は、それぞれそのプレイヤーが土地でないパーマネントを１つ生け贄に捧げるかカード１枚を捨てるかしないかぎり、３点のライフを失う。</t>
  </si>
  <si>
    <t>不帰</t>
  </si>
  <si>
    <t>回帰</t>
  </si>
  <si>
    <t>墓地からカード１枚を対象とし、それを追放する。黒の2/2のゾンビ(Zombie)・クリーチャー・トークンを１体生成する。</t>
  </si>
  <si>
    <t>サディストの聖餐</t>
  </si>
  <si>
    <t>キッカー(７)（あなたがこの呪文を唱えるに際し、あなたは追加の(７)を支払ってもよい。）</t>
  </si>
  <si>
    <t>プレイヤー１人を対象とする。そのプレイヤーのライブラリーからカードを最大３枚まで探してそれらを追放し、その後そのプレイヤーは自分のライブラリーを切り直す。サディストの聖餐がキッカーされていた場合、代わりにそのプレイヤーのライブラリーから最大１５枚までのカードを探してそれらを追放し、その後そのプレイヤーは自分のライブラリーを切り直す。</t>
  </si>
  <si>
    <t>失われた遺産</t>
  </si>
  <si>
    <t>プレイヤー１人を対象とする。アーティファクトでも土地でもないカード名を１つ選ぶ。そのプレイヤーの墓地と手札とライブラリーから、望む枚数のその名前のカードを探し、それらを追放する。そのプレイヤーは自分のライブラリーを切り直し、その後そのプレイヤーはこれにより手札から追放されたカード１枚につきカードを１枚引く。</t>
  </si>
  <si>
    <t>無限の抹消</t>
  </si>
  <si>
    <t>対戦相手１人を対象とする。クリーチャー・カード名を１つ選ぶ。そのプレイヤーの墓地と手札とライブラリーから、その名前を持つカードを望む枚数探し、それらを追放する。その後、そのプレイヤーは自分のライブラリーを切り直す。</t>
  </si>
  <si>
    <t>バントゥ最後の算段</t>
  </si>
  <si>
    <t>クリーチャーをすべて破壊する。あなたがコントロールする土地は、あなたの次のアンタップ・ステップにアンタップしない。</t>
  </si>
  <si>
    <t>苦々しい試練</t>
  </si>
  <si>
    <t>プレイヤー１人を対象とし、そのプレイヤーのライブラリーからカードを１枚探し、そのカードを追放する。その後そのプレイヤーは自分のライブラリーを切り直す。</t>
  </si>
  <si>
    <t>墓地ストーム（あなたがこの呪文を唱えたとき、このターンにそれより前に墓地に置かれたパーマネント１つにつきそれを１回コピーする。あなたはそのコピーの新たな対象を選んでもよい。）</t>
  </si>
  <si>
    <t>没収</t>
  </si>
  <si>
    <t>対戦相手１人を対象とする。アーティファクト・カード名１つを選ぶ。そのプレイヤーの墓地と手札とライブラリーから、選ばれた名前を持つカードを望む枚数探し、それらを追放する。その後、そのプレイヤーは自分のライブラリーを切り直す。</t>
  </si>
  <si>
    <t>苦痛の報償</t>
  </si>
  <si>
    <t>各プレイヤーは、ライフで競りを行ってもよい。あなたは好きな量のライフをつけて競りを始める。ターンの順序に従い、各プレイヤーは最高点数を超える点数をつけてもよい。最高点数が動かなくなった場合、競りは終了する。最大の点数をつけたプレイヤーは、その点数に等しい点数のライフを失うとともに、カードを４枚引く。</t>
  </si>
  <si>
    <t>剣呑な交渉</t>
  </si>
  <si>
    <t>あなたのライブラリーの一番上からカードを３枚公開する。それらの各カードにつきそれぞれ、いずれかの対戦相手が３点のライフを支払わないかぎり、そのカードをあなたの手札に加える。その後、残りを追放する。</t>
  </si>
  <si>
    <t>死の雲</t>
  </si>
  <si>
    <t>各プレイヤーはそれぞれＸ点のライフを失い、各プレイヤーはそれぞれカードをＸ枚捨て、各プレイヤーはそれぞれクリーチャーをＸ体生け贄に捧げ、その後、各プレイヤーはそれぞれ土地をＸ個生け贄に捧げる。</t>
  </si>
  <si>
    <t>破滅の道</t>
  </si>
  <si>
    <t>覚醒４ ― (５)(B)(B)（この呪文を(５)(B)(B)で唱えたなら、加えて、あなたがコントロールする土地１つを対象とする。それの上に+1/+1カウンターを４個置く。それは速攻を持つ0/0のエレメンタル(Elemental)・クリーチャーになる。それは土地でもある。）</t>
  </si>
  <si>
    <t>ドロスの脈動</t>
  </si>
  <si>
    <t>プレイヤー１人を対象とする。そのプレイヤーは自分の手札からカードを３枚公開し、あなたはそれらの中から１枚を選ぶ。そのプレイヤーはそのカードを捨てる。その後そのプレイヤーの手札の枚数があなたより多い場合、ドロスの脈動をオーナーの手札に戻す。</t>
  </si>
  <si>
    <t>苦い真理</t>
  </si>
  <si>
    <t>収斂 ― あなたはカードをＸ枚引き、Ｘ点のライフを失う。Ｘは、苦い真理を唱えるために支払われたマナの色の総数に等しい。</t>
  </si>
  <si>
    <t>真夜中の儀式</t>
  </si>
  <si>
    <t>(Ｘ)(２)(B)</t>
  </si>
  <si>
    <t>あなたの墓地にあるクリーチャー・カードＸ枚を対象とし、それらを追放する。これにより追放されたクリーチャー・カード１枚につき、黒の2/2のゾンビ(Zombie)・クリーチャー・トークンを１体生成する。</t>
  </si>
  <si>
    <t>法務官の掌握</t>
  </si>
  <si>
    <t>対戦相手１人を対象とする。そのプレイヤーのライブラリーからカードを１枚探し、裏向きで追放する。その後、そのプレイヤーは自分のライブラリーを切り直す。そのカードが追放され続けているかぎり、あなたはそのカードを見てもよいしプレイしてもよい。</t>
  </si>
  <si>
    <t>頭蓋の摘出</t>
  </si>
  <si>
    <t>土地でないカード名を１つ選ぶ。プレイヤー１人を対象とする。そのプレイヤーの墓地と手札とライブラリーから、選ばれたカードと同じ名前を持つカードをすべて探し、それらを追放する。その後、そのプレイヤーは自分のライブラリーを切り直す。</t>
  </si>
  <si>
    <t>衰滅</t>
  </si>
  <si>
    <t>ターン終了時まで、すべてのクリーチャーは-4/-4の修整を受ける。</t>
  </si>
  <si>
    <t>ヴラスカの嘲笑</t>
  </si>
  <si>
    <t>対戦相手１人を対象とする。そのプレイヤーは４点のライフを失う。あなたはあなたのライブラリーやあなたの墓地から《ゴルゴンの陰謀家、ヴラスカ/Vraska, Scheming Gorgon》という名前のカード１枚を探し、それを公開してあなたの手札に加えてもよい。これによりあなたのライブラリーからカードを探したなら、あなたのライブラリーを切り直す。</t>
  </si>
  <si>
    <t>血統の切断</t>
  </si>
  <si>
    <t>クリーチャー１体を対象とし、それと、そのクリーチャーと同じ名前を持つ他のすべてのクリーチャーを追放する。</t>
  </si>
  <si>
    <t>地下墓地の総ざらい</t>
  </si>
  <si>
    <t>各プレイヤーは、自分の墓地にあるすべてのクリーチャー・カードを自分の手札に戻す。</t>
  </si>
  <si>
    <t>首謀者の収得</t>
  </si>
  <si>
    <t>・あなたのライブラリーからカード１枚を探し、それをあなたの手札に加え、その後あなたのライブラリーを切り直す。</t>
  </si>
  <si>
    <t>・あなたはゲームの外部からあなたがオーナーであるカード１枚を選び、あなたの手札に加える。</t>
  </si>
  <si>
    <t>記憶殺し</t>
  </si>
  <si>
    <t>プレイヤー１人を対象とする。土地でないカード名を１つ選ぶ。そのプレイヤーの墓地と手札とライブラリーから、その名前のカードを望む枚数探し、それらを追放する。その後、そのプレイヤーは自分のライブラリーを切り直す。</t>
  </si>
  <si>
    <t>迫害</t>
  </si>
  <si>
    <t>色を１色選ぶ。プレイヤー１人を対象とする。そのプレイヤーは自分の手札を公開し、選ばれた色のすべてのカードを捨てる。</t>
  </si>
  <si>
    <t>時間の恐喝</t>
  </si>
  <si>
    <t>(B)(B)(B)(B)</t>
  </si>
  <si>
    <t>あなたが時間の恐喝を唱えたとき、いずれのプレイヤーも自分のライフの端数を切り上げた半分を支払ってもよい。プレイヤー１人がそうした場合、時間の恐喝を打ち消す。</t>
  </si>
  <si>
    <t>ヤヘンニの巧技</t>
  </si>
  <si>
    <t>ターン終了時まで、すべてのクリーチャーは-3/-3の修整を受ける。</t>
  </si>
  <si>
    <t>リリアナの餌食</t>
  </si>
  <si>
    <t>対戦相手１人を対象とする。そのプレイヤーはカード１枚を捨てる。</t>
  </si>
  <si>
    <t>あなたのライブラリーの一番上からカードを５枚見る。あなたはその中から黒のカード１枚を公開してあなたの手札に加えてもよい。残りをあなたのライブラリーの一番下に無作為の順番で置く。</t>
  </si>
  <si>
    <t>もぎとり</t>
  </si>
  <si>
    <t>すべてのクリーチャーは、ターン終了時まであなたがコントロールする沼(Swamp)１つにつき-1/-1の修整を受ける。</t>
  </si>
  <si>
    <t>滅び</t>
  </si>
  <si>
    <t>消耗の蒸気</t>
  </si>
  <si>
    <t>プレイヤー１人を対象とする。そのプレイヤーはクリーチャーを１体生け贄に捧げる。あなたはそのクリーチャーのタフネスに等しい点数のライフを得る。</t>
  </si>
  <si>
    <t>金箔付け</t>
  </si>
  <si>
    <t>クリーチャー１体を対象とし、それを追放する。無色の《金/Gold》という名前のアーティファクト・トークンを１つ生成する。それは「このアーティファクトを生け贄に捧げる：好きな色１色のマナ１点を加える。」を持つ。</t>
  </si>
  <si>
    <t>高まる野心</t>
  </si>
  <si>
    <t>あなたのライブラリーからカードを１枚探し、そのカードをあなたの手札に加える。高まる野心があなたの墓地から唱えられた場合、代わりにあなたのライブラリーからカードを２枚探し、それらのカードをあなたの手札に加える。その後、あなたのライブラリーを切り直す。</t>
  </si>
  <si>
    <t>フラッシュバック(７)(B)（あなたはあなたの墓地にあるこのカードを、そのフラッシュバック・コストで唱えてもよい。その後それを追放する。）</t>
  </si>
  <si>
    <t>頭脳いじり</t>
  </si>
  <si>
    <t>対戦相手１人を対象とする。そのプレイヤーは自分の手札のカードを自分のライブラリーの一番上に置く。あなたはそのプレイヤーのライブラリーから、同じ枚数のカードを探す。そのプレイヤーは、自分の手札にそれらのカードを加える。その後自分のライブラリーを切り直す。</t>
  </si>
  <si>
    <t>力の確約</t>
  </si>
  <si>
    <t>(２)(B)(B)(B)</t>
  </si>
  <si>
    <t>・あなたはカードを５枚引き、５点のライフを失う。</t>
  </si>
  <si>
    <t>・飛行を持つ黒のX/Xのデーモン(Demon)・クリーチャー・トークンを１体生成する。Ｘは、あなたの手札のカードの枚数である。</t>
  </si>
  <si>
    <t>双呪(４)（あなたが双呪コストを支払った場合、両方を選ぶ。）</t>
  </si>
  <si>
    <t>悪魔の談合</t>
  </si>
  <si>
    <t>バイバック ― カードを２枚捨てる。（あなたはこの呪文を唱えるに際し、他のコストに加えてカードを２枚捨ててもよい。そうした場合、その解決に際し、このカードをあなたの手札に加える。）</t>
  </si>
  <si>
    <t>あなたのライブラリーからカードを１枚探し、そのカードをあなたの手札に加える。その後あなたのライブラリーを切り直す。</t>
  </si>
  <si>
    <t>精神染み</t>
  </si>
  <si>
    <t>不穏の標</t>
  </si>
  <si>
    <t>いずれかの墓地にあるアーティファクト・カード１枚かクリーチャー・カード１枚を対象とし、それをあなたのコントロール下で戦場に出す。不穏の標をオーナーのライブラリーに加えて切り直す。</t>
  </si>
  <si>
    <t>消えないこだま</t>
  </si>
  <si>
    <t>プレイヤー１人を対象とする。そのプレイヤーの墓地にある、基本土地カード以外のすべてのカードを追放する。これにより追放された各カードについて、そのプレイヤーのライブラリーからそのカードと同じ名前を持つカードをすべて探し、それらを追放する。その後そのプレイヤーは自分のライブラリーを切り直す。</t>
  </si>
  <si>
    <t>競争排除</t>
  </si>
  <si>
    <t>この呪文を唱えるための追加コストとして、クリーチャーＸ体を生け贄に捧げる。</t>
  </si>
  <si>
    <t>クリーチャーＸ体を対象とし、それらを破壊する。</t>
  </si>
  <si>
    <t>霊気の断絶</t>
  </si>
  <si>
    <t>すべてのパーマネントからすべてのカウンターを取り除き、すべてのトークンを追放する。</t>
  </si>
  <si>
    <t>闇の誓願</t>
  </si>
  <si>
    <t>魔巧 ― あなたの墓地にインスタント・カードやソーサリー・カードが合わせて２枚以上あるなら、(B)(B)(B)を加える。</t>
  </si>
  <si>
    <t>魔性の天啓</t>
  </si>
  <si>
    <t>(Ｘ)(３)(B)(B)</t>
  </si>
  <si>
    <t>あなたのライブラリーからカードを最大Ｘ枚まで探し、それらをあなたの手札に加える。その後、あなたのライブラリーを切り直す。</t>
  </si>
  <si>
    <t>無情な処罰</t>
  </si>
  <si>
    <t>対戦相手１人を対象とする。そのプレイヤーは、カードを２枚捨てるか、クリーチャー１体かプレインズウォーカー１体を生け贄に捧げないかぎり、５点のライフを失う。この手順をもう１回繰り返す。</t>
  </si>
  <si>
    <t>最後の罰</t>
  </si>
  <si>
    <t>プレイヤー１人を対象とする。そのプレイヤーは、このターンそのプレイヤーに与えられたダメージに等しい点数のライフを失う。</t>
  </si>
  <si>
    <t>偏執</t>
  </si>
  <si>
    <t>プレイヤー１人を対象とする。そのプレイヤーは自分の手札のカードを１枚選び、残りのカードを捨てる。</t>
  </si>
  <si>
    <t>秘密の回収</t>
  </si>
  <si>
    <t>あなたの墓地から土地でないカード１枚を対象とし、それを追放する。あなたのライブラリーからそのカードと同じ名前を持つ望む枚数のカードを探し、それらを公開してあなたの手札に加える。その後あなたのライブラリーを切り直す。</t>
  </si>
  <si>
    <t>消耗した全能</t>
  </si>
  <si>
    <t>各プレイヤーはそれぞれ、自分のライフの半分を失い、自分の手札にあるカードの半数を捨て、その後自分がコントロールしているクリーチャーの半数を生け贄に捧げる。それぞれの端数は切り上げる。</t>
  </si>
  <si>
    <t>床下から</t>
  </si>
  <si>
    <t>マッドネス(Ｘ)(B)(B)（あなたがこのカードを捨てるなら、これを追放領域に捨てる。あなたがそうしたとき、マッドネス・コストでこれを唱えるか、これをあなたの墓地に置く。）</t>
  </si>
  <si>
    <t>黒の2/2のゾンビ(Zombie)・クリーチャー・トークンを３体タップ状態で生成し、あなたは３点のライフを得る。床下からのマッドネス・コストが支払われていたなら、代わりに、同様のトークンをＸ体タップ状態で生成し、あなたはＸ点のライフを得る。</t>
  </si>
  <si>
    <t>命運の核心</t>
  </si>
  <si>
    <t>・すべてのドラゴン(Dragon)・クリーチャーを破壊する。</t>
  </si>
  <si>
    <t>・すべてのドラゴンでないクリーチャーを破壊する。</t>
  </si>
  <si>
    <t>ヨーグモスの不義提案</t>
  </si>
  <si>
    <t>墓地からクリーチャー化プレインズウォーカーであるカード最大１枚と、クリーチャーやプレインズウォーカー合わせて最大１体を対象とする。その前者をあなたのコントロール下で戦場に出す。その後者を破壊する。ヨーグモスの不義提案を追放する。</t>
  </si>
  <si>
    <t>過去の罪</t>
  </si>
  <si>
    <t>あなたの墓地にあるインスタント・カード１枚かソーサリー・カード１枚を対象とする。ターン終了時まで、あなたはそれをそのマナ・コストを支払うことなく唱えてよい。このターン、そのカードがあなたの墓地に置かれる場合、代わりにそれを追放する。過去の罪を追放する。</t>
  </si>
  <si>
    <t>生命の終焉</t>
  </si>
  <si>
    <t>対戦相手１人を対象とする。すべてのクリーチャーを破壊し、その後、そのプレイヤーのライブラリーからクリーチャー・カードを最大３枚まで探し、それらをそのプレイヤーの墓地に置く。その後、そのプレイヤーは自分のライブラリーを切り直す。</t>
  </si>
  <si>
    <t>リリアナの影響</t>
  </si>
  <si>
    <t>あなたがコントロールしていない各クリーチャーの上に-1/-1カウンターをそれぞれ１個置く。あなたはあなたのライブラリーやあなたの墓地から《死の使い手、リリアナ/Liliana, Death Wielder》という名前のカード１枚を探し、それを公開してあなたの手札に加えてもよい。これによりあなたのライブラリーからカードを探したなら、あなたのライブラリーを切り直す。</t>
  </si>
  <si>
    <t>血の貢ぎ物</t>
  </si>
  <si>
    <t>キッカー ― あなたがコントロールするアンタップ状態の吸血鬼(Vampire)を１体タップする。（あなたがこの呪文を唱えるに際し、あなたは他のコストに加えてあなたがコントロールする吸血鬼を１体タップしてもよい。）</t>
  </si>
  <si>
    <t>対戦相手１人を対象とする。そのプレイヤーは自分のライフの、端数を切り上げた半分を失う。この呪文がキッカーされていたなら、あなたはこれにより失われたライフに等しい点数のライフを得る。</t>
  </si>
  <si>
    <t>地底街の疫病</t>
  </si>
  <si>
    <t>プレイヤー１人を対象とする。そのプレイヤーは１点のライフを失い、カードを１枚捨て、パーマネントを１つ生け贄に捧げる。</t>
  </si>
  <si>
    <t>末永く</t>
  </si>
  <si>
    <t>あなたの墓地からクリーチャー・カードを最大２枚まで対象とし、それらを戦場に戻す。それらのクリーチャーは、他の色やタイプに加えて黒のゾンビ(Zombie)でもある。末永くをオーナーのライブラリーの一番下に置く。</t>
  </si>
  <si>
    <t>悪夢の乱入</t>
  </si>
  <si>
    <t>プレイヤー１人を対象とする。そのプレイヤーのライブラリーからカードを最大Ｘ枚まで探し、それらを追放する。Ｘはあなたがコントロールする沼(Swamp)の数である。その後、そのプレイヤーは自分のライブラリーを切り直す。</t>
  </si>
  <si>
    <t>滅びへの選択</t>
  </si>
  <si>
    <t>対戦相手１人を対象とする。そのプレイヤーは、数を１つ選ぶ。あなたは「そのプレイヤーはその点数のライフを失う」ことを選んでもよい。そうしなかった場合、そのプレイヤーはその数のパーマネントを除くすべてのパーマネントを生け贄に捧げる。</t>
  </si>
  <si>
    <t>全希望の消滅</t>
  </si>
  <si>
    <t>すべてのエンチャントでないクリーチャーを破壊する。</t>
  </si>
  <si>
    <t>無限の苦悩</t>
  </si>
  <si>
    <t>プレイヤー１人を対象とする。そのプレイヤーのライブラリーからカードをＸ枚探し、それらを追放する。Ｘはあなたの手札のカードの枚数である。そのプレイヤーは自分のライブラリーを切り直す。</t>
  </si>
  <si>
    <t>呪詛</t>
  </si>
  <si>
    <t>クリーチャー６体を対象とし、それらを破壊する。</t>
  </si>
  <si>
    <t>機知の終わり</t>
  </si>
  <si>
    <t>プレイヤー１人を対象とする。そのプレイヤーは自分の手札を捨てる。</t>
  </si>
  <si>
    <t>害獣の疫病</t>
  </si>
  <si>
    <t>あなたから始めて、各プレイヤーは好きな量のライフを支払ってもよい。この手順を、誰もライフを支払わなくなるまで繰り返す。各プレイヤーは、この方法で自分が支払ったライフ１点につき黒の1/1のネズミ(Rat)・クリーチャー・トークンを１体生成する。</t>
  </si>
  <si>
    <t>等価返し</t>
  </si>
  <si>
    <t>各プレイヤーのライフの総量は、すべてのプレイヤーのうちで最も低いライフの総量になる。</t>
  </si>
  <si>
    <t>ソリンの復讐</t>
  </si>
  <si>
    <t>プレイヤー１人を対象とする。ソリンの復讐はそのプレイヤーに１０点のダメージを与え、あなたは１０点のライフを得る。</t>
  </si>
  <si>
    <t>疫病風</t>
  </si>
  <si>
    <t>(７)(B)(B)</t>
  </si>
  <si>
    <t>あなたがコントロールしていない、すべてのクリーチャーを破壊する。それらは再生できない。</t>
  </si>
  <si>
    <t>ガラクの目覚め</t>
  </si>
  <si>
    <t>あなたがコントロールしていないすべてのクリーチャーと、あなたがコントロールしていないすべてのプレインズウォーカーを破壊する。</t>
  </si>
  <si>
    <t>陰謀団の呪い</t>
  </si>
  <si>
    <t>プレイヤー１人を対象とする。そのプレイヤーは、自分がコントロールするパーマネントの、端数を切り捨てた半分を生け贄に捧げる。</t>
  </si>
  <si>
    <t>待機２ ― (２)(B)(B)（このカードをあなたの手札から唱えるのではなく、(２)(B)(B)を支払うとともにそれを時間(time)カウンターが２個置かれた状態で追放する。あなたのアップキープの開始時に、時間カウンターを１個取り除く。最後の１個を取り除いたとき、それをそのマナ・コストを支払うことなく唱える。）</t>
  </si>
  <si>
    <t>各プレイヤーのアップキープの開始時に、陰謀団の呪いが待機状態であるならば、そのプレイヤーはパーマネントを１つ生け贄に捧げてもよい。そのプレイヤーがそうした場合、陰謀団の呪いの上に時間カウンターを２個置く。</t>
  </si>
  <si>
    <t>来世の警告</t>
  </si>
  <si>
    <t>あなたの手札を捨てる。あなたのライブラリーからカードを３枚探し、それらのカードをあなたの手札に加える。その後、あなたのライブラリーを切り直す。</t>
  </si>
  <si>
    <t>骨塚協議</t>
  </si>
  <si>
    <t>墓地からクリーチャー・カード最大５枚を対象とし、それらを追放する。対戦相手１人はそれらのカードを２つの束に分ける。あなたは束１つを選ぶ。その選ばれた束からカードをすべてあなたのコントロール下で戦場に出し、残りをオーナーの墓地に置く。</t>
  </si>
  <si>
    <t>恐ろしい徴兵</t>
  </si>
  <si>
    <t>プレイヤー１人を対象とし、そのプレイヤーの墓地にあるすべてのクリーチャー・カードを裏向きの束にして追放し、その束を切り直してからそれらのカードを予示する。（カードを予示するには、それを裏向きの状態で2/2クリーチャーとして戦場に出す。それがクリーチャー・カードであるなら、そのマナ・コストでいつでも表向きにしてよい。）</t>
  </si>
  <si>
    <t>忌むべき者の軍団</t>
  </si>
  <si>
    <t>(５)(B)(B)(B)</t>
  </si>
  <si>
    <t>黒の2/2のゾンビ(Zombie)・クリーチャー・トークンを１３体、タップ状態で生成する。</t>
  </si>
  <si>
    <t>フラッシュバック(７)(B)(B)(B)（あなたはあなたの墓地にあるこのカードを、そのフラッシュバック・コストで唱えてもよい。その後それを追放する。）</t>
  </si>
  <si>
    <t>最悪の恐怖</t>
  </si>
  <si>
    <t>(７)(B)</t>
  </si>
  <si>
    <t>プレイヤー１人を対象とする。そのプレイヤーの次のターンの間、あなたはそのプレイヤーをコントロールする。最悪の恐怖を追放する。（あなたはそのプレイヤーが見ることのできるすべてのカードを見て、そのプレイヤーのすべての決定を行う。）</t>
  </si>
  <si>
    <t>闇の領域の隆盛</t>
  </si>
  <si>
    <t>すべての墓地にあるすべてのクリーチャー・カードをあなたのコントロール下で戦場に出す。</t>
  </si>
  <si>
    <t>呆然</t>
  </si>
  <si>
    <t>対戦相手１人を対象とする。そのプレイヤーはカードを１枚無作為に選んで捨てる。その後そのプレイヤーはカードを１枚捨てる。</t>
  </si>
  <si>
    <t>暗黒</t>
  </si>
  <si>
    <t>葬送の魔除け</t>
  </si>
  <si>
    <t>・クリーチャー１体を対象とする。ターン終了時まで、それは沼渡りを得る。（それは、防御プレイヤーが沼(Swamp)をコントロールしているかぎりブロックされない。）</t>
  </si>
  <si>
    <t>殺戮の契約</t>
  </si>
  <si>
    <t>あなたの次のアップキープの開始時に(２)(B)を支払う。そうしない場合、あなたはこのゲームに敗北する。</t>
  </si>
  <si>
    <t>根絶</t>
  </si>
  <si>
    <t>いずれかの墓地にある、基本土地カード以外のカードを１枚対象とする。それのオーナーの墓地と手札とライブラリーから、同じ名前を持つカードをすべて探し、それらを追放する。その後そのプレイヤーは自分のライブラリーを切り直す。</t>
  </si>
  <si>
    <t>外科的摘出</t>
  </si>
  <si>
    <t>(黒/Φ)</t>
  </si>
  <si>
    <t>いずれかの墓地にある基本土地カードでないカード１枚を対象として選ぶ。それのオーナーの墓地と手札とライブラリーから、そのカードと同じ名前を持つカードを望む枚数だけ探し、それらを追放する。その後、そのプレイヤーは自分のライブラリーを切り直す。</t>
  </si>
  <si>
    <t>大霊堂の戦利品</t>
  </si>
  <si>
    <t>カード名を１つ選ぶ。あなたのライブラリーを、その名前のカードが公開されるまで上から１枚ずつ公開する。その後、そのカードをあなたの手札に加える。これにより公開されたほかのすべてのカードを追放し、あなたはその追放されたカード１枚につき１点のライフを失う。</t>
  </si>
  <si>
    <t>冥府の報い</t>
  </si>
  <si>
    <t>無色のクリーチャー１体を対象とし、それを追放する。あなたはそれのパワーに等しい点数のライフを得る。</t>
  </si>
  <si>
    <t>空虚自身</t>
  </si>
  <si>
    <t>あなたの手札を捨てる。</t>
  </si>
  <si>
    <t>英雄の死</t>
  </si>
  <si>
    <t>伝説のクリーチャー１体を対象とし、それを破壊する。</t>
  </si>
  <si>
    <t>不快な群れ</t>
  </si>
  <si>
    <t xml:space="preserve">あなたは、不快な群れのマナ・コストを支払うのではなく、あなたの手札にある、点数で見たマナ・コストがＸである黒のカード１枚を追放することを選んでもよい。 </t>
  </si>
  <si>
    <t>クリーチャー１体を対象とする。それはターン終了時まで-X/-Xの修整を受ける。</t>
  </si>
  <si>
    <t>御霊の復讐</t>
  </si>
  <si>
    <t>あなたの墓地にある伝説のクリーチャー・カード１枚を対象とし、それを戦場に戻す。そのクリーチャーは、ターン終了時まで速攻を得る。次の終了ステップの開始時に、それを追放する。</t>
  </si>
  <si>
    <t>連繋（秘儀(Arcane)）(２)(B)（あなたが秘儀呪文を唱えるに際し、あなたはこのカードを手札から公開して連繋コストを支払ってもよい。そうした場合、このカードの効果をその呪文に追加する。）</t>
  </si>
  <si>
    <t>葬送の影</t>
  </si>
  <si>
    <t>あなたの墓地にある、あなたがこのターンにサイクリングしたか捨てたカードをすべてあなたの手札に戻す。</t>
  </si>
  <si>
    <t>暗黒への突入</t>
  </si>
  <si>
    <t>・望む数のクリーチャーを生け贄に捧げる。これにより生け贄に捧げられたクリーチャー１体につき、あなたは３点のライフを得る。</t>
  </si>
  <si>
    <t>・Ｘ点のライフを支払う。あなたのライブラリーのカードを上からＸ枚見て、それらのカードの中から１枚をあなたの手札に加え、残りを追放する。</t>
  </si>
  <si>
    <t>双呪(B)（あなたが双呪コストを支払った場合、両方を選ぶ。）</t>
  </si>
  <si>
    <t>インプの悪戯</t>
  </si>
  <si>
    <t>単一の対象を取る呪文１つを対象とし、その対象を変更する。あなたはその呪文の点数で見たマナ・コストに等しい点数のライフを失う。</t>
  </si>
  <si>
    <t>ヴォーナの飢え</t>
  </si>
  <si>
    <t>各対戦相手はそれぞれクリーチャー１体を生け贄に捧げる。あなたが都市の承認を持っているなら、代わりに、各対戦相手はそれぞれ自分がコントロールしているクリーチャーのうち端数を切り上げた半分を生け贄に捧げる。</t>
  </si>
  <si>
    <t>突然の俗化</t>
  </si>
  <si>
    <t>プレイヤー１人を対象とする。ターン終了時まで、そのプレイヤーがコントロールするクリーチャーはすべての能力を失うとともに、基本のパワーとタフネスが0/2である。</t>
  </si>
  <si>
    <t>無残な助言</t>
  </si>
  <si>
    <t>あなたのライブラリーから土地でないカードを１枚探し、それを公開する。このターン、それと同じ名前を持つカードを唱えた各対戦相手は６点のライフを失う。その後、あなたのライブラリーを切り直す。</t>
  </si>
  <si>
    <t>(B)(B)：あなたの墓地から無残な助言をあなたの手札に戻す。この能力は、あなたのアップキープの間にのみ起動できる。</t>
  </si>
  <si>
    <t>英雄の破滅</t>
  </si>
  <si>
    <t>餌食</t>
  </si>
  <si>
    <t>プレイヤー１人を対象とする。そのプレイヤーはクリーチャー１体かプレインズウォーカー１体を生け贄に捧げる。</t>
  </si>
  <si>
    <t>昂揚 ― あなたの墓地にあるカードにカード・タイプが合計４種類以上含まれるなら、代わりに、そのプレイヤーはクリーチャー１体とプレインズウォーカー１体を生け贄に捧げる。</t>
  </si>
  <si>
    <t>不気味な帰還</t>
  </si>
  <si>
    <t>このターンに戦場から墓地に置かれた、いずれかの墓地にあるクリーチャー・カード１枚を対象とする。そのカードをあなたのコントロール下で戦場に出す。</t>
  </si>
  <si>
    <t>ヴラスカの侮辱</t>
  </si>
  <si>
    <t>クリーチャー１体かプレインズウォーカー１体を対象とし、それを追放する。あなたは２点のライフを得る。</t>
  </si>
  <si>
    <t>信者の沈黙</t>
  </si>
  <si>
    <t>奮励 ― 信者の沈黙を唱えるためのコストは、２つ目以降の対象１つにつき(２)(B)多くなる。</t>
  </si>
  <si>
    <t>望む数のクリーチャーを対象とし、それらとそれらにつけられているすべてのオーラ(Aura)を追放する。</t>
  </si>
  <si>
    <t>栄光の刻</t>
  </si>
  <si>
    <t>クリーチャー１体を対象とし、それを追放する。そのクリーチャーが神(God)であったなら、それのコントローラーは自分の手札を公開し、その中からそのクリーチャーと同じ名前を持つカードをすべて追放する。</t>
  </si>
  <si>
    <t>白でも黒でもないクリーチャー１体を対象とし、それを破壊する。飛行を持つ白の1/1のスピリット(Spirit)・クリーチャー・トークンを１体生成する。</t>
  </si>
  <si>
    <t>魂の捕縛が憑依しているクリーチャーが死亡したとき、白でも黒でもないクリーチャー１体を対象とし、それを破壊する。飛行を持つ白の1/1のスピリット・クリーチャー・トークンを１体生成する。</t>
  </si>
  <si>
    <t>しなびた腐敗</t>
  </si>
  <si>
    <t>・ターン終了時まで、クリーチャーがダメージを与えられるたび、それを破壊する。</t>
  </si>
  <si>
    <t>・ターン終了時まで、クリーチャー１体が死亡するたび、そのクリーチャーのコントローラーはそのクリーチャーのタフネスに等しい点数のライフを失う。</t>
  </si>
  <si>
    <t>双呪(２)(B)（あなたが双呪コストを支払った場合、両方を選ぶ。）</t>
  </si>
  <si>
    <t>邪悪な復活</t>
  </si>
  <si>
    <t>クリーチャー１体を対象とする。ターン終了時まで、それは-X/-Xの修整を受ける。Ｘは、これによりあなたの手札に戻したカードのタフネスである。</t>
  </si>
  <si>
    <t>弱者の消耗</t>
  </si>
  <si>
    <t>点数で見たマナ・コストが３以下の各クリーチャーを破壊する。それらは再生できない。</t>
  </si>
  <si>
    <t>むかつき</t>
  </si>
  <si>
    <t>あなたのライブラリーの一番上のカードを公開し、そのカードをあなたの手札に加える。あなたはそれの点数で見たマナ・コストに等しい点数のライフを失う。あなたはこの手順を望む回数繰り返してもよい。</t>
  </si>
  <si>
    <t>月光の取り引き</t>
  </si>
  <si>
    <t>あなたのライブラリーのカードを上から５枚見る。各カードについて、あなたが２点のライフを支払わないかぎり、そのカードをあなたの墓地に置く。その後残りをあなたの手札に加える。</t>
  </si>
  <si>
    <t>魂の撃ち込み</t>
  </si>
  <si>
    <t>あなたは、魂の撃ち込みのマナ・コストを支払うのではなく、あなたの手札にある黒のカード２枚を追放することを選んでもよい。</t>
  </si>
  <si>
    <t>クリーチャー１体かプレイヤー１人を対象とする。魂の撃ち込みはそれに４点のダメージを与え、あなたは４点のライフを得る。</t>
  </si>
  <si>
    <t>宿命的復活</t>
  </si>
  <si>
    <t>いずれかの墓地にあるクリーチャー・カード１枚を対象とし、それをあなたのコントロール下で戦場に出す。それは破壊不能を得る。あなたのターンであるなら、占術２を行う。（あなたのライブラリーの一番上から２枚のカードを見て、そのうちの望む枚数のカードを望む順番であなたのライブラリーの一番下に置き、残りを望む順番で一番上に置く。）</t>
  </si>
  <si>
    <t>奈落の総ざらい</t>
  </si>
  <si>
    <t>(Ｘ)(Ｘ)(B)(B)(B)(B)</t>
  </si>
  <si>
    <t>黒の2/2のゾンビ(Zombie)・クリーチャー・トークンをＸ体、タップ状態で生成する。</t>
  </si>
  <si>
    <t>扇動</t>
  </si>
  <si>
    <t>クリーチャー１体を対象とする。それはターン終了時まで赤になるとともに、このターン、それは可能ならば攻撃する。</t>
  </si>
  <si>
    <t>ショック</t>
  </si>
  <si>
    <t>クリーチャー１体かプレインズウォーカー１体かプレイヤー１人を対象とする。ショックはそれに２点のダメージを与える。</t>
  </si>
  <si>
    <t>稲妻</t>
  </si>
  <si>
    <t>クリーチャー１体かプレインズウォーカー１体かプレイヤー１人を対象とする。稲妻はそれに３点のダメージを与える。</t>
  </si>
  <si>
    <t>群衆の決起</t>
  </si>
  <si>
    <t>奮励 ― 群衆の決起を唱えるためのコストは、２つ目以降の対象１つにつき(２)(R)多くなる。</t>
  </si>
  <si>
    <t>望む数のクリーチャーを対象とする。それらはそれぞれターン終了時まで+2/+0の修整を受けるとともにトランプルを得る。</t>
  </si>
  <si>
    <t>タール火</t>
  </si>
  <si>
    <t>クリーチャー１体かプレイヤー１人を対象とする。タール火はそれに２点のダメージを与える。</t>
  </si>
  <si>
    <t>両手撃ち</t>
  </si>
  <si>
    <t>クリーチャー最大２体を対象とする。両手撃ちはそれらにそれぞれ１点のダメージを与える。</t>
  </si>
  <si>
    <t>熱光線</t>
  </si>
  <si>
    <t>(Ｘ)(R)</t>
  </si>
  <si>
    <t>クリーチャー１体を対象とする。熱光線はそれにＸ点のダメージを与える。</t>
  </si>
  <si>
    <t>稲妻の斧</t>
  </si>
  <si>
    <t>この呪文を唱えるための追加コストとして、カードを１枚捨てるか(５)を支払う。</t>
  </si>
  <si>
    <t>クリーチャー１体を対象とする。稲妻の斧はそれに５点のダメージを与える。</t>
  </si>
  <si>
    <t>掲げられた軍旗</t>
  </si>
  <si>
    <t>あなたがコントロールするクリーチャーは、ターン終了時まで+1/+0の修整を受ける。</t>
  </si>
  <si>
    <t>異世界の発露</t>
  </si>
  <si>
    <t>クリーチャー１体を対象とする。ターン終了時まで、それは+1/+0の修整を受ける。このターン、そのクリーチャーが死亡したとき、無色の3/2のエルドラージ(Eldrazi)・ホラー(Horror)・クリーチャー・トークンを１体生成する。</t>
  </si>
  <si>
    <t>シヴの火</t>
  </si>
  <si>
    <t>キッカー(４)（あなたはこの呪文を唱えるに際し、追加で(４)を支払ってもよい。）</t>
  </si>
  <si>
    <t>クリーチャー１体を対象とする。シヴの火はそれに２点のダメージを与える。この呪文がキッカーされていたなら、代わりに、これはそのクリーチャーに４点のダメージを与える。</t>
  </si>
  <si>
    <t>騒乱への突入</t>
  </si>
  <si>
    <t>クリーチャー１体を対象とする。それはこのターン、可能ならば攻撃する。</t>
  </si>
  <si>
    <t>連繋（秘儀(Arcane)）(R)（あなたが秘儀呪文を唱えるに際し、あなたはこのカードを手札から公開して連繋コストを支払ってもよい。そうした場合、このカードの効果をその呪文に追加する。）</t>
  </si>
  <si>
    <t>正確な一撃</t>
  </si>
  <si>
    <t>クリーチャー１体を対象とする。ターン終了時まで、それは+1/+0の修整を受けるとともに先制攻撃を得る。</t>
  </si>
  <si>
    <t>針落とし</t>
  </si>
  <si>
    <t>このターンにダメージを与えられたクリーチャー１体かプレイヤー１人を対象とする。針落としはそれに１点のダメージを与える。</t>
  </si>
  <si>
    <t>電謀</t>
  </si>
  <si>
    <t>あなたがコントロールしていないクリーチャー１体を対象とする。電謀はそれに１点のダメージを与える。</t>
  </si>
  <si>
    <t>超過(１)(R)（あなたはこの呪文をその超過コストで唱えてもよい。そうしたなら、電謀はあなたがコントロールしていない各クリーチャーにそれぞれ１点のダメージを与える。）</t>
  </si>
  <si>
    <t>武器への印加</t>
  </si>
  <si>
    <t>あなたがコントロールするクリーチャー１体を対象とする。それはターン終了時まで+1/+0の修整を受けるとともに先制攻撃を得る。</t>
  </si>
  <si>
    <t>超過(１)(R)（あなたはこの呪文をその超過コストで唱えてもよい。そうしたなら、あなたがコントロールする各クリーチャーはそれぞれ、ターン終了時まで+1/+0の修整を受けるとともに先制攻撃を得る。）</t>
  </si>
  <si>
    <t>流電砲撃</t>
  </si>
  <si>
    <t>クリーチャー１体を対象とする。流電砲撃はそれにＸ点のダメージを与える。Ｘは、あなたの墓地にある《流電砲撃/Galvanic Bombardment》と言う名前のカードの枚数に２を足した数に等しい。</t>
  </si>
  <si>
    <t>粗暴な力</t>
  </si>
  <si>
    <t>クリーチャー１体を対象とする。それはターン終了時まで+3/+3の修整を受ける。</t>
  </si>
  <si>
    <t>クリーチャー１体かプレインズウォーカー１体かプレイヤー１人を対象とする。感電破はそれに２点のダメージを与える。</t>
  </si>
  <si>
    <t>金属術 ― あなたがアーティファクトを３つ以上コントロールしているかぎり、代わりに感電破はそのパーマネントかプレイヤーに４点のダメージを与える。</t>
  </si>
  <si>
    <t>噴出の稲妻</t>
  </si>
  <si>
    <t>キッカー(４)（あなたがこの呪文を唱えるに際し、あなたは追加の(４)を支払ってもよい。）</t>
  </si>
  <si>
    <t>クリーチャー１体かプレインズウォーカー１体かプレイヤー１人を対象とする。噴出の稲妻はそれに２点のダメージを与える。この呪文がキッカーされていたなら、それは代わりにそのパーマネントかプレイヤーに４点のダメージを与える。</t>
  </si>
  <si>
    <t>はらわた撃ち</t>
  </si>
  <si>
    <t>(赤/Φ)</t>
  </si>
  <si>
    <t>クリーチャー１体かプレインズウォーカー１体かプレイヤー１人を対象とする。はらわた撃ちはそれに１点のダメージを与える。</t>
  </si>
  <si>
    <t>馬力充電</t>
  </si>
  <si>
    <t>あなたがコントロールするクリーチャー１体を対象とする。それはターン終了時まで+2/+0の修整を受ける。</t>
  </si>
  <si>
    <t>超過(２)(R)（あなたはこの呪文をその超過コストで唱えてもよい。そうしたなら、あなたがコントロールしている各クリーチャーは、ターン終了時までそれぞれ+2/+0の修整を受ける。）</t>
  </si>
  <si>
    <t>不自然な速さ</t>
  </si>
  <si>
    <t>クリーチャー１体を対象とする。それはターン終了時まで速攻を得る。</t>
  </si>
  <si>
    <t>雪崩し</t>
  </si>
  <si>
    <t>クリーチャー１体を対象とする。雪崩しはそれに、あなたがコントロールする氷雪パーマネントの数に等しい点数のダメージを与える。</t>
  </si>
  <si>
    <t>たなびく真紅</t>
  </si>
  <si>
    <t>クリーチャー１体を対象とする。それはターン終了時まで赤になるとともに速攻を得る。</t>
  </si>
  <si>
    <t>敵意借用</t>
  </si>
  <si>
    <t>増呪(３)（２つ目以降に選ぶモード１つにつき、このコストを１回支払う。）</t>
  </si>
  <si>
    <t>・クリーチャー１体を対象とする。ターン終了時まで、それは+3/+0の修整を受ける。</t>
  </si>
  <si>
    <t>・クリーチャー１体を対象とする。ターン終了時まで、それは先制攻撃を得る。</t>
  </si>
  <si>
    <t>炎上</t>
  </si>
  <si>
    <t>炎上は、このターンにダメージを与えられた各クリーチャーにそれぞれ２点のダメージを与える。</t>
  </si>
  <si>
    <t>マグマのしぶき</t>
  </si>
  <si>
    <t>クリーチャー１体を対象とする。マグマのしぶきはそれに２点のダメージを与える。このターン、そのクリーチャーが死亡するなら、代わりにそれを追放する。</t>
  </si>
  <si>
    <t>タイタンの力</t>
  </si>
  <si>
    <t>クリーチャー１体を対象とする。それはターン終了時まで+3/+1の修整を受ける。占術１を行う。（あなたのライブラリーの一番上のカードを見る。あなたはそのカードをあなたのライブラリーの一番下に置いてもよい。）</t>
  </si>
  <si>
    <t>多勢</t>
  </si>
  <si>
    <t>クリーチャー１体を対象とする。多勢はそれに、あなたがコントロールするクリーチャーの総数に等しい点数のダメージを与える。</t>
  </si>
  <si>
    <t>盲信のうねり</t>
  </si>
  <si>
    <t>光輝 ― クリーチャー１体を対象とする。それと、その他の共通の色を持つ各クリーチャーは、ターン終了時まで速攻を得る。</t>
  </si>
  <si>
    <t>民衆の好意</t>
  </si>
  <si>
    <t>クリーチャー１体を対象とする。それはターン終了時まで+1/+0の修整を受けるとともに先制攻撃を得る。（それは先制攻撃を持たないクリーチャーよりも先に戦闘ダメージを与える。）</t>
  </si>
  <si>
    <t>欠片の飛来</t>
  </si>
  <si>
    <t>欠片の飛来を唱えるための追加コストとして、土地を１つ生け贄に捧げる。</t>
  </si>
  <si>
    <t>クリーチャー１体かプレイヤー１人を対象とする。欠片の飛来はそれに３点のダメージを与える。</t>
  </si>
  <si>
    <t>白熱の一撃</t>
  </si>
  <si>
    <t>クリーチャー１体を対象とする。ターン終了時まで、それは+1/+0の修整を受けるとともに先制攻撃と速攻を得る。</t>
  </si>
  <si>
    <t>死亡</t>
  </si>
  <si>
    <t>クリーチャー１体を対象とする。死亡はそれに２点のダメージを与える。</t>
  </si>
  <si>
    <t>退場</t>
  </si>
  <si>
    <t>あなたがコントロールしていないクリーチャー１体を対象とし、それをオーナーの手札に戻す。</t>
  </si>
  <si>
    <t>火花の衝撃</t>
  </si>
  <si>
    <t>クリーチャー１体かプレイヤー１人を対象とする。火花の衝撃はそれに１点のダメージを与える。占術１を行う。（あなたのライブラリーの一番上のカードを見る。あなたはそのカードをあなたのライブラリーの一番下に置いてもよい。）</t>
  </si>
  <si>
    <t>焦熱の衝動</t>
  </si>
  <si>
    <t>クリーチャー１体を対象とする。焦熱の衝動はそれに２点のダメージを与える。</t>
  </si>
  <si>
    <t>魔巧 ― あなたの墓地にインスタント・カードやソーサリー・カードが合わせて２枚以上あるなら、焦熱の衝動はそのクリーチャーに２点の代わりに３点のダメージを与える。</t>
  </si>
  <si>
    <t>促進</t>
  </si>
  <si>
    <t>クリーチャー１体を対象とする。ターン終了時まで、それは速攻を得る。</t>
  </si>
  <si>
    <t>火をつける怒り</t>
  </si>
  <si>
    <t>雄牛の猛進</t>
  </si>
  <si>
    <t>クリーチャー１体を対象とする。それはターン終了時まで+2/+0の修整を受ける。</t>
  </si>
  <si>
    <t>霊炎</t>
  </si>
  <si>
    <t>クリーチャー１体かプレインズウォーカー１体かプレイヤー１人を対象とする。霊炎はそれに１点のダメージを与える。</t>
  </si>
  <si>
    <t>フラッシュバック(３)(R)（あなたはあなたの墓地にあるこのカードを、そのフラッシュバック・コストで唱えてもよい。その後それを追放する。）</t>
  </si>
  <si>
    <t>猛然たる抵抗</t>
  </si>
  <si>
    <t>ブロック・クリーチャー１体を対象とする。それはターン終了時まで+3/+0の修整を受けるとともに先制攻撃を得る。</t>
  </si>
  <si>
    <t>巻き添え被害</t>
  </si>
  <si>
    <t>クリーチャー１体かプレインズウォーカー１体かプレイヤー１人を対象とする。巻き添え被害はそれに３点のダメージを与える。</t>
  </si>
  <si>
    <t>アドレナリン作用</t>
  </si>
  <si>
    <t>クリーチャー１体を対象とする。ターン終了時まで、それは+2/+1の修整を受けるとともにトランプルを得る。</t>
  </si>
  <si>
    <t>戦いの賛歌</t>
  </si>
  <si>
    <t>あなたがコントロールするクリーチャー１体につき(R)を加える。</t>
  </si>
  <si>
    <t>稲妻の一撃</t>
  </si>
  <si>
    <t>クリーチャー１体かプレインズウォーカー１体かプレイヤー１人を対象とする。稲妻の一撃はそれに３点のダメージを与える。</t>
  </si>
  <si>
    <t>チャンドラの螺旋炎</t>
  </si>
  <si>
    <t>クリーチャーやプレインズウォーカーやプレイヤーの組み合わせを１つか２つ対象とする。チャンドラの螺旋炎はそれらに、２点のダメージを望むように分割して与える。</t>
  </si>
  <si>
    <t>灼熱の槍</t>
  </si>
  <si>
    <t>クリーチャー１体かプレイヤー１人を対象とする。灼熱の槍はそれに３点のダメージを与える。</t>
  </si>
  <si>
    <t>氷河の光線</t>
  </si>
  <si>
    <t>クリーチャー１体かプレインズウォーカー１体かプレイヤー１人を対象とする。氷河の光線はそれに２点のダメージを与える。</t>
  </si>
  <si>
    <t>連繋（秘儀(Arcane)）(１)(R)（あなたが秘儀呪文を唱えるに際し、あなたはこのカードを手札から公開して連繋コストを支払ってもよい。そうしたなら、このカードの効果をその呪文に追加する。）</t>
  </si>
  <si>
    <t>病的な憤激</t>
  </si>
  <si>
    <t>多色のクリーチャー１体を対象とする。それはターン終了時まで二段攻撃を得る。</t>
  </si>
  <si>
    <t>海賊の示威</t>
  </si>
  <si>
    <t>・クリーチャー１体を対象とする。ターン終了時まで、それは+1/+1の修整を受けるとともに先制攻撃を得る。</t>
  </si>
  <si>
    <t>・海賊(Pirate)１体を対象とする。ターン終了時まで、それは+1/+1の修整を受けるとともに二段攻撃を得る。</t>
  </si>
  <si>
    <t>捨て身の儀式</t>
  </si>
  <si>
    <t>(R)(R)(R)を加える。</t>
  </si>
  <si>
    <t>連繋（秘儀(Arcane)）(１)(R)（あなたが秘儀呪文を唱えるに際し、あなたはこのカードを手札から公開して連繋コストを支払ってもよい。そうした場合、このカードの効果をその呪文に追加する。）</t>
  </si>
  <si>
    <t>双雷弾</t>
  </si>
  <si>
    <t>クリーチャーやプレイヤーを１つまたは２つ対象とする。双雷弾はそれらに、２点のダメージをあなたの望むように分割して与える。</t>
  </si>
  <si>
    <t>不純の焼き払い</t>
  </si>
  <si>
    <t>クリーチャー１体を対象とする。不純の焼き払いはそれに３点のダメージを与える。そのクリーチャーが感染を持つ場合、不純の焼き払いはそのクリーチャーのコントローラーに３点のダメージを与える。</t>
  </si>
  <si>
    <t>難題への挑戦</t>
  </si>
  <si>
    <t>確実な一撃</t>
  </si>
  <si>
    <t>クリーチャー１体を対象とする。ターン終了時まで、それは+3/+0の修整を受け、先制攻撃を得る。</t>
  </si>
  <si>
    <t>連弾炎</t>
  </si>
  <si>
    <t>複製(１)(R)（あなたがこの呪文を唱えるとき、あなたがその複製コストを支払った回数１回につき、それをコピーする。あなたはそのコピーの新しい対象を選んでもよい。）</t>
  </si>
  <si>
    <t>クリーチャー１体かプレイヤー１人を対象とする。連弾炎はそれに１点のダメージを与える。</t>
  </si>
  <si>
    <t>地鳴りの揺るぎ</t>
  </si>
  <si>
    <t>地鳴りの揺るぎは、飛行を持たない各クリーチャーにそれぞれ１点のダメージを与える。</t>
  </si>
  <si>
    <t>現実の流出</t>
  </si>
  <si>
    <t>クリーチャー１体かプレイヤー１人を対象とする。現実の流出はそれに２点のダメージを与える。</t>
  </si>
  <si>
    <t>投げ飛ばし</t>
  </si>
  <si>
    <t>クリーチャー１体かプレインズウォーカー１体かプレイヤー１人を対象とする。投げ飛ばしは、それに生け贄に捧げられたクリーチャーのパワーに等しい点数のダメージを与える。</t>
  </si>
  <si>
    <t>刺す稲妻</t>
  </si>
  <si>
    <t>クリーチャー１体を対象とする。刺す稲妻はそれに１点のダメージを与える。そのクリーチャーの上に-1/-1カウンターを１個置く。</t>
  </si>
  <si>
    <t>猛り狂い</t>
  </si>
  <si>
    <t>攻撃クリーチャー１体を対象とする。ターン終了時まで、それは+3/+3の修整を受けるとともにトランプルを得る。</t>
  </si>
  <si>
    <t>いかづち</t>
  </si>
  <si>
    <t>・プレイヤー１人を対象とする。いかづちはそのプレイヤーに３点のダメージを与える。</t>
  </si>
  <si>
    <t>・飛行を持つクリーチャー１体を対象とする。いかづちはそれに４点のダメージを与える。</t>
  </si>
  <si>
    <t>異常な俊敏性</t>
  </si>
  <si>
    <t>クリーチャー１体を対象とする。それはターン終了時まで+3/+0の修整を受けるとともに速攻を得る。</t>
  </si>
  <si>
    <t>槌の一撃</t>
  </si>
  <si>
    <t>あなたがコントロールするクリーチャー１体を対象とし、他のクリーチャー１体を対象とする。その前者はその後者に、自身のパワーに等しい点数のダメージを与える。</t>
  </si>
  <si>
    <t>マグマの噴流</t>
  </si>
  <si>
    <t>クリーチャー１体かプレインズウォーカー１体かプレイヤー１人を対象とする。マグマの噴流は、それに２点のダメージを与える。占術２を行う。</t>
  </si>
  <si>
    <t>踏み潰し</t>
  </si>
  <si>
    <t>クリーチャー１体を対象とする。あなたがコントロールする巨人(Giant)クリーチャーを１体選ぶ。その巨人はそのクリーチャーに、自身のパワーに等しい点数のダメージを与える。</t>
  </si>
  <si>
    <t>凶暴な力</t>
  </si>
  <si>
    <t>クリーチャー１体を対象とする。ターン終了時まで、それは+3/+1の修整を受けるとともにトランプルを得る。</t>
  </si>
  <si>
    <t>金床の拳</t>
  </si>
  <si>
    <t>クリーチャー１体を対象とする。それはターン終了時まで+4/+0の修整を受ける。</t>
  </si>
  <si>
    <t>産卵の息</t>
  </si>
  <si>
    <t>クリーチャー１体かプレイヤー１人を対象とする。産卵の息はそれに１点のダメージを与える。無色の0/1のエルドラージ(Eldrazi)・落とし子(Spawn)クリーチャー・トークンを１体生成する。それは「このクリーチャーを生け贄に捧げる：あなたのマナ・プールに(◇)を加える。」を持つ。</t>
  </si>
  <si>
    <t>吸血鬼の怒り</t>
  </si>
  <si>
    <t>あなたがコントロールする吸血鬼(Vampire)クリーチャーは、ターン終了時まで+2/+0の修整を受けるとともに先制攻撃を得る。</t>
  </si>
  <si>
    <t>雷の一撃</t>
  </si>
  <si>
    <t>クリーチャー１体を対象とする。それはターン終了時まで+2/+0の修整を受けるとともに先制攻撃を得る。（それは先制攻撃を持たないクリーチャーより先に戦闘ダメージを与える。）</t>
  </si>
  <si>
    <t>気絶</t>
  </si>
  <si>
    <t>ヴェリズ・ヴェルの刃</t>
  </si>
  <si>
    <t>クリーチャーを最大２体まで対象とする。それらはターン終了時まで+2/+0の修整を受けるとともにすべてのクリーチャー・タイプを得る。</t>
  </si>
  <si>
    <t>かすむ刀剣</t>
  </si>
  <si>
    <t>クリーチャー１体を対象とし、それの上に-1/-1カウンターを１個置く。かすむ刀剣はそのクリーチャーのコントローラーに２点のダメージを与える。</t>
  </si>
  <si>
    <t>うねる炎</t>
  </si>
  <si>
    <t>クリーチャー１体かプレイヤー１人を対象とする。うねる炎はそれに２点のダメージを与える。</t>
  </si>
  <si>
    <t>焼尽の猛火</t>
  </si>
  <si>
    <t>プレイヤー１人と、そのプレイヤーがコントロールしているクリーチャー１体を対象とする。焼尽の猛火はそのプレイヤーに１点、そのクリーチャーに１点のダメージを与える。</t>
  </si>
  <si>
    <t>上陸 ― このターン、土地があなたのコントロール下で戦場に出ている場合、代わりに焼尽の猛火はそのプレイヤーに３点、そのクリーチャーに３点のダメージを与える。</t>
  </si>
  <si>
    <t>収穫の火</t>
  </si>
  <si>
    <t>この呪文を唱えるための追加コストとして、あなたの墓地にあるカードをＸ枚追放する。</t>
  </si>
  <si>
    <t>クリーチャー１体を対象とする。収穫の火はそれにＸ点のダメージを与える。</t>
  </si>
  <si>
    <t>ティムールの激闘</t>
  </si>
  <si>
    <t>クリーチャー１体を対象とする。ターン終了時までそれは二段攻撃を得る。（それは先制攻撃の戦闘ダメージと通常の戦闘ダメージの両方を与える。）</t>
  </si>
  <si>
    <t>獰猛 ― あなたがパワーが４以上のクリーチャーをコントロールしているなら、ターン終了時まで、その対象としたクリーチャーはさらにトランプルを得る。</t>
  </si>
  <si>
    <t>斉射の口切り</t>
  </si>
  <si>
    <t>クリーチャー１体を対象とする。斉射の口切りはそれに１点のダメージを与え、そのクリーチャーのコントローラーに１点のダメージを与える。</t>
  </si>
  <si>
    <t>発熱の儀式</t>
  </si>
  <si>
    <t>あなたのマナ・プールに(R)(R)(R)を加える。</t>
  </si>
  <si>
    <t>危険な賭け</t>
  </si>
  <si>
    <t>あなたの手札をすべて捨て、その後カードを２枚引く。</t>
  </si>
  <si>
    <t>焦熱の結末</t>
  </si>
  <si>
    <t>クリーチャー１体を対象とする。焦熱の結末はそれに５点のダメージを与える。</t>
  </si>
  <si>
    <t>つっかかり</t>
  </si>
  <si>
    <t>クリーチャー１体を対象とする。つっかかりは、それに３点のダメージを与える。</t>
  </si>
  <si>
    <t>対戦相手１人と激突を行う。あなたが勝った場合、つっかかりはそのクリーチャーのコントローラーに３点のダメージを与える。（激突を行う各プレイヤーは、自分のライブラリーの一番上のカードを公開し、そのカードを一番上か一番下に置く。自分のカードの点数で見たマナ・コストの方が大きいプレイヤーが勝つ。）</t>
  </si>
  <si>
    <t>すさまじい痛み</t>
  </si>
  <si>
    <t>このターンにダメージを与えられたクリーチャー１体を対象とする。すさまじい痛みはそれに６点のダメージを与える。</t>
  </si>
  <si>
    <t>火葬</t>
  </si>
  <si>
    <t>クリーチャー１体かプレインズウォーカー１体かプレイヤー１人を対象とする。火葬はそれに３点のダメージを与える。これによりダメージを与えられたクリーチャーは、このターン再生できない。</t>
  </si>
  <si>
    <t>オークの連続砲撃</t>
  </si>
  <si>
    <t>クリーチャー１体かプレイヤー１人を対象とする。オークの連続砲撃はそれに２点のダメージを与え、あなたに３点のダメージを与える。</t>
  </si>
  <si>
    <t>穿刺破</t>
  </si>
  <si>
    <t>萎縮（これはクリーチャーに-1/-1カウンターの形でダメージを与える。）</t>
  </si>
  <si>
    <t>クリーチャー１体かプレイヤー１人を対象とする。穿刺破はそれに３点のダメージを与える。</t>
  </si>
  <si>
    <t>憤怒の炎の道</t>
  </si>
  <si>
    <t>あなたがコントロールするクリーチャーはターン終了時まで+2/+0の修整を受ける。</t>
  </si>
  <si>
    <t>幽霊火</t>
  </si>
  <si>
    <t>幽霊火は無色である。</t>
  </si>
  <si>
    <t>クリーチャー１体かプレインズウォーカー１体かプレイヤー１人を対象とする。幽霊火はそれに３点のダメージを与える。</t>
  </si>
  <si>
    <t>闇の感情</t>
  </si>
  <si>
    <t>クリーチャー１体を対象とする。闇の感情はそれに２点のダメージを与える。あなたが黒のパーマネントをコントロールしている場合、代わりにそのクリーチャーを破壊する。</t>
  </si>
  <si>
    <t>殺戮の叫び</t>
  </si>
  <si>
    <t>クリーチャー１体を対象とする。それはターン終了時まで+3/+0の修整を受けるとともに先制攻撃を得る。（それは、先制攻撃を持たないクリーチャーより先に戦闘ダメージを与える。）</t>
  </si>
  <si>
    <t>硫黄の流弾</t>
  </si>
  <si>
    <t>クリーチャー１体かプレインズウォーカー１体かプレイヤー１人を対象とする。硫黄の流弾はそれに３点のダメージを与える。</t>
  </si>
  <si>
    <t>陰鬱 ― このターン、クリーチャーが死亡していたなら、代わりに硫黄の流弾はそのパーマネントかプレイヤーーに５点のダメージを与える。</t>
  </si>
  <si>
    <t>ラッパの一吹き</t>
  </si>
  <si>
    <t>ターン終了時まで、攻撃クリーチャーは+2/+0の修整を受ける。</t>
  </si>
  <si>
    <t>電位の負荷</t>
  </si>
  <si>
    <t>クリーチャー１体かプレイヤー１人を対象とする。電位の負荷はそれに３点のダメージを与える。増殖を行う。（あなたはカウンターの置かれているパーマネントやプレイヤーを望む数だけ選び、その後それぞれに、その上に置かれているカウンターのうち１種類を１個置く。）</t>
  </si>
  <si>
    <t>山伏の炎</t>
  </si>
  <si>
    <t>クリーチャー１体かプレイヤー１人を対象とする。山伏の炎はそれに３点のダメージを与える。このターン、これによりダメージを与えられたクリーチャーが死亡する場合、代わりにそれを追放する。</t>
  </si>
  <si>
    <t>よろめきショック</t>
  </si>
  <si>
    <t>クリーチャー１体かプレイヤー１人を対象とする。よろめきショックはそれに２点のダメージを与える。</t>
  </si>
  <si>
    <t>不死の火</t>
  </si>
  <si>
    <t>クリーチャー１体かプレインズウォーカー１体かプレイヤー１人を対象とする。不死の火はそれに２点のダメージを与える。</t>
  </si>
  <si>
    <t>尾の切りつけ</t>
  </si>
  <si>
    <t>あなたがコントロールするクリーチャー１体と、あなたがコントロールしていないクリーチャー１体を対象とする。その前者はその後者に、その前者のパワーに等しい点数のダメージを与える。</t>
  </si>
  <si>
    <t>煮えたぎる歌</t>
  </si>
  <si>
    <t>あなたのマナ・プールに(R)(R)(R)(R)(R)を加える。</t>
  </si>
  <si>
    <t>霜剣山の逆落とし</t>
  </si>
  <si>
    <t>掃引 ― あなたがコントロールする山(Mountain)を好きな数だけ、オーナーの手札に戻す。クリーチャー１体を対象とする。霜剣山の逆落としはそのクリーチャーに、これにより戻された山の数の２倍に等しい点数のダメージを与える。</t>
  </si>
  <si>
    <t>魂の火</t>
  </si>
  <si>
    <t>あなたがコントロールする戦場に出ているクリーチャー１体と、クリーチャー１体かプレイヤー１人を対象とする。前者はそれのパワーに等しい点数のダメージを、後者に与える。</t>
  </si>
  <si>
    <t>発射</t>
  </si>
  <si>
    <t>クリーチャー１体かプレイヤー１人を対象とする。発射はそれに３点のダメージを与える。</t>
  </si>
  <si>
    <t>鋳潰し</t>
  </si>
  <si>
    <t>装備品(Equipment)１つを対象とし、それを破壊する。その装備品がクリーチャーに装備されている場合、鋳潰しはそのクリーチャーに２点のダメージを与える。</t>
  </si>
  <si>
    <t>地鳴りの一撃</t>
  </si>
  <si>
    <t>クリーチャー１体を対象とする。地鳴りの一撃はそれに、あなたがコントロールする山(Mountain)の数に等しい点数のダメージを与える。</t>
  </si>
  <si>
    <t>滅殺の火</t>
  </si>
  <si>
    <t>クリーチャー１体かプレインズウォーカー１体かプレイヤー１人を対象とする。滅殺の火はそれに３点のダメージを与える。このターン、これによりダメージが与えられたクリーチャーが死亡する場合、代わりにそれを追放する。</t>
  </si>
  <si>
    <t>癇しゃく</t>
  </si>
  <si>
    <t>クリーチャー１体かプレインズウォーカー１体かプレイヤー１人を対象とする。癇しゃくはそれに３点のダメージを与える。</t>
  </si>
  <si>
    <t>マッドネス(R)（あなたがこのカードを捨てるなら、これを追放領域に捨てる。あなたがそうしたとき、マッドネス・コストでこれを唱えるか、これをあなたの墓地に置く。）</t>
  </si>
  <si>
    <t>大規模な奇襲</t>
  </si>
  <si>
    <t>クリーチャー１体かプレインズウォーカー１体かプレイヤー１人を対象とする。大規模な奇襲はそれに、あなたがコントロールするクリーチャーの数に等しい点数のダメージを与える。</t>
  </si>
  <si>
    <t>放たれた怒り</t>
  </si>
  <si>
    <t>クリーチャー１体を対象とする。ターン終了時まで、それは+1/+1の修整を受けるとともに二段攻撃を得る。（それは先制攻撃と通常の戦闘ダメージの両方を与える。）</t>
  </si>
  <si>
    <t>戦争の扇動</t>
  </si>
  <si>
    <t>・プレイヤー１人を対象とする。そのプレイヤーがコントロールするクリーチャーは、このターン可能ならば攻撃する。</t>
  </si>
  <si>
    <t>・あなたがコントロールするクリーチャーは、ターン終了時まで先制攻撃を得る。</t>
  </si>
  <si>
    <t>圧倒する雷</t>
  </si>
  <si>
    <t>クリーチャー１体かプレイヤー１人を対象とする。圧倒する雷はそれに３点のダメージを与える。</t>
  </si>
  <si>
    <t>サイクリング(５)(B)(R)(G)（(５)(B)(R)(G),このカードを捨てる：カードを１枚引く。）</t>
  </si>
  <si>
    <t>あなたは圧倒する雷をサイクリングしたとき、クリーチャー１体かプレイヤー１人を対象とする。圧倒する雷はそれに６点のダメージを与える。</t>
  </si>
  <si>
    <t>とげの稲妻</t>
  </si>
  <si>
    <t>・クリーチャー１体を対象とする。とげの稲妻はそれに３点のダメージを与える。</t>
  </si>
  <si>
    <t>・プレイヤー１人かプレインズウォーカー１体を対象とする。とげの稲妻はそのプレイヤーに３点のダメージを与える。</t>
  </si>
  <si>
    <t>軍団の結集</t>
  </si>
  <si>
    <t>攻撃クリーチャーはターン終了時まで+1/+0の修整を受けるとともに先制攻撃を得る。</t>
  </si>
  <si>
    <t>砲撃</t>
  </si>
  <si>
    <t>クリーチャー１体を対象とする。砲撃はそれに４点のダメージを与える。</t>
  </si>
  <si>
    <t>岩石流</t>
  </si>
  <si>
    <t>クリーチャー１体を対象とする。岩石流はそれに４点のダメージを与える。</t>
  </si>
  <si>
    <t>連繋（秘儀(Arcane)） ― 山(Mountain)を２つ生け贄に捧げる。（あなたが秘儀呪文を唱えるに際し、あなたはこのカードを手札から公開して連繋コストを支払ってもよい。そうした場合、このカードの効果をその呪文に追加する。）</t>
  </si>
  <si>
    <t>火山の隆起</t>
  </si>
  <si>
    <t>感電</t>
  </si>
  <si>
    <t>クリーチャー１体を対象とする。感電はそれに４点のダメージを与える。</t>
  </si>
  <si>
    <t>素早い蹴り</t>
  </si>
  <si>
    <t>あなたがコントロールするクリーチャー１体と、あなたがコントロールしていないクリーチャー１体を対象とする。ターン終了時まで、その前者は+1/+0の修整を受ける。その前者はその後者と格闘を行う。</t>
  </si>
  <si>
    <t>チャンドラの憤慨</t>
  </si>
  <si>
    <t>クリーチャー１体を対象とする。チャンドラの憤慨はそれに４点のダメージを与え、そのクリーチャーのコントローラーに２点のダメージを与える。</t>
  </si>
  <si>
    <t>打ち倒し</t>
  </si>
  <si>
    <t>クリーチャー１体を対象とする。打ち倒しはそれに３点のダメージを与える。そのクリーチャーの上に+1/+1カウンターが置かれているなら、代わりに打ち倒しはそれに５点のダメージを与える。</t>
  </si>
  <si>
    <t>袋叩き</t>
  </si>
  <si>
    <t>クリーチャー１体かプレインズウォーカー１体かプレイヤー１人を対象とする。袋叩きはそれに、あなたがコントロールする攻撃しているクリーチャーの数に等しい点数のダメージを与える。</t>
  </si>
  <si>
    <t>放射稲妻</t>
  </si>
  <si>
    <t>プレイヤー１人を対象とする。放射稲妻はそのプレイヤーに３点と、そのプレイヤーがコントロールしている各クリーチャーにそれぞれ１点のダメージを与える。</t>
  </si>
  <si>
    <t>禍御鳴の激憤</t>
  </si>
  <si>
    <t>クリーチャー１体かプレインズウォーカー１体かプレイヤー１人を対象とする。禍御鳴の激憤はそれに、あなたの墓地にある秘儀(Arcane)カード１枚につき１点のダメージを与える。</t>
  </si>
  <si>
    <t>炎の鞭打ち</t>
  </si>
  <si>
    <t>クリーチャー１体かプレインズウォーカー１体かプレイヤー１人を対象とする。炎の鞭打ちはそれに４点のダメージを与える。</t>
  </si>
  <si>
    <t>クリーチャー１体かプレインズウォーカー１体かプレイヤー１人を対象とする。石弾化はそれに５点のダメージを与える。</t>
  </si>
  <si>
    <t>破壊的陥没孔</t>
  </si>
  <si>
    <t>・土地・クリーチャー１体を対象とし、それを追放する。</t>
  </si>
  <si>
    <t>・プレイヤー１人かプレインズウォーカー１体を対象とする。破壊的陥没孔はそれに４点のダメージを与える。</t>
  </si>
  <si>
    <t>栄光の探究</t>
  </si>
  <si>
    <t>大笑いの炎</t>
  </si>
  <si>
    <t>クリーチャー１体かプレインズウォーカー１体かプレイヤー１人を対象とする。大笑いの炎はそれに３点のダメージを与える。</t>
  </si>
  <si>
    <t>暴勇 ― あなたの手札にカードが無いなら、代わりに大笑いの炎はそのパーマネントかプレイヤーに５点のダメージを与える。</t>
  </si>
  <si>
    <t>火山の猛進</t>
  </si>
  <si>
    <t>ターン終了時まで、攻撃クリーチャーは+2/+0の修整を受けるとともにトランプルを得る。</t>
  </si>
  <si>
    <t>稲妻の謎</t>
  </si>
  <si>
    <t>クリーチャー１体かプレイヤー１人を対象として選ぶ。占術３を行い、その後あなたのライブラリーの一番上のカードを公開する。稲妻の謎は、そのカードの点数で見たマナ・コストに等しい点数のダメージをそのクリーチャーかプレイヤーに与える。（占術３を行うには、あなたのライブラリーの一番上から３枚のカードを見て、そのうちの望む枚数のカードを望む順番であなたのライブラリーの一番下に置き、残りを望む順番で一番上に置く。）</t>
  </si>
  <si>
    <t>チャンドラの憤怒</t>
  </si>
  <si>
    <t>プレイヤー１人かプレインズウォーカー１体を対象とする。チャンドラの憤怒はそのプレイヤーかプレインズウォーカーに４点のダメージと、そのプレイヤーかそのプレインズウォーカーのコントローラーがコントロールする各クリーチャーにそれぞれ１点のダメージを与える。</t>
  </si>
  <si>
    <t>決別の砲撃</t>
  </si>
  <si>
    <t>クリーチャー１体かプレイヤー１人を対象とする。決別の砲撃はそれに４点のダメージを与える。</t>
  </si>
  <si>
    <t>石の怒り</t>
  </si>
  <si>
    <t>クリーチャー１体を対象とする。石の怒りはそれに、あなたがコントロールする土地の総数に等しい点数のダメージを与える。</t>
  </si>
  <si>
    <t>敵への処罰</t>
  </si>
  <si>
    <t>プレイヤー１人とクリーチャー１体を対象とする。敵への処罰はその前者に３点のダメージ、その後者に３点のダメージを与える。</t>
  </si>
  <si>
    <t>サルカンの怒り</t>
  </si>
  <si>
    <t>クリーチャー１体かプレイヤー１人を対象とする。サルカンの怒りはそれに５点のダメージを与える。あなたがドラゴン(Dragon)をコントロールしていないなら、サルカンの怒りはあなたに２点のダメージを与える。</t>
  </si>
  <si>
    <t>貪る憤怒</t>
  </si>
  <si>
    <t>クリーチャー１体を対象とする。ターン終了時まで、それは+3/+0の修整を受ける。これにより生け贄に捧げられたスピリット１つにつき、そのクリーチャーはさらにターン終了時まで+3/+0の修整を受ける。</t>
  </si>
  <si>
    <t>落星</t>
  </si>
  <si>
    <t>クリーチャー１体を対象とする。落星はそれに３点のダメージを与える。そのクリーチャーがエンチャントであるなら、落星はそのクリーチャーのコントローラーに３点のダメージを与える。</t>
  </si>
  <si>
    <t>爆発の衝撃</t>
  </si>
  <si>
    <t>クリーチャー１体かプレインズウォーカー１体かプレイヤー１人を対象とする。爆発の衝撃はそれに５点のダメージを与える。</t>
  </si>
  <si>
    <t>焦熱の落下</t>
  </si>
  <si>
    <t>クリーチャー１体を対象とする。焦熱の落下はそれに５点のダメージを与える。</t>
  </si>
  <si>
    <t>基本土地サイクリング(１)(R)（(１)(R),このカードを捨てる：あなたのライブラリーから基本土地カードを１枚探す。それを公開し、あなたの手札に加える。その後あなたのライブラリーを切り直す。）</t>
  </si>
  <si>
    <t>爆炎の稲妻</t>
  </si>
  <si>
    <t>クリーチャー１体を対象とする。爆炎の稲妻はそれに５点のダメージを与える。そのクリーチャーにつけられているすべての装備品(Equipment)を破壊する。</t>
  </si>
  <si>
    <t>轟く怒り</t>
  </si>
  <si>
    <t>クリーチャー１体かプレイヤー１人を対象とする。轟く怒りはそれに５点のダメージを与える。</t>
  </si>
  <si>
    <t>奇跡(R)（あなたがこのカードを引いたとき、これがこのターンに最初に引いたカードだった場合、あなたはこれの奇跡コストを支払うことでこれを唱えてもよい。）</t>
  </si>
  <si>
    <t>落岩</t>
  </si>
  <si>
    <t>(６)(R)(R)</t>
  </si>
  <si>
    <t>望む数のクリーチャーやプレインズウォーカーやプレイヤーを対象とする。落岩はそれらに５点のダメージをあなたの望むように分割して与える。</t>
  </si>
  <si>
    <t>突破</t>
  </si>
  <si>
    <t>ターン終了時まで、あなたがコントロールしているクリーチャーはトランプルを得る。（トランプルを持つクリーチャーは余剰の戦闘ダメージをそれが攻撃しているプレイヤーかプレインズウォーカーに与えることができる。）</t>
  </si>
  <si>
    <t>火柱</t>
  </si>
  <si>
    <t>クリーチャー１体かプレイヤー１人を対象とする。火柱はそれに２点のダメージを与える。このターン、これによりダメージを与えられたクリーチャーが死亡する場合、代わりにそれを追放する。</t>
  </si>
  <si>
    <t>改革派の戦術</t>
  </si>
  <si>
    <t>業火への突入</t>
  </si>
  <si>
    <t>反逆</t>
  </si>
  <si>
    <t>対戦相手がコントロールしているクリーチャー１体と、そのプレイヤーがコントロールしている他のクリーチャー１体を対象とする。その前者はその後者に自身のパワーに等しい点数のダメージを与える。</t>
  </si>
  <si>
    <t>大地割り</t>
  </si>
  <si>
    <t>各プレイヤーは、パーマネントを１つ生け贄に捧げる。</t>
  </si>
  <si>
    <t>炎の斬りつけ</t>
  </si>
  <si>
    <t>クリーチャー１体を対象とする。炎の斬りつけはそれに４点のダメージを与える。</t>
  </si>
  <si>
    <t>大地の裂け目</t>
  </si>
  <si>
    <t>飛行を持たないクリーチャー１体を対象とする。このターン、それではブロックできない。</t>
  </si>
  <si>
    <t>ストーム（あなたがこの呪文を唱えたとき、このターンにそれより前に唱えた呪文１つにつきそれを１回コピーする。あなたはそのコピーの新たな対象を選んでもよい。）</t>
  </si>
  <si>
    <t>猛火の斉射</t>
  </si>
  <si>
    <t>猛火の斉射は対戦相手がコントロールする各クリーチャーにそれぞれ１点のダメージを与える。</t>
  </si>
  <si>
    <t>苛立ち</t>
  </si>
  <si>
    <t>あなたがコントロールしているクリーチャー１体を対象とする。苛立ちはそれに１点のダメージを与える。ターン終了時まで、そのクリーチャーはトランプルを得る。</t>
  </si>
  <si>
    <t>この呪文を唱えるための追加コストとして、アーティファクトを１つ生け贄に捧げる。</t>
  </si>
  <si>
    <t>速さの炸裂</t>
  </si>
  <si>
    <t>あなたがコントロールするクリーチャーは、ターン終了時まで速攻を得る。（それらは、あなたのコントロール下になってすぐに攻撃したり(Ｔ)したりできる。）</t>
  </si>
  <si>
    <t>障害排除</t>
  </si>
  <si>
    <t>防衛を持つクリーチャー１体を対象とし、それを破壊する。</t>
  </si>
  <si>
    <t>信仰無き物あさり</t>
  </si>
  <si>
    <t>カードを２枚引き、その後カードを２枚捨てる。</t>
  </si>
  <si>
    <t>大将軍の憤怒</t>
  </si>
  <si>
    <t>ターン終了時まで、あなたがコントロールしているクリーチャーは先制攻撃を得る。</t>
  </si>
  <si>
    <t>炎の突き</t>
  </si>
  <si>
    <t>クリーチャー１体かプレインズウォーカー１体かプレイヤー１人を対象とする。炎の突きはそれに１点のダメージを与える。</t>
  </si>
  <si>
    <t>突撃のストロボ</t>
  </si>
  <si>
    <t>クリーチャー１体を対象とする。それはターン終了時まで二段攻撃を得る。（それは先制攻撃の戦闘ダメージと通常の戦闘ダメージの両方を与える。）</t>
  </si>
  <si>
    <t>燃え立つ調査</t>
  </si>
  <si>
    <t>各プレイヤーはカードを３枚引く。その後、カードを３枚無作為に選んで捨てる。</t>
  </si>
  <si>
    <t>溶岩の撃ち込み</t>
  </si>
  <si>
    <t>プレイヤー１人かプレインズウォーカー１体を対象とする。溶岩の撃ち込みはそのプレイヤーに３点のダメージを与える。</t>
  </si>
  <si>
    <t>微震</t>
  </si>
  <si>
    <t>微震は、飛行を持たないすべてのクリーチャーにそれぞれ１点のダメージを与える。</t>
  </si>
  <si>
    <t>炎の儀式</t>
  </si>
  <si>
    <t>あなたのマナ・プールに(R)(R)を加え、その後あなたのマナ・プールに、すべての墓地にある《炎の儀式/Rite of Flame》という名前のカードの総数に等しい点数の(R)を加える。</t>
  </si>
  <si>
    <t>強盗</t>
  </si>
  <si>
    <t>クリーチャー１体を対象とする。強盗はそれに２点のダメージを与える。このターン、そのクリーチャーではブロックできない。</t>
  </si>
  <si>
    <t>夜鳥の手中</t>
  </si>
  <si>
    <t>最大２体までのクリーチャーを対象とする。このターン、それらではブロックできない。</t>
  </si>
  <si>
    <t>地鳴りの踏みつけ</t>
  </si>
  <si>
    <t>このターン、飛行を持たないクリーチャーではブロックできない。</t>
  </si>
  <si>
    <t>血の不穏</t>
  </si>
  <si>
    <t>クリーチャー１体を対象とする。ターン終了時まで、それは+2/+2の修整を受けるとともにトランプルを得る。</t>
  </si>
  <si>
    <t>大地の飛礫</t>
  </si>
  <si>
    <t>クリーチャー１体を対象とする。大地の飛礫はそれに、あなたがコントロールする山(Mountain)の数に等しい点数のダメージを与える。</t>
  </si>
  <si>
    <t>野生の勘</t>
  </si>
  <si>
    <t>野生の勘を唱えるための追加コストとしてカードを１枚捨てる。</t>
  </si>
  <si>
    <t>沸き立つ大地</t>
  </si>
  <si>
    <t>沸き立つ大地はあなたの対戦相手がコントロールする各クリーチャーにそれぞれ１点のダメージを与える。</t>
  </si>
  <si>
    <t>覚醒４ ― (６)(R)（この呪文を(６)(R)で唱えたなら、加えて、あなたがコントロールする土地１つを対象とする。それの上に+1/+1カウンターを４個置く。それは速攻を持つ0/0のエレメンタル(Elemental)・クリーチャーになる。それは土地でもある。）</t>
  </si>
  <si>
    <t>山伏の嵐</t>
  </si>
  <si>
    <t>山伏の嵐は各クリーチャーに１点のダメージを与える。このターン、これによりダメージを与えられたクリーチャーが死亡する場合、代わりにそれを追放する。</t>
  </si>
  <si>
    <t>ごたごた</t>
  </si>
  <si>
    <t>・ごたごたは、飛行を持たない各クリーチャーにそれぞれ１点のダメージを与える。</t>
  </si>
  <si>
    <t>・ごたごたは、飛行を持つ各クリーチャーにそれぞれ１点のダメージを与える。</t>
  </si>
  <si>
    <t>洗い流す砂</t>
  </si>
  <si>
    <t>洗い流す砂は、あなたの対戦相手がコントロールする各クリーチャーに、それぞれ１点のダメージを与える。占術１を行う。（あなたのライブラリーの一番上のカードを見る。あなたはそのカードをあなたのライブラリーの一番下に置いてもよい。）</t>
  </si>
  <si>
    <t>燃えさしの雨</t>
  </si>
  <si>
    <t>燃えさしの雨は各クリーチャーと各プレイヤーに１点のダメージを与える。</t>
  </si>
  <si>
    <t>ドラゴンの餌</t>
  </si>
  <si>
    <t>赤の1/1のゴブリン(Goblin)・クリーチャー・トークンを２体生成する。</t>
  </si>
  <si>
    <t>クレンコの命令</t>
  </si>
  <si>
    <t>安堵の再会</t>
  </si>
  <si>
    <t>この呪文を唱えるための追加コストとして、カード２枚を捨てる。</t>
  </si>
  <si>
    <t>火山の鎚</t>
  </si>
  <si>
    <t>クリーチャー１体かプレイヤー１人を対象とする。火山の鎚はそれに３点のダメージを与える。</t>
  </si>
  <si>
    <t>世話</t>
  </si>
  <si>
    <t>パワーが４以下のクリーチャー１体を対象とし、ターン終了時まで、それのコントロールを得る。そのクリーチャーをアンタップする。ターン終了時まで、それは速攻を得る。</t>
  </si>
  <si>
    <t>群れの誕生</t>
  </si>
  <si>
    <t>あなたがエルドラージ(Eldrazi)・落とし子(Spawn)をコントロールしているなら、無色の0/1のエルドラージ・落とし子クリーチャー・トークンを３体生成する。それらは「このクリーチャーを生け贄に捧げる：(◇)を加える。」を持つ。そうでないなら、それらのトークンのうち１体を生成する。</t>
  </si>
  <si>
    <t>苦しめる声</t>
  </si>
  <si>
    <t>苦しめる声を唱えるための追加コストとしてカードを１枚捨てる。</t>
  </si>
  <si>
    <t>部族の炎</t>
  </si>
  <si>
    <t>版図 ― クリーチャー１体かプレイヤー１人を対象とする。部族の炎は、それにＸ点のダメージを与える。Ｘは、あなたがコントロールする土地の中の基本土地タイプの数に等しい。</t>
  </si>
  <si>
    <t>Invasion</t>
  </si>
  <si>
    <t>ぶどう弾</t>
  </si>
  <si>
    <t>クリーチャー１体かプレインズウォーカー１体かプレイヤー１人を対象とする。ぶどう弾はそれに１点のダメージを与える。</t>
  </si>
  <si>
    <t>火花魔道士の計略</t>
  </si>
  <si>
    <t>クリーチャーを最大２体対象とする。火花魔道士の計略はそれらにそれぞれ１点のダメージを与える。このターン、それらではブロックできない。</t>
  </si>
  <si>
    <t>溶岩の地割れ</t>
  </si>
  <si>
    <t>泣き叫ぶ憤怒</t>
  </si>
  <si>
    <t>クリーチャー１体を対象とする。それはターン終了時まで+5/+0の修整を受けるとともに速攻を得る。</t>
  </si>
  <si>
    <t>裂け目の稲妻</t>
  </si>
  <si>
    <t>クリーチャー１体かプレイヤー１人を対象とする。裂け目の稲妻はそれに３点のダメージを与える。</t>
  </si>
  <si>
    <t>待機１ ― (R)（このカードをあなたの手札から唱えるのではなく、(R)を支払うとともにそれを時間(time)カウンターが１個置かれた状態で追放する。あなたのアップキープの開始時に、時間カウンターを１個取り除く。最後の１個を取り除いたとき、それをそのマナ・コストを支払うことなく唱える。）</t>
  </si>
  <si>
    <t>石の雨</t>
  </si>
  <si>
    <t>マグマの裂け目</t>
  </si>
  <si>
    <t>この呪文を唱えるための追加コストとして、土地を１つ生け贄に捧げる。</t>
  </si>
  <si>
    <t>クリーチャー１体を対象とする。マグマの裂け目はそれに５点のダメージを与える。</t>
  </si>
  <si>
    <t>虚空の接触</t>
  </si>
  <si>
    <t>クリーチャー１体かプレイヤー１人を対象とする。虚空の接触はそれに３点のダメージを与える。このターン、これによりダメージを与えられたクリーチャーが死亡するなら、代わりにそれを追放する。</t>
  </si>
  <si>
    <t>龍火浴びせ</t>
  </si>
  <si>
    <t>クリーチャー１体を対象とする。龍火浴びせはそれに４点のダメージを与える。</t>
  </si>
  <si>
    <t>ギルドへの畏敬</t>
  </si>
  <si>
    <t>このターン、単色のクリーチャーではブロックできない。</t>
  </si>
  <si>
    <t>丸焼け</t>
  </si>
  <si>
    <t>丸焼けは、すべての対戦相手にそれぞれ３点のダメージを与える。</t>
  </si>
  <si>
    <t>火炎砲発射</t>
  </si>
  <si>
    <t>クリーチャー１体を対象とする。火炎砲発射はそれに３点のダメージを与える。</t>
  </si>
  <si>
    <t>強襲 ― このターンにあなたがクリーチャーで攻撃していたなら、代わりに、火炎砲発射はそのクリーチャーに６点のダメージを与える。</t>
  </si>
  <si>
    <t>すさまじい吹雪</t>
  </si>
  <si>
    <t>クリーチャーを最大３体まで対象とする。このターン、それらではブロックできない。</t>
  </si>
  <si>
    <t>ケラノスの稲妻</t>
  </si>
  <si>
    <t>クリーチャー１体かプレイヤー１人かプレインズウォーカー１体を対象とする。ケラノスの稲妻はそれに３点のダメージを与える。占術１を行う。（あなたのライブラリーの一番上のカードを見る。あなたはそのカードをあなたのライブラリーの一番下に置いてもよい。）</t>
  </si>
  <si>
    <t>恐ろしき攻撃</t>
  </si>
  <si>
    <t>クリーチャーを最大３体まで対象とする。それらはこのターン、それではブロックできない。</t>
  </si>
  <si>
    <t>恐慌の扇動</t>
  </si>
  <si>
    <t>光輝 ― クリーチャー１体を対象とする。それと、その他の共通の色を持つ各クリーチャーはターン終了時まで「このクリーチャーではブロックできない。」を得る。</t>
  </si>
  <si>
    <t>ステンシアの晩餐</t>
  </si>
  <si>
    <t>対戦相手１人を対象とする。ステンシアの晩餐はそのプレイヤーに、あなたがコントロールする吸血鬼(Vampire)の総数に等しい点数のダメージを与える。</t>
  </si>
  <si>
    <t>裏切りの血</t>
  </si>
  <si>
    <t>クリーチャー１体を対象とし、ターン終了時までそれのコントロールを得る。それをアンタップする。それはターン終了時までトランプルと速攻を得る。</t>
  </si>
  <si>
    <t>溶鉄の雨</t>
  </si>
  <si>
    <t>土地１つを対象とし、それを破壊する。その土地が基本でなかった場合、溶鉄の雨はその土地のコントローラーに２点のダメージを与える。</t>
  </si>
  <si>
    <t>速攻を持つ赤の1/1の人間(Human)クリーチャー・トークンを３体生成する。次の終了ステップの開始時に、それらのトークンを生け贄に捧げる。</t>
  </si>
  <si>
    <t>石弾の弾幕</t>
  </si>
  <si>
    <t>石弾の弾幕は、あなたがコントロールしていない各クリーチャーにそれぞれ１点のダメージを与える。</t>
  </si>
  <si>
    <t>獰猛 ― あなたがパワーが４以上のクリーチャーをコントロールしているなら、このターン、クリーチャーではブロックできない。</t>
  </si>
  <si>
    <t>悪戯</t>
  </si>
  <si>
    <t>クリーチャー１体かプレインズウォーカー１体かプレイヤー１人を対象とする。悪戯はそれに１点のダメージを与える。赤の1/1のデビル(Devil)・クリーチャー・トークンを１体生成する。それは「このクリーチャーが死亡したとき、クリーチャー１体かプレインズウォーカー１体かプレイヤー１人を対象とする。このクリーチャーは、それに１点のダメージを与える。」を持つ。</t>
  </si>
  <si>
    <t>反逆の行動</t>
  </si>
  <si>
    <t>クリーチャー１体を対象とする。ターン終了時まで、それのコントロールを得る。そのクリーチャーをアンタップする。ターン終了時まで、それは速攻を得る。（このターン、それは攻撃したり(Ｔ)したりできる。）</t>
  </si>
  <si>
    <t>裏切りの先触れ</t>
  </si>
  <si>
    <t>クリーチャー１体を対象とし、ターン終了時までそれのコントロールを得る。そのクリーチャーをアンタップする。それはターン終了時まで速攻を得る。占術１を行う。（あなたのライブラリーの一番上のカードを見る。あなたはそのカードをあなたのライブラリーの一番下に置いてもよい。）</t>
  </si>
  <si>
    <t>螺旋形の燃えさし</t>
  </si>
  <si>
    <t>クリーチャー１体かプレイヤー１人を対象とする。螺旋形の燃えさしはそれに、あなたの手札のカードの枚数に等しい点数のダメージを与える。</t>
  </si>
  <si>
    <t>痕跡焼き</t>
  </si>
  <si>
    <t>クリーチャー１体かプレインズウォーカー１体かプレイヤー１人を対象とする。痕跡焼きはそれに３点のダメージを与える。</t>
  </si>
  <si>
    <t>裏切りの本能</t>
  </si>
  <si>
    <t>クリーチャー１体を対象とする。ターン終了時までそれのコントロールを得る。そのクリーチャーをアンタップする。ターン終了時まで、それは+2/+0の修整を受けるとともに速攻を得る。</t>
  </si>
  <si>
    <t>消しえる火</t>
  </si>
  <si>
    <t>プレイヤー１人を対象とする。消しえる火はそのプレイヤーに３点のダメージを与える。あなたの次のアップキープの開始時に、そのプレイヤーがそのステップより前に(U)を支払わないかぎり、これは、そのプレイヤーに追加の３点のダメージを与える。</t>
  </si>
  <si>
    <t>憤激</t>
  </si>
  <si>
    <t>クリーチャー１体を対象とする。ターン終了時まで、それのコントロールを得る。そのクリーチャーをアンタップする。ターン終了時まで、それは速攻と威迫を得る。（威迫を持つクリーチャーは２体以上のクリーチャーによってしかブロックされない。）</t>
  </si>
  <si>
    <t>群集の咆哮</t>
  </si>
  <si>
    <t>クリーチャー１体かプレイヤー１人を対象とする。クリーチャー・タイプを１つ選ぶ。群集の咆哮はそれに、あなたがコントロールする選ばれたタイプのパーマネントの数に等しい点数のダメージを与える。</t>
  </si>
  <si>
    <t>狂気の残骸</t>
  </si>
  <si>
    <t>クリーチャー１体を対象とする。それは自身に、自身のパワーに等しい点数のダメージを与える。</t>
  </si>
  <si>
    <t>地鳴りの撃ち込み</t>
  </si>
  <si>
    <t>土地１つを対象とし、それを破壊する。あなたのマナ・プールに(R)(R)を加える。</t>
  </si>
  <si>
    <t>地形の融解</t>
  </si>
  <si>
    <t>土地１つを対象とし、それを破壊する。地形の融解はその土地のコントローラーに２点のダメージを与える。</t>
  </si>
  <si>
    <t>巣穴からの総出</t>
  </si>
  <si>
    <t>ストーム（あなたがこの呪文を唱えたとき、このターンにそれより前に唱えた呪文１つにつきそれを１回コピーする。）</t>
  </si>
  <si>
    <t>稲妻の投槍</t>
  </si>
  <si>
    <t>クリーチャー１体かプレインズウォーカー１体かプレイヤー１人を対象とする。稲妻の投槍はそれに３点のダメージを与える。占術１を行う。（あなたのライブラリーの一番上のカードを見る。あなたはそのカードをあなたのライブラリーの一番下に置いてもよい。）</t>
  </si>
  <si>
    <t>巨人の憤り</t>
  </si>
  <si>
    <t>プレイヤー１人かプレインズウォーカー１体を対象とする。巨人の憤りはそれに４点のダメージを与える。あなたが巨人(Giant)をコントロールしているなら、カードを１枚引く。</t>
  </si>
  <si>
    <t>火口化</t>
  </si>
  <si>
    <t>チャンドラの革命</t>
  </si>
  <si>
    <t>クリーチャー１体と土地１つを対象とする。チャンドラの革命はそのクリーチャーに４点のダメージを与える。その土地をタップする。その土地は、それのコントローラーの次のアンタップ・ステップにアンタップしない。</t>
  </si>
  <si>
    <t>穿刺の一撃</t>
  </si>
  <si>
    <t>クリーチャー１体を対象とする。穿刺の一撃はそれに５点のダメージを与える。このターン、そのクリーチャーが死亡するなら、代わりにそれを追放する。</t>
  </si>
  <si>
    <t>乱動する地形</t>
  </si>
  <si>
    <t>土地１つを対象とし、それを破壊する。その後、乱動する地形はその土地のコントローラーに、そのプレイヤーの墓地にある土地カードの総数に等しい点数のダメージを与える。</t>
  </si>
  <si>
    <t>地震断層</t>
  </si>
  <si>
    <t>土地１つとクリーチャー最大２体を対象とする。その土地を破壊する。このターン、それらのクリーチャーではブロックできない。</t>
  </si>
  <si>
    <t>内なる火</t>
  </si>
  <si>
    <t>あなたの手札にあるカード１枚につき(R)を加える。</t>
  </si>
  <si>
    <t>燃えさしの突風</t>
  </si>
  <si>
    <t>プレイヤー１人を対象とする。このターン、そのプレイヤーがコントロールするクリーチャーはブロックできない。燃えさしの突風は、そのプレイヤーがコントロールする白か青の各クリーチャーに１点のダメージを与える。</t>
  </si>
  <si>
    <t>炎の覆い</t>
  </si>
  <si>
    <t>クリーチャーを最大３体まで対象とする。炎の覆いはそれらにそれぞれ１点のダメージを与える。このターン、それらのクリーチャーではブロックできない。</t>
  </si>
  <si>
    <t>尖塔の連射</t>
  </si>
  <si>
    <t>クリーチャー１体かプレイヤー１人を対象とする。尖塔の連射はそれに、あなたがコントロールする山(Mountain)の数に等しい点数のダメージを与える。</t>
  </si>
  <si>
    <t>巨岩投下</t>
  </si>
  <si>
    <t>怒濤(１)(R)（あなたかチームメイトがこのターンに他の呪文を唱えていたなら、あなたはこの呪文を怒濤コストで唱えてもよい。）</t>
  </si>
  <si>
    <t>クリーチャー１体を対象とする。巨岩投下はそれに４点のダメージを与える。</t>
  </si>
  <si>
    <t>焦熱の介入</t>
  </si>
  <si>
    <t>・クリーチャー１体を対象とする。焦熱の介入はそれに５点のダメージを与える。</t>
  </si>
  <si>
    <t>溶岩の斧</t>
  </si>
  <si>
    <t>プレイヤー１人かプレインズウォーカー１体を対象とする。溶岩の斧はそれに５点のダメージを与える。</t>
  </si>
  <si>
    <t>矢の嵐</t>
  </si>
  <si>
    <t>クリーチャー１体かプレインズウォーカー１体かプレイヤー１人を対象とする。矢の嵐はそれに４点のダメージを与える。</t>
  </si>
  <si>
    <t>強襲 ― このターンにあなたがクリーチャーで攻撃していたなら、代わりに矢の嵐はそのパーマネントやプレイヤーに５点のダメージを与え、そのダメージは軽減されない。</t>
  </si>
  <si>
    <t>錬金術師の挨拶</t>
  </si>
  <si>
    <t>クリーチャー１体を対象とする。錬金術師の挨拶はそれに４点のダメージを与える。</t>
  </si>
  <si>
    <t>マッドネス(１)(R)（あなたがこのカードを捨てるなら、これを追放領域に捨てる。あなたがそうしたとき、マッドネス・コストでこれを唱えるか、これをあなたの墓地に置く。）</t>
  </si>
  <si>
    <t>金屑化</t>
  </si>
  <si>
    <t>クリーチャー１体を対象とする。金屑化はそれに５点のダメージを与える。それにつけられているすべての装備品(Equipment)を破壊する。</t>
  </si>
  <si>
    <t>瓦礫の調査</t>
  </si>
  <si>
    <t>土地１つを対象とし、それを破壊する。赤の1/1のゴブリン(Goblin)・クリーチャー・トークンを１体生成する。</t>
  </si>
  <si>
    <t>マナ噴出</t>
  </si>
  <si>
    <t>あなたの対戦相手がコントロールするタップ状態の土地１つにつき(R)を加える。</t>
  </si>
  <si>
    <t>双角の連続襲撃</t>
  </si>
  <si>
    <t>速攻を持つ赤の2/3のミノタウルス(Minotaur)・クリーチャー・トークンを２体生成する。</t>
  </si>
  <si>
    <t>口を開く地割れ</t>
  </si>
  <si>
    <t>各対戦相手は土地を１つ生け贄に捧げる。</t>
  </si>
  <si>
    <t>激情の発動</t>
  </si>
  <si>
    <t>あなたのライブラリーの一番上のカードを予示し、その後、それの上に+1/+1カウンターを２個置く。（カードを予示するには、それを裏向きの状態で2/2クリーチャーとして戦場に出す。それがクリーチャー・カードであるなら、そのマナ・コストでいつでも表向きにしてよい。）</t>
  </si>
  <si>
    <t>灰と化す</t>
  </si>
  <si>
    <t>クリーチャー１体を対象とする。灰と化すはそれに５点のダメージを与える。そのクリーチャーがこのターンに死亡するなら、代わりにそれを追放する。</t>
  </si>
  <si>
    <t>破壊的なかがり火</t>
  </si>
  <si>
    <t>・エレメンタル(Elemental)でないクリーチャー１体を対象とする。破壊的なかがり火はそれに４点のダメージを与える。</t>
  </si>
  <si>
    <t>・ツリーフォーク(Treefolk)・クリーチャー１体を対象とする。破壊的なかがり火はそれに７点のダメージを与える。</t>
  </si>
  <si>
    <t>パーフォロスの激怒</t>
  </si>
  <si>
    <t>クリーチャー１体を対象とする。パーフォロスの激怒はそれに４点のダメージを与える。このターン、それは再生できない。占術１を行う。（あなたのライブラリーの一番上のカードを見る。あなたはそのカードをあなたのライブラリーの一番下に置いてもよい。）</t>
  </si>
  <si>
    <t>プレイヤー１人かプレインズウォーカー１体を対象とする。震盪の稲妻はそれに４点のダメージを与える。</t>
  </si>
  <si>
    <t>金属術 ― あなたがアーティファクトを３つ以上コントロールしているなら、このターン、そのプレイヤーかそのプレインズウォーカーのコントローラーがコントロールするクリーチャーではブロックできない。</t>
  </si>
  <si>
    <t>炎のブレス</t>
  </si>
  <si>
    <t>(R)：エンチャントされているクリーチャーは、ターン終了時まで+1/+0の修整を受ける。</t>
  </si>
  <si>
    <t>伝書使の素早さ</t>
  </si>
  <si>
    <t>エンチャントされているクリーチャーはトランプルと速攻を持つ。</t>
  </si>
  <si>
    <t>塵の光冠</t>
  </si>
  <si>
    <t>エンチャントされているクリーチャーは+2/+0の修整を受けるとともに、飛行を持つクリーチャーによってはブロックされない。</t>
  </si>
  <si>
    <t>火の装い</t>
  </si>
  <si>
    <t>エンチャントされているクリーチャーは+1/-1の修整を受けるとともに、可能なら各戦闘で攻撃する。</t>
  </si>
  <si>
    <t>ドラゴンのマントル</t>
  </si>
  <si>
    <t>ドラゴンのマントルが戦場に出たとき、カードを１枚引く。</t>
  </si>
  <si>
    <t>エンチャントされているクリーチャーは「(R)：このクリーチャーはターン終了時まで+1/+0の修整を受ける。」を持つ。</t>
  </si>
  <si>
    <t>予言的妄語</t>
  </si>
  <si>
    <t>エンチャントされているクリーチャーは速攻と「(Ｔ),カード１枚を捨てる：カードを１枚引く。」を持つ。</t>
  </si>
  <si>
    <t>ニクス生まれのお調子者</t>
  </si>
  <si>
    <t>授与(１)(R)（このカードを授与コストで唱えた場合、これはエンチャント（クリーチャー）を持つオーラ(Aura)呪文である。クリーチャーにつけられていない場合、これは再びクリーチャーになる。）</t>
  </si>
  <si>
    <t>流血の熱病</t>
  </si>
  <si>
    <t>エンチャントされているクリーチャーは、可能なら各戦闘で攻撃する。</t>
  </si>
  <si>
    <t>炎の印章</t>
  </si>
  <si>
    <t>炎の印章を生け贄に捧げる：クリーチャー１体かプレイヤー１人を対象とする。炎の印章はそれに２点のダメージを与える。</t>
  </si>
  <si>
    <t>天啓の嵐</t>
  </si>
  <si>
    <t>エンチャントされているクリーチャーは「(R),(Ｔ),カードを１枚捨てる：カードを１枚引く。」を持つ。</t>
  </si>
  <si>
    <t>騒乱の味</t>
  </si>
  <si>
    <t>エンチャントされているクリーチャーは+2/+0の修整を受ける。</t>
  </si>
  <si>
    <t>暴勇 ― エンチャントされているクリーチャーは、あなたの手札にカードが無いかぎりさらに+2/+0の修整を受ける。</t>
  </si>
  <si>
    <t>噛み傷への興奮</t>
  </si>
  <si>
    <t>エンチャントされているクリーチャーは、+2/+2の修整を受けるとともに可能なら各戦闘で攻撃する。</t>
  </si>
  <si>
    <t>槌手</t>
  </si>
  <si>
    <t>槌手が戦場に出たとき、クリーチャー１体を対象とする。このターン、それではブロックできない。</t>
  </si>
  <si>
    <t>エンチャントされているクリーチャーは、+1/+1の修整を受けるとともに速攻を持つ。（それがいつあなたのコントロール下になったかに関係なく、それは攻撃したり(Ｔ)したりできる。）</t>
  </si>
  <si>
    <t>速やかな反応</t>
  </si>
  <si>
    <t>エンチャントされているクリーチャーは先制攻撃を持つ。（それは先制攻撃を持たないクリーチャーより先に戦闘ダメージを与える。）</t>
  </si>
  <si>
    <t>激情のカルトーシュ</t>
  </si>
  <si>
    <t>激情のカルトーシュが戦場に出たとき、クリーチャー１体を対象とする。このターン、それではブロックできない。</t>
  </si>
  <si>
    <t>エンチャントされているクリーチャーは、+1/+1の修整を受けるとともに速攻を持つ。</t>
  </si>
  <si>
    <t>炎語りの意志</t>
  </si>
  <si>
    <t>エンチャントされているクリーチャーがプレイヤー１人に戦闘ダメージを与えるたび、アーティファクト１つを対象とする。あなたは炎語りの意志を生け贄に捧げてもよい。そうしたなら、そのアーティファクトを破壊する。</t>
  </si>
  <si>
    <t>悪だくみ</t>
  </si>
  <si>
    <t>エンチャントされているクリーチャーは「(Ｔ)：クリーチャー１体を対象とする。このターン、それではブロックできない。」を持つ。</t>
  </si>
  <si>
    <t>衝撃の震え</t>
  </si>
  <si>
    <t>クリーチャーが１体あなたのコントロール下で戦場に出るたび、衝撃の震えは各対戦相手にそれぞれ１点のダメージを与える。</t>
  </si>
  <si>
    <t>巨人の光景</t>
  </si>
  <si>
    <t>エンチャントされているクリーチャーは+2/+1の修整を受けるとともに威迫を持つ。</t>
  </si>
  <si>
    <t>激憤の泉</t>
  </si>
  <si>
    <t>(３)(R),激憤の泉を生け贄に捧げる：プレイヤー１人かプレインズウォーカー１体を対象とする。激憤の泉はそれに５点のダメージを与える。</t>
  </si>
  <si>
    <t>火の力</t>
  </si>
  <si>
    <t>エンチャントされているクリーチャーは「(Ｔ)：クリーチャー１体かプレイヤー１人を対象とする。このクリーチャーはそれに１点のダメージを与える。」を持つ。</t>
  </si>
  <si>
    <t>激情の怒り</t>
  </si>
  <si>
    <t>ギトゥの火炎噴射</t>
  </si>
  <si>
    <t>(R)：エンチャントされているクリーチャーはターン終了時まで+1/+0の修整を受ける。</t>
  </si>
  <si>
    <t>(R)：ギトゥの火炎噴射をオーナーの手札に戻す。</t>
  </si>
  <si>
    <t>ファルケンラスの鉤爪</t>
  </si>
  <si>
    <t>エンチャントされているクリーチャーは「(１)(R)：このクリーチャーはターン終了時まで+2/+0の修整を受ける。」を持つ。</t>
  </si>
  <si>
    <t>業火の拳</t>
  </si>
  <si>
    <t>(R),業火の拳を生け贄に捧げる：クリーチャー１体かプレインズウォーカー１体かプレイヤー１人を対象とする。業火の拳はそれに２点のダメージを与える。</t>
  </si>
  <si>
    <t>突沸の器</t>
  </si>
  <si>
    <t>(１)(R),突沸の器を生け贄に捧げる：あなたのマナ・プールに(R)(R)(R)(R)を加える。</t>
  </si>
  <si>
    <t>ティロナーリの冠</t>
  </si>
  <si>
    <t>ティロナーリの冠が戦場に出たとき、これはエンチャントされているクリーチャーに１点のダメージを与える。</t>
  </si>
  <si>
    <t>エンチャントされているクリーチャーは+3/+0の修整を受けるとともにトランプルを持つ。</t>
  </si>
  <si>
    <t>向こう見ずな技術</t>
  </si>
  <si>
    <t>エンチャントされているクリーチャーは+3/+0の修整を受けるとともに威迫を持つ。</t>
  </si>
  <si>
    <t>無差別な怒り</t>
  </si>
  <si>
    <t>ゼクター祭殿の探検</t>
  </si>
  <si>
    <t>上陸 ― 土地が１つあなたのコントロール下で戦場に出るたび、ゼクター祭殿の探検の上に探索(quest)カウンターを１個置く。</t>
  </si>
  <si>
    <t>ゼクター祭殿の探検から探索カウンターを３個取り除くとともに、それを生け贄に捧げる：トランプルと速攻を持つ赤の7/1のエレメンタル(Elemental)・クリーチャー・トークンを１体生成する。次の終了ステップの開始時に、それを追放する。</t>
  </si>
  <si>
    <t>向こう見ず</t>
  </si>
  <si>
    <t>エンチャントされているクリーチャーは+2/+2の修整を受けるとともに速攻を持つ。</t>
  </si>
  <si>
    <t>貫かれた心臓の呪い</t>
  </si>
  <si>
    <t>エンチャントされているプレイヤーのアップキープの開始時に、貫かれた心臓の呪いはそのプレイヤーかそのプレイヤーがコントロールしているプレインズウォーカーに１点のダメージを与える。</t>
  </si>
  <si>
    <t>流動石の抱擁</t>
  </si>
  <si>
    <t>(Ｔ)：エンチャントされているクリーチャーは、ターン終了時まで+2/-2の修整を受ける。</t>
  </si>
  <si>
    <t>飛行術の探求</t>
  </si>
  <si>
    <t>エンチャントされているクリーチャーは+2/+2の修整を受けるとともに「(U)：このクリーチャーは、ターン終了時まで飛行を得る。」を持つ。</t>
  </si>
  <si>
    <t>伝染性渇血症</t>
  </si>
  <si>
    <t>エンチャントされているクリーチャーは+2/+1の修整を受けるとともに速攻を持ち、それは可能なら各戦闘で攻撃する。</t>
  </si>
  <si>
    <t>エンチャントされているクリーチャーが死亡したとき、あなたはあなたのライブラリーから《伝染性渇血症/Infectious Bloodlust》という名前のカードを１枚探してもよい。そうしたなら、それを公開してあなたの手札に加え、その後あなたのライブラリーを切り直す。</t>
  </si>
  <si>
    <t>狂った怒り</t>
  </si>
  <si>
    <t>エンチャントされているクリーチャーは、+2/+2の修整を受けるとともに、それではブロックできない。</t>
  </si>
  <si>
    <t>ゴブリンの戦化粧</t>
  </si>
  <si>
    <t>火山の力</t>
  </si>
  <si>
    <t>エンチャントされているクリーチャーは+2/+2の修整を受けるとともに山渡りを持つ。（それは防御プレイヤーが山(Mountain)をコントロールしているかぎりブロックされない。）</t>
  </si>
  <si>
    <t>致命的な魅力</t>
  </si>
  <si>
    <t>致命的な魅力が戦場に出たとき、それはエンチャントされているクリーチャーに２点のダメージを与える。</t>
  </si>
  <si>
    <t>あなたのアップキープの開始時に、致命的な魅力はエンチャントされているクリーチャーに４点のダメージを与える。</t>
  </si>
  <si>
    <t>稲妻の鉤爪</t>
  </si>
  <si>
    <t>エンチャントされているクリーチャーは+3/+0の修整を受けるとともに先制攻撃を持つ。（それは先制攻撃を持たないクリーチャーより先に戦闘ダメージを与える。）</t>
  </si>
  <si>
    <t>熊野の祝福</t>
  </si>
  <si>
    <t>このターン、エンチャントされているクリーチャーによってダメージを与えられたクリーチャーが死亡する場合、代わりにそれを追放する。</t>
  </si>
  <si>
    <t>略奪の爆撃</t>
  </si>
  <si>
    <t>あなたがコントロールするパワーが２以下のクリーチャーが攻撃するたび、略奪の爆撃は防御プレイヤーに１点のダメージを与える。</t>
  </si>
  <si>
    <t>マルドゥの呪印</t>
  </si>
  <si>
    <t>エンチャントされているクリーチャーは、あなたが白か黒のパーマネントをコントロールしているかぎり先制攻撃を持つ。</t>
  </si>
  <si>
    <t>破壊者のゼンディコン</t>
  </si>
  <si>
    <t>エンチャントされている土地は、トランプルを持つ赤の4/2のビースト(Beast)・クリーチャーである。それは土地でもある。</t>
  </si>
  <si>
    <t>ヴァラクートのかぎ爪</t>
  </si>
  <si>
    <t>エンチャントされているクリーチャーは、あなたがコントロールする山(Mountain)１つにつき+1/+0の修整を受けるとともに、先制攻撃を持つ。</t>
  </si>
  <si>
    <t>敵意ある領域</t>
  </si>
  <si>
    <t>エンチャントされている土地は「(Ｔ)：クリーチャー１体を対象とする。このターン、それではブロックできない。」を持つ。</t>
  </si>
  <si>
    <t>恐るべき気質</t>
  </si>
  <si>
    <t>エンチャントされているクリーチャーは+2/+2の修整を受けるとともに「(２)(R)：クリーチャー１体を対象とする。このターン、それではこのクリーチャーをブロックできない。」を持つ。</t>
  </si>
  <si>
    <t>剣士の魔法印</t>
  </si>
  <si>
    <t>あなたがコントロールする、エンチャントされている各クリーチャーは+1/+1の修整を受けるとともに先制攻撃を持つ。</t>
  </si>
  <si>
    <t>槍先のオリアード</t>
  </si>
  <si>
    <t>授与(５)(R)（このカードを授与コストで唱えた場合、これはエンチャント（クリーチャー）を持つオーラ(Aura)呪文である。クリーチャーにつけられていない場合、これは再びクリーチャーになる。）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</si>
  <si>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エンチャントされているクリーチャーは+2/+2の修整を受けるとともに先制攻撃を持つ。</t>
  </si>
  <si>
    <t>感電の弧炎</t>
  </si>
  <si>
    <t>感電の弧炎が戦場に出たとき、クリーチャー１体かプレインズウォーカー１体かプレイヤー１人を対象とする。感電の弧炎はそれに３点のダメージを与える。</t>
  </si>
  <si>
    <t>抑えきれない怒り</t>
  </si>
  <si>
    <t>エンチャントされているクリーチャーは+2/+2の修整を受けるとともに、可能なら各戦闘で攻撃する。</t>
  </si>
  <si>
    <t>ブリキ通りの市場</t>
  </si>
  <si>
    <t>エンチャントされている土地は「(Ｔ),カードを１枚捨てる：カードを１枚引く。」を持つ。</t>
  </si>
  <si>
    <t>稲妻の髪飾り</t>
  </si>
  <si>
    <t>稲妻の髪飾りが戦場に出たとき、クリーチャー１体かプレインズウォーカー１体かプレイヤー１人を対象とする。稲妻の髪飾りはそれに２点のダメージを与える。</t>
  </si>
  <si>
    <t>チャンドラの敗北</t>
  </si>
  <si>
    <t>赤のクリーチャー１体か赤のプレインズウォーカー１体を対象とする。チャンドラの敗北はそれに５点のダメージを与える。そのパーマネントがチャンドラ(Chandra)・プレインズウォーカーであるなら、あなたはカード１枚を捨ててもよい。そうしたなら、カードを１枚引く。</t>
  </si>
  <si>
    <t>ファートリの嗾け</t>
  </si>
  <si>
    <t>クリーチャー１体を対象とする。ターン終了時まで、それは+2/+0の修整を受ける。あなたがファートリ(Huatli)・プレインズウォーカーをコントロールしているなら、代わりに、ターン終了時まで、そのクリーチャーは+4/+0の修整を受ける。</t>
  </si>
  <si>
    <t>怒髪天</t>
  </si>
  <si>
    <t>クリーチャー１体を対象とする。それはターン終了時まで+X/+0の修整を受ける。</t>
  </si>
  <si>
    <t>通りのひきつけ</t>
  </si>
  <si>
    <t>あなたがコントロールしていない飛行を持たないクリーチャー１体を対象とする。通りのひきつけはそれにＸ点のダメージを与える。</t>
  </si>
  <si>
    <t>超過(Ｘ)(Ｘ)(R)(R)（あなたはこの呪文をその超過コストで唱えてもよい。そうしたなら、通りのひきつけはあなたがコントロールしていない飛行を持たない各クリーチャーにそれぞれＸ点のダメージを与える。）</t>
  </si>
  <si>
    <t>不安定な足場</t>
  </si>
  <si>
    <t>キッカー(３)(R)（あなたがこの呪文を唱えるに際し、あなたは追加の(３)(R)を支払ってもよい。）</t>
  </si>
  <si>
    <t>このターン、ダメージは軽減できない。不安定な足場がキッカーされていた場合、プレイヤー１人を対象とする。不安定な足場はそのプレイヤーに５点のダメージを与える。</t>
  </si>
  <si>
    <t>統率の取れた突撃</t>
  </si>
  <si>
    <t>クリーチャーを最大２体まで対象とする。それらはターン終了時までそれぞれ+1/+0の修整を受けるとともに先制攻撃を得る。</t>
  </si>
  <si>
    <t>引き裂く流弾</t>
  </si>
  <si>
    <t>引き裂く流弾は呪文や能力によっては打ち消されない。</t>
  </si>
  <si>
    <t>白か青のクリーチャー１体を対象とする。引き裂く流弾はそれに４点のダメージを与える。</t>
  </si>
  <si>
    <t>時操術</t>
  </si>
  <si>
    <t>・パーマネント１つか待機状態のカード１枚を対象とし、その上から時間(time)カウンターをＸ個取り除く。</t>
  </si>
  <si>
    <t>・パーマネント１つか待機状態のカード１枚を対象とし、その上に時間カウンターをＸ個置く。</t>
  </si>
  <si>
    <t>磁力窃盗</t>
  </si>
  <si>
    <t>装備品(Equipment)１つとクリーチャー１体を対象とし、その装備品をそのクリーチャーにつける。（その装備品のコントロールは変わらない。）</t>
  </si>
  <si>
    <t>バルデュヴィアの怒り</t>
  </si>
  <si>
    <t>攻撃しているクリーチャー１体を対象とする。それはターン終了時まで+X/+0の修整を受ける。</t>
  </si>
  <si>
    <t>次のターンのアップキープの開始時に、カードを１枚引く。</t>
  </si>
  <si>
    <t>乱撃斬</t>
  </si>
  <si>
    <t>獰猛 ― あなたがパワーが４以上のクリーチャーをコントロールしているなら、このターン、ダメージは軽減できない。</t>
  </si>
  <si>
    <t>クリーチャー１体かプレイヤー１人を対象とする。乱撃斬はそれに２点のダメージを与える。</t>
  </si>
  <si>
    <t>尖塔の重量</t>
  </si>
  <si>
    <t>クリーチャー１体を対象とする。尖塔の重量はそれに、そのクリーチャーのコントローラーがコントロールする基本でない土地の数に等しい点数のダメージを与える。</t>
  </si>
  <si>
    <t>無謀な怒り</t>
  </si>
  <si>
    <t>あなたがコントロールしていないクリーチャー１体とあなたがコントロールしているクリーチャー１体を対象とする。無謀な怒りはその前者に４点、その後者に２点のダメージを与える。</t>
  </si>
  <si>
    <t>爆片破</t>
  </si>
  <si>
    <t>爆片破を唱えるための追加コストとして、アーティファクトを１つ生け贄に捧げる。</t>
  </si>
  <si>
    <t>クリーチャー１体かプレイヤー１人を対象とする。爆片破はそれに５点のダメージを与える。</t>
  </si>
  <si>
    <t>蟻の解き放ち</t>
  </si>
  <si>
    <t>クリーチャー１体かプレイヤー１人を対象とする。蟻の解き放ちはそれに１点のダメージを与える。対戦相手１人と激突を行う。あなたが勝った場合、蟻の解き放ちをオーナーの手札に戻す。（激突を行う各プレイヤーは、自分のライブラリーの一番上のカードを公開し、そのカードを一番上か一番下に置く。自分のカードの点数で見たマナ・コストの方が大きいプレイヤーが勝つ。）</t>
  </si>
  <si>
    <t>燃える油</t>
  </si>
  <si>
    <t>攻撃かブロックしているクリーチャー１体を対象とする。燃える油はそれに３点のダメージを与える。</t>
  </si>
  <si>
    <t>クリーチャー１体かプレイヤー１人を対象とする。マグマの噴流は、それに２点のダメージを与える。占術２を行う。</t>
  </si>
  <si>
    <t>無知の喜び</t>
  </si>
  <si>
    <t>あなたの手札のカードをすべて、裏向きの状態で追放する。次の終了ステップの開始時に、それらのカードをあなたの手札に戻し、その後カードを１枚引く。</t>
  </si>
  <si>
    <t>残虐無道の猛火</t>
  </si>
  <si>
    <t>(Ｘ)(R)(R)</t>
  </si>
  <si>
    <t>クリーチャー１体を対象とする。残虐無道の猛火はそれにＸ点のダメージを与える。</t>
  </si>
  <si>
    <t>魔巧 ― あなたの墓地にインスタント・カードやソーサリー・カードが合わせて２枚以上あるなら、残虐無道の猛火はそのクリーチャーのコントローラーにもＸ点のダメージを与える。</t>
  </si>
  <si>
    <t>蓄霊稲妻</t>
  </si>
  <si>
    <t>クリーチャー１体を対象とする。あなたは(Ｅ)(Ｅ)(Ｅ)（エネルギー・カウンター３個）を得る。その後、あなたは望む数の(Ｅ)を支払ってもよい。蓄霊稲妻はそのクリーチャーに、その支払った数に等しい点数のダメージを与える。</t>
  </si>
  <si>
    <t>捨て身の狂乱</t>
  </si>
  <si>
    <t>カードを２枚引き、その後カードを１枚無作為に選んで捨てる。</t>
  </si>
  <si>
    <t>経路変更</t>
  </si>
  <si>
    <t>単一の対象を取る起動型能力１つを対象とし、その対象を変える。（マナ能力は対象にできない。）</t>
  </si>
  <si>
    <t>無秩序の点火</t>
  </si>
  <si>
    <t>１体か２体か３体の白か青のクリーチャーを対象とする。無秩序の点火はそれらに、３点のダメージを望むように割り振って与える。</t>
  </si>
  <si>
    <t>横殴り</t>
  </si>
  <si>
    <t>秘儀(Arcane)呪文１つを対象とする。あなたはその対象を好きな数だけ変更してもよい。</t>
  </si>
  <si>
    <t>ゲリラ戦術</t>
  </si>
  <si>
    <t>クリーチャー１体かプレインズウォーカー１体かプレイヤー１人を対象とする。ゲリラ戦術はそれに２点のダメージを与える。</t>
  </si>
  <si>
    <t>対戦相手がコントロールする呪文や能力によって、あなたがゲリラ戦術を捨てさせられたとき、クリーチャー１体かプレインズウォーカー１体かプレイヤー１人を対象とする。ゲリラ戦術はそれに４点のダメージを与える。</t>
  </si>
  <si>
    <t>暴力の激励</t>
  </si>
  <si>
    <t>・クリーチャー１体を対象とする。ターン終了時まで、それは+4/+0の修整を受けるとともにトランプルを得る。</t>
  </si>
  <si>
    <t>・クリーチャー２体を対象とする。ターン終了時まで、それらはそれぞれ+2/+0の修整を受けるとともにトランプルを得る。</t>
  </si>
  <si>
    <t>溶岩噴火</t>
  </si>
  <si>
    <t>クリーチャー１体かプレイヤー１人を対象とする。溶岩噴火はそれにＸ点のダメージを与える。</t>
  </si>
  <si>
    <t>龍詞の咆哮</t>
  </si>
  <si>
    <t>クリーチャー１体を対象とする。龍詞の咆哮はそれに３点のダメージを与える。あなたがこの呪文を唱えた時点でドラゴン・カードを公開したかドラゴンをコントロールしていたなら、龍詞の咆哮はそのクリーチャーのコントローラーに３点のダメージを与える。</t>
  </si>
  <si>
    <t>罰する火</t>
  </si>
  <si>
    <t>クリーチャー１体かプレイヤー１人を対象とする。罰する火はそれに２点のダメージを与える。</t>
  </si>
  <si>
    <t>対戦相手１人がライフを得るたび、あなたは(R)を支払ってもよい。そうした場合、あなたの墓地にある罰する火をあなたの手札に戻す。</t>
  </si>
  <si>
    <t>ヴァラクートの涙</t>
  </si>
  <si>
    <t>ヴァラクートの涙は呪文や能力によっては打ち消されない。</t>
  </si>
  <si>
    <t>飛行を持つクリーチャー１体を対象とする。ヴァラクートの涙はそれに５点のダメージを与える。</t>
  </si>
  <si>
    <t>灼熱の血</t>
  </si>
  <si>
    <t>クリーチャー１体を対象とする。灼熱の血はそれに２点のダメージを与える。このターン、そのクリーチャーが死亡したとき、灼熱の血はそのクリーチャーのコントローラーに３点のダメージを与える。</t>
  </si>
  <si>
    <t>削剥</t>
  </si>
  <si>
    <t>・クリーチャー１体を対象とする。削剥はそれに３点のダメージを与える。</t>
  </si>
  <si>
    <t>頭蓋割り</t>
  </si>
  <si>
    <t>このターン、プレイヤーはライフを得られない。このターン、ダメージは軽減できない。プレイヤー１人を対象とする。頭蓋割りはそのプレイヤーに３点のダメージを与える。</t>
  </si>
  <si>
    <t>突然のショック</t>
  </si>
  <si>
    <t>クリーチャー１体かプレイヤー１人を対象とする。突然のショックはそれに２点のダメージを与える。</t>
  </si>
  <si>
    <t>焼却</t>
  </si>
  <si>
    <t>白か青のクリーチャー１体を対象とする。焼却はそれに５点のダメージを与える。このダメージは軽減できない。</t>
  </si>
  <si>
    <t>火山の流弾</t>
  </si>
  <si>
    <t>火山の流弾は打ち消されない。</t>
  </si>
  <si>
    <t>火山の流弾は各クリーチャーと各プレイヤーに、それぞれ２点のダメージを与える。</t>
  </si>
  <si>
    <t>霊魂破</t>
  </si>
  <si>
    <t>クリーチャー１体かプレインズウォーカー１体かプレイヤー１人を対象とする。霊魂破はそれに２点のダメージを与える。</t>
  </si>
  <si>
    <t>(２)(U),あなたの墓地から霊魂破を追放する：あなたがコントロールする、インスタント呪文１つかソーサリー呪文１つを対象とし、それをコピーする。あなたはそのコピーの新しい対象を選んでもよい。</t>
  </si>
  <si>
    <t>龍怒</t>
  </si>
  <si>
    <t>あなたがコントロールする攻撃クリーチャー１体につき、(R)を加える。ターン終了時まで、あなたがコントロールする攻撃クリーチャーは「(R)：ターン終了時まで、このクリーチャーは+1/+0の修整を受ける。」を得る。</t>
  </si>
  <si>
    <t>サルカンの凱旋</t>
  </si>
  <si>
    <t>あなたのライブラリーからドラゴン(Dragon)・クリーチャー・カードを１枚探し、それを公開してあなたの手札に加え、その後あなたのライブラリーを切り直す。</t>
  </si>
  <si>
    <t>恐竜暴走</t>
  </si>
  <si>
    <t>ターン終了時まで、攻撃クリーチャーは+2/+0の修整を受ける。ターン終了時まで、あなたがコントロールしている恐竜(Dinosaur)はトランプルを得る。</t>
  </si>
  <si>
    <t>血の手の炎</t>
  </si>
  <si>
    <t>プレイヤー１人かプレインズウォーカー１体を対象とする。血の手の炎はそれに４点のダメージを与える。そのダメージは軽減されない。このターン、そのプレイヤーがライフを得るなら、そのプレイヤーは代わりに１点のライフも得ない。</t>
  </si>
  <si>
    <t>焦熱の連続砲撃</t>
  </si>
  <si>
    <t>焦熱の連続砲撃は、海賊(Pirate)でない各クリーチャーにそれぞれ２点のダメージを与える。</t>
  </si>
  <si>
    <t>花火破</t>
  </si>
  <si>
    <t>クリーチャー１体かプレインズウォーカー１体かプレイヤー１人を対象とする。花火破はそれに２点のダメージを与える。花火破をオーナーの手札に戻し、その後カードを１枚無作為に選んで捨てる。</t>
  </si>
  <si>
    <t>稲妻の嵐</t>
  </si>
  <si>
    <t>クリーチャー１体かプレインズウォーカー１体かプレイヤー１人を対象とする。稲妻の嵐はそれに、稲妻の嵐の上に置かれている蓄積(charge)カウンターの数に３を加えた点数のダメージを与える。</t>
  </si>
  <si>
    <t>土地カード１枚を捨てる：稲妻の嵐の上に蓄積カウンターを２個置く。あなたはその新しい対象を選んでもよい。この能力は、稲妻の嵐がスタックにあるときにのみ、いずれのプレイヤーも起動できる。</t>
  </si>
  <si>
    <t>魔術師の稲妻</t>
  </si>
  <si>
    <t>あなたがウィザード(Wizard)をコントロールしているなら、この呪文を唱えるためのコストは(２)少なくなる。</t>
  </si>
  <si>
    <t>クリーチャー１体かプレインズウォーカー１体かプレイヤー１人を対象とする。魔術師の稲妻はそれに３点のダメージを与える。</t>
  </si>
  <si>
    <t>オーラのとげ</t>
  </si>
  <si>
    <t>各エンチャントは、それのコントローラーに２点のダメージを与える。その後クリーチャーにつけられている各オーラ(Aura)は、それがつけられているクリーチャーに２点のダメージを与える。</t>
  </si>
  <si>
    <t>粗暴な協力</t>
  </si>
  <si>
    <t>増呪(１)（２つ目以降に選ぶモード１つにつき、このコストを１回支払う。）</t>
  </si>
  <si>
    <t>・プレイヤー１人を対象とする。ターン終了時まで、そのプレイヤーがコントロールするクリーチャーはトランプルを得る。</t>
  </si>
  <si>
    <t>・クリーチャー１体を対象とする。粗暴な協力はそれに２点のダメージを与える。</t>
  </si>
  <si>
    <t>・対戦相手１人を対象とする。粗暴な協力はそのプレイヤーがコントロールする各クリーチャーにそれぞれ１点のダメージを与える。</t>
  </si>
  <si>
    <t>血のほとばしり</t>
  </si>
  <si>
    <t>クリーチャー１体を対象とする。それはターン終了時まで+X/+0の修整を受ける。Ｘはそれのパワーである。</t>
  </si>
  <si>
    <t>基盤の揺るぎ</t>
  </si>
  <si>
    <t>基盤の揺るぎは、飛行を持たない各クリーチャーにそれぞれ１点のダメージを与える。</t>
  </si>
  <si>
    <t>自暴自棄</t>
  </si>
  <si>
    <t>クリーチャー最大２体を対象とする。ターン終了時まで、それらはそれぞれ+1/+0の修整を受けるとともに先制攻撃を得る。</t>
  </si>
  <si>
    <t>飲み込む炎</t>
  </si>
  <si>
    <t>クリーチャー１体と、プレインズウォーカー１体かプレイヤー１人を対象とする。飲み込む炎はその前者に３点のダメージ、その後者に２点のダメージを与える。</t>
  </si>
  <si>
    <t>奇妙な転置</t>
  </si>
  <si>
    <t>クリーチャー１体を対象とする。ターン終了時まで、そのパワーとタフネスを入れ替える。</t>
  </si>
  <si>
    <t>焼夷式破壊工作</t>
  </si>
  <si>
    <t>この呪文を唱えるための追加コストとして、アーティファクト１つを生け贄に捧げる。</t>
  </si>
  <si>
    <t>焼夷式破壊工作は各クリーチャーにそれぞれ３点のダメージを与える。</t>
  </si>
  <si>
    <t>仇麻呂の凝視</t>
  </si>
  <si>
    <t>プレイヤー１人を対象とする。仇麻呂の凝視はそのプレイヤーに、そのプレイヤーの手札にあるカードの枚数に等しい点数のダメージを与える。</t>
  </si>
  <si>
    <t>味方からの誤射</t>
  </si>
  <si>
    <t>クリーチャー１体を対象とする。そのコントローラーは手札からカードを１枚無作為に選んで公開する。味方からの誤射はそのクリーチャーとプレイヤーに、公開されたカードの点数で見たマナ・コストに等しい点数のダメージを与える。</t>
  </si>
  <si>
    <t>誘導稲妻</t>
  </si>
  <si>
    <t>クリーチャー１体を対象とする。誘導稲妻はそれと、それと同じ名前を持つ他の各クリーチャーにそれぞれ４点のダメージを与える。</t>
  </si>
  <si>
    <t>跳ね返りの罠</t>
  </si>
  <si>
    <t>このターン、対戦相手１人が青の呪文を唱えていた場合、あなたは跳ね返りの罠のマナ・コストを支払うのではなく(R)を支払ってもよい。</t>
  </si>
  <si>
    <t>電撃破</t>
  </si>
  <si>
    <t>クリーチャー１体かプレインズウォーカー１体かプレイヤー１人を対象とする。電撃破はそれに４点のダメージを与える。</t>
  </si>
  <si>
    <t>猛火煽り</t>
  </si>
  <si>
    <t>パーマネント１つを対象とする。このターン、それがクリーチャーかプレイヤーにダメージを与える場合、代わりにそれはそのクリーチャーかプレイヤーにその２倍のダメージを与える。</t>
  </si>
  <si>
    <t>連繋（秘儀(Arcane)）(２)(R)(R)（あなたが秘儀呪文を唱えるに際し、あなたはこのカードを手札から公開して連繋コストを支払ってもよい。そうした場合、このカードの効果をその呪文に追加する。）</t>
  </si>
  <si>
    <t>怒りの涙</t>
  </si>
  <si>
    <t>怒りの涙は、攻撃クリーチャー指定ステップの間にのみ唱えられる。</t>
  </si>
  <si>
    <t>あなたがコントロールする攻撃しているクリーチャーは、ターン終了時まで+X/+0の修整を受ける。Ｘは、攻撃しているクリーチャーの数である。次の終了ステップの開始時に、それらのクリーチャーを生け贄に捧げる。</t>
  </si>
  <si>
    <t>沸騰</t>
  </si>
  <si>
    <t>すべての島(Island)を破壊する。</t>
  </si>
  <si>
    <t>悪魔と踊る</t>
  </si>
  <si>
    <t>赤の1/1のデビル(Devil)・クリーチャー・トークンを２体生成する。それらは「このクリーチャーが死亡したとき、クリーチャー１体かプレインズウォーカー１体かプレイヤー１人を対象とする。このクリーチャーはそれに１点のダメージを与える。」を持つ。</t>
  </si>
  <si>
    <t>かき立てる炎</t>
  </si>
  <si>
    <t>クリーチャー１体かプレイヤー１人を対象とする。かき立てる炎はそれに４点のダメージを与える。</t>
  </si>
  <si>
    <t>手綱取り</t>
  </si>
  <si>
    <t>・クリーチャー１体を対象とする。ターン終了時まで、あなたはそのコントロールを得るとともにそれは速攻を得る。</t>
  </si>
  <si>
    <t>・クリーチャーを１体生け贄に捧げる。クリーチャー１体かプレインズウォーカー１体かプレイヤー１人を対象とする。手綱取りはそれに、生け贄に捧げられたクリーチャーのパワーに等しい点数のダメージを与える。</t>
  </si>
  <si>
    <t>双呪(２)(R)（あなたが双呪コストを支払った場合、両方を選ぶ。）</t>
  </si>
  <si>
    <t>怒りの狂乱</t>
  </si>
  <si>
    <t>伝説でないクリーチャー１体を対象とする。そのクリーチャーをアンタップし、ターン終了時までそのコントロールを得る。そのクリーチャーはターン終了時まで速攻を得る。</t>
  </si>
  <si>
    <t>硫黄破</t>
  </si>
  <si>
    <t>硫黄破は各クリーチャーと各プレイヤーに２点のダメージを与える。あなたがこの呪文をあなたのメイン・フェイズの間に唱えた場合、代わりに硫黄破は各クリーチャーと各プレイヤーに３点のダメージを与える。</t>
  </si>
  <si>
    <t>核への投入</t>
  </si>
  <si>
    <t>アーティファクト２つを対象とし、それらを追放する。</t>
  </si>
  <si>
    <t>突然の衝撃</t>
  </si>
  <si>
    <t>プレイヤー１人を対象とする。突然の衝撃はそのプレイヤーに、そのプレイヤーの手札にあるカードの枚数に等しい点数のダメージを与える。</t>
  </si>
  <si>
    <t>業火の罠</t>
  </si>
  <si>
    <t>このターン、あなたが２体以上のクリーチャーによってダメージを与えられているなら、あなたはこの呪文のマナ・コストを支払うのではなく(R)を支払ってもよい。</t>
  </si>
  <si>
    <t>クリーチャー１体を対象とする。業火の罠はそれに４点のダメージを与える。</t>
  </si>
  <si>
    <t>稲妻の流弾</t>
  </si>
  <si>
    <t>ターン終了時まで、あなたがコントロールするクリーチャーは「(Ｔ)：クリーチャー１体かプレインズウォーカー１体かプレイヤー１人を対象とする。このクリーチャーはそれに１点のダメージを与える。」を得る。</t>
  </si>
  <si>
    <t>内面の葛藤</t>
  </si>
  <si>
    <t>焼き払い</t>
  </si>
  <si>
    <t>クリーチャー１体を対象とする。焼き払いはそれに６点のダメージを与える。このターンにそのクリーチャーが死亡したとき、それのコントローラーの墓地にあるすべてのカードを追放する。</t>
  </si>
  <si>
    <t>蓋世の誉れ</t>
  </si>
  <si>
    <t>クリーチャー１体を対象とする。蓋世の誉れはそれに７点のダメージを与える。</t>
  </si>
  <si>
    <t>サイクリング(３)(R)（(３)(R),このカードを捨てる：カードを１枚引く。）</t>
  </si>
  <si>
    <t>あなたが蓋世の誉れをサイクリングしたとき、クリーチャー１体を対象とする。あなたは「蓋世の誉れはそれに２点のダメージを与える。」を選んでもよい。</t>
  </si>
  <si>
    <t>骸骨化</t>
  </si>
  <si>
    <t>クリーチャー１体を対象とする。骸骨化はそれに３点のダメージを与える。このターン、これによりダメージを与えられたクリーチャーが死亡したとき、「(B)：このクリーチャーを再生する。」を持つ黒の1/1のスケルトン(Skeleton)・クリーチャー・トークンを１体生成する。</t>
  </si>
  <si>
    <t>内部衝突</t>
  </si>
  <si>
    <t>ブロック・クリーチャー１体と他のブロック・クリーチャー１体を対象とする。その前者はその後者と格闘を行う。</t>
  </si>
  <si>
    <t>攻撃的な行動</t>
  </si>
  <si>
    <t>(３)(赤/Φ)(赤/Φ)</t>
  </si>
  <si>
    <t>対戦相手１人がコントロールするクリーチャー１体を対象とし、ターン終了時までそれのコントロールを得る。そのクリーチャーをアンタップする。それはターン終了時まで速攻を得る。</t>
  </si>
  <si>
    <t>浄化の光線</t>
  </si>
  <si>
    <t>光輝 ― クリーチャー１体を対象とする。浄化の光線はそれと、それと共通の色を持つ他の各クリーチャーに２点のダメージを与える。</t>
  </si>
  <si>
    <t>混沌とした反発</t>
  </si>
  <si>
    <t>プレイヤー１人を対象とする。混沌とした反発はそのプレイヤーに、そのプレイヤーがコントロールする白か青のパーマネントの総数の２倍に等しい点数のダメージを与える。</t>
  </si>
  <si>
    <t>逆鱗</t>
  </si>
  <si>
    <t>プレイヤー１人を対象とする。逆鱗はそのプレイヤーがコントロールする各クリーチャーに１点のダメージを与える。これによりダメージを与えられたクリーチャーは、このターン、可能なら攻撃する。</t>
  </si>
  <si>
    <t>反響の稲妻</t>
  </si>
  <si>
    <t>プレイヤー１人かプレインズウォーカー１体を対象とする。反響の稲妻はそれに、あなたがコントロールするアーティファクトの数に等しい点数のダメージを与える。</t>
  </si>
  <si>
    <t>敵対</t>
  </si>
  <si>
    <t>クリーチャー１体を対象とする。ターン終了時まで、それのコントロールを得る。そのクリーチャーをアンタップする。ターン終了時まで、それは速攻を得る。</t>
  </si>
  <si>
    <t>鍛冶場の鎧</t>
  </si>
  <si>
    <t>クリーチャー１体を対象とする。その上に+1/+1カウンターをＸ個置く。Ｘは生け贄に捧げられたアーティファクトの点数で見たマナ・コストである。</t>
  </si>
  <si>
    <t>緊急徴兵</t>
  </si>
  <si>
    <t>クリーチャー１体を対象とする。そのクリーチャーをアンタップし、ターン終了時までそのコントロールを得る。そのクリーチャーはターン終了時まで速攻を得る。緊急徴兵を唱えるために(W)が使われた場合、そのクリーチャーはターン終了時まで「このクリーチャーが戦闘ダメージを与えるたび、あなたはその点数に等しい点数のライフを得る。」を得る。</t>
  </si>
  <si>
    <t>ルーン炎の罠</t>
  </si>
  <si>
    <t>このターン、対戦相手１人が３枚以上のカードを引いていた場合、あなたはルーン炎の罠のマナ・コストを支払うのではなく(R)を支払ってもよい。</t>
  </si>
  <si>
    <t>プレイヤー１人を対象とする。ルーン炎の罠はそのプレイヤーに、そのプレイヤーの手札にあるカードの枚数に等しい点数のダメージを与える。</t>
  </si>
  <si>
    <t>炎の投げ槍</t>
  </si>
  <si>
    <t>(２/赤)(２/赤)(２/赤)</t>
  </si>
  <si>
    <t>（(２/赤)は任意の２マナか(R)で支払うことができる。このカードの点数で見たマナ・コストは６である。）</t>
  </si>
  <si>
    <t>クリーチャー１体かプレインズウォーカー１体かプレイヤー１人を対象とする。炎の投げ槍はそれに４点のダメージを与える。</t>
  </si>
  <si>
    <t>炎の散布</t>
  </si>
  <si>
    <t>(６)(R)</t>
  </si>
  <si>
    <t>望む数のクリーチャーを対象とする。炎の散布はそれらに６点のダメージを、あなたの望むように分割して与える。</t>
  </si>
  <si>
    <t>尖塔の源獣</t>
  </si>
  <si>
    <t>エンチャント（山(Mountain)）</t>
  </si>
  <si>
    <t>(２)：エンチャントされている山は、ターン終了時まで赤の6/1のスピリット(Spirit)・クリーチャーになる。それは土地でもある。</t>
  </si>
  <si>
    <t>エンチャントされている山が墓地に置かれたとき、あなたの墓地にある尖塔の源獣をあなたの手札に戻してもよい。</t>
  </si>
  <si>
    <t>消耗品の弾幕</t>
  </si>
  <si>
    <t>(R),クリーチャーを１体生け贄に捧げる：クリーチャー１体かプレイヤー１人かプレインズウォーカー１体を対象とする。消耗品の弾幕はそれに１点のダメージを与える。</t>
  </si>
  <si>
    <t>焼き尽くす熱情</t>
  </si>
  <si>
    <t>エンチャントされているクリーチャーは、+3/+3の修整を受けるとともに「あなたのアップキープの開始時に、このクリーチャーの上に-1/-1カウンターを１個置く。」を持つ。</t>
  </si>
  <si>
    <t>ゴブリンの王の探索</t>
  </si>
  <si>
    <t>あなたのコントロール下でゴブリン(Goblin)が１つ戦場に出るたび、あなたはゴブリンの王の探索の上に探索(quest)カウンターを１個置いてもよい。</t>
  </si>
  <si>
    <t>ゴブリンの王の探索の上に探索カウンターが５個以上置かれているかぎり、あなたがコントロールするクリーチャーは+2/+0の修整を受ける。</t>
  </si>
  <si>
    <t>皮膚への侵入</t>
  </si>
  <si>
    <t>各戦闘で、エンチャントされているクリーチャーは可能なら攻撃する。</t>
  </si>
  <si>
    <t>エンチャントされているクリーチャーが死亡したとき、皮膚への侵入を変身させた状態であなたのコントロール下で戦場に戻す。</t>
  </si>
  <si>
    <t>皮膚から抜け出たもの</t>
  </si>
  <si>
    <t>　色指標：〔赤〕</t>
  </si>
  <si>
    <t>クリーチャー --- 昆虫(Insect)・ホラー(Horror)</t>
  </si>
  <si>
    <t>競走路の憤怒</t>
  </si>
  <si>
    <t>エンチャントされている土地は「(Ｔ)：クリーチャー１体を対象とする。それはターン終了時まで速攻を得る。」を持つ。</t>
  </si>
  <si>
    <t>純なる炎の探索</t>
  </si>
  <si>
    <t>あなたがコントロールする発生源１つが対戦相手１人にダメージを与えるたび、あなたは純なる炎の探索の上に探索(quest)カウンターを１個置いてもよい。</t>
  </si>
  <si>
    <t>純なる炎の探索から探索カウンターを４個取り除くとともに、それを生け贄に捧げる：このターン、あなたがコントロールする発生源１つがいずれかのクリーチャーかプレイヤーにダメージを与える場合、代わりにそれはそのクリーチャーかプレイヤーにその２倍の点数のダメージを与える。</t>
  </si>
  <si>
    <t>炎の円</t>
  </si>
  <si>
    <t>飛行を持たないクリーチャーがあなたかあなたがコントロールするプレインズウォーカーを攻撃するたび、炎の円はそのクリーチャーに１点のダメージを与える。</t>
  </si>
  <si>
    <t>戦線突破</t>
  </si>
  <si>
    <t>(R)：パワーが２以下のクリーチャー１体を対象とする。ターン終了時までそれは速攻を得るとともに、このターンそれはブロックされない。</t>
  </si>
  <si>
    <t>間に合わせの砲弾</t>
  </si>
  <si>
    <t>(１),アーティファクト１つかクリーチャー１体を生け贄に捧げる：クリーチャー１体かプレイヤー１人を対象とする。間に合わせの砲弾はそれに１点のダメージを与える。</t>
  </si>
  <si>
    <t>パーフォロスの試練</t>
  </si>
  <si>
    <t>エンチャントされているクリーチャーが攻撃するたび、その上に+1/+1カウンターを１個置く。その後、その上に+1/+1カウンターが３個以上置かれているならば、パーフォロスの試練を生け贄に捧げる。</t>
  </si>
  <si>
    <t>あなたがパーフォロスの試練を生け贄に捧げたとき、クリーチャー１体かプレイヤー１人を対象とする。パーフォロスの試練はそれに３点のダメージを与える。</t>
  </si>
  <si>
    <t>雷撃の威力</t>
  </si>
  <si>
    <t>エンチャントされているクリーチャーが攻撃するたび、それはターン終了時まで+X/+0の修整を受ける。Ｘはあなたの赤への信心である。（あなたの赤への信心は、あなたがコントロールするパーマネントのマナ・コストに含まれる(R)の数に等しい。）</t>
  </si>
  <si>
    <t>激情の賦活</t>
  </si>
  <si>
    <t>エンチャントされているクリーチャーは「あなたの終了ステップの開始時に、このターンこのクリーチャーが攻撃していないかぎり、それを生け贄に捧げる。」を持つ。</t>
  </si>
  <si>
    <t>戦精神の象徴</t>
  </si>
  <si>
    <t>あなたがコントロールするクリーチャーは速攻を持つ。</t>
  </si>
  <si>
    <t>はじける境界線</t>
  </si>
  <si>
    <t>あなたがコントロールするアンタップ状態の門(Gate)を１つタップする：はじける境界線は各対戦相手にそれぞれ１点のダメージを与える。</t>
  </si>
  <si>
    <t>満月の呼び声</t>
  </si>
  <si>
    <t>エンチャントされているクリーチャーは+3/+2の修整を受けるとともにトランプルを持つ。（それは余剰の戦闘ダメージを、それが攻撃しているプレイヤーかプレインズウォーカーに与えることができる。）</t>
  </si>
  <si>
    <t>各アップキープの開始時に、直前のターンにプレイヤー１人が２つ以上の呪文を唱えていた場合、満月の呼び声を生け贄に捧げる。</t>
  </si>
  <si>
    <t>ケルドの炎</t>
  </si>
  <si>
    <t>I ― あなたの手札を捨てる。</t>
  </si>
  <si>
    <t>II ― カードを２枚引く。</t>
  </si>
  <si>
    <t>III ― このターン、あなたがコントロールしている赤の発生源がパーマネントかプレイヤーにダメージを与えるなら、代わりに、それはそのパーマネントやプレイヤーに、その点数に２を足した点数のダメージを与える。</t>
  </si>
  <si>
    <t>モーギスの軍用犬</t>
  </si>
  <si>
    <t>授与(２)(R)（このカードを授与コストで唱えた場合、これはエンチャント（クリーチャー）を持つオーラ(Aura)呪文である。クリーチャーにつけられていない場合、これは再びクリーチャーになる。）</t>
  </si>
  <si>
    <t>モーギスの軍用犬は、可能なら各戦闘で攻撃する。</t>
  </si>
  <si>
    <t>激怒</t>
  </si>
  <si>
    <t>エンチャントされているクリーチャーは+2/+1の修整を受けるとともに先制攻撃を持つ。</t>
  </si>
  <si>
    <t>あなたの終了ステップの開始時に、このターンにあなたがクリーチャーで攻撃していなかった場合、激怒を生け贄に捧げる。</t>
  </si>
  <si>
    <t>くじけた忠誠</t>
  </si>
  <si>
    <t>エンチャントされたクリーチャーが呪文や能力の対象になるたび、その呪文や能力のコントローラーはそのクリーチャーのコントロールを得る。（この効果は永続する。）</t>
  </si>
  <si>
    <t>常炎の幻霊</t>
  </si>
  <si>
    <t>(R)：常炎の幻霊はターン終了時まで+1/+0の修整を受ける。これがオーラであるなら、代わりにエンチャントされているクリーチャーはターン終了時まで+1/+0の修整を受ける。</t>
  </si>
  <si>
    <t>捕らわれの炎</t>
  </si>
  <si>
    <t>(R)：クリーチャー１体を対象とする。それはターン終了時まで+1/+0の修整を受ける。</t>
  </si>
  <si>
    <t>死せざる怒り</t>
  </si>
  <si>
    <t>エンチャントされているクリーチャーは+2/+2の修整を受けるとともに、それではブロックできない。</t>
  </si>
  <si>
    <t>死せざる怒りが戦場からいずれかの墓地に置かれたとき、死せざる怒りをオーナーの手札に戻す。</t>
  </si>
  <si>
    <t>秘儀の教示</t>
  </si>
  <si>
    <t>エンチャントされているクリーチャーは+2/+2の修整を受けるとともに「(Ｔ)：クリーチャー１体かプレインズウォーカー１体かプレイヤー１人を対象とする。このクリーチャーは、それに１点のダメージを与える。」を持つ。</t>
  </si>
  <si>
    <t>ゴブリンの突撃</t>
  </si>
  <si>
    <t>あなたのアップキープの開始時に、速攻を持つ赤の1/1のゴブリン(Goblin)・クリーチャー・トークンを１体生成する。</t>
  </si>
  <si>
    <t>ゴブリン・クリーチャーは、可能なら各戦闘で攻撃する。</t>
  </si>
  <si>
    <t>ヴァラクートへの撤退</t>
  </si>
  <si>
    <t>・クリーチャー１体を対象とする。ターン終了時まで、それは+2/+0の修整を受ける。</t>
  </si>
  <si>
    <t>・クリーチャー１体を対象とする。このターン、それではブロックできない。</t>
  </si>
  <si>
    <t>炉の式典</t>
  </si>
  <si>
    <t>あなたが他のパーマネントを生け贄に捧げるたび、クリーチャー１体かプレインズウォーカー１体かプレイヤー１人を対象とする。あなたは(２)を支払ってもよい。そうしたなら、炉の式典はそれに２点のダメージを与える。</t>
  </si>
  <si>
    <t>龍の握撃</t>
  </si>
  <si>
    <t>獰猛 ― あなたがパワーが４以上のクリーチャーをコントロールしているなら、あなたは龍の握撃を、それが瞬速を持っているかのように唱えてもよい。（あなたはそれを、あなたがインスタントを唱えられるときならいつでも唱えてよい。）</t>
  </si>
  <si>
    <t>エンチャントされているクリーチャーは+2/+0の修整を受けるとともに先制攻撃を持つ。</t>
  </si>
  <si>
    <t>溶鉄の生育場</t>
  </si>
  <si>
    <t>あなたが無色の呪文を１つ唱えるたび、クリーチャー１体かプレイヤー１人を対象とする。溶鉄の生育場はそれに１点のダメージを与える。</t>
  </si>
  <si>
    <t>戦いへの欲望</t>
  </si>
  <si>
    <t>エンチャントされているクリーチャーがタップ状態になるたび、戦いへの欲望はそのクリーチャーのコントローラーに３点のダメージを与える。</t>
  </si>
  <si>
    <t>ステンシア仮面舞踏会</t>
  </si>
  <si>
    <t>あなたがコントロールする攻撃クリーチャーは先制攻撃を持つ。</t>
  </si>
  <si>
    <t>あなたがコントロールする吸血鬼(Vampire)１体がプレイヤー１人に戦闘ダメージを与えるたび、それの上に+1/+1カウンターを１個置く。</t>
  </si>
  <si>
    <t>マッドネス(２)(R)（あなたがこのカードを捨てるなら、これを追放領域に捨てる。あなたがそうしたとき、マッドネス・コストでこれを唱えるか、これをあなたの墓地に置く。）</t>
  </si>
  <si>
    <t>超電撃の掌握</t>
  </si>
  <si>
    <t>エンチャントされているクリーチャーは「(Ｔ)：クリーチャー１体かプレインズウォーカー１体かプレイヤー１人を対象とする。このクリーチャーは、それに１点のダメージを与える。」を持つ。</t>
  </si>
  <si>
    <t>(１)(U)：超電撃の掌握をオーナーの手札に戻す。</t>
  </si>
  <si>
    <t>稲妻の勇気</t>
  </si>
  <si>
    <t>エンチャントされているクリーチャーは速攻と「(Ｔ)：クリーチャー１体かプレインズウォーカー１体かプレイヤー１人を対象とする。このクリーチャーはそれに１点のダメージを与える。」を持つ。</t>
  </si>
  <si>
    <t>ゴブリンすべり</t>
  </si>
  <si>
    <t>あなたがクリーチャーでない呪文を１つ唱えるたび、あなたは(１)を支払ってもよい。そうしたなら、速攻を持つ赤の1/1のゴブリン(Goblin)・クリーチャー・トークンを１体生成する。</t>
  </si>
  <si>
    <t>激情の試練</t>
  </si>
  <si>
    <t>激情の試練が戦場に出たとき、クリーチャー１体かプレイヤー１人を対象とする。激情の試練はそれに３点のダメージを与える。</t>
  </si>
  <si>
    <t>カルトーシュ(Cartouche)が１つあなたのコントロール下で戦場に出たとき、激情の試練をオーナーの手札に戻す。</t>
  </si>
  <si>
    <t>ボガートの悪ふざけ</t>
  </si>
  <si>
    <t>あなたがコントロールする他のゴブリン(Goblin)が１体戦場からいずれかの墓地に置かれるたび、プレイヤー１人かプレインズウォーカー１体を対象とする。あなたは「ボガートの悪ふざけはそれに１点のダメージを与える。」を選んでもよい。</t>
  </si>
  <si>
    <t>ギラプールの霊気格子</t>
  </si>
  <si>
    <t>あなたがコントロールするアンタップ状態のアーティファクトを２つタップする：クリーチャー１体かプレインズウォーカー１体かプレイヤー１人を対象とする。ギラプールの霊気格子はそれに１点のダメージを与える。</t>
  </si>
  <si>
    <t>激憤の本殿</t>
  </si>
  <si>
    <t>あなたのアップキープの開始時に、クリーチャー１体かプレインズウォーカー１体かプレイヤー１人を対象とする。激憤の本殿はそれに、あなたがコントロールする祭殿(Shrine)の数に等しい点数のダメージを与える。</t>
  </si>
  <si>
    <t>夜毎の狩りの呪い</t>
  </si>
  <si>
    <t>エンチャントされているプレイヤーがコントロールするクリーチャーは、可能なら各戦闘で攻撃する。</t>
  </si>
  <si>
    <t>燃え立つ復讐</t>
  </si>
  <si>
    <t>あなたが呪文を１つあなたの墓地から唱えるたび、クリーチャー１体かプレインズウォーカー１体かプレイヤー１人を対象とする。燃え立つ復讐はそれに２点のダメージを与える。</t>
  </si>
  <si>
    <t>攻城化改造</t>
  </si>
  <si>
    <t>エンチャントされているクリーチャーは+3/+0の修整を受けるとともに先制攻撃を持つ。</t>
  </si>
  <si>
    <t>グレムリンの侵入</t>
  </si>
  <si>
    <t>あなたの終了ステップの開始時に、グレムリンの侵入はエンチャントされているアーティファクトのコントローラーに２点のダメージを与える。</t>
  </si>
  <si>
    <t>エンチャントされているアーティファクトが墓地に置かれたとき、赤の2/2のグレムリン(Gremlin)・クリーチャー・トークンを１体生成する。</t>
  </si>
  <si>
    <t>誘惑の財宝</t>
  </si>
  <si>
    <t>各戦闘で、各対戦相手はそれぞれ、可能ならあなたかあなたがコントロールしているプレインズウォーカーを少なくとも１体のクリーチャーで攻撃しなければならない。</t>
  </si>
  <si>
    <t>あなたの終了ステップの開始時に、「(Ｔ),このアーティファクトを生け贄に捧げる：あなたのマナ・プールに好きな色１色のマナ１点を加える。」を持つ無色の宝物(Treasure)アーティファクト・トークンを１つ生成する。</t>
  </si>
  <si>
    <t>パーフォロスの使者</t>
  </si>
  <si>
    <t>授与(６)(R)（このカードを授与コストで唱えた場合、これはエンチャント（クリーチャー）を持つオーラ(Aura)呪文である。クリーチャーにつけられていない場合、これは再びクリーチャーになる。）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</si>
  <si>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エンチャントされているクリーチャーは+3/+3の修整を受けるとともに威迫を持つ。</t>
  </si>
  <si>
    <t>血の霧</t>
  </si>
  <si>
    <t>あなたのターンの戦闘の開始時に、あなたがコントロールするクリーチャー１体を対象とする。ターン終了時まで、それは二段攻撃を得る。</t>
  </si>
  <si>
    <t>マグマの核</t>
  </si>
  <si>
    <t>累加アップキープ(１)（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</si>
  <si>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あなたの終了ステップの開始時に、好きな数のクリーチャーを対象とする。マグマの核はそれらに、Ｘ点のダメージを望むように割り振って与える。Ｘはマグマの核の上に置かれている経年カウンターの数に等しい。</t>
  </si>
  <si>
    <t>炎族の反乱</t>
  </si>
  <si>
    <t>あなたが激突を行うたび、あなたは(１)を支払ってもよい。そうした場合、赤の3/1のエレメンタル(Elemental)・シャーマン(Shaman)・クリーチャー・トークンを１体生成する。あなたが勝った場合、ターン終了時までそのトークンは速攻を得る。</t>
  </si>
  <si>
    <t>炉生まれのオリアード</t>
  </si>
  <si>
    <t>星座 ― 炉生まれのオリアードか他のエンチャント１つがあなたのコントロール下で戦場に出るたび、クリーチャー１体かプレインズウォーカー１体かプレイヤー１人を対象とする。炉生まれのオリアードはそれに１点のダメージを与える。</t>
  </si>
  <si>
    <t>悪意ある動機</t>
  </si>
  <si>
    <t>シヴの抱擁</t>
  </si>
  <si>
    <t>紅蓮炎血</t>
  </si>
  <si>
    <t>終了ステップの開始時に、クリーチャーが戦場に存在しない場合、紅蓮炎血を生け贄に捧げる。</t>
  </si>
  <si>
    <t>(R)：紅蓮炎血は、各クリーチャーと各プレイヤーにそれぞれ１点のダメージを与える。</t>
  </si>
  <si>
    <t>憤怒変化</t>
  </si>
  <si>
    <t>憤怒変化が戦場に出たとき、これはエンチャント（クリーチャー）を持つオーラ(Aura)になる。あなたのライブラリーの一番上のカードを予示し、それに憤怒変化をつける。（カードを予示するには、それを裏向きの状態で2/2クリーチャーとして戦場に出す。それがクリーチャー・カードであるなら、そのマナ・コストでいつでも表向きにしてよい。）</t>
  </si>
  <si>
    <t>紅蓮術師の突撃</t>
  </si>
  <si>
    <t>あなたが各ターンのあなたの２つ目の呪文を唱えるたび、クリーチャー１体かプレイヤー１人を対象とする。紅蓮術師の突撃はそれに２点のダメージを与える。</t>
  </si>
  <si>
    <t>知識と力</t>
  </si>
  <si>
    <t>あなたが占術を行うたび、あなたは(２)を支払ってもよい。そうしたなら、クリーチャー１体かプレインズウォーカー１体かプレイヤー１人を対象とする。知識と力はそれに２点のダメージを与える。</t>
  </si>
  <si>
    <t>火炎収斂</t>
  </si>
  <si>
    <t>あなたが多色の呪文を１つ唱えるたび、クリーチャー１体かプレイヤー１人を対象とする。火炎収斂はそれに２点のダメージを与える。</t>
  </si>
  <si>
    <t>血の儀式</t>
  </si>
  <si>
    <t>(１)(R),クリーチャーを１体、生け贄に捧げる：クリーチャー１体かプレイヤー１人かプレインズウォーカー１体を対象とする。血の儀式はそれに２点のダメージを与える。</t>
  </si>
  <si>
    <t>轟く余震</t>
  </si>
  <si>
    <t>あなたがキッカーされている呪文を唱えるたび、クリーチャー１体かプレイヤー１人を対象とする。あなたは「轟く余震はそれに、その呪文がキッカーされている回数に等しい点数のダメージを与える」ことを選んでもよい。</t>
  </si>
  <si>
    <t>大爆発</t>
  </si>
  <si>
    <t>(１)(R),大爆発を生け贄に捧げる：これはタップ状態の各クリーチャーと各プレイヤーにそれぞれ３点のダメージを与える。</t>
  </si>
  <si>
    <t>永遠憤怒のサイクロプス</t>
  </si>
  <si>
    <t>_5/3</t>
  </si>
  <si>
    <t>力こそ正義</t>
  </si>
  <si>
    <t>あなたのターンの戦闘の開始時に、あなたが戦場に出ているパワーの最も大きいクリーチャーをすべてコントロールしている場合、対戦相手がコントロールするクリーチャー１体を対象とし、ターン終了時までそれのコントロールを得る。そのクリーチャーをアンタップする。それはターン終了時まで速攻を得る。（このターン、それは攻撃したり(Ｔ)したりできる。）</t>
  </si>
  <si>
    <t>破壊放題</t>
  </si>
  <si>
    <t>複製(R)（あなたがこの呪文を唱えるとき、あなたがその複製コストを支払った回数１回につき、それをコピーする。あなたはそのコピーの新しい対象を選んでもよい。）</t>
  </si>
  <si>
    <t>モーギスの悪意</t>
  </si>
  <si>
    <t>クリーチャー１体を対象とする。モーギスの悪意はそれに、あなたの墓地にあるインスタント・カードとソーサリー・カードの総数に等しい点数のダメージを与える。占術１を行う。（あなたのライブラリーの一番上のカードを見る。あなたはそのカードをあなたのライブラリーの一番下に置いてもよい。）</t>
  </si>
  <si>
    <t>力ずく</t>
  </si>
  <si>
    <t>アーティファクトＸ個を対象とし、それらを破壊する。</t>
  </si>
  <si>
    <t>マグマの洞察力</t>
  </si>
  <si>
    <t>マグマの洞察力を唱えるための追加コストとして、土地カードを１枚捨てる。</t>
  </si>
  <si>
    <t>ゴブリンの手投げ弾</t>
  </si>
  <si>
    <t>この呪文を唱えるための追加コストとして、ゴブリン(Goblin)を１体生け贄に捧げる。</t>
  </si>
  <si>
    <t>クリーチャー１体かプレインズウォーカー１体かプレイヤー１人を対象とする。ゴブリンの手投げ弾はそれに５点のダメージを与える。</t>
  </si>
  <si>
    <t>猛火</t>
  </si>
  <si>
    <t>クリーチャー１体かプレイヤー１人かプレインズウォーカー１体を対象とする。猛火はそれにＸ点のダメージを与える。</t>
  </si>
  <si>
    <t>燃焼</t>
  </si>
  <si>
    <t>(Ｘ)(Ｘ)(R)</t>
  </si>
  <si>
    <t>望む数のクリーチャーとプレインズウォーカーとプレイヤーの組み合わせを対象とする。燃焼はそれらに、Ｘ点のダメージを望むように割り振って与える。</t>
  </si>
  <si>
    <t>フラッシュバック ― (R)(R),カードをＸ枚捨てる。（あなたはあなたの墓地にあるこのカードを、そのフラッシュバック・コストで唱えてもよい。その後それを追放する。）</t>
  </si>
  <si>
    <t>二股の稲妻</t>
  </si>
  <si>
    <t>１つまたは２つのクリーチャーとプレインズウォーカーとプレイヤーの組み合わせを対象とする。二股の稲妻は、それらに２点のダメージを望むように割り振って与える。</t>
  </si>
  <si>
    <t>眩しい炎</t>
  </si>
  <si>
    <t>奮励 ― この呪文を唱えるためのコストは、２つ目以降の対象１つにつき(R)多くなる。</t>
  </si>
  <si>
    <t>望む数のクリーチャーを対象とする。このターン、それらではブロックできない。</t>
  </si>
  <si>
    <t>独創の火花</t>
  </si>
  <si>
    <t>クリーチャー１体を対象とする。あなたのライブラリーの一番上のカードを追放する。あなたは「独創の火花はそのクリーチャーに、その追放したカードの点数で見たマナ・コストに等しい点数のダメージを与える。」を選んでもよい。そうしないなら、ターン終了時まで、あなたはそのカードをプレイしてもよい。</t>
  </si>
  <si>
    <t>火の玉</t>
  </si>
  <si>
    <t>この呪文を唱えるためのコストは、２つ目以降の対象１つにつき(１)多くなる。</t>
  </si>
  <si>
    <t>好きな数のプレイヤーやプレインズウォーカーやクリーチャーの組み合わせを対象とする。火の玉はそれらに、Ｘを端数を切り捨てて均等に割った点数に等しい点数のダメージを与える。</t>
  </si>
  <si>
    <t>爆破</t>
  </si>
  <si>
    <t>点数で見たマナ・コストがＸと等しいアーティファクト１つを対象とし、それを破壊する。それは再生できない。爆破はそのアーティファクトのコントローラーに、Ｘ点のダメージを与える。</t>
  </si>
  <si>
    <t>汚損破</t>
  </si>
  <si>
    <t>あなたがコントロールしていないアーティファクト１つを対象とし、それを破壊する。</t>
  </si>
  <si>
    <t>超過(４)(R)（あなたはこの呪文をその超過コストで唱えてもよい。そうしたなら、あなたがコントロールしていない各アーティファクトをそれぞれ破壊する。）</t>
  </si>
  <si>
    <t>ゴブリンの知識</t>
  </si>
  <si>
    <t>カードを４枚引き、その後カードを３枚無作為に選んで捨てる。</t>
  </si>
  <si>
    <t>焼夷流</t>
  </si>
  <si>
    <t>クリーチャー１体かプレインズウォーカー１体かプレイヤー１人を対象とする。焼夷流はそれに３点のダメージを与える。このターン、これによりダメージを与えられたクリーチャーが死亡するなら、代わりにそれを追放する。</t>
  </si>
  <si>
    <t>電弧の痕跡</t>
  </si>
  <si>
    <t>クリーチャー１体かプレインズウォーカー１体かプレイヤー１人を対象とし、他のクリーチャー１体かプレインズウォーカー１体かプレイヤー１人を対象とする。電弧の痕跡は前者に２点のダメージを与え、後者に１点のダメージを与える。</t>
  </si>
  <si>
    <t>とどろく雷鳴</t>
  </si>
  <si>
    <t>望む数のクリーチャーやプレイヤーを対象とする。とどろく雷鳴はそれらにＸ点のダメージをあなたの望むように分割して与える。</t>
  </si>
  <si>
    <t>怒りのもや</t>
  </si>
  <si>
    <t>バイバック(２)（あなたがこの呪文を唱えるに際し、あなたは追加の(２)を支払ってもよい。そうした場合、その解決に際し、このカードをあなたの手札に加える。）</t>
  </si>
  <si>
    <t>紅蓮地獄</t>
  </si>
  <si>
    <t>紅蓮地獄は、各クリーチャーにそれぞれ２点のダメージを与える。</t>
  </si>
  <si>
    <t>鞭打ち炎</t>
  </si>
  <si>
    <t>鞭打ち炎は、アーティファクトでない各クリーチャーに２点のダメージを与える。</t>
  </si>
  <si>
    <t>マナの地鳴り</t>
  </si>
  <si>
    <t>望む数の土地を生け贄に捧げる。その後、あなたのマナ・プールにその数に等しい(◇)を加える。</t>
  </si>
  <si>
    <t>焙り焼き</t>
  </si>
  <si>
    <t>飛行を持たないクリーチャー１体を対象とする。焙り焼きはそれに５点のダメージを与える。</t>
  </si>
  <si>
    <t>乱暴</t>
  </si>
  <si>
    <t>乱暴は、飛行を持たない各クリーチャーに２点のダメージを与える。</t>
  </si>
  <si>
    <t>転落</t>
  </si>
  <si>
    <t>転落は、飛行を持つ各クリーチャーに６点のダメージを与える。</t>
  </si>
  <si>
    <t>昇華者の突撃</t>
  </si>
  <si>
    <t>昇華者の突撃を唱えるための追加コストとして、追放領域から対戦相手がオーナーであるカードを１枚そのプレイヤーの墓地に置く。</t>
  </si>
  <si>
    <t>クリーチャー１体を対象とする。昇華者の突撃はそれに５点のダメージを与える。</t>
  </si>
  <si>
    <t>金属の熟達</t>
  </si>
  <si>
    <t>アーティファクト１つを対象とし、ターン終了時までそれのコントロールを得る。そのアーティファクトをアンタップする。それはターン終了時まで速攻を得る。</t>
  </si>
  <si>
    <t>峰の噴火</t>
  </si>
  <si>
    <t>山(Mountain)１つを対象とし、それを破壊する。峰の噴火はその土地のコントローラーに３点のダメージを与える。</t>
  </si>
  <si>
    <t>正気の欠片</t>
  </si>
  <si>
    <t>あなたの墓地から、インスタント・カード最大１枚とソーサリー・カード最大１枚を対象とし、それらをあなたの手札に戻す。その後、カード１枚を捨てる。正気の欠片を追放する。</t>
  </si>
  <si>
    <t>轟く激震</t>
  </si>
  <si>
    <t>轟く激震は飛行を持たない各クリーチャーにそれぞれ２点のダメージを与える。</t>
  </si>
  <si>
    <t>フラッシュバック(４)(R)(R)（あなたはあなたの墓地にあるこのカードを、そのフラッシュバック・コストで唱えてもよい。その後それを追放する。）</t>
  </si>
  <si>
    <t>衝動的な行動</t>
  </si>
  <si>
    <t>あなたのライブラリーの一番上から３枚のカードを追放する。ターン終了時まで、あなたはこれにより追放されたカードをプレイしてもよい。（あなたがこれにより呪文を唱えるなら、その呪文とコストは支払う必要がある。これにより土地をプレイするには、あなたは土地プレイを残している必要がある。）</t>
  </si>
  <si>
    <t>火による戦い</t>
  </si>
  <si>
    <t>キッカー(５)(R)（あなたはこの呪文を唱えるに際し、追加で(５)(R)を支払ってもよい。）</t>
  </si>
  <si>
    <t>クリーチャー１体を対象とする。火による戦いはそれに５点のダメージを与える。この呪文がキッカーされていたなら、代わりに、望む数のクリーチャーやプレインズウォーカーやプレイヤーを対象とする。火による戦いはそれらに１０点のダメージをあなたの望むように分割して与える。</t>
  </si>
  <si>
    <t>溶鉄の誕生</t>
  </si>
  <si>
    <t>赤の1/1のエレメンタル(Elemental)・クリーチャー・トークンを２体生成する。その後コイン投げをする。あなたがコイン投げに勝った場合、溶鉄の誕生をオーナーの手札に戻す。</t>
  </si>
  <si>
    <t>不本意な徴募</t>
  </si>
  <si>
    <t>(Ｘ)(R)(R)(R)</t>
  </si>
  <si>
    <t>クリーチャー１体を対象とする。ターン終了時までそれのコントロールを得る。そのクリーチャーをアンタップする。それはターン終了時まで+X/+0の修整を受けるとともに速攻を得る。</t>
  </si>
  <si>
    <t>炬火の炎</t>
  </si>
  <si>
    <t>クリーチャーやプレインズウォーカーやプレイヤーを１つまたは望む組み合わせで２つか３つ選び、それらを対象とする。炬火の炎はそれらに３点のダメージを好きなように分割して与える。</t>
  </si>
  <si>
    <t>弧状の稲妻</t>
  </si>
  <si>
    <t>１つか２つか３つのクリーチャーとプレインズウォーカーとプレイヤーの組み合わせを対象とする。弧状の稲妻は、それらに３点のダメージを望むように割り振って与える。</t>
  </si>
  <si>
    <t>大地の断裂</t>
  </si>
  <si>
    <t>大地の断裂は、飛行を持たない各クリーチャーにそれぞれ２点のダメージを与える。</t>
  </si>
  <si>
    <t>砕かれた知覚</t>
  </si>
  <si>
    <t>あなたの手札にあるカードをすべて捨て、その後、その枚数に等しい枚数のカードを引く。</t>
  </si>
  <si>
    <t>氷結地獄</t>
  </si>
  <si>
    <t>平地(Plains)１つか島(Island)１つを対象とし、それを破壊する。氷結地獄はその土地のコントローラーに３点のダメージを与える。</t>
  </si>
  <si>
    <t>食い荒らす炎</t>
  </si>
  <si>
    <t>クリーチャー１体かプレインズウォーカー１人を対象とする。食い荒らす炎はそれに５点のダメージを与える。</t>
  </si>
  <si>
    <t>解体作業</t>
  </si>
  <si>
    <t>アーティファクト１つを対象とし、それを破壊する。そのアーティファクトの上にカウンターが置かれている場合、あなたがコントロールするアーティファクト１つの上に、同数の+1/+1カウンターか蓄積(charge)カウンターを置く。</t>
  </si>
  <si>
    <t>板岩の踏み付け</t>
  </si>
  <si>
    <t>クリーチャー１体かプレイヤー１人を対象とする。あなたのライブラリーのカードを上から７枚公開し、その後それらのカードをあなたのライブラリーの一番下に望む順番で置く。これにより《板岩の踏み付け/Stomping Slabs》という名前のカードが公開された場合、板岩の踏み付けはそれに７点のダメージを与える。</t>
  </si>
  <si>
    <t>軍族童の突発</t>
  </si>
  <si>
    <t>脅しつけ</t>
  </si>
  <si>
    <t>クリーチャー１体を対象とする。それをアンタップし、ターン終了時までそれのコントロールを得る。そのクリーチャーは、ターン終了時まで速攻を持つ。（それはこのターン、攻撃したり(Ｔ)したりできる。）</t>
  </si>
  <si>
    <t>殺戮の焚きつけ</t>
  </si>
  <si>
    <t>カードを１枚無作為に捨てる。そうした場合、殺戮の焚きつけはそのカードの点数で見たマナ・コストに等しい点数のダメージを各クリーチャーに与える。あなたはこの手順を好きな回数だけ繰り返してもよい。</t>
  </si>
  <si>
    <t>反逆の印</t>
  </si>
  <si>
    <t>クリーチャー１体を対象とし、ターン終了時までそれのコントロールを得る。それの上に+1/+1カウンターを１個置くとともに、それをアンタップする。そのクリーチャーはターン終了時まで速攻を得る。（それはこのターン、攻撃したり(Ｔ)したりできる。）</t>
  </si>
  <si>
    <t>粉砕の嵐</t>
  </si>
  <si>
    <t>すべてのアーティファクトを破壊する。それらは再生できない。</t>
  </si>
  <si>
    <t>ライバル同士の一騎打ち</t>
  </si>
  <si>
    <t>共通のクリーチャー・タイプを持たないクリーチャー２体を対象とする。それらのクリーチャーは格闘を行う。（それぞれはもう一方に自身のパワーに等しい点数のダメージを与える。）</t>
  </si>
  <si>
    <t>結束の限界</t>
  </si>
  <si>
    <t>クリーチャー１体を対象とし、ターン終了時まで、それのコントロールを得る。そのクリーチャーをアンタップする。ターン終了時まで、それは速攻を得る。</t>
  </si>
  <si>
    <t>塩まき</t>
  </si>
  <si>
    <t>基本でない土地１つを対象とし、それを追放する。それのコントローラーの墓地と手札とライブラリーから、その土地と同じ名前を持つカードをすべて探し、それらを追放する。その後、そのプレイヤーは自分のライブラリーを切り直す。</t>
  </si>
  <si>
    <t>塵への崩壊</t>
  </si>
  <si>
    <t>基本でない土地１つを対象とし、それを追放する。それのコントローラーの墓地と手札とライブラリーから、その土地と同じ名前を持つカードを望む枚数探し、それらを追放する。その後、そのプレイヤーは自分のライブラリーを切り直す。</t>
  </si>
  <si>
    <t>沸き立つ海</t>
  </si>
  <si>
    <t>内面からの切断</t>
  </si>
  <si>
    <t>海賊の略奪</t>
  </si>
  <si>
    <t>海賊の略奪を唱えるための追加コストとして、カード１枚を捨てる。</t>
  </si>
  <si>
    <t>カードを２枚引き、「(Ｔ),このアーティファクトを生け贄に捧げる：あなたのマナ・プールに好きな色１色のマナ１点を加える。」を持つ無色の宝物(Treasure)アーティファクト・トークンを２つ生成する。</t>
  </si>
  <si>
    <t>現実離れした回顧</t>
  </si>
  <si>
    <t>あなたの墓地にあるインスタント・カード１枚を無作為に選び、それをあなたの手札に戻す。</t>
  </si>
  <si>
    <t>邪悪な囁き</t>
  </si>
  <si>
    <t>クリーチャー１体を対象とする。ターン終了時まで、それのコントロールを得る。そのクリーチャーをアンタップする。ターン終了時まで、それは+2/+0の修整を受けるとともに速攻を得る。</t>
  </si>
  <si>
    <t>マッドネス(３)(R)（あなたがこのカードを捨てるなら、これを追放領域に捨てる。あなたがそうしたとき、マッドネス・コストでこれを唱えるか、これをあなたの墓地に置く。）</t>
  </si>
  <si>
    <t>地盤の裂け目</t>
  </si>
  <si>
    <t>土地１つを対象とし、それを破壊する。このターン、飛行を持たないクリーチャーではブロックできない。</t>
  </si>
  <si>
    <t>エンジン始動</t>
  </si>
  <si>
    <t>ターン終了時まで、あなたがコントロールする機体(Vehicle)はアーティファクト・クリーチャーになる。ターン終了時まで、あなたがコントロールするクリーチャーは+2/+0の修整を受ける。</t>
  </si>
  <si>
    <t>大振り</t>
  </si>
  <si>
    <t>エンチャントでないパーマネント３つを対象とする。それらのうち無作為に選んだ１つを破壊する。</t>
  </si>
  <si>
    <t>野火</t>
  </si>
  <si>
    <t>すべての平地(Plains)を破壊する。</t>
  </si>
  <si>
    <t>死相</t>
  </si>
  <si>
    <t>対戦相手１人がコントロールするクリーチャー１体を対象とする。このターン、それは可能ならブロックする。そのクリーチャーをアンタップする。このターン、そのプレイヤーがコントロールする他のクリーチャーではブロックできない。</t>
  </si>
  <si>
    <t>大地のうねり</t>
  </si>
  <si>
    <t>(R)(R)(R)(R)</t>
  </si>
  <si>
    <t>(R)(R)(R)(R)(R)(R)(R)を加える。このマナは、アーティファクト呪文かクリーチャー呪文を唱えるためにのみ使用できる。</t>
  </si>
  <si>
    <t>猛然たる報復</t>
  </si>
  <si>
    <t>クリーチャーやプレインズウォーカーやプレイヤーの組み合わせ２つを対象とする。猛然たる報復はそれらに、それぞれ２点のダメージを与える。</t>
  </si>
  <si>
    <t>ゴブリンの連射</t>
  </si>
  <si>
    <t>キッカー ― アーティファクト１つかゴブリン(Goblin)１体を生け贄に捧げる。（あなたはこの呪文を唱えるに際し、他のコストに加えてアーティファクト１つかゴブリン１体を生け贄に捧げてもよい。）</t>
  </si>
  <si>
    <t>クリーチャー１体を対象とする。ゴブリンの連射はそれに４点のダメージを与える。この呪文がキッカーされていたなら、プレイヤー１人かプレインズウォーカー１体を対象とする。これはそれに４点のダメージを与える。</t>
  </si>
  <si>
    <t>シヴ山の隕石</t>
  </si>
  <si>
    <t>クリーチャー１体を対象とする。シヴ山の隕石はそれに１３点のダメージを与える。</t>
  </si>
  <si>
    <t>待機２ ― (１)(R)(R)（このカードをあなたの手札から唱えるのではなく、(１)(R)(R)を支払うとともにそれを時間(time)カウンターが２個置かれた状態で追放する。あなたのアップキープの開始時に、時間カウンターを１個取り除く。最後の１個を取り除いたとき、それをそのマナ・コストを支払うことなく唱える。）</t>
  </si>
  <si>
    <t>ゴブリンの結集</t>
  </si>
  <si>
    <t>赤の1/1のゴブリン(Goblin)・クリーチャー・トークンを４体生成する。</t>
  </si>
  <si>
    <t>発火</t>
  </si>
  <si>
    <t>望む数のクリーチャーとプレイヤーの組み合わせを対象とする。発火はそれらに、４点のダメージをあなたが望むように割り振って与える。</t>
  </si>
  <si>
    <t>火炎放射</t>
  </si>
  <si>
    <t>クリーチャー１体かプレインズウォーカー１体かプレイヤー１人を対象とする。火炎放射はそれに１点のダメージを与える。別のクリーチャー１体かプレインズウォーカー１体かプレイヤー１人を対象とする。火炎放射はそれに２点のダメージを与える。さらに別のクリーチャー１体かプレインズウォーカー１体かプレイヤー１人を対象とする。火炎放射はそれに３点のダメージを与える。</t>
  </si>
  <si>
    <t>記憶の点火</t>
  </si>
  <si>
    <t>プレイヤー１人を対象とする。そのプレイヤーは自分の手札からカードを１枚無作為に公開する。記憶の点火はそのプレイヤーに、そのカードの点数で見たマナ・コストに等しい点数のダメージを与える。</t>
  </si>
  <si>
    <t>奔放なる遊戯</t>
  </si>
  <si>
    <t>すべてのクリーチャーは、ターン終了時まで+2/-2の修整を受ける。</t>
  </si>
  <si>
    <t>大鉈暴動</t>
  </si>
  <si>
    <t>あなたがコントロールするクリーチャーは、ターン終了時まで二段攻撃を得る。（それは先制攻撃の戦闘ダメージと通常の戦闘ダメージの両方を与える。）</t>
  </si>
  <si>
    <t>抑圧的支配</t>
  </si>
  <si>
    <t>クリーチャー１体を対象とし、ターン終了時までそれのコントロールを得る。そのクリーチャーをアンタップする。ターン終了時まで、それは速攻を得る。</t>
  </si>
  <si>
    <t>弧状の刃</t>
  </si>
  <si>
    <t>クリーチャー１体かプレインズウォーカー１体かプレイヤー１人を対象とする。弧状の刃はそれに２点のダメージを与える。弧状の刃を、その上に時間(time)カウンターが３個置かれた状態で追放する。</t>
  </si>
  <si>
    <t>待機３ ― (２)(R)（このカードをあなたの手札から唱えるのではなく、(２)(R)を支払うとともにそれを時間カウンターが３個置かれた状態で追放してもよい。あなたのアップキープの開始時に、時間カウンターを１個取り除く。最後の１個を取り除いたとき、それをそのマナ・コストを支払うことなく唱える。）</t>
  </si>
  <si>
    <t>爆発的天啓</t>
  </si>
  <si>
    <t>クリーチャー１体かプレインズウォーカー１体かプレイヤー１人を対象とする。あなたのライブラリーの一番上のカードを、土地でないカードが公開されるまで公開する。爆発的天啓は、そのパーマネントかプレイヤーに、そのカードの点数で見たマナ・コストに等しい点数のダメージを与える。その土地でないカードをあなたの手札に加え、残りをあなたのライブラリーの一番下に望む順番で置く。</t>
  </si>
  <si>
    <t>火山の目覚め</t>
  </si>
  <si>
    <t>地獄の口の中</t>
  </si>
  <si>
    <t>土地１つを対象とし、クリーチャー１体を対象とする。その土地を破壊する。地獄の口の中はそのクリーチャーに１３点のダメージを与える。</t>
  </si>
  <si>
    <t>残忍な稲妻</t>
  </si>
  <si>
    <t>(３)(R)(R)(R)</t>
  </si>
  <si>
    <t>速攻を持つ赤の3/1のエレメンタル(Elemental)・クリーチャー・トークンを３体生成する。次の終了ステップの開始時に、それらを追放する。</t>
  </si>
  <si>
    <t>業火の噴流</t>
  </si>
  <si>
    <t>対戦相手１人かプレインズウォーカー１体を対象とする。業火の噴流はそれに６点のダメージを与える。</t>
  </si>
  <si>
    <t>石の顎</t>
  </si>
  <si>
    <t>望む数のクリーチャーとプレインズウォーカーとプレイヤーの組み合わせを対象とする。石の顎は、それらにＸ点のダメージを望むように割り振って与える。Ｘは、あなたが石の顎を唱える際にあなたがコントロールしていた山(Mountain)の総数である。</t>
  </si>
  <si>
    <t>憤怒の頂点</t>
  </si>
  <si>
    <t>クリーチャーやプレイヤーを２つ対象とする。憤怒の頂点はそれらにそれぞれ３点のダメージを与える。</t>
  </si>
  <si>
    <t>血の抗争</t>
  </si>
  <si>
    <t>クリーチャー１体を対象とし、他のクリーチャー１体を対象とする。その前者はその後者と格闘を行う。（それぞれはもう一方に自身のパワーに等しい点数のダメージを与える。）</t>
  </si>
  <si>
    <t>炎の波</t>
  </si>
  <si>
    <t>(３)(R)(R)(R)(R)</t>
  </si>
  <si>
    <t>プレイヤー１人かプレインズウォーカー１体を対象とする。炎の波は、それとそのプレイヤーかそのプレインズウォーカーのコントローラーがコントロールする各クリーチャーにそれぞれ４点のダメージを与える。</t>
  </si>
  <si>
    <t>集団恐慌</t>
  </si>
  <si>
    <t>すべてのクリーチャーは速攻を持つ。</t>
  </si>
  <si>
    <t>溶鉄の渦</t>
  </si>
  <si>
    <t>(R),土地カードを１枚捨てる：クリーチャー１体かプレイヤー１人を対象とする。溶鉄の渦はそれに２点のダメージを与える。</t>
  </si>
  <si>
    <t>高山の月</t>
  </si>
  <si>
    <t>高山の月が戦場に出るに際し、基本でない土地カードのカード名１つを選ぶ。</t>
  </si>
  <si>
    <t>対戦相手がコントロールしていてその選ばれた名前を持つ土地はすべての土地タイプと能力を失い、「(Ｔ)：好きな色１色のマナ１点を加える。」を得る。</t>
  </si>
  <si>
    <t>アシュリングの特権</t>
  </si>
  <si>
    <t>アシュリングの特権が戦場に出るに際し、奇数か偶数かを選ぶ。（０は偶数。）</t>
  </si>
  <si>
    <t>選ばれた点数の点数で見たマナ・コストを持つ各クリーチャーは速攻を持つ。</t>
  </si>
  <si>
    <t>選ばれた点数の点数で見たマナ・コストを持たない各クリーチャーはタップ状態で戦場に出る。</t>
  </si>
  <si>
    <t>焦熱の砲撃</t>
  </si>
  <si>
    <t>彩色 ― (２),クリーチャーを１体生け贄に捧げる：クリーチャー１体かプレインズウォーカー１体かプレイヤー１人を対象とする。焦熱の砲撃はそれに、生け贄に捧げられたクリーチャーのマナ・コストに含まれる赤マナ・シンボルの数に等しい点数のダメージを与える。</t>
  </si>
  <si>
    <t>二重詠唱</t>
  </si>
  <si>
    <t>エンチャントされているクリーチャーは「(R),(Ｔ)：あなたがコントロールするインスタント呪文１つかソーサリー呪文１つを対象とし、それをコピーする。あなたはそのコピーの新たな対象を選んでもよい。」を持つ。</t>
  </si>
  <si>
    <t>炎の編み込み</t>
  </si>
  <si>
    <t>累加アップキープ ― (R)を加える。（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</si>
  <si>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大歓楽の幻霊</t>
  </si>
  <si>
    <t>プレイヤーが点数で見たマナ・コストが３点以下の呪文を１つ唱えるたび、大歓楽の幻霊はそのプレイヤーに２点のダメージを与える。</t>
  </si>
  <si>
    <t>龍の大嵐</t>
  </si>
  <si>
    <t>飛行を持つクリーチャーが１体あなたのコントロール下で戦場に出るたび、ターン終了時まで、それは速攻を得る。</t>
  </si>
  <si>
    <t>ドラゴン(Dragon)が１体あなたのコントロール下で戦場に出るたび、クリーチャー１体かプレインズウォーカー１体かプレイヤー１人を対象とする。そのドラゴンはそれにＸ点のダメージを与える。Ｘは、あなたがコントロールするドラゴンの数である。</t>
  </si>
  <si>
    <t>サテュロスの火踊り</t>
  </si>
  <si>
    <t>あなたがコントロールするインスタント呪文１つかソーサリー呪文１つが対戦相手１人にダメージを与えるたび、そのプレイヤーがコントロールするクリーチャー１体を対象とする。サテュロスの火踊りはそれに、その点数に等しい点数のダメージを与える。</t>
  </si>
  <si>
    <t>うろつく餌食の呪い</t>
  </si>
  <si>
    <t>クリーチャーがエンチャントされているプレイヤーに戦闘ダメージを与えるたび、そのクリーチャーの上に+1/+1カウンターを１個置く。</t>
  </si>
  <si>
    <t>チャンドラの誓い</t>
  </si>
  <si>
    <t>チャンドラの誓いが戦場に出たとき、対戦相手がコントロールするクリーチャー１体を対象とする。チャンドラの誓いはそれに３点のダメージを与える。</t>
  </si>
  <si>
    <t>各終了ステップの開始時に、そのターンにプレインズウォーカーがあなたのコントロール下で戦場に出ていた場合、チャンドラの誓いは各対戦相手にそれぞれ２点のダメージを与える。</t>
  </si>
  <si>
    <t>紅蓮術士の昇天</t>
  </si>
  <si>
    <t>あなたがあなたの墓地にあるカードと同じ名前を持つインスタント呪文かソーサリー呪文を１つ唱えるたび、あなたは紅蓮術士の昇天の上に探索(quest)カウンターを１個置いてもよい。</t>
  </si>
  <si>
    <t>紅蓮術士の昇天の上に探索カウンターが２個以上置かれている状態であなたがインスタント呪文かソーサリー呪文を唱えるたび、あなたはその呪文をコピーしてもよい。あなたはそのコピーの新たな対象を選んでもよい。</t>
  </si>
  <si>
    <t>最初の噴火</t>
  </si>
  <si>
    <t>I ― 最初の噴火は、飛行を持たない各クリーチャーにそれぞれ１点のダメージを与える。</t>
  </si>
  <si>
    <t>II ― (R)(R)を加える。</t>
  </si>
  <si>
    <t>III ― 山(Mountain)１つを生け贄に捧げる。そうしたなら、最初の噴火は各クリーチャーにそれぞれ３点のダメージを与える。</t>
  </si>
  <si>
    <t>電離の嵐</t>
  </si>
  <si>
    <t>(１)(R),あなたがコントロールするパーマネント１つから+1/+1カウンター１個か蓄積(charge)カウンター１個を取り除く：クリーチャー１体かプレインズウォーカー１体かプレイヤー１人を対象とする。電離の嵐は、それに２点のダメージを与える。</t>
  </si>
  <si>
    <t>電撃力</t>
  </si>
  <si>
    <t>クリーチャー１体があなたのコントロール下で戦場に出るたび、クリーチャー１体かプレインズウォーカー１体かプレイヤー１人を対象とする。あなたは(２)(R)を支払ってもよい。そうしたなら、その戦場に出たクリーチャーは、そのクリーチャーかプレイヤーに、自身のパワーに等しい点数のダメージを与える。</t>
  </si>
  <si>
    <t>パーフォロスの槌</t>
  </si>
  <si>
    <t>(２)(R),(Ｔ),土地を１つ生け贄に捧げる：無色の3/3のゴーレム(Golem)・アーティファクト・クリーチャー・エンチャント・トークンを１体生成する。</t>
  </si>
  <si>
    <t>差し迫る破滅</t>
  </si>
  <si>
    <t>差し迫る破滅は破滅(doom)カウンターが１個置かれた状態で戦場に出る。</t>
  </si>
  <si>
    <t>あなたが、点数で見たマナ・コストが差し迫る破滅の上に置かれている破滅カウンターの個数に等しい呪文を１つ唱えるたび、クリーチャー１体かプレインズウォーカー１体かプレイヤー１人を対象とする。差し迫る破滅はそれに、その呪文の点数で見たマナ・コストに等しい点数のダメージを与える。その後、差し迫る破滅の上に破滅カウンターを１個置く。</t>
  </si>
  <si>
    <t>紅蓮術士の刈り痕</t>
  </si>
  <si>
    <t>あなたがコントロールするインスタントかソーサリーの発生源がいずれかのクリーチャーかプレイヤーにダメージを与える場合、それは代わりにそのクリーチャーかプレイヤーにその点数に２をたした点数のダメージを与える。</t>
  </si>
  <si>
    <t>各終了ステップの開始時に、あなたは手札を捨てる。</t>
  </si>
  <si>
    <t>棍棒での殴り合い</t>
  </si>
  <si>
    <t>クリーチャーでも装備品(Equipment)でもないアーティファクトは、装備(Ｘ)と「装備しているクリーチャーは+X/+0の修整を受ける。Ｘはそのアーティファクトの点数で見たマナ・コストである。」を持つ装備品である。</t>
  </si>
  <si>
    <t>ハゾレトの指名</t>
  </si>
  <si>
    <t>あなたのターンの戦闘の開始時に、あなたがコントロールするクリーチャー１体を対象とする。あなたは「ターン終了時まで、それは+2/+0の修整を受けるとともに速攻を得る。」を選んでもよい。そうしたなら、次の終了ステップの開始時にそれを生け贄に捧げる。</t>
  </si>
  <si>
    <t>血染めの月</t>
  </si>
  <si>
    <t>山背骨の発動</t>
  </si>
  <si>
    <t>(Ｘ),点数で見たマナ・コストがＸであるカードを１枚捨てる：クリーチャー１体かプレインズウォーカー１体かプレイヤー１人を対象とする。山背骨の発動はそれにＸ点のダメージを与える。</t>
  </si>
  <si>
    <t>ピアの革命</t>
  </si>
  <si>
    <t>トークンでないアーティファクトが１つ戦場からあなたの墓地に置かれるたび、対戦相手１人を対象とする。そのプレイヤーが「ピアの革命はそのプレイヤーに３点のダメージを与える」を選ばないかぎり、そのカードをあなたの手札に戻す。</t>
  </si>
  <si>
    <t>血染めの太陽</t>
  </si>
  <si>
    <t>血染めの太陽が戦場に出たとき、カードを１枚引く。</t>
  </si>
  <si>
    <t>土地はすべて、マナ能力でない能力をすべて失う。</t>
  </si>
  <si>
    <t>突撃の地鳴り</t>
  </si>
  <si>
    <t>(R)(R)(R)</t>
  </si>
  <si>
    <t>土地カードを１枚捨てる：クリーチャー１体かプレイヤー１人を対象とする。突撃の地鳴りはそれに２点のダメージを与える。</t>
  </si>
  <si>
    <t>嵐の活用</t>
  </si>
  <si>
    <t>あなたがあなたの手札からインスタント呪文１つかソーサリー呪文１つを唱えるたび、あなたの墓地からその呪文と同じ名前を持つカード１枚を対象とする。あなたはそれを唱えてもよい。（そのコストは支払う必要がある。）</t>
  </si>
  <si>
    <t>熱情</t>
  </si>
  <si>
    <t>あなたがコントロールするクリーチャーは速攻を持つ。（それらは、あなたのコントロール下になってすぐに攻撃したり(Ｔ)したりできる。）</t>
  </si>
  <si>
    <t>分かち合う憎しみ</t>
  </si>
  <si>
    <t>あなたがコントロールするクリーチャー１体が攻撃するたび、それはターン終了時まで、それと共通のクリーチャー・タイプを持つ他の攻撃しているクリーチャー１体につき+1/+0の修整を受ける。</t>
  </si>
  <si>
    <t>五連火災</t>
  </si>
  <si>
    <t>あなたがコントロールするクリーチャーが１体戦闘ダメージを与えるたび、五連火災の上に猛火(blaze)カウンターを１個置く。</t>
  </si>
  <si>
    <t>五連火災の上から猛火カウンターを５個取り除く：クリーチャー１体かプレインズウォーカー１体かプレイヤー１人を対象とする。五連火災はそれに５点のダメージを与える。</t>
  </si>
  <si>
    <t>強引な採掘</t>
  </si>
  <si>
    <t>あなたは土地をプレイできない。</t>
  </si>
  <si>
    <t>土地を１つ生け贄に捧げる：カードを２枚引く。この能力は、毎ターン１回のみ起動できる。</t>
  </si>
  <si>
    <t>ラースの灼熱洞</t>
  </si>
  <si>
    <t>(１)(R)(R)(R)</t>
  </si>
  <si>
    <t>いずれかの発生源がパーマネントかプレイヤーにダメージを与えるなら、代わりにそれはそのパーマネントかプレイヤーにその２倍のダメージを与える。</t>
  </si>
  <si>
    <t>魔力のとげ</t>
  </si>
  <si>
    <t>プレイヤーがマナを引き出す目的で土地をタップするたび、魔力のとげはそのプレイヤーに１点のダメージを与える。</t>
  </si>
  <si>
    <t>炎影の妖術</t>
  </si>
  <si>
    <t>トークンでないクリーチャーが１体あなたのコントロール下で戦場に出るたび、あなたは(R)を支払ってもよい。そうしたなら、あなたはそのクリーチャーのコピーであるトークンを１体生成する。そのトークンは速攻を得る。次の終了ステップの開始時に、それを追放する。</t>
  </si>
  <si>
    <t>古きものの目覚め</t>
  </si>
  <si>
    <t>エンチャントされている山は速攻を持つ赤の7/7の巨人(Giant)クリーチャーである。それは土地でもある。</t>
  </si>
  <si>
    <t>現実の激突</t>
  </si>
  <si>
    <t>すべてのスピリット(Spirit)は「このクリーチャーが戦場に出たとき、スピリットでないクリーチャー１体を対象とする。あなたは『このクリーチャーはそれに３点のダメージを与える。』ことを選んでもよい。」を持つ。</t>
  </si>
  <si>
    <t>スピリットでないクリーチャーは「このクリーチャーが戦場に出たとき、スピリット・クリーチャー１体を対象とする。あなたは『このクリーチャーはそれに３点のダメージを与える。』ことを選んでもよい。」を持つ。</t>
  </si>
  <si>
    <t>火のるつぼ</t>
  </si>
  <si>
    <t>あなたがコントロールするドラゴン(Dragon)・クリーチャーは+3/+3の修整を受ける。</t>
  </si>
  <si>
    <t>燃え立つ大地</t>
  </si>
  <si>
    <t>プレイヤー１人がマナを引き出す目的で基本でない土地を１つタップするたび、燃え立つ大地はそのプレイヤーに１点のダメージを与える。</t>
  </si>
  <si>
    <t>戦争の代価</t>
  </si>
  <si>
    <t>対戦相手１人がマナを引き出す目的で土地をタップするたび、そのプレイヤーがコントロールするすべての土地をタップする。</t>
  </si>
  <si>
    <t>対戦相手１人がコントロールするクリーチャー１体が攻撃する場合、そのプレイヤーがコントロールするすべてのクリーチャーは可能ならば攻撃する。</t>
  </si>
  <si>
    <t>処罰の力線</t>
  </si>
  <si>
    <t>処罰の力線があなたのゲーム開始時の手札にある場合、あなたはそれが戦場に出ている状態でゲームを開始してもよい。</t>
  </si>
  <si>
    <t>ダメージは軽減できない。</t>
  </si>
  <si>
    <t>精霊術の熟達</t>
  </si>
  <si>
    <t>エンチャントされているクリーチャーは「(Ｔ)：速攻を持つ赤の1/1のエレメンタル(Elemental)・クリーチャー・トークンをＸ体生成する。Ｘはこのクリーチャーのパワーである。次の終了ステップの開始時にそれらを追放する。」を持つ。</t>
  </si>
  <si>
    <t>サルカンの封印破り</t>
  </si>
  <si>
    <t>あなたが、パワーが４か５か６であるクリーチャー呪文を唱えるたび、クリーチャー１体かプレインズウォーカー１体かプレイヤー１人を対象とする。サルカンの封印破りはそれに４点のダメージを与える。</t>
  </si>
  <si>
    <t>あなたが、パワーが７以上であるクリーチャー呪文を唱えるたび、サルカンの封印破りは各対戦相手と対戦相手がコントロールしている各クリーチャーと各プレインズウォーカーにそれぞれ４点のダメージを与える。</t>
  </si>
  <si>
    <t>稲妻の力線</t>
  </si>
  <si>
    <t xml:space="preserve">稲妻の力線があなたのゲーム開始時の手札にあるなら、あなたはそれが戦場に出ている状態でゲームを始めてもよい。 </t>
  </si>
  <si>
    <t>あなたが呪文を唱えるたび、プレイヤー１人かプレインズウォーカー１体を対象とする。あなたは(１)を支払ってもよい。そうしたなら、稲妻の力線はそれに１点のダメージを与える。</t>
  </si>
  <si>
    <t>欠片の双子</t>
  </si>
  <si>
    <t>エンチャントされているクリーチャーは「(Ｔ)：このクリーチャーのコピーであるトークンを１体生成する。そのトークンは速攻を持つ。次の終了ステップの開始時に、それを追放する。」を持つ。</t>
  </si>
  <si>
    <t>ヴァンスの爆破砲</t>
  </si>
  <si>
    <t>あなたのアップキープの開始時に、あなたのライブラリーの一番上のカードを追放する。それが土地でないカードであったなら、このターン、あなたはそのカードを唱えてもよい。</t>
  </si>
  <si>
    <t>あなたがいずれかのターン内で３つ目のあなたの呪文を唱えるたび、あなたはヴァンスの爆破砲を変身させてもよい。</t>
  </si>
  <si>
    <t>火を吐く稜堡</t>
  </si>
  <si>
    <t>（《ヴァンスの爆破砲/Vance's Blasting Cannons》から変身する。）</t>
  </si>
  <si>
    <t>(Ｔ)：あなたのマナ・プールに(R)を加える。</t>
  </si>
  <si>
    <t>(２)(R),(Ｔ)：クリーチャー１体かプレイヤー１人を対象とする。火を吐く稜堡はそれに３点のダメージを与える。</t>
  </si>
  <si>
    <t>前哨地の包囲</t>
  </si>
  <si>
    <t>前哨地の包囲が戦場に出るに際し、カンか龍かを選ぶ。</t>
  </si>
  <si>
    <t>・カン ― あなたのアップキープの開始時に、あなたのライブラリーの一番上のカードを追放する。ターン終了時まで、あなたはそのカードをプレイしてもよい。</t>
  </si>
  <si>
    <t>・龍 ― あなたがコントロールするクリーチャーが１体戦場を離れるたび、クリーチャー１体かプレイヤー１人を対象とする。前哨地の包囲はそれに１点のダメージを与える。</t>
  </si>
  <si>
    <t>憤怒の息吹</t>
  </si>
  <si>
    <t>エンチャントされているクリーチャーがプレイヤーに戦闘ダメージを与えるとき、それを生け贄に捧げるとともにあなたがコントロールするクリーチャーに憤怒の息吹をつける。そうした場合、あなたがコントロールするすべてのクリーチャーをアンタップし、このフェイズの後に追加の戦闘フェイズを加える。</t>
  </si>
  <si>
    <t>兵員の混乱</t>
  </si>
  <si>
    <t>アーティファクトかクリーチャーかエンチャントが１つ戦場に出るたび、それのコントローラーはそれとカード・タイプを共有する、他のプレイヤーがコントロールするパーマネント１つを対象として選び、それらのパーマネントのコントロールを交換する。</t>
  </si>
  <si>
    <t>精神の骨折り</t>
  </si>
  <si>
    <t>あなたが呪文を唱えるたび、あなたの手札にあるカードをあなたのライブラリーの一番下に望む順番で置く。その後同じ枚数のカードを引く。</t>
  </si>
  <si>
    <t>燃え盛る怒り</t>
  </si>
  <si>
    <t>エンチャントされているクリーチャーは「(Ｔ)：クリーチャー１体かプレインズウォーカー１体かプレイヤー１人を対象とする。このクリーチャーはそれに自身のパワーに等しい点数のダメージを与える。」を持つ。</t>
  </si>
  <si>
    <t>双子神の指図</t>
  </si>
  <si>
    <t>いずれかの発生源がパーマネントかプレイヤーにダメージを与えるなら、代わりにそれはそのパーマネントかプレイヤーにその点数の２倍のダメージを与える。</t>
  </si>
  <si>
    <t>流血の呪い</t>
  </si>
  <si>
    <t>発生源１つがエンチャントされているプレイヤーにダメージを与える場合、代わりにそれはその２倍のダメージをそのプレイヤーに与える。</t>
  </si>
  <si>
    <t>狂戦士たちの猛攻</t>
  </si>
  <si>
    <t>あなたがコントロールする攻撃クリーチャーは二段攻撃を持つ。</t>
  </si>
  <si>
    <t>異教徒の罰</t>
  </si>
  <si>
    <t>(３)(R)：クリーチャー１体かプレインズウォーカー１体かプレイヤー１人を対象とする。その後、あなたのライブラリーの一番上から３枚のカードをあなたの墓地に置く。異教徒の罰はそのパーマネントやプレイヤーに、それらのカードの中で最も大きい点数で見たマナ・コストに等しい点数のダメージを与える。</t>
  </si>
  <si>
    <t>戦の只中</t>
  </si>
  <si>
    <t>クリーチャーがあなたのコントロール下で戦場に出るたび、それはターン終了時まで+2/+0の修整を受けるとともに速攻を得る。</t>
  </si>
  <si>
    <t>古霊の踏み行く処</t>
  </si>
  <si>
    <t>パワーが５以上のクリーチャーがあなたのコントロール下で戦場に出るたび、クリーチャー１体かプレイヤー１人を対象とする。あなたは「古霊の踏み行く処はそれに５点のダメージを与える」ことを選んでもよい。</t>
  </si>
  <si>
    <t>吹き荒れる潜在能力</t>
  </si>
  <si>
    <t>プレイヤー１人が自分の手札から呪文を１つ唱えるたび、そのプレイヤーはそれを追放し、その後、自分のライブラリーの一番上から、それと共通のカード・タイプを持つカードを追放するまでカードを追放し続ける。そのプレイヤーはそのカードをそのマナ・コストを支払うことなく唱えてもよい。その後、そのプレイヤーは吹き荒れる潜在能力により追放されたすべてのカードを自分のライブラリーの一番下に無作為の順番で置く。</t>
  </si>
  <si>
    <t>戦嵐のうねり</t>
  </si>
  <si>
    <t>クリーチャー１体があなたのコントロール下で戦場に出るたび、クリーチャー１体かプレイヤー１人を対象とする。その戦場に出たクリーチャーは、自身のパワーに等しい点数のダメージを、そのクリーチャーかプレイヤーに与える。</t>
  </si>
  <si>
    <t>ギルドの抗争</t>
  </si>
  <si>
    <t>あなたのアップキープの開始時に、対戦相手１人を対象とする。そのプレイヤーは自分のライブラリーの一番上から３枚のカードを公開する。そのプレイヤーはそれらのカードの中からクリーチャー・カードを１枚戦場に出してもよい。その後、残りを自分の墓地に置く。あなたは、あなたのライブラリーの一番上から３枚のカードについても同様にする。これにより２体のクリーチャーが戦場に出た場合、それらのクリーチャーは互いに格闘を行う。</t>
  </si>
  <si>
    <t>でたらめな砲撃</t>
  </si>
  <si>
    <t>でたらめな砲撃が戦場に出たとき、あなたがコントロールしておらずエンチャントでもないパーマネントを４つ選び、それらの上に照準(aim)カウンターをそれぞれ１個置く。</t>
  </si>
  <si>
    <t>あなたの終了ステップの開始時に、あなたがコントロールしていないパーマネント２つ以上の上に照準カウンターが置かれていた場合、それらのパーマネントのうち１つを無作為に選び、それを破壊する。</t>
  </si>
  <si>
    <t>怒りの反射</t>
  </si>
  <si>
    <t>あなたがコントロールするクリーチャーは二段攻撃を持つ。</t>
  </si>
  <si>
    <t>野生の喚起</t>
  </si>
  <si>
    <t>各プレイヤーのアップキープの開始時に、そのプレイヤーは自分の手札からカードを１枚無作為に選んで公開する。それが土地カードである場合、そのプレイヤーはそれを戦場に出す。そうでない場合、そのプレイヤーは可能ならばそれを、それのマナ・コストを支払うことなく唱える。</t>
  </si>
  <si>
    <t>恐竜変化</t>
  </si>
  <si>
    <t>恐竜変化が戦場に出たとき、あなたのライフ総量は１５点になる。</t>
  </si>
  <si>
    <t>あなたのアップキープの開始時に、対戦相手がコントロールしているクリーチャー１体を対象とする。恐竜変化はそれに１５点のダメージを与え、それはあなたに自身のパワーに等しい点数のダメージを与える。</t>
  </si>
  <si>
    <t>戦いの潮目</t>
  </si>
  <si>
    <t>１体以上のクリーチャーがブロックするたび、コインを１枚投げる。あなたがコイン投げに勝った場合、ブロックしている各クリーチャーは、それのコントローラーによって生け贄に捧げられる。あなたがコイン投げに負けた場合、ブロックされている各クリーチャーは、それのコントローラーによって生け贄に捧げられる。</t>
  </si>
  <si>
    <t>ドラゴンの休息地</t>
  </si>
  <si>
    <t>(５)(R)(R)：飛行を持つ赤の5/5のドラゴン(Dragon)・クリーチャー・トークンを１体生成する。（それは飛行や到達を持たないクリーチャーによってはブロックされない。）</t>
  </si>
  <si>
    <t>太陽鳥の祈祷</t>
  </si>
  <si>
    <t>あなたがあなたの手札から呪文を唱えるたび、あなたのライブラリーの一番上からカードをＸ枚公開する。Ｘはその呪文の点数で見たマナ・コストに等しい。あなたは、これにより公開されたカードの中から、点数で見たマナ・コストがＸ以下であるカード１枚を、それのマナ・コストを支払うことなく唱えてもよい。残りをあなたのライブラリーの一番下に無作為の順番で置く。</t>
  </si>
  <si>
    <t>不純な影</t>
  </si>
  <si>
    <t>クリーチャー１体が死亡するたび、プレイヤー１人を対象とする。あなたは「不純な影はそのプレイヤーに、そのプレイヤーの手札にあるカードの枚数に等しい点数のダメージを与える」ことを選んでもよい。</t>
  </si>
  <si>
    <t>ドラゴン変化</t>
  </si>
  <si>
    <t>(４)(R)(R)(R)</t>
  </si>
  <si>
    <t>あなたのアップキープの開始時に、クリーチャー１体かプレインズウォーカー１体かプレイヤー１人を対象とする。ドラゴン変化はそれに５点のダメージを与える。</t>
  </si>
  <si>
    <t>各終了ステップの開始時に、あなたのライフの総量は５点になる。</t>
  </si>
  <si>
    <t>飛行を持たないクリーチャーは、あなたを攻撃できない。</t>
  </si>
  <si>
    <t>炎の鞭</t>
  </si>
  <si>
    <t>エンチャントされているクリーチャーは「(Ｔ)：クリーチャー１体かプレインズウォーカー１体かプレイヤー１人を対象とする。このクリーチャーはそれに１点のダメージを与える。」を持つ。</t>
  </si>
  <si>
    <t>炎の鞭を生け贄に捧げる：クリーチャー１体かプレインズウォーカー１体かプレイヤー１人を対象とする。炎の鞭はそれに１点のダメージを与える。</t>
  </si>
  <si>
    <t>伏魔殿</t>
  </si>
  <si>
    <t>クリーチャーが１体戦場に出るたび、そのクリーチャーのコントローラーが選んだクリーチャー１体かプレイヤー１人を対象とする。そのプレイヤーは「このクリーチャーは、それに自身のパワーに等しい点数のダメージを与える」ことを選んでもよい。</t>
  </si>
  <si>
    <t>鍛冶の神、パーフォロス</t>
  </si>
  <si>
    <t>あなたの赤への信心が５未満であるかぎり、鍛冶の神、パーフォロスはクリーチャーではない。（あなたの赤への信心は、あなたがコントロールするパーマネントのマナ・コストに含まれる(R)の数に等しい。）</t>
  </si>
  <si>
    <t>他のクリーチャーが１体あなたのコントロール下で戦場に出るたび、鍛冶の神、パーフォロスは各対戦相手にそれぞれ２点のダメージを与える。</t>
  </si>
  <si>
    <t>(２)(R)：あなたがコントロールするクリーチャーはターン終了時まで+1/+0の修整を受ける。</t>
  </si>
  <si>
    <t>_6/5</t>
  </si>
  <si>
    <t>忌むべき者のかがり火</t>
  </si>
  <si>
    <t>プレイヤー１人かプレインズウォーカー１体を対象とする。忌むべき者のかがり火はそれとそのプレイヤーかそのプレインズウォーカーのコントローラーがコントロールする各クリーチャーにそれぞれＸ点のダメージを与える。</t>
  </si>
  <si>
    <t>奇跡(Ｘ)(R)（あなたがこのカードを引いたとき、これがこのターンに最初に引いたカードだった場合、あなたはこれの奇跡コストを支払うことでこれを唱えてもよい。）</t>
  </si>
  <si>
    <t>不屈の独創力</t>
  </si>
  <si>
    <t>アーティファクトやクリーチャー、合わせてＸ個を対象とし、それらを破壊する。これにより破壊されたパーマネント１つにつき、それのコントローラーはそれぞれ、アーティファクト・カードかクリーチャー・カードが公開されるまで自分のライブラリーの一番上からカードを１枚ずつ公開し、そのカードを追放する。それらのプレイヤーは、それらの追放されたカードを戦場に出し、その後自分のライブラリーを切り直す。</t>
  </si>
  <si>
    <t>ナヒリの怒り</t>
  </si>
  <si>
    <t>ナヒリの怒りを唱えるための追加コストとして、カードＸ枚を捨てる。</t>
  </si>
  <si>
    <t>クリーチャーやプレインズウォーカー最大Ｘ体を対象とする。ナヒリの怒りはそれらにそれぞれ、捨てたカードの点数で見たマナ・コストの合計に等しい点数のダメージを与える。</t>
  </si>
  <si>
    <t>炎の中の過去</t>
  </si>
  <si>
    <t>あなたの墓地にある各インスタント・カードと各ソーサリー・カードは、ターン終了時までフラッシュバックを得る。そのフラッシュバック・コストはそれのマナ・コストに等しい。</t>
  </si>
  <si>
    <t>フラッシュバック(４)(R)（あなたはあなたの墓地にあるこのカードを、そのフラッシュバック・コストで唱えてもよい。その後それを追放する。）</t>
  </si>
  <si>
    <t>龍の降下</t>
  </si>
  <si>
    <t>望む数のクリーチャーを対象とし、それらを破壊する。これにより破壊されたクリーチャー１体につき、そのコントローラーは飛行を持つ赤の4/4のドラゴン(Dragon)・クリーチャー・トークンを１体生成する。</t>
  </si>
  <si>
    <t>絶滅の星</t>
  </si>
  <si>
    <t>土地１つを対象とし、それを破壊する。絶滅の星は各クリーチャーと各プレインズウォーカーにそれぞれ２０点のダメージを与える。</t>
  </si>
  <si>
    <t>世界火</t>
  </si>
  <si>
    <t>(６)(R)(R)(R)</t>
  </si>
  <si>
    <t>すべてのパーマネントを追放する。すべての手札とすべての墓地にあるすべてのカードを追放する。各プレイヤーのライフの総量は１点になる。</t>
  </si>
  <si>
    <t>力の頂点</t>
  </si>
  <si>
    <t>(７)(R)(R)(R)</t>
  </si>
  <si>
    <t>あなたのライブラリーの一番上からカードを７枚追放する。ターン終了時まで、あなたはこれにより追放された土地でないカードを唱えてもよい。</t>
  </si>
  <si>
    <t>この呪文があなたの手札から唱えられたなら、好きな色１色のマナ１０点を加える。</t>
  </si>
  <si>
    <t>命運の輪</t>
  </si>
  <si>
    <t>各プレイヤーは自分の手札を捨て、その後カードを７枚引く。</t>
  </si>
  <si>
    <t>悪魔火</t>
  </si>
  <si>
    <t>クリーチャー１体かプレインズウォーカー１体かプレイヤー１人を対象とする。悪魔火はそれにＸ点のダメージを与える。このターン、これによりダメージを与えられたクリーチャーが死亡するなら、代わりにそれを追放する。</t>
  </si>
  <si>
    <t>暴勇 ― あなたの手札にカードがないなら、この呪文は呪文や能力によっては打ち消されず、そのダメージは軽減されない。</t>
  </si>
  <si>
    <t>火口の爪</t>
  </si>
  <si>
    <t>クリーチャー１体かプレインズウォーカー１体かプレイヤー１人を対象とする。火口の爪はそれにＸ点のダメージを与える。</t>
  </si>
  <si>
    <t>獰猛 ― あなたがパワーが４以上のクリーチャーをコントロールしているなら、代わりに火口の爪はそのパーマネントやプレイヤーに、Ｘに２を足した点数のダメージを与える。</t>
  </si>
  <si>
    <t>苦悩火</t>
  </si>
  <si>
    <t>クリーチャー１体かプレインズウォーカー１体かプレイヤー１人を対象とする。苦悩火はそれにＸ点のダメージを与える。</t>
  </si>
  <si>
    <t>Ｘが５以上であるなら、この呪文は打ち消されず、そのダメージは軽減できない。</t>
  </si>
  <si>
    <t>内部着火</t>
  </si>
  <si>
    <t>クリーチャー１体かプレインズウォーカー１体かプレイヤー１人を対象とする。内部着火はそれにＸ点のダメージを与える。これによりクリーチャーにダメージが与えられたなら、ターン終了時まで、それは破壊不能を失う。そのクリーチャーがこのターンに死亡するなら、代わりにそれを追放する。</t>
  </si>
  <si>
    <t>地震</t>
  </si>
  <si>
    <t>地震は、飛行を持たない各クリーチャーと各プレイヤーにそれぞれＸ点のダメージを与える。</t>
  </si>
  <si>
    <t>赤の太陽の頂点</t>
  </si>
  <si>
    <t>クリーチャー１体かプレイヤー１人を対象とする。赤の太陽の頂点はそれにＸ点のダメージを与える。このターン、これによりダメージを与えられたクリーチャーが死亡する場合、代わりにそれを追放する。赤の太陽の頂点をオーナーのライブラリーに加えて切り直す。</t>
  </si>
  <si>
    <t>小悪魔の遊び</t>
  </si>
  <si>
    <t>クリーチャー１体かプレインズウォーカー１体かプレイヤー１人を対象とする。小悪魔の遊びはそれにＸ点のダメージを与える。</t>
  </si>
  <si>
    <t>フラッシュバック(Ｘ)(R)(R)(R)（あなたはあなたの墓地にあるこのカードを、そのフラッシュバック・コストで唱えてもよい。その後それを追放する。）</t>
  </si>
  <si>
    <t>グレムリン解放</t>
  </si>
  <si>
    <t>アーティファクトＸ個を対象とし、それらを破壊する。赤の2/2のグレムリン(Gremlin)・クリーチャー・トークンをＸ体生成する。</t>
  </si>
  <si>
    <t>壊滅的な召喚</t>
  </si>
  <si>
    <t>この呪文を唱えるための追加コストとして、土地をＸ枚生け贄に捧げる。</t>
  </si>
  <si>
    <t>赤のX/Xのエレメンタル(Elemental)・クリーチャー・トークンを２体生成する。</t>
  </si>
  <si>
    <t>魔力激突</t>
  </si>
  <si>
    <t>対戦相手１人を対象とする。あなたとそのプレイヤーはコインを１枚投げる。魔力激突はコインの裏を出したすべてのプレイヤーに１点のダメージを与える。この過程を、両方のプレイヤーが揃ってコインの表を出すまで繰り返す。</t>
  </si>
  <si>
    <t>ミジウムの迫撃砲</t>
  </si>
  <si>
    <t>あなたがコントロールしていないクリーチャー１体を対象とする。ミジウムの迫撃砲はそれに４点のダメージを与える。</t>
  </si>
  <si>
    <t>超過(３)(R)(R)(R)（あなたはこの呪文をその超過コストで唱えてもよい。そうしたなら、ミジウムの迫撃砲はあなたがコントロールしていない各クリーチャーにそれぞれ４点のダメージを与える。）</t>
  </si>
  <si>
    <t>アヴァシンの裁き</t>
  </si>
  <si>
    <t>マッドネス(Ｘ)(R)（あなたがこのカードを捨てるなら、これを追放領域に捨てる。あなたがそうしたとき、マッドネス・コストでこれを唱えるか、これをあなたの墓地に置く。）</t>
  </si>
  <si>
    <t>望む数のクリーチャーやプレインズウォーカーやプレイヤーを対象とする。アヴァシンの裁きはそれらに２点のダメージをあなたの望むように分割して与える。アヴァシンの裁きのマッドネス・コストが支払われていたなら、代わりに、アヴァシンの裁きはそれらのパーマネントやプレイヤーにＸ点のダメージをあなたの望むように分割して与える。</t>
  </si>
  <si>
    <t>塔の包囲</t>
  </si>
  <si>
    <t>山(Mountain)１つを対象とする。それは3/1のクリーチャーになる。それは土地でもある。</t>
  </si>
  <si>
    <t>溶鉄の災難</t>
  </si>
  <si>
    <t>キッカー(R)（あなたがこの呪文を唱えるに際し、あなたは追加の(R)を支払ってもよい。）</t>
  </si>
  <si>
    <t>溶鉄の災難がキッカーされていた場合、それは刹那を持つ。（この呪文がスタックにあるかぎり、プレイヤーは呪文を唱えられず、マナ能力でない起動型能力を起動できない。）</t>
  </si>
  <si>
    <t>溶鉄の災難は、飛行を持たない各クリーチャーと各プレイヤーにそれぞれＸ点のダメージを与える。</t>
  </si>
  <si>
    <t>双つ身の炎</t>
  </si>
  <si>
    <t>奮励 ― 双つ身の炎を唱えるためのコストは、２つ目以降の対象１つにつき(２)(R)多くなる。</t>
  </si>
  <si>
    <t>あなたがコントロールする望む数のクリーチャーを対象とする。それら１体につき、それのコピーであるトークンを１体生成する。それらのトークンは速攻を持つ。次の終了ステップの開始時に、それらを追放する。</t>
  </si>
  <si>
    <t>ヤヤの焼身猛火</t>
  </si>
  <si>
    <t>クリーチャーやプレインズウォーカーやプレイヤー合わせて最大３つを対象とする。ヤヤの焼身猛火はそれらにそれぞれＸ点のダメージを与える。</t>
  </si>
  <si>
    <t>爆裂</t>
  </si>
  <si>
    <t>あなたがコントロールする土地１つとあなたがコントロールしていない土地１つを対象とし、それらを破壊する。</t>
  </si>
  <si>
    <t>破綻</t>
  </si>
  <si>
    <t>すべての土地を破壊する。</t>
  </si>
  <si>
    <t>タイタンの復讐</t>
  </si>
  <si>
    <t>クリーチャー１体かプレイヤー１人を対象とする。タイタンの復讐はそれにＸ点のダメージを与える。対戦相手１人と激突を行う。あなたが勝った場合、タイタンの復讐をオーナーの手札に戻す。（激突を行う各プレイヤーは、自分のライブラリーの一番上のカードを公開し、そのカードを一番上か一番下に置く。自分のカードの点数で見たマナ・コストの方が大きいプレイヤーが勝つ。）</t>
  </si>
  <si>
    <t>神々の憤怒</t>
  </si>
  <si>
    <t>神々の憤怒は各クリーチャーにそれぞれ３点のダメージを与える。このターン、これによりダメージを与えられたクリーチャーが死亡する場合、代わりにそれを追放する。</t>
  </si>
  <si>
    <t>集団的抵抗</t>
  </si>
  <si>
    <t>・プレイヤー１人を対象とする。そのプレイヤーは、自分の手札からカードをすべて捨て、その後その枚数に等しい枚数のカードを引く。</t>
  </si>
  <si>
    <t>・クリーチャー１体を対象とする。集団的抵抗はそれに４点のダメージを与える。</t>
  </si>
  <si>
    <t>・対戦相手１人かプレインズウォーカー１体を対象とする。集団的抵抗はそれに３点のダメージを与える。</t>
  </si>
  <si>
    <t>熱の陽炎</t>
  </si>
  <si>
    <t>クリーチャー１体を対象とする。そのクリーチャーのコピーであるトークンを１体生成する。そのトークンは速攻と「終了ステップの開始時に、このパーマネントを追放する。」を持つ。</t>
  </si>
  <si>
    <t>軍族の雄叫び</t>
  </si>
  <si>
    <t>このターンにあなたが次にインスタント呪文かソーサリー呪文を唱えたとき、その呪文をコピーする。あなたはそのコピーの新しい対象を選んでもよい。</t>
  </si>
  <si>
    <t>強襲 ― このターンにあなたがクリーチャーで攻撃していたなら、このターンにあなたが次にインスタント呪文かソーサリー呪文を唱えたとき、その呪文を追加でコピーする。あなたはそのコピーの新しい対象を選んでもよい。</t>
  </si>
  <si>
    <t>ボガーダンの鎚</t>
  </si>
  <si>
    <t>クリーチャー１体かプレインズウォーカー１体かプレイヤー１人を対象とする。ボガーダンの鎚は、それに３点のダメージを与える。</t>
  </si>
  <si>
    <t>(２)(R)(R)(R)：あなたの墓地にあるボガーダンの鎚をあなたの手札に戻す。この能力は、あなたのアップキープの間にのみ起動できる。</t>
  </si>
  <si>
    <t>極上の炎技</t>
  </si>
  <si>
    <t>クリーチャー１体かプレインズウォーカー１体かプレイヤー１人を対象とする。極上の炎技はそれに４点のダメージを与える。</t>
  </si>
  <si>
    <t>魔巧 ― あなたの墓地にインスタント・カードやソーサリー・カードが合わせて２枚以上あるなら、この呪文は打ち消されない。</t>
  </si>
  <si>
    <t>嘲笑</t>
  </si>
  <si>
    <t>このターン、ダメージは軽減できない。このターン、あなたがコントロールする発生源がダメージを与えるなら、代わりにそれはその点数の２倍のダメージを与える。</t>
  </si>
  <si>
    <t>負傷</t>
  </si>
  <si>
    <t>クリーチャー１体と、プレイヤー１人かプレインズウォーカー１体を対象とする。負傷はその前者に２点のダメージを与え、その後者に２点のダメージを与える。</t>
  </si>
  <si>
    <t>反復連射</t>
  </si>
  <si>
    <t>クリーチャー１体かプレイヤー１人を対象とする。反復連射はそれに３点のダメージを与える。</t>
  </si>
  <si>
    <t>強襲 ― (３)(R)(R)：あなたの墓地から反復連射をあなたの手札に戻す。この能力は、このターンにあなたがクリーチャーで攻撃していたときにのみ起動できる。</t>
  </si>
  <si>
    <t>火炎崩れ</t>
  </si>
  <si>
    <t>火炎崩れは、すべての飛行を持たないクリーチャーとすべてのプレイヤーに３点のダメージを与える。これによりダメージを与えられたクリーチャーは、このターン再生できない。</t>
  </si>
  <si>
    <t>雷刃の突撃</t>
  </si>
  <si>
    <t>クリーチャー１体かプレイヤー１人を対象とする。雷刃の突撃はそれに３点のダメージを与える。</t>
  </si>
  <si>
    <t>あなたがコントロールする１体以上のクリーチャーがプレイヤーに戦闘ダメージを与えるたび、あなたの墓地に雷刃の突撃がある場合、あなたは(２)(R)(R)(R)を支払ってもよい。そうした場合、あなたはそのマナ・コストを支払うことなく唱えてもよい。</t>
  </si>
  <si>
    <t>金屑の嵐</t>
  </si>
  <si>
    <t>・金屑の嵐は各クリーチャーに３点のダメージを与える。</t>
  </si>
  <si>
    <t>・金屑の嵐は各プレイヤーに３点のダメージを与える。</t>
  </si>
  <si>
    <t>財宝発掘</t>
  </si>
  <si>
    <t>財宝発掘を唱えるための追加コストとして、アーティファクトを１つ生け贄に捧げる。</t>
  </si>
  <si>
    <t>あなたの墓地にあるアーティファクト１つを対象とし、それを戦場に戻す。</t>
  </si>
  <si>
    <t>焦熱の計画</t>
  </si>
  <si>
    <t>クリーチャー１体を対象とする。あなたがコイン投げに負けるかコイン投げをやめることを選ぶまでコインを１枚投げる。あなたがコイン投げに負けた場合、焦熱の計画は何の効果も及ぼさない。あなたが１回以上コイン投げに勝った場合、焦熱の計画はそのクリーチャーに３点のダメージを与える。あなたが２回以上コイン投げに勝った場合、焦熱の計画はすべての対戦相手に６点のダメージを与える。あなたが３回以上コイン投げに勝った場合、カードを９枚引きあなたがコントロールするすべての土地をアンタップする。</t>
  </si>
  <si>
    <t>溶鉄の精神</t>
  </si>
  <si>
    <t>各プレイヤーは自分の手札を自分のライブラリーに加えて切り直し、その後その枚数に等しい枚数のカードを引く。</t>
  </si>
  <si>
    <t>金属術 ― あなたがアーティファクトを３つ以上コントロールしている場合、溶鉄の精神は各対戦相手に、このターンにそのプレイヤーが引いたカードの枚数に等しい点数のダメージを与える。</t>
  </si>
  <si>
    <t>力による操縦</t>
  </si>
  <si>
    <t>奮励 ― この呪文を唱えるためのコストは、２つ目以降の対象１つにつき(２)(R)多くなる。</t>
  </si>
  <si>
    <t>望む数のクリーチャーを対象とする。ターン終了時までそれらのコントロールを得る。それらのクリーチャーをアンタップする。ターン終了時までそれらは速攻を得る。</t>
  </si>
  <si>
    <t>無害な申し出</t>
  </si>
  <si>
    <t>対戦相手１人とあなたがコントロールするパーマネント１つを対象とする。そのプレイヤーはそのパーマネントのコントロールを得る。</t>
  </si>
  <si>
    <t>カーリ・ゼヴの巧技</t>
  </si>
  <si>
    <t>クリーチャー１体か機体(Vehicle)１つを対象とする。ターン終了時まで、それのコントロールを得る。それをアンタップする。ターン終了時まで、それは速攻を得る。</t>
  </si>
  <si>
    <t>あなたは、あなたの手札から点数で見たマナ・コストが２以下のカード１枚を、そのマナ・コストを支払うことなく唱えてもよい。</t>
  </si>
  <si>
    <t>光輝の炎</t>
  </si>
  <si>
    <t>収斂 ― 光輝の炎は各クリーチャーにそれぞれＸ点のダメージを与える。Ｘは、光輝の炎を唱えるために支払われたマナの色の総数に等しい。</t>
  </si>
  <si>
    <t>焼けつく双陽</t>
  </si>
  <si>
    <t>焼けつく双陽は各クリーチャーにそれぞれ３点のダメージを与える。</t>
  </si>
  <si>
    <t>サイクリング(３)（(３),このカードを捨てる：カードを１枚引く。）</t>
  </si>
  <si>
    <t>粒化</t>
  </si>
  <si>
    <t>点数で見たマナ・コストが４以下である、土地でない各アーティファクトを破壊する。</t>
  </si>
  <si>
    <t>精霊の嘆願</t>
  </si>
  <si>
    <t>トランプルと速攻を持つ7/1の赤のエレメンタル(Elemental)・クリーチャー・トークンを１体生成する。次の終了ステップの開始時に、それを追放する。この呪文がキッカーされていたなら、ターン終了時まで、そのクリーチャーは+7/+0の修整を受ける。</t>
  </si>
  <si>
    <t>向こう見ずな実験</t>
  </si>
  <si>
    <t>アーティファクト・カードが公開されるまで、あなたのライブラリーの一番上からカードを１枚ずつ公開する。そのカードを戦場に出し、残りをあなたのライブラリーの一番下に無作為の順番で置く。向こう見ずな実験はあなたに、これにより公開されたカードの枚数に等しい点数のダメージを与える。</t>
  </si>
  <si>
    <t>流動石の山崩れ</t>
  </si>
  <si>
    <t>(Ｘ)(２)(R)(R)</t>
  </si>
  <si>
    <t>すべてのクリーチャーは、ターン終了時まで+X/-Xの修整を受ける。</t>
  </si>
  <si>
    <t>荒廃の思考</t>
  </si>
  <si>
    <t>各プレイヤーは、あなたの手札にあるカード１枚につき土地を１つ生け贄に捧げる。</t>
  </si>
  <si>
    <t>再燃の炎</t>
  </si>
  <si>
    <t>クリーチャー１体かプレイヤー１人を対象とする。再燃の炎はそれに４点のダメージを与える。</t>
  </si>
  <si>
    <t>あなたのアップキープの開始時に、対戦相手１人の手札にカードがない場合、あなたはあなたの墓地にある再燃の炎をあなたの手札に戻してもよい。</t>
  </si>
  <si>
    <t>炎の一斉攻撃</t>
  </si>
  <si>
    <t>ターン終了時まで、あなたがコントロールするパーマネントは「(Ｔ)：クリーチャー１体かプレインズウォーカー１体かプレイヤー１人を対象とする。このパーマネントはそれに１点のダメージを与える。」を得る。</t>
  </si>
  <si>
    <t>連続突撃</t>
  </si>
  <si>
    <t>このターン攻撃したすべてのクリーチャーをアンタップする。このメイン・フェイズの後に、追加の戦闘フェイズとその後の追加のメイン・フェイズを加える。</t>
  </si>
  <si>
    <t>知性の爆発</t>
  </si>
  <si>
    <t>対戦相手１人を対象とする。そのプレイヤーは自分のライブラリーの一番上のカードを公開する。知性の爆発はそのプレイヤーとそのプレイヤーがコントロールする各クリーチャーに、その公開されたカードの点数で見たマナ・コストに等しい点数のダメージを与える。これにより土地カードが公開された場合、知性の爆発をオーナーの手札に戻す。</t>
  </si>
  <si>
    <t>連鎖反応</t>
  </si>
  <si>
    <t>連鎖反応は各クリーチャーにＸ点のダメージを与える。Ｘは、戦場に出ているクリーチャーの総数である。</t>
  </si>
  <si>
    <t>サルカンの竜火</t>
  </si>
  <si>
    <t>クリーチャー１体かプレインズウォーカー１体かプレイヤー１人を対象とする。サルカンの竜火はそれに３点のダメージを与える。</t>
  </si>
  <si>
    <t>あなたのライブラリーの一番上からカードを５枚見る。あなたはその中から赤のカード１枚を公開してあなたの手札に加えてもよい。残りをあなたのライブラリーの一番下に無作為の順番で置く。</t>
  </si>
  <si>
    <t>世界大戦</t>
  </si>
  <si>
    <t>このターンの最初の戦闘後メイン・フェイズの後に、追加の戦闘フェイズとそれに続く追加のメイン・フェイズを加える。その戦闘の開始時に、このターン攻撃したすべてのクリーチャーをアンタップする。</t>
  </si>
  <si>
    <t>チャンドラの灯の目覚め</t>
  </si>
  <si>
    <t>あなたがコントロールするクリーチャー１体を対象とする。それは他の各クリーチャーと各対戦相手に、自身のパワーに等しい点数のダメージをそれぞれ与える。</t>
  </si>
  <si>
    <t>破滅の刻</t>
  </si>
  <si>
    <t>ターン終了時まで、クリーチャーはすべて破壊不能を失う。破滅の刻は各クリーチャーと、ボーラス(Bolas)でない各プレインズウォーカーにそれぞれ５点のダメージを与える。</t>
  </si>
  <si>
    <t>解き放たれた焔</t>
  </si>
  <si>
    <t>クリーチャー１体を対象とする。解き放たれた焔はそれに６点のダメージを与える。あなたはあなたのライブラリーやあなたの墓地から《紅蓮の俊英、チャンドラ/Chandra, Pyrogenius》という名前のカード１枚を探し、それを公開してあなたの手札に加えてもよい。あなたがこれによりあなたのライブラリーからカードを探したなら、それを切り直す。</t>
  </si>
  <si>
    <t>チャンドラの激高</t>
  </si>
  <si>
    <t>プレイヤー１人かプレインズウォーカー１体を対象とする。チャンドラの激高はそれに４点のダメージを与える。</t>
  </si>
  <si>
    <t>あなたのライブラリーやあなたの墓地から《勇敢な紅蓮術師、チャンドラ/Chandra, Bold Pyromancer》という名前のカード１枚を探し、それを公開してあなたの手札に加えてもよい。あなたがこれによりあなたのライブラリーからカードを探したなら、そのライブラリーを切り直す。</t>
  </si>
  <si>
    <t>魂の再鍛</t>
  </si>
  <si>
    <t>各プレイヤーは自分の手札をすべて捨て、その後カードを７枚引く。</t>
  </si>
  <si>
    <t>奇跡(１)(R)（あなたがこのカードを引いたとき、これがこのターンに最初に引いたカードだった場合、あなたはこれの奇跡コストを支払うことでこれを唱えてもよい。）</t>
  </si>
  <si>
    <t>焼夷の命令</t>
  </si>
  <si>
    <t>・プレイヤー１人かプレインズウォーカー１体を対象とする。焼夷の命令はそれに４点のダメージを与える。</t>
  </si>
  <si>
    <t>・焼夷の命令は、各クリーチャーにそれぞれ２点のダメージを与える。</t>
  </si>
  <si>
    <t>・各プレイヤーは自分の手札にあるカードをすべて捨て、その後同じ枚数のカードを引く。</t>
  </si>
  <si>
    <t>火炙り</t>
  </si>
  <si>
    <t>(２)(R)(R)(R)</t>
  </si>
  <si>
    <t>この呪文を唱えるための追加コストとして、あなたがコントロールするアンタップ状態のクリーチャーを望む数だけタップする。</t>
  </si>
  <si>
    <t>クリーチャー１体かプレインズウォーカー１体かプレイヤー１人を対象とする。火炙りはそれに、これによりタップされたクリーチャーの数の３倍に等しい点数のダメージを与える。</t>
  </si>
  <si>
    <t>燎原の火</t>
  </si>
  <si>
    <t>各プレイヤーは土地を４つ生け贄に捧げる。燎原の火は、すべてのクリーチャーにそれぞれ４点のダメージを与える。</t>
  </si>
  <si>
    <t>大軍の結集</t>
  </si>
  <si>
    <t>あなたのライブラリーの一番上のカードを追放する。あなたのライブラリーの一番上のカードを追放する。あなたのライブラリーの一番上のカードを追放する。その最後に追放されたカードが土地でない場合、この過程を繰り返す。これにより追放された土地でないカード１枚につき、赤の1/1の戦士(Warrior)クリーチャー・トークンを１体生成する。</t>
  </si>
  <si>
    <t>乱暴者の噴火</t>
  </si>
  <si>
    <t>あなたがコントロールするすべてのクリーチャーを生け贄に捧げ、その後、その数に等しい数の赤の4/4のヘリオン(Hellion)・クリーチャー・トークンを生成する。</t>
  </si>
  <si>
    <t>悪魔の遊び場</t>
  </si>
  <si>
    <t>赤の1/1のデビル(Devil)・クリーチャー・トークンを４体生成する。それらは「このクリーチャーが死亡したとき、クリーチャー１体かプレインズウォーカー１体かプレイヤー１人を対象とする。このクリーチャーはそれに１点のダメージを与える。」を持つ。</t>
  </si>
  <si>
    <t>ハゾレトの終わりなき怒り</t>
  </si>
  <si>
    <t>あなたのライブラリーを切り直し、その後一番上からカードを４枚追放する。あなたは、その中から点数で見たマナ・コストが５以下で土地でないカードを、それらのマナ・コストを支払うことなく望む枚数唱えてもよい。あなたがコントロールする土地は、あなたの次のアンタップ・ステップにアンタップしない。</t>
  </si>
  <si>
    <t>思考の猛火</t>
  </si>
  <si>
    <t>土地でないカード名１つと、０より大きい数を１つ選ぶ。プレイヤー１人を対象とする。そのプレイヤーは自分のライブラリーを公開する。そのライブラリーに選ばれた名前のカードが選ばれた数だけちょうど含まれていたなら、思考の猛火はそのプレイヤーに８点のダメージを与える。その後、そのプレイヤーは自分のライブラリーを切り直す。</t>
  </si>
  <si>
    <t>運命の気まぐれ</t>
  </si>
  <si>
    <t>あなたから始めて、各プレイヤーは自分がコントロールするすべてのパーマネントを３つの束に分ける。その後、各プレイヤーは自分の束を１つ無作為に選び、その束にあるすべてのパーマネントを生け贄に捧げる。（束の枚数はゼロでも構わない。）</t>
  </si>
  <si>
    <t>運命の逆転</t>
  </si>
  <si>
    <t>対戦相手１人を対象とする。そのプレイヤーは、自分の手札を公開する。あなたは、その中からインスタント・カード１枚かソーサリー・カード１枚をコピーしてもよい。そうした場合、あなたはそのコピーを、そのマナ・コストを支払うことなく唱えてもよい。</t>
  </si>
  <si>
    <t>群衆の掟</t>
  </si>
  <si>
    <t>・ターン終了時まで、パワーが４以上のすべてのクリーチャーのコントロールを得る。それらのクリーチャーをアンタップする。ターン終了時までそれらは速攻を得る。</t>
  </si>
  <si>
    <t>・ターン終了時まで、パワーが３以下のすべてのクリーチャーのコントロールを得る。それらのクリーチャーをアンタップする。ターン終了時までそれらは速攻を得る。</t>
  </si>
  <si>
    <t>不死の炎</t>
  </si>
  <si>
    <t>クリーチャー１体かプレイヤー１人を対象とする。あなたのライブラリーの一番上のカードを、土地でないカードが追放されるまで追放する。不死の炎は、それにそのカードの点数で見たマナ・コストに等しい点数のダメージを与える。</t>
  </si>
  <si>
    <t>大群の怒り</t>
  </si>
  <si>
    <t>あなたは、この呪文のマナ・コストを支払うのではなく、あなたの手札にある赤のカード２枚を追放することを選んでもよい。</t>
  </si>
  <si>
    <t>破壊的な力</t>
  </si>
  <si>
    <t>各プレイヤーは土地を５つ生け贄に捧げる。破壊的な力は各クリーチャーに５点のダメージを与える。</t>
  </si>
  <si>
    <t>よじれた忠義</t>
  </si>
  <si>
    <t>対戦相手１人を対象とする。あなたとそのプレイヤーは、ターン終了時まで互いにもう一方がコントロールするすべてのクリーチャーのコントロールを得る。それらのクリーチャーをアンタップする。それらはターン終了時まで速攻を得る。</t>
  </si>
  <si>
    <t>火山の幻視</t>
  </si>
  <si>
    <t>あなたの墓地にあるインスタント・カード１枚かソーサリー・カード１枚を対象とし、それをあなたの手札に戻す。火山の幻視はあなたの対戦相手がコントロールする各クリーチャーに、そのカードの点数で見たマナ・コストに等しい点数のダメージをそれぞれ与える。火山の幻視を追放する。</t>
  </si>
  <si>
    <t>泥棒の競り</t>
  </si>
  <si>
    <t>すべてのトークンでないパーマネントを追放する。あなたから始めて、各プレイヤーはそれらの追放されたカードの中から１枚を選び、それを自分のコントロール下でタップ状態で戦場に出す。この手順を、これにより追放されたカードがすべて選ばれるまで繰り返す。</t>
  </si>
  <si>
    <t>災難の範囲</t>
  </si>
  <si>
    <t>この呪文を唱えるための追加コストとして、あなたの手札にあるクリーチャー・カードを１枚公開する。</t>
  </si>
  <si>
    <t>災難の範囲はあなたの対戦相手がコントロールする各クリーチャーにＸ点のダメージを与える。Ｘはその公開されたカードの点数で見たマナ・コストである。</t>
  </si>
  <si>
    <t>破滅の儀式</t>
  </si>
  <si>
    <t>アーティファクト、クリーチャー、土地の順番を決める。各プレイヤーは第一のタイプのパーマネントを１つ生け贄に捧げ、第二のタイプのパーマネントを２つ生け贄に捧げ、第三のタイプのパーマネントを３つ生け贄に捧げる。</t>
  </si>
  <si>
    <t>うねる撃ちこみ</t>
  </si>
  <si>
    <t>クリーチャー１体と他のクリーチャー１体とさらに他のクリーチャー１体を対象とする。うねる撃ちこみはその第一者に２点のダメージを与え、その第二者に３点のダメージを与え、その第三者に４点のダメージを与える。このターン、これによりダメージを与えられたクリーチャーが死亡するなら、代わりにそれを追放する。</t>
  </si>
  <si>
    <t>鉄面提督の報奨</t>
  </si>
  <si>
    <t>あなたがコントロールしている土地１つにつき、「(Ｔ),このアーティファクトを生け贄に捧げる：好きな色１色のマナ１点を加える。」を持つ無色の宝物(Treasure)アーティファクト・トークンを１つ生成する。</t>
  </si>
  <si>
    <t>世界混ぜ</t>
  </si>
  <si>
    <t>土地でないパーマネント１つにつき、プレイヤーを１人無作為に選ぶ。その後、各プレイヤーは自分が選ばれた各パーマネントのコントロールを得る。それらのパーマネントをアンタップする。</t>
  </si>
  <si>
    <t>頭目の乱闘</t>
  </si>
  <si>
    <t>対戦相手１人がコントロールするクリーチャー１体を対象とする。それは自身のパワーに等しい点数のダメージを、そのプレイヤーがコントロールする他の各クリーチャーにそれぞれ与える。その後、それらの各クリーチャーは、それぞれのパワーに等しい点数のダメージをそのクリーチャーに与える。</t>
  </si>
  <si>
    <t>歪んだ世界</t>
  </si>
  <si>
    <t>(５)(R)(R)(R)</t>
  </si>
  <si>
    <t>各プレイヤーは自分がオーナーであるすべてのパーマネントを自分のライブラリーに加えて切り直し、その後自分のライブラリーのカードを上から同じ枚数だけ公開する。各プレイヤーはこれにより公開されたすべてのアーティファクト・カード、クリーチャー・カード、土地カードを戦場に出す。その後、エンチャント・カードについても同様に行う。その後、これにより公開され戦場に出されなかったカードを自分のライブラリーの一番下に望む順番で置く。</t>
  </si>
  <si>
    <t>抹消</t>
  </si>
  <si>
    <t>抹消は打ち消されない。</t>
  </si>
  <si>
    <t>すべてのアーティファクトと、すべてのクリーチャーと、すべての土地を破壊する。それらは再生できない。</t>
  </si>
  <si>
    <t>冒涜の行動</t>
  </si>
  <si>
    <t>(８)(R)</t>
  </si>
  <si>
    <t>この呪文を唱えるためのコストは、戦場に出ているクリーチャー１体につき(１)少なくなる。</t>
  </si>
  <si>
    <t>冒涜の行動は各クリーチャーにそれぞれ１３点のダメージを与える。</t>
  </si>
  <si>
    <t>分解</t>
  </si>
  <si>
    <t>クリーチャー１体かプレインズウォーカー１体かプレイヤー１人を対象とする。分解はそれにＸ点のダメージを与える。それがクリーチャーであるなら、このターンそのクリーチャーは再生できず、このターンそのクリーチャーが死亡するなら代わりにそれを追放する。</t>
  </si>
  <si>
    <t>怒鳴りつけ</t>
  </si>
  <si>
    <t>プレイヤー１人を対象とする。どのプレイヤーも「怒鳴りつけは自分に５点のダメージを与える」ことを選んでよい。誰もそうしなかった場合、そのプレイヤーはカードを３枚引く。</t>
  </si>
  <si>
    <t>ドラゴンの嵐</t>
  </si>
  <si>
    <t>あなたのライブラリーからドラゴン(Dragon)・パーマネント・カードを１枚探し、それを戦場に出す。その後あなたのライブラリーを切り直す。</t>
  </si>
  <si>
    <t>タイタンの契約</t>
  </si>
  <si>
    <t>赤の4/4の巨人(Giant)クリーチャー・トークンを１体生成する。</t>
  </si>
  <si>
    <t>あなたの次のアップキープの開始時に(４)(R)を支払う。そうしない場合、あなたはこのゲームに敗北する。</t>
  </si>
  <si>
    <t>巨人の陥落</t>
  </si>
  <si>
    <t>怒濤(Ｘ)(R)（あなたかチームメイトがこのターンに他の呪文を唱えていたなら、あなたはこの呪文を怒濤コストで唱えてもよい。）</t>
  </si>
  <si>
    <t>クリーチャーやプレインズウォーカーやプレイヤーを最大２つまで対象とする。巨人の陥落はそれらにそれぞれＸ点のダメージを与える。</t>
  </si>
  <si>
    <t>猛火の群れ</t>
  </si>
  <si>
    <t>あなたは、この呪文のマナ・コストを支払うのではなく、あなたの手札にある、点数で見たマナ・コストがＸである赤のカードを１枚、追放することを選んでもよい。</t>
  </si>
  <si>
    <t>クリーチャー１体を対象とする。ターン終了時まで、それは+X/+0の修整を受ける。</t>
  </si>
  <si>
    <t>溶岩震</t>
  </si>
  <si>
    <t>溶岩震は、飛行を持たない各クリーチャーと各プレインズウォーカーにそれぞれＸ点のダメージを与える。</t>
  </si>
  <si>
    <t>高まる復讐心</t>
  </si>
  <si>
    <t>あなたがコントロールするインスタント呪文１つかソーサリー呪文１つを対象とし、それをコピーする。高まる復讐心があなたの墓地から唱えられた場合、代わりにその呪文を２回コピーする。あなたはそれらのコピーの新しい対象を選んでもよい。</t>
  </si>
  <si>
    <t>フラッシュバック(３)(R)(R)（あなたはあなたの墓地にあるこのカードを、そのフラッシュバック・コストで唱えてもよい。その後それを追放する。）</t>
  </si>
  <si>
    <t>余韻</t>
  </si>
  <si>
    <t>溶岩との融和</t>
  </si>
  <si>
    <t>あなたのライブラリーの一番上からＸ枚のカードを追放する。次のあなたのターンの終了時まで、あなたはそれらのカードをプレイしてもよい。</t>
  </si>
  <si>
    <t>電弧連鎖</t>
  </si>
  <si>
    <t>クリーチャー１体を対象とする。このターン、そのクリーチャーがダメージを与えられるたび、それはその点数に等しい点数のダメージを、他の各クリーチャーと各プレイヤーにそれぞれ与える。</t>
  </si>
  <si>
    <t>溶鉱炉の脈動</t>
  </si>
  <si>
    <t>プレイヤー１人を対象とする。溶鉱炉の脈動はそのプレイヤーに４点のダメージを与える。その後そのプレイヤーのライフがあなたより多い場合、溶鉱炉の脈動をオーナーの手札に戻す。</t>
  </si>
  <si>
    <t>反復</t>
  </si>
  <si>
    <t>黒焦げ</t>
  </si>
  <si>
    <t>クリーチャー１体かプレインズウォーカー１体かプレイヤー１人を対象とする。黒焦げはそれに４点のダメージを与え、あなたに２点のダメージを与える。</t>
  </si>
  <si>
    <t>吐炎</t>
  </si>
  <si>
    <t>クリーチャー１体を対象とする。吐炎それに４点のダメージを与える。</t>
  </si>
  <si>
    <t>ドラゴン(Dragon)が１体あなたのコントロール下で戦場に出るたび、あなたは(R)を支払ってもよい。そうしたなら、あなたの墓地から吐炎をあなたの手札に戻す。</t>
  </si>
  <si>
    <t>分流</t>
  </si>
  <si>
    <t>単一の対象をとる呪文１つを対象とし、その対象を変更する。</t>
  </si>
  <si>
    <t>致命的な激情</t>
  </si>
  <si>
    <t>あなたがコントロールするクリーチャー１体を対象とする。それはターン終了時までトランプルを得るとともに+X/+0の修整を受ける。Ｘはそのパワーである。次の終了ステップの開始時に、それを生け贄に捧げる。</t>
  </si>
  <si>
    <t>宿命的火災</t>
  </si>
  <si>
    <t>クリーチャー１体かプレインズウォーカー１体を対象とする。宿命的火災はそれに５点のダメージを与える。あなたのターンであるなら、占術２を行う。（あなたのライブラリーの一番上から２枚のカードを見て、そのうちの望む枚数のカードを望む順番であなたのライブラリーの一番下に置き、残りを望む順番で一番上に置く。）</t>
  </si>
  <si>
    <t>宿命の決着</t>
  </si>
  <si>
    <t>クリーチャー１体かプレインズウォーカー１体かプレイヤー１人を対象とする。宿命の決着はそれに、あなたの手札にあるカードの枚数に等しい点数のダメージを与える。あなたの手札にあるカードをすべて捨て、その後その枚数に等しい枚数のカードを引く。</t>
  </si>
  <si>
    <t>類電の反響</t>
  </si>
  <si>
    <t>呪文１つを対象とする。類電の反響はそれのコントローラーに、その呪文の点数で見たマナ・コストに等しい点数のダメージを与える。</t>
  </si>
  <si>
    <t>野生の跳ね返り</t>
  </si>
  <si>
    <t>インスタント呪文１つかソーサリー呪文１つを対象とする。あなたは、それの新しい対象を選んでもよい。その後その呪文をコピーする。あなたはそのコピーの新しい対象を選んでもよい。</t>
  </si>
  <si>
    <t>碑出告の第二の儀式</t>
  </si>
  <si>
    <t>プレイヤー１人を対象とする。そのプレイヤーのライフがちょうど１０点である場合、碑出告の第二の儀式はそのプレイヤーに１０点のダメージを与える。</t>
  </si>
  <si>
    <t>凶暴な打撃</t>
  </si>
  <si>
    <t>凶暴な打撃はあなたのターンの間で戦闘中にのみ唱えられる。</t>
  </si>
  <si>
    <t>・あなたがコントロールするクリーチャーは、ターン終了時まで二段攻撃を得る。</t>
  </si>
  <si>
    <t>・あなたがコントロールするすべてのクリーチャーをアンタップし、このフェイズの後に追加の戦闘フェイズを加える。</t>
  </si>
  <si>
    <t>双呪(１)(R)（あなたが双呪コストを支払った場合、両方を選ぶ。）</t>
  </si>
  <si>
    <t>捕縛の言葉</t>
  </si>
  <si>
    <t>パーマネント１つを対象とし、それをアンタップする。ターン終了時までそのコントロールを得る。それはターン終了時まで速攻を得る。</t>
  </si>
  <si>
    <t>裂け目の突破</t>
  </si>
  <si>
    <t>あなたは、あなたの手札からクリーチャー・カードを１枚戦場に出してもよい。そのクリーチャーは、速攻を得る。次の終了ステップの開始時に、そのクリーチャーを生け贄に捧げる。</t>
  </si>
  <si>
    <t>破壊の標</t>
  </si>
  <si>
    <t>クリーチャー１体かプレイヤー１人かプレインズウォーカー１体を対象とする。破壊の標はそれに５点のダメージを与える。破壊の標をオーナーのライブラリーに加えて切り直す。</t>
  </si>
  <si>
    <t>石の偶像の罠</t>
  </si>
  <si>
    <t>石の偶像の罠を唱えるためのコストは、攻撃しているクリーチャー１体につき(１)少なくなる。</t>
  </si>
  <si>
    <t>トランプルを持つ無色の6/12の構築物(Construct)アーティファクト・クリーチャー・トークンを１体生成する。あなたの次の終了ステップの開始時に、それを追放する。</t>
  </si>
  <si>
    <t>心魂破</t>
  </si>
  <si>
    <t>心魂破を唱えるための追加コストとして、あなたがコントロールするすべてのクリーチャーを生け贄に捧げる。</t>
  </si>
  <si>
    <t>クリーチャー１体かプレイヤー１人を対象とする。心魂破はそれに、生け贄に捧げられたクリーチャーのパワーの合計に等しい点数のダメージを与える。</t>
  </si>
  <si>
    <t>インフェルノ</t>
  </si>
  <si>
    <t>インフェルノは、各クリーチャーと各プレイヤーにそれぞれ６点のダメージを与える。</t>
  </si>
  <si>
    <t>溶岩の玉の罠</t>
  </si>
  <si>
    <t>このターン、対戦相手１人がそのプレイヤーのコントロール下で２つ以上の土地を戦場に出したなら、あなたはこの呪文のマナ・コストを支払うのではなく(３)(R)(R)を支払ってもよい。</t>
  </si>
  <si>
    <t>土地２つを対象とし、それらを破壊する。溶岩の玉の罠は各クリーチャーにそれぞれ４点のダメージを与える。</t>
  </si>
  <si>
    <t>焼尽の風</t>
  </si>
  <si>
    <t>クリーチャー１体かプレイヤー１人を対象とする。焼尽の風はそれに１０点のダメージを与える。</t>
  </si>
  <si>
    <t>彗星の嵐</t>
  </si>
  <si>
    <t>多重キッカー(１)（あなたがこの呪文を唱えるに際し、あなたは追加の(１)を望む回数支払ってもよい。）</t>
  </si>
  <si>
    <t>クリーチャー１体かプレインズウォーカー１体かプレイヤー１人を対象として選ぶ。その後、彗星の嵐がキッカーされている１回につき、他のクリーチャー１体かプレインズウォーカー１体かプレイヤー１人を対象として選ぶ。彗星の嵐はそれらにそれぞれＸ点のダメージを与える。</t>
  </si>
  <si>
    <t>栄光の幕切れ</t>
  </si>
  <si>
    <t>ターンを終了する。（このカードを含め、スタック領域にある呪文や能力をすべて追放する。現在のターンを進行しているプレイヤーは、カードを自分の手札の上限枚数になるまで捨てる。ダメージは消え、「このターン」と「ターン終了時まで」の効果は終わる。）</t>
  </si>
  <si>
    <t>次のあなたの終了ステップの開始時に、あなたはこのゲームに敗北する。</t>
  </si>
  <si>
    <t>コジレックの帰還</t>
  </si>
  <si>
    <t>コジレックの帰還は各クリーチャーにそれぞれ２点のダメージを与える。</t>
  </si>
  <si>
    <t>あなたが点数で見たマナ・コストが７以上のエルドラージ(Eldrazi)・クリーチャー呪文を１つ唱えるたび、あなたはあなたの墓地からコジレックの帰還を追放してもよい。そうしたなら、コジレックの帰還は各クリーチャーにそれぞれ５点のダメージを与える。</t>
  </si>
  <si>
    <t>砂の造形</t>
  </si>
  <si>
    <t>クリーチャー１体を対象とする。ターン終了時まで、それは+0/+5の修整を受けるとともに到達を得る。（それは飛行を持つクリーチャーをブロックできる。）</t>
  </si>
  <si>
    <t>巨大化</t>
  </si>
  <si>
    <t>木霊の力</t>
  </si>
  <si>
    <t>連繋（秘儀(Arcane)）(G)（あなたが秘儀呪文を唱えるに際し、あなたはこのカードを手札から公開して連繋コストを支払ってもよい。そうした場合、このカードの効果をその呪文に追加する。）</t>
  </si>
  <si>
    <t>治癒の葉</t>
  </si>
  <si>
    <t>死への抵抗</t>
  </si>
  <si>
    <t>クリーチャー１体を対象とする。それはターン終了時まで破壊不能を得る。（ダメージや「破壊する」効果では、それは破壊されない。それのタフネスが０以下である場合、それはオーナーの墓地に置かれる。）</t>
  </si>
  <si>
    <t>連携攻撃</t>
  </si>
  <si>
    <t>クリーチャー１体を対象とする。それはターン終了時まで+2/+2の修整を受ける。それがいずれかのクリーチャーと組になっている場合、そのクリーチャーもターン終了時まで+2/+2の修整を受ける。</t>
  </si>
  <si>
    <t>濃霧</t>
  </si>
  <si>
    <t>地うねり</t>
  </si>
  <si>
    <t>上陸 ― このターン、土地があなたのコントロール下で戦場に出ている場合、代わりにそのクリーチャーはターン終了時まで+4/+4の修整を受ける。</t>
  </si>
  <si>
    <t>人生は続く</t>
  </si>
  <si>
    <t>あなたは４点のライフを得る。このターンにクリーチャーが死亡していたなら、代わりにあなたは８点のライフを得る。</t>
  </si>
  <si>
    <t>灰塵化</t>
  </si>
  <si>
    <t>装備品(Equipment)１つを対象とし、それを破壊する。あなたのマナ・プールに(G)を加える。</t>
  </si>
  <si>
    <t>スズメバチの一刺し</t>
  </si>
  <si>
    <t>クリーチャー１体かプレインズウォーカー１体かプレイヤー１人を対象とする。スズメバチの一刺しはそれに１点のダメージを与える。</t>
  </si>
  <si>
    <t>レインジャーの悪知恵</t>
  </si>
  <si>
    <t>あなたがコントロールするクリーチャー１体を対象とする。それはターン終了時まで+1/+1の修整を受けるとともに呪禁を得る。（それはあなたの対戦相手がコントロールする呪文や能力の対象にならない。）</t>
  </si>
  <si>
    <t>力の噴出</t>
  </si>
  <si>
    <t>クリーチャー１体を対象とする。それの上に+1/+1カウンターを１個置き、それをアンタップする。</t>
  </si>
  <si>
    <t>アラーラの力</t>
  </si>
  <si>
    <t>版図 ― クリーチャー１体を対象とする。それはターン終了時まで、あなたがコントロールする土地の中の基本土地タイプ１種につき+1/+1の修整を受ける。</t>
  </si>
  <si>
    <t>風の突き刺し</t>
  </si>
  <si>
    <t>あなたがコントロールするクリーチャー１体と、飛行を持つクリーチャー１体を対象とする。前者は自身のパワーに等しい点数のダメージを後者に与える。</t>
  </si>
  <si>
    <t>戦闘の成長</t>
  </si>
  <si>
    <t>クリーチャー１体を対象とする。その上に+1/+1カウンターを１個置く。</t>
  </si>
  <si>
    <t>巨森の蔦</t>
  </si>
  <si>
    <t>キッカー(G)（あなたがこの呪文を唱えるに際し、あなたは追加の(G)を支払ってもよい。）</t>
  </si>
  <si>
    <t>クリーチャー１体を対象とする。このターン、それはあなたの対戦相手がコントロールする呪文や能力の対象にならない。巨森の蔦がキッカーされている場合、そのクリーチャーはターン終了時まで+4/+4の修整を受ける。</t>
  </si>
  <si>
    <t>回収</t>
  </si>
  <si>
    <t>あなたの墓地にあるカード１枚を対象とし、それをあなたのライブラリーの一番上に置く。</t>
  </si>
  <si>
    <t>大群の力</t>
  </si>
  <si>
    <t>クリーチャー１体を対象とする。それはターン終了時まで、あなたがコントロールするクリーチャー１体につき+1/+1の修整を受ける。</t>
  </si>
  <si>
    <t>狩りの興奮</t>
  </si>
  <si>
    <t>クリーチャー１体を対象とする。それはターン終了時まで+1/+2の修整を受ける。</t>
  </si>
  <si>
    <t>荒々しき力</t>
  </si>
  <si>
    <t>クリーチャー１体を対象とする。それはターン終了時まで+X/+Xの修整を受ける。</t>
  </si>
  <si>
    <t>吠え群れの飢え</t>
  </si>
  <si>
    <t>クリーチャー１体を対象とし、それの上に+1/+1カウンターを１個置く。</t>
  </si>
  <si>
    <t>陰鬱 ― このターンにクリーチャーが死亡していた場合、代わりにそのクリーチャーの上に+1/+1カウンターを３個置く。</t>
  </si>
  <si>
    <t>突然変異の捕食</t>
  </si>
  <si>
    <t>あなたがコントロールする+1/+1カウンターが置かれているクリーチャー１体を対象とし、対戦相手１人がコントロールするクリーチャー１体を対象とする。その前者はその後者と格闘を行う。（それぞれはもう一方に自身のパワーに等しい点数のダメージを与える。）</t>
  </si>
  <si>
    <t>不自然な捕食</t>
  </si>
  <si>
    <t>クリーチャー１体を対象とする。それはターン終了時まで+1/+1の修整を受けるとともにトランプルを得る。</t>
  </si>
  <si>
    <t>天空捕え</t>
  </si>
  <si>
    <t>クリーチャー１体を対象とする。それはターン終了時まで+1/+1の修整を受けるとともに到達を得る。（それは飛行を持つクリーチャーをブロックできる。）</t>
  </si>
  <si>
    <t>自然からの武装</t>
  </si>
  <si>
    <t>奮励 ― 自然からの武装を唱えるためのコストは、２つ目以降の対象１つにつき(２)(G)多くなる。</t>
  </si>
  <si>
    <t>望む数のクリーチャーを対象とする。それらの上に、それぞれ+1/+1カウンターを１個置く。</t>
  </si>
  <si>
    <t>空への斉射</t>
  </si>
  <si>
    <t>飛行を持つクリーチャーを、１体か２体か３体対象とする。空への斉射は、それらに３点のダメージをあなたの望むように分割して与える。</t>
  </si>
  <si>
    <t>たなびく緑青</t>
  </si>
  <si>
    <t>クリーチャー１体を対象とする。それはターン終了時まで緑になるとともに+1/+0の修整を受ける。</t>
  </si>
  <si>
    <t>繕いの接触</t>
  </si>
  <si>
    <t>クリーチャー１体を対象とし、それを再生する。</t>
  </si>
  <si>
    <t>苦しめる一射</t>
  </si>
  <si>
    <t>飛行を持つクリーチャー１体を対象とし、それの上に-1/-1カウンターを３個置く。</t>
  </si>
  <si>
    <t>葉の矢</t>
  </si>
  <si>
    <t>飛行を持つクリーチャー１体を対象とする。葉の矢はそれに３点のダメージを与える。</t>
  </si>
  <si>
    <t>芽吹き</t>
  </si>
  <si>
    <t>緑の1/1の苗木(Saproling)クリーチャー・トークンを１体生成する。</t>
  </si>
  <si>
    <t>飾りの勇気</t>
  </si>
  <si>
    <t>クリーチャー１体を対象とし、それをアンタップする。ターン終了時まで、それは+1/+3の修整を受ける。</t>
  </si>
  <si>
    <t>高木の武装</t>
  </si>
  <si>
    <t>クリーチャー１体を対象とし、それの上に+1/+1カウンターを１個置く。ターン終了時まで、そのクリーチャーは到達を得る。</t>
  </si>
  <si>
    <t>ハイドラの血</t>
  </si>
  <si>
    <t>クリーチャー１体を対象とする。それはターン終了時まで+X/+Xの修整を受ける。Ｘはあなたの緑への信心である。（あなたの緑への信心は、あなたがコントロールするパーマネントのマナ・コストに含まれる(G)の数に等しい。）</t>
  </si>
  <si>
    <t>イトグモの蔦</t>
  </si>
  <si>
    <t>クリーチャー１体を対象とする。ターン終了時まで、それは+1/+2の修整を受けるとともに到達を得る。それをアンタップする。（到達を持つクリーチャーは飛行を持つクリーチャーをブロックできる。）</t>
  </si>
  <si>
    <t>弱さからの脱皮</t>
  </si>
  <si>
    <t>クリーチャー１体を対象とする。ターン終了時まで、それは+2/+2の修整を受ける。あなたはそれの上から-1/-1カウンターを１個取り除いてもよい。</t>
  </si>
  <si>
    <t>かき集める勇気</t>
  </si>
  <si>
    <t>変異原性の成長</t>
  </si>
  <si>
    <t>(緑/Φ)</t>
  </si>
  <si>
    <t>（(緑/Φ)は(G)でも２点のライフでも支払うことができる。）</t>
  </si>
  <si>
    <t>過去との取り組み</t>
  </si>
  <si>
    <t>あなたのライブラリーの一番上からカードを３枚あなたの墓地に置く。その後、あなたはあなたの墓地からクリーチャー・カード１枚か土地カード１枚をあなたの手札に戻してもよい。</t>
  </si>
  <si>
    <t>垂直落下</t>
  </si>
  <si>
    <t>飛行を持つクリーチャー１体を対象とし、それを破壊する。</t>
  </si>
  <si>
    <t>成長のうねり</t>
  </si>
  <si>
    <t>クリーチャー１体を対象とする。ターン終了時まで、それは+2/+2の修整を受ける。あなたは、あなたの手札から土地カードを１枚戦場に出してもよい。</t>
  </si>
  <si>
    <t>成長の資質</t>
  </si>
  <si>
    <t>キッカー(２)（あなたはこの呪文を唱えるに際し、追加で(２)を支払ってもよい。）</t>
  </si>
  <si>
    <t>クリーチャー１体を対象とし、それをアンタップする。ターン終了時まで、それは+2/+2の修整を受ける。この呪文がキッカーされていたなら、代わりに、ターン終了時まで、そのクリーチャーは+4/+4の修整を受ける。</t>
  </si>
  <si>
    <t>花粉のもや</t>
  </si>
  <si>
    <t>このターンに与えられる戦闘ダメージをすべて軽減する。</t>
  </si>
  <si>
    <t>血吸いの噛み付き</t>
  </si>
  <si>
    <t>クリーチャー１体を対象とし、他のクリーチャー１体を対象とする。前者はターン終了時まで+1/+1の修整を受ける。後者はターン終了時まで-1/-1の修整を受ける。</t>
  </si>
  <si>
    <t>部族養い</t>
  </si>
  <si>
    <t>獰猛 ― あなたがパワーが４以上のクリーチャーをコントロールしているなら、代わりにあなたは１０点のライフを得る。</t>
  </si>
  <si>
    <t>大地力</t>
  </si>
  <si>
    <t>補強１ ― (１)(G)（(１)(G),このカードを捨てる：クリーチャー１体を対象とし、その上に+1/+1カウンターを１個置く。）</t>
  </si>
  <si>
    <t>祝祭の開幕</t>
  </si>
  <si>
    <t>このターン、プレイヤーに与えられるすべての戦闘ダメージを軽減する。</t>
  </si>
  <si>
    <t>川守りの恩恵</t>
  </si>
  <si>
    <t>クリーチャー１体とマーフォーク(Merfolk)最大１体を対象とし、その前者の上に+1/+1カウンターを１個置き、その後者の上に+1/+1カウンターを１個置く。</t>
  </si>
  <si>
    <t>進化の魔除け</t>
  </si>
  <si>
    <t>・あなたのライブラリーから基本土地カードを１枚探し、それを公開し、あなたの手札に加える。その後あなたのライブラリーを切り直す。</t>
  </si>
  <si>
    <t>・クリーチャー１体を対象とする。それはターン終了時まで飛行を得る。</t>
  </si>
  <si>
    <t>拠点防衛</t>
  </si>
  <si>
    <t>根の罠</t>
  </si>
  <si>
    <t>このターン、与えられる戦闘ダメージをすべて軽減する。</t>
  </si>
  <si>
    <t>恐るべき存在</t>
  </si>
  <si>
    <t>クリーチャー１体を対象とする。このターン、それ以外のクリーチャーが与えるすべての戦闘ダメージを軽減する。</t>
  </si>
  <si>
    <t>狙いは高く</t>
  </si>
  <si>
    <t>クリーチャー１体を対象とし、それをアンタップする。ターン終了時まで、それは+2/+2の修整を受けるとともに到達を得る。（それは飛行を持つクリーチャーをブロックできる。）</t>
  </si>
  <si>
    <t>活力の贈り物</t>
  </si>
  <si>
    <t>クリーチャー１体を対象とする。ターン終了時まで、それは+3/+3の修整を受けるとともに到達を得る。</t>
  </si>
  <si>
    <t>蛮族の血気</t>
  </si>
  <si>
    <t>クリーチャー１体を対象とする。それはターン終了時まで+2/+2の修整を受ける。そのクリーチャーをアンタップする。</t>
  </si>
  <si>
    <t>襲撃</t>
  </si>
  <si>
    <t>あなたがコントロールしているクリーチャー１体と、あなたがコントロールしていないクリーチャー１体を対象とする。その前者はその後者と格闘を行う。（それぞれはもう一方に自身のパワーに等しい点数のダメージを与える。）</t>
  </si>
  <si>
    <t>圧倒する咆哮</t>
  </si>
  <si>
    <t>サイクリング(５)(R)(G)(W)（(５)(R)(G)(W),このカードを捨てる：カードを１枚引く。）</t>
  </si>
  <si>
    <t>あなたが圧倒する咆哮をサイクリングしたとき、クリーチャー１体を対象とする。それはターン終了時まで+6/+6の修整を受ける。</t>
  </si>
  <si>
    <t>模範提示</t>
  </si>
  <si>
    <t>攻撃的衝動</t>
  </si>
  <si>
    <t>クリーチャー１体を対象とする。ターン終了時まで、それは+1/+1の修整を受ける。</t>
  </si>
  <si>
    <t>空を射抜く</t>
  </si>
  <si>
    <t>飛行を持つクリーチャー１体を対象とする。空を射抜くはそれに７点のダメージを与える。</t>
  </si>
  <si>
    <t>一握りの力</t>
  </si>
  <si>
    <t>クリーチャー１体を対象とする。それはターン終了時まで+2/+2の修整を受ける。対戦相手１人と激突を行う。あなたが勝った場合、そのクリーチャーは追加の+2/+2の修整を受けるとともにトランプルを得る。（激突を行う各プレイヤーは、自分のライブラリーの一番上のカードを公開し、そのカードを一番上か一番下に置く。自分のカードの点数で見たマナ・コストの方が大きいプレイヤーが勝つ。）</t>
  </si>
  <si>
    <t>絡め汁</t>
  </si>
  <si>
    <t>このターン、トランプルを持たないクリーチャーによって与えられるすべての戦闘ダメージを軽減する。</t>
  </si>
  <si>
    <t>翼切り</t>
  </si>
  <si>
    <t>各対戦相手はそれぞれ、飛行を持つクリーチャー１体を生け贄に捧げる。</t>
  </si>
  <si>
    <t>捕食者の一撃</t>
  </si>
  <si>
    <t>クリーチャー１体を対象とする。それはターン終了時まで+3/+3の修整を受けるとともにトランプルを得る。</t>
  </si>
  <si>
    <t>春の大掃除</t>
  </si>
  <si>
    <t>エンチャント１つを対象とし、それを破壊する。対戦相手１人と激突を行う。あなたが勝った場合、あなたの対戦相手がコントロールするすべてのエンチャントを破壊する。（激突を行う各プレイヤーは、自分のライブラリーの一番上のカードを公開し、そのカードを一番上か一番下に置く。自分のカードの点数で見たマナ・コストの方が大きいプレイヤーが勝つ。）</t>
  </si>
  <si>
    <t>満ちゆく月</t>
  </si>
  <si>
    <t>あなたがコントロールする狼男(Werewolf)最大１体を対象とし、それを変身させる。ターン終了時まで、あなたがコントロールするクリーチャーはトランプルを得る。</t>
  </si>
  <si>
    <t>滋養</t>
  </si>
  <si>
    <t>数の力</t>
  </si>
  <si>
    <t>クリーチャー１体を対象とする。ターン終了時まで、それはトランプルを得るとともに+X/+Xの修整を受ける。Ｘは攻撃しているクリーチャーの数である。</t>
  </si>
  <si>
    <t>大自然の反撃</t>
  </si>
  <si>
    <t>あなたがコントロールする土地１つを対象とする。ターン終了時まで、それは速攻を持つ4/4のエレメンタル(Elemental)・クリーチャーになる。それは土地でもある。このターン、それは可能ならブロックされなければならない。</t>
  </si>
  <si>
    <t>高峰の注入</t>
  </si>
  <si>
    <t>クリーチャー１体を対象とする。ターン終了時まで、それは+3/+3の修整を受ける。あなたは(Ｅ)(Ｅ)（エネルギー・カウンター２個）を得る。</t>
  </si>
  <si>
    <t>古えの憎しみ</t>
  </si>
  <si>
    <t>あなたがコントロールしているクリーチャー１体と、対戦相手がコントロールしているクリーチャー１体を対象とする。その前者が伝説であるなら、それの上に+1/+1カウンターを１個置く。その前者はその後者と格闘を行う。（それぞれはもう一方に自身のパワーに等しい点数のダメージを与える。）</t>
  </si>
  <si>
    <t>活力の波動</t>
  </si>
  <si>
    <t>連繋（秘儀(Arcane)）(１)(G)（あなたが秘儀呪文を唱えるに際し、あなたはこのカードを手札から公開して連繋コストを支払ってもよい。そうした場合、このカードの効果をその呪文に追加する。）</t>
  </si>
  <si>
    <t>活力の覆い</t>
  </si>
  <si>
    <t>あなたがコントロールする各クリーチャーを再生する。</t>
  </si>
  <si>
    <t>防護の言葉</t>
  </si>
  <si>
    <t>あなたがコントロールするクリーチャー１体を対象とする。それはターン終了時まで呪禁を得る。あなたはそのクリーチャーのタフネスに等しい点数のライフを得る。（呪禁を持つクリーチャーは、あなたの対戦相手がコントロールする呪文や能力の対象にならない。）</t>
  </si>
  <si>
    <t>定命の者の決意</t>
  </si>
  <si>
    <t>クリーチャー１体を対象とする。それはターン終了時まで、+1/+1の修整を受けるとともに破壊不能を得る。（ダメージや「破壊する」効果では、それは破壊されない。）</t>
  </si>
  <si>
    <t>剛力化</t>
  </si>
  <si>
    <t>クリーチャー１体を対象とする。ターン終了時まで、それは+4/+4の修整を受ける。</t>
  </si>
  <si>
    <t>踏み付け</t>
  </si>
  <si>
    <t>残響する勇気</t>
  </si>
  <si>
    <t>クリーチャー１体を対象とする。それと、そのクリーチャーと同じ名前を持つ他のすべてのクリーチャーは、ターン終了時まで+2/+2の修整を受ける。</t>
  </si>
  <si>
    <t>野生林の再誕</t>
  </si>
  <si>
    <t>大量の芽吹き</t>
  </si>
  <si>
    <t>再びの生</t>
  </si>
  <si>
    <t>クリーチャー１体を対象とし、それを再生する。（このターン、次にそのクリーチャーが破壊される場合、それは破壊されない。代わりに、それをタップし、それに与えられているダメージをすべて取り除き、それを戦闘から取り除く。）</t>
  </si>
  <si>
    <t>押し潰す梢</t>
  </si>
  <si>
    <t>発光する雨</t>
  </si>
  <si>
    <t>クリーチャー・タイプを１つ選ぶ。あなたは、あなたがコントロールするそのタイプのパーマネント１つにつき２点のライフを得る。</t>
  </si>
  <si>
    <t>クリーチャー１体を対象とし、それをアンタップする。ターン終了時まで、それは+2/+4の修整を受けるとともに到達を得る。（それは飛行を持つクリーチャーをブロックできる。）</t>
  </si>
  <si>
    <t>捕食者の関係</t>
  </si>
  <si>
    <t>あなたがコントロールするクリーチャー１体を対象とする。あなたはそのクリーチャーのパワーにそれのタフネスを足した値に等しい点数のライフを得る。</t>
  </si>
  <si>
    <t>切り裂く風</t>
  </si>
  <si>
    <t>飛行を持つクリーチャー１体を対象とする。切り裂く風はそれに７点のダメージを与える。</t>
  </si>
  <si>
    <t>ムラーサの胎動</t>
  </si>
  <si>
    <t>墓地からクリーチャー・カード１枚か土地カード１枚を対象とし、それをオーナーの手札に戻す。あなたは６点のライフを得る。</t>
  </si>
  <si>
    <t>大蛇の贈り物</t>
  </si>
  <si>
    <t>クリーチャー１体を対象とする。それはターン終了時まで接死を得る。（それが何らかのダメージをクリーチャーに与えた場合、それだけで破壊される。）</t>
  </si>
  <si>
    <t>暴露する風</t>
  </si>
  <si>
    <t>このターンに与えられるすべての戦闘ダメージを軽減する。あなたは攻撃またはブロックしている裏向きの各クリーチャーの表側をそれぞれ見てもよい。</t>
  </si>
  <si>
    <t>自然の繋がり</t>
  </si>
  <si>
    <t>あなたのライブラリーから基本土地カードを１枚探し、それをタップ状態で戦場に出し、その後あなたのライブラリーを切り直す。</t>
  </si>
  <si>
    <t>野生の飢え</t>
  </si>
  <si>
    <t>クリーチャー１体を対象とする。それはターン終了時まで+3/+1の修整を受けるとともにトランプルを得る。</t>
  </si>
  <si>
    <t>内静外力</t>
  </si>
  <si>
    <t>クリーチャー１体を対象とする。それはターン終了時まで+X/+Xの修整を受ける。Ｘは、あなたの手札のカードの枚数に等しい。</t>
  </si>
  <si>
    <t>光り葉の待ち伏せ</t>
  </si>
  <si>
    <t>緑の1/1のエルフ(Elf)・戦士(Warrior)クリーチャー・トークンを２体生成する。対戦相手１人と激突を行う。あなたが勝った場合、ターン終了時までそれらのクリーチャーは接死を得る。（激突を行う各プレイヤーは、自分のライブラリーの一番上のカードを公開し、そのカードを一番上か一番下に置く。自分のカードの点数で見たマナ・コストの方が大きいプレイヤーが勝つ。接死を持つクリーチャーが何らかのダメージをクリーチャーに与えたら、それだけで破壊する。）</t>
  </si>
  <si>
    <t>狩人の待ち伏せ</t>
  </si>
  <si>
    <t>このターン、緑でないクリーチャーが与えるすべての戦闘ダメージを軽減する。</t>
  </si>
  <si>
    <t>野生の寸法</t>
  </si>
  <si>
    <t>クリーチャー１体を対象とする。それはターン終了時まで+2/+2の修整を受けるとともに、トランプルを得る。</t>
  </si>
  <si>
    <t>蔦の罠</t>
  </si>
  <si>
    <t>このターン、パワーが４以下のクリーチャーが与えるすべての戦闘ダメージを軽減する。</t>
  </si>
  <si>
    <t>木こりの気概</t>
  </si>
  <si>
    <t>あなたがコントロールするクリーチャー１体を対象とする。ターン終了時まで、それは+3/+3の修整を受けるとともに呪禁を得る。（それはあなたの対戦相手がコントロールする呪文や能力の対象にならない。）</t>
  </si>
  <si>
    <t>残忍な突進</t>
  </si>
  <si>
    <t>クリーチャー１体を対象とする。それはターン終了時まで+4/+4の修整を受ける。占術２を行う。（あなたのライブラリーの一番上から２枚のカードを見て、そのうちの望む枚数のカードを望む順番であなたのライブラリーの一番下に置き、残りを望む順番で一番上に置く。）</t>
  </si>
  <si>
    <t>待ち伏せ</t>
  </si>
  <si>
    <t>あなたがコントロールするクリーチャー１体と、対戦相手がコントロールするクリーチャー１体を対象とする。ターン終了時まで、その前者は+1/+0の修整を受ける。その前者はその後者に、自身のパワーに等しい点数のダメージを与える。</t>
  </si>
  <si>
    <t>骨までの齧りつき</t>
  </si>
  <si>
    <t>あなたは、あなたの墓地にあるクリーチャー・カード１枚につき２点のライフを得る。</t>
  </si>
  <si>
    <t>フラッシュバック(２)(G)（あなたはあなたの墓地にあるこのカードを、そのフラッシュバック・コストで唱えてもよい。その後それを追放する。）</t>
  </si>
  <si>
    <t>目隠し霧</t>
  </si>
  <si>
    <t>このターン、クリーチャーに与えられるダメージをすべて軽減する。ターン終了時まで、あなたがコントロールしているクリーチャーは呪禁を得る。（それらは対戦相手がコントロールしている呪文や能力の対象にならない。）</t>
  </si>
  <si>
    <t>ピスタスの一撃</t>
  </si>
  <si>
    <t>飛行を持つクリーチャー１体を対象とし、それを破壊する。それのコントローラーは毒(poison)カウンターを１個得る。</t>
  </si>
  <si>
    <t>熊の覚醒</t>
  </si>
  <si>
    <t>クリーチャー１体を対象とする。ターン終了時まで、それは+3/+3の修整を受けるとともにトランプルを得る。</t>
  </si>
  <si>
    <t>塁壁壊し</t>
  </si>
  <si>
    <t>しがみつく霧</t>
  </si>
  <si>
    <t>窮地 ― あなたのライフが５点以下である場合、すべての攻撃クリーチャーをタップする。それらのクリーチャーは、それらのコントローラーの次のアンタップ・ステップにアンタップしない。</t>
  </si>
  <si>
    <t>異常な攻撃性</t>
  </si>
  <si>
    <t>あなたがコントロールするクリーチャー１体と対戦相手がコントロールするクリーチャー１体を対象とする。その前者はその後者と格闘を行う。このターンにその後者が死亡するなら、代わりにそれを追放する。</t>
  </si>
  <si>
    <t>樹海の咆哮</t>
  </si>
  <si>
    <t>あなたが森(Forest)をコントロールしている場合、ブロックされている各クリーチャーは、ターン終了時まで+2/+2の修整を受ける。</t>
  </si>
  <si>
    <t>連繋（秘儀(Arcane)） ― 対戦相手１人は５点のライフを得る。（あなたが秘儀呪文を唱えるに際し、あなたはこのカードを手札から公開して連繋コストを支払ってもよい。そうした場合、このカードの効果をその呪文に追加する。）</t>
  </si>
  <si>
    <t>砕土</t>
  </si>
  <si>
    <t>あなたのライブラリーから、基本土地カードを最大２枚まで探し、それらを戦場に出す。その後あなたのライブラリーを切り直す。</t>
  </si>
  <si>
    <t>ツキノテブクロの毒</t>
  </si>
  <si>
    <t>クリーチャー１体を対象とする。ターン終了時まで、それは接死を得る。（それが何らかのダメージをクリーチャーに与えたら、それだけで破壊する。）</t>
  </si>
  <si>
    <t>空中捕食</t>
  </si>
  <si>
    <t>飛行を持つクリーチャー１体を対象とし、それを破壊する。あなたは２点のライフを得る。</t>
  </si>
  <si>
    <t>傷跡の治療</t>
  </si>
  <si>
    <t>クリーチャー１体を対象とし、それを再生する。あなたはそのクリーチャーのタフネスに等しい点数のライフを得る。</t>
  </si>
  <si>
    <t>道理を超えた力</t>
  </si>
  <si>
    <t>昂揚 ― あなたの墓地にあるカードにカード・タイプが合計４種類以上含まれるなら、代わりに、そのクリーチャーの上に+1/+1カウンターを３個置く。</t>
  </si>
  <si>
    <t>カメレオンのぼやかし</t>
  </si>
  <si>
    <t>このターン、クリーチャーがプレイヤーに与えるすべてのダメージを軽減する。</t>
  </si>
  <si>
    <t>生命の運命</t>
  </si>
  <si>
    <t>この呪文を唱えるための追加コストとして、あなたの手札にあるクリーチャー・カード１枚を公開する。</t>
  </si>
  <si>
    <t>あなたはその公開したカードの点数で見たマナ・コストに等しい点数のライフを得る。</t>
  </si>
  <si>
    <t>力の合唱</t>
  </si>
  <si>
    <t>クリーチャー１体を対象とする。それはターン終了時まで、あなたがコントロールするクリーチャー１体につき+1/+1の修整を受けるとともにトランプルを得る。</t>
  </si>
  <si>
    <t>鬱後家蜘蛛の饗宴</t>
  </si>
  <si>
    <t>飛行を持つクリーチャー１体を対象とし、それを破壊する。そのクリーチャーが青か黒である場合、到達を持つ緑の1/2の蜘蛛(Spider)クリーチャー・トークンを１体生成する。（それは飛行を持つクリーチャーをブロックできる。）</t>
  </si>
  <si>
    <t>突撃の鈍化</t>
  </si>
  <si>
    <t>あなたは戦場に出ているクリーチャー１体につき１点のライフを得る。このターンに与えられるすべての戦闘ダメージを軽減する。</t>
  </si>
  <si>
    <t>龍鱗の加護</t>
  </si>
  <si>
    <t>クリーチャー１体を対象とする。それの上に+1/+1カウンターを２個置き、それをアンタップする。</t>
  </si>
  <si>
    <t>切翼の宴</t>
  </si>
  <si>
    <t>飛行を持つクリーチャー１体を対象とし、それを破壊する。鼓舞２を行う。（あなたがコントロールするクリーチャーの中で最も小さいタフネスを持つクリーチャーを１体選び、それの上に+1/+1カウンターを２個置く。）</t>
  </si>
  <si>
    <t>種のばら撒き</t>
  </si>
  <si>
    <t>緑の1/1の苗木(Saproling)クリーチャー・トークンを３体生成する。</t>
  </si>
  <si>
    <t>根組み</t>
  </si>
  <si>
    <t>クリーチャーでないパーマネント１つを対象とし、それを破壊する。あなたがツリーフォーク(Treefolk)をコントロールしている場合、カードを１枚引く。</t>
  </si>
  <si>
    <t>森の報奨</t>
  </si>
  <si>
    <t>(５)(G)</t>
  </si>
  <si>
    <t>プレイヤー１人を対象とする。そのプレイヤーは８点のライフを得る。</t>
  </si>
  <si>
    <t>基本土地サイクリング(１)(G)（(１)(G),このカードを捨てる：あなたのライブラリーから基本土地カードを１枚探す。それを公開し、あなたの手札に加える。その後あなたのライブラリーを切り直す。）</t>
  </si>
  <si>
    <t>ドライアドの愛撫</t>
  </si>
  <si>
    <t>あなたは、戦場に出ているクリーチャー１体につき１点のライフを得る。ドライアドの愛撫を唱えるために(W)が使われた場合、あなたがコントロールするすべてのクリーチャーをアンタップする。</t>
  </si>
  <si>
    <t>地勢</t>
  </si>
  <si>
    <t>あなたのライブラリーから、基本土地カードを１枚探す。それを公開し、あなたの手札に加える。その後、あなたのライブラリーを切り直す。</t>
  </si>
  <si>
    <t>撃墜</t>
  </si>
  <si>
    <t>・飛行を持つクリーチャー１体を対象とする。撃墜はそれに４点のダメージを与える。</t>
  </si>
  <si>
    <t>・撃墜は飛行を持つ各クリーチャーにそれぞれ１点のダメージを与える。</t>
  </si>
  <si>
    <t>生育</t>
  </si>
  <si>
    <t>クリーチャーＸ体を対象とする。それらの上に+1/+1カウンターをそれぞれ１個置く。</t>
  </si>
  <si>
    <t>冒険の衝動</t>
  </si>
  <si>
    <t>あなたのライブラリーの一番上からカードを３枚見る。あなたはその中からクリーチャーか土地であるカード１枚を公開してあなたの手札に加えてもよい。残りをあなたのライブラリーの一番下に望む順番で置く。</t>
  </si>
  <si>
    <t>自然との融和</t>
  </si>
  <si>
    <t>あなたのライブラリーのカードを上から５枚見る。あなたはそれらの中からクリーチャー・カードを１枚公開し、それをあなたの手札に加えてもよい。残りをあなたのライブラリーの一番下に望む順番で置く。</t>
  </si>
  <si>
    <t>霊気との調和</t>
  </si>
  <si>
    <t>あなたのライブラリーから基本土地カード１枚を探し、それを公開してあなたの手札に加え、その後あなたのライブラリーを切り直す。あなたは(Ｅ)(Ｅ)（エネルギー・カウンター２個）を得る。</t>
  </si>
  <si>
    <t>追い詰め</t>
  </si>
  <si>
    <t>クリーチャー１体とクリーチャー１体を対象とする。このターン、前者は可能ならば後者をブロックする。</t>
  </si>
  <si>
    <t>恐竜との融和</t>
  </si>
  <si>
    <t>あなたのライブラリーの一番上からカードを５枚見る。あなたはその中から、恐竜(Dinosaur)か土地であるカード１枚を公開してあなたの手札に加えてもよい。残りをあなたのライブラリーの一番下に望む順番で置く。</t>
  </si>
  <si>
    <t>古きものの活性</t>
  </si>
  <si>
    <t>あなたのライブラリーの一番上から５枚のカードを見る。あなたはその中から無色のカードを１枚公開し、それをあなたの手札に加えてもよい。その後、残りをあなたのライブラリーの一番下に望む順番で置く。（マナ・コストに色マナがないカードは無色である。土地もまた無色である。）</t>
  </si>
  <si>
    <t>捕食</t>
  </si>
  <si>
    <t>あなたがコントロールするクリーチャー１体と、あなたがコントロールしていないクリーチャー１体を対象とする。その前者はその後者と格闘を行う。（それぞれはもう一方に自身のパワーに等しい点数のダメージを与える。）</t>
  </si>
  <si>
    <t>スライム成形</t>
  </si>
  <si>
    <t>緑のX/Xのウーズ(Ooze)・クリーチャー・トークンを１体生成する。</t>
  </si>
  <si>
    <t>隊商の夜番</t>
  </si>
  <si>
    <t>あなたのライブラリーから基本土地カードを１枚探し、それを公開してあなたの手札に加える。その後、あなたのライブラリーを切り直す。</t>
  </si>
  <si>
    <t>陰鬱 ― このターン、クリーチャーが死亡していた場合、あなたはそのカードをあなたの手札に加える代わりに戦場に出してもよい。</t>
  </si>
  <si>
    <t>凶暴な殴打</t>
  </si>
  <si>
    <t>あなたがコントロールするクリーチャー１体とあなたがコントロールしていないクリーチャー１体を対象とする。その前者はその後者と格闘を行う。</t>
  </si>
  <si>
    <t>獰猛 ― あなたがパワーが４以上のクリーチャーをコントロールしているなら、格闘を行う前に、ターン終了時までその前者は+2/+2の修整を受ける。</t>
  </si>
  <si>
    <t>未開地の捜索</t>
  </si>
  <si>
    <t>あなたのライブラリーの一番上から４枚のカードを見る。あなたはその中からクリーチャー・カード１枚か土地カード１枚を公開してあなたの手札に加えてもよい。残りをあなたのライブラリーの一番下に望む順番で置く。</t>
  </si>
  <si>
    <t>北方行</t>
  </si>
  <si>
    <t>あなたのライブラリーから氷雪土地カードを１枚探し、それをタップ状態で戦場に出す。その後あなたのライブラリーを切り直す。</t>
  </si>
  <si>
    <t>気宇壮大</t>
  </si>
  <si>
    <t>クリーチャー１体を対象とする。ターン終了時まで、それは+4/+4の修整を受けるとともにトランプルを得る。</t>
  </si>
  <si>
    <t>生き返り</t>
  </si>
  <si>
    <t>あなたの墓地にある緑のカード１枚を対象とし、それをあなたの手札に戻す。</t>
  </si>
  <si>
    <t>勇壮な対決</t>
  </si>
  <si>
    <t>あなたがコントロールするクリーチャー１体と、あなたがコントロールしていないクリーチャー１体を対象とする。ターン終了時まで、その前者は+1/+2の修整を受ける。その前者はその後者と格闘を行う。（それぞれはもう一方に自身のパワーに等しい点数のダメージを与える。）</t>
  </si>
  <si>
    <t>壊れた絆</t>
  </si>
  <si>
    <t>アーティファクト１つかエンチャント１つを対象とし、それを破壊する。あなたは、あなたの手札から土地カード１枚を戦場に出してもよい。</t>
  </si>
  <si>
    <t>不屈の自然</t>
  </si>
  <si>
    <t>あなたのライブラリーから基本土地カードを１枚探し、そのカードをタップ状態で戦場に出す。その後あなたのライブラリーを切り直す。</t>
  </si>
  <si>
    <t>旅の準備</t>
  </si>
  <si>
    <t>クリーチャーを最大２体まで対象とし、それらの上に+1/+1カウンターをそれぞれ１個置く。</t>
  </si>
  <si>
    <t>フラッシュバック(１)(W)（あなたはあなたの墓地にあるこのカードを、そのフラッシュバック・コストで唱えてもよい。その後それを追放する。）</t>
  </si>
  <si>
    <t>植生噴出</t>
  </si>
  <si>
    <t>クリーチャー１体を対象とする。それはターン終了時まで+5/+5の修整を受ける。</t>
  </si>
  <si>
    <t>遥か見</t>
  </si>
  <si>
    <t>あなたのライブラリーから平地(Plains)カードか島(Island)カードか沼(Swamp)カードか山(Mountain)カードを１枚探し、それをタップ状態で戦場に出す。その後あなたのライブラリーを切り直す。</t>
  </si>
  <si>
    <t>秋の際</t>
  </si>
  <si>
    <t>あなたが４つ以下の土地をコントロールしている場合、あなたのライブラリーから基本土地カードを１枚探し、それをタップ状態で戦場に出し、その後あなたのライブラリーを切り直す。</t>
  </si>
  <si>
    <t>サイクリング ― 土地を１つ生け贄に捧げる。（土地を１つ生け贄に捧げる,このカードを捨てる：カードを１枚引く。）</t>
  </si>
  <si>
    <t>苗木の移牧</t>
  </si>
  <si>
    <t>緑の1/1の苗木(Saproling)クリーチャー・トークンを２体生成する。この呪文がキッカーされていたなら、代わりに、そのトークンを４体生成する。</t>
  </si>
  <si>
    <t>大地の武装</t>
  </si>
  <si>
    <t>パーマネント１つを対象とし、それの上に+1/+1カウンターを２個置く。</t>
  </si>
  <si>
    <t>覚醒４ ― (６)(G)（この呪文を(６)(G)で唱えたなら、加えて、あなたがコントロールする土地１つを対象とする。それの上に+1/+1カウンターを４個置く。それは速攻を持つ0/0のエレメンタル(Elemental)・クリーチャーになる。それは土地でもある。）</t>
  </si>
  <si>
    <t>狂気の一咬み</t>
  </si>
  <si>
    <t>あなたがコントロールしているクリーチャー１体と、あなたがコントロールしていないクリーチャー１体を対象とする。その前者はその後者に、自身のパワーに等しい点数のダメージを与える。</t>
  </si>
  <si>
    <t>根囲い</t>
  </si>
  <si>
    <t>あなたのライブラリーのカードを上から４枚公開する。これにより公開されたすべての土地カードをあなたの手札に加え、残りをあなたの墓地に置く。</t>
  </si>
  <si>
    <t>超巨大化</t>
  </si>
  <si>
    <t>クリーチャー１体を対象とする。それはターン終了時まで+4/+4の修整を受ける。</t>
  </si>
  <si>
    <t>探検</t>
  </si>
  <si>
    <t>このターン、あなたは追加の土地を１枚プレイしてもよい。</t>
  </si>
  <si>
    <t>神々との融和</t>
  </si>
  <si>
    <t>あなたのライブラリーの一番上から５枚のカードを公開する。あなたは、それらの中にあるクリーチャー・カードかエンチャント・カードを１枚あなたの手札に加えてもよい。残りをあなたの墓地に置く。</t>
  </si>
  <si>
    <t>分かれ道</t>
  </si>
  <si>
    <t>あなたのライブラリーから基本土地カードを最大２枚まで探し、それらを公開する。そのうち１枚をあなたの手札に加え、もう１枚をあなたの墓地に置く。その後、あなたのライブラリーを切り直す。</t>
  </si>
  <si>
    <t>ニッサの巡礼</t>
  </si>
  <si>
    <t>あなたのライブラリーから基本森(Forest)カードを最大２枚まで探し、それらを公開し、１枚をタップ状態で戦場に出し、残りをあなたの手札に加える。その後、あなたのライブラリーを切り直す。</t>
  </si>
  <si>
    <t>魔巧 ― あなたの墓地にインスタント・カードやソーサリー・カードが合わせて２枚以上あるなら、あなたのライブラリーから基本森カードを最大２枚の代わりに最大３枚まで探す。</t>
  </si>
  <si>
    <t>発見の旅路</t>
  </si>
  <si>
    <t>・あなたのライブラリーから基本土地カードを最大２枚まで探す。それらを公開し、あなたの手札に加える。その後あなたのライブラリーを切り直す。</t>
  </si>
  <si>
    <t>・このターン、あなたはさらに２枚までの土地をプレイしてもよい。</t>
  </si>
  <si>
    <t>双呪(２)(G)（あなたが双呪コストを支払った場合、両方を選ぶ。）</t>
  </si>
  <si>
    <t>耕作</t>
  </si>
  <si>
    <t>あなたのライブラリーから基本土地カードを最大２枚まで探し、それらのカードを公開する。１枚をタップ状態で戦場に出し、もう一方をあなたの手札に加える。その後、あなたのライブラリーを切り直す。</t>
  </si>
  <si>
    <t>クルフィックスの洞察力</t>
  </si>
  <si>
    <t>あなたのライブラリーの一番上から６枚のカードを公開する。それらの中からエンチャント・カードを最大３枚まであなたの手札に加え、公開されたカードの残りをあなたの墓地に置く。</t>
  </si>
  <si>
    <t>巣穴の探査</t>
  </si>
  <si>
    <t>あなたのライブラリーの一番上から２枚のカードを公開する。これにより公開されたすべてのクリーチャー・カードと土地カードをあなたの手札に加え、残りをあなたのライブラリーの一番下に望む順番で置く。</t>
  </si>
  <si>
    <t>アーティファクト１つを対象とし、それを破壊する。(G)(G)(G)を加える。</t>
  </si>
  <si>
    <t>呼び声の鳴動</t>
  </si>
  <si>
    <t>緑の1/1の狼(Wolf)クリーチャー・トークンを１体生成する。それは「このクリーチャーは、すべての墓地にある《呼び声の鳴動/Sound the Call》という名前のカード１枚につき+1/+1の修整を受ける。」を持つ。</t>
  </si>
  <si>
    <t>成長の発作</t>
  </si>
  <si>
    <t>あなたのライブラリーから基本土地カードを１枚探し、それをタップ状態で戦場に出す。その後、あなたのライブラリーを切り直す。無色の0/1のエルドラージ(Eldrazi)・落とし子(Spawn)クリーチャー・トークンを１体生成する。それは「このクリーチャーを生け贄に捧げる：(◇)を加える。」を持つ。</t>
  </si>
  <si>
    <t>荒野の地図作成</t>
  </si>
  <si>
    <t>あなたのライブラリーから基本土地カードを１枚探し、それをタップ状態で戦場に出し、その後、あなたのライブラリーを切り直す。鼓舞１を行う。（あなたがコントロールするクリーチャーの中で最も小さいタフネスを持つクリーチャーを１体選び、それの上に+1/+1カウンターを１個置く。）</t>
  </si>
  <si>
    <t>木霊の手の内</t>
  </si>
  <si>
    <t>あなたのライブラリーから基本土地カードを最大２枚まで探し、それを公開する。１枚をタップ状態で戦場に出し、もう１枚をあなたの手札に加える。その後あなたのライブラリーを切り直す。</t>
  </si>
  <si>
    <t>末裔の呼び出し</t>
  </si>
  <si>
    <t>無色の1/1のエルドラージ(Eldrazi)・末裔(Scion)クリーチャー・トークンを２体生成する。それらは「このクリーチャーを生け贄に捧げる：(◇)を加える。」を持つ。</t>
  </si>
  <si>
    <t>選別の印</t>
  </si>
  <si>
    <t>クリーチャー１体を対象とする。このターン、それは可能ならブロックする。</t>
  </si>
  <si>
    <t>砂の下から</t>
  </si>
  <si>
    <t>あなたのライブラリーから基本土地カード１枚を探し、それをタップ状態で戦場に出し、その後あなたのライブラリーを切り直す。</t>
  </si>
  <si>
    <t>ガルガンチュアンの贈り物</t>
  </si>
  <si>
    <t>あなたのライブラリーのカードを一番上から４枚見る。あなたはそれらの中からクリーチャー・カード１枚か土地カード１枚かその両方を公開し、その公開したカードをあなたの手札に加えてもよい。残りをあなたのライブラリーの一番下に望む順番で置く。</t>
  </si>
  <si>
    <t>食餌の時間</t>
  </si>
  <si>
    <t>あなたの対戦相手がコントロールするクリーチャー１体と、あなたがコントロールするクリーチャー１体を対象とする。このターン、その前者が死亡したとき、あなたは３点のライフを得る。その後者はその前者と格闘を行う。（それぞれはもう一方に自身のパワーに等しい点数のダメージを与える。）</t>
  </si>
  <si>
    <t>明日への探索</t>
  </si>
  <si>
    <t>あなたのライブラリーから基本土地カードを１枚探し、それを戦場に出す。その後あなたのライブラリーを切り直す。</t>
  </si>
  <si>
    <t>待機２ ― (G)（このカードをあなたの手札から唱えるのではなく、(G)を支払うとともにそれを時間(time)カウンターが２個置かれた状態で追放する。あなたのアップキープの開始時に、時間カウンターを１個取り除く。最後の１個を取り除いたとき、それをそのマナ・コストを支払うことなく唱える。）</t>
  </si>
  <si>
    <t>境界の偵察</t>
  </si>
  <si>
    <t>あなたのライブラリーの一番上から５枚のカードを公開する。あなたは、それらの中にあるクリーチャー・カードか土地カードを１枚あなたの手札に加えてもよい。残りをあなたの墓地に置く。</t>
  </si>
  <si>
    <t>ロナスの施し</t>
  </si>
  <si>
    <t>あなたのライブラリーの一番上からカードを５枚公開する。あなたはその中からクリーチャー・カード最大１枚とエンチャント・カード最大１枚をあなたの手札に加えてもよい。残りをあなたの墓地に置く。</t>
  </si>
  <si>
    <t>灰からの成長</t>
  </si>
  <si>
    <t>あなたのライブラリーから基本土地カード１枚を探して戦場に出し、その後あなたのライブラリーを切り直す。この呪文がキッカーされていたなら、代わりに、あなたのライブラリーから基本土地カード２枚を探して戦場に出し、その後あなたのライブラリーを切り直す。</t>
  </si>
  <si>
    <t>ムウォンヴーリーの酸苔</t>
  </si>
  <si>
    <t>土地１つを対象とし、それを破壊する。あなたのライブラリーから森(Forest)カードを１枚探し、そのカードをタップ状態で戦場に出す。その後あなたのライブラリーを切り直す。</t>
  </si>
  <si>
    <t>狩人の饗宴</t>
  </si>
  <si>
    <t>望む数のプレイヤーを対象とする。それらのプレイヤーは６点のライフを得る。</t>
  </si>
  <si>
    <t>レインジャーの道</t>
  </si>
  <si>
    <t>あなたのライブラリーから森(Forest)カードを最大２枚まで探し、それらをタップ状態で戦場に出す。その後、あなたのライブラリーを切り直す。</t>
  </si>
  <si>
    <t>気楽な休止</t>
  </si>
  <si>
    <t>あなたがコントロールする土地１つにつき、あなたは１点のライフを得る。</t>
  </si>
  <si>
    <t>獣狩り</t>
  </si>
  <si>
    <t>あなたのライブラリーのカードを一番上から３枚公開する。これにより公開されたすべてのクリーチャー・カードをあなたの手札に加え、残りをあなたの墓地に置く。</t>
  </si>
  <si>
    <t>あなたがコントロールしているクリーチャー１体と、あなたがコントロールしていないクリーチャー１体を対象とする。その前者の上に+1/+1カウンターを１個置く。その後、その前者はその後者と格闘を行う。（それぞれはもう一方に自身のパワーに等しい点数のダメージを与える。）</t>
  </si>
  <si>
    <t>冒涜の疫病</t>
  </si>
  <si>
    <t>エンチャント１つか土地１つを対象とし、それを破壊する。</t>
  </si>
  <si>
    <t>無形の育成</t>
  </si>
  <si>
    <t>あなたのライブラリーの一番上のカードを予示し、その後、それの上に+1/+1カウンターを１個置く。（カードを予示するには、それを裏向きの状態で2/2クリーチャーとして戦場に出す。それがクリーチャー・カードであるなら、そのマナ・コストでいつでも表向きにしてよい。）</t>
  </si>
  <si>
    <t>刈り取りと種まき</t>
  </si>
  <si>
    <t>・あなたのライブラリーから土地カードを１枚探し、それを戦場に出す。その後あなたのライブラリーを切り直す。</t>
  </si>
  <si>
    <t>双呪(１)(G)（あなたが双呪コストを支払った場合、両方を選ぶ。）</t>
  </si>
  <si>
    <t>残忍な競争</t>
  </si>
  <si>
    <t>あなたがコントロールするクリーチャー１体と、他のクリーチャー１体を対象とする。前者の上に+1/+1カウンターを１個置く。このターン、後者は可能ならば前者をブロックする。</t>
  </si>
  <si>
    <t>怪物化</t>
  </si>
  <si>
    <t>野性の本能</t>
  </si>
  <si>
    <t>あなたがコントロールするクリーチャー１体と、対戦相手がコントロールするクリーチャー１体を対象とする。ターン終了時まで、その前者は+2/+2の修整を受ける。その前者はその後者と格闘を行う。（それぞれはもう一方に自身のパワーに等しい点数のダメージを与える。</t>
  </si>
  <si>
    <t>根絶やし</t>
  </si>
  <si>
    <t>土地１つを対象とし、それをオーナーのライブラリーの一番上に置く。</t>
  </si>
  <si>
    <t>豊潤な収穫</t>
  </si>
  <si>
    <t>あなたは、あなたがコントロールする土地１つにつき１点のライフを得る。</t>
  </si>
  <si>
    <t>魂の力</t>
  </si>
  <si>
    <t>クリーチャー１体を対象とし、それの上に+1/+1カウンターをＸ個置く。Ｘは、そのクリーチャーのパワーである。</t>
  </si>
  <si>
    <t>自然の泉</t>
  </si>
  <si>
    <t>道三の最古の詠唱</t>
  </si>
  <si>
    <t>蜘蛛の陰影</t>
  </si>
  <si>
    <t>エンチャントされているクリーチャーは+1/+1の修整を受けるとともに到達を持つ。（それは飛行を持つクリーチャーをブロックできる。）</t>
  </si>
  <si>
    <t>蔦織り</t>
  </si>
  <si>
    <t>(４)(G)：あなたの墓地にある蔦織りをあなたの手札に戻す。</t>
  </si>
  <si>
    <t>強制順応</t>
  </si>
  <si>
    <t>あなたのアップキープの開始時に、エンチャントされているクリーチャーの上に+1/+1カウンターを１個置く。</t>
  </si>
  <si>
    <t>発生の器</t>
  </si>
  <si>
    <t>(１)(G),発生の器を生け贄に捧げる：あなたのライブラリーの一番上から４枚のカードを公開する。あなたは、その中からアーティファクト・カード１枚かクリーチャー・カード１枚かエンチャント・カード１枚か土地カード１枚かプレインズウォーカー・カード１枚をあなたの手札に加えてもよい。残りをあなたの墓地に置く。</t>
  </si>
  <si>
    <t>都の芽吹き</t>
  </si>
  <si>
    <t>エンチャントされている土地は「他の各プレイヤーのアンタップ・ステップにこの土地をアンタップする。」を持つ。</t>
  </si>
  <si>
    <t>楽園の拡散</t>
  </si>
  <si>
    <t>エンチャント（森(Forest)）</t>
  </si>
  <si>
    <t>楽園の拡散が戦場に出るに際し、色を１色選ぶ。</t>
  </si>
  <si>
    <t>エンチャントされている森がマナを引き出す目的でタップされるたび、それのコントローラーは自分のマナ・プールに選ばれた色のマナ１点を加える（そのマナは、その土地が生み出すマナに追加で加えられる）。</t>
  </si>
  <si>
    <t>ヴィリジアンの収穫</t>
  </si>
  <si>
    <t>エンチャントされているアーティファクトがいずれかの墓地に置かれたとき、あなたは６点のライフを得る。</t>
  </si>
  <si>
    <t>生い茂る成長</t>
  </si>
  <si>
    <t>エンチャントされている土地は山(Mountain)であり森(Forest)であり平地(Plains)である。</t>
  </si>
  <si>
    <t>豊かな成長</t>
  </si>
  <si>
    <t>豊かな成長が戦場に出たとき、カードを１枚引く。</t>
  </si>
  <si>
    <t>エンチャントされている土地は「(Ｔ)：好きな色１色のマナ１点を加える。」を持つ。</t>
  </si>
  <si>
    <t>通りの気転</t>
  </si>
  <si>
    <t>エンチャントされているクリーチャーは、+0/+2の修整を受けるとともに、土地渡り能力を持つクリーチャーを、それがその能力を持っていないかのようにブロックできる。</t>
  </si>
  <si>
    <t>原初の繭</t>
  </si>
  <si>
    <t>エンチャントされているクリーチャーが攻撃かブロックしたとき、原初の繭を生け贄に捧げる。</t>
  </si>
  <si>
    <t>枷はずれな成長</t>
  </si>
  <si>
    <t>エンチャントされている土地は「(Ｔ)：あなたのマナ・プールに、好きな色１色のマナ１点を加える。」を持つ。</t>
  </si>
  <si>
    <t>枷はずれな成長を生け贄に捧げる：カードを１枚引く。</t>
  </si>
  <si>
    <t>ドライアドの好意</t>
  </si>
  <si>
    <t>エンチャントされているクリーチャーは森渡りを持つ。（それは防御プレイヤーが森(Forest)をコントロールしているかぎりブロックされない。）</t>
  </si>
  <si>
    <t>豊穣の泉</t>
  </si>
  <si>
    <t>(１)(G),豊穣の泉を生け贄に捧げる：あなたのライブラリーから基本土地カードを１枚探してそれをタップ状態で戦場に出し、その後、あなたのライブラリーを切り直す。</t>
  </si>
  <si>
    <t>霊気の網</t>
  </si>
  <si>
    <t>エンチャントされているクリーチャーは+1/+1の修整を受けるとともに到達を持ち、シャドーを持つクリーチャーをそれがシャドーを持たないかのようにブロックできる。（到達を持つクリーチャーは飛行を持つクリーチャーをブロックできる。）</t>
  </si>
  <si>
    <t>野生林の鉤爪</t>
  </si>
  <si>
    <t>エンチャントされているクリーチャーは+1/+1の修整を受け、トランプルを持つ。（これは余剰の戦闘ダメージをこれが攻撃しているプレイヤーかプレインズウォーカーに与えることができる。）</t>
  </si>
  <si>
    <t>(２)(G)：あなたの墓地から野生林の鉤爪をあなたの手札に戻す。</t>
  </si>
  <si>
    <t>木化</t>
  </si>
  <si>
    <t>エンチャントされているクリーチャーは、基本のパワーとタフネスが0/4のツリーフォーク(Treefolk)であり、すべての能力を失う。</t>
  </si>
  <si>
    <t>鉄の樹の拳</t>
  </si>
  <si>
    <t>鉄の樹の拳が戦場に出たとき、緑の1/1の苗木(Saproling)クリーチャー・トークンを２体生成する。</t>
  </si>
  <si>
    <t>エンチャントされているクリーチャーはトランプルを持つ。</t>
  </si>
  <si>
    <t>ケイラメトラの好意</t>
  </si>
  <si>
    <t>ケイラメトラの好意が戦場に出たとき、カードを１枚引く。</t>
  </si>
  <si>
    <t>エンチャントされているクリーチャーは「(Ｔ)：好きな色１色のマナ１点を加える。」を持つ。</t>
  </si>
  <si>
    <t>肥沃な大地</t>
  </si>
  <si>
    <t>エンチャントされている土地がマナを引き出す目的でタップされるたび、その土地のコントローラーは好きな色１色のマナ１点を追加で加える。</t>
  </si>
  <si>
    <t>物静かな破損</t>
  </si>
  <si>
    <t>エンチャント（アーティファクトかエンチャント）</t>
  </si>
  <si>
    <t>あなたのアップキープの開始時に、以下から１つを選ぶ。</t>
  </si>
  <si>
    <t>・エンチャントされているパーマネントを破壊する。</t>
  </si>
  <si>
    <t>・あなたは２点のライフを得る。</t>
  </si>
  <si>
    <t>ナイレアの存在</t>
  </si>
  <si>
    <t>ナイレアの存在が戦場に出たとき、カードを１枚引く。</t>
  </si>
  <si>
    <t>エンチャントされている土地は、他のタイプに加えてすべての基本土地タイプでもある。</t>
  </si>
  <si>
    <t>蜘蛛の網のマントル</t>
  </si>
  <si>
    <t>エンチャントされているクリーチャーは+1/+3の修整を受けるとともに到達を持つ。（それは飛行を持つクリーチャーをブロックできる。）</t>
  </si>
  <si>
    <t>葉冠のドライアド</t>
  </si>
  <si>
    <t>授与(３)(G)（このカードを授与コストで唱えた場合、これはエンチャント（クリーチャー）を持つオーラ(Aura)呪文である。クリーチャーにつけられていない場合、これは再びクリーチャーになる。）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</si>
  <si>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エンチャントされているクリーチャーは+2/+2の修整を受けるとともに到達を持つ。</t>
  </si>
  <si>
    <t>原基の印章</t>
  </si>
  <si>
    <t>原基の印章を生け贄に捧げる：アーティファクト１つかエンチャント１つを対象とし、それを破壊する。</t>
  </si>
  <si>
    <t>樹上の篭手</t>
  </si>
  <si>
    <t>エンチャントされているクリーチャーは、+1/+1の修整を受けるとともに飛行を持つクリーチャーによってしかブロックされない。</t>
  </si>
  <si>
    <t>接地</t>
  </si>
  <si>
    <t>エンチャントされているクリーチャーは飛行を失う。</t>
  </si>
  <si>
    <t>カルニの心臓の探検</t>
  </si>
  <si>
    <t>上陸 ― 土地が１つあなたのコントロール下で戦場に出るたび、あなたはカルニの心臓の探検の上に探索(quest)カウンターを１個置いてもよい。</t>
  </si>
  <si>
    <t>カルニの心臓の探検から探索カウンターを３個取り除くとともに、それを生け贄に捧げる：あなたのライブラリーから基本土地カードを最大２枚まで探し、それらをタップ状態で戦場に出し、その後あなたのライブラリーを切り直す。</t>
  </si>
  <si>
    <t>ユートピアの誓約</t>
  </si>
  <si>
    <t>エンチャントされているクリーチャーは「(Ｔ)：あなたのマナ・プールに好きな色のマナ１点を加える。」を持つ。</t>
  </si>
  <si>
    <t>再生</t>
  </si>
  <si>
    <t>(G)：エンチャントされているクリーチャーを再生する。（このターン、次にこのクリーチャーが破壊される場合、それは破壊されない。代わりに、それをタップし、それに与えられているダメージをすべて取り除き、それを戦闘から取り除く。）</t>
  </si>
  <si>
    <t>ニクス生まれの狼</t>
  </si>
  <si>
    <t>授与(４)(G)（このカードを授与コストで唱えた場合、これはエンチャント（クリーチャー）を持つオーラ(Aura)呪文である。クリーチャーにつけられていない場合、これは再びクリーチャーになる。）</t>
  </si>
  <si>
    <t>はびこり</t>
  </si>
  <si>
    <t>エンチャント（土地）（これを唱える際に、土地１つを対象とする。このカードはその土地につけられている状態で戦場に出る。）</t>
  </si>
  <si>
    <t>エンチャントされている土地がマナを引き出す目的でタップされるたび、それのコントローラーは自分のマナ・プールに(G)(G)を加える（そのマナは、その土地が生み出すマナに追加で加えられる）。</t>
  </si>
  <si>
    <t>アラクナスの蜘蛛の巣</t>
  </si>
  <si>
    <t>エンチャントされているクリーチャーは攻撃したりブロックしたりできず、それの起動型能力を起動できない。</t>
  </si>
  <si>
    <t>終了ステップの開始時に、エンチャントされているクリーチャーのパワーが４以上である場合、アラクナスの蜘蛛の巣を破壊する。</t>
  </si>
  <si>
    <t>うねる力</t>
  </si>
  <si>
    <t>蛇の陰影</t>
  </si>
  <si>
    <t>エンチャントされているクリーチャーは+1/+1の修整を受けるとともに「このクリーチャーが対戦相手１人にダメージを与えるたび、あなたはカードを１枚引いてもよい。」を持つ。</t>
  </si>
  <si>
    <t>新たな地平</t>
  </si>
  <si>
    <t>新たな地平が戦場に出たとき、あなたがコントロールしているクリーチャー１体を対象とし、それの上に+1/+1カウンターを１個置く。</t>
  </si>
  <si>
    <t>エンチャントされている土地は「(Ｔ)：あなたのマナ・プールに好きな色１色のマナ２点を加える。」を持つ。</t>
  </si>
  <si>
    <t>トロール皮</t>
  </si>
  <si>
    <t>エンチャントされているクリーチャーは+2/+2の修整を受けるとともに「(１)(G)：このクリーチャーを再生する。」を持つ。（このターン、次にこのクリーチャーが破壊される場合、それは破壊されない。代わりに、それをタップし、それに与えられているダメージをすべて取り除き、それを戦闘から取り除く。）</t>
  </si>
  <si>
    <t>樫心のドライアド</t>
  </si>
  <si>
    <t>星座 ― 樫心のドライアドか他のエンチャント１つがあなたのコントロール下で戦場に出るたび、クリーチャー１体を対象とする。それはターン終了時まで+1/+1の修整を受ける。</t>
  </si>
  <si>
    <t>蛇の皮</t>
  </si>
  <si>
    <t>(G)：エンチャントされているクリーチャーを再生する。</t>
  </si>
  <si>
    <t>凶暴な飢え</t>
  </si>
  <si>
    <t>エンチャントされているクリーチャーは+1/+0の修整を受けるとともにトランプルを持つ。</t>
  </si>
  <si>
    <t>楽園の贈り物</t>
  </si>
  <si>
    <t>楽園の贈り物が戦場に出たとき、あなたは３点のライフを得る。</t>
  </si>
  <si>
    <t>エンチャントされている土地は「(Ｔ)：好きな色１色のマナ２点を加える。」を持つ。</t>
  </si>
  <si>
    <t>石化の囲い</t>
  </si>
  <si>
    <t>野蛮な影法師</t>
  </si>
  <si>
    <t>エンチャントされているクリーチャーは+2/+2の修整を受けるとともに「(１)(G)：このクリーチャーを再生する。」を持つ。</t>
  </si>
  <si>
    <t>活力のカルトーシュ</t>
  </si>
  <si>
    <t>活力のカルトーシュが戦場に出たとき、対戦相手がコントロールするクリーチャー１体を対象とする。あなたは「エンチャントされているクリーチャーはそれと格闘を行う。」を選んでもよい。（それぞれはもう一方に自身のパワーに等しい点数のダメージを与える。）</t>
  </si>
  <si>
    <t>エンチャントされているクリーチャーは+1/+1の修整を受けるとともにトランプルを持つ。</t>
  </si>
  <si>
    <t>ゴンドの存在</t>
  </si>
  <si>
    <t>エンチャントされているクリーチャーは「(Ｔ)：緑の1/1のエルフ(Elf)・戦士(Warrior)クリーチャー・トークンを１体生成する。」を持つ。</t>
  </si>
  <si>
    <t>遮蔽された高楼</t>
  </si>
  <si>
    <t>エンチャントされている土地は「(Ｔ)：あなたのマナ・プールに、好きな色１色のマナ２点を加える。」を持つ。</t>
  </si>
  <si>
    <t>獣使いの魔法印</t>
  </si>
  <si>
    <t>あなたがコントロールする、エンチャントされているクリーチャーがブロックされた状態になるたび、それはターン終了時まで、それのブロックしているクリーチャー１体につき+1/+1の修整を受ける。</t>
  </si>
  <si>
    <t>残忍な発動</t>
  </si>
  <si>
    <t>森林の好意</t>
  </si>
  <si>
    <t>エンチャントされているクリーチャーがブロックするたび、あなたは３点のライフを得る。</t>
  </si>
  <si>
    <t>ティムールの呪印</t>
  </si>
  <si>
    <t>エンチャントされているクリーチャーは、あなたが青か赤のパーマネントをコントロールしているかぎりトランプルを持つ。</t>
  </si>
  <si>
    <t>腐れ蔦の外套</t>
  </si>
  <si>
    <t>樫変化</t>
  </si>
  <si>
    <t>新緑の安息所</t>
  </si>
  <si>
    <t>新緑の安息所が戦場に出たとき、あなたは２点のライフを得る。</t>
  </si>
  <si>
    <t>エンチャントされている土地がマナを引き出す目的でタップされるたび、それのコントローラーは自分のマナ・プールに好きな色１色のマナ１点を加える（その土地が生み出すマナに追加する）。</t>
  </si>
  <si>
    <t>絡め取る蔦</t>
  </si>
  <si>
    <t>市場の祝祭</t>
  </si>
  <si>
    <t>エンチャントされている土地がマナを引き出す目的でタップされるたび、それのコントローラーは好きな色の組み合わせのマナ２点を追加で加える。</t>
  </si>
  <si>
    <t>夜明けの反射</t>
  </si>
  <si>
    <t>エンチャントされている土地がマナを引き出す目的でタップされるたび、それのコントローラーは追加で好きな色の組み合わせのマナ２点を加える。</t>
  </si>
  <si>
    <t>蔦馬の手綱</t>
  </si>
  <si>
    <t>エンチャントされているクリーチャーが死亡したとき、あなたはあなたの墓地にある蔦馬の手綱を、そのクリーチャーと同じクリーチャー・タイプを持つクリーチャー１体につけた状態で戦場に戻してもよい。</t>
  </si>
  <si>
    <t>巨森のゼンディコン</t>
  </si>
  <si>
    <t>エンチャントされている土地は、緑の6/4のエレメンタル(Elemental)・クリーチャーである。それは土地でもある。</t>
  </si>
  <si>
    <t>狼族の絆</t>
  </si>
  <si>
    <t>狼族の絆が戦場に出たとき、緑の2/2の狼(Wolf)クリーチャー・トークンを１体生成する。</t>
  </si>
  <si>
    <t>定命の者の大敵</t>
  </si>
  <si>
    <t>星座 ― 定命の者の大敵か他のエンチャント１つがあなたのコントロール下で戦場に出るたび、あなたがコントロールするクリーチャーはターン終了時までトランプルを得る。</t>
  </si>
  <si>
    <t>香杉の源獣</t>
  </si>
  <si>
    <t xml:space="preserve">(２)：エンチャントされている森は、ターン終了時まで緑の4/4のスピリット(Spirit)・クリーチャーになる。それは土地でもある。 </t>
  </si>
  <si>
    <t>エンチャントされている森が墓地に置かれたとき、あなたの墓地にある香杉の源獣をあなたの手札に戻してもよい。</t>
  </si>
  <si>
    <t>霊の花輪</t>
  </si>
  <si>
    <t>エンチャントされているクリーチャーは+X/+Xの修整を受ける。Ｘは、あなたの墓地にあるクリーチャー・カードの総数に等しい。</t>
  </si>
  <si>
    <t>森のこだま</t>
  </si>
  <si>
    <t>あなたが激突を行い勝つたび、あなたはカードを１枚引いてもよい。（この能力は、激突が終わった後で誘発する。）</t>
  </si>
  <si>
    <t>第六感</t>
  </si>
  <si>
    <t>エンチャントされているクリーチャーは「このクリーチャーがプレイヤー１人に戦闘ダメージを与えるたび、あなたはカードを１枚引いてもよい。」を持つ。</t>
  </si>
  <si>
    <t>鋭い感覚</t>
  </si>
  <si>
    <t>蜘蛛の巣</t>
  </si>
  <si>
    <t>エンチャントされているクリーチャーは、+0/+2の修整を受けるとともに到達を持つ。（このクリーチャーは飛行を持つクリーチャーをブロックできる。）</t>
  </si>
  <si>
    <t>藻の蔓延</t>
  </si>
  <si>
    <t>エンチャントされている土地がタップ状態になったとき、それを破壊する。</t>
  </si>
  <si>
    <t>藻の蔓延が戦場からいずれかの墓地に置かれたとき、藻の蔓延をオーナーの手札に戻す。</t>
  </si>
  <si>
    <t>収穫の印章</t>
  </si>
  <si>
    <t>あなたのアップキープの開始時に、あなたは、あなたのライブラリーの一番上のカードをあなたの墓地に置いてもよい。</t>
  </si>
  <si>
    <t>昂揚 ― (２)(G),収穫の印章を生け贄に捧げる：あなたの墓地から、クリーチャー・カード最大１枚と土地カード最大１枚を対象とし、それらをあなたの手札に戻す。この能力は、あなたの墓地にあるカードにカード・タイプが合計４種類以上含まれるときにのみ起動できる。</t>
  </si>
  <si>
    <t>怨恨</t>
  </si>
  <si>
    <t>エンチャントされているクリーチャーは、+2/+0の修整を受けるとともにトランプルを持つ。</t>
  </si>
  <si>
    <t>怨恨が戦場からいずれかの墓地に置かれたとき、怨恨をオーナーの手札に戻す。</t>
  </si>
  <si>
    <t>復活の探索</t>
  </si>
  <si>
    <t>あなたがコントロールするクリーチャーがタップ状態になるたび、あなたは復活の探索の上に探索(quest)カウンターを１個置いてもよい。</t>
  </si>
  <si>
    <t>復活の探索の上に探索カウンターが４個以上置かれているかぎり、他の各プレイヤーのアンタップ・ステップの間にあなたがコントロールするすべてのクリーチャーをアンタップする。</t>
  </si>
  <si>
    <t>倒れた者からの力</t>
  </si>
  <si>
    <t>星座 ― 倒れた者からの力か他のエンチャント１つがあなたのコントロール下で戦場に出るたび、クリーチャー１体を対象とする。それはターン終了時まで+X/+Xの修整を受ける。Ｘは、あなたの墓地にあるクリーチャー・カードの総数である。</t>
  </si>
  <si>
    <t>怒りの発散</t>
  </si>
  <si>
    <t>あなたがコントロールするクリーチャーはトランプルを持つ。（あなたがコントロールするクリーチャーが、自身をブロックしているすべてのクリーチャーを破壊するのに十分な戦闘ダメージを割り振る場合、あなたはその残りのダメージを防御プレイヤーかプレインズウォーカーに割り振ってもよい。）</t>
  </si>
  <si>
    <t>ナイレアの試練</t>
  </si>
  <si>
    <t>エンチャントされているクリーチャーが攻撃するたび、その上に+1/+1カウンターを１個置く。その後、その上に+1/+1カウンターが３個以上置かれているならば、ナイレアの試練を生け贄に捧げる。</t>
  </si>
  <si>
    <t>あなたがナイレアの試練を生け贄に捧げたとき、あなたはあなたのライブラリーから基本土地カードを最大２枚まで探し、それらをタップ状態で戦場に出す。その後、あなたのライブラリーを切り直す。</t>
  </si>
  <si>
    <t>梢の覆い</t>
  </si>
  <si>
    <t>エンチャントされているクリーチャーは飛行か到達を持つクリーチャーによってしかブロックされない。</t>
  </si>
  <si>
    <t>エンチャントされているクリーチャーは、あなたの対戦相手がコントロールする呪文や能力の対象にならない。</t>
  </si>
  <si>
    <t>昇る満月</t>
  </si>
  <si>
    <t>あなたがコントロールする狼男(Werewolf)クリーチャーは、+1/+0の修整を受けるとともにトランプルを持つ。</t>
  </si>
  <si>
    <t>昇る満月を生け贄に捧げる：あなたがコントロールするすべての狼男クリーチャーを再生する。</t>
  </si>
  <si>
    <t>輝刃の探索</t>
  </si>
  <si>
    <t>あなたがコントロールするクリーチャーがクリーチャー１体に戦闘ダメージを与えるたび、あなたは輝刃の探索の上に探索(quest)カウンターを１個置いてもよい。</t>
  </si>
  <si>
    <t>輝刃の探索から探索カウンターを１個取り除くとともに、それを生け贄に捧げる：クリーチャー１体を対象とし、それの上に+1/+1カウンターを４個置く。</t>
  </si>
  <si>
    <t>丈夫な手工品</t>
  </si>
  <si>
    <t>クリーチャーが１体あなたのコントロール下で戦場に出るたび、あなたは(１)を支払ってもよい。そうしたなら、そのクリーチャーの上に+1/+1カウンターを１個置く。</t>
  </si>
  <si>
    <t>(５)(G),丈夫な手工品を生け贄に捧げる：あなたがコントロールする各クリーチャーの上に+1/+1カウンターをそれぞれ１個置く。</t>
  </si>
  <si>
    <t>最上位権限</t>
  </si>
  <si>
    <t>エンチャントされているクリーチャーは呪禁を持つとともに、２体以上のクリーチャーによってはブロックされない。</t>
  </si>
  <si>
    <t>密集した梢</t>
  </si>
  <si>
    <t>飛行を持つクリーチャーは、飛行を持つクリーチャーのみブロックできる。</t>
  </si>
  <si>
    <t>フレイアリーズの歌</t>
  </si>
  <si>
    <t>I,II ― あなたの次のターンまで、あなたがコントロールしているクリーチャーは「(Ｔ)：好きな色１色のマナ１点を加える。」を得る。</t>
  </si>
  <si>
    <t>III ― あなたがコントロールしている各クリーチャーの上に+1/+1カウンターをそれぞれ１個置く。ターン終了時まで、それらのクリーチャーは警戒とトランプルと破壊不能を得る。</t>
  </si>
  <si>
    <t>マングースの血</t>
  </si>
  <si>
    <t>マングースの血が戦場からいずれかの墓地に置かれたとき、マングースの血をオーナーの手札に戻す。</t>
  </si>
  <si>
    <t>さき子の印</t>
  </si>
  <si>
    <t>エンチャントされているクリーチャーは「このクリーチャーがプレイヤーに戦闘ダメージを与えるたび、その点数に等しい点数の(G)をあなたのマナ・プールに加える。ターン終了時まで、ステップとフェイズが終了することではこのマナはあなたのマナ・プールから失われない。」を持つ。</t>
  </si>
  <si>
    <t>菌類の勢力範囲</t>
  </si>
  <si>
    <t>(１)(G),あなたの墓地からクリーチャー・カード１枚を追放する：緑の1/1の苗木(Saproling)クリーチャー・トークンを１体生成する。</t>
  </si>
  <si>
    <t>苗木２体を生け贄に捧げる：あなたは２点のライフを得てカードを１枚引く。</t>
  </si>
  <si>
    <t>フレイアリーズの輝き</t>
  </si>
  <si>
    <t>氷雪パーマネントは、それのコントローラーのアンタップ・ステップにアンタップしない。</t>
  </si>
  <si>
    <t>木陰の小道</t>
  </si>
  <si>
    <t>飛行を持つクリーチャーでは、あなたがコントロールするクリーチャーをブロックできない。</t>
  </si>
  <si>
    <t>死すべき定め</t>
  </si>
  <si>
    <t>死すべき定めが戦場に出たとき、カードを１枚引く。</t>
  </si>
  <si>
    <t>(G)：ターン終了時まで、対戦相手がコントロールするクリーチャーは呪禁と破壊不能を失う。</t>
  </si>
  <si>
    <t>活力の試練</t>
  </si>
  <si>
    <t>活力の試練が戦場に出たとき、緑の4/2のビースト(Beast)・クリーチャー・トークンを１体生成する。</t>
  </si>
  <si>
    <t>カルトーシュ(Cartouche)が１つあなたのコントロール下で戦場に出たとき、活力の試練をオーナーの手札に戻す。</t>
  </si>
  <si>
    <t>ブランチウッドの鎧</t>
  </si>
  <si>
    <t>エンチャントされているクリーチャーは、あなたがコントロールする森(Forest)１つにつき+1/+1の修整を受ける。</t>
  </si>
  <si>
    <t>カザンドゥへの撤退</t>
  </si>
  <si>
    <t>トガリトゲ</t>
  </si>
  <si>
    <t>各戦闘で、トガリトゲは可能なら攻撃する。</t>
  </si>
  <si>
    <t>エンチャントされているクリーチャーは+4/+1の修整を受けるとともに、各戦闘で可能ならブロックする。</t>
  </si>
  <si>
    <t>_4/1</t>
  </si>
  <si>
    <t>寄せ餌</t>
  </si>
  <si>
    <t>エンチャントされているクリーチャーをブロックできるすべてのクリーチャーは、エンチャントされているクリーチャーをブロックする。</t>
  </si>
  <si>
    <t>吠え群れの復活</t>
  </si>
  <si>
    <t>あなたがコントロールする狼(Wolf)か狼男(Werewolf)である各クリーチャーは+1/+1の修整を受けるとともにトランプルを持つ。</t>
  </si>
  <si>
    <t>抜け殻</t>
  </si>
  <si>
    <t>抜け殻をオーナーの手札に戻す：クリーチャー１体を対象とし、それを再生する。</t>
  </si>
  <si>
    <t>ヴィリジアンのお祭り騒ぎ</t>
  </si>
  <si>
    <t>アーティファクトが１つ戦場から対戦相手１人の墓地に置かれるたび、あなたはカードを１枚引いてもよい。</t>
  </si>
  <si>
    <t>精霊の絆</t>
  </si>
  <si>
    <t>パワーが３以上のクリーチャーが１体あなたのコントロール下で戦場に出るたび、カードを１枚引く。</t>
  </si>
  <si>
    <t>ガイアの頌歌</t>
  </si>
  <si>
    <t>秋の憂鬱</t>
  </si>
  <si>
    <t>(B)：あなたのライブラリーの一番上のカードをあなたの墓地に置く。</t>
  </si>
  <si>
    <t>昂揚 ― あなたの終了ステップの開始時に、あなたの墓地にあるカードにカード・タイプが合計４種類以上含まれる場合、秋の憂鬱を変身させる。</t>
  </si>
  <si>
    <t>秋分の古きもの</t>
  </si>
  <si>
    <t>　色指標：〔緑〕</t>
  </si>
  <si>
    <t>クリーチャー --- ツリーフォーク(Treefolk)</t>
  </si>
  <si>
    <t>トランプル、呪禁</t>
  </si>
  <si>
    <t>強き者の発現</t>
  </si>
  <si>
    <t>パワーが５以上のクリーチャーがあなたのコントロール下で戦場に出るたび、あなたはそれの上に+1/+1カウンターを２個置いてもよい。</t>
  </si>
  <si>
    <t>重力の井戸</t>
  </si>
  <si>
    <t>飛行を持つクリーチャーが攻撃するたび、それはターン終了時まで飛行を失う。</t>
  </si>
  <si>
    <t>繁殖力</t>
  </si>
  <si>
    <t>クリーチャー１体が死亡するたび、そのクリーチャーのコントローラーはカードを１枚引いてもよい。</t>
  </si>
  <si>
    <t>獰猛さの勝利</t>
  </si>
  <si>
    <t>あなたのアップキープの開始時に、あなたがパワーが最も大きいクリーチャーをコントロールしているか、パワーが最も大きいクリーチャーのうち１体をコントロールしている場合、カードを１枚引く。</t>
  </si>
  <si>
    <t>蟻走感</t>
  </si>
  <si>
    <t>あなたのアップキープの開始時に、あなたは「あなたのライブラリーの一番上から２枚のカードをあなたの墓地に置く。」ことを選んでもよい。</t>
  </si>
  <si>
    <t>各ターンに最初に１枚以上の土地カードがいずれかの領域からあなたの墓地に置かれるたび、緑の1/1の昆虫(Insect)クリーチャー・トークンを１体生成する。</t>
  </si>
  <si>
    <t>掻き集める梢</t>
  </si>
  <si>
    <t>飛行を持つクリーチャーがあなたを攻撃するたび、掻き集める梢はそれに４点のダメージを与える。</t>
  </si>
  <si>
    <t>気高き獲物</t>
  </si>
  <si>
    <t>授与(５)(G)（このカードを授与コストで唱えた場合、これはエンチャント（クリーチャー）を持つオーラ(Aura)呪文である。クリーチャーにつけられていない場合、これは再びクリーチャーになる。）</t>
  </si>
  <si>
    <t>気高き獲物またはエンチャントされているクリーチャーをブロックできるすべてのクリーチャーはそれをブロックする。</t>
  </si>
  <si>
    <t>猪の陰影</t>
  </si>
  <si>
    <t>窒息</t>
  </si>
  <si>
    <t>島(Island)はそれのコントローラーのアンタップ・ステップにアンタップしない。</t>
  </si>
  <si>
    <t>奇妙な森</t>
  </si>
  <si>
    <t>奇妙な森が戦場に出たとき、調査を行う。（「(２),このアーティファクトを生け贄に捧げる：カードを１枚引く。」を持つ無色の手掛かり(Clue)アーティファクト・トークンを１つ生成する。）</t>
  </si>
  <si>
    <t>ナイレアの使者</t>
  </si>
  <si>
    <t>生きている地形</t>
  </si>
  <si>
    <t>エンチャントされている土地は、5/6の緑のツリーフォーク(Treefolk)・クリーチャーである。それは土地でもある。</t>
  </si>
  <si>
    <t>エムラクールの影響</t>
  </si>
  <si>
    <t>あなたが点数で見たマナ・コストが７以上のエルドラージ(Eldrazi)・クリーチャー呪文を１つ唱えるたび、カードを２枚引く。</t>
  </si>
  <si>
    <t>始まりの木の果実</t>
  </si>
  <si>
    <t>エンチャントされているクリーチャーが死亡したとき、あなたはＸ点のライフを得て、カードをＸ枚引く。Ｘは、そのクリーチャーのタフネスである。</t>
  </si>
  <si>
    <t>危険な進出</t>
  </si>
  <si>
    <t>(１),クリーチャーを１体、生け贄に捧げる：あなたのライブラリーから基本土地タイプを持つ土地カードを１枚探し、それをタップ状態で戦場に出す。その後あなたのライブラリーを切り直す。</t>
  </si>
  <si>
    <t>生網の本殿</t>
  </si>
  <si>
    <t>あなたのアップキープの開始時に、あなたがコントロールする祭殿(Shrine)１つにつき、無色の1/1のスピリット(Spirit)・クリーチャー・トークンを１体生成する。</t>
  </si>
  <si>
    <t>ゼンディカーの乱動</t>
  </si>
  <si>
    <t>土地が１つあなたのコントロール下で戦場に出るたび、緑の2/2のエレメンタル(Elemental)・クリーチャー・トークンを１体生成する。</t>
  </si>
  <si>
    <t>狼育ち</t>
  </si>
  <si>
    <t>狼育ちが戦場に出たとき、緑の2/2の狼(Wolf)クリーチャー・トークンを２体生成する。</t>
  </si>
  <si>
    <t>エンチャントされているクリーチャーは、あなたがコントロールする狼１体につき+1/+1の修整を受ける。</t>
  </si>
  <si>
    <t>鱗王の監視</t>
  </si>
  <si>
    <t>あなたのターンの戦闘の開始時に、ターン終了時まで、あなたがコントロールするタフネスが４以上のクリーチャーは+2/+2の修整を受けるとともに警戒を得る。</t>
  </si>
  <si>
    <t>栄華の防衛</t>
  </si>
  <si>
    <t>クリーチャー１体の上に-1/-1カウンターが１個置かれるたび、あなたは緑の1/1のエルフ(Elf)・戦士(Warrior)クリーチャー・トークンを１体生成してもよい。</t>
  </si>
  <si>
    <t>黄金皮の雄牛</t>
  </si>
  <si>
    <t>星座 ― 黄金皮の雄牛か他のエンチャント１つがあなたのコントロール下で戦場に出るたび、クリーチャー１体を対象とする。このターン、それは可能ならブロックされなければならない。</t>
  </si>
  <si>
    <t>_5/4</t>
  </si>
  <si>
    <t>忍耐の元型</t>
  </si>
  <si>
    <t>(６)(G)(G)</t>
  </si>
  <si>
    <t>あなたがコントロールするクリーチャーは呪禁を持つ。</t>
  </si>
  <si>
    <t>あなたの対戦相手がコントロールするクリーチャーは呪禁を失うとともに、呪禁を持つことも得ることもできない。</t>
  </si>
  <si>
    <t>腐食の突風</t>
  </si>
  <si>
    <t>(Ｘ)(緑/Φ)</t>
  </si>
  <si>
    <t>腐食の突風は飛行を持つ各クリーチャーにＸ点のダメージを与える。</t>
  </si>
  <si>
    <t>命の川</t>
  </si>
  <si>
    <t>プレイヤー１人を対象とする。そのプレイヤーはＸ点のライフを得る。</t>
  </si>
  <si>
    <t>未踏地への進入</t>
  </si>
  <si>
    <t>あなたがコントロールしているクリーチャー１体を対象とする。そ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</si>
  <si>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このターン、あなたは追加の土地を１つプレイしてもよい。</t>
  </si>
  <si>
    <t>抑え難い餌食</t>
  </si>
  <si>
    <t>クリーチャー１体を対象とする。このターン、それは可能ならブロックされなければならない。</t>
  </si>
  <si>
    <t>狩人狩り</t>
  </si>
  <si>
    <t>あなたがコントロールする緑のクリーチャー１体と、対戦相手がコントロールする緑のクリーチャー１体を対象とする。その前者はターン終了時まで+2/+2の修整を受ける。その前者はその後者と格闘を行う。</t>
  </si>
  <si>
    <t>静寂なる想起</t>
  </si>
  <si>
    <t>単一の墓地にあるカードを最大３枚まで対象とし、静寂なる想起とそれらのカードをオーナーのライブラリーに加えて切り直す。</t>
  </si>
  <si>
    <t>空掃き</t>
  </si>
  <si>
    <t>空掃きは飛行を持つ各クリーチャーに、それぞれあなたの緑への信心に等しい点数のダメージを与える。（あなたの緑への信心は、あなたがコントロールするパーマネントのマナ・コストに含まれる(G)の数に等しい。）</t>
  </si>
  <si>
    <t>ガイアの祝福</t>
  </si>
  <si>
    <t>プレイヤー１人と、そのプレイヤーの墓地にあるカード最大３枚を対象とする。そのプレイヤーは、それらのカードを自分のライブラリーに加えて切り直す。</t>
  </si>
  <si>
    <t>ガイアの祝福があなたのライブラリーからあなたの墓地に置かれたとき、あなたの墓地をあなたのライブラリーに加えて切り直す。</t>
  </si>
  <si>
    <t>自然の流儀</t>
  </si>
  <si>
    <t>あなたがコントロールするクリーチャー１体と、あなたがコントロールしていないクリーチャー１体を対象とする。ターン終了時まで、その前者は警戒とトランプルを得る。その前者はその後者に、自身のパワーに等しい点数のダメージを与える。</t>
  </si>
  <si>
    <t>残された廃墟</t>
  </si>
  <si>
    <t>あなたのライブラリーから基本土地カードを１枚探し、それを公開する。あなたが《荒地/Wastes》という名前の土地をコントロールしているなら、あなたはそのカードをタップ状態で戦場に出してもよい。そうでないなら、そのカードをあなたの手札に加える。その後、あなたのライブラリーを切り直す。</t>
  </si>
  <si>
    <t>緊急時</t>
  </si>
  <si>
    <t>あなたのライブラリーから伝説のクリーチャー・カードを１枚探す。それを公開し、あなたの手札に加える。その後あなたのライブラリーを切り直す。</t>
  </si>
  <si>
    <t>森の占術</t>
  </si>
  <si>
    <t>あなたのライブラリーから土地カードを１枚探し、それを公開してあなたの手札に加える。その後、あなたのライブラリーを切り直す。</t>
  </si>
  <si>
    <t>自然のらせん</t>
  </si>
  <si>
    <t>あなたの墓地からパーマネント・カード１枚を対象とし、それをあなたの手札に戻す。</t>
  </si>
  <si>
    <t>花盛りの夏</t>
  </si>
  <si>
    <t>このターン、あなたは土地を最大３枚までさらにプレイしてもよい。</t>
  </si>
  <si>
    <t>追跡者の本能</t>
  </si>
  <si>
    <t>あなたのライブラリーの一番上から４枚のカードを公開する。それらの中からクリーチャー・カードを１枚あなたの手札に加え、残りをあなたの墓地に置く。</t>
  </si>
  <si>
    <t>群れの結集</t>
  </si>
  <si>
    <t>あなたのライブラリーの一番上から５枚のカードを公開する。あなたは、その中からクリーチャー・カードを１枚あなたの手札に加えてもよい。残りをあなたの墓地に置く。</t>
  </si>
  <si>
    <t>魔巧 ― あなたの墓地にインスタント・カードやソーサリー・カードが合わせて２枚以上あるなら、公開されたカードの中からクリーチャー・カードを、１枚の代わりに最大２枚まであなたの手札に加える。</t>
  </si>
  <si>
    <t>雷群れの渡り</t>
  </si>
  <si>
    <t>雷群れの渡りを唱えるための追加コストとして、あなたの手札から恐竜(Dinosaur)カード１枚を公開するか(１)を支払う。</t>
  </si>
  <si>
    <t>隠匿物の防衛</t>
  </si>
  <si>
    <t>鼓舞３を行う。（あなたがコントロールするクリーチャーの中で最も小さいタフネスを持つクリーチャーを１体選び、それの上に+1/+1カウンターを３個置く。）</t>
  </si>
  <si>
    <t>暴走の先導</t>
  </si>
  <si>
    <t>あなたのライブラリーの一番上から５枚のカードを見る。あなたはその中から望む枚数のクリーチャー・カードを公開し、その公開したカードをあなたの手札に加えてもよい。残りをあなたのライブラリーの一番下に望む順番で置く。</t>
  </si>
  <si>
    <t>そう介の召喚術</t>
  </si>
  <si>
    <t>緑の1/1の蛇(Snake)クリーチャー・トークンを２体生成する。</t>
  </si>
  <si>
    <t>あなたのコントロール下でトークンでない蛇が戦場に出るたび、あなたはあなたの墓地にあるそう介の召喚術をあなたの手札に戻してもよい。</t>
  </si>
  <si>
    <t>ニッサの敗北</t>
  </si>
  <si>
    <t>森(Forest)１つか緑のエンチャント１つか緑のプレインズウォーカー１体を対象都市、それを破壊する。そのパーマネントがニッサ(Nissa)・プレインズウォーカーであったなら、カードを１枚引く。</t>
  </si>
  <si>
    <t>挑発の咆哮</t>
  </si>
  <si>
    <t>クリーチャー１体を対象とする。このターン、それをブロックできるすべてのクリーチャーはそれをブロックする。</t>
  </si>
  <si>
    <t>獰猛 ― あなたがパワーが４以上のクリーチャーをコントロールしているなら、ターン終了時まで、その対象としたクリーチャーは破壊不能を得る。</t>
  </si>
  <si>
    <t>翼わな</t>
  </si>
  <si>
    <t>凶暴な踏みつけ</t>
  </si>
  <si>
    <t>凶暴な踏みつけがあなたがコントロールしている恐竜(Dinosaur)を対象とするなら、これを唱えるためのコストは(２)少なくなる。</t>
  </si>
  <si>
    <t>喚起</t>
  </si>
  <si>
    <t>あなたの墓地からカード１枚を対象とし、それをあなたの手札に戻す。</t>
  </si>
  <si>
    <t>小道の再交差</t>
  </si>
  <si>
    <t>あなたのライブラリーの一番上のカードを、土地カードが公開されるまで公開し続ける。そのカードを戦場に出し、残りをあなたのライブラリーの一番下に望む順番で置く。対戦相手１人と激突を行う。あなたが勝った場合、小道の再交差をオーナーの手札に戻す。（激突を行う各プレイヤーは、自分のライブラリーの一番上のカードを公開し、そのカードを一番上か一番下に置く。自分のカードの点数で見たマナ・コストの方が大きいプレイヤーが勝つ。）</t>
  </si>
  <si>
    <t>蘇生の旋律</t>
  </si>
  <si>
    <t>針の嵐</t>
  </si>
  <si>
    <t>針の嵐は、すべての飛行を持つクリーチャーに４点のダメージを与える。</t>
  </si>
  <si>
    <t>蹂躙と咆哮</t>
  </si>
  <si>
    <t>アーティファクト１つとエンチャント１つを対象とし、それらを破壊する。</t>
  </si>
  <si>
    <t>真似るスライム</t>
  </si>
  <si>
    <t>緑のX/Xのウーズ(Ooze)・クリーチャー・トークンを１体生成する。Ｘは、あなたがコントロールするクリーチャーの中で最大のパワーである。</t>
  </si>
  <si>
    <t>太陽との交感</t>
  </si>
  <si>
    <t>(W)(U)(B)(R)(G)を加える。</t>
  </si>
  <si>
    <t>地平の探求</t>
  </si>
  <si>
    <t>あなたのライブラリーから基本土地カードを最大３枚まで探し、それらを公開し、あなたの手札に加える。その後あなたのライブラリーを切り直す。</t>
  </si>
  <si>
    <t>三人組の狩り</t>
  </si>
  <si>
    <t>緑の1/1のエルフ(Elf)・戦士(Warrior)クリーチャー・トークンを３体生成する。</t>
  </si>
  <si>
    <t>補強３ ― (３)(G)（(３)(G),このカードを捨てる：クリーチャー１体を対象とし、その上に+1/+1カウンターを３個置く。）</t>
  </si>
  <si>
    <t>断片の収斂</t>
  </si>
  <si>
    <t>あなたのライブラリーから平地(Plains)カード１枚と島(Island)カード１枚と沼(Swamp)カード１枚と山(Mountain)カード１枚を探す。それらのカードを公開し、あなたの手札に加える。その後、あなたのライブラリーを切り直す。</t>
  </si>
  <si>
    <t>未開の狩り</t>
  </si>
  <si>
    <t>キッカー(３)(G)（あなたがこの呪文を唱えるに際し、あなたは追加の(３)(G)を支払ってもよい。）</t>
  </si>
  <si>
    <t>あなたのライブラリーから森(Forest)カードを最大２枚まで探し、それらをタップ状態で戦場に出す。その後あなたのライブラリーを切り直す。</t>
  </si>
  <si>
    <t>この呪文がキッカーされていたなら、これにより戦場に出されたすべての森をアンタップする。それらは速攻を持つ緑の3/3のクリーチャーになる。それらは土地でもある。</t>
  </si>
  <si>
    <t>森林の案内</t>
  </si>
  <si>
    <t>あなたの墓地にあるカード１枚を対象とし、それをあなたの手札に戻す。対戦相手１人と激突を行う。あなたが勝った場合、あなたがコントロールするすべての森(Forest)をアンタップする。（激突を行う各プレイヤーは、自分のライブラリーの一番上のカードを公開し、そのカードを一番上か一番下に置く。自分のカードの点数で見たマナ・コストの方が大きいプレイヤーが勝つ。）</t>
  </si>
  <si>
    <t>森林の案内を追放する。</t>
  </si>
  <si>
    <t>流浪</t>
  </si>
  <si>
    <t>あなたのライブラリーから基本土地カードを最大２枚まで探し、それらのカードを公開し、１枚をタップ状態で戦場に出し、もう１枚をあなたの手札に加える。あなたのライブラリーを切り直し、その後占術１を行う。（あなたのライブラリーの一番上のカードを見る。あなたはそのカードをあなたのライブラリーの一番下に置いてもよい。）</t>
  </si>
  <si>
    <t>爆発的植生</t>
  </si>
  <si>
    <t>あなたのライブラリーから基本土地カードを最大２枚まで探し、それらをタップ状態で戦場に出す。その後あなたのライブラリーを切り直す。</t>
  </si>
  <si>
    <t>太古の光</t>
  </si>
  <si>
    <t>プレイヤー１人を対象とする。そのプレイヤーがコントロールするすべてのエンチャントを破壊する。</t>
  </si>
  <si>
    <t>菌類の芽吹き</t>
  </si>
  <si>
    <t>緑の1/1の苗木(Saproling)クリーチャー・トークンをＸ体生成する。Ｘは、あなたがコントロールするクリーチャーの中のパワーの最大値である。</t>
  </si>
  <si>
    <t>調和</t>
  </si>
  <si>
    <t>願い事</t>
  </si>
  <si>
    <t>あなたの墓地にあるカードを２枚、無作為に選んであなたの手札に戻す。</t>
  </si>
  <si>
    <t>忍び寄るカビ</t>
  </si>
  <si>
    <t>エルフの行列</t>
  </si>
  <si>
    <t>あなたがコントロールするエルフ(Elf)１つにつき、緑の1/1のエルフ・戦士(Warrior)クリーチャー・トークンを１体生成する。</t>
  </si>
  <si>
    <t>茨潰し</t>
  </si>
  <si>
    <t>クリーチャーでないパーマネント１つを対象とし、それを破壊する。</t>
  </si>
  <si>
    <t>創発的成長</t>
  </si>
  <si>
    <t>クリーチャー１体を対象とする。ターン終了時まで、それは+5/+5の修整を受けるとともに、このターン、可能ならブロックされなければならない。</t>
  </si>
  <si>
    <t>肥沃な想像力</t>
  </si>
  <si>
    <t>カード・タイプを１つ選ぶ。対戦相手１人を対象とする。そのプレイヤーは自分の手札を公開する。これにより公開された選ばれたタイプのカード１枚につき、緑の1/1の苗木(Saproling)クリーチャー・トークンを２体生成する。（アーティファクト、クリーチャー、エンチャント、インスタント、土地、プレインズウォーカー、ソーサリー、部族がカード・タイプである。）</t>
  </si>
  <si>
    <t>大軍の功績</t>
  </si>
  <si>
    <t>ターン終了時まで、あなたがコントロールするクリーチャーは+1/+1の修整を受けるとともにトランプルと感染を得る。（感染を持つクリーチャーは、クリーチャーに-1/-1カウンターの形でダメージを与え、プレイヤーに毒(poison)カウンターの形でダメージを与える。）</t>
  </si>
  <si>
    <t>横揺れの増長</t>
  </si>
  <si>
    <t>土地１つを対象とし、それを破壊する。横揺れの増長を唱えるために(B)が使われた場合、すべてのクリーチャーはターン終了時まで-1/-1の修整を受ける。</t>
  </si>
  <si>
    <t>胞子の噴出</t>
  </si>
  <si>
    <t>版図 ― あなたがコントロールする土地の中の基本土地タイプ１種につき、緑の1/1の苗木(Saproling)クリーチャー・トークンを１体生成する。</t>
  </si>
  <si>
    <t>木っ端みじん</t>
  </si>
  <si>
    <t>アーティファクト１つを対象とし、それを追放する。それのコントローラーの墓地と手札とライブラリーから、そのアーティファクトと同じ名前を持つカードをすべて探し、それらを追放する。その後、そのプレイヤーは自分のライブラリーを切り直す。</t>
  </si>
  <si>
    <t>循環進化</t>
  </si>
  <si>
    <t xml:space="preserve">クリーチャー１体を対象とする。それはターン終了時まで+3/+3の修整を受ける。循環進化を、その上に時間(time)カウンターが３個置かれた状態で追放する。 </t>
  </si>
  <si>
    <t>待機３ ― (２)(G)（このカードをあなたの手札から唱えるのではなく、(２)(G)を支払うとともにそれを時間カウンターが３個置かれた状態で追放してもよい。あなたのアップキープの開始時に、時間カウンターを１個取り除く。最後の１個を取り除いたとき、それをそのマナ・コストを支払うことなく唱える。）</t>
  </si>
  <si>
    <t>巨怪の猛攻</t>
  </si>
  <si>
    <t>望む数のクリーチャーを対象とする。巨怪の猛攻はそれらにＸ点のダメージをあなたの望むように分割して与える。Ｘは、あなたが巨怪の猛攻を唱える際にあなたがコントロールしていたクリーチャーの中のパワーの最大値に等しい。</t>
  </si>
  <si>
    <t>超克</t>
  </si>
  <si>
    <t>ターン終了時まで、あなたがコントロールするクリーチャーは+2/+2の修整を受けるとともにトランプルを得る。</t>
  </si>
  <si>
    <t>捕食の焦点</t>
  </si>
  <si>
    <t>あなたは「このターン、あなたがコントロールするクリーチャーは、それらがブロックされなかったかのようにその戦闘ダメージを割り振られる」ことを選んでもよい。</t>
  </si>
  <si>
    <t>蜘蛛の発生</t>
  </si>
  <si>
    <t>あなたの墓地にあるクリーチャー・カード１枚につき、到達を持つ緑の1/2の蜘蛛(Spider)クリーチャー・トークンを１体生成する。</t>
  </si>
  <si>
    <t>野蛮な観念</t>
  </si>
  <si>
    <t>緑の3/3のビースト(Beast)・クリーチャー・トークンを１体生成する。</t>
  </si>
  <si>
    <t>再供給</t>
  </si>
  <si>
    <t>あなたの墓地にあるカード２枚を対象とする。それらをあなたの手札に戻す。再供給を追放する。</t>
  </si>
  <si>
    <t>増え続ける成長</t>
  </si>
  <si>
    <t>クリーチャー１体と、他のクリーチャー１体と、他のクリーチャー１体を対象とする。その１体目の上に+1/+1カウンターを１個置き、その２体目の上に+1/+1カウンターを２個置き、その３体目の上に+1/+1カウンターを３個置く。</t>
  </si>
  <si>
    <t>悪戯と騒乱</t>
  </si>
  <si>
    <t>クリーチャーを最大２体まで対象とする。それらはターン終了時までそれぞれ+4/+4の修整を受ける。</t>
  </si>
  <si>
    <t>ニッサの探検</t>
  </si>
  <si>
    <t>あなたのライブラリーから基本土地カードを最大２枚まで探し、それらをタップ状態で戦場に出し、その後あなたのライブラリーを切り直す。</t>
  </si>
  <si>
    <t>踏み荒らし</t>
  </si>
  <si>
    <t>(２)(G)(G)(G)</t>
  </si>
  <si>
    <t>あなたがコントロールするクリーチャーは、ターン終了時まで+3/+3の修整を受けるとともにトランプルを得る。</t>
  </si>
  <si>
    <t>獣性の脅威</t>
  </si>
  <si>
    <t>緑の1/1の蛇(Snake)クリーチャー・トークンを１体と、緑の2/2の狼(Wolf)クリーチャー・トークンを１体と、緑の3/3の象(Elephant)クリーチャー・トークンを１体生成する。</t>
  </si>
  <si>
    <t>ニッサの裁き</t>
  </si>
  <si>
    <t>対戦相手がコントロールするクリーチャーを最大１体対象とする。あなたがコントロールする+1/+1カウンターが置かれている各クリーチャーは、それぞれそれのパワーに等しい点数のダメージをそのクリーチャーに与える。</t>
  </si>
  <si>
    <t>強風の力</t>
  </si>
  <si>
    <t>強風の力は、飛行を持つ各クリーチャーに５点のダメージを与える。</t>
  </si>
  <si>
    <t>自然の祝福</t>
  </si>
  <si>
    <t>望む数のクリーチャーを対象とし、それらに４個の+1/+1カウンターを望むように割り振って置く。</t>
  </si>
  <si>
    <t>奇跡(G)（あなたがこのカードを引いたとき、これがこのターンに最初に引いたカードだった場合、あなたはこれの奇跡コストを支払うことでこれを唱えてもよい。）</t>
  </si>
  <si>
    <t>蟲の饗宴</t>
  </si>
  <si>
    <t>土地１つを対象とし、それを破壊する。その土地が伝説であった場合、それのコントローラーは他の土地を１つ生け贄に捧げる。</t>
  </si>
  <si>
    <t>燐光の饗宴</t>
  </si>
  <si>
    <t>彩色 ― あなたの手札にあるカードを望む枚数だけ公開する。あなたはそれらのカードのマナ・コストに含まれる緑マナ・シンボル１つにつき２点のライフを得る。</t>
  </si>
  <si>
    <t>大型化</t>
  </si>
  <si>
    <t>クリーチャー１体を対象とする。それはターン終了時まで+7/+7の修整を受けるとともにトランプルを得る。このターン、それは可能ならブロックされなければならない。（トランプルを持つクリーチャーが、自身をブロックしているすべてのクリーチャーを破壊するのに十分な戦闘ダメージを割り振るなら、あなたは余剰の戦闘ダメージをプレイヤーかプレインズウォーカーに与えることができる。）</t>
  </si>
  <si>
    <t>不気味な開花</t>
  </si>
  <si>
    <t>あなたの墓地にあるクリーチャー・カード１枚につき、カードを１枚引く。</t>
  </si>
  <si>
    <t>群れの力</t>
  </si>
  <si>
    <t>あなたがコントロールしている各クリーチャーの上に+1/+1カウンターをそれぞれ２個置く。</t>
  </si>
  <si>
    <t>見下し</t>
  </si>
  <si>
    <t>(２/緑)(２/緑)(２/緑)</t>
  </si>
  <si>
    <t>（(２/緑)は任意の２マナか(G)で支払うことができる。このカードの点数で見たマナ・コストは６である。）</t>
  </si>
  <si>
    <t>クリーチャー１体を対象とする。ターン終了時まで、そのクリーチャーは+4/+4の修整を受けるとともにトランプル、萎縮、「このクリーチャーが攻撃したとき、クリーチャー１体を対象とする。このターン、それは可能ならばこれをブロックする。」を得る。（それはクリーチャーに-1/-1カウンターの形でダメージを与える。）</t>
  </si>
  <si>
    <t>茨の雨</t>
  </si>
  <si>
    <t>版図の踏みつけ</t>
  </si>
  <si>
    <t>版図 ― ターン終了時まで、あなたがコントロールするクリーチャーはトランプルを得るとともに、あなたがコントロールする土地の中の基本土地タイプ１つにつき+1/+1の修整を受ける。</t>
  </si>
  <si>
    <t>十二の瞳</t>
  </si>
  <si>
    <t>以下の２つから１つを選ぶ。</t>
  </si>
  <si>
    <t>・緑の5/5のビースト(Beast)・クリーチャー・トークンを１体生成する。</t>
  </si>
  <si>
    <t>・緑の1/1の昆虫(Insect)クリーチャー・トークンを５体生成する。</t>
  </si>
  <si>
    <t>双呪(G)(G)(G)（あなたが双呪コストを支払った場合、両方を選ぶ。）</t>
  </si>
  <si>
    <t>ジョラーガの祈祷</t>
  </si>
  <si>
    <t>ターン終了時まで、あなたがコントロールしている各クリーチャーはそれぞれ+3/+3の修整を受ける。このターン、あなたがコントロールしている各クリーチャーはそれぞれ可能ならブロックされなければならない。</t>
  </si>
  <si>
    <t>圧倒</t>
  </si>
  <si>
    <t>(５)(G)(G)</t>
  </si>
  <si>
    <t>あなたがコントロールするクリーチャーは、ターン終了時まで+3/+3の修整を受ける。</t>
  </si>
  <si>
    <t>夜の群れの雄叫び</t>
  </si>
  <si>
    <t>あなたがコントロールする森(Forest)１つにつき、緑の2/2の狼(Wolf)クリーチャー・トークンを１個生成する。</t>
  </si>
  <si>
    <t>残忍な実体化</t>
  </si>
  <si>
    <t>(８)(G)</t>
  </si>
  <si>
    <t>緑の3/3のビースト(Beast)・クリーチャー・トークンを３体生成する。</t>
  </si>
  <si>
    <t>古きクローサの力</t>
  </si>
  <si>
    <t>クリーチャー１体を対象とする。それはターン終了時まで+2/+2の修整を受ける。あなたがこの呪文をあなたのメイン・フェイズの間に唱えた場合、代わりにそのクリーチャーはターン終了時まで+4/+4の修整を受ける。</t>
  </si>
  <si>
    <t>有毒の蘇生</t>
  </si>
  <si>
    <t>いずれかの墓地にあるカード１枚を対象とし、それをオーナーのライブラリーの一番上に置く。</t>
  </si>
  <si>
    <t>酸化</t>
  </si>
  <si>
    <t>アーティファクト１つを対象とし、それを破壊する。それは再生できない。</t>
  </si>
  <si>
    <t>秋の帳</t>
  </si>
  <si>
    <t>このターン、あなたがコントロールする呪文は青や黒の呪文によっては打ち消されず、このターン、あなたがコントロールするクリーチャーは青や黒の呪文の対象にならない。</t>
  </si>
  <si>
    <t>ハパチラの刻印</t>
  </si>
  <si>
    <t>あなたがコントロールするクリーチャー１体を対象とする。ターン終了時まで、それは呪禁を得る。それの上から-1/-1カウンターをすべて取り除く。（呪禁を持つクリーチャーは、対戦相手がコントロールする呪文や能力の対象にならない。）</t>
  </si>
  <si>
    <t>暴風</t>
  </si>
  <si>
    <t>暴風は、飛行を持つ各クリーチャーにそれぞれＸ点のダメージを与える。</t>
  </si>
  <si>
    <t>餌食の復讐</t>
  </si>
  <si>
    <t>造命物の目覚め</t>
  </si>
  <si>
    <t>あなたがコントロールするアーティファクト１つを対象とし、それの上に+1/+1カウンターをＸ個置く。それがクリーチャーでも機体(Vehicle)でもないなら、それは0/0の構築物(Construct)アーティファクト・クリーチャーになる。</t>
  </si>
  <si>
    <t>原初の怒声</t>
  </si>
  <si>
    <t>クリーチャー１体を対象とする。ターン終了時まで、それはあなたがコントロールする森(Forest)１つにつき+1/+1の修整を受ける。</t>
  </si>
  <si>
    <t>戦士の教訓</t>
  </si>
  <si>
    <t>あなたがコントロールするクリーチャーを最大２体まで対象とする。それらはそれぞれ、ターン終了時まで「このクリーチャーがプレイヤーに戦闘ダメージを与えるたび、カードを１枚引く。」を得る。</t>
  </si>
  <si>
    <t>顕在的防御</t>
  </si>
  <si>
    <t>あなたがコントロールするクリーチャー１体を対象とする。ターン終了時まで、それは+2/+2の修整を受けるとともに呪禁を得る。</t>
  </si>
  <si>
    <t>威圧の誇示</t>
  </si>
  <si>
    <t>・クリーチャーでない青か黒のパーマネント１つを対象とし、それを破壊する。</t>
  </si>
  <si>
    <t>・このターン、あなたがコントロールするパーマネントはあなたの対戦相手がコントロールする青や黒の呪文の対象にならない。</t>
  </si>
  <si>
    <t>塔の防衛</t>
  </si>
  <si>
    <t>あなたがコントロールするクリーチャーは、ターン終了時まで+0/+5の修整を受けるとともに到達を得る。</t>
  </si>
  <si>
    <t>月夜の狩り</t>
  </si>
  <si>
    <t>あなたがコントロールしていないクリーチャー１体を対象とする。あなたがコントロールする、狼(Wolf)か狼男(Werewolf)である各クリーチャーは、それぞれ自身のパワーに等しい点数のダメージをそのクリーチャーに与える。</t>
  </si>
  <si>
    <t>カル・シスマの風</t>
  </si>
  <si>
    <t>獰猛 ― あなたがパワーが４以上のクリーチャーをコントロールしているなら、代わりに、このターンに対戦相手がコントロールするクリーチャーが与えるすべての戦闘ダメージを軽減する。</t>
  </si>
  <si>
    <t>霊気のほころび</t>
  </si>
  <si>
    <t>アーティファクト１つかエンチャント１つを対象とする。それのオーナーは、それを自分のライブラリーに加えて切り直す。</t>
  </si>
  <si>
    <t>寸法変更</t>
  </si>
  <si>
    <t>復活(１)(G)（他のクリーチャーが戦場からあなたの墓地に置かれたとき、あなたは(１)(G)を支払ってもよい。そうした場合、あなたの墓地にあるこのカードをあなたの手札に戻す。そうでない場合、このカードを追放する。）</t>
  </si>
  <si>
    <t>ネフィリムの力</t>
  </si>
  <si>
    <t>クリーチャー１体を対象とする。それはターン終了時まで、その色１色につき+2/+2の修整を受ける。</t>
  </si>
  <si>
    <t>新緑の再誕</t>
  </si>
  <si>
    <t>クリーチャー１体を対象とする。ターン終了時まで、それは「このクリーチャーが死亡したとき、これをオーナーの手札に戻す。」を得る。</t>
  </si>
  <si>
    <t>収穫祭の編み上げ</t>
  </si>
  <si>
    <t>プレイヤー１人を対象とする。カード名を１つ選ぶ。そのプレイヤーは自分のライブラリーの一番上のカードを自分の墓地に置く。そのカードが選ばれた名前を持つなら、あなたはその点数で見たマナ・コストに等しい点数のライフを得る。</t>
  </si>
  <si>
    <t>テル＝ジラードの正義</t>
  </si>
  <si>
    <t>アーティファクト１つを対象とし、それを破壊する。占術２を行う。（あなたのライブラリーの一番上から２枚のカードを見て、そのうちの望む枚数のカードを望む順番であなたのライブラリーの一番下に置き、残りを望む順番で一番上に置く。）</t>
  </si>
  <si>
    <t>自然に帰れ</t>
  </si>
  <si>
    <t>英雄たちの結束</t>
  </si>
  <si>
    <t>奮励 ― 英雄たちの結束を唱えるためのコストは、２つ目以降の対象１つにつき(１)(G)多くなる。</t>
  </si>
  <si>
    <t>望む数のクリーチャーを対象とする。それらの上に置かれている+1/+1カウンターの数を２倍にする。</t>
  </si>
  <si>
    <t>不時着</t>
  </si>
  <si>
    <t>飛行を持つクリーチャー１体を対象とする。それはターン終了時まで飛行を失う。不時着はそのクリーチャーに、あなたがコントロールする森(Forest)の数に等しい点数のダメージを与える。</t>
  </si>
  <si>
    <t>塵への回帰</t>
  </si>
  <si>
    <t>奮励 ― この呪文を唱えるためのコストは、２つ目以降の対象１つにつき(２)(G)多くなる。</t>
  </si>
  <si>
    <t>望む数のアーティファクトやエンチャントを対象とし、それらを破壊する。</t>
  </si>
  <si>
    <t>クローサの掌握</t>
  </si>
  <si>
    <t>遮り蔦</t>
  </si>
  <si>
    <t>このターン、+1/+1カウンターが置かれていないクリーチャーによって与えられるすべての戦闘ダメージを軽減する。</t>
  </si>
  <si>
    <t>壮大な英雄譚</t>
  </si>
  <si>
    <t>奮励 ― この呪文を唱えるためのコストは、２つ目以降の対象１つにつき(１)(G)多くなる。</t>
  </si>
  <si>
    <t>望む数のクリーチャーを対象とする。ターン終了時まで、それらはそれぞれ+2/+2の修整を受ける。それらのクリーチャーをアンタップする。</t>
  </si>
  <si>
    <t>内にいる獣</t>
  </si>
  <si>
    <t>パーマネント１つを対象とし、それを破壊する。それのコントローラーは緑の3/3のビースト(Beast)・クリーチャー・トークン１体を生成する。</t>
  </si>
  <si>
    <t>金線の破れ目</t>
  </si>
  <si>
    <t>アーティファクト１つかエンチャント１つを対象とし、それを破壊する。そのパーマネントが青か黒である場合、カードを１枚引く。</t>
  </si>
  <si>
    <t>野放しの成長</t>
  </si>
  <si>
    <t>クリーチャー１体を対象とする。それはターン終了時まで+4/+4の修整を受ける。そのクリーチャーがスピリット(Spirit)である場合、それはトランプルも得る。</t>
  </si>
  <si>
    <t>無情な本能</t>
  </si>
  <si>
    <t>・攻撃していないクリーチャー１体を対象とする。ターン終了時まで、それは到達と接死を得る。それをアンタップする。</t>
  </si>
  <si>
    <t>・攻撃クリーチャー１体を対象とする。ターン終了時まで、それは+2/+2の修整を受けるとともにトランプルを得る。</t>
  </si>
  <si>
    <t>蜘蛛による摂食</t>
  </si>
  <si>
    <t>飛行を持つクリーチャー１体を対象とし、それとそれにつけられているすべての装備品(Equipment)を破壊する。</t>
  </si>
  <si>
    <t>鼓舞する呼び声</t>
  </si>
  <si>
    <t>あなたがコントロールする+1/+1カウンターが置かれているクリーチャー１体につき、カードを１枚引く。ターン終了時まで、それらのクリーチャーは破壊不能を得る。</t>
  </si>
  <si>
    <t>狩人の眼識</t>
  </si>
  <si>
    <t>あなたがコントロールするクリーチャー１体を対象とする。このターン、そのクリーチャーがいずれかのプレイヤーかプレインズウォーカーに戦闘ダメージを与えるたび、その点数に等しい枚数のカードを引く。</t>
  </si>
  <si>
    <t>直接射撃</t>
  </si>
  <si>
    <t>あなたがコントロールするクリーチャー１体と、あなたがコントロールしていないクリーチャー１体を対象とする。ターン終了時まで、その前者は+1/+1の修整を受ける。その前者はその後者に、自身のパワーに等しい点数のダメージを与える。</t>
  </si>
  <si>
    <t>瞬間群葉</t>
  </si>
  <si>
    <t xml:space="preserve">この呪文は、戦闘中でブロック・クリーチャーが指定された後にのみ唱えられる。 </t>
  </si>
  <si>
    <t>あなたを攻撃しているクリーチャー１体を対象とする。それをブロックしている緑の1/1の苗木(Saproling)クリーチャー・トークンを１体生成する。</t>
  </si>
  <si>
    <t>同期した一撃</t>
  </si>
  <si>
    <t>クリーチャー最大２体を対象とし、それらをアンタップする。ターン終了時まで、それらはそれぞれ+2/+2の修整を受ける。</t>
  </si>
  <si>
    <t>大自然の注入</t>
  </si>
  <si>
    <t>収斂 ― クリーチャー１体を対象とし、それの上に+1/+1カウンターをＸ個置く。Ｘは、大自然の注入を唱えるために支払われたマナの色の総数に等しい。ターン終了時まで、そのクリーチャーはトランプルを得る。</t>
  </si>
  <si>
    <t>造命師の贈り物</t>
  </si>
  <si>
    <t>クリーチャー１体を対象とし、それの上に+1/+1カウンターを１個置く。その後、あなたがコントロールする+1/+1カウンターが置かれている各クリーチャーの上に+1/+1カウンターをそれぞれ１個置く。</t>
  </si>
  <si>
    <t>秘教の融解</t>
  </si>
  <si>
    <t>突然の再利用</t>
  </si>
  <si>
    <t>あなたのライブラリーの一番上から４枚のカードをあなたの墓地に置く。その後、あなたの墓地にあるクリーチャー・カード１枚と土地カード１枚をあなたの手札に戻す。</t>
  </si>
  <si>
    <t>野生の猛攻</t>
  </si>
  <si>
    <t>あなたがコントロールしている各クリーチャーの上に+1/+1カウンターをそれぞれ１個置く。この呪文がキッカーされていたなら、代わりに、あなたがコントロールしている各クリーチャーの上に+1/+1カウンターをそれぞれ２個置く。</t>
  </si>
  <si>
    <t>血の臭い</t>
  </si>
  <si>
    <t>押し進み</t>
  </si>
  <si>
    <t>クリーチャーを最大２体まで対象とする。ターン終了時まで、それらはそれぞれ+2/+2の修整を受けるとともにトランプルを得る。</t>
  </si>
  <si>
    <t>吊り弓の罠</t>
  </si>
  <si>
    <t>飛行を持つ黒のクリーチャーが攻撃している場合、あなたは吊り弓の罠のマナ・コストを支払うのではなく(G)を支払ってもよい。</t>
  </si>
  <si>
    <t>飛行を持つ攻撃しているクリーチャー１体を対象とし、それを破壊する。</t>
  </si>
  <si>
    <t>真っ二つ</t>
  </si>
  <si>
    <t>胞子の大群</t>
  </si>
  <si>
    <t>屍肉の呼び声</t>
  </si>
  <si>
    <t>感染を持つ緑の1/1の昆虫(Insect)クリーチャー・トークンを２体生成する。（それらは、クリーチャーに-1/-1カウンターの形でダメージを与え、プレイヤーに毒(poison)カウンターの形でダメージを与える。）</t>
  </si>
  <si>
    <t>職工の悲しみ</t>
  </si>
  <si>
    <t>アーティファクト１つかエンチャント１つを対象とし、それを破壊する。占術２を行う。（あなたのライブラリーの一番上から２枚のカードを見て、そのうちの望む枚数のカードを望む順番であなたのライブラリーの一番下に置き、残りを望む順番で一番上に置く。）</t>
  </si>
  <si>
    <t>ベイロスの檻の罠</t>
  </si>
  <si>
    <t>このターン、対戦相手１人が自分のコントロール下でアーティファクトを戦場に出した場合、あなたはその呪文のマナ・コストを支払うのではなく(１)(G)を支払ってもよい。</t>
  </si>
  <si>
    <t>緑の4/4のビースト(Beast)・クリーチャー・トークンを１体生成する。</t>
  </si>
  <si>
    <t>並立</t>
  </si>
  <si>
    <t>クリーチャー２体を対象とする。それらの上に、それぞれ+1/+1カウンターを２個置く。</t>
  </si>
  <si>
    <t>枝の手の内</t>
  </si>
  <si>
    <t>緑の2/5のツリーフォーク(Treefolk)・シャーマン(Shaman)・クリーチャー・トークンを１体生成する。</t>
  </si>
  <si>
    <t>あなたのコントロール下で森(Forest)が戦場に出るたび、あなたはあなたの墓地にある枝の手の内をあなたの手札に戻してもよい。</t>
  </si>
  <si>
    <t>杉の力</t>
  </si>
  <si>
    <t>クリーチャー１体を対象とする。それはターン終了時まで+X/+Xの修整を受ける。Ｘはあなたがコントロールする土地の数である。</t>
  </si>
  <si>
    <t>ドロモカの贈り物</t>
  </si>
  <si>
    <t>鼓舞４を行う。（あなたがコントロールするクリーチャーの中で最も小さいタフネスを持つクリーチャーを１体選び、それの上に+1/+1カウンターを４個置く。）</t>
  </si>
  <si>
    <t>強大化</t>
  </si>
  <si>
    <t>クリーチャー１体を対象とする。ターン終了時まで、それは+6/+6の修整を受ける。</t>
  </si>
  <si>
    <t>コブラの罠</t>
  </si>
  <si>
    <t>このターン、対戦相手１人がコントロールする呪文や能力によって、あなたがコントロールするクリーチャーでないパーマネントが破壊された場合、あなたはこの呪文のマナ・コストを支払うのではなく(G)を支払ってもよい。</t>
  </si>
  <si>
    <t>緑の1/1の蛇(Snake)クリーチャー・トークンを４体生成する。</t>
  </si>
  <si>
    <t>運命の回避</t>
  </si>
  <si>
    <t>あなたがコントロールするパーマネント１つを対象とするインスタント呪文１つかオーラ(Aura)呪文１つを対象とし、それを打ち消す。</t>
  </si>
  <si>
    <t>雹の嵐</t>
  </si>
  <si>
    <t>雹の嵐は、各攻撃しているクリーチャーにそれぞれ２点のダメージを与え、あなたとあなたがコントロールする各クリーチャーにそれぞれ１点のダメージを与える。</t>
  </si>
  <si>
    <t>獣群の呼び声</t>
  </si>
  <si>
    <t>緑の3/3の象(Elephant)クリーチャー・トークンを１体生成する。</t>
  </si>
  <si>
    <t>フラッシュバック(３)(G)（あなたはあなたの墓地にあるこのカードを、そのフラッシュバック・コストでプレイしてもよい。その後それを追放する。）</t>
  </si>
  <si>
    <t>召喚士の契約</t>
  </si>
  <si>
    <t>あなたのライブラリーから緑のクリーチャー・カードを１枚探し、それを公開し、あなたの手札に加える。その後あなたのライブラリーを切り直す。</t>
  </si>
  <si>
    <t>あなたの次のアップキープの開始時に(２)(G)(G)を支払う。そうしない場合、あなたはこのゲームに敗北する。</t>
  </si>
  <si>
    <t>凶暴な召喚</t>
  </si>
  <si>
    <t>凶暴な召喚は打ち消されない。</t>
  </si>
  <si>
    <t>このターン、あなたは次に唱えるクリーチャー・カードを、それが瞬速を持っているかのように唱えてもよい。その呪文は打ち消されない。そのクリーチャーは追加の+1/+1カウンターが１個置かれた状態で戦場に出る。</t>
  </si>
  <si>
    <t>セテッサ式戦術</t>
  </si>
  <si>
    <t>奮励 ― セテッサ式戦術を唱えるためのコストは、２つ目以降の対象１つにつき(G)多くなる。</t>
  </si>
  <si>
    <t>望む数のクリーチャーを対象とする。それらはそれぞれターン終了時まで+1/+1の修整を受けるとともに「(Ｔ)：他のクリーチャー１体を対象とする。このクリーチャーはそれと格闘を行う。」を得る。</t>
  </si>
  <si>
    <t>タジュールの力</t>
  </si>
  <si>
    <t>(Ｘ)(G)(G)</t>
  </si>
  <si>
    <t>クリーチャー１体を対象として選ぶ。その後、タジュールの力がキッカーされている１回につき他のクリーチャー１体を対象として選ぶ。</t>
  </si>
  <si>
    <t>それらの上にそれぞれ+1/+1カウンターをＸ個置く。</t>
  </si>
  <si>
    <t>突風線</t>
  </si>
  <si>
    <t>突風線は飛行を持つ各クリーチャーと各プレイヤーに、それぞれＸ点のダメージを与える。</t>
  </si>
  <si>
    <t>英雄的介入</t>
  </si>
  <si>
    <t>ターン終了時まで、あなたがコントロールするパーマネントは呪禁と破壊不能を得る。</t>
  </si>
  <si>
    <t>滋養の群れ</t>
  </si>
  <si>
    <t xml:space="preserve">あなたは、滋養の群れのマナ・コストを支払うのではなく、あなたの手札にある、点数で見たマナ・コストがＸである緑のカードを１枚、追放することを選んでもよい。 </t>
  </si>
  <si>
    <t>あなたはＸ点のライフを得る。</t>
  </si>
  <si>
    <t>未知な領域</t>
  </si>
  <si>
    <t>あなたのライブラリーから異なる名前の土地カードを最大４枚まで探し、それらを公開する。いずれかの対戦相手は、それらのカードのうち２枚を選ぶ。選ばれたカードをあなたの墓地に置き、残りをあなたの手札に加える。その後、あなたのライブラリーを切り直す。</t>
  </si>
  <si>
    <t>自然の類似</t>
  </si>
  <si>
    <t>ターン終了時まで、すべての土地は2/2のクリーチャーになる。それは土地でもある。</t>
  </si>
  <si>
    <t>召喚の調べ</t>
  </si>
  <si>
    <t>(Ｘ)(G)(G)(G)</t>
  </si>
  <si>
    <t>あなたのライブラリーから点数で見たマナ・コストがＸ以下であるクリーチャー・カードを１枚探し、それを戦場に出す。その後あなたのライブラリーを切り直す。</t>
  </si>
  <si>
    <t>早摘み</t>
  </si>
  <si>
    <t>プレイヤー１人を対象とする。そのプレイヤーは、自分がコントロールするすべての基本土地をアンタップする。</t>
  </si>
  <si>
    <t>集合した中隊</t>
  </si>
  <si>
    <t>あなたのライブラリーの一番上から６枚のカードを見る。その中から、点数で見たマナ・コストが３以下のクリーチャー・カードを最大２枚まで戦場に出す。残りをあなたのライブラリーの一番下に望む順番で置く。</t>
  </si>
  <si>
    <t>重大な落下</t>
  </si>
  <si>
    <t>重大な落下を唱えるための追加コストとして、クリーチャーを１体生け贄に捧げる。</t>
  </si>
  <si>
    <t>あなたはその生け贄に捧げられたクリーチャーのパワーに等しい枚数のカードを引き、その後、それのタフネスに等しい点数のライフを得る。</t>
  </si>
  <si>
    <t>岩石樹の祈り</t>
  </si>
  <si>
    <t>クリーチャー１体を対象とする。それはターン終了時まで+5/+5の修整を受けるとともに被覆を得る。（それは呪文や能力の対象にならない。）</t>
  </si>
  <si>
    <t>樫の力</t>
  </si>
  <si>
    <t>クリーチャー１体を対象とする。それはターン終了時まで+7/+7の修整を受ける。</t>
  </si>
  <si>
    <t>新鮮な肉</t>
  </si>
  <si>
    <t>このターン、戦場からあなたの墓地に置かれたクリーチャー１体につき、緑の3/3のビースト(Beast)・クリーチャー・トークンを１体生成する。</t>
  </si>
  <si>
    <t>再度の収穫</t>
  </si>
  <si>
    <t>あなたがコントロールするトークン１つにつき、そのパーマネントのコピーであるトークンを１つ生成する。</t>
  </si>
  <si>
    <t>宿命的介入</t>
  </si>
  <si>
    <t>緑の3/3のケンタウルス(Centaur)・クリーチャー・エンチャント・トークンを２体生成する。あなたのターンであるなら、占術２を行う。（あなたのライブラリーの一番上から２枚のカードを見て、そのうちの望む枚数のカードを望む順番であなたのライブラリーの一番下に置き、残りを望む順番で一番上に置く。）</t>
  </si>
  <si>
    <t>劇的な入場</t>
  </si>
  <si>
    <t>あなたはあなたの手札から緑のクリーチャー・カードを１枚、戦場に出してもよい。</t>
  </si>
  <si>
    <t>召喚の罠</t>
  </si>
  <si>
    <t>このターン、対戦相手１人がコントロールする呪文や能力によって、あなたが唱えたクリーチャー呪文が打ち消された場合、あなたは召喚の罠のマナ・コストを支払うのではなく(０)を支払ってもよい。</t>
  </si>
  <si>
    <t>あなたのライブラリーの一番上から７枚のカードを見る。あなたは、その中からクリーチャー・カードを１枚戦場に出してもよい。残りをあなたのライブラリーの一番下に望む順番で置く。</t>
  </si>
  <si>
    <t>超起源</t>
  </si>
  <si>
    <t>待機３ ― (１)(G)(G)（このカードをあなたの手札から唱えるのではなく、(１)(G)(G)を支払うとともにそれを時間(time)カウンターが３個置かれた状態で追放する。あなたのアップキープの開始時に、時間カウンターを１個取り除く。最後の１個を取り除いたとき、それをそのマナ・コストを支払うことなく唱える。）</t>
  </si>
  <si>
    <t>あなたから始めて、各プレイヤーはアーティファクト・カードかクリーチャー・カードかエンチャント・カードか土地・カードを自分の手札から戦場に出してもよい。この手順を、誰もカードを戦場に出さなくなるまで繰り返す。</t>
  </si>
  <si>
    <t>精霊信者の覚醒</t>
  </si>
  <si>
    <t>あなたのライブラリーの一番上からＸ枚のカードを公開する。その中にある土地カードをすべてタップ状態で戦場に出し、残りをあなたのライブラリーの一番下に無作為の順番で置く。</t>
  </si>
  <si>
    <t>魔巧 ― あなたの墓地にインスタント・カードやソーサリー・カードが合わせて２枚以上あるなら、それらの土地をアンタップする。</t>
  </si>
  <si>
    <t>祀られる記憶</t>
  </si>
  <si>
    <t>あなたのライブラリーのカードを上からＸ枚公開する。これにより公開されたすべてのクリーチャー・カードをあなたの手札に加え、残りを望む順番であなたのライブラリーの一番下に置く。</t>
  </si>
  <si>
    <t>ウルヴェンワルド横断</t>
  </si>
  <si>
    <t>あなたのライブラリーから基本土地カード１枚を探し、それを公開してあなたの手札に加え、その後あなたのライブラリーを切り直す。</t>
  </si>
  <si>
    <t>昂揚 ― あなたの墓地にあるカードにカード・タイプが合計４種類以上含まれるなら、代わりにあなたのライブラリーからクリーチャー・カード１枚か土地カード１枚を探し、それを公開してあなたの手札に加え、その後あなたのライブラリーを切り直す。</t>
  </si>
  <si>
    <t>途方もない夢</t>
  </si>
  <si>
    <t>(Ｘ)(Ｘ)(G)</t>
  </si>
  <si>
    <t>あなたの墓地からカードＸ枚を対象とし、それらをあなたの手札に戻す。途方もない夢を追放する。</t>
  </si>
  <si>
    <t>ワーム呼び</t>
  </si>
  <si>
    <t>バイバック(２)(G)（あなたがこの呪文を唱えるに際し、あなたは追加の(２)(G)を支払ってもよい。そうした場合、その解決に際し、このカードをあなたの手札に加える。）</t>
  </si>
  <si>
    <t>緑のX/Xのワーム(Wurm)・クリーチャー・トークンを１体生成する。</t>
  </si>
  <si>
    <t>垣間見る自然</t>
  </si>
  <si>
    <t>このターン、あなたがクリーチャー呪文を唱えるたび、カードを１枚引く。</t>
  </si>
  <si>
    <t>ハリケーン</t>
  </si>
  <si>
    <t>ハリケーンはすべての飛行を持つクリーチャーとすべてのプレイヤーに、Ｘ点のダメージを与える。</t>
  </si>
  <si>
    <t>軟体の起源</t>
  </si>
  <si>
    <t>緑のX/Xのウーズ(Ooze)・クリーチャー・トークンをＸ体生成する。</t>
  </si>
  <si>
    <t>緑の太陽の頂点</t>
  </si>
  <si>
    <t>あなたのライブラリーから点数で見たマナ・コストがＸ以下の緑のクリーチャー・カードを１枚探し、それを戦場に出す。その後、あなたのライブラリーを切り直す。緑の太陽の頂点をオーナーのライブラリーに加えて切り直す。</t>
  </si>
  <si>
    <t>カマールのドルイド的誓約</t>
  </si>
  <si>
    <t>あなたのライブラリーの一番上からカードをＸ枚見る。あなたはその中から、望む枚数の、点数で見たマナ・コストがＸ以下で土地や伝説のパーマネントであるカードを戦場に出してもよい。残りをあなたの墓地に置く。</t>
  </si>
  <si>
    <t>野生呼び</t>
  </si>
  <si>
    <t>あなたのライブラリーの一番上のカードを予示し、その後、それの上に+1/+1カウンターをＸ個置く。（カードを予示するには、それを裏向きの状態で2/2クリーチャーとして戦場に出す。それがクリーチャー・カードであるなら、そのマナ・コストでいつでも表向きにしてよい。）</t>
  </si>
  <si>
    <t>ロナス最後の抵抗</t>
  </si>
  <si>
    <t>緑の5/4の蛇(Snake)クリーチャー・トークンを１体生成する。あなたがコントロールする土地は、あなたの次のアンタップ・ステップにアンタップしない。</t>
  </si>
  <si>
    <t>壌土からの生命</t>
  </si>
  <si>
    <t>あなたの墓地にある土地カードを最大３枚まで対象とし、それをあなたの手札に戻す。</t>
  </si>
  <si>
    <t>奇妙な収穫</t>
  </si>
  <si>
    <t>各プレイヤーは、自分のライブラリーからクリーチャー・カードを最大Ｘ枚まで探し、それらを公開して自分の手札に加えてもよい。その後これにより自分のライブラリーを探したプレイヤーはそれぞれ自分のライブラリーを切り直す。</t>
  </si>
  <si>
    <t>生命の遺産</t>
  </si>
  <si>
    <t>その生け贄に捧げられたクリーチャーのパワーに等しい枚数のカードを引く。</t>
  </si>
  <si>
    <t>起源の波</t>
  </si>
  <si>
    <t>あなたのライブラリーのカードを一番上からＸ枚公開する。あなたはそれらの中から点数で見たマナ・コストがＸ以下のパーマネント・カードを望む枚数戦場に出してもよい。その後、これにより公開されて戦場に出されなかったすべてのカードをあなたの墓地に置く。</t>
  </si>
  <si>
    <t>絡み森の脈動</t>
  </si>
  <si>
    <t>緑の3/3のビースト(Beast)・クリーチャー・トークンを１体生成する。その後対戦相手１人があなたより多くのクリーチャーをコントロールしている場合、絡み森の脈動をあなたの手札に戻す。</t>
  </si>
  <si>
    <t>収穫期</t>
  </si>
  <si>
    <t>あなたのライブラリーから基本土地カード最大Ｘ枚を探し、それらのカードをタップ状態で戦場に出す。Ｘは、あなたがコントロールするタップ状態のクリーチャーの総数に等しい。その後、あなたのライブラリーを切り直す。</t>
  </si>
  <si>
    <t>異界の進化</t>
  </si>
  <si>
    <t>この呪文を唱えるための追加コストとして、クリーチャー１体を生け贄に捧げる。</t>
  </si>
  <si>
    <t>あなたのライブラリーから点数で見たマナ・コストがＸ以下のクリーチャー・カード１枚を探す。Ｘは、その生け贄に捧げたクリーチャーの点数で見たマナ・コストに２を足した数に等しい。そのカードを戦場に出し、その後あなたのライブラリーを切り直す。異界の進化を追放する。</t>
  </si>
  <si>
    <t>森の目覚め</t>
  </si>
  <si>
    <t>あなたの次のターンまで、あなたがコントロールする土地はすべて到達と破壊不能と速攻を持つ2/2のエレメンタル(Elemental)・クリーチャーになる。それらは土地でもある。</t>
  </si>
  <si>
    <t>創造の標</t>
  </si>
  <si>
    <t>あなたがコントロールする森(Forest)１つにつき緑の1/1の昆虫(Insect)クリーチャー・トークンを１体生成する。創造の標をオーナーのライブラリーに加えて切り直す。</t>
  </si>
  <si>
    <t>忍び寄る腐食</t>
  </si>
  <si>
    <t>すべてのアーティファクトを破壊する。</t>
  </si>
  <si>
    <t>高まる残虐性</t>
  </si>
  <si>
    <t>クリーチャー１体を対象とし、それの上に+1/+1カウンターを５個置く。高まる残虐性が墓地から唱えられた場合、代わりにそのクリーチャーの上に+1/+1カウンターを１０個置く。</t>
  </si>
  <si>
    <t>フラッシュバック(５)(G)(G)（あなたはあなたの墓地にあるこのカードを、そのフラッシュバック・コストで唱えてもよい。その後それを追放する。）</t>
  </si>
  <si>
    <t>太陽運びの接触</t>
  </si>
  <si>
    <t>鼓舞Ｘを行う。Ｘはあなたの手札のカードの枚数に等しい。ターン終了時まで、あなたがコントロールする+1/+1カウンターが置かれている各クリーチャーは、それぞれトランプルを得る。（鼓舞Ｘを行うには、あなたがコントロールするクリーチャーの中で最も小さいタフネスを持つクリーチャーを１体選び、それの上に+1/+1カウンターをＸ個置く。）</t>
  </si>
  <si>
    <t>新緑の最高潮</t>
  </si>
  <si>
    <t>あなたのライブラリーから基本土地カード１枚を探し、それをタップ状態で戦場に出す。あなたのライブラリーやあなたの墓地から《自然の職工、ニッサ/Nissa, Nature's Artisan》という名前のカード１枚を探し、それを公開してあなたの手札に加える。その後あなたのライブラリーを切り直す。</t>
  </si>
  <si>
    <t>怪しげな挑戦</t>
  </si>
  <si>
    <t>対戦相手１人を対象とする。あなたのライブラリーの一番上からカードを１０枚見て、その中からクリーチャー・カード最大２枚を追放し、その後あなたのライブラリーを切り直す。そのプレイヤーは、それらの追放されたカードの中から１枚を選び、それを自分のコントロール下で戦場に出してもよい。残りをあなたのコントロール下で戦場に出す。</t>
  </si>
  <si>
    <t>見事な再生</t>
  </si>
  <si>
    <t>あなたの墓地からすべての土地カードをタップ状態で戦場に戻す。</t>
  </si>
  <si>
    <t>食餌</t>
  </si>
  <si>
    <t>緑の3/3のカバ(Hippo)・クリーチャー・トークンを１体生成する。</t>
  </si>
  <si>
    <t>給餌</t>
  </si>
  <si>
    <t>あなたがコントロールするパワーが３以上のクリーチャー１体につきカードを１枚引く。</t>
  </si>
  <si>
    <t>すき込み</t>
  </si>
  <si>
    <t>土地２つを対象とする。それらを、オーナーのライブラリーの一番上に置く。</t>
  </si>
  <si>
    <t>原初の命令</t>
  </si>
  <si>
    <t>・プレイヤー１人を対象とする。そのプレイヤーは７点のライフを得る。</t>
  </si>
  <si>
    <t>・クリーチャーでないパーマネント１つを対象とし、それをオーナーのライブラリーの一番上に置く。</t>
  </si>
  <si>
    <t>・プレイヤー１人を対象とする。そのプレイヤーは、自分の墓地を自分のライブラリーに加えた上で切り直す。</t>
  </si>
  <si>
    <t>・あなたのライブラリーからクリーチャー・カードを１枚探し、それを公開し、それをあなたの手札に加え、その後あなたのライブラリーを切り直す。</t>
  </si>
  <si>
    <t>狩人の勇気</t>
  </si>
  <si>
    <t>クリーチャー１体を対象とする。それはターン終了時まで+3/+3の修整を受けるとともに、トランプルと「このクリーチャーがプレイヤー１人に戦闘ダメージを与えるたび、その点数に等しい枚数のカードを引く。」を得る。</t>
  </si>
  <si>
    <t>懲戒の儀式</t>
  </si>
  <si>
    <t>アーティファクト２つを対象とし、それらをオーナーのライブラリーの一番上に置く。</t>
  </si>
  <si>
    <t>迫り来る復興</t>
  </si>
  <si>
    <t>パーマネント・タイプを１つ選ぶ。あなたの墓地にある選ばれたタイプのすべてのカードをあなたの手札に戻す。</t>
  </si>
  <si>
    <t>捕食者の暴力</t>
  </si>
  <si>
    <t>あなたがコントロールするクリーチャーは、ターン終了時まで+3/+3の修整を受ける。あなたの対戦相手がコントロールする各クリーチャーは、このターン、可能ならブロックする。</t>
  </si>
  <si>
    <t>圧倒する暴走</t>
  </si>
  <si>
    <t>ターン終了時まで、あなたがコントロールするクリーチャーはトランプルを得るとともに+X/+Xの修整を受ける。Ｘは、あなたがコントロールするクリーチャーのうちのパワーの最大値である。</t>
  </si>
  <si>
    <t>巫師の天啓</t>
  </si>
  <si>
    <t>あなたがコントロールするクリーチャー１体につきカードを１枚引く。</t>
  </si>
  <si>
    <t>獰猛 ― あなたは、あなたがコントロールするパワーが４以上のクリーチャー１体につき４点のライフを得る。</t>
  </si>
  <si>
    <t>全ての太陽の夜明け</t>
  </si>
  <si>
    <t>色１色につき、あなたの墓地にあるその色のカードを最大１枚まで対象とし、それをあなたの手札に戻す。全ての太陽の夜明けを追放する。</t>
  </si>
  <si>
    <t>ニッサの激励</t>
  </si>
  <si>
    <t>あなたのライブラリーやあなたの墓地から《森/Forest》という名前のカード１枚と《茨織りのビヒモス/Brambleweft Behemoth》という名前のカード１枚と《創造の魔道士、ニッサ/Nissa, Genesis Mage》という名前のカード１枚を探す。それらのカードを公開してあなたの手札に加え、その後あなたのライブラリーを切り直す。</t>
  </si>
  <si>
    <t>魂の威厳</t>
  </si>
  <si>
    <t>あなたがコントロールするクリーチャー１体を対象とし、それのパワーに等しい枚数のカードを引く。</t>
  </si>
  <si>
    <t>粗野な覚醒</t>
  </si>
  <si>
    <t>・あなたがコントロールするすべての土地をアンタップする。</t>
  </si>
  <si>
    <t>・ターン終了時まで、あなたがコントロールする土地は2/2のクリーチャーになる。それは土地でもある。</t>
  </si>
  <si>
    <t>約束の刻</t>
  </si>
  <si>
    <t>あなたのライブラリーから土地カードを最大２枚探し、それらをタップ状態で戦場に出し、その後あなたのライブラリーを切り直す。その後、あなたが砂漠(Desert)を３つ以上コントロールしているなら、黒の2/2のゾンビ(Zombie)・クリーチャー・トークンを２体生成する。</t>
  </si>
  <si>
    <t>二重の詠唱</t>
  </si>
  <si>
    <t>あなたがコントロールするクリーチャー１体につき、あなたはあなたのライブラリーからそのクリーチャーと同じ名前を持つクリーチャー・カードを１枚探してもよい。それらのカードを戦場に出し、その後、あなたのライブラリーを切り直す。</t>
  </si>
  <si>
    <t>ニッサの復興</t>
  </si>
  <si>
    <t>あなたのライブラリーから基本土地カードを最大３枚探し、それらをタップ状態で戦場に出し、その後あなたのライブラリーを切り直す。あなたは７点のライフを得る。</t>
  </si>
  <si>
    <t>集団潜在意識</t>
  </si>
  <si>
    <t>あなたがコントロールするクリーチャー１体につき、カードを１枚引く。</t>
  </si>
  <si>
    <t>狩られる者の逆襲</t>
  </si>
  <si>
    <t>クリーチャー１体を対象とする。それはターン終了時まで+6/+6の修整を受けるとともにトランプルを得て、このターンにそれをブロックできるすべてのクリーチャーはそれをブロックする。</t>
  </si>
  <si>
    <t>リシュカーの巧技</t>
  </si>
  <si>
    <t>あなたがコントロールするクリーチャーの中のパワーの最大値に等しい枚数のカードを引く。</t>
  </si>
  <si>
    <t>あなたは、あなたの手札から点数で見たマナ・コストが５以下のカード１枚を、そのマナ・コストを支払うことなく唱えてもよい。</t>
  </si>
  <si>
    <t>境界なき領土</t>
  </si>
  <si>
    <t>あなたのライブラリーから基本土地カードを最大Ｘ枚まで探し、それらをタップ状態で戦場に出す。Ｘはあなたがコントロールする土地の総数である。その後、あなたのライブラリーを切り直す。</t>
  </si>
  <si>
    <t>ビビアンの召致</t>
  </si>
  <si>
    <t>あなたのライブラリーの一番上からカードを７枚見る。あなたはその中からクリーチャー・カード１枚を戦場に出してもよい。残りをあなたのライブラリーの一番下に無作為の順番で置く。これによりクリーチャーが戦場に出たとき、対戦相手がコントロールしているクリーチャー１体を対象とする。その戦場に出たクリーチャーは、自身のパワーに等しい点数のダメージをその対象としたクリーチャーに与える。</t>
  </si>
  <si>
    <t>ニッサの天啓</t>
  </si>
  <si>
    <t>占術５を行い、その後あなたのライブラリーの一番上のカードを公開する。それがクリーチャー・カードであるなら、あなたはそのカードのパワーに等しい枚数のカードを引き、それのタフネスに等しい点数のライフを得る。</t>
  </si>
  <si>
    <t>歯と爪</t>
  </si>
  <si>
    <t>・あなたのライブラリーからクリーチャー・カードを最大２枚まで探し、それらを公開し、あなたの手札に加える。その後あなたのライブラリーを切り直す。</t>
  </si>
  <si>
    <t>・あなたの手札からクリーチャー・カードを最大２枚まで戦場に出す。</t>
  </si>
  <si>
    <t>終わりなき大群</t>
  </si>
  <si>
    <t>(５)(G)(G)(G)</t>
  </si>
  <si>
    <t>あなたの手札にあるカード１枚につき、緑の1/1の蛇(Snake)クリーチャー・トークンを１体生成する。</t>
  </si>
  <si>
    <t>生命の律動</t>
  </si>
  <si>
    <t>各プレイヤーのライフの総量は、そのプレイヤーがコントロールするクリーチャーの数に等しくなる。</t>
  </si>
  <si>
    <t>ニッサの誓い</t>
  </si>
  <si>
    <t>ニッサの誓いが戦場に出たとき、あなたのライブラリーの一番上から３枚のカードを見る。あなたはその中からクリーチャー・カード１枚か土地カード１枚かプレインズウォーカー・カード１枚を公開してもよい。そうしたなら、それをあなたの手札に加える。残りをあなたのライブラリーの一番下に望む順番で置く。</t>
  </si>
  <si>
    <t>あなたは、プレインズウォーカー呪文を唱えるために、任意のマナを望む色のマナであるかのように支払ってもよい。</t>
  </si>
  <si>
    <t>硬化した鱗</t>
  </si>
  <si>
    <t>あなたがコントロールするクリーチャーの上に+1/+1カウンターが１個以上置かれるなら、代わりにその数に１を足した数の+1/+1カウンターをそれの上に置く。</t>
  </si>
  <si>
    <t>マナの花</t>
  </si>
  <si>
    <t>マナの花は、蓄積(charge)カウンターがＸ個置かれた状態で戦場に出る。</t>
  </si>
  <si>
    <t>マナの花の上から蓄積カウンターを１個取り除く：好きな色１色のマナ１点を加える。この能力は、各ターンに１回のみ起動できる。</t>
  </si>
  <si>
    <t>あなたのアップキープの開始時に、マナの花の上に蓄積カウンターが置かれていない場合、これをオーナーの手札に戻す。</t>
  </si>
  <si>
    <t>遮る霊気</t>
  </si>
  <si>
    <t>あなたが裏向きのクリーチャー呪文を唱えるためのコストは(１)少なくなる。</t>
  </si>
  <si>
    <t>(１)(G)：遮る霊気を裏向きにする。（これは2/2のクリーチャーになる。）</t>
  </si>
  <si>
    <t>らせんの円錐</t>
  </si>
  <si>
    <t>被覆（このエンチャントは呪文や能力の対象にならない。）</t>
  </si>
  <si>
    <t>(Ｘ)：らせんの円錐の上に塔(tower)カウンターをＸ個置く。</t>
  </si>
  <si>
    <t>あなたのアップキープの開始時に、らせんの円錐の上に塔カウンターが１００個以上置かれている場合、あなたはこのゲームに勝利する。</t>
  </si>
  <si>
    <t>根の迷路</t>
  </si>
  <si>
    <t>アーティファクトと土地はタップ状態で戦場に出る。</t>
  </si>
  <si>
    <t>形成師の聖域</t>
  </si>
  <si>
    <t>あなたがコントロールしているクリーチャーが１体、対戦相手がコントロールしている呪文や能力の対象になるたび、あなたはカードを１枚引いてもよい。</t>
  </si>
  <si>
    <t>虹色の前兆</t>
  </si>
  <si>
    <t>あなたがコントロールする土地は、自身の他のタイプに加えてすべての基本土地タイプでもある。</t>
  </si>
  <si>
    <t>神秘の痕跡</t>
  </si>
  <si>
    <t>裏向きのクリーチャーが１体あなたのコントロール下で戦場に出るたび、あなたはあなたのライブラリーから基本土地カードを１枚探してもよい。そうしたなら、それを公開してあなたの手札に加え、その後あなたのライブラリーを切り直す。</t>
  </si>
  <si>
    <t>あなたがコントロールするパーマネントが表向きになるたび、それがクリーチャーである場合、ターン終了時までそれは+2/+2の修整を受ける。</t>
  </si>
  <si>
    <t>地の封印</t>
  </si>
  <si>
    <t>地の封印が戦場に出たとき、カードを１枚引く。</t>
  </si>
  <si>
    <t>墓地にあるカードは、呪文や能力の対象にならない。</t>
  </si>
  <si>
    <t>粒選りの収穫</t>
  </si>
  <si>
    <t>クリーチャーが１体あなたがコントロール下で戦場に出るたび、あなたはあなたのライブラリーのカードを上からＸ枚見てもよい。Ｘは、そのクリーチャーのパワーである。そうした場合、それらのカードの１枚をあなたのライブラリーの一番上に置き、残りをあなたのライブラリーの一番下に望む順番で置く。</t>
  </si>
  <si>
    <t>進化の飛躍</t>
  </si>
  <si>
    <t>(G),クリーチャーを１体生け贄に捧げる：あなたのライブラリーの一番上から、クリーチャー・カードが公開されるまでカードを公開する。そのカードをあなたの手札に加え、残りをあなたのライブラリーの一番下に無作為の順番で置く。</t>
  </si>
  <si>
    <t>猛牛の目</t>
  </si>
  <si>
    <t>対戦相手１人があなたのターンの間に青の呪文を唱えるたび、あなたは緑の4/4のエレメンタル(Elemental)・クリーチャー・トークンを１体生成してもよい。</t>
  </si>
  <si>
    <t>軟泥の庭</t>
  </si>
  <si>
    <t>(１)(G),ウーズ(Ooze)でないクリーチャーを１体生け贄に捧げる：緑のX/Xのウーズ・クリーチャー・トークンを１体生成する。Ｘはその生け贄に捧げられたクリーチャーのパワーである。この能力は、あなたがソーサリーを唱えられるときにのみ起動できる。</t>
  </si>
  <si>
    <t>謎の石の儀式</t>
  </si>
  <si>
    <t>あなたがコントロールするクリーチャーは「(Ｔ)：好きな色１色のマナ１点を加える。」を持つ。</t>
  </si>
  <si>
    <t>突撃陣形</t>
  </si>
  <si>
    <t>あなたがコントロールする各クリーチャーは、パワーではなくタフネスに等しい点数の戦闘ダメージを割り振る。</t>
  </si>
  <si>
    <t>(G)：防衛を持つクリーチャー１体を対象とする。このターン、それはそれが防衛を持たないかのように攻撃できる。</t>
  </si>
  <si>
    <t>(２)(G)：ターン終了時まで、あなたがコントロールするクリーチャーは+0/+1の修整を受ける。</t>
  </si>
  <si>
    <t>ドルイドの保管庫</t>
  </si>
  <si>
    <t>あなたがコントロールするクリーチャーが攻撃するたび、ドルイドの保管庫の上に蓄積(charge)カウンターを１個置く。</t>
  </si>
  <si>
    <t>ドルイドの保管庫から蓄積カウンターを１個取り除く：好きな色１色のマナ１点を加える。</t>
  </si>
  <si>
    <t>栄華の儀式</t>
  </si>
  <si>
    <t>各プレイヤーは、自分の各ターンに追加の土地を１枚プレイしてもよい。</t>
  </si>
  <si>
    <t>イトリモクの成長儀式</t>
  </si>
  <si>
    <t>イトリモクの成長儀式が戦場に出たとき、あなたのライブラリーの一番上からカードを４枚見る。あなたはその中からクリーチャー・カード１枚を公開してあなたの手札に加えてもよい。残りをあなたのライブラリーの一番下に望む順番で置く。</t>
  </si>
  <si>
    <t>あなたの終了ステップの開始時に、あなたがクリーチャーを４体以上コントロールしている場合、イトリモクの成長儀式を変身させる。</t>
  </si>
  <si>
    <t>太陽の揺籃の地、イトリモク</t>
  </si>
  <si>
    <t>（《イトリモクの成長儀式/Growing Rites of Itlimoc》から変身する。）</t>
  </si>
  <si>
    <t>(Ｔ)：あなたがコントロールしているクリーチャー１体につき(G)を加える。</t>
  </si>
  <si>
    <t>末裔の道</t>
  </si>
  <si>
    <t>あなたのアップキープの開始時に、あなたのライブラリーの一番上のカードを公開する。それがあなたがコントロールするいずれかのクリーチャーと共通のクリーチャー・タイプを持つクリーチャー・カードである場合、あなたはそのカードをそれのマナ・コストを支払うことなく唱えてもよい。そうでない場合、そのカードをあなたのライブラリーの一番下に置く。</t>
  </si>
  <si>
    <t>獣使いの昇天</t>
  </si>
  <si>
    <t>あなたがコントロールするクリーチャーが１体攻撃するたび、あなたは獣使いの昇天の上に探索(quest)カウンターを１個置いてもよい。</t>
  </si>
  <si>
    <t>獣使いの昇天の上に探索カウンターが７個以上置かれているかぎり、あなたがコントロールするクリーチャーは+5/+5の修整を受ける。</t>
  </si>
  <si>
    <t>通過の儀式</t>
  </si>
  <si>
    <t>あなたがコントロールするクリーチャーにダメージが与えられるたび、その上に+1/+1カウンターを１個置く。（ダメージはカウンターを置く前に与えられる。）</t>
  </si>
  <si>
    <t>ナイレアの弓</t>
  </si>
  <si>
    <t>あなたがコントロールする攻撃クリーチャーは接死を持つ。</t>
  </si>
  <si>
    <t>(１)(G),(Ｔ)：以下から１つを選ぶ。</t>
  </si>
  <si>
    <t>・クリーチャー１体を対象とする。それの上に+1/+1カウンターを１個置く。</t>
  </si>
  <si>
    <t>・飛行を持つクリーチャー１体を対象とする。ナイレアの弓はそれに２点のダメージを与える。</t>
  </si>
  <si>
    <t>・あなたは３点のライフを得る。</t>
  </si>
  <si>
    <t>・あなたの墓地にあるカードを最大４枚まで対象とし、それらをあなたのライブラリーの一番下に望む順番で置く。</t>
  </si>
  <si>
    <t>加護のサテュロス</t>
  </si>
  <si>
    <t>授与(３)(G)(G)（このカードを授与コストで唱えた場合、これはエンチャント（クリーチャー）を持つオーラ(Aura)呪文である。クリーチャーにつけられていない場合、これは再びクリーチャーになる。）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</si>
  <si>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エンチャントされているクリーチャーは+4/+2の修整を受ける。</t>
  </si>
  <si>
    <t>上位の大蛇、ささ弥</t>
  </si>
  <si>
    <t>あなたの手札を公開する：あなたの手札に土地カードが７枚以上あるならば、上位の大蛇、ささ弥を反転する。</t>
  </si>
  <si>
    <t>ささ弥の本質</t>
  </si>
  <si>
    <t>あなたがコントロールする土地１つがマナを引き出す目的でタップされるたび、あなたがコントロールする同じ名前を持つ他の土地１つにつき、あなたのマナ・プールにその土地が生み出したいずれかのタイプのマナ１点を加える。</t>
  </si>
  <si>
    <t>目覚めの領域</t>
  </si>
  <si>
    <t>あなたのアップキープの開始時に、あなたは無色の0/1のエルドラージ(Eldrazi)・落とし子(Spawn)クリーチャー・トークンを１体生成してもよい。それは「このクリーチャーを生け贄に捧げる：(◇)を加える。」を持つ。</t>
  </si>
  <si>
    <t>命授け</t>
  </si>
  <si>
    <t>土地が戦場に出るたび、あなたは１点のライフを得てもよい。</t>
  </si>
  <si>
    <t>野生の抵抗</t>
  </si>
  <si>
    <t>あなたがコントロールするクリーチャーがインスタント呪文かソーサリー呪文の対象になるたび、そのクリーチャーはターン終了時まで+3/+3の修整を受ける。</t>
  </si>
  <si>
    <t>古樹の誓い</t>
  </si>
  <si>
    <t>古樹の誓いか他のエンチャントが１つあなたのコントロール下で戦場に出るたび、クリーチャー１体を対象とする。あなたはそれの上に+1/+1カウンターを１個置いてもよい。</t>
  </si>
  <si>
    <t>春の鼓動</t>
  </si>
  <si>
    <t>プレイヤーがマナを引き出す目的で土地をタップするたび、そのプレイヤーはその土地が生み出した好きなタイプのマナ１点を加える。</t>
  </si>
  <si>
    <t>クルフィックスの狩猟者</t>
  </si>
  <si>
    <t>あなたのライブラリーの一番上のカードを公開したままプレイする。</t>
  </si>
  <si>
    <t>あなたのライブラリーの一番上のカードが土地カードであるなら、あなたはそれをプレイしてもよい。</t>
  </si>
  <si>
    <t>土地が１つあなたのコントロール下で戦場に出るたび、あなたは１点のライフを得る。</t>
  </si>
  <si>
    <t>地のうねり</t>
  </si>
  <si>
    <t>土地は、それらがクリーチャーであるかぎり+2/+2の修整を受ける。</t>
  </si>
  <si>
    <t>開拓地の包囲</t>
  </si>
  <si>
    <t>開拓地の包囲が戦場に出るに際し、カンか龍かを選ぶ。</t>
  </si>
  <si>
    <t>・カン ― あなたの各メイン・フェイズの開始時に(G)(G)を加える。</t>
  </si>
  <si>
    <t>・龍 ― 飛行を持つクリーチャーが１体あなたのコントロール下で戦場に出るたび、あなたがコントロールしていないクリーチャー１体を対象とする。あなたは「その戦場に出たクリーチャーはそれと格闘を行う」ことを選んでもよい。</t>
  </si>
  <si>
    <t>ラディックスの調べ</t>
  </si>
  <si>
    <t>各アーティファクト呪文を唱えるためのコストは、それのコントローラーがコントロールするアーティファクト１つにつき(１)だけ増加する。</t>
  </si>
  <si>
    <t>荒野への突入</t>
  </si>
  <si>
    <t>あなたのアップキープの開始時に、あなたのライブラリーの一番上のカードを見る。それが土地カードである場合、あなたはそれを戦場に出してもよい。</t>
  </si>
  <si>
    <t>自然の意志</t>
  </si>
  <si>
    <t>あなたがコントロールする１体以上のクリーチャーがプレイヤーに戦闘ダメージを与えるたび、そのプレイヤーがコントロールするすべての土地をタップし、あなたがコントロールするすべての土地をアンタップする。</t>
  </si>
  <si>
    <t>軟泥の変転</t>
  </si>
  <si>
    <t>(１)(G),あなたがコントロールする１体以上のクリーチャーの上から+1/+1カウンターを１個以上取り除く：緑のX/Xのウーズ(Ooze)・クリーチャー・トークンを１体生成する。Ｘは、これにより取り除かれた+1/+1カウンターの数である。</t>
  </si>
  <si>
    <t>彼方より</t>
  </si>
  <si>
    <t>あなたのアップキープの開始時に、無色の1/1のエルドラージ(Eldrazi)・末裔(Scion)クリーチャー・トークンを１体生成する。それは「このクリーチャーを生け贄に捧げる：(◇)を加える。」を持つ。</t>
  </si>
  <si>
    <t>(１)(G),彼方よりを生け贄に捧げる：あなたのライブラリーからエルドラージ・カードを１枚探し、それを公開してあなたの手札に加え、その後あなたのライブラリーを切り直す。</t>
  </si>
  <si>
    <t>活力の力線</t>
  </si>
  <si>
    <t>活力の力線があなたのゲーム開始時の手札にある場合、あなたはそれが戦場に出ている状態でゲームを開始してもよい。</t>
  </si>
  <si>
    <t>クリーチャー１体があなたのコントロール下で戦場に出るたび、あなたは１点のライフを得てもよい。</t>
  </si>
  <si>
    <t>地に種</t>
  </si>
  <si>
    <t>土地が戦場に出るたび、それのコントローラーは緑の1/1の蛇(Snake)クリーチャー・トークンを１体生成する。</t>
  </si>
  <si>
    <t>よりよい品物</t>
  </si>
  <si>
    <t>クリーチャーを１体、生け贄に捧げる：あなたは、生け贄に捧げたクリーチャーのパワーに等しい枚数のカードを引き、その後カードを３枚捨てる。</t>
  </si>
  <si>
    <t>精霊の共鳴</t>
  </si>
  <si>
    <t>あなたの戦闘前のメイン・フェイズの開始時に、エンチャントされているパーマネントのマナ・コストに等しいマナを加える。（マナ・コストは色を含む。マナ・シンボルが複数の色を持つ場合、１つを選ぶ。）</t>
  </si>
  <si>
    <t>花盛りの春</t>
  </si>
  <si>
    <t>森(Forest)がマナを引き出す目的でタップされるたび、それのコントローラーは自分のマナ・プールに(G)を加える（そのマナは、その土地が生み出すマナに追加で加えられる）。</t>
  </si>
  <si>
    <t>熊の陰影</t>
  </si>
  <si>
    <t>エンチャントされているクリーチャーは+2/+2の修整を受けるとともに「このクリーチャーが攻撃するたび、あなたがコントロールするすべての土地をアンタップする。」を持つ。</t>
  </si>
  <si>
    <t>野生の呼び声</t>
  </si>
  <si>
    <t>(２)(G)(G)：あなたのライブラリーの一番上のカードを公開する。それがクリーチャー・カードである場合、それを戦場に出す。そうでない場合、それをあなたの墓地に置く。</t>
  </si>
  <si>
    <t>湧出</t>
  </si>
  <si>
    <t>ステップとフェイズの終了時に、マナ・プールは空にならない。</t>
  </si>
  <si>
    <t>生命と枝</t>
  </si>
  <si>
    <t>すべての森(Forest)とすべての苗木(Saproling)は、それらの他のタイプに加えて1/1の緑の苗木クリーチャーであり、森の土地である。</t>
  </si>
  <si>
    <t>似通った生命</t>
  </si>
  <si>
    <t>いずれかの効果により１個以上のトークンがあなたのコントロール下で生成される場合、代わりにそれはその２倍の数のトークンを生成する。</t>
  </si>
  <si>
    <t>開花の幻霊</t>
  </si>
  <si>
    <t>星座 ― 開花の幻霊か他のエンチャント１つがあなたのコントロール下で戦場に出るたび、カードを１枚引く。</t>
  </si>
  <si>
    <t>発見の道</t>
  </si>
  <si>
    <t>クリーチャーが１体あなたのコントロール下で戦場に出るたび、そ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</si>
  <si>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豊穣</t>
  </si>
  <si>
    <t>あなたがカードを引く場合、代わりにあなたは「土地カードか土地でないカードかを選ぶ。あなたのライブラリーの一番上のカードを、選ばれた種類のカードが公開されるまで公開し続ける」ことを選んでもよい。そのカードをあなたの手札に加え、これにより公開された他のすべてのカードをあなたのライブラリーの一番下に望む順番で置く。</t>
  </si>
  <si>
    <t>生命の力線</t>
  </si>
  <si>
    <t xml:space="preserve">生命の力線があなたのゲーム開始時の手札にあるなら、あなたはそれが戦場に出ている状態でゲームを始めてもよい。 </t>
  </si>
  <si>
    <t>クリーチャー呪文は打ち消されない。</t>
  </si>
  <si>
    <t>捕食者の衝動</t>
  </si>
  <si>
    <t>エンチャントされているクリーチャーは「(Ｔ)：クリーチャー１体を対象とする。このクリーチャーは、そのクリーチャーに自身のパワーに等しい点数のダメージを与える。そのクリーチャーは、このクリーチャーにそれのパワーに等しい点数のダメージを与える。」を持つ。</t>
  </si>
  <si>
    <t>ムラガンダの印刻</t>
  </si>
  <si>
    <t>能力を持たないクリーチャーは+2/+2の修整を受ける。</t>
  </si>
  <si>
    <t>巨身化</t>
  </si>
  <si>
    <t>キッカー(４)</t>
  </si>
  <si>
    <t>エンチャントされているクリーチャーは基本のパワーとタフネスが8/8であるとともにトランプルを持つ。</t>
  </si>
  <si>
    <t>巨身化が戦場に出たとき、それがキッカーされていた場合、あなたは「あなたのライブラリーから《巨身化/Gigantiform》という名前のカードを１枚探してそれを戦場に出し、その後あなたのライブラリーを切り直す」ことを選んでもよい。</t>
  </si>
  <si>
    <t>苦行主義</t>
  </si>
  <si>
    <t>あなたがコントロールするクリーチャーは、呪禁を持つ。（それらは、あなたの対戦相手がコントロールする呪文や能力の対象にならない。）</t>
  </si>
  <si>
    <t>(１)(G)：クリーチャー１体を対象とし、それを再生する。</t>
  </si>
  <si>
    <t>倍増の季節</t>
  </si>
  <si>
    <t>いずれかの効果があなたのコントロール下で１個以上のトークンを生成する場合、代わりにそれはその２倍の数を生成する。</t>
  </si>
  <si>
    <t>いずれかの効果があなたがコントロールするパーマネントの上に１個以上のカウンターを置く場合、代わりにそれはその２倍の数をそのパーマネントの上に置く。</t>
  </si>
  <si>
    <t>冬眠の終わり</t>
  </si>
  <si>
    <t>冬眠の終わりの累加アップキープを支払うたび、あなたは自分のライブラリーから冬眠の終わりの上に置かれている経年カウンターの数に等しい点数で見たマナ･コストを持つクリーチャー・カードを１枚探し、それを戦場に出してもよい。そうした場合、あなたのライブラリーを切り直す。</t>
  </si>
  <si>
    <t>森での迷子</t>
  </si>
  <si>
    <t>クリーチャー１体があなたかあなたがコントロールするプレインズウォーカーを攻撃するたび、あなたのライブラリーの一番上のカードを公開する。それが森(Forest)カードである場合、そのクリーチャーを戦闘から取り除く。その後、その公開したカードをあなたのライブラリーの一番下に置く。</t>
  </si>
  <si>
    <t>僧帽地帯からの援軍</t>
  </si>
  <si>
    <t>紛争 ― あなたの終了ステップの開始時に、このターンにあなたがコントロールするパーマネントが戦場を離れていた場合、あなたのライブラリーの一番上のカードを公開する。それがパーマネント・カードであるなら、あなたはそれを戦場に出してもよい。そうでないなら、あなたはそのカードをあなたのライブラリーの一番下に置いてもよい。</t>
  </si>
  <si>
    <t>ケイラメトラの指図</t>
  </si>
  <si>
    <t>プレイヤーがマナを引き出す目的で土地を１つタップするたび、そのプレイヤーはその土地が生み出したいずれかのタイプのマナ１点を加える。</t>
  </si>
  <si>
    <t>ドミナリアの大修復</t>
  </si>
  <si>
    <t>I,II ― あなたのライブラリーの一番上からカードを２枚あなたの墓地に置く。その後、あなたはあなたの墓地からクリーチャー・カード１枚をあなたの手札に戻してもよい。</t>
  </si>
  <si>
    <t>III ― あなたの墓地から土地カードをすべて戦場に戻す。その後、あなたの墓地をあなたのライブラリーに加えて切り直す。</t>
  </si>
  <si>
    <t>新緑の抱擁</t>
  </si>
  <si>
    <t>エンチャントされているクリーチャーは+3/+3の修整を受けるとともに「各アップキープの開始時に、緑の1/1の苗木(Saproling)クリーチャー・トークンを１体、あなたのコントロール下で生成する。」を持つ。</t>
  </si>
  <si>
    <t>排水路の汚濁</t>
  </si>
  <si>
    <t>あなたがコントロールするトークンでないクリーチャーが１体死亡するたび、排水路の汚濁の上にスライム(slime)・カウンターを１個置く。その後、「このクリーチャーのパワーとタフネスはそれぞれ、排水路の汚濁の上に置かれているスライム・カウンターの数に等しい。」を持つ緑のウーズ(Ooze)・クリーチャー・トークンを１体生成する。</t>
  </si>
  <si>
    <t>ウィーティゴの姿</t>
  </si>
  <si>
    <t>(３)(G)(G)(G)</t>
  </si>
  <si>
    <t>ウィーティゴの姿が戦場に出たとき、エンチャントされているクリーチャーの上に+1/+1カウンターを６個置く。</t>
  </si>
  <si>
    <t>あなたのアップキープの開始時に、エンチャントされているクリーチャーが直前のあなたのアップキープ以降に攻撃かブロックしているならば、その上に+1/+1カウンターを１個置く。そうでない場合、その上から+1/+1カウンターを１個取り除く。</t>
  </si>
  <si>
    <t>マナの反射</t>
  </si>
  <si>
    <t>あなたがマナを生み出す目的でパーマネントをタップする場合、代わりにそれはその２倍のマナを生み出す。</t>
  </si>
  <si>
    <t>驚異的成長</t>
  </si>
  <si>
    <t>エンチャントされているクリーチャーは+7/+7の修整を受け、トランプルを持つ。</t>
  </si>
  <si>
    <t>隠れ潜む捕食者</t>
  </si>
  <si>
    <t>対戦相手１人が呪文を唱えるたび、あなたのライブラリーの一番上のカードを公開する。それがクリーチャー・カードである場合、それを戦場に出す。そうでない場合、あなたはそのカードをあなたのライブラリーの一番下に置いてもよい。</t>
  </si>
  <si>
    <t>野生のつがい</t>
  </si>
  <si>
    <t>クリーチャー１体が戦場に出るたび、あなたがそれをあなたの手札から唱えたならば、あなたはあなたのライブラリーから同じパワーとタフネスの合計を持つクリーチャー・カードを１枚探し、それを戦場に出してもよい。そうした場合、あなたのライブラリーを切り直す。</t>
  </si>
  <si>
    <t>群れに餌</t>
  </si>
  <si>
    <t>あなたの終了ステップの開始時に、あなたはトークンでないクリーチャーを１体生け贄に捧げてもよい。そうした場合、緑の2/2の狼(Wolf)クリーチャー・トークンをＸ体生成する。Ｘは、生け贄に捧げられたクリーチャーのタフネスである。</t>
  </si>
  <si>
    <t>ワーム編みのとぐろ</t>
  </si>
  <si>
    <t>エンチャント（緑のクリーチャー）</t>
  </si>
  <si>
    <t>エンチャントされているクリーチャーは+6/+6の修整を受ける。</t>
  </si>
  <si>
    <t>(G)(G)(G),ワーム編みのとぐろを生け贄に捧げる：緑の6/6のワーム(Wurm)・クリーチャー・トークンを１体生成する。</t>
  </si>
  <si>
    <t>死の存在</t>
  </si>
  <si>
    <t>あなたがコントロールするクリーチャーが１体死亡するたび、あなたがコントロールするクリーチャー１体を対象とし、それの上に+1/+1カウンターをＸ個置く。Ｘはその死亡したクリーチャーのパワーである。</t>
  </si>
  <si>
    <t>勇壮な体形</t>
  </si>
  <si>
    <t>エンチャントされているクリーチャーは+5/+5の修整を受けるとともにトランプルを持つ。</t>
  </si>
  <si>
    <t>ゼンディカーの復興者</t>
  </si>
  <si>
    <t>あなたがマナを引き出す目的で土地を１つタップするたび、その土地が生み出したいずれかのタイプのマナ１点をあなたのマナ・プールに加える。（マナのタイプとは、白か青か黒か赤か緑か無色である。）</t>
  </si>
  <si>
    <t>あなたがクリーチャー呪文を１つ唱えるたび、カードを１枚引く。</t>
  </si>
  <si>
    <t>サンドワームの収斂</t>
  </si>
  <si>
    <t>飛行を持つクリーチャーでは、あなたやあなたがコントロールするプレインズウォーカーを攻撃できない。</t>
  </si>
  <si>
    <t>あなたの終了ステップの開始時に、緑の5/5のワーム(Wurm)・クリーチャー・トークンを１体生成する。</t>
  </si>
  <si>
    <t>狩猟の神、ナイレア</t>
  </si>
  <si>
    <t>あなたの緑への信心が５未満であるかぎり、狩猟の神、ナイレアはクリーチャーではない。（あなたの緑への信心は、あなたがコントロールするパーマネントのマナ・コストに含まれる(G)の数に等しい。）</t>
  </si>
  <si>
    <t>_6/6</t>
  </si>
  <si>
    <t>原始の報奨</t>
  </si>
  <si>
    <t>あなたがクリーチャー呪文を１つ唱えるたび、緑の3/3のビースト(Beast)・クリーチャー・トークンを１体生成する。</t>
  </si>
  <si>
    <t>あなたがクリーチャーでない呪文を１つ唱えるたび、あなたがコントロールするクリーチャー１体を対象とし、それの上に+1/+1カウンターを３個置く。</t>
  </si>
  <si>
    <t>土地が１つあなたのコントロール下で戦場に出るたび、あなたは３点のライフを得る。</t>
  </si>
  <si>
    <t>生類解放</t>
  </si>
  <si>
    <t>あなたのライブラリーから、異なる名前を持ち、点数で見たマナ・コストがＸであるクリーチャー・カード最大Ｘ枚を探し、それらを公開してあなたの手札に加え、その後あなたのライブラリーを切り直す。</t>
  </si>
  <si>
    <t>風景の変容</t>
  </si>
  <si>
    <t>望む数の土地を生け贄に捧げる。あなたのライブラリーから、その数以下の枚数の土地カードを探し、それらをタップ状態で戦場に出し、その後あなたのライブラリーを切り直す。</t>
  </si>
  <si>
    <t>過ぎ去った季節</t>
  </si>
  <si>
    <t>あなたの墓地から点数で見たマナ・コストが互いに異なるカードを望む枚数あなたの手札に戻す。過ぎ去った季節をオーナーのライブラリーの一番下に置く。</t>
  </si>
  <si>
    <t>書かれざるものの視認</t>
  </si>
  <si>
    <t>あなたのライブラリーの一番上から８枚のカードを公開する。あなたは、それらの中にあるクリーチャー・カードを１枚戦場に出してもよい。残りをあなたの墓地に置く。</t>
  </si>
  <si>
    <t>獰猛 ― あなたがパワーが４以上のクリーチャーをコントロールしているなら、代わりにクリーチャー・カードを２枚戦場に出してもよい。</t>
  </si>
  <si>
    <t>法務官の相談</t>
  </si>
  <si>
    <t>あなたの墓地にあるすべてのカードをあなたの手札に戻す。法務官の相談を追放する。ゲームの残りの間、あなたの手札の上限は無くなる。</t>
  </si>
  <si>
    <t>大オーロラ</t>
  </si>
  <si>
    <t>(６)(G)(G)(G)</t>
  </si>
  <si>
    <t>各プレイヤーはそれぞれ、自分の手札にあるすべてのカードと自分がオーナーであるすべてのパーマネントを自分のライブラリーに加えて切り直し、その後それらの枚数に等しい枚数のカードを引く。各プレイヤーはそれぞれ、自分の手札から望む枚数の土地カードを戦場に出してもよい。大オーロラを追放する。</t>
  </si>
  <si>
    <t>原初のうねり</t>
  </si>
  <si>
    <t>(８)(G)(G)</t>
  </si>
  <si>
    <t>あなたのライブラリーの一番上のカードを追放する。それがパーマネント・カードである場合、あなたはそれを戦場に出してもよい。そうした場合、この手順を繰り返す。</t>
  </si>
  <si>
    <t>M</t>
    <phoneticPr fontId="1"/>
  </si>
  <si>
    <t>枠</t>
  </si>
  <si>
    <t>名前</t>
  </si>
  <si>
    <t>能力</t>
  </si>
  <si>
    <t>[変身]</t>
  </si>
  <si>
    <t>E破壊</t>
  </si>
  <si>
    <t>C/変異</t>
  </si>
  <si>
    <t>別色起動</t>
  </si>
  <si>
    <t>飛行/トークン</t>
  </si>
  <si>
    <t>S/除去</t>
  </si>
  <si>
    <t>E/A/除去</t>
  </si>
  <si>
    <t>変身/飛行</t>
  </si>
  <si>
    <t>他色起動</t>
  </si>
  <si>
    <t>CIP/トークン</t>
  </si>
  <si>
    <t>CIP/飛行</t>
  </si>
  <si>
    <t>CIP/CNS</t>
  </si>
  <si>
    <t>I/除去</t>
  </si>
  <si>
    <t>オーラ</t>
  </si>
  <si>
    <t>ならず者/トークン</t>
  </si>
  <si>
    <t>公開ﾋﾟｯｸ</t>
  </si>
  <si>
    <t>公開時：上家色選択、自身別色選択、下家別色選択</t>
  </si>
  <si>
    <t>選択色保有生物除去</t>
  </si>
  <si>
    <t>他色起動/トークン</t>
  </si>
  <si>
    <t>３点</t>
  </si>
  <si>
    <t>記録/非公開：現ﾗｳﾝﾄﾞﾄﾞﾗﾌﾄ数</t>
  </si>
  <si>
    <t>生物限定記録数火力</t>
  </si>
  <si>
    <t>(２)(赤)</t>
  </si>
  <si>
    <t>ランパン</t>
  </si>
  <si>
    <t>待機2（G)</t>
  </si>
  <si>
    <t>TSP</t>
  </si>
  <si>
    <t>S/トークン</t>
  </si>
  <si>
    <t>H/C</t>
  </si>
  <si>
    <t>M/トークン</t>
  </si>
  <si>
    <t>H</t>
  </si>
  <si>
    <t>M/C</t>
  </si>
  <si>
    <t>機体</t>
  </si>
  <si>
    <t>生態武器</t>
  </si>
  <si>
    <t>WUTL</t>
  </si>
  <si>
    <t>UBTL</t>
  </si>
  <si>
    <t>BRTL</t>
  </si>
  <si>
    <t>RGTL</t>
  </si>
  <si>
    <t>GWTL</t>
  </si>
  <si>
    <t>(２)(白)(白)</t>
  </si>
  <si>
    <t>E/除去</t>
  </si>
  <si>
    <t>E/A/人間</t>
  </si>
  <si>
    <t>(X)(U)</t>
  </si>
  <si>
    <t>S/人間</t>
  </si>
  <si>
    <t>コントロール奪取</t>
  </si>
  <si>
    <t>M10</t>
  </si>
  <si>
    <t>FRF</t>
  </si>
  <si>
    <t>I/除去/人間</t>
  </si>
  <si>
    <t>(３)(黒)</t>
  </si>
  <si>
    <t>(３)(黒)(黒)</t>
  </si>
  <si>
    <t>(１)(黒)(黒)</t>
  </si>
  <si>
    <t>(２)(黒)</t>
  </si>
  <si>
    <t>(２)(赤)(赤)</t>
  </si>
  <si>
    <t>召集</t>
  </si>
  <si>
    <t>(３)(赤)(赤)(赤)</t>
  </si>
  <si>
    <t>(１)(赤)(赤)</t>
  </si>
  <si>
    <t>E/人間</t>
  </si>
  <si>
    <t>(Ｘ)(緑)</t>
  </si>
  <si>
    <t>(緑)</t>
  </si>
  <si>
    <t>氷の干渉機</t>
  </si>
  <si>
    <t>全ﾌﾟｰﾙ採用時：土地は全色土地</t>
  </si>
  <si>
    <t>T:選択色のいずれか発生</t>
  </si>
  <si>
    <t>伝説のプレインズウォーカー</t>
  </si>
  <si>
    <t>[3]</t>
  </si>
  <si>
    <t>[5]</t>
  </si>
  <si>
    <t>[4]</t>
  </si>
  <si>
    <t>情け知らずのガラク</t>
  </si>
  <si>
    <t>(3)(G)</t>
  </si>
  <si>
    <t>ガラク</t>
  </si>
  <si>
    <t>自ﾃﾞｯｷ基本土地不可。手札5枚。手札1追放：基本土地ﾌﾟﾚｲ可。基本土地：全色土地</t>
  </si>
  <si>
    <t>ナイトメア(Nightmare)</t>
  </si>
  <si>
    <t>キスキン(Kithkin)</t>
  </si>
  <si>
    <t>人間(Human)・兵士(Soldier)</t>
  </si>
  <si>
    <t>オーラ(Aura)・カルトーシュ(Cartouche)</t>
  </si>
  <si>
    <t>ニンフ(Nymph)</t>
  </si>
  <si>
    <t>レベル(Rebel)・オーラ(Aura)</t>
  </si>
  <si>
    <t>エレメンタル(Elemental)</t>
  </si>
  <si>
    <t>狐(Fox)・モンク(Monk)</t>
  </si>
  <si>
    <t>執政官(Archon)</t>
  </si>
  <si>
    <t>英雄譚(Saga)</t>
  </si>
  <si>
    <t>伝説のクリーチャー・エンチャント</t>
  </si>
  <si>
    <t>神(God)</t>
  </si>
  <si>
    <t>オーラ(Aura)・呪い(Curse)</t>
  </si>
  <si>
    <t>フェアリー(Faerie)</t>
  </si>
  <si>
    <t>セイレーン(Siren)</t>
  </si>
  <si>
    <t>ムーンフォーク(Moonfolk)・モンク(Monk)</t>
  </si>
  <si>
    <t>キマイラ(Chimera)</t>
  </si>
  <si>
    <t>エルフ(Elf)</t>
  </si>
  <si>
    <t>ゴブリン(Goblin)</t>
  </si>
  <si>
    <t>ゾンビ(Zombie)</t>
  </si>
  <si>
    <t>デーモン(Demon)</t>
  </si>
  <si>
    <t>オーガ(Ogre)・モンク(Monk)</t>
  </si>
  <si>
    <t>ハッグ(Hag)</t>
  </si>
  <si>
    <t>サテュロス(Satyr)</t>
  </si>
  <si>
    <t>色指標：〔赤〕</t>
  </si>
  <si>
    <t>猟犬(Hound)</t>
  </si>
  <si>
    <t>人間(Human)・戦士(Warrior)</t>
  </si>
  <si>
    <t>雄牛(Ox)</t>
  </si>
  <si>
    <t>サイクロプス(Cyclops)</t>
  </si>
  <si>
    <t>人間(Human)・モンク(Monk)</t>
  </si>
  <si>
    <t>ツリーフォーク(Treefolk)</t>
  </si>
  <si>
    <t>ツリーフォーク(Treefolk)・オーラ(Aura)</t>
  </si>
  <si>
    <t>ニンフ(Nymph)・ドライアド(Dryad)</t>
  </si>
  <si>
    <t>狼(Wolf)</t>
  </si>
  <si>
    <t>ビースト(Beast)</t>
  </si>
  <si>
    <t>色指標：〔緑〕</t>
  </si>
  <si>
    <t>ユニコーン(Unicorn)</t>
  </si>
  <si>
    <t>猫(Cat)</t>
  </si>
  <si>
    <t>猪(Boar)</t>
  </si>
  <si>
    <t>蛇(Snake)・モンク(Monk)</t>
  </si>
  <si>
    <t>ケンタウルス(Centaur)</t>
  </si>
  <si>
    <t>呪文１つを対象とする。それのコントローラーが(３)を支払わないかぎり、それを打ち消す。</t>
    <phoneticPr fontId="1"/>
  </si>
  <si>
    <t>【打消】</t>
    <rPh sb="1" eb="3">
      <t>ウチケ</t>
    </rPh>
    <phoneticPr fontId="1"/>
  </si>
  <si>
    <t>E</t>
    <phoneticPr fontId="1"/>
  </si>
  <si>
    <t>MM05</t>
    <phoneticPr fontId="1"/>
  </si>
  <si>
    <t>NM01</t>
    <phoneticPr fontId="1"/>
  </si>
  <si>
    <t>魂の捕縛</t>
    <phoneticPr fontId="1"/>
  </si>
  <si>
    <t>I</t>
    <phoneticPr fontId="1"/>
  </si>
  <si>
    <t>C</t>
    <phoneticPr fontId="1"/>
  </si>
  <si>
    <t>U</t>
    <phoneticPr fontId="1"/>
  </si>
  <si>
    <t>R</t>
    <phoneticPr fontId="1"/>
  </si>
  <si>
    <t>活力の奔出</t>
    <phoneticPr fontId="1"/>
  </si>
  <si>
    <t>死後の放浪</t>
    <phoneticPr fontId="1"/>
  </si>
  <si>
    <t>欠片盗み</t>
    <phoneticPr fontId="1"/>
  </si>
  <si>
    <t>雑草の絡めとり</t>
    <phoneticPr fontId="1"/>
  </si>
  <si>
    <t>死の国の重み</t>
    <phoneticPr fontId="1"/>
  </si>
  <si>
    <t>とがった三つ叉</t>
    <phoneticPr fontId="1"/>
  </si>
  <si>
    <t>外套と短剣</t>
    <phoneticPr fontId="1"/>
  </si>
  <si>
    <t>処刑者の板金鎧</t>
    <phoneticPr fontId="1"/>
  </si>
  <si>
    <t>氷の干渉機</t>
    <phoneticPr fontId="1"/>
  </si>
  <si>
    <t>ブランチウッドの鎧</t>
    <phoneticPr fontId="1"/>
  </si>
  <si>
    <t>餌食の復讐</t>
    <phoneticPr fontId="1"/>
  </si>
  <si>
    <t>墓場からの復活</t>
    <phoneticPr fontId="1"/>
  </si>
  <si>
    <t>Conspiracy: Take the Crown</t>
    <phoneticPr fontId="1"/>
  </si>
  <si>
    <t xml:space="preserve"> </t>
    <phoneticPr fontId="1"/>
  </si>
  <si>
    <t xml:space="preserve"> </t>
    <phoneticPr fontId="1"/>
  </si>
  <si>
    <t xml:space="preserve"> </t>
    <phoneticPr fontId="1"/>
  </si>
  <si>
    <t>LU02</t>
    <phoneticPr fontId="1"/>
  </si>
  <si>
    <t>LU03</t>
    <phoneticPr fontId="1"/>
  </si>
  <si>
    <t>活力の奔出</t>
    <phoneticPr fontId="1"/>
  </si>
  <si>
    <t>死後の放浪</t>
    <phoneticPr fontId="1"/>
  </si>
  <si>
    <t>欠片盗み</t>
    <phoneticPr fontId="1"/>
  </si>
  <si>
    <t>死の国の重み</t>
    <phoneticPr fontId="1"/>
  </si>
  <si>
    <t>雑草の絡めとり</t>
    <phoneticPr fontId="1"/>
  </si>
  <si>
    <t>変身</t>
    <rPh sb="0" eb="2">
      <t>ヘンシン</t>
    </rPh>
    <phoneticPr fontId="1"/>
  </si>
  <si>
    <t>変身/CIP</t>
    <rPh sb="0" eb="2">
      <t>ヘンシン</t>
    </rPh>
    <phoneticPr fontId="1"/>
  </si>
  <si>
    <t>CIP</t>
    <phoneticPr fontId="1"/>
  </si>
  <si>
    <t>CIP/人間</t>
    <rPh sb="4" eb="6">
      <t>ニンゲン</t>
    </rPh>
    <phoneticPr fontId="1"/>
  </si>
  <si>
    <t>飛行</t>
    <rPh sb="0" eb="2">
      <t>ヒコウ</t>
    </rPh>
    <phoneticPr fontId="1"/>
  </si>
  <si>
    <t>CIP/トークン</t>
    <phoneticPr fontId="1"/>
  </si>
  <si>
    <t>I/除去</t>
    <phoneticPr fontId="1"/>
  </si>
  <si>
    <t>I/トークン</t>
    <phoneticPr fontId="1"/>
  </si>
  <si>
    <t>S</t>
    <phoneticPr fontId="1"/>
  </si>
  <si>
    <t>S</t>
    <phoneticPr fontId="1"/>
  </si>
  <si>
    <t>トークン</t>
    <phoneticPr fontId="1"/>
  </si>
  <si>
    <t>人間</t>
    <rPh sb="0" eb="2">
      <t>ニンゲン</t>
    </rPh>
    <phoneticPr fontId="1"/>
  </si>
  <si>
    <t>飛行CIP/トークン</t>
    <rPh sb="0" eb="2">
      <t>ヒコウ</t>
    </rPh>
    <phoneticPr fontId="1"/>
  </si>
  <si>
    <t>I/除去</t>
    <rPh sb="2" eb="4">
      <t>ジョキョ</t>
    </rPh>
    <phoneticPr fontId="1"/>
  </si>
  <si>
    <t>I/打消</t>
    <rPh sb="2" eb="4">
      <t>ウチケ</t>
    </rPh>
    <phoneticPr fontId="1"/>
  </si>
  <si>
    <t>S/除去</t>
    <rPh sb="2" eb="4">
      <t>ジョキョ</t>
    </rPh>
    <phoneticPr fontId="1"/>
  </si>
  <si>
    <t>除去</t>
    <rPh sb="0" eb="2">
      <t>ジョキョ</t>
    </rPh>
    <phoneticPr fontId="1"/>
  </si>
  <si>
    <t>CIP/除去</t>
    <rPh sb="4" eb="6">
      <t>ジョキョ</t>
    </rPh>
    <phoneticPr fontId="1"/>
  </si>
  <si>
    <t>I</t>
    <phoneticPr fontId="1"/>
  </si>
  <si>
    <t>S</t>
    <phoneticPr fontId="1"/>
  </si>
  <si>
    <t>E/A/除去</t>
    <rPh sb="4" eb="6">
      <t>ジョキョ</t>
    </rPh>
    <phoneticPr fontId="1"/>
  </si>
  <si>
    <t>S/トークン</t>
    <phoneticPr fontId="1"/>
  </si>
  <si>
    <t>E/A</t>
    <phoneticPr fontId="1"/>
  </si>
  <si>
    <t>S</t>
    <phoneticPr fontId="1"/>
  </si>
  <si>
    <t>I</t>
    <phoneticPr fontId="1"/>
  </si>
  <si>
    <t>とがった三つ叉</t>
    <phoneticPr fontId="1"/>
  </si>
  <si>
    <t>外套と短剣</t>
    <phoneticPr fontId="1"/>
  </si>
  <si>
    <t>C/E</t>
    <phoneticPr fontId="1"/>
  </si>
  <si>
    <t>S/強化</t>
    <rPh sb="2" eb="4">
      <t>キョウカ</t>
    </rPh>
    <phoneticPr fontId="1"/>
  </si>
  <si>
    <t>S/サーチ</t>
    <phoneticPr fontId="1"/>
  </si>
  <si>
    <t>神話</t>
  </si>
  <si>
    <t>蜘蛛糸の網</t>
  </si>
  <si>
    <t>装備しているクリーチャーは+0/+2の修整を受けるとともに到達を持つ。（それは飛行を持つクリーチャーをブロックできる。）</t>
  </si>
  <si>
    <t>骨の鋸</t>
  </si>
  <si>
    <t>装備しているクリーチャーは+1/+0の修整を受ける。</t>
  </si>
  <si>
    <t>装備(１)（(１)：あなたがコントロールするクリーチャー１体を対象とし、それにつける。装備はソーサリーとしてのみ行う。）</t>
  </si>
  <si>
    <t>聖戦士の盾</t>
  </si>
  <si>
    <t>装備しているクリーチャーは+0/+3の修整を受けるとともに警戒を持つ。</t>
  </si>
  <si>
    <t>装備(３)（(３)：あなたがコントロールするクリーチャー１体を対象とし、それにつける。装備はソーサリーとしてのみ行う。）</t>
  </si>
  <si>
    <t>薬草の湿布</t>
  </si>
  <si>
    <t>(３),薬草の湿布を生け贄に捧げる：クリーチャー１体を対象とし、それを再生する。</t>
  </si>
  <si>
    <t>溶接の壺</t>
  </si>
  <si>
    <t>溶接の壺を生け贄に捧げる：アーティファクト１つを対象とし、それを再生する。</t>
  </si>
  <si>
    <t>調和者隊の盾</t>
  </si>
  <si>
    <t>装備しているクリーチャーは+0/+3の修整を受けるとともに警戒を持つ。（それは攻撃してもタップしない。）</t>
  </si>
  <si>
    <t>獣血蝋燭</t>
  </si>
  <si>
    <t>(６),(Ｔ),獣血蝋燭を生け贄に捧げる：クリーチャー１体を対象とする。ターン終了時まで、それは-5/-5の修整を受ける。</t>
  </si>
  <si>
    <t>冒険者の装具</t>
  </si>
  <si>
    <t>上陸 ― あなたのコントロール下で土地が１つ戦場に出るたび、装備しているクリーチャーはターン終了時まで+2/+2の修整を受ける。</t>
  </si>
  <si>
    <t>シルヴォクの生命杖</t>
  </si>
  <si>
    <t>装備しているクリーチャーが死亡するたび、あなたは３点のライフを得る。</t>
  </si>
  <si>
    <t>骨断ちの矛槍</t>
  </si>
  <si>
    <t>爆発性の機器</t>
  </si>
  <si>
    <t>(３),(Ｔ),爆発性の機器を生け贄に捧げる：クリーチャー１体かプレインズウォーカー１体かプレイヤー１人を対象とする。これはそれに２点のダメージを与える。</t>
  </si>
  <si>
    <t>発火器具</t>
  </si>
  <si>
    <t>(R),発火器具を生け贄に捧げる：プレイヤー１人かプレインズウォーカー１体を対象とする。発火器具はそれに１点のダメージを与える。</t>
  </si>
  <si>
    <t>発火器具が戦場から墓地に置かれたとき、カードを１枚引く。</t>
  </si>
  <si>
    <t>旅人のガラクタ</t>
  </si>
  <si>
    <t>(２),(Ｔ),旅人のガラクタを生け贄に捧げる：あなたのライブラリーから基本土地カードを１枚探し、そのカードをタップ状態で戦場に出す。その後あなたのライブラリーを切り直す。</t>
  </si>
  <si>
    <t>放浪者の小枝</t>
  </si>
  <si>
    <t>(１),放浪者の小枝を生け贄に捧げる：あなたのライブラリーから基本土地カードを１枚探し、それを公開し、あなたの手札に加える。その後あなたのライブラリーを切り直す。</t>
  </si>
  <si>
    <t>飛行の呪文爆弾</t>
  </si>
  <si>
    <t>(Ｔ),飛行の呪文爆弾を生け贄に捧げる：クリーチャー１体を対象とする。それはターン終了時まで飛行を得る。</t>
  </si>
  <si>
    <t>飛行の呪文爆弾が戦場からいずれかの墓地に置かれたとき、あなたは(U)を支払ってもよい。そうした場合、カードを１枚引く。</t>
  </si>
  <si>
    <t>叫び角笛</t>
  </si>
  <si>
    <t>叫び角笛は蓄積(charge)カウンターが３個置かれた状態で戦場に出る。</t>
  </si>
  <si>
    <t>(Ｔ),叫び角笛から蓄積カウンターを１個取り除く：プレイヤー１人を対象とする。そのプレイヤーは、自分のライブラリーの一番上から２枚のカードを自分の墓地に置く。</t>
  </si>
  <si>
    <t>マナの大鉢</t>
  </si>
  <si>
    <t>(１),(Ｔ)：好きな色１色のマナ１点を加える。</t>
  </si>
  <si>
    <t>レオニンのボーラ</t>
  </si>
  <si>
    <t>装備しているクリーチャーは「(Ｔ),レオニンのボーラをはずす：クリーチャー１体を対象とし、それをタップする。」を持つ。</t>
  </si>
  <si>
    <t>装備(１)（(１)：あなたがコントロールするクリーチャー１体を対象とし、それにつける。装備はソーサリーとしてのみ行う。このカードはつけられていない状態で戦場に出て、クリーチャーが戦場を離れても戦場に残る。）</t>
  </si>
  <si>
    <t>祓い士の薬包</t>
  </si>
  <si>
    <t>(２)(W),(Ｔ),祓い士の薬包を生け贄に捧げる：アーティファクト１つかエンチャント１つを対象とし、それを破壊する。</t>
  </si>
  <si>
    <t>金屑ワームの鎧</t>
  </si>
  <si>
    <t>装備しているクリーチャーは+0/+6の修整を受ける。</t>
  </si>
  <si>
    <t>装備(３)（(３):あなたがコントロールするクリーチャー１体を対象とし、それにつける。装備はソーサリーとしてのみ行う。このカードはつけられていない状態で戦場に出て、クリーチャーが戦場を離れても戦場に残る。）</t>
  </si>
  <si>
    <t>研ぎ澄まされたコペシュ</t>
  </si>
  <si>
    <t>装備(１)（(１)：あなたがコントロールするクリーチャー１体を対象とし、これをそれにつける。装備はソーサリーとしてのみ行う。）</t>
  </si>
  <si>
    <t>彩色の星</t>
  </si>
  <si>
    <t>(１),(Ｔ),彩色の星を生け贄に捧げる：好きな色１色のマナ１点を加える。</t>
  </si>
  <si>
    <t>彩色の星が戦場からいずれかの墓地に置かれたとき、カードを１枚引く。</t>
  </si>
  <si>
    <t>上天の呪文爆弾</t>
  </si>
  <si>
    <t>(U),上天の呪文爆弾を生け贄に捧げる：クリーチャー１体を対象とし、それをオーナーの手札に戻す。</t>
  </si>
  <si>
    <t>(１),上天の呪文爆弾を生け贄に捧げる：カードを１枚引く。</t>
  </si>
  <si>
    <t>小剣</t>
  </si>
  <si>
    <t>装備(１)（(１)：あなたがコントロールしているクリーチャー１体を対象とし、これをそれにつける。装備はソーサリーとしてのみ行う。）</t>
  </si>
  <si>
    <t>バネ葉の太鼓</t>
  </si>
  <si>
    <t>(Ｔ),あなたがコントロールするアンタップ状態のクリーチャーを１体タップする：あなたのマナ・プールに、好きな色のマナ１点を加える。</t>
  </si>
  <si>
    <t>グリセルブランドの巻物</t>
  </si>
  <si>
    <t>(１),グリセルブランドの巻物を生け贄に捧げる：対戦相手１人を対象とする。そのプレイヤーはカードを１枚捨てる。あなたがデーモン(Demon)をコントロールしているかぎり、そのプレイヤーは３点のライフを失う。</t>
  </si>
  <si>
    <t>活生の呪文爆弾</t>
  </si>
  <si>
    <t>(G),活生の呪文爆弾を生け贄に捧げる：土地１つを対象とする。それはターン終了時まで3/3のクリーチャーになる。それは土地でもある。</t>
  </si>
  <si>
    <t>(１),活生の呪文爆弾を生け贄に捧げる：カードを１枚引く。</t>
  </si>
  <si>
    <t>処刑人の薬包</t>
  </si>
  <si>
    <t>(１)(B),(Ｔ),処刑人の薬包を生け贄に捧げる：黒でないクリーチャー１体を対象とし、それを破壊する。</t>
  </si>
  <si>
    <t>地平線の呪文爆弾</t>
  </si>
  <si>
    <t>(２),(Ｔ),地平線の呪文爆弾を生け贄に捧げる：あなたのライブラリーから基本土地カードを１枚探し、それを公開してあなたの手札に加える。その後、あなたのライブラリーを切り直す。</t>
  </si>
  <si>
    <t>地平線の呪文爆弾が戦場からいずれかの墓地に置かれたとき、あなたは(G)を支払ってもよい。そうした場合、カードを１枚引く。</t>
  </si>
  <si>
    <t>発明者のゴーグル</t>
  </si>
  <si>
    <t>装備しているクリーチャーは+1/+2の修整を受ける。</t>
  </si>
  <si>
    <t>工匠(Artificer)が１体あなたのコントロール下で戦場に出るたび、あなたは発明者のゴーグルをそれにつけてもよい。</t>
  </si>
  <si>
    <t>万能溶剤</t>
  </si>
  <si>
    <t>(７),(Ｔ),万能溶剤を生け贄に捧げる：パーマネント１つを対象とし、それを破壊する。</t>
  </si>
  <si>
    <t>探検者の望遠鏡</t>
  </si>
  <si>
    <t>装備しているクリーチャーが攻撃するたび、あなたのライブラリーの一番上のカードを見る。それが土地カードである場合、あなたはそれをタップ状態で戦場に出してもよい。</t>
  </si>
  <si>
    <t>旅行者の護符</t>
  </si>
  <si>
    <t>(１),旅行者の護符を生け贄に捧げる：あなたのライブラリーから基本土地カードを１枚探し、それを公開してあなたの手札に加える。その後、あなたのライブラリーを切り直す。</t>
  </si>
  <si>
    <t>面晶体の刃</t>
  </si>
  <si>
    <t>装備しているクリーチャーが１体以上の無色のクリーチャーによってブロックされるたび、ターン終了時まで、装備しているクリーチャーは接死を得る。（それが何らかのダメージをクリーチャーに与えたら、それだけで破壊する。）</t>
  </si>
  <si>
    <t>装備(２)（(２)：あなたがコントロールするクリーチャー１体を対象とし、これをつける。装備はソーサリーとしてのみ行う。）</t>
  </si>
  <si>
    <t>ヴィリジアンの長弓</t>
  </si>
  <si>
    <t>装備しているクリーチャーは「(Ｔ)：クリーチャー１体かプレイヤー１人を対象とする。このクリーチャーは、それに１点のダメージを与える。」を持つ。</t>
  </si>
  <si>
    <t>装備(３)（(３)：あなたがコントロールするクリーチャー１体を対象とし、それにつける。装備はソーサリーとしてのみ行う。このカードはつけられていない状態で戦場に出て、クリーチャーが戦場を離れても戦場に残る。）</t>
  </si>
  <si>
    <t>もぎ取り刃</t>
  </si>
  <si>
    <t>装備しているクリーチャーがプレイヤー１人に戦闘ダメージを与えるたび、「(Ｔ),このアーティファクトを生け贄に捧げる：好きな色１色のマナ１点を加える。」を持つ無色の宝物(Treasure)アーティファクト・トークンを１つ生成する。</t>
  </si>
  <si>
    <t>ルーン刻みの鍾乳石</t>
  </si>
  <si>
    <t>装備しているクリーチャーは+1/+1の修整を受けるとともにすべてのクリーチャー・タイプである。</t>
  </si>
  <si>
    <t>生体武器（この装備品(Equipment)が戦場に出たとき、黒の0/0の細菌(Germ)クリーチャー・トークンを１体生成し、その後これをそれにつける。）</t>
  </si>
  <si>
    <t>アヴァシンの巻物</t>
  </si>
  <si>
    <t>(１),アヴァシンの巻物を生け贄に捧げる：カードを１枚引く。あなたが天使(Angel)をコントロールしている場合、あなたは５点のライフを得る。</t>
  </si>
  <si>
    <t>レオニンの円月刀</t>
  </si>
  <si>
    <t>改良器具</t>
  </si>
  <si>
    <t>(W),改良器具を生け贄に捧げる：あなたは２点のライフを得る。</t>
  </si>
  <si>
    <t>改良器具が戦場から墓地に置かれたとき、カードを１枚引く。</t>
  </si>
  <si>
    <t>テラリオン</t>
  </si>
  <si>
    <t>テラリオンはタップ状態で戦場に出る。</t>
  </si>
  <si>
    <t>(２),(Ｔ),テラリオンを生け贄に捧げる：あなたのマナ・プールに、好きな色の組み合わせのマナ２点を加える。</t>
  </si>
  <si>
    <t>テラリオンが戦場から墓地に置かれたとき、カードを１枚引く。</t>
  </si>
  <si>
    <t>空隠しの杖</t>
  </si>
  <si>
    <t>装備しているクリーチャーは+1/+0の修整を受けるとともに、飛行を持つクリーチャーによってはブロックされない。</t>
  </si>
  <si>
    <t>黄鉄の呪文爆弾</t>
  </si>
  <si>
    <t>(R),黄鉄の呪文爆弾を生け贄に捧げる：クリーチャー１体かプレインズウォーカー１体かプレイヤー１人を対象とする。黄鉄の呪文爆弾はそれに２点のダメージを与える。</t>
  </si>
  <si>
    <t>(１),黄鉄の呪文爆弾を生け贄に捧げる：カードを１枚引く。</t>
  </si>
  <si>
    <t>改革派の地図</t>
  </si>
  <si>
    <t>改革派の地図はタップ状態で戦場に出る。</t>
  </si>
  <si>
    <t>(Ｔ),改革派の地図を生け贄に捧げる：あなたのライブラリーから基本土地カード１枚を探し、それを公開してあなたの手札に加え、その後あなたのライブラリーを切り直す。</t>
  </si>
  <si>
    <t>探検の地図</t>
  </si>
  <si>
    <t>(２),(Ｔ),探検の地図を生け贄に捧げる：あなたのライブラリーから土地カードを１枚探し、それを公開してあなたの手札に加える。その後、あなたのライブラリーを切り直す。</t>
  </si>
  <si>
    <t>恐慌の呪文爆弾</t>
  </si>
  <si>
    <t>(Ｔ),恐慌の呪文爆弾を生け贄に捧げる：クリーチャー１体を対象とする。このターン、それではブロックできない。</t>
  </si>
  <si>
    <t>恐慌の呪文爆弾が戦場からいずれかの墓地に置かれたとき、あなたは(R)を支払ってもよい。そうした場合、あなたはカードを１枚引く。</t>
  </si>
  <si>
    <t>グール呼びの鈴</t>
  </si>
  <si>
    <t>(Ｔ)：各プレイヤーは、自分のライブラリーの一番上のカードを自分の墓地に置く。</t>
  </si>
  <si>
    <t>航海士のコンパス</t>
  </si>
  <si>
    <t>航海士のコンパスが戦場に出たとき、あなたは３点のライフを得る。</t>
  </si>
  <si>
    <t>(Ｔ)：あなたがコントロールしている土地１つを対象とする。基本土地タイプ１つを選ぶ。ターン終了時まで、それはそれの他のタイプに加えて選ばれた基本土地タイプになる。</t>
  </si>
  <si>
    <t>大祖始の遺産</t>
  </si>
  <si>
    <t>(Ｔ)：プレイヤー１人を対象とする。そのプレイヤーは自分の墓地にあるカード１枚を追放する。</t>
  </si>
  <si>
    <t>(１),大祖始の遺産を追放する：すべての墓地にあるすべてのカードを追放する。カードを１枚引く。</t>
  </si>
  <si>
    <t>銅の甲殻</t>
  </si>
  <si>
    <t>装備しているクリーチャーは+2/+2の修整を受けるとともに、それではブロックできない。</t>
  </si>
  <si>
    <t>獰猛器具</t>
  </si>
  <si>
    <t>(G),獰猛器具を生け贄に捧げる：クリーチャー１体を対象とし、それの上に+1/+1カウンターを１個置く。この能力は、あなたがソーサリーを唱えられるときにのみ起動できる。</t>
  </si>
  <si>
    <t>獰猛器具が戦場から墓地に置かれたとき、カードを１枚引く。</t>
  </si>
  <si>
    <t>黄金の甕</t>
  </si>
  <si>
    <t>あなたのアップキープの開始時に、あなたは黄金の甕の上に蓄積(charge)カウンターを１個置いてもよい。</t>
  </si>
  <si>
    <t>(Ｔ),黄金の甕を生け贄に捧げる：あなたは黄金の甕の上に置かれていた蓄積カウンターの数に等しい点数のライフを得る。</t>
  </si>
  <si>
    <t>グレムリン地雷</t>
  </si>
  <si>
    <t>(１),(Ｔ),グレムリン地雷を生け贄に捧げる：アーティファクト・クリーチャー１体を対象とする。これはそれに４点のダメージを与える。</t>
  </si>
  <si>
    <t>(１),(Ｔ),グレムリン地雷を生け贄に捧げる：クリーチャーでないアーティファクト１つを対象とする。それの上から蓄積(charge)カウンターを最大４個まで取り除く。</t>
  </si>
  <si>
    <t>鮮明のレンズ</t>
  </si>
  <si>
    <t>あなたは、あなたのライブラリーの一番上のカードとあなたがコントロールしていない裏向きのクリーチャーの表側を見てもよい。（これはいつでも行ってよい。）</t>
  </si>
  <si>
    <t>ニューロックの滑空翼</t>
  </si>
  <si>
    <t>装備しているクリーチャーは飛行を持つ。</t>
  </si>
  <si>
    <t>猛火の松明</t>
  </si>
  <si>
    <t>装備しているクリーチャーは吸血鬼(Vampire)やゾンビ(Zombie)によってはブロックされない。</t>
  </si>
  <si>
    <t>装備しているクリーチャーは「(Ｔ),猛火の松明を生け贄に捧げる：クリーチャー１体かプレイヤー１人かプレインズウォーカー１体を対象とする。猛火の松明はそれに２点のダメージを与える。」を持つ。</t>
  </si>
  <si>
    <t>起源の呪文爆弾</t>
  </si>
  <si>
    <t>(１),(Ｔ),起源の呪文爆弾を生け贄に捧げる：無色の1/1のマイア(Myr)・アーティファクト・クリーチャー・トークンを１体生成する。</t>
  </si>
  <si>
    <t>起源の呪文爆弾が戦場からいずれかの墓地に置かれるたび、あなたは(W)を支払ってもよい。そうした場合、カードを１枚引く。</t>
  </si>
  <si>
    <t>絡み花</t>
  </si>
  <si>
    <t>(１),(Ｔ)：あなたは１点のライフを得る。</t>
  </si>
  <si>
    <t>彩色の宝球</t>
  </si>
  <si>
    <t>(１),(Ｔ),彩色の宝球を生け贄に捧げる：好きな色１色のマナ１点を加える。カードを１枚引く。</t>
  </si>
  <si>
    <t>ガラスの破片</t>
  </si>
  <si>
    <t>装備しているクリーチャーが攻撃するたび、あなたはあなたのライブラリーの一番上から２枚のカードをあなたの墓地に置いてもよい。</t>
  </si>
  <si>
    <t>妖術師のガラクタ</t>
  </si>
  <si>
    <t>(Ｔ),妖術師のガラクタを生け贄に捧げる：あなたの墓地にあるカードを最大１枚まで対象とする。それをあなたのライブラリーの一番下に置く。カードを１枚引く。</t>
  </si>
  <si>
    <t>屍気の呪文爆弾</t>
  </si>
  <si>
    <t>(B),屍気の呪文爆弾を生け贄に捧げる：プレイヤー１人を対象とする。そのプレイヤーはカードを１枚捨てる。</t>
  </si>
  <si>
    <t>(１),屍気の呪文爆弾を生け贄に捧げる：カードを１枚引く。</t>
  </si>
  <si>
    <t>虚無の呪文爆弾</t>
  </si>
  <si>
    <t>(Ｔ),虚無の呪文爆弾を生け贄に捧げる：プレイヤー１人を対象とする。そのプレイヤーの墓地にあるすべてのカードを追放する。</t>
  </si>
  <si>
    <t>虚無の呪文爆弾が戦場からいずれかの墓地に置かれたとき、あなたは(B)を支払ってもよい。そうした場合、カードを１枚引く。</t>
  </si>
  <si>
    <t>陽光の呪文爆弾</t>
  </si>
  <si>
    <t>(W),陽光の呪文爆弾を生け贄に捧げる：あなたは５点のライフを得る。</t>
  </si>
  <si>
    <t>(１),陽光の呪文爆弾を生け贄に捧げる：カードを１枚引く。</t>
  </si>
  <si>
    <t>虹色のレンズ</t>
  </si>
  <si>
    <t>処刑人の頭巾</t>
  </si>
  <si>
    <t>装備しているクリーチャーは威嚇を持つ。（このクリーチャーはアーティファクト・クリーチャーかそれと共通の色を持つクリーチャー以外にはブロックされない。）</t>
  </si>
  <si>
    <t>ヴァルショクの篭手</t>
  </si>
  <si>
    <t>装備しているクリーチャーは、+4/+2の修整を受けるとともにそれのコントローラーのアンタップ・ステップにアンタップしない。</t>
  </si>
  <si>
    <t>ディミーアの印鑑</t>
  </si>
  <si>
    <t>(１),(Ｔ)：(U)(B)を加える。</t>
  </si>
  <si>
    <t>匪賊の斧</t>
  </si>
  <si>
    <t>装備(２)（(２)：あなたがコントロールしているクリーチャー１体を対象とし、これをそれにつける。装備はソーサリーとしてのみ行う。）</t>
  </si>
  <si>
    <t>万華石</t>
  </si>
  <si>
    <t>万華石が戦場に出たとき、カードを１枚引く。</t>
  </si>
  <si>
    <t>(５),(Ｔ),万華石を生け贄に捧げる：(W)(U)(B)(R)(G)を加える。</t>
  </si>
  <si>
    <t>先兵の盾</t>
  </si>
  <si>
    <t>装備しているクリーチャーは+0/+3の修整を受けるとともに、各戦闘で追加で１体のクリーチャーをブロックできる。</t>
  </si>
  <si>
    <t>歯車工の組細工</t>
  </si>
  <si>
    <t>歯車工の組細工が戦場に出たとき、無色の1/1の霊気装置(Servo)アーティファクト・クリーチャー・トークンを１体生成する。</t>
  </si>
  <si>
    <t>(１)(W),歯車工の組細工を生け贄に捧げる：無色の1/1の霊気装置アーティファクト・クリーチャー・トークンを１体生成する。</t>
  </si>
  <si>
    <t>イゼットの印鑑</t>
  </si>
  <si>
    <t>(１),(Ｔ)：(U)(R)を加える。</t>
  </si>
  <si>
    <t>金属紡績工の組細工</t>
  </si>
  <si>
    <t>金属紡績工の組細工が戦場に出たとき、あなたはカードを１枚引き、あなたは１点のライフを失う。</t>
  </si>
  <si>
    <t>(２)(B),金属紡績工の組細工を生け贄に捧げる：あなたはカードを１枚引き、あなたは１点のライフを失う。</t>
  </si>
  <si>
    <t>五元のプリズム</t>
  </si>
  <si>
    <t>烈日（これはその上に、それを唱えるために使われたマナの色１色につき蓄積(charge)カウンターが１個置かれた状態で戦場に出る。）</t>
  </si>
  <si>
    <t>五元のプリズムから蓄積カウンターを１個取り除く：好きな色１色のマナ１点を加える。</t>
  </si>
  <si>
    <t>木の杭</t>
  </si>
  <si>
    <t>装備しているクリーチャーが吸血鬼(Vampire)をブロックするか吸血鬼にブロックされた状態になるたび、そのクリーチャーを破壊する。それは再生できない。</t>
  </si>
  <si>
    <t>ヴォラックの戦角</t>
  </si>
  <si>
    <t>装備しているクリーチャーは、トランプルを持つとともに２体以上のクリーチャーによってはブロックされない。</t>
  </si>
  <si>
    <t>ボロスの印鑑</t>
  </si>
  <si>
    <t>(１),(Ｔ)：(R)(W)を加える。</t>
  </si>
  <si>
    <t>こだまの飾り輪</t>
  </si>
  <si>
    <t>装備しているクリーチャーは、各戦闘で追加で１体のクリーチャーをブロックできる。</t>
  </si>
  <si>
    <t>胆液の水源</t>
  </si>
  <si>
    <t>胆液の水源が戦場に出たか戦場からいずれかの墓地に置かれたとき、カードを１枚引く。</t>
  </si>
  <si>
    <t>暴君の機械</t>
  </si>
  <si>
    <t>(４),(Ｔ)：クリーチャー１体を対象とし、それをタップする。</t>
  </si>
  <si>
    <t>悪意器具</t>
  </si>
  <si>
    <t>(B),悪意器具を生け贄に捧げる：プレイヤー１人を対象とする。そのプレイヤーはカード１枚を捨てる。この能力は、あなたがソーサリーを唱えられるときにのみ起動できる。</t>
  </si>
  <si>
    <t>悪意器具が戦場から墓地に置かれたとき、カードを１枚引く。</t>
  </si>
  <si>
    <t>グルールの印鑑</t>
  </si>
  <si>
    <t>(１),(Ｔ)：(R)(G)を加える。</t>
  </si>
  <si>
    <t>頭蓋囲い</t>
  </si>
  <si>
    <t>装備しているクリーチャーは、あなたがコントロールするアーティファクト１つにつき+1/+0の修整を受ける。</t>
  </si>
  <si>
    <t>(B)(B)：あなたがコントロールするクリーチャー１体を対象とし、それに頭蓋囲いをつける。</t>
  </si>
  <si>
    <t>シミックの印鑑</t>
  </si>
  <si>
    <t>(１),(Ｔ)：あなたのマナ・プールに(G)(U)を加える。</t>
  </si>
  <si>
    <t>織木師の組細工</t>
  </si>
  <si>
    <t>織木師の組細工が戦場に出たとき、あなたは３点のライフを得て、(Ｅ)(Ｅ)(Ｅ)（エネルギー・カウンター３個）を得る。</t>
  </si>
  <si>
    <t>(２)(G),織木師の組細工を生け贄に捧げる：あなたは３点のライフを得て、(Ｅ)(Ｅ)(Ｅ)を得る。</t>
  </si>
  <si>
    <t>争いの首輪</t>
  </si>
  <si>
    <t>(R)(R)：あなたがコントロールするクリーチャー１体を対象とし、それに争いの首輪をつける。</t>
  </si>
  <si>
    <t>刃の翼</t>
  </si>
  <si>
    <t>装備しているクリーチャーは飛行と先制攻撃を持つ。</t>
  </si>
  <si>
    <t>速羽根のサンダル</t>
  </si>
  <si>
    <t>装備しているクリーチャーは飛行と速攻を持つ。</t>
  </si>
  <si>
    <t>信者の杖</t>
  </si>
  <si>
    <t>装備しているクリーチャーは+2/+2の修整を受ける。</t>
  </si>
  <si>
    <t>急使の薬包</t>
  </si>
  <si>
    <t>(１)(U),(Ｔ),急使の薬包を生け贄に捧げる：カードを２枚引く。</t>
  </si>
  <si>
    <t>マイコシンスの水源</t>
  </si>
  <si>
    <t>マイコシンスの水源が戦場に出るか戦場からいずれかの墓地に置かれたとき、あなたは「あなたのライブラリーから基本土地カードを１枚探す。それを公開してあなたの手札に加え、その後、あなたのライブラリーを切り直す」ことを選んでもよい。</t>
  </si>
  <si>
    <t>ガラス吹き工の組細工</t>
  </si>
  <si>
    <t>ガラス吹き工の組細工が戦場に出たとき、占術２を行い、その後あなたは(Ｅ)(Ｅ)を得る。（あなたはエネルギー・カウンター２個を得る。あなたのライブラリーの一番上から２枚のカードを見て、そのうちの望む枚数のカードを望む順番であなたのライブラリーの一番下に置き、残りを望む順番で一番上に置く。）</t>
  </si>
  <si>
    <t>(２)(U),ガラス吹き工の組細工を生け贄に捧げる：占術２を行い、その後あなたは(Ｅ)(Ｅ)を得る。</t>
  </si>
  <si>
    <t>ヴァルショクの鉄球</t>
  </si>
  <si>
    <t>ラクドスの印鑑</t>
  </si>
  <si>
    <t>(１),(Ｔ)：(B)(R)を加える。</t>
  </si>
  <si>
    <t>古参兵の予備武装</t>
  </si>
  <si>
    <t>放射篭手</t>
  </si>
  <si>
    <t>ニューロックの忍び衣</t>
  </si>
  <si>
    <t>装備しているクリーチャーは被覆を持つ。（それは呪文や能力の対象にならない。）</t>
  </si>
  <si>
    <t>(U)(U)：あなたがコントロールするクリーチャー１体を対象とし、それにニューロックの忍び衣をつける。</t>
  </si>
  <si>
    <t>予言のプリズム</t>
  </si>
  <si>
    <t>予言のプリズムが戦場に出たとき、カードを１枚引く。</t>
  </si>
  <si>
    <t>電位式キー</t>
  </si>
  <si>
    <t>(３),(Ｔ)：アーティファクト１つを対象とし、それをアンタップする。</t>
  </si>
  <si>
    <t>セレズニアの印鑑</t>
  </si>
  <si>
    <t>(１),(Ｔ)：あなたのマナ・プールに(G)(W)を加える。</t>
  </si>
  <si>
    <t>他所のフラスコ</t>
  </si>
  <si>
    <t>他所のフラスコが戦場に出たとき、カードを１枚引く。</t>
  </si>
  <si>
    <t>他所のフラスコを生け贄に捧げる：基本土地タイプを１つ選ぶ。あなたがコントロールする各土地は、ターン終了時までそのタイプになる。</t>
  </si>
  <si>
    <t>暴動用具</t>
  </si>
  <si>
    <t>炎鍛冶の組細工</t>
  </si>
  <si>
    <t>炎鍛冶の組細工が戦場に出たとき、クリーチャー１体かプレインズウォーカー１体かプレイヤー１人を対象とする。炎鍛冶の組細工はそれに１点のダメージを与える。</t>
  </si>
  <si>
    <t>(２)(R),炎鍛冶の組細工を生け贄に捧げる：クリーチャー１体かプレインズウォーカー１体かプレイヤー１人を対象とする。炎鍛冶の組細工はそれに１点のダメージを与える。</t>
  </si>
  <si>
    <t>霊紋の振り子</t>
  </si>
  <si>
    <t>霊紋の振り子が戦場に出たとき、あなたは３点のライフを得る。</t>
  </si>
  <si>
    <t>(５),(Ｔ),霊紋の振り子を生け贄に捧げる：カードを１枚引く。</t>
  </si>
  <si>
    <t>アゾリウスの印鑑</t>
  </si>
  <si>
    <t>(１),(Ｔ)：(W)(U)を加える。</t>
  </si>
  <si>
    <t>継ぎ当ての翼</t>
  </si>
  <si>
    <t>錬金術師の薬瓶</t>
  </si>
  <si>
    <t>錬金術師の薬瓶が戦場に出たとき、カードを１枚引く。</t>
  </si>
  <si>
    <t>(１),(Ｔ),錬金術師の薬瓶を生け贄に捧げる：クリーチャー１体を対象とする。このターン、それでは攻撃したりブロックしたりできない。</t>
  </si>
  <si>
    <t>搭乗１（あなたがコントロールする望む数のクリーチャーを、パワーの合計が１以上になるように選んでタップする：ターン終了時まで、この機体(Vehicle)はアーティファクト・クリーチャーになる。）</t>
  </si>
  <si>
    <t>角兜</t>
  </si>
  <si>
    <t>装備しているクリーチャーは+1/+1の修整を受けるとともに、トランプルを持つ。</t>
  </si>
  <si>
    <t>(G)(G)：あなたがコントロールするクリーチャー１体を対象とし、それに角兜をつける。</t>
  </si>
  <si>
    <t>馬上槍</t>
  </si>
  <si>
    <t>あなたのターンであるかぎり、装備しているクリーチャーは先制攻撃を持つ。</t>
  </si>
  <si>
    <t>装備(３)（(３)：あなたがコントロールしているクリーチャー１体を対象とし、これをそれにつける。装備はソーサリーとしてのみ行う。）</t>
  </si>
  <si>
    <t>帆凧</t>
  </si>
  <si>
    <t>装備しているクリーチャーは+1/+0の修整を受けるとともに飛行を持つ。</t>
  </si>
  <si>
    <t>ゴルガリの印鑑</t>
  </si>
  <si>
    <t>(１),(Ｔ)：(B)(G)を加える。</t>
  </si>
  <si>
    <t>荒廃の鎌</t>
  </si>
  <si>
    <t>装備しているクリーチャーは+1/+0の修整を受けるとともに萎縮を持つ。（それはクリーチャーに-1/-1カウンターの形でダメージを与える。）</t>
  </si>
  <si>
    <t>きらめく鷹の偶像</t>
  </si>
  <si>
    <t>他のアーティファクトが１つあなたのコントロール下で戦場に出るたび、あなたは「きらめく鷹の偶像はターン終了時まで飛行を持つ2/2の鳥(Bird)アーティファクト・クリーチャーになる」ことを選んでもよい。</t>
  </si>
  <si>
    <t>(W)：きらめく鷹の偶像はターン終了時まで飛行を持つ2/2の鳥アーティファクト・クリーチャーになる。</t>
  </si>
  <si>
    <t>太陽の宝球</t>
  </si>
  <si>
    <t>太陽の宝球はその上に蓄積(charge)カウンターが３個置かれた状態で、タップ状態で戦場に出る。</t>
  </si>
  <si>
    <t>(Ｔ),太陽の宝球から蓄積カウンターを１個取り除く：あなたのマナ・プールに好きな色のマナ１点を加える。</t>
  </si>
  <si>
    <t>剃刀式鞭</t>
  </si>
  <si>
    <t>(１),(Ｔ)：対戦相手１人かプレインズウォーカー１体を対象とする。剃刀式鞭はそれに１点のダメージを与える。</t>
  </si>
  <si>
    <t>ダークスティールのペンダント</t>
  </si>
  <si>
    <t>破壊不能（「破壊する」効果では、このアーティファクトは破壊されない。）</t>
  </si>
  <si>
    <t>(１),(Ｔ)：占術１を行う。（あなたのライブラリーの一番上のカードを見る。あなたはそのカードをあなたのライブラリーの一番下に置いてもよい。）</t>
  </si>
  <si>
    <t>オルゾフの印鑑</t>
  </si>
  <si>
    <t>(１),(Ｔ)：(W)(B)を加える。</t>
  </si>
  <si>
    <t>龍火の薬瓶</t>
  </si>
  <si>
    <t>(２),(Ｔ),龍火の薬瓶を生け贄に捧げる：クリーチャー１体を対象とする。龍火の薬瓶はそれに２点のダメージを与える。</t>
  </si>
  <si>
    <t>癒し手の頭飾り</t>
  </si>
  <si>
    <t>装備しているクリーチャーは+0/+2の修整を受けるとともに「(Ｔ)：クリーチャー１体かプレインズウォーカー１体かプレイヤー１人を対象とする。このターン、それに与えられる次のダメージを１点軽減する。」を持つ。</t>
  </si>
  <si>
    <t>(W)(W)：あなたがコントロールするクリーチャー１体を対象とし、それに癒し手の頭飾りをつける。</t>
  </si>
  <si>
    <t>ジャンドのオベリスク</t>
  </si>
  <si>
    <t>ラクドスの導き石</t>
  </si>
  <si>
    <t>(B)(R),(Ｔ),ラクドスの導き石を生け贄に捧げる：カードを１枚引く。</t>
  </si>
  <si>
    <t>アブザンの戦旗</t>
  </si>
  <si>
    <t>(W)(B)(G),(Ｔ),アブザンの戦旗を生け贄に捧げる：カードを１枚引く。</t>
  </si>
  <si>
    <t>屍気の香炉</t>
  </si>
  <si>
    <t>屍気の香炉は、その上に蓄積(charge)カウンターが２個置かれた状態で戦場に出る。</t>
  </si>
  <si>
    <t>(Ｔ),屍気の香炉から蓄積カウンターを１個取り除く：プレイヤー１人を対象とする。そのプレイヤーは２点のライフを失う。</t>
  </si>
  <si>
    <t>イゼットの導き石</t>
  </si>
  <si>
    <t>(U)(R),(Ｔ),イゼットの導き石を生け贄に捧げる：カードを１枚引く。</t>
  </si>
  <si>
    <t>ティムールの戦旗</t>
  </si>
  <si>
    <t>(G)(U)(R),(Ｔ),ティムールの戦旗を生け贄に捧げる：カードを１枚引く。</t>
  </si>
  <si>
    <t>グリクシスのオベリスク</t>
  </si>
  <si>
    <t>闊歩するものの装具</t>
  </si>
  <si>
    <t>装備しているクリーチャーは+1/+1の修整を受けるとともに速攻を持つ。</t>
  </si>
  <si>
    <t>オルゾフの導き石</t>
  </si>
  <si>
    <t>(W)(B),(Ｔ),オルゾフの導き石を生け贄に捧げる：カードを１枚引く。</t>
  </si>
  <si>
    <t>予見者のランタン</t>
  </si>
  <si>
    <t>(Ｔ)：あなたのマナ・プールに(◇)を加える。（(◇)は無色マナを表す。）</t>
  </si>
  <si>
    <t>(２),(Ｔ)：占術１を行う。（あなたのライブラリーの一番上のカードを見る。あなたはそのカードをあなたのライブラリーの一番下に置いてもよい。）</t>
  </si>
  <si>
    <t>領事府の砲塔</t>
  </si>
  <si>
    <t>(Ｔ)：あなたは(Ｅ)（エネルギー・カウンター１個）を得る。</t>
  </si>
  <si>
    <t>(Ｔ),(Ｅ)(Ｅ)(Ｅ)を支払う：プレイヤー１人かプレインズウォーカー１体を対象とする。領事府の砲塔はそれに２点のダメージを与える。</t>
  </si>
  <si>
    <t>オラーズカの秘宝</t>
  </si>
  <si>
    <t>(Ｔ),オラーズカの秘宝を生け贄に捧げる：あなたは３点のライフを得て、カードを１枚引く。この能力は、あなたが都市の承認を持っているときにのみ起動できる。</t>
  </si>
  <si>
    <t>清純のタリスマン</t>
  </si>
  <si>
    <t>(Ｔ)：(◇)を加える。あなたは１点のライフを得る。</t>
  </si>
  <si>
    <t>ゴルガリの導き石</t>
  </si>
  <si>
    <t>(B)(G),(Ｔ),ゴルガリの導き石を生け贄に捧げる：カードを１枚引く。</t>
  </si>
  <si>
    <t>スゥルタイの戦旗</t>
  </si>
  <si>
    <t>(Ｔ)：あなたのマナ・プールに(B)か(G)か(U)を加える。</t>
  </si>
  <si>
    <t>(B)(G)(U),(Ｔ),スゥルタイの戦旗を生け贄に捧げる：カードを１枚引く。</t>
  </si>
  <si>
    <t>チス＝ゴリアの鱗</t>
  </si>
  <si>
    <t>(Ｔ)：クリーチャー１体を対象とする。それはターン終了時まで+0/+1の修整を受ける。</t>
  </si>
  <si>
    <t>エスパーのオベリスク</t>
  </si>
  <si>
    <t>アゾリウスの導き石</t>
  </si>
  <si>
    <t>(W)(U),(Ｔ),アゾリウスの導き石を生け贄に捧げる：カードを１枚引く。</t>
  </si>
  <si>
    <t>パワーストーンの破片</t>
  </si>
  <si>
    <t>(Ｔ)：あなたがコントロールしていて《パワーストーンの破片/Powerstone Shard》という名前のアーティファクト１つにつき(◇)を加える。</t>
  </si>
  <si>
    <t>囁き絹の外套</t>
  </si>
  <si>
    <t>装備しているクリーチャーはブロックされず、被覆を持つ。（それは呪文や能力の対象にならない。）</t>
  </si>
  <si>
    <t>あなたはこの呪文のマナ・コストを支払うのではなく、(１)を支払うとともにあなたがコントロールする基本土地１つをオーナーの手札に戻してもよい。</t>
  </si>
  <si>
    <t>マルドゥの戦旗</t>
  </si>
  <si>
    <t>(R)(W)(B),(Ｔ),マルドゥの戦旗を生け贄に捧げる：カードを１枚引く。</t>
  </si>
  <si>
    <t>バントのオベリスク</t>
  </si>
  <si>
    <t>ボロスの導き石</t>
  </si>
  <si>
    <t>(R)(W),(Ｔ),ボロスの導き石を生け贄に捧げる：カードを１枚引く。</t>
  </si>
  <si>
    <t>チス＝ゴリアの歯</t>
  </si>
  <si>
    <t>(Ｔ)：クリーチャー１体を対象とし、それはターン終了時まで+1/+0の修整を受ける。</t>
  </si>
  <si>
    <t>海賊のカットラス</t>
  </si>
  <si>
    <t>海賊のカットラスが戦場に出たとき、あなたがコントロールしている海賊(Pirate)１体を対象とし、これをそれにつける。</t>
  </si>
  <si>
    <t>装備しているクリーチャーは+2/+1の修整を受ける。</t>
  </si>
  <si>
    <t>ツキノテブクロのエキス</t>
  </si>
  <si>
    <t>ツキノテブクロのエキスを生け贄に捧げる：クリーチャー１体かプレインズウォーカー１体かプレイヤー１人を対象とする。ツキノテブクロのエキスはそれに２点のダメージを与える。</t>
  </si>
  <si>
    <t>シミックの導き石</t>
  </si>
  <si>
    <t>(Ｔ)：あなたのマナ・プールに(G)か(U)を加える。</t>
  </si>
  <si>
    <t>(G)(U),(Ｔ),シミックの導き石を生け贄に捧げる：カードを１枚引く。</t>
  </si>
  <si>
    <t>ダークスティールの鋳塊</t>
  </si>
  <si>
    <t>(Ｔ)：好きな色１色のマナ１点を加える。</t>
  </si>
  <si>
    <t>勇気のバトン</t>
  </si>
  <si>
    <t>勇気のバトンから蓄積カウンターを１個取り除く：クリーチャー１体を対象とする。それはターン終了時まで、+1/+1の修整を受ける。</t>
  </si>
  <si>
    <t>縞瑪瑙のゴブレット</t>
  </si>
  <si>
    <t>ディミーアの導き石</t>
  </si>
  <si>
    <t>(U)(B),(Ｔ),ディミーアの導き石を生け贄に捧げる：カードを１枚引く。</t>
  </si>
  <si>
    <t>秘儀司祭の杯</t>
  </si>
  <si>
    <t>秘儀司祭の杯が戦場に出たとき、対戦相手１人を対象とする。そのプレイヤーは１点のライフを失い、あなたは１点のライフを得る。</t>
  </si>
  <si>
    <t>ナヤのオベリスク</t>
  </si>
  <si>
    <t>転倒の磁石</t>
  </si>
  <si>
    <t>転倒の磁石は、その上に蓄積(charge)カウンターが３個置かれた状態で戦場に出る。</t>
  </si>
  <si>
    <t>(Ｔ),転倒の磁石から蓄積カウンターを１個取り除く：アーティファクト１つかクリーチャー１体を対象とし、それをタップする。</t>
  </si>
  <si>
    <t>セレズニアの導き石</t>
  </si>
  <si>
    <t>(G)(W),(Ｔ),セレズニアの導き石を生け贄に捧げる：カードを１枚引く。</t>
  </si>
  <si>
    <t>検査器具</t>
  </si>
  <si>
    <t>(U),検査器具を生け贄に捧げる：カードを１枚引く。</t>
  </si>
  <si>
    <t>検査器具が戦場から墓地に置かれたとき、カードを１枚引く。</t>
  </si>
  <si>
    <t>ジェスカイの戦旗</t>
  </si>
  <si>
    <t>(U)(R)(W),(Ｔ),ジェスカイの戦旗を生け贄に捧げる：カードを１枚引く。</t>
  </si>
  <si>
    <t>搭乗２（あなたがコントロールする望む数のクリーチャーを、パワーの合計が２以上になるように選んでタップする：ターン終了時まで、この機体(Vehicle)はアーティファクト・クリーチャーになる。）</t>
  </si>
  <si>
    <t>大理石の杯</t>
  </si>
  <si>
    <t>グルールの導き石</t>
  </si>
  <si>
    <t>(R)(G),(Ｔ),グルールの導き石を生け贄に捧げる：カードを１枚引く。</t>
  </si>
  <si>
    <t>ルクサ川の祭殿</t>
  </si>
  <si>
    <t>(１),(Ｔ)：あなたは１点のライフを得る。ルクサ川の祭殿の上に石材(brick)カウンターを１個置く。</t>
  </si>
  <si>
    <t>(Ｔ)：あなたは２点のライフを得る。この能力は、ルクサ川の祭殿の上に石材カウンターが３個以上置かれているときにのみ起動できる。</t>
  </si>
  <si>
    <t>搭乗３（あなたがコントロールする望む数のクリーチャーを、パワーの合計が３以上になるように選んでタップする：ターン終了時まで、この機体(Vehicle)はアーティファクト・クリーチャーになる。）</t>
  </si>
  <si>
    <t>ウル＝ゴーレムの目</t>
  </si>
  <si>
    <t>(Ｔ)：あなたのマナ・プールに(◇)(◇)を加える。</t>
  </si>
  <si>
    <t>錆びた秘宝</t>
  </si>
  <si>
    <t>金属術 ― 錆びた秘宝は、あなたがアーティファクトを３つ以上コントロールしているかぎり5/5のゴーレム(Golem)・アーティファクト・クリーチャーである。</t>
  </si>
  <si>
    <t>オパールの腕甲</t>
  </si>
  <si>
    <t>装備しているクリーチャーは+X/+Xの修整を受ける。Ｘはオパールの腕甲の上に置かれた蓄積カウンターの数に等しい。</t>
  </si>
  <si>
    <t>秘儀の遠眼鏡</t>
  </si>
  <si>
    <t>(２),(Ｔ),土地を１つ生け贄に捧げる：カードを１枚引き、秘儀の遠眼鏡の上に蓄積(charge)カウンターを１個置く。</t>
  </si>
  <si>
    <t>秘儀の遠眼鏡から蓄積カウンターを３個取り除く：カードを１枚引く。</t>
  </si>
  <si>
    <t>陽光の薬瓶</t>
  </si>
  <si>
    <t>(２),陽光の薬瓶を生け贄に捧げる：クリーチャー１体かプレインズウォーカー１体かプレイヤー１人を対象とする。陽光の薬瓶はそれに、陽光の薬瓶の上に置かれた蓄積カウンターの数に等しい点数のダメージを与える。</t>
  </si>
  <si>
    <t>搭乗４（あなたがコントロールする望む数のクリーチャーを、パワーの合計が４以上になるように選んでタップする：ターン終了時まで、この機体(Vehicle)はアーティファクト・クリーチャーになる。）</t>
  </si>
  <si>
    <t>忘れられていた家宝</t>
  </si>
  <si>
    <t>装備しているクリーチャーが変身したとき、忘れられていた家宝を変身させる。</t>
  </si>
  <si>
    <t>灰口の刃</t>
  </si>
  <si>
    <t>装備しているクリーチャーは+3/+3の修整を受けるとともに先制攻撃を持つ。</t>
  </si>
  <si>
    <t>ダークスティールの秘宝</t>
  </si>
  <si>
    <t>永遠溢れの杯</t>
  </si>
  <si>
    <t>多重キッカー(２)（あなたがこの呪文を唱えるに際し、あなたは追加の(２)を望む回数支払ってもよい。）</t>
  </si>
  <si>
    <t>永遠溢れの杯は、それがキッカーされている１回につき蓄積(charge)カウンターが１個置かれた状態で戦場に出る。</t>
  </si>
  <si>
    <t>(Ｔ)：永遠溢れの杯の上に置かれている蓄積カウンター１個につき(◇)を加える。</t>
  </si>
  <si>
    <t>呪文書</t>
  </si>
  <si>
    <t>あなたの手札の枚数の上限は無くなる。</t>
  </si>
  <si>
    <t>トーモッドの墓所</t>
  </si>
  <si>
    <t>(Ｔ),トーモッドの墓所を生け贄に捧げる：プレイヤー１人を対象とする。そのプレイヤーの墓地のカードをすべて追放する。</t>
  </si>
  <si>
    <t>カカシ(Scarecrow)</t>
  </si>
  <si>
    <t>若返りの泉</t>
  </si>
  <si>
    <t>(２),(Ｔ)：あなたは１点のライフを得る。</t>
  </si>
  <si>
    <t>カイトシールド</t>
  </si>
  <si>
    <t>装備しているクリーチャーは+0/+3の修整を受ける。</t>
  </si>
  <si>
    <t>極楽のマントル</t>
  </si>
  <si>
    <t>装備しているクリーチャーは「(Ｔ)：好きな色１色のマナ１点を加える。」を持つ。</t>
  </si>
  <si>
    <t>贈賄者の財布</t>
  </si>
  <si>
    <t>(Ｘ)</t>
  </si>
  <si>
    <t>贈賄者の財布は、宝石(gem)カウンターがＸ個置かれた状態で戦場に出る。</t>
  </si>
  <si>
    <t>(１),(Ｔ),贈賄者の財布の上から宝石カウンターを１個取り除く：クリーチャー１体を対象とする。このターン、それは攻撃したりブロックしたりできない。</t>
  </si>
  <si>
    <t>ミシュラのガラクタ</t>
  </si>
  <si>
    <t>(Ｔ),ミシュラのガラクタを生け贄に捧げる：プレイヤー１人を対象とする。そのプレイヤーのライブラリーの一番上のカードを１枚見る。次のターンのアップキープの開始時にカードを１枚引く。</t>
  </si>
  <si>
    <t>生の杯</t>
  </si>
  <si>
    <t>(Ｔ)：あなたは１点のライフを得る。その後、あなたのライフの総量がゲーム開始時よりも少なくとも１０点多い場合、生の杯を変身させる。</t>
  </si>
  <si>
    <t>死の杯</t>
  </si>
  <si>
    <t>(Ｔ)：プレイヤー１人を対象とする。そのプレイヤーは５点のライフを失う。</t>
  </si>
  <si>
    <t>熱いスープ</t>
  </si>
  <si>
    <t>装備しているクリーチャーはブロックされない。</t>
  </si>
  <si>
    <t>装備しているクリーチャーにダメージが与えられるたび、それを破壊する。</t>
  </si>
  <si>
    <t>死鉄の大槌</t>
  </si>
  <si>
    <t>装備しているクリーチャーがクリーチャーをブロックするかクリーチャーにブロックされた状態になるたび、両方のクリーチャーを破壊する。</t>
  </si>
  <si>
    <t>装備(２)（(２)：あなたがコントロールするクリーチャー１体を対象とし、それにつける。装備はソーサリーとしてのみ行う。このカードはつけられていない状態で戦場に出て、クリーチャーが戦場を離れても戦場に残る。）</t>
  </si>
  <si>
    <t>ゴーレム皮の篭手</t>
  </si>
  <si>
    <t>装備しているクリーチャーは、それに付けられている装備品(Equipment)１つにつき+1/+0の修整を受ける。</t>
  </si>
  <si>
    <t>装備(２)（(２):あなたがコントロールするクリーチャー１体を対象とし、それにつける。装備はソーサリーとしてのみ行う。このカードはつけられていない状態で戦場に出て、クリーチャーが戦場を離れても戦場に残る。）</t>
  </si>
  <si>
    <t>通電式キー</t>
  </si>
  <si>
    <t>(１),(Ｔ)：アーティファクト１つを対象とし、それをアンタップする。</t>
  </si>
  <si>
    <t>頭蓋骨絞め</t>
  </si>
  <si>
    <t>装備しているクリーチャーは+1/-1の修整を受ける。</t>
  </si>
  <si>
    <t>装備しているクリーチャーが死亡するたび、カードを２枚引く。</t>
  </si>
  <si>
    <t>装備(１)（(１):あなたがコントロールするクリーチャー１体を対象とし、それにつける。装備はソーサリーとしてのみ行う。このカードはつけられていない状態で戦場に出て、クリーチャーが戦場を離れても戦場に残る。）</t>
  </si>
  <si>
    <t>うねりの結節</t>
  </si>
  <si>
    <t>うねりの結節は、その上に蓄積(charge)カウンターが６個置かれた状態で戦場に出る。</t>
  </si>
  <si>
    <t>(１),(Ｔ),うねりの結節から蓄積カウンターを１個取り除く：アーティファクト１つを対象とし、それの上に蓄積カウンターを１個置く。</t>
  </si>
  <si>
    <t>写本裁断機</t>
  </si>
  <si>
    <t>(Ｔ)：プレイヤー１人を対象とする。そのプレイヤーは、自分のライブラリーの一番上のカードを自分の墓地に置く。</t>
  </si>
  <si>
    <t>(５),(Ｔ),写本裁断機を生け贄に捧げる：あなたの墓地にあるカード１枚を対象とし、それをあなたの手札に戻す。</t>
  </si>
  <si>
    <t>師範の占い独楽</t>
  </si>
  <si>
    <t>(１)：あなたのライブラリーのカードを上から３枚見る。その後それらを望む順番で戻す。</t>
  </si>
  <si>
    <t>(Ｔ)：カードを１枚引き、その後師範の占い独楽をオーナーのライブラリーの一番上に置く。</t>
  </si>
  <si>
    <t>大薙刀</t>
  </si>
  <si>
    <t>大薙刀はパワーが３以上のクリーチャーにしかつけられない。</t>
  </si>
  <si>
    <t>装備しているクリーチャーは+3/+0の修整を受けるとともにトランプルを持つ。</t>
  </si>
  <si>
    <t>ゴルゴンの首</t>
  </si>
  <si>
    <t>装備しているクリーチャーは接死を持つ。</t>
  </si>
  <si>
    <t>合鍵</t>
  </si>
  <si>
    <t>装備しているクリーチャーは潜伏を持つ。（それは、自身より大きなパワーを持つクリーチャーによってはブロックされない。）</t>
  </si>
  <si>
    <t>装備しているクリーチャーがプレイヤー１人に戦闘ダメージを与えるたび、あなたはカードを１枚引いてもよい。そうしたなら、カードを１枚捨てる。</t>
  </si>
  <si>
    <t>大隼の仮面</t>
  </si>
  <si>
    <t>装備しているクリーチャーは防衛、飛行、先制攻撃を持つ。</t>
  </si>
  <si>
    <t>更生の泉</t>
  </si>
  <si>
    <t>あなたのアップキープの開始時に、あなたは１点のライフを得る。</t>
  </si>
  <si>
    <t>(３),更生の泉を生け贄に捧げる：カードを１枚引く。</t>
  </si>
  <si>
    <t>目つぶしの粉</t>
  </si>
  <si>
    <t>装備しているクリーチャーは「目つぶしの粉をはずす：このターン、このクリーチャーに与えられるすべての戦闘ダメージを軽減する。」を持つ。</t>
  </si>
  <si>
    <t>護民官のサーベル</t>
  </si>
  <si>
    <t>装備しているクリーチャーは、それの色１色につき+1/+0の修整を受ける。</t>
  </si>
  <si>
    <t>魔女の目</t>
  </si>
  <si>
    <t>装備しているクリーチャーは「(１),(Ｔ)：占術１を行う。」を持つ。（占術１を行うには、あなたのライブラリーの一番上のカードを見る。あなたはそのカードをあなたのライブラリーの一番下に置いてもよい。）</t>
  </si>
  <si>
    <t>象牙の杯</t>
  </si>
  <si>
    <t>プレイヤー１人が白の呪文を唱えるたび、あなたは(１)を支払ってもよい。そうした場合、あなたは１点のライフを得る。</t>
  </si>
  <si>
    <t>歩哨のトーテム像</t>
  </si>
  <si>
    <t>歩哨のトーテム像が戦場に出たとき、占術１を行う。（あなたのライブラリーの一番上のカードを見る。あなたはそのカードをあなたのライブラリーの一番下に置いてもよい。）</t>
  </si>
  <si>
    <t>(Ｔ),歩哨のトーテム像を追放する：墓地すべてからカードをすべて追放する。</t>
  </si>
  <si>
    <t>強欲のトーテム像</t>
  </si>
  <si>
    <t>(５)：土地でないパーマネント１つを対象とする。強欲のトーテム像のコントロールと、そのコントロールを交換する。</t>
  </si>
  <si>
    <t>半弓</t>
  </si>
  <si>
    <t>装備しているクリーチャーは「(Ｔ)：半弓の上に照準(aim)カウンターを１個置く。」と「(Ｔ),半弓からすべての照準カウンターを取り除く：クリーチャー１体かプレインズウォーカー１体かプレイヤー１人を対象とする。このクリーチャーはそれに、これにより取り除かれた照準カウンターの数に等しい点数のダメージを与える。」を持つ。</t>
  </si>
  <si>
    <t>装備(４)（(４)：あなたがコントロールするクリーチャー１体を対象とし、それにつける。装備はソーサリーとしてのみ行う。）</t>
  </si>
  <si>
    <t>信頼おける山刀</t>
  </si>
  <si>
    <t>テル＝ジラードの鉄筆</t>
  </si>
  <si>
    <t>(Ｔ)：あなたがオーナーであるパーマネント１つを対象とし、それをあなたのライブラリーの一番下に置く。</t>
  </si>
  <si>
    <t>ダークスティールの斧</t>
  </si>
  <si>
    <t>手裏剣</t>
  </si>
  <si>
    <t>装備しているクリーチャーは「(Ｔ),手裏剣をはずす：クリーチャー１体を対象とする。手裏剣はそれに２点のダメージを与える。その後そのクリーチャーのコントローラーは、装備しているクリーチャーが忍者(Ninja)でないかぎり、手裏剣のコントロールを得る。」を持つ。</t>
  </si>
  <si>
    <t>航海者の杖</t>
  </si>
  <si>
    <t>(２),航海者の杖を生け贄に捧げる：クリーチャー１体を対象とし、それを追放する。次の終了ステップの開始時に、その追放されたカードをオーナーのコントロール下で戦場に戻す。</t>
  </si>
  <si>
    <t>狼狩りの矢筒</t>
  </si>
  <si>
    <t>装備しているクリーチャーは「(Ｔ)：クリーチャー１体かプレイヤー１人を対象とする。このクリーチャーはそれに１点のダメージを与える。」と「(Ｔ)：狼男(Werewolf)クリーチャー１体を対象とする。このクリーチャーはそれに３点のダメージを与える。」を持つ。</t>
  </si>
  <si>
    <t>不死の霊薬</t>
  </si>
  <si>
    <t>(２),(Ｔ)：あなたは５点のライフを得る。不死の霊薬とあなたの墓地をオーナーのライブラリーに加えて切り直す。</t>
  </si>
  <si>
    <t>鎮定工作機</t>
  </si>
  <si>
    <t>(２),(Ｔ)：アーティファクト１つかクリーチャー１体を対象とし、それをタップする。</t>
  </si>
  <si>
    <t>鉄の星</t>
  </si>
  <si>
    <t>プレイヤー１人が赤の呪文を唱えるたび、あなたは(１)を支払ってもよい。そうした場合、あなたは１点のライフを得る。</t>
  </si>
  <si>
    <t>霊気の薬瓶</t>
  </si>
  <si>
    <t>あなたのアップキープの開始時に、あなたは霊気の薬瓶の上に蓄積(charge)カウンターを１個置いてもよい。</t>
  </si>
  <si>
    <t>(Ｔ)：あなたの手札にある、点数で見たマナ・コストが霊気の薬瓶の上に置かれている蓄積カウンターの数に等しいクリーチャー・カードを１枚、戦場に出してもよい。</t>
  </si>
  <si>
    <t>プリズムの指輪</t>
  </si>
  <si>
    <t>プリズムの指輪が戦場に出るに際し、色を１色選ぶ。</t>
  </si>
  <si>
    <t>あなたが選ばれた色の呪文を１つ唱えるたび、あなたは１点のライフを得る。</t>
  </si>
  <si>
    <t>森の宝球</t>
  </si>
  <si>
    <t>プレイヤー１人が緑の呪文を唱えるたび、あなたは(１)を支払ってもよい。そうした場合、あなたは１点のライフを得る。</t>
  </si>
  <si>
    <t>呪術師のワンド</t>
  </si>
  <si>
    <t>装備しているクリーチャーは「(Ｔ)：プレイヤー１人かプレインズウォーカー１体を対象とする。このクリーチャーはそれに１点のダメージを与える。このクリーチャーがウィザード(Wizard)であるなら、代わりに、これはそのプレイヤーかプレインズウォーカーに２点のダメージを与える。」を持つ。</t>
  </si>
  <si>
    <t>手甲</t>
  </si>
  <si>
    <t>装備(０)</t>
  </si>
  <si>
    <t>不敬な遺品</t>
  </si>
  <si>
    <t>クリーチャー・カードが１枚いずれかの領域から対戦相手の墓地に置かれるたび、あなたは１点のライフを得る。</t>
  </si>
  <si>
    <t>突き抜けの矢</t>
  </si>
  <si>
    <t>装備しているクリーチャーは「(２),(Ｔ)：クリーチャー１体を対象とする。このクリーチャーはそれに１点のダメージを与える。無色のクリーチャーがこれによりダメージを与えられたなら、それをタップする。」を持つ。</t>
  </si>
  <si>
    <t>浸透のレンズ</t>
  </si>
  <si>
    <t>装備しているクリーチャーがクリーチャー１体にブロックされた状態になるたび、あなたはカードを２枚引いてもよい。</t>
  </si>
  <si>
    <t>洞察のランタン</t>
  </si>
  <si>
    <t>プレイヤーは、自分のライブラリーの一番上のカードを公開した状態でプレイする。</t>
  </si>
  <si>
    <t>(Ｔ),洞察のランタンを生け贄に捧げる：プレイヤー１人を対象とする。そのプレイヤーは、自分のライブラリーを切り直す。</t>
  </si>
  <si>
    <t>炎放ちの車輪</t>
  </si>
  <si>
    <t>(５),(Ｔ),炎放ちの車輪を生け贄に捧げる：クリーチャー１体を対象とする。これはそれに３点のダメージを与える。</t>
  </si>
  <si>
    <t>教議会の聖域</t>
  </si>
  <si>
    <t>(２),(Ｔ)：あなたがコントロールするパーマネント１つを対象とし、それを追放する。</t>
  </si>
  <si>
    <t>(２),教議会の聖域を生け贄に捧げる：教議会の聖域によって追放されたすべてのカードを、あなたのコントロール下で戦場に戻す。</t>
  </si>
  <si>
    <t>水晶のロッド</t>
  </si>
  <si>
    <t>プレイヤーが青の呪文を１つ唱えるたび、あなたは(１)を支払ってもよい。そうした場合、あなたは１点のライフを得る。</t>
  </si>
  <si>
    <t>骨の玉座</t>
  </si>
  <si>
    <t>プレイヤー１人が黒の呪文を唱えるたび、あなたは(１)を支払ってもよい。そうした場合、あなたは１点のライフを得る。</t>
  </si>
  <si>
    <t>昨日の首飾り</t>
  </si>
  <si>
    <t>あなたが唱える呪文は、それを唱えるためのコストが、あなたの墓地にあるそのカードと同じ名前を持つカード１枚につき(１)少なくなる。</t>
  </si>
  <si>
    <t>ひっかき爪</t>
  </si>
  <si>
    <t>(Ｔ)：プレイヤー１人を対象とする。そのプレイヤーは自分の墓地のカード１枚を追放する。</t>
  </si>
  <si>
    <t>(１),ひっかき爪を生け贄に捧げる：墓地にあるカード１枚を対象とし、それを追放する。カードを１枚引く。</t>
  </si>
  <si>
    <t>キマイラ・コイル</t>
  </si>
  <si>
    <t>(Ｘ)(１)：キマイラ・コイルは、X/Xの構築物(Construct)アーティファクト・クリーチャーになる。次の終了ステップの開始時に、それを生け贄に捧げる。</t>
  </si>
  <si>
    <t>毒の薬瓶</t>
  </si>
  <si>
    <t>(１),毒の薬瓶を生け贄に捧げる：クリーチャー１体を対象とする。ターン終了時まで、それは接死を得る。（それが何らかのダメージをクリーチャーに与えたら、それだけで破壊する。）</t>
  </si>
  <si>
    <t>搭乗６（あなたがコントロールする望む数のクリーチャーを、パワーの合計が６以上になるように選んでタップする：ターン終了時まで、この機体(Vehicle)はアーティファクト・クリーチャーになる。）</t>
  </si>
  <si>
    <t>嵐乗りの装具</t>
  </si>
  <si>
    <t>クリーチャーが１体あなたのコントロール下で戦場に出るたび、あなたは嵐乗りの装具をそれにつけてもよい。</t>
  </si>
  <si>
    <t>発展のタリスマン</t>
  </si>
  <si>
    <t>(Ｔ)：あなたのマナ・プールに(W)か(U)を加える。発展のタリスマンはあなたに１点のダメージを与える。</t>
  </si>
  <si>
    <t>不朽処理者の道具</t>
  </si>
  <si>
    <t>あなたの墓地にあるクリーチャー・カードの起動型能力を起動するためのコストは(１)少なくなる。</t>
  </si>
  <si>
    <t>あなたがコントロールするアンタップ状態のゾンビ(Zombie)１体をタップする：プレイヤー１人を対象とする。そのプレイヤーは、自分のライブラリーの一番上のカードを自分の墓地に置く。</t>
  </si>
  <si>
    <t>減衰球</t>
  </si>
  <si>
    <t>２点以上のマナを引き出す目的で土地が１つタップされるなら、それは他のタイプや点数の代わりに(◇)を生み出す。</t>
  </si>
  <si>
    <t>プレイヤーが各呪文を唱えるためのコストはそれぞれ、そのプレイヤーがこのターンに唱えた他の呪文１つにつき(１)多くなる。</t>
  </si>
  <si>
    <t>クラーケンの目</t>
  </si>
  <si>
    <t>プレイヤー１人が青の呪文を唱えるたび、あなたは１点のライフを得てもよい。</t>
  </si>
  <si>
    <t>燃え上がる憤怒の祭殿</t>
  </si>
  <si>
    <t>あなたのアップキープの開始時か、あなたが赤の呪文を唱えるたび、燃え上がる憤怒の祭殿の上に蓄積(charge)カウンターを１個置く。</t>
  </si>
  <si>
    <t>(３),(Ｔ),燃え上がる憤怒の祭殿を生け贄に捧げる：クリーチャー１体かプレイヤー１人を対象とする。燃え上がる憤怒の祭殿はそれに、これの上に置かれていた蓄積カウンターの数に等しい点数のダメージを与える。</t>
  </si>
  <si>
    <t>アヴァシンの仮面</t>
  </si>
  <si>
    <t>装備しているクリーチャーは+1/+2の修整を受けるとともに呪禁を持つ。（それはあなたの対戦相手がコントロールする呪文や能力の対象にならない。）</t>
  </si>
  <si>
    <t>テューンの指輪</t>
  </si>
  <si>
    <t>装備しているクリーチャーは警戒を持つ。（それは攻撃してもタップしない。）</t>
  </si>
  <si>
    <t>あなたのアップキープの開始時に、装備しているクリーチャーが白ならば、その上に+1/+1カウンターを１個置く。</t>
  </si>
  <si>
    <t>泡立つ大釜</t>
  </si>
  <si>
    <t>(１),(Ｔ),クリーチャーを１体生け贄に捧げる：あなたは４点のライフを得る。</t>
  </si>
  <si>
    <t>(１),(Ｔ),《ただれたイモリ/Festering Newt》という名前のクリーチャーを１体生け贄に捧げる：各対戦相手はそれぞれ４点のライフを失う。あなたはこれにより失われたライフに等しい点数のライフを得る。</t>
  </si>
  <si>
    <t>魔力の導管</t>
  </si>
  <si>
    <t>(Ｔ),あなたがコントロールするパーマネントの上からカウンターを１個取り除く：以下から１つを選ぶ。</t>
  </si>
  <si>
    <t>・アーティファクト１つを対象とし、その上に蓄積(charge)カウンターを１個置く。</t>
  </si>
  <si>
    <t>・クリーチャー１体を対象とし、その上に+1/+1カウンターを１個置く。</t>
  </si>
  <si>
    <t>破滅の槌</t>
  </si>
  <si>
    <t>装備しているクリーチャーがプレイヤー１人に戦闘ダメージを与えるたび、そのプレイヤーがコントロールする装備品(Equipment)１つを対象とする。あなたはそれを破壊してもよい。</t>
  </si>
  <si>
    <t>抽出機構</t>
  </si>
  <si>
    <t>クリーチャーが１体あなたのコントロール下で戦場に出るたび、あなたは(Ｅ)（エネルギー・カウンター１個）を得る。</t>
  </si>
  <si>
    <t>(４),(Ｔ)：あなたがコントロールしているクリーチャー１体を対象とし、それをオーナーの手札に戻す。</t>
  </si>
  <si>
    <t>心臓貫きの弓</t>
  </si>
  <si>
    <t>装備しているクリーチャーが攻撃するたび、防御プレイヤーがコントロールするクリーチャー１体を対象とする。心臓貫きの弓はそれに１点のダメージを与える。</t>
  </si>
  <si>
    <t>飛行機械の鋳造所</t>
  </si>
  <si>
    <t>(W/B)(U)</t>
  </si>
  <si>
    <t>(１),トークンでないアーティファクト１つを生け贄に捧げる：飛行を持つ青の1/1の飛行機械(Thopter)アーティファクト・クリーチャー・トークンを１体生成する。あなたは１点のライフを得る。</t>
  </si>
  <si>
    <t>星のコンパス</t>
  </si>
  <si>
    <t>星のコンパスはタップ状態で戦場に出る。</t>
  </si>
  <si>
    <t>(Ｔ)：あなたのマナ・プールに、あなたがコントロールする基本土地が生み出すことのできる色１色のマナ１点を加える。</t>
  </si>
  <si>
    <t>秘宝の障壁</t>
  </si>
  <si>
    <t>(Ｔ)：アーティファクト１つを対象とし、それをタップする。</t>
  </si>
  <si>
    <t>黄昏のピラミッド</t>
  </si>
  <si>
    <t>黄昏のピラミッドは、石材(brick)カウンターが３個置かれた状態で戦場に出る。</t>
  </si>
  <si>
    <t>(２),(Ｔ),黄昏のピラミッドから石材カウンターを１個取り除く：カードを１枚引く。</t>
  </si>
  <si>
    <t>(２),(Ｔ)：占術１を行う。</t>
  </si>
  <si>
    <t>守護像</t>
  </si>
  <si>
    <t>守護像はタップ状態で戦場に出る。</t>
  </si>
  <si>
    <t>(２)：ターン終了時まで、守護像は2/2のゴーレム(Golem)・アーティファクト・クリーチャーになる。</t>
  </si>
  <si>
    <t>帝国の王冠</t>
  </si>
  <si>
    <t>(３),(Ｔ)：クリーチャー１体を対象とし、それをタップする。あなたが《帝国の王笏/Scepter of Empires》という名前のアーティファクトと《帝国の玉座/Throne of Empires》という名前のアーティファクトをコントロールしている場合、代わりにそのクリーチャーのコントロールを得る。</t>
  </si>
  <si>
    <t>ギルドのタブレット</t>
  </si>
  <si>
    <t>ギルドのタブレットが戦場に出るに際し、色を２色選ぶ。</t>
  </si>
  <si>
    <t>あなたが呪文を１つ唱えるたび、それが選ばれた２色のうちの少なくとも１色である場合、あなたはその選ばれた色１色につき１点のライフを得る。</t>
  </si>
  <si>
    <t>お祭り歌の角笛</t>
  </si>
  <si>
    <t>(１),(Ｔ),あなたがコントロールするアンタップ状態のクリーチャーを１体タップする：クリーチャー１体を対象とする。それはターン終了時まで+1/+1の修整を受ける。</t>
  </si>
  <si>
    <t>精神石</t>
  </si>
  <si>
    <t>(１),(Ｔ),精神石を生け贄に捧げる：カードを１枚引く。</t>
  </si>
  <si>
    <t>殺戮の祭壇</t>
  </si>
  <si>
    <t>(３),クリーチャーを１体生け贄に捧げる：カードを１枚引く。</t>
  </si>
  <si>
    <t>耽溺のタリスマン</t>
  </si>
  <si>
    <t>(Ｔ)：あなたのマナ・プールに(B)か(R)を加える。耽溺のタリスマンはあなたに１点のダメージを与える。</t>
  </si>
  <si>
    <t>憤怒の三角護符</t>
  </si>
  <si>
    <t>憤怒の三角護符は、その上に蓄積(charge)カウンターが３個置かれた状態で戦場に出る。</t>
  </si>
  <si>
    <t>(R)(R),(Ｔ)：憤怒の三角護符の上に蓄積カウンターを１個置く。</t>
  </si>
  <si>
    <t>(２),(Ｔ),憤怒の三角護符から蓄積カウンターを１個取り除く：クリーチャー１体を対象とする。それはターン終了時まで+3/+0の修整を受ける。</t>
  </si>
  <si>
    <t>エネルギー室</t>
  </si>
  <si>
    <t>・アーティファクト・クリーチャー１体を対象とし、その上に+1/+1カウンターを１個置く。</t>
  </si>
  <si>
    <t>・クリーチャーでないアーティファクト１つを対象とし、その上に蓄積(charge)カウンターを１個置く。</t>
  </si>
  <si>
    <t>審問官のフレイル</t>
  </si>
  <si>
    <t>装備しているクリーチャーが戦闘ダメージを与える場合、代わりにそれはその２倍のダメージを与える。</t>
  </si>
  <si>
    <t>他のクリーチャーが装備しているクリーチャーに戦闘ダメージを与える場合、代わりにそれは装備しているクリーチャーにその２倍のダメージを与える。</t>
  </si>
  <si>
    <t>霊都の灯籠</t>
  </si>
  <si>
    <t>(３)：いずれかの墓地にあるカード１枚を対象とし、それをオーナーのライブラリーの一番下に置く。</t>
  </si>
  <si>
    <t>カロニアの指輪</t>
  </si>
  <si>
    <t>装備しているクリーチャーはトランプルを持つ。（それが、自身をブロックしているすべてのクリーチャーを破壊するのに十分な戦闘ダメージを割り振る場合、あなたはその残りのダメージを防御プレイヤーかプレインズウォーカーに割り振ってもよい。）</t>
  </si>
  <si>
    <t>あなたのアップキープの開始時に、装備しているクリーチャーが緑ならば、その上に+1/+1カウンターを１個置く。</t>
  </si>
  <si>
    <t>投げナイフ</t>
  </si>
  <si>
    <t>装備しているクリーチャーが攻撃するたび、クリーチャー１体かプレイヤー１人を対象とする。あなたは投げナイフを生け贄に捧げてもよい。そうしたなら、投げナイフはそれに２点のダメージを与える。</t>
  </si>
  <si>
    <t>ゴーレムの心臓</t>
  </si>
  <si>
    <t>プレイヤー１人がアーティファクト呪文を１つ唱えるたび、あなたは１点のライフを得てもよい。</t>
  </si>
  <si>
    <t>必殺の三叉矛</t>
  </si>
  <si>
    <t>装備しているクリーチャーは先制攻撃を持つとともに「(Ｔ),必殺の三叉矛をはずす：プレイヤー１人を対象とする。このクリーチャーは、そのパワーに等しい点数のダメージをそのプレイヤーに与える。」を持つ。</t>
  </si>
  <si>
    <t>装備(４)（(４)：あなたがコントロールするクリーチャー１体を対象とし、それにつける。装備はソーサリーとしてのみ行う。このカードはつけられていない状態で戦場に出て、クリーチャーが戦場を離れても戦場に残る。）</t>
  </si>
  <si>
    <t>銀皮の鎧</t>
  </si>
  <si>
    <t>装備しているクリーチャーは+1/+1の修整を受けるとともに、他のタイプに加えてアーティファクトでもある。</t>
  </si>
  <si>
    <t>ドラゴンの爪</t>
  </si>
  <si>
    <t>プレイヤー１人が赤の呪文を唱えるたび、あなたは１点のライフを得てもよい。</t>
  </si>
  <si>
    <t>聖なる武器庫</t>
  </si>
  <si>
    <t>(２)：クリーチャー１体を対象とする。それはターン終了時まで+1/+0の修整を受ける。</t>
  </si>
  <si>
    <t>等時の王笏</t>
  </si>
  <si>
    <t>刻印 ― 等時の王笏が戦場に出たとき、あなたはあなたの手札にある点数で見たマナ・コストが２以下のインスタント・カードを１枚、追放してもよい。</t>
  </si>
  <si>
    <t>(２),(Ｔ)：あなたは、その追放されたカードをコピーしてもよい。そうした場合、あなたはそのコピーを、そのマナ・コストを支払うことなく唱えてもよい。</t>
  </si>
  <si>
    <t>オーガの列断剣</t>
  </si>
  <si>
    <t>装備しているクリーチャーは+5/+0の修整を受ける。</t>
  </si>
  <si>
    <t>終わりなき時計</t>
  </si>
  <si>
    <t>(Ｔ)：あなたのライブラリーの一番上からカードを２枚あなたの墓地に置く。</t>
  </si>
  <si>
    <t>(２),終わりなき時計を追放する：あなたの墓地から望む枚数のカードを対象とし、それらをあなたのライブラリーに加えて切り直す。</t>
  </si>
  <si>
    <t>没収の曲杖</t>
  </si>
  <si>
    <t>(１),(Ｔ)：墓地からカード１枚を対象とし、それを追放する。</t>
  </si>
  <si>
    <t>(１),没収の曲杖を追放する：すべての墓地からカードをすべて追放する。</t>
  </si>
  <si>
    <t>落とし子の穴</t>
  </si>
  <si>
    <t>クリーチャーを１体、生け贄に捧げる：落とし子の穴の上に蓄積(charge)カウンターを１個置く。</t>
  </si>
  <si>
    <t>(１),落とし子の穴から蓄積カウンターを２個取り除く：無色の2/2の落とし子(Spawn)アーティファクト・クリーチャー・トークンを１体生成する。</t>
  </si>
  <si>
    <t>万力鎖</t>
  </si>
  <si>
    <t>装備しているクリーチャーは+1/+2の修整を受けるとともに「(Ｔ)：装備品(Equipment)１つを対象とし、それを破壊する。」を持つ。</t>
  </si>
  <si>
    <t>英雄の刃</t>
  </si>
  <si>
    <t>装備しているクリーチャーは+3/+2の修整を受ける。</t>
  </si>
  <si>
    <t>伝説のクリーチャーが１体あなたのコントロール下で戦場に出るたび、あなたは英雄の刃をそれにつけてもよい。</t>
  </si>
  <si>
    <t>記憶の仮面</t>
  </si>
  <si>
    <t>装備しているクリーチャーがプレイヤーに戦闘ダメージを与えるたび、あなたはカードを２枚引いてもよい。そうした場合、カードを１枚捨てる。</t>
  </si>
  <si>
    <t>衝動のタリスマン</t>
  </si>
  <si>
    <t>(Ｔ)：あなたのマナ・プールに(R)か(G)を加える。衝動のタリスマンはあなたに１点のダメージを与える。</t>
  </si>
  <si>
    <t>霊気装置の設計図</t>
  </si>
  <si>
    <t>霊気装置の設計図が戦場に出たか戦場から墓地に置かれたとき、無色の1/1の霊気装置(Servo)アーティファクト・クリーチャー・トークンを１つ生成する。</t>
  </si>
  <si>
    <t>回復の三角護符</t>
  </si>
  <si>
    <t>回復の三角護符は、その上に蓄積(charge)カウンターが３個置かれた状態で戦場に出る。</t>
  </si>
  <si>
    <t>(W)(W),(Ｔ)：回復の三角護符の上に蓄積カウンターを１個置く。</t>
  </si>
  <si>
    <t>(２),(Ｔ),回復の三角護符から蓄積カウンターを１個取り除く：プレイヤー１人を対象とする。そのプレイヤーは３点のライフを得る。</t>
  </si>
  <si>
    <t>墓地のシャベル</t>
  </si>
  <si>
    <t>(２),(Ｔ)：プレイヤー１人を対象とする。そのプレイヤーは自分の墓地にあるカードを１枚追放する。それがクリーチャー・カードである場合、あなたは２点のライフを得る。</t>
  </si>
  <si>
    <t>イーヴォ島の指輪</t>
  </si>
  <si>
    <t>(２)：装備しているクリーチャーはターン終了時まで呪禁を得る。（それはあなたの対戦相手がコントロールする呪文や能力の対象にならない。）</t>
  </si>
  <si>
    <t>あなたのアップキープの開始時に、装備しているクリーチャーが青ならば、その上に+1/+1カウンターを１個置く。</t>
  </si>
  <si>
    <t>イロアスの武器庫</t>
  </si>
  <si>
    <t>装備しているクリーチャーが攻撃するたび、その上に+1/+1カウンターを１個置く。</t>
  </si>
  <si>
    <t>バンシーの刃</t>
  </si>
  <si>
    <t>装備しているクリーチャーは、バンシーの刃の上に置かれている蓄積(charge)カウンター１個につき+1/+1の修整を受ける。</t>
  </si>
  <si>
    <t>装備しているクリーチャーが戦闘ダメージを与えるたび、バンシーの刃の上に蓄積カウンターを１個置く。</t>
  </si>
  <si>
    <t>武勇の印章</t>
  </si>
  <si>
    <t>装備しているクリーチャーが単独で攻撃するたび、ターン終了時まで、それはあなたがコントロールする他のクリーチャー１体につき+1/+1の修整を受ける。</t>
  </si>
  <si>
    <t>ウルザの秘本</t>
  </si>
  <si>
    <t>(３),(Ｔ)：カードを１枚引く。その後、あなたがあなたの墓地から歴史的なカード１枚を追放しないかぎり、カード１枚を捨てる。（歴史的とは、アーティファクトと伝説と英雄譚(Saga)のことである。）</t>
  </si>
  <si>
    <t>天使の羽根</t>
  </si>
  <si>
    <t>プレイヤー１人が白の呪文を唱えるたび、あなたは１点のライフを得てもよい。</t>
  </si>
  <si>
    <t>貫く幻視の祭殿</t>
  </si>
  <si>
    <t>あなたのアップキープの開始時か、あなたが青の呪文を唱えるたび、貫く幻視の祭殿の上に蓄積(charge)カウンターを１個置く。</t>
  </si>
  <si>
    <t>(Ｔ),貫く幻視の祭殿を生け贄に捧げる：あなたのライブラリーの一番上からＸ枚のカードを見る。Ｘは、貫く幻視の祭殿の上に置かれていた蓄積カウンターの数である。それらのカードのうち１枚をあなたの手札に加え、残りをあなたのライブラリーの一番下に望む順番で置く。</t>
  </si>
  <si>
    <t>研磨基地</t>
  </si>
  <si>
    <t>(Ｔ),アーティファクトを１つ生け贄に捧げる：プレイヤー１人を対象とする。そのプレイヤーは、自分のライブラリーのカードを上から３枚、自分の墓地に置く。</t>
  </si>
  <si>
    <t>アーティファクトが戦場に出るたび、あなたは研磨基地をアンタップしてもよい。</t>
  </si>
  <si>
    <t>ならず者の手袋</t>
  </si>
  <si>
    <t>板岩の槌</t>
  </si>
  <si>
    <t>装備しているクリーチャーが攻撃するたび、あなたはあなたがコントロールする土地を１つオーナーの手札に戻してもよい。そうしたなら、ターン終了時まで、そのクリーチャーは+2/+2の修整を受ける。</t>
  </si>
  <si>
    <t>液鋼の塗膜</t>
  </si>
  <si>
    <t>(Ｔ)：パーマネント１つを対象とする。それはターン終了時までそれの他のタイプに加えてアーティファクトになる。</t>
  </si>
  <si>
    <t>蓋世の英雄の短剣</t>
  </si>
  <si>
    <t>装備しているクリーチャーは+2/+0の修整を受けるとともに加虐１を持つ。（それがブロックされた状態になるたび、防御プレイヤーは１点のライフを失う。）</t>
  </si>
  <si>
    <t>装備(２)（(２)：あなたがコントロールするクリーチャー１体を対象とし、これをそれにつける。装備はソーサリーとしてのみ行う。）</t>
  </si>
  <si>
    <t>死霊の埋葬布</t>
  </si>
  <si>
    <t>装備しているクリーチャーがプレイヤーに戦闘ダメージを与えるたび、そのプレイヤーはカードを１枚捨てる。</t>
  </si>
  <si>
    <t>ヴィリジアンの爪</t>
  </si>
  <si>
    <t>装備しているクリーチャーは+1/+0の修整を受けるとともに先制攻撃を持つ。</t>
  </si>
  <si>
    <t>ワームの歯</t>
  </si>
  <si>
    <t>プレイヤー１人が緑の呪文を唱えるたび、あなたは１点のライフを得てもよい。</t>
  </si>
  <si>
    <t>象牙の鶴の根付</t>
  </si>
  <si>
    <t>あなたのアップキープの開始時に、あなたの手札にカードが７枚以上ある場合、あなたは４点のライフを得る。</t>
  </si>
  <si>
    <t>こそ泥の兜</t>
  </si>
  <si>
    <t>装備しているクリーチャーは壁(Wall)以外によってはブロックされない。</t>
  </si>
  <si>
    <t>ゴルゴンのフレイル</t>
  </si>
  <si>
    <t>装備しているクリーチャーは+1/+1の修整を受けるとともに接死を持つ。（それが何らかのダメージをクリーチャーに与えたら、それだけで破壊する。）</t>
  </si>
  <si>
    <t>威圧のタリスマン</t>
  </si>
  <si>
    <t>(Ｔ)：あなたのマナ・プールに(U)か(B)を加える。威圧のタリスマンはあなたに１点のダメージを与える。</t>
  </si>
  <si>
    <t>起源の柱</t>
  </si>
  <si>
    <t>起源の柱が戦場に出るに際し、クリーチャー・タイプ１つを選ぶ。</t>
  </si>
  <si>
    <t>冷鉄の心臓</t>
  </si>
  <si>
    <t>氷雪アーティファクト</t>
  </si>
  <si>
    <t>冷鉄の心臓はタップ状態で戦場に出る。</t>
  </si>
  <si>
    <t>冷鉄の心臓が戦場に出るに際し、色を１色選ぶ。</t>
  </si>
  <si>
    <t>(Ｔ)：選ばれた色のマナ１点を加える。</t>
  </si>
  <si>
    <t>先駆者の長靴</t>
  </si>
  <si>
    <t>装備しているクリーチャーは基本でない土地渡りを持つ。（それは防御プレイヤーが基本でない土地をコントロールしているかぎりブロックされない。）</t>
  </si>
  <si>
    <t>選別の高座</t>
  </si>
  <si>
    <t>(Ｔ),クリーチャーを１体生け贄に捧げる：選別の高座の上に蓄積(charge)カウンターを１個置く。</t>
  </si>
  <si>
    <t>(１),選別の高座を生け贄に捧げる：選別の高座の上に置かれていた蓄積カウンター１個につきカードを１枚引く。</t>
  </si>
  <si>
    <t>装備しているクリーチャーは+0/+1の修整を受けるとともに「このクリーチャーを生け贄に捧げる：クリーチャー１体かプレインズウォーカー１体かプレイヤー１人を対象とする。このクリーチャーはそれに１点のダメージを与える。」を持つ。</t>
  </si>
  <si>
    <t>忠実な軍勢の祭殿</t>
  </si>
  <si>
    <t>あなたのアップキープの開始時か、あなたが白の呪文を唱えるたび、忠実な軍勢の祭殿の上に蓄積(charge)カウンターを１個置く。</t>
  </si>
  <si>
    <t>(３),(Ｔ),忠実な軍勢の祭殿を生け贄に捧げる：忠実な軍勢の祭殿の上に置かれていた蓄積カウンター１個につき、無色の1/1のマイア(Myr)・アーティファクト・クリーチャー・トークンを１体生成する。</t>
  </si>
  <si>
    <t>ザスリッドの指輪</t>
  </si>
  <si>
    <t>(２)：装備しているクリーチャーを再生する。（このターン、次にこのクリーチャーが破壊される場合、それは破壊されない。代わりに、それをタップし、それに与えられているダメージをすべて取り除き、それを戦闘から取り除く。）</t>
  </si>
  <si>
    <t>あなたのアップキープの開始時に、装備しているクリーチャーが黒ならば、その上に+1/+1カウンターを１個置く。</t>
  </si>
  <si>
    <t>友なる石</t>
  </si>
  <si>
    <t>(Ｔ)：対戦相手１人がコントロールする土地が生み出すことのできる好きな色１色のマナ１点を加える。</t>
  </si>
  <si>
    <t>起源室</t>
  </si>
  <si>
    <t>トークンでないクリーチャーが１体戦場に出るたび、起源室がアンタップ状態である場合、そのクリーチャーのコントローラーは無色の1/1のマイア(Myr)・アーティファクト・クリーチャー・トークンを１体生成する。</t>
  </si>
  <si>
    <t>黒檀の梟の根付</t>
  </si>
  <si>
    <t>各対戦相手のアップキープの開始時に、そのプレイヤーの手札にカードが７枚以上ある場合、黒檀の梟の根付はそのプレイヤーに４点のダメージを与える。</t>
  </si>
  <si>
    <t>教術師の石</t>
  </si>
  <si>
    <t>(１),(Ｔ)：コストに(Ｔ)を含む起動型能力を持つクリーチャー１体を対象とし、それをアンタップする。</t>
  </si>
  <si>
    <t>稲妻のすね当て</t>
  </si>
  <si>
    <t>装備しているクリーチャーは速攻と被覆を持つ。（それは呪文や能力の対象にならない。）</t>
  </si>
  <si>
    <t>装備(０)（(０)：あなたがコントロールするクリーチャー１体を対象とし、それにつける。装備はソーサリーとしてのみ行う。このカードはつけられていない状態で戦場に出て、クリーチャーが戦場を離れても戦場に残る。）</t>
  </si>
  <si>
    <t>精神クランク</t>
  </si>
  <si>
    <t>対戦相手１人がライフを失うたび、そのプレイヤーは自分のライブラリーの一番上からその点数に等しい枚数のカードを自分の墓地に置く。（感染を持たない発生源から与えられたダメージはライフを失わせる。）</t>
  </si>
  <si>
    <t>地下室の扉</t>
  </si>
  <si>
    <t>(３),(Ｔ)：プレイヤー１人を対象とする。そのプレイヤーは、自分のライブラリーの一番下のカードを自分の墓地に置く。それがクリーチャー・カードである場合、あなたは黒の2/2のゾンビ(Zombie)・クリーチャー・トークンを１体生成する。</t>
  </si>
  <si>
    <t>脱走兵の間</t>
  </si>
  <si>
    <t>あなたは、あなたのアンタップ・ステップに脱走兵の間をアンタップしないことを選んでもよい。</t>
  </si>
  <si>
    <t>(６),(Ｔ)：クリーチャー１体を対象とし、それをタップする。それは脱走兵の間がタップ状態であり続けるかぎり、それのコントローラーのアンタップ・ステップにアンタップしない。</t>
  </si>
  <si>
    <t>団結のタリスマン</t>
  </si>
  <si>
    <t>(Ｔ)：あなたのマナ・プールに(G)か(W)を加える。団結のタリスマンはあなたに１点のダメージを与える。</t>
  </si>
  <si>
    <t>伝染病の留め金</t>
  </si>
  <si>
    <t>伝染病の留め金が戦場に出たとき、クリーチャー１体を対象とする。それの上に-1/-1カウンターを１個置く。</t>
  </si>
  <si>
    <t>(４),(Ｔ)：増殖を行う。（あなたはカウンターの置かれているパーマネントやプレイヤーを望む数だけ選び、その後それぞれに、その上に置かれているカウンターのうち１種類を１個置く。）</t>
  </si>
  <si>
    <t>世界の盾</t>
  </si>
  <si>
    <t>発生源１つが装備しているクリーチャーにダメージを与えるなら、そのダメージを２点軽減する。</t>
  </si>
  <si>
    <t>ヴァルカスの指輪</t>
  </si>
  <si>
    <t>装備しているクリーチャーは速攻を持つ。（それがいつあなたのコントロール下になったかに関係なく、それは攻撃したり(Ｔ)したりできる。）</t>
  </si>
  <si>
    <t>あなたのアップキープの開始時に、装備しているクリーチャーが赤ならば、その上に+1/+1カウンターを１個置く。</t>
  </si>
  <si>
    <t>巨石の罠</t>
  </si>
  <si>
    <t>(３),(Ｔ)：クリーチャー１体を対象とし、それをタップする。その後巨石の罠をオーナーの手札に戻す。</t>
  </si>
  <si>
    <t>悪魔の角</t>
  </si>
  <si>
    <t>プレイヤー１人が黒の呪文を唱えるたび、あなたは１点のライフを得てもよい。</t>
  </si>
  <si>
    <t>速足のブーツ</t>
  </si>
  <si>
    <t>装備しているクリーチャーは呪禁と速攻を持つ。</t>
  </si>
  <si>
    <t>弱者の剣</t>
  </si>
  <si>
    <t>1/1のクリーチャーがあなたのコントロール下で戦場に出るたび、あなたはあなたの墓地から弱者の剣を戦場に戻し、その後それをそのクリーチャーにつけてもよい。</t>
  </si>
  <si>
    <t>頭蓋書庫</t>
  </si>
  <si>
    <t>(２),頭蓋書庫を追放する：プレイヤー１人を対象とする。そのプレイヤーは自分のライブラリーに自分の墓地を加えて切り直す。カードを１枚引く。</t>
  </si>
  <si>
    <t>太陽のしずく</t>
  </si>
  <si>
    <t>あなたがダメージを与えられるたび、太陽のしずくの上に同数の蓄積(charge)カウンターを置く。</t>
  </si>
  <si>
    <t>各アップキープの開始時に、太陽のしずくの上から蓄積カウンターを１個取り除いてもよい。そうした場合、あなたは１点のライフを得る。</t>
  </si>
  <si>
    <t>戦争売りの戦車</t>
  </si>
  <si>
    <t>装備しているクリーチャーが防衛を持っているかぎり、それは防衛を持たないかのように攻撃できる。</t>
  </si>
  <si>
    <t>石臼</t>
  </si>
  <si>
    <t>(２),(Ｔ)：プレイヤー１人を対象とする。そのプレイヤーは、自分のライブラリーの一番上からカードを２枚、自分の墓地に置く。</t>
  </si>
  <si>
    <t>ゲスの玉座</t>
  </si>
  <si>
    <t>(Ｔ),アーティファクトを１つ生け贄に捧げる：増殖を行う。（あなたはカウンターの置かれているパーマネントやプレイヤーを望む数だけ選び、その後それぞれに、その上に置かれているカウンターのうち１種類を１個置く。）</t>
  </si>
  <si>
    <t>繁雑な火炎砲</t>
  </si>
  <si>
    <t>繁雑な火炎砲は、あなたのアンタップ・ステップにアンタップしない。</t>
  </si>
  <si>
    <t>(４),(Ｔ)：クリーチャー１体かプレインズウォーカー１体かプレイヤー１人を対象とする。繁雑な火炎砲はそれに２点のダメージを与える。</t>
  </si>
  <si>
    <t>あなたのアップキープの開始時に、あなたはカード１枚を捨ててもよい。そうしたなら、繁雑な火炎砲をアンタップする。</t>
  </si>
  <si>
    <t>ダークスティールの粗暴者像</t>
  </si>
  <si>
    <t>(３)：ダークスティールの粗暴者像はターン終了時まで、2/2のビースト(Beast)・アーティファクト・クリーチャーになる。</t>
  </si>
  <si>
    <t>野太刀</t>
  </si>
  <si>
    <t>装備しているクリーチャーは+2/+0の修整を受けるとともに先制攻撃を持つ。</t>
  </si>
  <si>
    <t>拷問者の三叉矛</t>
  </si>
  <si>
    <t>装備しているクリーチャーは+3/+0の修整を受けるとともに、各戦闘で可能なら攻撃する。</t>
  </si>
  <si>
    <t>セイレーンの歌竪琴</t>
  </si>
  <si>
    <t>装備しているクリーチャーは「(２),(Ｔ)：クリーチャー１体を対象とし、それをタップする。」を持つ。</t>
  </si>
  <si>
    <t>首吊り罠</t>
  </si>
  <si>
    <t>(２),(Ｔ)：クリーチャー１体を対象とし、それをタップする。</t>
  </si>
  <si>
    <t>精神嵐の冠</t>
  </si>
  <si>
    <t>あなたのアップキープの開始時に、このターンの開始時にあなたの手札にカードが１枚も無い場合、カードを１枚引く。あなたの手札にカードがある場合、精神嵐の冠はあなたに１点のダメージを与える。</t>
  </si>
  <si>
    <t>謎の石の断片</t>
  </si>
  <si>
    <t>謎の石の断片はタップ状態で戦場に出る。</t>
  </si>
  <si>
    <t>(Ｔ)：好きな色１色のマナ１点を加える。各プレイヤーはそれぞれ１点のライフを失う。</t>
  </si>
  <si>
    <t>あなたのアップキープの開始時に、各プレイヤーのライフがそれぞれ１０点以下であった場合、謎の石の断片を変身させる。</t>
  </si>
  <si>
    <t>エムラクールのオーロラ</t>
  </si>
  <si>
    <t>エルドラージ(Eldrazi)・反射(Reflection)</t>
  </si>
  <si>
    <t>飛行、接死</t>
  </si>
  <si>
    <t>エムラクールのオーロラが攻撃するたび、各対戦相手はそれぞれ３点のライフを失う。</t>
  </si>
  <si>
    <t>逆刺の戦具</t>
  </si>
  <si>
    <t>装備しているクリーチャーは+4/-1の修整を受ける。</t>
  </si>
  <si>
    <t>伍堂の大槌、天鎖</t>
  </si>
  <si>
    <t>伝説のアーティファクト</t>
  </si>
  <si>
    <t>装備しているクリーチャーは+1/+1の修整を受ける。それが伝説のクリーチャーであるかぎり、それはさらに+2/+2の修整を受ける。それが赤であるかぎり、それはトランプルを持つ。</t>
  </si>
  <si>
    <t>幽体の照明灯</t>
  </si>
  <si>
    <t>(Ｔ)：プレイヤーを１人選ぶ。そのプレイヤーは、自分が選んだ好きな色１色のマナ１点を自分のマナ・プールに加える。</t>
  </si>
  <si>
    <t>フォライアスのトーテム像</t>
  </si>
  <si>
    <t>(４)(R)：ターン終了時まで、フォライアスのトーテム像はトランプルを持つ赤の4/4の巨人(Giant)アーティファクト・クリーチャーになる。</t>
  </si>
  <si>
    <t>フォライアスのトーテム像がクリーチャーであるかぎり、各戦闘で追加で１体のクリーチャーをブロックできる。</t>
  </si>
  <si>
    <t>戦の角笛</t>
  </si>
  <si>
    <t>ケフネトの碑</t>
  </si>
  <si>
    <t>あなたが青のクリーチャー呪文を唱えるためのコストは(１)少なくなる。</t>
  </si>
  <si>
    <t>あなたがクリーチャー呪文を１つ唱えるたび、対戦相手がコントロールするクリーチャー１体を対象とする。それは、それのコントローラーの次のアンタップ・ステップにアンタップしない。</t>
  </si>
  <si>
    <t>秘儀大全</t>
  </si>
  <si>
    <t>(３),(Ｔ)：カードを１枚引く。</t>
  </si>
  <si>
    <t>浪人の戦棍</t>
  </si>
  <si>
    <t>あなたのコントロール下でクリーチャーが１体戦場に出るたび、それに浪人の戦棍をつける。</t>
  </si>
  <si>
    <t>野生の大魔術師の杖</t>
  </si>
  <si>
    <t>あなたが緑の呪文を１つ唱えるか森(Forest)が１つあなたのコントロール下で戦場に出るたび、あなたは１点のライフを得る。</t>
  </si>
  <si>
    <t>ウェザーシードのトーテム像</t>
  </si>
  <si>
    <t>(２)(G)(G)(G)：ウェザーシードのトーテム像はターン終了時まで、トランプルを持つ緑の5/3のツリーフォーク(Treefolk)・アーティファクト・クリーチャーになる。</t>
  </si>
  <si>
    <t>ウェザーシードのトーテム像が戦場からいずれかの墓地に置かれたとき、それがクリーチャーであった場合、そのカードをオーナーの手札に戻す。</t>
  </si>
  <si>
    <t>レオニンの刃罠</t>
  </si>
  <si>
    <t>(２),レオニンの刃罠を生け贄に捧げる：これは飛行を持たない各攻撃しているクリーチャーにそれぞれ２点のダメージを与える。</t>
  </si>
  <si>
    <t>団旗の刃</t>
  </si>
  <si>
    <t>装備しているクリーチャーは、あなたがコントロールするクリーチャー１体につき+1/+1の修整を受ける。</t>
  </si>
  <si>
    <t>つむじ風製造機</t>
  </si>
  <si>
    <t>(４),(Ｔ)：飛行を持つ無色の1/1の飛行機械(Thopter)アーティファクト・クリーチャー・トークンを１体生成する。</t>
  </si>
  <si>
    <t>キマイラ卵</t>
  </si>
  <si>
    <t>対戦相手１人がアーティファクトでない呪文を唱えるたび、キマイラ卵の上に蓄積(charge)カウンターを１個置く。</t>
  </si>
  <si>
    <t>キマイラ卵から蓄積カウンターを３個取り除く：キマイラ卵はターン終了時まで、トランプルを持つ6/6の構築物(Construct)アーティファクト・クリーチャーになる。</t>
  </si>
  <si>
    <t>天使の墳墓</t>
  </si>
  <si>
    <t>あなたのコントロール下でクリーチャーが１体戦場に出るたび、あなたは「天使の墳墓はターン終了時まで飛行を持つ白の3/3の天使(Angel)アーティファクト・クリーチャーになる」ことを選んでもよい。</t>
  </si>
  <si>
    <t>ドロモカの碑</t>
  </si>
  <si>
    <t>(４)(G)(W)：ターン終了時まで、ドロモカの碑は飛行を持つ緑であり白である4/4のドラゴン(Dragon)・アーティファクト・クリーチャーになる。</t>
  </si>
  <si>
    <t>シルムガルの碑</t>
  </si>
  <si>
    <t>(４)(U)(B)：ターン終了時まで、シルムガルの碑は飛行を持つ青であり黒である4/4のドラゴン(Dragon)・アーティファクト・クリーチャーになる。</t>
  </si>
  <si>
    <t>大将軍の斧</t>
  </si>
  <si>
    <t>装備しているクリーチャーは+3/+1の修整を受ける。</t>
  </si>
  <si>
    <t>際限無き成長の祭殿</t>
  </si>
  <si>
    <t>あなたのアップキープの開始時か、あなたが緑の呪文を唱えるたび、際限無き成長の祭殿の上に蓄積(charge)カウンターを１個置く。</t>
  </si>
  <si>
    <t>(Ｔ),際限無き成長の祭殿を生け贄に捧げる：あなたのマナ・プールに、際限無き成長の祭殿の上に置かれていた蓄積カウンター１個につき(◇)を加える。</t>
  </si>
  <si>
    <t>シミックの魔鍵</t>
  </si>
  <si>
    <t>(G)(U)：シミックの魔鍵はターン終了時まで、呪禁を持つ緑であり青である2/3のカニ(Crab)・アーティファクト・クリーチャーになる。（これは、あなたの対戦相手がコントロールする呪文や能力の対象にならない。）</t>
  </si>
  <si>
    <t>喧嘩屋の板金鎧</t>
  </si>
  <si>
    <t>装備しているクリーチャーは+2/+2の修整を受けるとともにトランプルを持つ。（それは余剰の戦闘ダメージを、それが攻撃しているプレイヤーかプレインズウォーカーに与えることができる。）</t>
  </si>
  <si>
    <t>水晶の破片</t>
  </si>
  <si>
    <t>(３),(Ｔ)または(U),(Ｔ)：クリーチャー１体を対象とし、それを、それのコントローラーが(１)を支払わないかぎり、オーナーの手札に戻す。</t>
  </si>
  <si>
    <t>原始物の粉</t>
  </si>
  <si>
    <t>(４)(W),(Ｔ),原始物の粉を生け贄に捧げる：あなたの墓地にあるアーティファクト・カード１枚を対象とし、それを戦場に戻す。</t>
  </si>
  <si>
    <t>ファイレクシアの蔵</t>
  </si>
  <si>
    <t>(２),(Ｔ),クリーチャーを１体、生け贄に捧げる：カードを１枚引く。</t>
  </si>
  <si>
    <t>ハゾレトの碑</t>
  </si>
  <si>
    <t>あなたが赤のクリーチャー呪文を唱えるためのコストは(１)少なくなる。</t>
  </si>
  <si>
    <t>あなたがクリーチャー呪文を１つ唱えるたび、あなたはカード１枚を捨ててもよい。そうしたなら、カードを１枚引く。</t>
  </si>
  <si>
    <t>迷いし者の祭壇</t>
  </si>
  <si>
    <t>迷いし者の祭壇はタップ状態で戦場に出る。</t>
  </si>
  <si>
    <t>(Ｔ)：好きな色の組み合わせのマナ２点を加える。これらのマナは、いずれかの墓地にあるフラッシュバックを持つ呪文を唱えるためにのみ支払うことができる。</t>
  </si>
  <si>
    <t>太陽の大魔術師の杖</t>
  </si>
  <si>
    <t>あなたが白の呪文を１つ唱えるか平地(Plains)が１つあなたのコントロール下で戦場に出るたび、あなたは１点のライフを得る。</t>
  </si>
  <si>
    <t>雷のトーテム像</t>
  </si>
  <si>
    <t>(１)(W)(W)：雷のトーテム像はターン終了時まで、飛行と先制攻撃を持つ白の2/2のスピリット(Spirit)・アーティファクト・クリーチャーになる。</t>
  </si>
  <si>
    <t>汚れた印章</t>
  </si>
  <si>
    <t>(Ｔ),汚れた印章を生け贄に捧げる：あなたは、このターンにすべてのプレイヤーが失ったライフに等しい点数のライフを得る。（ダメージによりライフは失われる。）</t>
  </si>
  <si>
    <t>甲殻の外套</t>
  </si>
  <si>
    <t>装備しているクリーチャーは、+2/+2の修整を受けるとともに威迫を持つ。（それは２体以上のクリーチャーによってしかブロックされない。）</t>
  </si>
  <si>
    <t>変換室</t>
  </si>
  <si>
    <t>(２),(Ｔ)：いずれかの墓地にあるアーティファクト・カード１枚を対象とし、それを追放する。変換室の上に蓄積(charge)カウンターを１個置く。</t>
  </si>
  <si>
    <t>(２),(Ｔ),変換室から蓄積カウンターを１個取り除く：無色の3/3のゴーレム(Golem)・アーティファクト・クリーチャー・トークンを１体生成する。</t>
  </si>
  <si>
    <t>大剣</t>
  </si>
  <si>
    <t>爆破基地</t>
  </si>
  <si>
    <t xml:space="preserve">(Ｔ),クリーチャーを１体、生け贄に捧げる：クリーチャー１体かプレイヤー１人かプレインズウォーカー１体を対象とする。爆破基地は、それに１点のダメージを与える。 </t>
  </si>
  <si>
    <t>クリーチャーが１体戦場に出るたび、あなたは爆破基地をアンタップしてもよい。</t>
  </si>
  <si>
    <t>天使の武装</t>
  </si>
  <si>
    <t>装備しているクリーチャーは+2/+2の修整を受けるとともに飛行を持ち、それの他の色やタイプに加えて白の天使(Angel)である。</t>
  </si>
  <si>
    <t>セレズニアの魔鍵</t>
  </si>
  <si>
    <t>(G)(W)：セレズニアの魔鍵はターン終了時まで、緑であり白である3/3の狼(Wolf)アーティファクト・クリーチャーになる。</t>
  </si>
  <si>
    <t>応報の仮面</t>
  </si>
  <si>
    <t>装備しているクリーチャーをブロックできるすべてのクリーチャーはそれをブロックする。</t>
  </si>
  <si>
    <t>オルゾフの魔鍵</t>
  </si>
  <si>
    <t>(W)(B)：ターン終了時まで、オルゾフの魔鍵は絆魂を持つ白であり黒である1/4のスラル(Thrull)・アーティファクト・クリーチャーになる。</t>
  </si>
  <si>
    <t>時エイトグのトーテム像</t>
  </si>
  <si>
    <t>(１)(U)：ターン終了時まで、時エイトグのトーテム像は青の1/2のエイトグ(Atog)・アーティファクト・クリーチャーになる。</t>
  </si>
  <si>
    <t>(０)：ターン終了時まで、時エイトグのトーテム像は+3/+3の修整を受ける。あなたの次のターンを飛ばす。この能力は、各ターンに１回のみプレイでき、時エイトグのトーテム像がクリーチャーである場合にのみ起動できる。</t>
  </si>
  <si>
    <t>エーテリウムの天測儀</t>
  </si>
  <si>
    <t>(B),(Ｔ),アーティファクトを１つ生け贄に捧げる：カードを１枚引く。</t>
  </si>
  <si>
    <t>オジュタイの碑</t>
  </si>
  <si>
    <t>(４)(W)(U)：ターン終了時まで、オジュタイの碑は飛行を持つ白であり青である4/4のドラゴン(Dragon)・アーティファクト・クリーチャーになる。</t>
  </si>
  <si>
    <t>真珠の破片</t>
  </si>
  <si>
    <t>(３),(Ｔ)または(W),(Ｔ)：クリーチャー１体かプレインズウォーカー１体かプレイヤー１人を対象とする。このターン、それに与えられる次のダメージを２点軽減する。</t>
  </si>
  <si>
    <t>来世への門</t>
  </si>
  <si>
    <t>あなたがコントロールするトークンでないクリーチャーが１体死亡するたび、あなたは１点のライフを得る。その後、あなたはカードを１枚引いてもよい。そうしたなら、カード１枚を捨てる。</t>
  </si>
  <si>
    <t>(２),(Ｔ),来世への門を生け贄に捧げる：あなたの墓地やあなたの手札やあなたのライブラリーから《王神の贈り物/God-Pharaoh's Gift》という名前のカード１枚を探し、それを戦場に出す。これによりあなたのライブラリーからカードを探したなら、あなたのライブラリーを切り直す。この能力は、あなたの墓地にクリーチャー・カードが６枚以上あるときにのみ起動できる。</t>
  </si>
  <si>
    <t>ピストン式大槌</t>
  </si>
  <si>
    <t>ピストン式大槌が戦場に出たとき、あなたがコントロールするクリーチャー１体を対象とし、ピストン式大槌をそれにつける。</t>
  </si>
  <si>
    <t>装備 ― アーティファクトを１つ生け贄に捧げる。</t>
  </si>
  <si>
    <t>穿孔の刃</t>
  </si>
  <si>
    <t>装備しているクリーチャーが攻撃するたび、防御プレイヤーは自分のライブラリーのカードを一番上から土地カードが公開されるまで公開し続ける。そのクリーチャーは、ターン終了時までこれにより公開されたカード１枚につき+1/+0の修整を受ける。そのプレイヤーは、これにより公開されたカードを自分の墓地に置く。</t>
  </si>
  <si>
    <t>アゾリウスの魔鍵</t>
  </si>
  <si>
    <t>(W)(U)：ターン終了時まで、アゾリウスの魔鍵は飛行を持つ白であり青である2/2の鳥(Bird)アーティファクト・クリーチャーになる。</t>
  </si>
  <si>
    <t>精神の大魔術師の杖</t>
  </si>
  <si>
    <t>あなたが青の呪文を１つ唱えるか島(Island)が１つあなたのコントロール下で戦場に出るたび、あなたは１点のライフを得る。</t>
  </si>
  <si>
    <t>ファイレクシアのトーテム像</t>
  </si>
  <si>
    <t>(２)(B)：ターン終了時まで、ファイレクシアのトーテム像はトランプルを持つ黒の5/5のホラー(Horror)・アーティファクト・クリーチャーになる。</t>
  </si>
  <si>
    <t>ファイレクシアのトーテム像にダメージが与えられるたび、それがクリーチャーである場合、その点数に等しい数のパーマネントを生け贄に捧げる。</t>
  </si>
  <si>
    <t>炎叫びの杖</t>
  </si>
  <si>
    <t>装備しているクリーチャーは二段攻撃を持つ。（それは先制攻撃の戦闘ダメージと通常の戦闘ダメージの両方を与える。）</t>
  </si>
  <si>
    <t>骸骨の破片</t>
  </si>
  <si>
    <t>(３),(Ｔ)または(B),(Ｔ)：あなたの墓地にあるアーティファクト・クリーチャー・カード１枚を対象とし、それをあなたの手札に戻す。</t>
  </si>
  <si>
    <t>ラクドスの魔鍵</t>
  </si>
  <si>
    <t>(B)(R)：ターン終了時まで、ラクドスの魔鍵は先制攻撃を持つ黒であり赤である3/1のデビル(Devil)・アーティファクト・クリーチャーになる。</t>
  </si>
  <si>
    <t>ロクソドンの戦槌</t>
  </si>
  <si>
    <t>装備しているクリーチャーは+3/+0の修整を受けるとともに、トランプルと絆魂を持つ。</t>
  </si>
  <si>
    <t>融合する武具</t>
  </si>
  <si>
    <t>融合する武具がパーマネントからはずされるたび、そのパーマネントを生け贄に捧げる。</t>
  </si>
  <si>
    <t>適合の宝石</t>
  </si>
  <si>
    <t>(３),(Ｔ),適合の宝石を生け贄に捧げる：あなたのライブラリーから島(Island)カード１枚と沼(Swamp)カード１枚と山(Mountain)カード１枚を探す。それらのカードを公開し、あなたの手札に加える。その後、あなたのライブラリーを切り直す。</t>
  </si>
  <si>
    <t>グルールの魔鍵</t>
  </si>
  <si>
    <t>(R)(G)：ターン終了時まで、グルールの魔鍵はトランプルを持つ赤であり緑である3/2のビースト(Beast)・アーティファクト・クリーチャーになる。</t>
  </si>
  <si>
    <t>勝利の戦車</t>
  </si>
  <si>
    <t>装備しているクリーチャーは、先制攻撃とトランプルと速攻を持つ。</t>
  </si>
  <si>
    <t>コラガンの碑</t>
  </si>
  <si>
    <t>(４)(B)(R)：ターン終了時まで、コラガンの碑は飛行を持つ黒であり赤である4/4のドラゴン(Dragon)・アーティファクト・クリーチャーになる。</t>
  </si>
  <si>
    <t>迷惑エンジン</t>
  </si>
  <si>
    <t>(２),(Ｔ)：無色の0/1の邪魔者(Pest)アーティファクト・クリーチャー・トークンを１体生成する。</t>
  </si>
  <si>
    <t>血に飢えた斧</t>
  </si>
  <si>
    <t>装備しているクリーチャーは+4/+0の修整を受ける。</t>
  </si>
  <si>
    <t>あなたの終了ステップの開始時に、装備しているクリーチャーがこのターンにクリーチャーに戦闘ダメージを与えていなかった場合、装備しているクリーチャーを生け贄に捧げる。</t>
  </si>
  <si>
    <t>バントゥの碑</t>
  </si>
  <si>
    <t>あなたが黒のクリーチャー呪文を唱えるためのコストは(１)少なくなる。</t>
  </si>
  <si>
    <t>あなたがクリーチャー呪文を１つ唱えるたび、各対戦相手はそれぞれ１点のライフを失い、あなたは１点のライフを得る。</t>
  </si>
  <si>
    <t>雷鳴の杖</t>
  </si>
  <si>
    <t>雷鳴の杖がアンタップ状態であるかぎり、クリーチャーがあなたに戦闘ダメージを与える場合、そのダメージを１点軽減する。</t>
  </si>
  <si>
    <t>(２),(Ｔ)：ターン終了時まで、攻撃しているクリーチャーは+1/+0の修整を受ける。</t>
  </si>
  <si>
    <t>いかさま師の刃</t>
  </si>
  <si>
    <t>いかさま師の刃は、あなたが選んだあなたがコントロールするクリーチャー１体に装備された状態で戦場に出る。</t>
  </si>
  <si>
    <t>炎の大魔術師の杖</t>
  </si>
  <si>
    <t>あなたが赤の呪文を１つ唱えるか山(Mountain)が１つあなたのコントロール下で戦場に出るたび、あなたは１点のライフを得る。</t>
  </si>
  <si>
    <t>心材の破片</t>
  </si>
  <si>
    <t>(３),(Ｔ)または(G),(Ｔ)：クリーチャー１体を対象とする。それはターン終了時までトランプルを得る。</t>
  </si>
  <si>
    <t>血清の水槽</t>
  </si>
  <si>
    <t>血清の水槽か他のアーティファクトが戦場に出るたび、血清の水槽の上に蓄積(charge)カウンターを１個置く。</t>
  </si>
  <si>
    <t>(３),(Ｔ),血清の水槽の上から蓄積カウンターを１個取り除く：カードを１枚引く。</t>
  </si>
  <si>
    <t>刃のブーメラン</t>
  </si>
  <si>
    <t>装備しているクリーチャーは「(Ｔ),刃のブーメランを外す：クリーチャー１体かプレインズウォーカー１体かプレイヤー１人を対象とする。これはそれに１点のダメージを与える。刃のブーメランをオーナーの手札に戻す。」を持つ。</t>
  </si>
  <si>
    <t>製造機構</t>
  </si>
  <si>
    <t>あなたが(Ｅ)（エネルギー・カウンター）を１つ以上得るたび、あなたがコントロールするクリーチャー１体を対象とし、それの上に+1/+1カウンターを１個置く。</t>
  </si>
  <si>
    <t>(４),(Ｔ)：あなたは(Ｅ)を得る。</t>
  </si>
  <si>
    <t>ロナスの碑</t>
  </si>
  <si>
    <t>あなたが緑のクリーチャー呪文を唱えるためのコストは(１)少なくなる。</t>
  </si>
  <si>
    <t>あなたがクリーチャー呪文を１つ唱えるたび、あなたがコントロールするクリーチャー１体を対象とする。ターン終了時まで、それは+2/+2の修正を受けるとともにトランプルを得る。</t>
  </si>
  <si>
    <t>針金バエの巣</t>
  </si>
  <si>
    <t>(３),(Ｔ)：コインを１枚投げる。あなたがコイン投げに勝った場合、《針金バエ/Wirefly》という名前の、飛行を持つ無色の2/2の昆虫(Insect)アーティファクト・クリーチャー・トークンを１体生成する。あなたがコイン投げに負けた場合、《針金バエ/Wirefly》という名前のすべてのパーマネントを破壊する。</t>
  </si>
  <si>
    <t>帝国の王笏</t>
  </si>
  <si>
    <t>(Ｔ)：プレイヤー１人を対象とする。帝国の王笏はそのプレイヤーに１点のダメージを与える。あなたが《帝国の王冠/Crown of Empires》という名前のアーティファクトと《帝国の玉座/Throne of Empires》という名前のアーティファクトをコントロールしている場合、代わりにそれはそのプレイヤーに３点のダメージを与える。</t>
  </si>
  <si>
    <t>壁の守部</t>
  </si>
  <si>
    <t>壁の守部はタップ状態で戦場に出る。</t>
  </si>
  <si>
    <t>あなたのターンでないかぎり、壁の守部は飛行を持つ2/3のガーゴイル(Gargoyle)・アーティファクト・クリーチャーである。</t>
  </si>
  <si>
    <t>イゼットの魔鍵</t>
  </si>
  <si>
    <t>(U)(R)：ターン終了時まで、イゼットの魔鍵は青であり赤である2/1のエレメンタル(Elemental)・アーティファクト・クリーチャーになる。</t>
  </si>
  <si>
    <t>イゼットの魔鍵がプレイヤー１人に戦闘ダメージを与えるたび、あなたはカードを１枚引いてもよい。そうしたなら、カードを１枚捨てる。</t>
  </si>
  <si>
    <t>拡大鏡</t>
  </si>
  <si>
    <t>(４),(Ｔ)：調査を行う。（「(２),このアーティファクトを生け贄に捧げる：カードを１枚引く。」を持つ無色の手掛かり(Clue)アーティファクト・トークンを１つ生成する。）</t>
  </si>
  <si>
    <t>水晶球</t>
  </si>
  <si>
    <t>(１),(Ｔ)：占術２を行う。（あなたのライブラリーの一番上から２枚のカードを見て、そのうちの望む枚数のカードを望む順番であなたのライブラリーの一番下に置き、残りを望む順番で一番上に置く。）</t>
  </si>
  <si>
    <t>九輪杖</t>
  </si>
  <si>
    <t>(Ｔ)：スピリット(Spirit)・クリーチャー１体を対象とする。九輪杖はそれに１点のダメージを与える。このターン、そのクリーチャーが死亡する場合、代わりにそれを追放する。</t>
  </si>
  <si>
    <t>終わりなき休息の器</t>
  </si>
  <si>
    <t>終わりなき休息の器が戦場に出たとき、いずれかの墓地にあるカード１枚を対象とし、それをオーナーのライブラリーの一番下に置く。</t>
  </si>
  <si>
    <t>ディミーアの魔鍵</t>
  </si>
  <si>
    <t>(U)(B)：ターン終了時まで、ディミーアの魔鍵は青であり黒である2/2のホラー(Horror)・アーティファクト・クリーチャーになる。このターン、これはブロックされない。</t>
  </si>
  <si>
    <t>暗黒のマントル</t>
  </si>
  <si>
    <t>装備しているクリーチャーは「(３),(Ｑ)：このクリーチャーは、ターン終了時まで+2/+2の修整を受ける。」を持つ。（(Ｑ)はアンタップ・シンボルである。）</t>
  </si>
  <si>
    <t>門破り</t>
  </si>
  <si>
    <t>門破りはタフネスが４以上のクリーチャーにのみつけることができる。</t>
  </si>
  <si>
    <t>処刑者の大包丁</t>
  </si>
  <si>
    <t>装備しているクリーチャーは+3/+1の修整を受けるとともに、可能ならエルドラージ(Eldrazi)でブロックされなければならない。</t>
  </si>
  <si>
    <t>権威の殿堂</t>
  </si>
  <si>
    <t>(１),(Ｔ)：クリーチャー１体を対象とする。このターン、それでは攻撃できない。権威の殿堂の上に石材(brick)カウンターを１個置く。</t>
  </si>
  <si>
    <t>(１),(Ｔ)：クリーチャー１体を対象とする。あなたの次のターンまで、それでは攻撃したりブロックしたりできず、それの起動型能力は起動できない。この能力は、権威の殿堂の上に石材カウンターが３個以上置かれているときにのみ起動できる。</t>
  </si>
  <si>
    <t>限界無き力の祭殿</t>
  </si>
  <si>
    <t>あなたのアップキープの開始時か、あなたが黒の呪文を唱えるたび、限界無き力の祭殿の上に蓄積(charge)カウンターを１個置く。</t>
  </si>
  <si>
    <t>(４),(Ｔ),限界無き力の祭殿を生け贄に捧げる：プレイヤー１人を対象とする。そのプレイヤーは、限界無き力の祭殿の上に置かれていた蓄積カウンター１個につきカードを１枚捨てる。</t>
  </si>
  <si>
    <t>名誉に磨り減った笏</t>
  </si>
  <si>
    <t>あなたがコントロールする、アンタップ状態の伝説のパーマネント１つをタップする：名誉に磨り減った笏をアンタップする。</t>
  </si>
  <si>
    <t>死の大魔術師の杖</t>
  </si>
  <si>
    <t>あなたが黒の呪文を１つ唱えるか沼(Swamp)が１つあなたのコントロール下で戦場に出るたび、あなたは１点のライフを得る。</t>
  </si>
  <si>
    <t>ドラゴンの血</t>
  </si>
  <si>
    <t>(３),(Ｔ)：クリーチャー１体を対象とする。その上に+1/+1カウンターを１個置く。</t>
  </si>
  <si>
    <t>花崗岩の破片</t>
  </si>
  <si>
    <t>(３),(Ｔ)または(R),(Ｔ)：クリーチャー１体かプレインズウォーカー１体かプレイヤー１人を対象とする。花崗岩の破片はそれに１点のダメージを与える。</t>
  </si>
  <si>
    <t>装備しているクリーチャーが攻撃するたび、それはそれのパワーに等しい点数のダメージをそれが攻撃しているプレイヤーかプレインズウォーカーに与える。</t>
  </si>
  <si>
    <t>ヴァルショクの戦具</t>
  </si>
  <si>
    <t>装備しているクリーチャーは+3/+3の修整を受ける。</t>
  </si>
  <si>
    <t>大石弓</t>
  </si>
  <si>
    <t>装備しているクリーチャーは、それのコントローラーのアンタップ・ステップにアンタップしない。</t>
  </si>
  <si>
    <t>装備しているクリーチャーは「(Ｔ)：クリーチャー１体かプレインズウォーカー１体かプレイヤー１人を対象とする。このクリーチャーはそれに２点のダメージを与える。」を持つ。</t>
  </si>
  <si>
    <t>オケチラの碑</t>
  </si>
  <si>
    <t>あなたが白のクリーチャー呪文を唱えるためのコストは(１)少なくなる。</t>
  </si>
  <si>
    <t>あなたがクリーチャー呪文を１つ唱えるたび、警戒を持つ白の1/1の戦士(Warrior)クリーチャー・トークンを１体生成する。</t>
  </si>
  <si>
    <t>ゴルガリの魔鍵</t>
  </si>
  <si>
    <t>(B)(G)：ターン終了時まで、ゴルガリの魔鍵は接死を持つ黒であり緑である2/2の昆虫(Insect)アーティファクト・クリーチャーになる。</t>
  </si>
  <si>
    <t>憑依の外套</t>
  </si>
  <si>
    <t>装備しているクリーチャーは警戒とトランプルと速攻を持つ。</t>
  </si>
  <si>
    <t>魂込めの円月刀</t>
  </si>
  <si>
    <t>(３)：魂込めの円月刀はターン終了時まで、飛行を持つ1/5のスピリット(Spirit)・アーティファクト・クリーチャーになる。</t>
  </si>
  <si>
    <t>装備しているクリーチャーは+1/+5の修整を受ける。</t>
  </si>
  <si>
    <t>ボロスの魔鍵</t>
  </si>
  <si>
    <t>(R)(W)：ターン終了時まで、ボロスの魔鍵は二段攻撃を持つ赤であり白である1/1の兵士(Soldier)アーティファクト・クリーチャーになる。（これは先制攻撃の戦闘ダメージと通常の戦闘ダメージの両方を与える。）</t>
  </si>
  <si>
    <t>アタルカの碑</t>
  </si>
  <si>
    <t>(４)(R)(G)：ターン終了時まで、アタルカの碑は飛行を持つ赤であり緑である4/4のドラゴン(Dragon)・アーティファクト・クリーチャーになる。</t>
  </si>
  <si>
    <t>破滅のロッド</t>
  </si>
  <si>
    <t>(３),(Ｔ)：クリーチャー１体かプレイヤー１人を対象とする。破滅のロッドはそれに１点のダメージを与える。</t>
  </si>
  <si>
    <t>宝石の陣列</t>
  </si>
  <si>
    <t>(２)：宝石の陣列の上に蓄積(charge)カウンターを１個置く。</t>
  </si>
  <si>
    <t>宝石の陣列から蓄積カウンターを１個取り除く：好きな色１色のマナ１点を加える。</t>
  </si>
  <si>
    <t>エーテル鋳込みの紙片</t>
  </si>
  <si>
    <t>・あなたのライブラリーの一番上のカードを見る。その後、あなたはそのカードをあなたの墓地に置いてもよい。</t>
  </si>
  <si>
    <t>・各対戦相手は、それぞれ１点のライフを失う。</t>
  </si>
  <si>
    <t>生体融合外骨格</t>
  </si>
  <si>
    <t>装備しているクリーチャーは+2/+2の修整を受けるとともに感染を持つ。（それは、クリーチャーに-1/-1カウンターの形でダメージを与え、プレイヤーに毒(poison)カウンターの形でダメージを与える。）</t>
  </si>
  <si>
    <t>生体融合外骨格がいずれかのパーマネントからはずれるたび、そのパーマネントを生け贄に捧げる。</t>
  </si>
  <si>
    <t>装備しているクリーチャーは+2/+2の修整を受けるとともに飛行を持つ。</t>
  </si>
  <si>
    <t>ゲスの呪文書</t>
  </si>
  <si>
    <t>対戦相手がカードを捨てるたび、あなたはカードを１枚引いてもよい。</t>
  </si>
  <si>
    <t>頭蓋の檻</t>
  </si>
  <si>
    <t>各対戦相手のアップキープの開始時に、そのプレイヤーの手札のカードの枚数がちょうど３枚か４枚でないかぎり、頭蓋の檻はそのプレイヤーに２点のダメージを与える。</t>
  </si>
  <si>
    <t>ジェイムデー秘本</t>
  </si>
  <si>
    <t>(４),(Ｔ)：カードを１枚引く。</t>
  </si>
  <si>
    <t>有象無象の大砲</t>
  </si>
  <si>
    <t>(４),(Ｔ),クリーチャーを１体、生け贄に捧げる：クリーチャー１体を対象とする。有象無象の大砲はそれに４点のダメージを与える。</t>
  </si>
  <si>
    <t>前兆の時計</t>
  </si>
  <si>
    <t>あなたがコントロールするアンタップ状態のアーティファクトを２つタップする：アーティファクト１つを対象とし、それをアンタップする。</t>
  </si>
  <si>
    <t>魔術師の金庫</t>
  </si>
  <si>
    <t>(２),(Ｔ)：コインを１枚投げる。あなたがコイン投げに勝った場合、魔術師の金庫を生け贄に捧げるとともにカードを３枚引く。</t>
  </si>
  <si>
    <t>氷の干渉器</t>
  </si>
  <si>
    <t>(１),(Ｔ)：アーティファクト１つかクリーチャー１体か土地１つを対象とし、それをタップする。</t>
  </si>
  <si>
    <t>ゴブリンの大砲</t>
  </si>
  <si>
    <t>(２)：クリーチャー１体かプレインズウォーカー１体かプレイヤー１人を対象とする。ゴブリンの大砲はそれに１点のダメージを与える。ゴブリンの大砲を生け贄に捧げる。</t>
  </si>
  <si>
    <t>節くれの彫像</t>
  </si>
  <si>
    <t>(４),(Ｔ)：クリーチャー１体を対象とする。それの上に-1/-1カウンターを１個置く。</t>
  </si>
  <si>
    <t>ゴブリンの爆裂樽</t>
  </si>
  <si>
    <t>あなたのアップキープの開始時に、ゴブリンの爆裂樽を生け贄に捧げる。</t>
  </si>
  <si>
    <t>ゴブリンの爆裂樽が戦場から墓地に置かれたとき、クリーチャー１体かプレインズウォーカー１体かプレイヤー１人を対象とする。ゴブリンの爆裂樽はそれに３点のダメージを与える。</t>
  </si>
  <si>
    <t>殺人者の斧</t>
  </si>
  <si>
    <t>装備 ― カードを１枚捨てる。</t>
  </si>
  <si>
    <t>感染の三角護符</t>
  </si>
  <si>
    <t>感染の三角護符は、その上に蓄積(charge)カウンターが３個置かれた状態で戦場に出る。</t>
  </si>
  <si>
    <t>(G)(G),(Ｔ)：感染の三角護符の上に蓄積カウンターを１個置く。</t>
  </si>
  <si>
    <t>(２),(Ｔ),感染の三角護符から蓄積カウンターを１個取り除く：感染を持つ緑の1/1の昆虫(Insect)クリーチャー・トークンを１体生成する。</t>
  </si>
  <si>
    <t>悪魔の長帷子</t>
  </si>
  <si>
    <t>装備 ― クリーチャーを１体生け贄に捧げる。</t>
  </si>
  <si>
    <t>翡翠の彫像</t>
  </si>
  <si>
    <t>あなたがスピリット(Spirit)呪文か秘儀(Arcane)呪文を唱えるたび、翡翠の彫像はターン終了時まで、4/4のスピリット・アーティファクト・クリーチャーになる。</t>
  </si>
  <si>
    <t>マナ力の鎚鉾</t>
  </si>
  <si>
    <t>版図 ― 装備しているクリーチャーは、あなたがコントロールする土地の中の基本土地タイプ１種につき+1/+1の修整を受ける。</t>
  </si>
  <si>
    <t>極楽の羽飾り</t>
  </si>
  <si>
    <t>極楽の羽飾りが戦場に出るに際し、色を１色選ぶ。</t>
  </si>
  <si>
    <t>プレイヤー１人が選ばれた色の呪文を唱えるたび、あなたは１点のライフを得てもよい。</t>
  </si>
  <si>
    <t>堕落の三角護符</t>
  </si>
  <si>
    <t>堕落の三角護符は、その上に蓄積(charge)カウンターが３個置かれた状態で戦場に出る。</t>
  </si>
  <si>
    <t>(B)(B),(Ｔ)：堕落の三角護符の上に蓄積カウンターを１個置く。</t>
  </si>
  <si>
    <t>(２),(Ｔ),堕落の三角護符から蓄積カウンターを１個取り除く：クリーチャー１体を対象とし、それの上に-1/-1カウンターを１個置く。</t>
  </si>
  <si>
    <t>注入の矢</t>
  </si>
  <si>
    <t>(Ｔ),注入の矢から蓄積カウンターをX個取り除く：クリーチャー１体を対象とする。それはターン終了時まで-X/-Xの修整を受ける。</t>
  </si>
  <si>
    <t>星霜のつづれ織り</t>
  </si>
  <si>
    <t>(２),(Ｔ)：カードを１枚引く。この能力は、このターンにあなたがクリーチャーでない呪文を唱えていたときにのみ起動できる。</t>
  </si>
  <si>
    <t>哀悼者の盾</t>
  </si>
  <si>
    <t>刻印 ― 哀悼者の盾が戦場に出たとき、あなたは墓地にあるカード１枚を対象とし、それを追放してもよい。</t>
  </si>
  <si>
    <t>(２),(Ｔ)：このターン、その追放されたカードと同じ色を共有する、あなたが選んだ発生源１つによって与えられるすべてのダメージを軽減する。</t>
  </si>
  <si>
    <t>カルニの宝石</t>
  </si>
  <si>
    <t>カルニの宝石が戦場に出たとき、あなたがコントロールする土地を２つオーナーの手札に戻す。</t>
  </si>
  <si>
    <t>(Ｔ)：好きな色１色のマナ２点を加える。</t>
  </si>
  <si>
    <t>クラーク族の鉄工所</t>
  </si>
  <si>
    <t>アーティファクトを１つ生け贄に捧げる：(◇)(◇)を加える。</t>
  </si>
  <si>
    <t>困惑の石</t>
  </si>
  <si>
    <t>面晶体の記録庫</t>
  </si>
  <si>
    <t>(Ｔ)：(◇)(◇)を加える。</t>
  </si>
  <si>
    <t>(２),(Ｔ),面晶体の記録庫を生け贄に捧げる：カードを２枚引く。</t>
  </si>
  <si>
    <t>苦痛の鉤爪</t>
  </si>
  <si>
    <t>あなたがコントロールする、苦痛の鉤爪以外の発生源が対戦相手にダメージを与えるたび、苦痛の鉤爪の上に蓄積(charge)カウンターを１個置く。</t>
  </si>
  <si>
    <t>(Ｘ),(Ｔ),苦痛の鉤爪から蓄積カウンターをＸ個取り除く：クリーチャー１体かプレイヤー１人を対象とする。苦痛の鉤爪はそれにＸ点のダメージを与える。</t>
  </si>
  <si>
    <t>孤立の監房</t>
  </si>
  <si>
    <t>対戦相手１人がクリーチャー呪文を唱えるたび、そのプレイヤーは(２)を支払わないかぎり２点のライフを失う。</t>
  </si>
  <si>
    <t>頭蓋骨酒の大鍋</t>
  </si>
  <si>
    <t>(Ｔ),カードを１枚捨てる：あなたは３点のライフを得る。</t>
  </si>
  <si>
    <t>思考の三角護符</t>
  </si>
  <si>
    <t>思考の三角護符は、その上に蓄積(charge)カウンターが３個置かれた状態で戦場に出る。</t>
  </si>
  <si>
    <t>(U)(U),(Ｔ)：思考の三角護符の上に蓄積カウンターを１個置く。</t>
  </si>
  <si>
    <t>(２),(Ｔ),思考の三角護符から蓄積カウンターを１個取り除く：カードを１枚引く。</t>
  </si>
  <si>
    <t>バリスタ突撃車が攻撃するたび、クリーチャー１体かプレイヤー１人かプレインズウォーカー１体を対象とする。バリスタ突撃車はそれに１点のダメージを与える。</t>
  </si>
  <si>
    <t>思考の牢獄</t>
  </si>
  <si>
    <t>刻印 ― 思考の牢獄が戦場に出たとき、プレイヤー１人を対象とする。あなたはそのプレイヤーの手札を公開させてもよい。そうした場合、そこから土地でないカードを１枚選び、それを追放する。</t>
  </si>
  <si>
    <t>プレイヤー１人がその追放されているカードと共通の色または点数で見たマナ・コストを持つ呪文を唱えるたび、思考の牢獄はそのプレイヤーに２点のダメージを与える。</t>
  </si>
  <si>
    <t>光る折り書</t>
  </si>
  <si>
    <t>(１),(Ｔ),あなたの手札から、共通の色１色を持つカードを２枚公開する：カードを１枚引く。</t>
  </si>
  <si>
    <t>憤怒の抽出機</t>
  </si>
  <si>
    <t>(４)(赤/Φ)</t>
  </si>
  <si>
    <t>あなたがマナ・コストに(Φ)を含む呪文を１つ唱えるたび、クリーチャー１体かプレインズウォーカー１体かプレイヤー１人を対象とする。憤怒の抽出機はそれに、その呪文の点数で見たマナ・コストに等しい点数のダメージを与える。</t>
  </si>
  <si>
    <t>遠見の仮面</t>
  </si>
  <si>
    <t>対戦相手がコントロールする発生源があなたにダメージを与えるたび、遠見の仮面がアンタップ状態である場合、あなたはカードを１枚引いてもよい。</t>
  </si>
  <si>
    <t>装備しているクリーチャーは+2/+4の修整を受けるとともに到達を持つ。</t>
  </si>
  <si>
    <t>隕石</t>
  </si>
  <si>
    <t>隕石が戦場に出たとき、クリーチャー１体かプレインズウォーカー１体かプレイヤー１人を対象とする。隕石はそれに２点のダメージを与える。</t>
  </si>
  <si>
    <t>空民の雲の双輪車</t>
  </si>
  <si>
    <t>(２)：あなたがコントロールするクリーチャー１体を対象とする。それはターン終了時まで飛行を得る。</t>
  </si>
  <si>
    <t>(２)：あなたがコントロールするクリーチャー１体を対象とする。このターン、それに与えられる戦闘ダメージと、それが与えるすべての戦闘ダメージを軽減する。</t>
  </si>
  <si>
    <t>夢石の面晶体</t>
  </si>
  <si>
    <t>(Ｔ)：(◇)(◇)(◇)を加える。</t>
  </si>
  <si>
    <t>(３),(Ｔ),夢石の面晶体を生け贄に捧げる：カードを３枚引く。</t>
  </si>
  <si>
    <t>装備しているクリーチャーは+3/+1の修整を受けるとともに速攻を持つ。</t>
  </si>
  <si>
    <t>搭乗５（あなたがコントロールする望む数のクリーチャーを、パワーの合計が５以上になるように選んでタップする：ターン終了時まで、この機体(Vehicle)はアーティファクト・クリーチャーになる。）</t>
  </si>
  <si>
    <t>虚空の杯</t>
  </si>
  <si>
    <t>(Ｘ)(Ｘ)</t>
  </si>
  <si>
    <t>虚空の杯はその上にＸ個の蓄積(charge)カウンターが置かれた状態で戦場に出る。</t>
  </si>
  <si>
    <t>プレイヤーが、この上に置かれている蓄積カウンターに等しい点数で見たマナ・コストを持つ呪文を１つ唱えるたび、その呪文を打ち消す。</t>
  </si>
  <si>
    <t>大蛇の孵卵器</t>
  </si>
  <si>
    <t>大蛇の孵卵器はその上にＸ個の蓄積(charge)カウンターが置かれた状態で戦場に出る。</t>
  </si>
  <si>
    <t>(５),(Ｔ)：大蛇の孵卵器の上に置かれている蓄積カウンター１個につき、緑の1/1の蛇(Snake)クリーチャー・トークンを１体生成する。</t>
  </si>
  <si>
    <t>仕組まれた爆薬</t>
  </si>
  <si>
    <t>(２),仕組まれた爆薬を生け贄に捧げる：点数で見たマナ・コストが、仕組まれた爆薬の上に置かれた蓄積カウンターの数に等しい、土地でない各パーマネントを破壊する。</t>
  </si>
  <si>
    <t>卓越の印章</t>
  </si>
  <si>
    <t>卓越の印章は、その上に蓄積(charge)カウンターがＸ個置かれた状態で戦場に出る。</t>
  </si>
  <si>
    <t>装備しているクリーチャーは、卓越の印章の上に置かれている蓄積カウンター１個につき+1/+1の修整を受ける。</t>
  </si>
  <si>
    <t>装備 ― 卓越の印章から蓄積カウンターを１個取り除く。</t>
  </si>
  <si>
    <t>睡蓮の花</t>
  </si>
  <si>
    <t>待機３ ― (０)（このカードをあなたの手札から唱えるのではなく、(０)を支払うとともにそれを時間(time)カウンターが３個置かれた状態で追放する。あなたのアップキープの開始時に、時間カウンターを１個取り除く。最後の１個を取り除いたとき、それをそのマナ・コストを支払うことなく唱える。）</t>
  </si>
  <si>
    <t>(Ｔ),睡蓮の花を生け贄に捧げる：好きな色１色のマナ３点を加える。</t>
  </si>
  <si>
    <t>霊体のヤギ角</t>
  </si>
  <si>
    <t>(Ｘ)(Ｘ)(Ｘ)</t>
  </si>
  <si>
    <t>霊体のヤギ角は、蓄積(charge)カウンターがＸ個置かれた状態で戦場に出る。</t>
  </si>
  <si>
    <t>(Ｔ)：色を１つ選ぶ。霊体のヤギ角の上に置かれた蓄積カウンター１個につき、その色のマナ１点を加える。</t>
  </si>
  <si>
    <t>金属モックス</t>
  </si>
  <si>
    <t>刻印 ― 金属モックスが戦場に出たとき、あなたの手札にあるアーティファクトでも土地でもないカードを１枚、追放してもよい。</t>
  </si>
  <si>
    <t>(Ｔ)：その追放されたカードと共通する好きな色のマナ１点を加える。</t>
  </si>
  <si>
    <t>キマイラ的大群</t>
  </si>
  <si>
    <t>キマイラ的大群は蓄積(charge)カウンターがＸ個置かれた状態で戦場に出る。</t>
  </si>
  <si>
    <t>(１)：ターン終了時まで、キマイラ的大群は「このクリーチャーのパワーとタフネスは、それぞれそれの上に置かれている蓄積カウンターの数に等しい。」を持つ構築物(Construct)アーティファクト・クリーチャーになる。</t>
  </si>
  <si>
    <t>精力の護符</t>
  </si>
  <si>
    <t>あなたのコントロール下で、パーマネントが１つタップ状態で戦場に出るたび、それをアンタップする。</t>
  </si>
  <si>
    <t>嘘つきの振り子</t>
  </si>
  <si>
    <t>(２),(Ｔ)：カード名を１つ選ぶ。対戦相手１人を対象とし、そのプレイヤーはあなたの手札にその名前のカードがあるか予想する。あなたはあなたの手札を公開してもよい。もしあなたがそうして、あなたの対戦相手の予想が間違えていたなら、カードを１枚引く。</t>
  </si>
  <si>
    <t>幽霊火の刃</t>
  </si>
  <si>
    <t>これが無色のクリーチャーを対象としたなら、幽霊火の刃の装備能力を起動するためのコストは(２)少なくなる。</t>
  </si>
  <si>
    <t>墓掘りの檻</t>
  </si>
  <si>
    <t>クリーチャー・カードは墓地やライブラリーから戦場に出ることができない。</t>
  </si>
  <si>
    <t>プレイヤーは墓地やライブラリーから呪文を唱えられない。</t>
  </si>
  <si>
    <t>血の長の刃</t>
  </si>
  <si>
    <t>クリーチャー１体が死亡するたび、装備しているクリーチャーの上に+1/+1カウンターを１個置く。装備しているクリーチャーが吸血鬼(Vampire)である場合、代わりにそれの上に+1/+1カウンターを２個置く。</t>
  </si>
  <si>
    <t>化身の盾</t>
  </si>
  <si>
    <t>発生源が、装備しているクリーチャーにダメージを与えるなら、そのダメージをＸ点軽減する。Ｘはあなたがコントロールするクリーチャーの総数である。</t>
  </si>
  <si>
    <t>縫い師の移植</t>
  </si>
  <si>
    <t>装備しているクリーチャーが攻撃するたび、それはそれのコントローラーの次のアンタップ・ステップにアンタップしない。</t>
  </si>
  <si>
    <t>縫い師の移植がパーマネントからはずれた状態になるたび、そのパーマネントを生け贄に捧げる。</t>
  </si>
  <si>
    <t>神々のピラミッド</t>
  </si>
  <si>
    <t>(２),(Ｔ)：好きな色１色のマナ１点を加える。神々のピラミッドの上に石材(brick)カウンターを１個置く。</t>
  </si>
  <si>
    <t>(Ｔ)：好きな色１色のマナ３点を加える。この能力は、神々のピラミッドの上に石材カウンターが３個以上置かれているときにのみ起動できる。</t>
  </si>
  <si>
    <t>沈黙の墓石</t>
  </si>
  <si>
    <t>墓地にあるカードは呪文や能力の対象にならない。</t>
  </si>
  <si>
    <t>(４),(Ｔ)：沈黙の墓石と、すべての墓地からカードをすべて追放する。カードを１枚引く。</t>
  </si>
  <si>
    <t>派手な投光</t>
  </si>
  <si>
    <t>あなたの対戦相手がコントロールする呪禁を持つクリーチャーは、それが呪禁を持っていないかのように、あなたがコントロールする呪文や能力の対象になる。</t>
  </si>
  <si>
    <t>(３),派手な投光を生け贄に捧げる：あなたがコントロールするクリーチャーはターン終了時まで呪禁を得るとともに、それはこのターン、ブロックされない。</t>
  </si>
  <si>
    <t>神々の兜</t>
  </si>
  <si>
    <t>装備しているクリーチャーは、あなたがコントロールするエンチャント１つにつき+1/+1の修整を受ける。</t>
  </si>
  <si>
    <t>真髄の針</t>
  </si>
  <si>
    <t>真髄の針が戦場に出るに際し、カード名を１つ選ぶ。</t>
  </si>
  <si>
    <t>選ばれた名前の発生源の起動型能力は、それらがマナ能力でないかぎり起動できない。</t>
  </si>
  <si>
    <t>伏魔殿のピュクシス</t>
  </si>
  <si>
    <t>(Ｔ)：各プレイヤーはそれぞれ自分のライブラリーの一番上のカードを裏向きで追放する。</t>
  </si>
  <si>
    <t>(７),(Ｔ),伏魔殿のピュクシスを生け贄に捧げる：各プレイヤーはそれぞれ伏魔殿のピュクシスによって追放された自分がオーナーであるカードをすべて表向きにする。その後、その中のすべてのパーマネント・カードを戦場に出す。</t>
  </si>
  <si>
    <t>石鍛冶の傑作</t>
  </si>
  <si>
    <t>装備しているクリーチャーは、あなたがコントロールする、それと共通のクリーチャー・タイプを持つ他のクリーチャー１体につき+1/+1の修整を受ける。</t>
  </si>
  <si>
    <t>脆い彫像</t>
  </si>
  <si>
    <t>(４),(Ｔ),脆い彫像を追放する：クリーチャー１体を対象とし、それを追放する。</t>
  </si>
  <si>
    <t>猶予の石</t>
  </si>
  <si>
    <t>(２),(Ｔ)：墓地にあるカード１枚を対象とし、それを追放する。</t>
  </si>
  <si>
    <t>(２)(W)(B),(Ｔ),猶予の石を生け贄に捧げる：いずれかの墓地にある土地でないカード１枚を対象とし、それを追放する。墓地にあるそのカードと同じ名前を持つ他のすべてのカードと、同じ名前を持つすべてのパーマネントを追放する。</t>
  </si>
  <si>
    <t>バジリスクの首輪</t>
  </si>
  <si>
    <t>装備しているクリーチャーは接死と絆魂を持つ。</t>
  </si>
  <si>
    <t>群の祭壇</t>
  </si>
  <si>
    <t>他のパーマネントが１つあなたのコントロール下で戦場に出るたび、各対戦相手はそれぞれ自分のライブラリーの一番上のカードを自分の墓地に置く。</t>
  </si>
  <si>
    <t>活性機構</t>
  </si>
  <si>
    <t>あなたがコントロールするパーマネント１つの上に+1/+1カウンターが１個以上置かれるたび、あなたは(１)を支払ってもよい。そうしたなら、無色の1/1の霊気装置(Servo)アーティファクト・クリーチャー・トークンを１体生成する。</t>
  </si>
  <si>
    <t>(３),(Ｔ)：パーマネント１つかプレイヤー１人を対象とし、そのパーマネントの上に置かれているかそのプレイヤーが持つカウンター１個を選ぶ。それと同じ種類のカウンターを１個、そのパーマネントの上に置くか、そのプレイヤーに与える。</t>
  </si>
  <si>
    <t>梅澤の十手</t>
  </si>
  <si>
    <t>装備しているクリーチャーが戦闘ダメージを与えるたび、梅澤の十手の上に蓄積(charge)カウンターを２個置く。</t>
  </si>
  <si>
    <t>梅澤の十手から蓄積カウンターを１個取り除く：以下から１つを選ぶ。</t>
  </si>
  <si>
    <t>・装備しているクリーチャーは、ターン終了時まで+2/+2の修整を受ける。</t>
  </si>
  <si>
    <t>・クリーチャー１体を対象とする。それはターン終了時まで-1/-1の修整を受ける。</t>
  </si>
  <si>
    <t>宝物の地図</t>
  </si>
  <si>
    <t>(１),(Ｔ)：占術１を行う。宝物の地図の上に目印(landmark)カウンターを１個置く。その後、これの上に目印カウンターが３個以上置かれていたなら、それらのカウンターを取り除き、宝物の地図を変身させ、「(Ｔ),このアーティファクトを生け贄に捧げる：あなたのマナ・プールに好きな色１色のマナ１点を加える。」を持つ無色の宝物(Treasure)アーティファクト・トークンを３つ生成する。</t>
  </si>
  <si>
    <t>宝物の入り江</t>
  </si>
  <si>
    <t>（《宝物の地図/Treasure Map》から変身する。）</t>
  </si>
  <si>
    <t>(Ｔ),宝物(Treasure)１つを生け贄に捧げる：カードを１枚引く。</t>
  </si>
  <si>
    <t>再鍛の黒き剣</t>
  </si>
  <si>
    <t>装備しているクリーチャーは、あなたがコントロールしている土地１つにつき+1/+1の修整を受ける。</t>
  </si>
  <si>
    <t>伝説のクリーチャーに装備(３)</t>
  </si>
  <si>
    <t>装備(７)</t>
  </si>
  <si>
    <t>卑劣漢の大鎌</t>
  </si>
  <si>
    <t>このターン、装備しているクリーチャーによってダメージを与えられたクリーチャーが死亡するたび、そのカードをあなたのコントロール下で戦場に戻す。卑劣漢の大鎌をそのクリーチャーにつける。</t>
  </si>
  <si>
    <t>無限の日時計</t>
  </si>
  <si>
    <t>(１),(Ｔ)：ターンを終了する。この能力は、あなたのターンの間にのみ起動できる。（スタック上のすべての呪文と能力を追放する。あなたの手札の枚数の最大値になるまで手札を捨てる。ダメージは取り除かれ、「このターン」と「ターン終了時まで」の効果は終了する。）</t>
  </si>
  <si>
    <t>精霊信者の剣</t>
  </si>
  <si>
    <t>装備しているクリーチャーが攻撃するたび、あなたはあなたのライブラリーから基本土地カードを１枚探してもよい。そうしたなら、それをタップ状態で戦場に出し、その後あなたのライブラリーを切り直す。</t>
  </si>
  <si>
    <t>レンの蝋燭</t>
  </si>
  <si>
    <t>(４),(Ｔ)：あなたのライブラリーの一番上のカードを公開する。それがあなたの墓地にあるカードと同じ名前を持つ場合、それをあなたの墓地に置く。そうでない場合、カードを１枚引く。</t>
  </si>
  <si>
    <t>探査の短剣</t>
  </si>
  <si>
    <t>探査の短剣が戦場に出たとき、対戦相手１人を対象とする。そのプレイヤーは防衛を持つ緑の0/2の植物(Plant)クリーチャー・トークンを２体生成する。</t>
  </si>
  <si>
    <t>装備しているクリーチャーがプレイヤー１人に戦闘ダメージを与えるたび、あなたは探査の短剣を変身させてもよい。</t>
  </si>
  <si>
    <t>失われた谷間</t>
  </si>
  <si>
    <t>（《探査の短剣/Dowsing Dagger》から変身する。）</t>
  </si>
  <si>
    <t>(Ｔ)：好きな色１色のマナ３点を加える。</t>
  </si>
  <si>
    <t>浄火の板金鎧</t>
  </si>
  <si>
    <t>装備しているクリーチャーは、あなたの手札にあるカード１枚につき+1/+1の修整を受ける。</t>
  </si>
  <si>
    <t>瓶詰め脳</t>
  </si>
  <si>
    <t>(１),(Ｔ)：瓶詰め脳の上に蓄積(charge)カウンターを１個置く。その後あなたは、点数で見たマナ・コストが瓶詰め脳の上に置かれている蓄積カウンターの総数に等しいインスタント・カード１枚かソーサリー・カード１枚を、あなたの手札からそのマナ・コストを支払うことなく唱えてもよい。</t>
  </si>
  <si>
    <t>(３),(Ｔ),瓶詰め脳から蓄積カウンターをＸ個取り除く：占術Ｘを行う。</t>
  </si>
  <si>
    <t>魔学コンパス</t>
  </si>
  <si>
    <t>(３),(Ｔ)：あなたのライブラリーから基本土地カード１枚を探し、それを公開してあなたの手札に加え、その後あなたのライブラリーを切り直す。</t>
  </si>
  <si>
    <t>あなたの終了ステップの開始時に、あなたが土地を７つ以上コントロールしている場合、魔学コンパスを変身させる。</t>
  </si>
  <si>
    <t>オラーズカの尖塔</t>
  </si>
  <si>
    <t>（《魔学コンパス/Thaumatic Compass》から変身する。）</t>
  </si>
  <si>
    <t>(Ｔ)：対戦相手がコントロールしている攻撃クリーチャー１体を対象とし、それをアンタップし、それを戦闘から取り除く。</t>
  </si>
  <si>
    <t>開闢の巻物</t>
  </si>
  <si>
    <t>(２),(Ｔ)：あなたの手札にカードが７枚以上ある場合、カードを１枚引く。</t>
  </si>
  <si>
    <t>王神の玉座</t>
  </si>
  <si>
    <t>あなたの終了ステップの開始時に、各対戦相手はそれぞれあなたがコントロールするタップ状態のクリーチャーの総数に等しい点数のライフを失う。</t>
  </si>
  <si>
    <t>レオニンの陽準器</t>
  </si>
  <si>
    <t>(１)(W)：あなたがコントロールするクリーチャーは、ターン終了時まで+1/+1の修整を受ける。</t>
  </si>
  <si>
    <t>幻術師の篭手</t>
  </si>
  <si>
    <t>装備しているクリーチャーの能力が１つ起動されるたび、それがマナ能力でない場合、その能力をコピーする。あなたはそのコピーの新しい対象を選んでもよい。</t>
  </si>
  <si>
    <t>旅行者の凧</t>
  </si>
  <si>
    <t>(３),(Ｔ)：あなたのライブラリーから基本土地カードを１枚探す。それを公開し、あなたの手札に加える。その後あなたのライブラリーを切り直す。</t>
  </si>
  <si>
    <t>収斂の冠</t>
  </si>
  <si>
    <t>あなたのライブラリーの一番上のカードを公開してプレイする。</t>
  </si>
  <si>
    <t>あなたのライブラリーの一番上のカードがクリーチャー・カードであるかぎり、あなたがコントロールする、そのカードと共通の色を持つクリーチャーは+1/+1の修整を受ける。</t>
  </si>
  <si>
    <t>(G)(W)：あなたのライブラリーの一番上のカードを、あなたのライブラリーの一番下に置く。</t>
  </si>
  <si>
    <t>ひずんだレンズ</t>
  </si>
  <si>
    <t>(Ｔ)：パーマネント１つを対象とする。それはターン終了時まで、あなたが選んだ１色の色になる。</t>
  </si>
  <si>
    <t>催眠の宝珠</t>
  </si>
  <si>
    <t>パーマネントがアンタップ状態になるたび、そのパーマネントのコントローラーは自分のライブラリーの一番上のカードを自分の墓地に置く。</t>
  </si>
  <si>
    <t>今田の旗印</t>
  </si>
  <si>
    <t>今田の旗印は伝説のクリーチャーにのみつけることができる。</t>
  </si>
  <si>
    <t>装備しているクリーチャーと共通の色を持つクリーチャーは+1/+1の修整を受ける。</t>
  </si>
  <si>
    <t>装備しているクリーチャーと共通のクリーチャー・タイプを持つクリーチャーは+1/+1の修整を受ける。</t>
  </si>
  <si>
    <t>崩れた墓石</t>
  </si>
  <si>
    <t>崩れた墓石はタップ状態で戦場に出る。</t>
  </si>
  <si>
    <t>(Ｔ)：あなたの墓地にあるカードの色を１色選ぶ。その色のマナ１点を加える。</t>
  </si>
  <si>
    <t>魔術遠眼鏡</t>
  </si>
  <si>
    <t>魔術遠眼鏡が戦場に出るに際し、対戦相手１人の手札を見て、その後任意のカード名１つを選ぶ。</t>
  </si>
  <si>
    <t>その選ばれた名前を持つ発生源の起動型能力は、それがマナ能力でないかぎり起動できない。</t>
  </si>
  <si>
    <t>活線の鞭</t>
  </si>
  <si>
    <t>装備しているクリーチャーは+2/+0の修整を受けるとともに「このクリーチャーが呪文１つの対象になるたび、クリーチャー１体かプレインズウォーカー１体かプレイヤー１人を対象とする。このクリーチャーはそれに２点のダメージを与える。」を持つ。</t>
  </si>
  <si>
    <t>漸増爆弾</t>
  </si>
  <si>
    <t>(Ｔ)：漸増爆弾の上に蓄積(charge)カウンターを１個置く。</t>
  </si>
  <si>
    <t>(Ｔ),漸増爆弾を生け贄に捧げる：点数で見たマナ・コストが漸増爆弾の上に置かれていた蓄積カウンターの数に等しい、土地でない各パーマネントを破壊する。</t>
  </si>
  <si>
    <t>倍化の立方体</t>
  </si>
  <si>
    <t>(３),(Ｔ)：あなたが有する未使用の各タイプのマナの総量を２倍する。</t>
  </si>
  <si>
    <t>防御の光網</t>
  </si>
  <si>
    <t>各呪文は、それのコントローラーのターンの間を除き、それを唱えるためのコストが(３)多くなる。</t>
  </si>
  <si>
    <t>アメジストのとげ</t>
  </si>
  <si>
    <t>遁走の王笏</t>
  </si>
  <si>
    <t>(１)(B),(Ｔ)：プレイヤー１人を対象とする。そのプレイヤーはカードを１枚捨てる。この能力は、あなたのターンの間にのみ起動できる。</t>
  </si>
  <si>
    <t>下劣なエンブレム</t>
  </si>
  <si>
    <t>あなたが呪文を唱えるたび、装備しているクリーチャーはターン終了時まで+2/+2の修整を受ける。</t>
  </si>
  <si>
    <t>研磨時計</t>
  </si>
  <si>
    <t>(Ｔ)：研磨時計の上に蓄積(charge)カウンターを１個置く。</t>
  </si>
  <si>
    <t>(Ｔ)：プレイヤー１人を対象とする。そのプレイヤーは、自分のライブラリーのカードを一番上からＸ枚、自分の墓地に置く。Ｘは、研磨時計の上に置かれている蓄積カウンターの数である。</t>
  </si>
  <si>
    <t>獏の供犠台</t>
  </si>
  <si>
    <t>あなたがスピリット(Spirit)か秘儀(Arcane)呪文を唱えるたび、あなたは獏の供犠台の上に気(ki)カウンターを１個置いてもよい。</t>
  </si>
  <si>
    <t>(２),(Ｔ),獏の供犠台から気カウンターを１個取り除く：無色の1/1のスピリット・クリーチャー・トークンを１体生成する。</t>
  </si>
  <si>
    <t>ダークスティールの駐屯地</t>
  </si>
  <si>
    <t>城砦(Fortification)</t>
  </si>
  <si>
    <t>城砦化している土地は破壊不能を持つ。</t>
  </si>
  <si>
    <t>城砦化している土地がタップ状態になるたび、クリーチャー１体を対象とする。それはターン終了時まで+1/+1の修整を受ける。</t>
  </si>
  <si>
    <t>城砦化(３)（あなたがコントロールする土地１つを対象とし、それにつける。城砦化はソーサリーとしてのみ行う。このカードはつけられていない状態で戦場に出て、つけられた土地が戦場を離れても戦場に残る。）</t>
  </si>
  <si>
    <t>クラークの親指</t>
  </si>
  <si>
    <t>あなたがコインを１枚投げる場合、代わりにコインを２枚投げ一方を無視する。</t>
  </si>
  <si>
    <t>達人の巻物</t>
  </si>
  <si>
    <t>あなたがクリーチャーでない呪文を１つ唱えるたび、達人の巻物の上に伝承(lore)カウンターを１個置く。</t>
  </si>
  <si>
    <t>(３),(Ｔ)：あなたがコントロールするクリーチャー１体を対象とする。ターン終了時まで、それは達人の巻物の上に置かれている伝承カウンター１個につき+1/+1の修整を受ける。</t>
  </si>
  <si>
    <t>巨岩の門</t>
  </si>
  <si>
    <t>あなたがコントロールする攻撃しているクリーチャーに与えられるすべての戦闘ダメージを軽減する。</t>
  </si>
  <si>
    <t>倦怠の宝珠</t>
  </si>
  <si>
    <t>ルーン唱えの長槍</t>
  </si>
  <si>
    <t>装備しているクリーチャーは先制攻撃を持つとともに+X/+0の修整を受ける。Ｘは、あなたの墓地にあるインスタント・カードとソーサリー・カードの総数である。</t>
  </si>
  <si>
    <t>ストリオン共鳴体</t>
  </si>
  <si>
    <t>(２),(Ｔ)：あなたがコントロールする誘発型能力１つを対象とし、それをコピーする。あなたはそのコピーの新たな対象を選んでもよい。（誘発型能力には「～とき」「～たび」「～時に」のいずれかが書かれている。）</t>
  </si>
  <si>
    <t>隊長の鉤爪</t>
  </si>
  <si>
    <t>装備しているクリーチャーが攻撃するたび、白の1/1のコー(Kor)・同盟者(Ally)クリーチャー・トークンを１体、タップ状態で攻撃している状態で生成する。</t>
  </si>
  <si>
    <t>吠えたける鉱山</t>
  </si>
  <si>
    <t>各プレイヤーのドロー・ステップの開始時に、吠えたける鉱山がアンタップ状態である場合、そのプレイヤーは追加のカードを１枚引く。</t>
  </si>
  <si>
    <t>凶運の彫像</t>
  </si>
  <si>
    <t>あなたのアップキープの開始時に、凶運の彫像はあなたに２点のダメージを与える。</t>
  </si>
  <si>
    <t>クリーチャーを１体、生け贄に捧げる：対戦相手１人を対象とする。そのプレイヤーは凶運の彫像のコントロールを得る。</t>
  </si>
  <si>
    <t>心因検査器</t>
  </si>
  <si>
    <t>呪文や能力がプレイヤーに自分のライブラリーを切り直させるたび、心因検査器はそのプレイヤーに２点のダメージを与える。</t>
  </si>
  <si>
    <t>屍賊の死のマント</t>
  </si>
  <si>
    <t>装備しているクリーチャーは+2/+2の修整を受けるとともに威嚇を持ち、黒のゾンビ(Zombie)である。（威嚇を持つクリーチャーはアーティファクト・クリーチャーかそれと共通の色を持つクリーチャー以外にはブロックされない。）</t>
  </si>
  <si>
    <t>トークンでないクリーチャーが戦場からあなたの墓地に置かれるたび、あなたは(４)を支払ってもよい。そうした場合、そのカードを戦場に戻し、屍賊の死のマントをそれにつける。</t>
  </si>
  <si>
    <t>堕ちたる者の灰</t>
  </si>
  <si>
    <t>堕ちたる者の灰が戦場に出るに際し、クリーチャー・タイプを１つ選ぶ。</t>
  </si>
  <si>
    <t>あなたの墓地にある各クリーチャー・カードは、そのクリーチャー・タイプに加えて、選ばれたクリーチャー・タイプでもある。</t>
  </si>
  <si>
    <t>ラクドスの儀式刀</t>
  </si>
  <si>
    <t>装備しているクリーチャーは、ラクドスの儀式刀の上に置かれている血液(blood)カウンター１個につき+1/+0の修整を受け、「(Ｔ),クリーチャーを１体、生け贄に捧げる：ラクドスの儀式刀の上に血液カウンターを１個置く。」を持つ。</t>
  </si>
  <si>
    <t>(B)(R),ラクドスの儀式刀を生け贄に捧げる：プレイヤー１人を対象とする。そのプレイヤーは、ラクドスの儀式刀の上に置かれている血液カウンター１個につきパーマネントを１つ生け贄に捧げる。</t>
  </si>
  <si>
    <t>街の鍵</t>
  </si>
  <si>
    <t>(Ｔ),カード１枚を捨てる：クリーチャーを最大１体対象とする。このターン、それはブロックされない。</t>
  </si>
  <si>
    <t>街の鍵がアンタップ状態になるたび、あなたは(２)を支払ってもよい。そうしたなら、カードを１枚引く。</t>
  </si>
  <si>
    <t>巣石</t>
  </si>
  <si>
    <t>あなたがコントロールするクリーチャーは、それの他のクリーチャー・タイプに加えてスリヴァー(Sliver)である。</t>
  </si>
  <si>
    <t>安全の護符</t>
  </si>
  <si>
    <t>あなたが、対戦相手がコントロールしている呪文や能力の対象になるたび、それのコントローラーが(１)を支払わないかぎり、その呪文や能力を打ち消す。</t>
  </si>
  <si>
    <t>クリーチャー・トークンは-1/-0の修整を受ける。</t>
  </si>
  <si>
    <t>忌みの像</t>
  </si>
  <si>
    <t>プレイヤーは、各アンタップ・ステップに１個より多くのアーティファクトをアンタップできない。</t>
  </si>
  <si>
    <t>凱旋の間</t>
  </si>
  <si>
    <t>凱旋の間が戦場に出るに際し、色を１色選ぶ。</t>
  </si>
  <si>
    <t>あなたがコントロールするその選ばれた色のクリーチャーは+1/+1の修整を受ける。</t>
  </si>
  <si>
    <t>造命師の動物記</t>
  </si>
  <si>
    <t>あなたのアップキープの開始時に、占術１を行う。</t>
  </si>
  <si>
    <t>あなたがクリーチャー呪文を１つ唱えるたび、あなたは(G)を支払ってもよい。そうしたなら、カードを１枚引く。</t>
  </si>
  <si>
    <t>連合の秘宝</t>
  </si>
  <si>
    <t>(Ｔ)：連合の秘宝の上に蓄積(charge)カウンターを１個置く。</t>
  </si>
  <si>
    <t>あなたの戦闘前メイン・フェイズの開始時に、連合の秘宝からすべての蓄積カウンターを取り除く。これにより取り除かれた蓄積カウンター１個につき、好きな色１色のマナ１点を加える。</t>
  </si>
  <si>
    <t>凶運の首輪</t>
  </si>
  <si>
    <t>あなたの終了ステップの開始時に、いずれかの対戦相手１人を対象とする。そのプレイヤーは凶運の首輪のコントロールを得るとともにその上に蓄積(charge)カウンターを１個置く。</t>
  </si>
  <si>
    <t>あなたのアップキープの開始時に、凶運の首輪はその上に置かれている蓄積カウンターに等しい点数のダメージをあなたに与える。</t>
  </si>
  <si>
    <t>(３)：凶運の首輪の上に蓄積カウンターを１個置くか、取り除く。</t>
  </si>
  <si>
    <t>変幻の杖</t>
  </si>
  <si>
    <t>(２)(U),(Ｔ)：クリーチャー１体を対象とし、それをオーナーのライブラリーの一番下に置く。そのクリーチャーのコントローラーは、自分のライブラリーを、クリーチャー・カードが公開されるまで上から１枚ずつ公開する。そのプレイヤーは、そのカードを戦場に出し、残りを望む順番で自分のライブラリーの一番下に置く。この能力は、あなたがソーサリーを唱えられるときにのみ起動できる。</t>
  </si>
  <si>
    <t>マイアの貯蔵庫</t>
  </si>
  <si>
    <t>(Ｔ)：(◇)(◇)を加える。このマナは、マイア(Myr)呪文を唱えるためかマイアの起動型能力を起動するためにのみ支払える。</t>
  </si>
  <si>
    <t>(３),(Ｔ)：あなたの墓地にあるマイア・カード１枚を対象とし、それをあなたの手札に戻す。</t>
  </si>
  <si>
    <t>タイタンの炉</t>
  </si>
  <si>
    <t>(３),(Ｔ)：タイタンの炉の上に蓄積(charge)カウンターを１個置く。</t>
  </si>
  <si>
    <t>(Ｔ),タイタンの炉から蓄積カウンターを３個取り除く：無色の9/9のゴーレム(Golem)・アーティファクト・クリーチャー・トークンを１体生成する。</t>
  </si>
  <si>
    <t>血と鉄の酒</t>
  </si>
  <si>
    <t>(４)：クリーチャー１体を対象とする。それはターン終了時まで+X/+0の修整を受ける。Xはそのパワーである。次の終了ステップの開始時に、血と鉄の酒を生け贄に捧げる。</t>
  </si>
  <si>
    <t>進化の大桶</t>
  </si>
  <si>
    <t>(３),(Ｔ)：クリーチャー１体を対象とし、それをタップするとともにその上に+1/+1カウンターを１個置く。ターン終了時まで、そのクリーチャーは「(２)(G)(U)：このクリーチャーに置かれている+1/+1カウンターの数を２倍にする。」を得る。</t>
  </si>
  <si>
    <t>見捨てられた石棺</t>
  </si>
  <si>
    <t>あなたはあなたの墓地から、サイクリングを持つ、土地でないカードを唱えてもよい。</t>
  </si>
  <si>
    <t>サイクリングを持つカードがサイクリングされずにいずれかの領域からあなたの墓地に置かれるなら、代わりにそれを追放する。</t>
  </si>
  <si>
    <t>世界のるつぼ</t>
  </si>
  <si>
    <t>あなたは、あなたの墓地から土地カードをプレイしてもよい。</t>
  </si>
  <si>
    <t>コルフェノールの骨壷</t>
  </si>
  <si>
    <t>タフネスが４以上のクリーチャーが戦場からあなたの墓地に置かれるたび、あなたはそれを追放してもよい。</t>
  </si>
  <si>
    <t>終了ステップの開始時に、コルフェノールの骨壷によって３枚以上のカードが追放されている場合、コルフェノールの骨壷を生け贄に捧げる。そうした場合、それらのカードをオーナーのコントロール下で戦場に戻す。</t>
  </si>
  <si>
    <t>地層の鎌</t>
  </si>
  <si>
    <t>刻印 ― 地層の鎌が戦場に出たとき、あなたのライブラリーから土地カードを１枚探し、それを追放し、その後あなたのライブラリーを切り直す。</t>
  </si>
  <si>
    <t>装備しているクリーチャーは、その追放されているカードと同じ名前を持つ戦場に出ている土地１つにつき+1/+1の修整を受ける。</t>
  </si>
  <si>
    <t>鎖鎌</t>
  </si>
  <si>
    <t>装備しているクリーチャーは「(２)：このクリーチャーは、ターン終了時まで+1/+0の修整を受ける。」を持つ。</t>
  </si>
  <si>
    <t>装備しているクリーチャーが、ブロックしているクリーチャーにダメージを与えるたび、鎖鎌は防御プレイヤーがコントロールしている他のクリーチャーに同じ点数のダメージを与える。</t>
  </si>
  <si>
    <t>混沌のワンド</t>
  </si>
  <si>
    <t>(４),(Ｔ)：対戦相手１人を対象とする。そのプレイヤーは、インスタントかソーサリーであるカードが追放されるまで、自分のライブラリーの一番上からカードを１枚ずつ追放する。あなたはそのカードをそのマナ・コストを支払うことなく唱えてもよい。その後、これにより追放されて唱えられなかったカードをそのライブラリーの一番下に無作為の順番で置く。</t>
  </si>
  <si>
    <t>光と影の剣</t>
  </si>
  <si>
    <t>装備しているクリーチャーは+2/+2の修整を受けるとともに、プロテクション（白）とプロテクション（黒）を持つ。</t>
  </si>
  <si>
    <t>装備しているクリーチャーがプレイヤーに戦闘ダメージを与えるたび、あなたの墓地にあるクリーチャー・カードを最大１枚まで対象とする。あなたは、それをあなたの手札に戻してもよい。あなたは３点のライフを得る。</t>
  </si>
  <si>
    <t>目玉の壺</t>
  </si>
  <si>
    <t>あなたがコントロールするクリーチャーが１体死亡するたび、目玉の壺の上に目玉(eyeball)カウンターを２個置く。</t>
  </si>
  <si>
    <t>(３),(Ｔ),目玉の壺から目玉カウンターをすべて取り除く：あなたのライブラリーの一番上からＸ枚のカードを見る。Ｘはこれにより取り除かれた目玉カウンターの数である。それらのうち１枚をあなたの手札に加え、残りをあなたのライブラリーの一番下に望む順番で置く。</t>
  </si>
  <si>
    <t>まどろむ虎の像</t>
  </si>
  <si>
    <t>(２),スピリット(Spirit)・カードか秘儀(Arcane)カードを１枚捨てる：まどろむ虎の像は、ターン終了時までX/Xの猫(Cat)アーティファクト・クリーチャーになる。Ｘは、捨てられたカードの点数で見たマナ・コストである。</t>
  </si>
  <si>
    <t>雲石の工芸品</t>
  </si>
  <si>
    <t>アーティファクトでないパーマネントが１つあなたのコントロール下で戦場に出るたび、そのパーマネントと同じパーマネント・タイプを持つ、あなたがコントロールする他のパーマネント１つをオーナーの手札に戻してもよい。</t>
  </si>
  <si>
    <t>鼓舞する彫像</t>
  </si>
  <si>
    <t>あなたが唱えるアーティファクトでない呪文は即席を持つ。（あなたのアーティファクトが、それらの呪文を唱える助けとなる。あなたはあなたのアーティファクトをタップして、１個あたり(１)の支払いに代えてもよい。）</t>
  </si>
  <si>
    <t>雲の鍵</t>
  </si>
  <si>
    <t>雲の鍵が戦場に出るに際し、アーティファクトかクリーチャーかエンチャントかインスタントかソーサリーから１つを選ぶ。</t>
  </si>
  <si>
    <t>あなたが唱える選ばれたタイプの呪文は、それを唱えるためのコストが(１)少なくなる。</t>
  </si>
  <si>
    <t>ミミックの大桶</t>
  </si>
  <si>
    <t>刻印 ― トークンでないクリーチャーが１体死亡するたび、あなたはそのカードを追放してもよい。そうした場合、ミミックの大桶により追放された他の各カードをオーナーの墓地に戻す。</t>
  </si>
  <si>
    <t>(３),(Ｔ)：ミミックの大桶によって追放されているカード１枚のコピーであるトークンを１体生成する。それは速攻を得る。次の終了ステップの開始時にそれを追放する。</t>
  </si>
  <si>
    <t>威圧の杖</t>
  </si>
  <si>
    <t>(１)：威圧の杖をアンタップする。</t>
  </si>
  <si>
    <t>(３),(Ｔ)：クリーチャー１体を対象とし、それをアンタップする。</t>
  </si>
  <si>
    <t>(５),(Ｔ)：カードを１枚引く。</t>
  </si>
  <si>
    <t>狂乱病の砂</t>
  </si>
  <si>
    <t>(Ｘ),(Ｔ)：プレイヤー１人を対象とする。そのプレイヤーは、自分のライブラリーの一番上からＸ枚のカードを自分の墓地に置く。</t>
  </si>
  <si>
    <t>遥か忘れられし御幣</t>
  </si>
  <si>
    <t>あなたが唱える秘儀(Arcane)呪文は、それを唱えるためのコストが(１)少なくなる。</t>
  </si>
  <si>
    <t>あなたがコントロールするスピリット(Spirit)・クリーチャーは+1/+1の修整を受ける。</t>
  </si>
  <si>
    <t>行き詰まりの罠</t>
  </si>
  <si>
    <t>行き詰まりの罠はタップ状態で戦場に出る。</t>
  </si>
  <si>
    <t>行き詰まりの罠が戦場に出たとき、あなたは(Ｅ)(Ｅ)（エネルギー・カウンター２個）を得る。</t>
  </si>
  <si>
    <t>(Ｔ),(Ｅ)を支払う：クリーチャー１体かプレインズウォーカー１体を対象とし、それをタップする。このターン、それの起動型能力は起動できない。</t>
  </si>
  <si>
    <t>ブライトハースの指輪</t>
  </si>
  <si>
    <t>あなたが能力を起動するたび、それがマナ能力でない場合、あなたは(２)を支払ってもよい。そうした場合、その能力をコピーする。あなたはそのコピーの新たな対象を選んでもよい。</t>
  </si>
  <si>
    <t>先祖の刃</t>
  </si>
  <si>
    <t>装備しているクリーチャーは+3/+0の修整を受けるとともに警戒とトランプルを持つ。</t>
  </si>
  <si>
    <t>装備しているクリーチャーが死亡するたび、あなたがコントロールしているクリーチャー１体を対象とし、先祖の刃をそれにつける。</t>
  </si>
  <si>
    <t>彫り込み鋼</t>
  </si>
  <si>
    <t>あなたは、彫り込み鋼が、戦場に出ているいずれかのアーティファクトのコピーとして戦場に出ることを選んでもよい。</t>
  </si>
  <si>
    <t>類似の金床</t>
  </si>
  <si>
    <t>刻印 ― 類似の金床が戦場に出たとき、あなたはあなたの手札にある土地でないカードを１枚追放してもよい。</t>
  </si>
  <si>
    <t>あなたが唱える、その追放されているカードと共通のカード・タイプを持つ呪文は、それを唱えるためのコストが(２)少なくなる。</t>
  </si>
  <si>
    <t>血清の粉末</t>
  </si>
  <si>
    <t>あなたがマリガンでき、かつ血清の粉末があなたの手札にあるときならいつでも、あなたは「あなたの手札のカードをすべて追放し、その後、同じ枚数のカードを引く」ことを選んでもよい。（あなたはマリガンに加えてこれを行うことができる。）</t>
  </si>
  <si>
    <t>千年霊薬</t>
  </si>
  <si>
    <t>あなたは、あなたがコントロールしているクリーチャーの能力を、それらのクリーチャーが速攻を持っているかのように起動してもよい。</t>
  </si>
  <si>
    <t>(１),(Ｔ)：クリーチャー１体を対象とし、それをアンタップする。</t>
  </si>
  <si>
    <t>冒涜された墓所</t>
  </si>
  <si>
    <t>クリーチャー・カードが１枚以上あなたの墓地を離れるたび、飛行を持つ黒の1/1のコウモリ(Bat)・クリーチャー・トークンを１体生成する。</t>
  </si>
  <si>
    <t>洞察の王笏</t>
  </si>
  <si>
    <t>(３)(U),(Ｔ)：カードを１枚引く。</t>
  </si>
  <si>
    <t>保管庫集合所</t>
  </si>
  <si>
    <t>保管庫集合所がアンタップ状態であるかぎり、各プレイヤーは自分のアンタップ・ステップにアーティファクトかクリーチャーか土地のいずれか１つを選ぶ。そのプレイヤーはこのステップに、選んだタイプのパーマネントしかアンタップできない。</t>
  </si>
  <si>
    <t>寺院の鐘</t>
  </si>
  <si>
    <t>(Ｔ)：各プレイヤーはカードを１枚引く。</t>
  </si>
  <si>
    <t>ダークスティールの板金鎧</t>
  </si>
  <si>
    <t>装備しているクリーチャーは破壊不能を持つ。</t>
  </si>
  <si>
    <t>火と氷の剣</t>
  </si>
  <si>
    <t>装備しているクリーチャーは+2/+2の修整を受けるとともに、プロテクション（赤）とプロテクション（青）を持つ。</t>
  </si>
  <si>
    <t>装備しているクリーチャーがプレイヤーに戦闘ダメージを与えるたび、クリーチャー１体かプレイヤー１人を対象とする。火と氷の剣はそれに２点のダメージを与える。あなたはカードを１枚引く。</t>
  </si>
  <si>
    <t>忘却石</t>
  </si>
  <si>
    <t>(４),(Ｔ)：パーマネント１つを対象とする。その上に運命(fate)カウンターを１個置く。</t>
  </si>
  <si>
    <t>(５),(Ｔ),忘却石を生け贄に捧げる：運命カウンターが置かれていない、すべての土地でないパーマネントを破壊する。その後すべてのパーマネントの上からすべての運命カウンターを取り除く。</t>
  </si>
  <si>
    <t>太陽の拳</t>
  </si>
  <si>
    <t>あなたは、あなたが唱える呪文のマナ・コストを支払うのではなく、(W)(U)(B)(R)(G)を支払うことを選んでもよい。</t>
  </si>
  <si>
    <t>夢の宝珠</t>
  </si>
  <si>
    <t>パーマネントはタップ状態で戦場に出る。</t>
  </si>
  <si>
    <t>ミジウムの変成体</t>
  </si>
  <si>
    <t>(３)：アーティファクト１つを対象とする。ミジウムの変成体はターン終了時まで、そのコピーになる。</t>
  </si>
  <si>
    <t>(１)(U)(R)：アーティファクト１つを対象とする。ミジウムの変成体はそのコピーになり、この能力を得る。</t>
  </si>
  <si>
    <t>滅消の杭</t>
  </si>
  <si>
    <t>装備しているクリーチャーがプレイヤーに戦闘ダメージを与えるたび、そのプレイヤーは自分のライフの、端数を切り上げた半分を失う。</t>
  </si>
  <si>
    <t>水銀の泉</t>
  </si>
  <si>
    <t>各プレイヤーのアップキープの開始時に、そのプレイヤーは自分がコントロールする島(Island)でない土地１つを対象とし、その上に洪水(flood)カウンターを１個置く。その土地は、その上に洪水カウンターが置かれ続けているかぎり島である。</t>
  </si>
  <si>
    <t>各終了ステップの開始時に、戦場にあるすべての土地が島である場合、すべての土地からすべての洪水カウンターを取り除く。</t>
  </si>
  <si>
    <t>電招の塔</t>
  </si>
  <si>
    <t>あなたがインスタント呪文化ソーサリー呪文を１つ唱えるたび、あなたは(Ｅ)(Ｅ)（エネルギー・カウンター２個）を得る。</t>
  </si>
  <si>
    <t>(Ｔ),(Ｅ)(Ｅ)(Ｅ)(Ｅ)(Ｅ)を支払う：クリーチャー１体かプレインズウォーカー１体かプレイヤー１人を対象とする。電招の塔はそれに３点のダメージを与える。</t>
  </si>
  <si>
    <t>ドラゴンの財宝</t>
  </si>
  <si>
    <t>ドラゴン(Dragon)が１体あなたのコントロール下で戦場に出るたび、ドラゴンの財宝の上に黄金(gold)カウンターを１個置く。</t>
  </si>
  <si>
    <t>(Ｔ),ドラゴンの財宝から黄金カウンターを１個取り除く：カードを１枚引く。</t>
  </si>
  <si>
    <t>市長の笏</t>
  </si>
  <si>
    <t>(４),(Ｔ)：市長の笏の上に蓄積(charge)カウンターを１個置く。</t>
  </si>
  <si>
    <t>(Ｔ),市長の笏の上から蓄積カウンターを３個取り除く：あなたはこのターンに続いて追加の１ターンを行う。</t>
  </si>
  <si>
    <t>呪文織りのらせん</t>
  </si>
  <si>
    <t>刻印 ― 呪文織りのらせんが戦場に出たとき、あなたは単一の墓地にあるソーサリー・カード２枚を対象とし、それらを追放してもよい。</t>
  </si>
  <si>
    <t>プレイヤー１人がカードを唱えるたび、それがその追放されたソーサリー・カードの一方と同じ名前を持つ場合、あなたは他の一方をコピーしてもよい。そうした場合、あなたはそのコピーを、そのマナ・コストを支払うことなく唱えてもよい。</t>
  </si>
  <si>
    <t>執念の剣</t>
  </si>
  <si>
    <t>装備しているクリーチャーは+2/+0の修整を受けるとともに先制攻撃と警戒とトランプルと速攻を持つ。</t>
  </si>
  <si>
    <t>三なる宝球</t>
  </si>
  <si>
    <t>三なる宝球がアンタップ状態であるかぎり、それを唱えるためのコストが３マナ未満である呪文はそれぞれ、それを唱えるためのコストが３マナになる。（コストの追加のマナは好きな色のマナまたは無色マナで支払ってよい。例えば、唱えるためのコストが(１)(B)である呪文は、代わりに唱えるために(２)(B)を支払う。）</t>
  </si>
  <si>
    <t>太陽打ちの槌</t>
  </si>
  <si>
    <t>(R)(W),太陽打ちの槌をはずす：あなたのライブラリーから、点数で見たマナ・コストが４以下の赤か白のインスタント・カードを１枚探し、そのカードをそのマナ・コストを支払うことなく唱える。その後、あなたのライブラリーを切り直す。</t>
  </si>
  <si>
    <t>異形化するワンド</t>
  </si>
  <si>
    <t>異形化するワンドは、蓄積(charge)カウンターが３個置かれた状態で戦場に出る。</t>
  </si>
  <si>
    <t>(１),(Ｔ),異形化するワンドの上から蓄積カウンターを１個取り除く：クリーチャー１体を対象とし、それを破壊する。それのコントローラーは白の2/4の雄牛(Ox)クリーチャー・トークンを１体生成する。この能力は、あなたがソーサリーを唱えられるときにのみ起動できる。</t>
  </si>
  <si>
    <t>最後の河童の甲羅</t>
  </si>
  <si>
    <t>(３),(Ｔ)：あなたを対象とするインスタント呪文１つかソーサリー呪文１つを対象とし、それを追放する。（その呪文は効果が無い。）</t>
  </si>
  <si>
    <t>(３),(Ｔ),最後の河童の甲羅を生け贄に捧げる：あなたは、最後の河童の甲羅によって追放されたカード１枚を、そのマナ・コストを支払うことなく唱えてもよい。</t>
  </si>
  <si>
    <t>魂分離機</t>
  </si>
  <si>
    <t>(５),(Ｔ),魂分離機を生け贄に捧げる：あなたの墓地からクリーチャー・カード１枚を対象とし、それを追放する。1/1であることと、それの他のタイプに加えてスピリット(Spirit)であることと、飛行を持つことを除き、そのカードのコピーであるトークンを１体生成する。そのカードのパワーに等しいパワーとそのカードのタフネスに等しいタフネスを持つ黒のゾンビ(Zombie)・クリーチャー・トークンを１体生成する。</t>
  </si>
  <si>
    <t>船長の鉤</t>
  </si>
  <si>
    <t>装備しているクリーチャーは+2/+0の修整を受けるとともに威迫を持ち、他のクリーチャー・タイプに加えて海賊(Pirate)でもある。</t>
  </si>
  <si>
    <t>船長の鉤がパーマネントからはずれた状態になるたび、そのパーマネントを破壊する。</t>
  </si>
  <si>
    <t>彩色の灯籠</t>
  </si>
  <si>
    <t>あなたがコントロールする土地は「(Ｔ)：好きな色１色のマナ１点を加える。」を持つ。</t>
  </si>
  <si>
    <t>道化の王笏</t>
  </si>
  <si>
    <t>道化の王笏が戦場に出たとき、プレイヤー１人を対象とし、そのプレイヤーのライブラリーのカードを上から５枚、裏向きのまま追放する。あなたは、それらのカードが追放され続けているかぎり、それらを見てもよい。</t>
  </si>
  <si>
    <t>(２),(Ｔ),道化の王笏により追放されたカードを１枚、オーナーの墓地に置く：呪文１つを対象とする。その名前がそのカードの名前と同じである場合、それを打ち消す。</t>
  </si>
  <si>
    <t>蜃気楼の鏡</t>
  </si>
  <si>
    <t>(２)：アーティファクト１つかクリーチャー１体かエンチャント１つか土地１つを対象とする。ターン終了時まで、蜃気楼の鏡はそれのコピーになる。</t>
  </si>
  <si>
    <t>減衰のマトリックス</t>
  </si>
  <si>
    <t>アーティファクトとクリーチャーの起動型能力は、それらがマナ能力でないかぎり起動できない。</t>
  </si>
  <si>
    <t>威圧の王笏</t>
  </si>
  <si>
    <t>(W),(Ｔ)：パーマネント１つを対象とし、それをタップする。</t>
  </si>
  <si>
    <t>猫手</t>
  </si>
  <si>
    <t>装備しているクリーチャーがクリーチャーにダメージを与えるたび、そのクリーチャーをタップする。猫手が戦場に出続けているかぎり、そのクリーチャーはそれのコントローラーのアンタップ・ステップにアンタップしない。</t>
  </si>
  <si>
    <t>装備しているクリーチャーがプレイヤーにダメージを与えるたび、そのプレイヤーは１点のライフを失う。</t>
  </si>
  <si>
    <t>血文字の羽ペン</t>
  </si>
  <si>
    <t>(２),(Ｔ),血文字の羽ペンの上に血液(blood)カウンターを１個置く：カードを１枚引く。その後血文字の羽ペンの上に置かれている血液カウンター１個につき、あなたは１点のライフを失う。</t>
  </si>
  <si>
    <t>(U)(B)：血文字の羽ペンから血液カウンターを１個取り除く。</t>
  </si>
  <si>
    <t>サーペイディア諸帝国史、第七巻</t>
  </si>
  <si>
    <t>サーペイディア諸帝国史、第七巻が戦場に出るに際し、あなたは「白の市民(Citizen)」「青のカマリッド(Camarid)」「黒のスラル(Thrull)」「赤のゴブリン(Goblin)」「緑の苗木(Saproling)」から１つを選ぶ。</t>
  </si>
  <si>
    <t>(３),(Ｔ)：選ばれた色とタイプの1/1のクリーチャー・トークンを１体生成する。</t>
  </si>
  <si>
    <t>超次元レンズ</t>
  </si>
  <si>
    <t>刻印 ― 超次元レンズが戦場に出たとき、あなたがコントロールする土地１つを対象とする。あなたはそれを追放してもよい。</t>
  </si>
  <si>
    <t>その追放されているカードと同じ名前を持つ土地がマナを引き出す目的でタップされるたび、それのコントローラーはその土地から引き出された好きなタイプのマナ１点を加える。</t>
  </si>
  <si>
    <t>ヴァレロンの有印剣</t>
  </si>
  <si>
    <t>装備しているクリーチャーは+2/+0の修整を受け、警戒を持ち、それの他のタイプに加え騎士(Knight)でもある。</t>
  </si>
  <si>
    <t>装備しているクリーチャーが攻撃するたび、警戒を持つ白の2/2の騎士クリーチャー・トークンを１体、攻撃している状態で生成する。</t>
  </si>
  <si>
    <t>魔道士封じの鎧</t>
  </si>
  <si>
    <t>装備しているクリーチャーは+2/+4の修整を受けるとともに飛行を失う。</t>
  </si>
  <si>
    <t>装備しているクリーチャーに与えられるすべての戦闘ダメージでないダメージを軽減する。</t>
  </si>
  <si>
    <t>カルドラの兜</t>
  </si>
  <si>
    <t>装備しているクリーチャーは先制攻撃とトランプルと速攻を持つ。</t>
  </si>
  <si>
    <t>(１)：あなたが《カルドラの剣/Sword of Kaldra》と《カルドラの盾/Shield of Kaldra》と《カルドラの兜/Helm of Kaldra》という名前の各装備品(Equipment)をコントロールしている場合、《カルドラ/Kaldra》という名前の無色の4/4の伝説のアバター(Avatar)・クリーチャー・トークンを１体生成し、それにそれらの装備品をつける。</t>
  </si>
  <si>
    <t>武野の大小、正守</t>
  </si>
  <si>
    <t>装備しているクリーチャーが死亡するたび、それが侍(Samurai)カードであるならば、それをあなたのコントロール下で戦場に戻す。</t>
  </si>
  <si>
    <t>武野の大小、正守が戦場からいずれかの墓地に置かれたとき、装備しているクリーチャーを追放する。</t>
  </si>
  <si>
    <t>搭乗４（あなたがコントロールする望む数のクリーチャーを、パワーの合計が４以上になるように選んでタップする：ターン終了時まで、この機体はアーティファクト・クリーチャーになる。）</t>
  </si>
  <si>
    <t>覆い石の護符</t>
  </si>
  <si>
    <t>あなたが呪文を唱えるたび、このターン、あなたがコントロールするクリーチャーはあなたの対戦相手がコントロールする呪文や能力の対象にならない。</t>
  </si>
  <si>
    <t>呪文縛りの杖</t>
  </si>
  <si>
    <t>刻印 ― 呪文縛りの杖が戦場に出たとき、あなたの手札にあるインスタント・カード１枚を追放してもよい。</t>
  </si>
  <si>
    <t>装備しているクリーチャーがプレイヤーに戦闘ダメージを与えるたび、あなたはその追放されているカードをコピーしてもよい。そうした場合、あなたはそのコピーを、そのマナ・コストを支払うことなく唱えてもよい。</t>
  </si>
  <si>
    <t>ヴィダルケンの枷</t>
  </si>
  <si>
    <t>あなたは、あなたのアンタップ・ステップにヴィダルケンの枷をアンタップしないことを選んでもよい。</t>
  </si>
  <si>
    <t>(２),(Ｔ)：あなたがコントロールする島(Island)の数以下のパワーを持つクリーチャー１体を対象とする。ヴィダルケンの枷がタップ状態であり続けるかぎり、そのクリーチャーのコントロールを得る。</t>
  </si>
  <si>
    <t>選別の秤</t>
  </si>
  <si>
    <t>あなたのアップキープの開始時に、点数で見たマナ・コストが最も低い土地でないパーマネント１つを対象とし、それを破壊する。（もっとも低いパーマネントが複数ある場合、それらの１つを対象とする。）</t>
  </si>
  <si>
    <t>稲妻のコイル</t>
  </si>
  <si>
    <t>あなたがコントロールするトークンでないクリーチャーが死亡するたび、稲妻のコイルの上に蓄積(charge)カウンターを１個置く。</t>
  </si>
  <si>
    <t>あなたのアップキープの開始時に、稲妻のコイルの上に５個以上蓄積カウンターが乗っていた場合、稲妻のコイルの上からそれらをすべて取り除き、同数の速攻を持つ赤の3/1のエレメンタル(Elemental)・クリーチャー・トークンを生成する。次の終了ステップの開始時に、それらを追放する。</t>
  </si>
  <si>
    <t>オームの頭蓋骨</t>
  </si>
  <si>
    <t>(５),(Ｔ)：あなたの墓地にあるエンチャント・カード１枚を対象とし、それをあなたの手札に戻す。</t>
  </si>
  <si>
    <t>ドルイドの物入れ</t>
  </si>
  <si>
    <t>(２),(Ｔ)：あなたのライブラリーの一番上のカードを公開する。それがクリーチャー・カードである場合、緑の1/1の苗木(Saproling)クリーチャー・トークンを１体生成する。それが土地カードである場合、そのカードをあなたのコントロール下で戦場に出す。それがクリーチャーでも土地でもないカードである場合、あなたは２点のライフを得る。</t>
  </si>
  <si>
    <t>疫病沸かし</t>
  </si>
  <si>
    <t>あなたのアップキープの開始時に、疫病沸かしの上に疫病(plague)カウンターを１個置く。</t>
  </si>
  <si>
    <t>(１)(B)(G)：疫病沸かしの上に疫病カウンターを１個置くか、疫病沸かしから疫病カウンターを１個取り除く。</t>
  </si>
  <si>
    <t>疫病沸かしの上に３個以上の疫病カウンターが置かれているとき、それを生け贄に捧げる。そうした場合、すべての土地でないパーマネントを破壊する。</t>
  </si>
  <si>
    <t>罠の橋</t>
  </si>
  <si>
    <t>あなたの手札のカードの枚数より大きい点数のパワーを持つクリーチャーは、攻撃できない。</t>
  </si>
  <si>
    <t>絡み樹の根</t>
  </si>
  <si>
    <t>プレイヤー１人がクリーチャー呪文を唱えるたび、そのプレイヤーは自分のマナ・プールに(G)を加える。</t>
  </si>
  <si>
    <t>破裂の王笏</t>
  </si>
  <si>
    <t>(３),(Ｔ)：プレイヤー１人を対象とする。そのプレイヤーはカードを１枚捨てる。この能力は、あなたのターンの間にのみ起動できる。</t>
  </si>
  <si>
    <t>死者の墳墓</t>
  </si>
  <si>
    <t>あなたは、ライフが０点以下であることでゲームに敗北しない。</t>
  </si>
  <si>
    <t>あなたがライフを失うたび、あなたが失ったライフ１点につきパーマネントを１つ生け贄に捧げる。（ダメージによりライフは失われる。）</t>
  </si>
  <si>
    <t>グルールの戦鍬</t>
  </si>
  <si>
    <t>(１)(R)(G)：グルールの戦鍬はターン終了時まで、4/4の巨大戦車(Juggernaut)アーティファクト・クリーチャーになる。</t>
  </si>
  <si>
    <t>運命の塔</t>
  </si>
  <si>
    <t>(８),(Ｔ)：カードを４枚引く。</t>
  </si>
  <si>
    <t>心臓追いの短剣</t>
  </si>
  <si>
    <t>装備しているクリーチャーは+2/+1の修整を受けるとともに「(Ｔ),心臓追いの短剣をはずす：クリーチャー１体を対象とし、それを破壊する。」を持つ。</t>
  </si>
  <si>
    <t>ヴィダルケンの宇宙儀</t>
  </si>
  <si>
    <t>あなたは呪文を、それが瞬速を持つかのように唱えてもよい。</t>
  </si>
  <si>
    <t>タルキールの龍の玉座</t>
  </si>
  <si>
    <t>装備しているクリーチャーは防衛と「(２),(Ｔ)：ターン終了時まで、あなたがコントロールする他のクリーチャーは+X/+Xの修整を受けるとともにトランプルを得る。Ｘはこのクリーチャーのパワーに等しい。」を持つ。</t>
  </si>
  <si>
    <t>神話の水盤</t>
  </si>
  <si>
    <t>各プレイヤーのドロー・ステップの開始時に、そのプレイヤーは追加のカードを２枚引く。</t>
  </si>
  <si>
    <t>難問の秘儀具</t>
  </si>
  <si>
    <t>(３),(Ｔ)：プレイヤー１人を対象とする。そのプレイヤーはカード名を１つ選ぶ。その後そのプレイヤーのライブラリーの一番上のカードを１枚公開する。そのカードが選ばれた名前を持つなら、そのプレイヤーはそれを自分の手札に加える。そうでないなら、そのプレイヤーはそれを自分の墓地に置き、難問の秘儀具はそのプレイヤーに２点のダメージを与える。</t>
  </si>
  <si>
    <t>カルドラの盾</t>
  </si>
  <si>
    <t>《カルドラの剣/Sword of Kaldra》と《カルドラの盾/Shield of Kaldra》と《カルドラの兜/Helm of Kaldra》という名前の装備品(Equipment)は破壊不能を持つ。（ダメージや「破壊する」効果では、それは破壊されない。）</t>
  </si>
  <si>
    <t>憑依された板金鎧</t>
  </si>
  <si>
    <t>装備しているクリーチャーは+4/+4の修整を受ける。</t>
  </si>
  <si>
    <t>(０)：ターン終了時まで、憑依された板金鎧は装備品(Equipment)ではない4/4のスピリット(Spirit)・アーティファクト・クリーチャーになる。この能力は、あなたがクリーチャーをコントロールしていないときにのみ起動できる。</t>
  </si>
  <si>
    <t>瓶詰めの回廊</t>
  </si>
  <si>
    <t>各対戦相手のアップキープの開始時に、あなたの手札のカードをすべて裏向きで追放する。</t>
  </si>
  <si>
    <t>あなたのアップキープの開始時に、瓶詰めの回廊によって追放された、あなたがオーナーであるすべてのカードをあなたの手札に戻し、その後カードを１枚引く。</t>
  </si>
  <si>
    <t>ギラプールの宇宙儀</t>
  </si>
  <si>
    <t>各プレイヤーは、自分の各ターンに追加の土地を１つプレイしてもよい。</t>
  </si>
  <si>
    <t>各プレイヤーのアップキープの開始時に、そのプレイヤーの手札にカードが無い場合、そのプレイヤーはカードを３枚引く。</t>
  </si>
  <si>
    <t>双子化のガラス</t>
  </si>
  <si>
    <t>(１),(Ｔ)：あなたは、あなたの手札にある土地でないカードを、それがこのターンに唱えられた呪文と同じ名前を持っている場合、そのマナ・コストを支払うことなく唱えてもよい。</t>
  </si>
  <si>
    <t>カルドラの剣</t>
  </si>
  <si>
    <t>装備しているクリーチャーは+5/+5の修整を受ける。</t>
  </si>
  <si>
    <t>装備しているクリーチャーがクリーチャーにダメージを与えるたび、そのクリーチャーを追放する。（それが戦場にある場合にのみ追放する。）</t>
  </si>
  <si>
    <t>不明の卵</t>
  </si>
  <si>
    <t>土地が１つ戦場からいずれかの墓地に置かれるたび、不明の卵はその土地のコントローラーに２点のダメージを与える。</t>
  </si>
  <si>
    <t>大量破壊の網</t>
  </si>
  <si>
    <t>(４),(Ｔ)：対戦相手１人を対象とする。そのプレイヤーは２点のライフを失い、毒(poison)カウンターを１個得て、その後そのプレイヤーのライブラリーの一番上から６枚のカードをそのプレイヤーの墓地に置く。</t>
  </si>
  <si>
    <t>思考の解剖器</t>
  </si>
  <si>
    <t>(Ｘ),(Ｔ)：対戦相手１人を対象とする。そのプレイヤーは自分のライブラリーを、アーティファクト・カードが公開されるか、カードがＸ枚公開されるまで上から１枚ずつ公開する。これによりアーティファクト・カードが公開された場合、それをあなたのコントロール下で戦場に出し、思考の解剖器を生け贄に捧げる。これにより公開された残りのすべてのカードを、そのプレイヤーの墓地に置く。</t>
  </si>
  <si>
    <t>ゴブリンの放火砲</t>
  </si>
  <si>
    <t>(３),(Ｔ)：クリーチャー１体かプレインズウォーカー１体かプレイヤー１人を対象とする。あなたのライブラリーを、土地カードが公開されるまで上から１枚ずつ公開する。ゴブリンの放火砲はこれにより公開された土地でないカードの数に等しい点数のダメージをそれに与える。もし公開されたカードが山(Mountain)であるなら、ゴブリンの放火砲は代わりに２倍のダメージを与える。公開されたカードを、望む順番であなたのライブラリーの一番下に置く。</t>
  </si>
  <si>
    <t>精神固めの宝珠</t>
  </si>
  <si>
    <t>プレイヤーはライブラリーから探せない。</t>
  </si>
  <si>
    <t>組み合い鉤</t>
  </si>
  <si>
    <t>装備しているクリーチャーは二段攻撃を持つ。</t>
  </si>
  <si>
    <t>装備しているクリーチャーが攻撃するたび、クリーチャー１体を対象とする。あなたは「それは可能ならばこのクリーチャーをブロックする」ことを選んでもよい。</t>
  </si>
  <si>
    <t>永劫の塔</t>
  </si>
  <si>
    <t>(８),(Ｔ)：あなたは１０点のライフを得る。</t>
  </si>
  <si>
    <t>詩神の器</t>
  </si>
  <si>
    <t>(３),(Ｔ)：プレイヤー１人を対象とする。そのプレイヤーは、自分の手札にあるカードを１枚、追放する。この能力は、あなたがソーサリーを唱えられるときにのみ起動できる。</t>
  </si>
  <si>
    <t>(１)：詩神の器によって追放されたカードを１枚選ぶ。このターン、あなたはそのカードをプレイしてもよい。</t>
  </si>
  <si>
    <t>面晶体のマトリックス</t>
  </si>
  <si>
    <t>装備しているクリーチャーは+X/+Xの修整を受ける。Ｘはそれの点数で見たマナ・コストである。</t>
  </si>
  <si>
    <t>道化の帽子</t>
  </si>
  <si>
    <t>(２),(Ｔ),道化の帽子を生け贄に捧げる：プレイヤー１人を対象とする。あなたはそのプレイヤーのライブラリーからカードを３枚探し、それらを追放する。そのプレイヤーは、自分のライブラリーを切り直す。</t>
  </si>
  <si>
    <t>帝国の玉座</t>
  </si>
  <si>
    <t>(１),(Ｔ)：白の1/1の兵士(Soldier)クリーチャー・トークンを１体生成する。あなたが《帝国の王冠/Crown of Empires》という名前のアーティファクトと《帝国の王笏/Scepter of Empires》という名前のアーティファクトをコントロールしている場合、代わりにそのトークンを５体生成する。</t>
  </si>
  <si>
    <t>空飛ぶ絨毯</t>
  </si>
  <si>
    <t>(２),(Ｔ)：クリーチャー１体を対象とする。それはターン終了時まで飛行を得る。</t>
  </si>
  <si>
    <t>精霊のワンド</t>
  </si>
  <si>
    <t>(Ｔ),島(Island)を１つ生け贄に捧げる：飛行を持つ青の2/2のエレメンタル(Elemental)・クリーチャー・トークンを１体生成する。</t>
  </si>
  <si>
    <t>(Ｔ),山(Mountain)を１つ生け贄に捧げる：赤の3/3のエレメンタル・クリーチャー・トークンを１体生成する。</t>
  </si>
  <si>
    <t>テゼレットの門破り</t>
  </si>
  <si>
    <t>テゼレットの門破りが戦場に出たとき、あなたのライブラリーの一番上からカードを５枚見る。あなたはその中から青かアーティファクトであるカード１枚を公開してあなたの手札に加えてもよい。残りをあなたのライブラリーの一番下に無作為の順番で置く。</t>
  </si>
  <si>
    <t>(５)(U),(Ｔ),テゼレットの門破りを生け贄に捧げる：このターン、あなたがコントロールしているクリーチャーはブロックされない。</t>
  </si>
  <si>
    <t>王者の塔</t>
  </si>
  <si>
    <t>(８),(Ｔ)：クリーチャー１体を対象とする。それはターン終了時まで+6/+6の修整を受ける。</t>
  </si>
  <si>
    <t>別世界の大地図</t>
  </si>
  <si>
    <t>(Ｔ)：別世界の大地図の上に蓄積(charge)カウンターを１個置く。</t>
  </si>
  <si>
    <t>(Ｔ)：別世界の大地図の上に置かれた蓄積カウンター１個につき、各プレイヤーはカードを１枚引く。</t>
  </si>
  <si>
    <t>姥の仮面</t>
  </si>
  <si>
    <t>プレイヤー１人がカードを引く場合、代わりにそのプレイヤーはそのカードを表向きに追放する。</t>
  </si>
  <si>
    <t>各プレイヤーは、このターンに自分が姥の仮面によって追放されたカードをプレイしてもよい。</t>
  </si>
  <si>
    <t>研磨車</t>
  </si>
  <si>
    <t>(Ｘ)(Ｘ),(Ｔ)：プレイヤー１人を対象とする。そのプレイヤーは、自分のライブラリーのカードを上からＸ枚、自分の墓地に置く。</t>
  </si>
  <si>
    <t>変異(３)（あなたはこのカードを、(３)で2/2クリーチャーとして裏向きに唱えてもよい。これの変異コストで、これをいつでも表向きにしてもよい。）</t>
  </si>
  <si>
    <t>装備しているクリーチャーは、あなたがコントロールする沼(Swamp)１つにつき+1/+1の修整を受ける。</t>
  </si>
  <si>
    <t>ボーラスの肖像</t>
  </si>
  <si>
    <t>ボーラスの肖像が戦場に出たとき、あなたはあなたのライブラリーやあなたの墓地から《欺瞞の主、ニコル・ボーラス/Nicol Bolas, the Deceiver》という名前のカード１枚を探し、それを公開してあなたの手札に加えてもよい。あなたがこれによりあなたのライブラリーからカードを探したなら、あなたのライブラリーを切り直す。</t>
  </si>
  <si>
    <t>(Ｔ)：あなたのマナ・プールに(U)か(B)か(R)を加える。</t>
  </si>
  <si>
    <t>装備しているクリーチャーは+X/+Xの修整を受ける。Ｘはすべての墓地にあるクリーチャー・カードの数である。</t>
  </si>
  <si>
    <t>巻き戻しの時計</t>
  </si>
  <si>
    <t>他の各プレイヤーのアンタップ・ステップの間に、あなたがコントロールするすべてのアーティファクトをアンタップする。</t>
  </si>
  <si>
    <t>魔女封じの宝珠</t>
  </si>
  <si>
    <t>魔女封じの宝珠が戦場に出たとき、あなたにつけられているすべての呪い(Curse)を破壊する。</t>
  </si>
  <si>
    <t>あなたは呪禁を持つ。（あなたは、あなたの対戦相手がコントロールする、オーラ(Aura)呪文を含む呪文や能力の対象にならない。）</t>
  </si>
  <si>
    <t>悪夢の鞭</t>
  </si>
  <si>
    <t>装備 ― ３点のライフを支払う。（３点のライフを支払う：あなたがコントロールするクリーチャー１体を対象とし、それにつける。装備はソーサリーとしてのみ行う。このカードはつけられていない状態で戦場に出て、クリーチャーが戦場を離れても戦場に残る。）</t>
  </si>
  <si>
    <t>翡翠像</t>
  </si>
  <si>
    <t>(２)：翡翠像は戦闘終了時まで3/6のゴーレム(Golem)・アーティファクト・クリーチャーになる。この能力は戦闘中にのみ起動できる。</t>
  </si>
  <si>
    <t>月銀の槍</t>
  </si>
  <si>
    <t>装備しているクリーチャーが攻撃するたび、飛行を持つ白の4/4の天使(Angel)クリーチャー・トークンを１体生成する。</t>
  </si>
  <si>
    <t>パルンズの剣</t>
  </si>
  <si>
    <t>装備しているクリーチャーがタップ状態であるかぎり、あなたがコントロールするタップ状態のクリーチャーは+2/+0の修整を受ける。</t>
  </si>
  <si>
    <t>装備しているクリーチャーがアンタップ状態であるかぎり、あなたがコントロールするアンタップ状態のクリーチャーは+0/+2の修整を受ける。</t>
  </si>
  <si>
    <t>(３)：あなたは装備しているクリーチャーをタップまたはアンタップしてもよい。</t>
  </si>
  <si>
    <t>神託者の大聖堂</t>
  </si>
  <si>
    <t>(２),(Ｔ)：あなたのライブラリーの一番上のカードを追放する。ターン終了時まで、あなたはそのカードをプレイしてもよい。神託者の大聖堂の上に石材(brick)カウンターを１個置く。</t>
  </si>
  <si>
    <t>(Ｔ)：あなたのライブラリーの一番上のカードを追放する。ターン終了時まで、あなたはそのカードをそのマナ・コストを支払うことなくプレイしてもよい。この能力は、神託者の大聖堂の上に石材カウンターが３個以上置かれているときにのみ起動できる。</t>
  </si>
  <si>
    <t>流転の護符</t>
  </si>
  <si>
    <t>(４),(Ｔ)：あなたは、あなたの手札にあるクリーチャー・カードを１枚戦場に出してもよい。</t>
  </si>
  <si>
    <t>予見者の日時計</t>
  </si>
  <si>
    <t>上陸 ― 土地が１つあなたのコントロール下で戦場に出るたび、あなたは(２)を支払ってもよい。そうした場合、カードを１枚引く。</t>
  </si>
  <si>
    <t>試作品の扉</t>
  </si>
  <si>
    <t>刻印 ― 試作品の扉が戦場に出たとき、あなたはあなたの手札にあるアーティファクト・カード１枚を追放してもよい。</t>
  </si>
  <si>
    <t>(Ｘ),(Ｔ)：その追放されたカードのコピーであるトークンを１つ生成する。Ｘはそのカードの点数で見たマナ・コストである。</t>
  </si>
  <si>
    <t>殉教の鐘</t>
  </si>
  <si>
    <t>あなたのアップキープの開始時に、あなたがコントロールするクリーチャー１体を対象とする。あなたは「それはターン終了時まで+X/+Xの修整を受ける」ことを選んでもよい。Ｘはあなたがコントロールするクリーチャーの数である。そうした場合、次の終了ステップの開始時にそのクリーチャーを生け贄に捧げる。</t>
  </si>
  <si>
    <t>血時計</t>
  </si>
  <si>
    <t>各プレイヤーのアップキープの開始時に、そのプレイヤーは２点のライフを支払わないかぎり、自分がコントロールするパーマネントを１つ、オーナーの手札に戻す。</t>
  </si>
  <si>
    <t>霊気貯蔵器</t>
  </si>
  <si>
    <t>あなたが呪文を１つ唱えるたび、このターンにあなたが唱えた呪文１つにつき１点のライフを得る。</t>
  </si>
  <si>
    <t>５０点のライフを支払う：クリーチャー１体かプレインズウォーカー１体かプレイヤー１人を対象とする。霊気貯蔵器はそれに５０点のダメージを与える。</t>
  </si>
  <si>
    <t>スランの経時門</t>
  </si>
  <si>
    <t>(４),(Ｔ)：あなたは、あなたの手札から歴史的なパーマネント・カード１枚を戦場に出してもよい。（歴史的とは、アーティファクトと伝説と英雄譚(Saga)のことである。）</t>
  </si>
  <si>
    <t>魂の鋳造所</t>
  </si>
  <si>
    <t>刻印 ― 魂の鋳造所が戦場に出たとき、あなたの手札のクリーチャー・カード１枚を追放してもよい。</t>
  </si>
  <si>
    <t>(Ｘ),(Ｔ)：その追放されたカードのコピーであるトークンを１体生成する。Ｘはそのカードの点数で見たマナ・コストである。</t>
  </si>
  <si>
    <t>ダークスティールの反応炉</t>
  </si>
  <si>
    <t>あなたのアップキープの開始時に、あなたはダークスティールの反応炉の上に蓄積(charge)カウンターを１個置いてもよい。</t>
  </si>
  <si>
    <t>ダークスティールの反応炉の上に蓄積カウンターが２０個以上置かれているとき、あなたはこのゲームに勝利する。</t>
  </si>
  <si>
    <t>パンハモニコン</t>
  </si>
  <si>
    <t>アーティファクト１つかクリーチャー１体が戦場に出たことによりあなたがコントロールするパーマネントの誘発型能力が誘発するなら、その能力は追加でもう１回誘発する。</t>
  </si>
  <si>
    <t>原初の呪物</t>
  </si>
  <si>
    <t>あなたがインスタントかソーサリーである呪文を唱えるためのコストは(１)少なくなる。</t>
  </si>
  <si>
    <t>あなたがインスタントかソーサリーである呪文を唱えるたび、原初の呪物の上に蓄積(charge)カウンターを１個置く。その後、これの上に蓄積カウンターが４個以上置かれているなら、あなたはそれらのカウンターをすべて取り除きこれを変身させてもよい。</t>
  </si>
  <si>
    <t>原初の水源</t>
  </si>
  <si>
    <t>（《原初の呪物/Primal Amulet》から変身する。）</t>
  </si>
  <si>
    <t>(Ｔ)：好きな色１色のマナ１点を加える。そのマナがインスタントかソーサリーである呪文を唱えるために支払われたとき、その呪文をコピーする。あなたはそのコピーの新しい対象を選んでもよい。</t>
  </si>
  <si>
    <t>テフェリーの細工箱</t>
  </si>
  <si>
    <t>各プレイヤーのドロー・ステップの開始時に、そのプレイヤーは自分の手札のカードを自分のライブラリーの一番下に望む順番で置く。その後同じ枚数のカードを引く。</t>
  </si>
  <si>
    <t>磁力地雷</t>
  </si>
  <si>
    <t>他のアーティファクトが１つ戦場からいずれかの墓地に置かれるたび、磁力地雷はそのアーティファクトのコントローラーに２点のダメージを与える。</t>
  </si>
  <si>
    <t>強欲の護符</t>
  </si>
  <si>
    <t>装備しているクリーチャーは+2/+0の修整を受けるとともに警戒と「あなたのアップキープの開始時に、カードを１枚引く。」を持つ。</t>
  </si>
  <si>
    <t>装備しているクリーチャーが死亡するたび、対戦相手１人を対象とする。そのプレイヤーは強欲の護符のコントロールを得る。</t>
  </si>
  <si>
    <t>キマイラ杖</t>
  </si>
  <si>
    <t>(Ｘ)：キマイラ杖は、ターン終了時までX/Xの構築物(Construct)アーティファクト・クリーチャーになる。</t>
  </si>
  <si>
    <t>不死のコイル</t>
  </si>
  <si>
    <t>(Ｔ),あなたの墓地にあるカードを２枚、追放する：カードを１枚引く。</t>
  </si>
  <si>
    <t>あなたにダメージが与えられる場合、そのダメージを軽減する。これにより軽減されたダメージ１点につき、あなたの墓地にあるカードを１枚追放する。</t>
  </si>
  <si>
    <t>あなたの墓地にカードが無いとき、あなたはこのゲームに敗北する。</t>
  </si>
  <si>
    <t>つぶやきの塔</t>
  </si>
  <si>
    <t>(８),(Ｔ)：プレイヤー１人を対象とする。そのプレイヤーは自分のライブラリーのカードを上から８枚、自分の墓地に置く。</t>
  </si>
  <si>
    <t>出産の殻</t>
  </si>
  <si>
    <t>(３)(緑/Φ)</t>
  </si>
  <si>
    <t>(１)(緑/Φ),(Ｔ),クリーチャーを１体生け贄に捧げる：あなたのライブラリーから、その生け贄に捧げたクリーチャーの点数で見たマナ・コストに１を足した値に等しい点数のマナ・コストを持つクリーチャー・カードを１枚探し、そのカードを戦場に出す。その後、あなたのライブラリーを切り直す。この能力は、あなたがソーサリーを唱えられるときにのみ起動できる。</t>
  </si>
  <si>
    <t>交易所</t>
  </si>
  <si>
    <t>(１),(Ｔ),カードを１枚捨てる：あなたは４点のライフを得る。</t>
  </si>
  <si>
    <t>(１),(Ｔ),ライフを１点支払う：白の0/1のヤギ(Goat)・クリーチャー・トークンを１体生成する。</t>
  </si>
  <si>
    <t>(１),(Ｔ),クリーチャーを１体生け贄に捧げる：あなたの墓地にあるアーティファクト・カード１枚を対象とし、それをあなたの手札に戻す。</t>
  </si>
  <si>
    <t>(１),(Ｔ),アーティファクトを１つ生け贄に捧げる：カードを１枚引く。</t>
  </si>
  <si>
    <t>御大将の兜</t>
  </si>
  <si>
    <t>装備しているクリーチャーに与えられるすべての戦闘ダメージを軽減する。</t>
  </si>
  <si>
    <t>死裂の剣</t>
  </si>
  <si>
    <t>装備しているクリーチャーが死亡するたび、あなたはあなたの手札にあるクリーチャー・カードを１枚戦場に出し、死裂の剣をそれにつけてもよい。</t>
  </si>
  <si>
    <t>多勢の兜</t>
  </si>
  <si>
    <t>あなたのターンの戦闘の開始時に、装備しているクリーチャーが伝説であってもそのトークンは伝説ではないことを除き、装備しているクリーチャーのコピーであるトークンを１体生成する。そのトークンは速攻を得る。</t>
  </si>
  <si>
    <t>系図の石版</t>
  </si>
  <si>
    <t>(４),(Ｔ),あなたの手札をすべて捨てる：あなたがコントロールするクリーチャー１体につきカードを１枚引く。</t>
  </si>
  <si>
    <t>災難の塔</t>
  </si>
  <si>
    <t>(８),(Ｔ)：クリーチャー１体を対象とする。災難の塔はそれに１２点のダメージを与える。</t>
  </si>
  <si>
    <t>連結面晶体構造</t>
  </si>
  <si>
    <t>連結面晶体構造が戦場に出たとき、パワーが５以上のすべてのクリーチャーを、連結面晶体構造が戦場を離れるまで追放する。（それらのクリーチャーはオーナーのコントロール下で戦場に戻る。）</t>
  </si>
  <si>
    <t>運命の扉</t>
  </si>
  <si>
    <t>運命の扉が戦場に出るに際し、クリーチャー・タイプを１つ選ぶ。</t>
  </si>
  <si>
    <t>あなたが選ばれたタイプの呪文を唱えるたび、運命の扉の上に蓄積(charge)カウンターを１個置く。</t>
  </si>
  <si>
    <t>あなたがコントロールする選ばれたタイプのクリーチャーは、運命の扉の上に置かれた蓄積カウンター１個につき+1/+1の修整を受ける。</t>
  </si>
  <si>
    <t>王を葬る鎌、アンサイズ</t>
  </si>
  <si>
    <t>(U)(B)(B)(R)</t>
  </si>
  <si>
    <t>このターン、装備しているクリーチャーによってダメージを与えられたクリーチャーが死亡するたび、あなたはそのカードを追放してもよい。そうした場合、黒の2/2のゾンビ(Zombie)・クリーチャー・トークンを１体生成する。</t>
  </si>
  <si>
    <t>失われし夢の井戸</t>
  </si>
  <si>
    <t>あなたがライフを得るたび、あなたは(Ｘ)を支払ってもよい。Ｘはあなたが得たライフの総量以下の点数である。そうした場合、カードをＸ枚引く。</t>
  </si>
  <si>
    <t>妖術師の衣装部屋</t>
  </si>
  <si>
    <t>あなたの終了ステップの開始時に、あなたがコントロールするクリーチャー１体を対象とする。あなたはそれを追放し、その後そのカードをあなたのコントロール下で戦場に戻してもよい。</t>
  </si>
  <si>
    <t>災いの砂時計</t>
  </si>
  <si>
    <t>(Ｔ),災いの砂時計を生け贄に捧げる：アーティファクトと土地以外のすべてのパーマネントを破壊する。この能力は、あなたのアップキープの間にのみ起動できる。</t>
  </si>
  <si>
    <t>精神の眼</t>
  </si>
  <si>
    <t>対戦相手がカードを引くたび、あなたは(１)を支払ってもよい。そうした場合、カードを１枚引く。</t>
  </si>
  <si>
    <t>月輪の鏡</t>
  </si>
  <si>
    <t>あなたがカードを引くたび、あなたのライブラリーの一番上のカードを１枚、裏向きで追放する。</t>
  </si>
  <si>
    <t>あなたのアップキープ開始時に、あなたは自分の手札のカードをすべて裏向きまま追放してもよい。そうした場合、それらのカード以外で月輪の鏡によって追放されたあなたがオーナーであるすべてのカードをあなたの手札に加える。</t>
  </si>
  <si>
    <t>英雄の演壇</t>
  </si>
  <si>
    <t>あなたのコントロールする各伝説のクリーチャーは、あなたがコントロールする他の伝説のクリーチャー１体につきそれぞれ+1/+1の修整を受ける。</t>
  </si>
  <si>
    <t>(Ｘ),(Ｔ)：あなたのライブラリーの一番上からＸ枚のカードを見る。あなたはその中から伝説のクリーチャー・カード１枚を公開してあなたの手札に加えてもよい。残りをあなたのライブラリーの一番下に無作為の順番で置く。</t>
  </si>
  <si>
    <t>蜂の巣</t>
  </si>
  <si>
    <t>(５),(Ｔ)：《ワスプ/Wasp》という名前の、飛行を持つ無色の1/1の昆虫(Insect)アーティファクト・クリーチャー・トークンを１体生成する。（それは飛行や到達を持たないクリーチャーによってはブロックされない。）</t>
  </si>
  <si>
    <t>旗印</t>
  </si>
  <si>
    <t>各クリーチャーは、それと共通のクリーチャー・タイプを少なくとも１つ持つ、戦場に出ている他のクリーチャー１体につき+1/+1の修整を受ける。（例えば、２つのゴブリン(Goblin)・戦士(Warrior)と１つのゴブリン・シャーマン(Shaman)が戦場に出ている場合、それらはそれぞれ+2/+2の修整を受ける。）</t>
  </si>
  <si>
    <t>ノーンの別館</t>
  </si>
  <si>
    <t>(３)(白/Φ)(白/Φ)</t>
  </si>
  <si>
    <t>クリーチャーは、それのコントローラーがそのクリーチャー１体につき(白/Φ)を支払わないかぎり、あなたやあなたがコントロールするプレインズウォーカーを攻撃できない。</t>
  </si>
  <si>
    <t>永劫の中軸</t>
  </si>
  <si>
    <t>プレイヤーはアップキープ・ステップを飛ばす。</t>
  </si>
  <si>
    <t>護法の宝珠</t>
  </si>
  <si>
    <t>クリーチャーがあなたにダメージを与えるなら、そのダメージを１点軽減する。</t>
  </si>
  <si>
    <t>華麗なる簪</t>
  </si>
  <si>
    <t>(２),(Ｔ)：対戦相手１人を対象とする。そのプレイヤーは、自分のライブラリーの一番上から１枚のカードを追放する。このターン、あなたはそれをプレイしてもよい。</t>
  </si>
  <si>
    <t>最下層民の盾</t>
  </si>
  <si>
    <t>あなたに与えられるすべてのダメージは、代わりに装備しているクリーチャーに与えられる。</t>
  </si>
  <si>
    <t>ちらつき蛾の甕</t>
  </si>
  <si>
    <t>各プレイヤーの戦闘前のメイン・フェイズの開始時に、ちらつき蛾の甕がアンタップ状態である場合、そのプレイヤーは自分がコントロールするアーティファクト１つにつき(◇)を加える。</t>
  </si>
  <si>
    <t>金粉の水蓮</t>
  </si>
  <si>
    <t>マイアのタービン</t>
  </si>
  <si>
    <t>(Ｔ)：無色の1/1のマイア(Myr)・アーティファクト・クリーチャー・トークンを１体生成する。</t>
  </si>
  <si>
    <t>(Ｔ),あなたがコントロールするアンタップ状態のマイア５体をタップする：あなたのライブラリーからマイア・クリーチャー・カードを１枚探し、それを戦場に出し、その後あなたのライブラリーを切り直す。</t>
  </si>
  <si>
    <t>シタヌールのフルート</t>
  </si>
  <si>
    <t>(Ｘ),(Ｔ)：あなたのライブラリーから、点数で見たマナ・コストがＸ以下であるクリーチャー・カードを１枚探す。それを公開し、あなたの手札に加える。その後あなたのライブラリーを切り直す。</t>
  </si>
  <si>
    <t>天使心の薬瓶</t>
  </si>
  <si>
    <t>あなたがダメージを与えられるたび、あなたは天使心の薬瓶の上にその点数に等しい数の蓄積(charge)カウンターを置いてもよい。</t>
  </si>
  <si>
    <t>(２),(Ｔ),天使心の薬瓶から蓄積カウンターを４個取り除く：あなたは２点のライフを得るとともに、カードを１枚引く。</t>
  </si>
  <si>
    <t>世界薙ぎの剣</t>
  </si>
  <si>
    <t>装備しているクリーチャーがプレイヤーに戦闘ダメージを与えるたび、世界薙ぎの剣以外のすべてのパーマネントを破壊する。</t>
  </si>
  <si>
    <t>装備(５)（(５)：あなたがコントロールするクリーチャー１体を対象とし、それにつける。装備はソーサリーとしてのみ行う。）</t>
  </si>
  <si>
    <t>織端の石</t>
  </si>
  <si>
    <t>あなたがコントロールする呪文は波及４を持つ。（あなたが呪文を唱えたとき、あなたは自分のライブラリーの一番上から４枚のカードを公開してもよい。あなたは公開されたカードの中から、その呪文と同じ名前を持つカードを、そのマナ・コストを支払うことなく唱えてもよい。残りのカードをあなたのライブラリーの一番下に置く。）</t>
  </si>
  <si>
    <t>奪われし御物</t>
  </si>
  <si>
    <t>(４),(Ｔ)：奪われし御物以外のパーマネント１つを対象とする。その上に神性(divinity)カウンターを１個置く。</t>
  </si>
  <si>
    <t>神性カウンターが置かれている各パーマネントは破壊不能を持つ。</t>
  </si>
  <si>
    <t>魔力の篭手</t>
  </si>
  <si>
    <t>魔力の篭手が戦場に出るに際し、色を１色選ぶ。</t>
  </si>
  <si>
    <t>選ばれた色のクリーチャーは+1/+1の修整を受ける。</t>
  </si>
  <si>
    <t>選ばれた色のマナを出す目的で基本土地がタップされるたび、それのコントローラーは追加でその色のマナ１点を加える。</t>
  </si>
  <si>
    <t>命運の鏡</t>
  </si>
  <si>
    <t>(Ｔ),命運の鏡を生け贄に捧げる：あなたがオーナーである、追放されている表向きのカードを最大７枚まで選ぶ。あなたのライブラリーのカードをすべて追放し、その後、選ばれたカードをあなたのライブラリーの一番上に置く。</t>
  </si>
  <si>
    <t>時間ふるい</t>
  </si>
  <si>
    <t>各アップキープの開始時に、各プレイヤーは自分のライブラリーの一番上のカードを追放する。点数で見たマナ・コストが最も大きいカードを追放したプレイヤーは、このターンの後に追加のターンを行う。複数のカードが最高で同点である場合、同点であったプレイヤーは同点でなくなるまでこの手順を繰り返す。</t>
  </si>
  <si>
    <t>鏡操り</t>
  </si>
  <si>
    <t>他のトークンでないアーティファクトが１つあなたのコントロール下で戦場に出るたび、あなたは(２)を支払ってもよい。そうした場合、そのアーティファクトのコピーであるトークンを１つ生成する。</t>
  </si>
  <si>
    <t>下僕の反射鏡</t>
  </si>
  <si>
    <t>トークンでないクリーチャーがあなたのコントロール下で戦場に出るたび、あなたは(２)を支払ってもよい。そうした場合、そのクリーチャーのコピーであるトークンを１体生成する。そのトークンは速攻と「終了ステップの開始時に、このパーマネントを生け贄に捧げる。」を持つ。</t>
  </si>
  <si>
    <t>一望の鏡</t>
  </si>
  <si>
    <t>刻印 ― (Ｘ),(Ｔ)：あなたの手札から、点数で見たマナ・コストがＸ点であるインスタント・カード１枚かソーサリー・カード１枚を追放してもよい。</t>
  </si>
  <si>
    <t>あなたのアップキープの開始時に、あなたは一望の鏡に追放されているそのインスタント・カードかソーサリー・カードの１枚をコピーしてもよい。そうした場合、あなたはそのコピーを、そのマナ・コストを支払うことなく唱えてもよい。</t>
  </si>
  <si>
    <t>清水のゴブレット</t>
  </si>
  <si>
    <t>あなたのアップキープの開始時に、あなたは清水のゴブレットの上に置かれている蓄積カウンターの数に等しい点数のライフを得てもよい。</t>
  </si>
  <si>
    <t>ヴェンセールの日誌</t>
  </si>
  <si>
    <t>あなたの手札の上限はなくなる。</t>
  </si>
  <si>
    <t>あなたのアップキープの開始時に、あなたはあなたの手札にあるカード１枚につき１点のライフを得る。</t>
  </si>
  <si>
    <t>魂の大鍋</t>
  </si>
  <si>
    <t>(Ｔ)：望む数のクリーチャーを対象とする。それらのクリーチャーはそれぞれ、ターン終了時まで頑強を得る。（それが死亡したとき、その上に-1/-1カウンターが置かれていなかった場合、それを-1/-1カウンターが１個置かれた状態でオーナーのコントロール下で戦場に戻す。）</t>
  </si>
  <si>
    <t>鏡の画廊</t>
  </si>
  <si>
    <t>「レジェンド・ルール」は適用されない。</t>
  </si>
  <si>
    <t>タミヨウの日誌</t>
  </si>
  <si>
    <t>あなたのアップキープの開始時に、調査を行う。（「(２),このアーティファクトを生け贄に捧げる：カードを１枚引く。」を持つ無色の手掛かり(Clue)アーティファクト・トークンを１つ生成する。）</t>
  </si>
  <si>
    <t>(Ｔ),手掛かりを３つ生け贄に捧げる：あなたのライブラリーからカードを１枚探し、それをあなたの手札に加える。その後、あなたのライブラリーを切り直す。</t>
  </si>
  <si>
    <t>勝者の戦旗</t>
  </si>
  <si>
    <t>勝者の戦旗が戦場に出るに際し、クリーチャー・タイプ１つを選ぶ。</t>
  </si>
  <si>
    <t>あなたがコントロールしているその選ばれたタイプを持つクリーチャーは+1/+1の修整を受ける。</t>
  </si>
  <si>
    <t>あなたがその選ばれたタイプのクリーチャー呪文を唱えるたび、カードを１枚引く。</t>
  </si>
  <si>
    <t>マイアのマトリックス</t>
  </si>
  <si>
    <t>マイア(Myr)・クリーチャーは+1/+1の修整を受ける。</t>
  </si>
  <si>
    <t>(５)：無色の1/1のマイア・アーティファクト・クリーチャー・トークンを１体生成する。</t>
  </si>
  <si>
    <t>空虚への扉</t>
  </si>
  <si>
    <t>空虚への扉は、タップ状態で戦場に出る。</t>
  </si>
  <si>
    <t>(W)(W)(U)(U)(B)(B)(R)(R)(G)(G),(Ｔ),空虚への扉を生け贄に捧げる：プレイヤー１人を対象とする。そのプレイヤーは、このゲームに敗北する。</t>
  </si>
  <si>
    <t>紅蓮術士の篭手</t>
  </si>
  <si>
    <t>あなたがコントロールする、赤のインスタント呪文１つか赤のソーサリー呪文１つか赤のプレインズウォーカー１体が、パーマネント１つかプレイヤー１人にダメージを与える場合、代わりにそれはそのパーマネントかプレイヤーに、その点数に２を足した点数のダメージを与える。</t>
  </si>
  <si>
    <t>ニンの杖</t>
  </si>
  <si>
    <t>あなたのアップキープの開始時にカードを１枚引く。</t>
  </si>
  <si>
    <t>(Ｔ)：クリーチャー１体かプレイヤー１人を対象とする。ニンの杖はそれに１点のダメージを与える。</t>
  </si>
  <si>
    <t>号泣の石</t>
  </si>
  <si>
    <t>(５),(Ｔ)：プレイヤー１人を対象とする。そのプレイヤーは自分のライブラリーの一番上からＸ枚のカードを自分の墓地に置く。Ｘは、そのプレイヤーの墓地にあるカードの枚数である。</t>
  </si>
  <si>
    <t>前兆の機械</t>
  </si>
  <si>
    <t>プレイヤーはカードを引けない。</t>
  </si>
  <si>
    <t>各プレイヤーのドロー・ステップの開始時に、そのプレイヤーは自分のライブラリーの一番上のカードを追放する。それが土地カードである場合、そのプレイヤーはそれを戦場に出す。そうでない場合、そのプレイヤーは可能ならばそれをそれのマナ・コストを支払うことなく唱える。</t>
  </si>
  <si>
    <t>アージェンタムの鎧</t>
  </si>
  <si>
    <t>装備しているクリーチャーは+6/+6の修整を受ける。</t>
  </si>
  <si>
    <t>装備しているクリーチャーが攻撃するたび、パーマネント１つを対象とし、それを破壊する。</t>
  </si>
  <si>
    <t>ブービートラップ</t>
  </si>
  <si>
    <t>ブービートラップが戦場に出るに際し、対戦相手１人を選び、基本土地カード名以外のカード名を１つ選ぶ。</t>
  </si>
  <si>
    <t>選ばれたプレイヤーは、自分が引く各カードを公開する。</t>
  </si>
  <si>
    <t>選ばれたプレイヤーが選ばれた名前を持つカードを引いたとき、ブービートラップを生け贄に捧げる。そうした場合、ブービートラップはそのプレイヤーに１０点のダメージを与える。</t>
  </si>
  <si>
    <t>次元の門</t>
  </si>
  <si>
    <t>(６),(Ｔ)：あなたのライブラリーからカードを１枚探し、それをあなたの手札に加える。その後あなたのライブラリーを切り直す。</t>
  </si>
  <si>
    <t>骨の結界</t>
  </si>
  <si>
    <t>あなたより多くのクリーチャーをコントロールしている各対戦相手は、クリーチャー呪文を唱えられない。アーティファクト、エンチャントについても同様である。</t>
  </si>
  <si>
    <t>あなたより多くの土地をコントロールしている各対戦相手は、土地をプレイできない。</t>
  </si>
  <si>
    <t>マイコシンスの格子</t>
  </si>
  <si>
    <t>すべてのパーマネントは、そのタイプに加えてアーティファクトである。</t>
  </si>
  <si>
    <t>戦場以外にあるすべてのカード、すべての呪文、すべてのパーマネントは無色である。</t>
  </si>
  <si>
    <t>プレイヤーは、マナをすべての色のマナであるかのように支払ってもよい。</t>
  </si>
  <si>
    <t>髪張りの琴</t>
  </si>
  <si>
    <t>あなたがコントロールするアンタップ状態のクリーチャー１体をタップする：プレイヤー１人を対象とする。そのプレイヤーは、自分のライブラリーの一番上のカードを１枚、自分の墓地に置く。</t>
  </si>
  <si>
    <t>上天への門</t>
  </si>
  <si>
    <t>各プレイヤーのアップキープ開始時に、そのプレイヤーは自分のライブラリーの一番上のカードを公開する。それがアーティファクトか、クリーチャーか、エンチャントか、土地である場合、そのプレイヤーはそれを戦場に出してもよい。</t>
  </si>
  <si>
    <t>ウルドのオベリスク</t>
  </si>
  <si>
    <t>ウルドのオベリスクが戦場に出るに際し、クリーチャー・タイプを１つ選ぶ。</t>
  </si>
  <si>
    <t>あなたがコントロールする、その選ばれたタイプを持つクリーチャーは+2/+2の修整を受ける。</t>
  </si>
  <si>
    <t>ウルザの鎧</t>
  </si>
  <si>
    <t>発生源１つがあなたにダメージを与える場合、そのダメージを１点軽減する。</t>
  </si>
  <si>
    <t>かごの中の太陽</t>
  </si>
  <si>
    <t>かごの中の太陽が戦場に出るに際し、色を１色選ぶ。</t>
  </si>
  <si>
    <t>あなたがコントロールする、その選ばれた色のクリーチャーは+1/+1の修整を受ける。</t>
  </si>
  <si>
    <t>いずれかの土地の能力によりあなたのマナ・プールにその選ばれた色のマナが１点以上加えられるたび、その色のマナ１点を追加で加える。</t>
  </si>
  <si>
    <t>回収基地</t>
  </si>
  <si>
    <t>(Ｔ)：あなたの墓地にある、点数で見たマナ・コストが１以下の、クリーチャーでないアーティファクト・カード１枚を対象とし、それを戦場に戻す。</t>
  </si>
  <si>
    <t>クリーチャー１体が死亡するたび、あなたは回収基地をアンタップしてもよい。</t>
  </si>
  <si>
    <t>マイアの保育器</t>
  </si>
  <si>
    <t>(６),(Ｔ),マイアの保育器を生け贄に捧げる：あなたのライブラリーから好きな数のアーティファクト・カードを探し、それらを追放する。その後同数の無色の1/1のマイア(Myr)・アーティファクト・クリーチャー・トークンを生成する。その後あなたのライブラリーを切り直す。</t>
  </si>
  <si>
    <t>伝染病エンジン</t>
  </si>
  <si>
    <t>伝染病エンジンが戦場に出たとき、プレイヤー１人を対象とする。そのプレイヤーがコントロールする各クリーチャーの上に-1/-1カウンターを１個置く。</t>
  </si>
  <si>
    <t>(４),(Ｔ)：増殖を行い、その後、再び増殖を行う。（あなたはカウンターの置かれているパーマネントやプレイヤーを望む数だけ選び、その後それぞれに、その上に置かれているカウンターのうち１種類を１個置く。その後、それを繰り返す。）</t>
  </si>
  <si>
    <t>アラーラのオベリスク</t>
  </si>
  <si>
    <t>(１)(W),(Ｔ)：あなたは５点のライフを得る。</t>
  </si>
  <si>
    <t>(１)(U),(Ｔ)：カードを１枚引き、その後カードを１枚捨てる。</t>
  </si>
  <si>
    <t>(１)(B),(Ｔ)：クリーチャー１体を対象とする。ターン終了時まで、それは-2/-2の修整を受ける。</t>
  </si>
  <si>
    <t>(１)(R),(Ｔ)：プレイヤー１人かプレインズウォーカー１体を対象とする。アラーラのオベリスクは、そのプレイヤーに３点のダメージを与える。</t>
  </si>
  <si>
    <t>(１)(G),(Ｔ)：クリーチャー１体を対象とする。ターン終了時まで、それは+4/+4の修整を受ける。</t>
  </si>
  <si>
    <t>魂の導管</t>
  </si>
  <si>
    <t>(６),(Ｔ)：プレイヤー２人を対象とし、それらのプレイヤーのライフの総量を交換する。</t>
  </si>
  <si>
    <t>龍の牙、辰正</t>
  </si>
  <si>
    <t>(６),龍の牙、辰正を追放する：青の5/5の飛行を持つドラゴン(Dragon)・スピリット(Spirit)・クリーチャー・トークンを１体生成する。そのトークンが死亡したとき、龍の牙、辰正をオーナーのコントロール下で戦場に戻す。</t>
  </si>
  <si>
    <t>精神隷属器</t>
  </si>
  <si>
    <t>(４),(Ｔ),精神隷属器を生け贄に捧げる：プレイヤー１人を対象とする。あなたはそのプレイヤーの次のターンの間、そのプレイヤーをコントロールする。（あなたはそのプレイヤーが見ることのできるすべてのカードを見て、そのプレイヤーのすべての決定を行う。）</t>
  </si>
  <si>
    <t>知識槽</t>
  </si>
  <si>
    <t>刻印 ― 知識槽が戦場に出たとき、各プレイヤーは自分のライブラリーの一番上から３枚のカードを追放する。</t>
  </si>
  <si>
    <t>プレイヤー１人が自分の手札から呪文を１つ唱えるたび、そのプレイヤーはそれを追放する。そうした場合、そのプレイヤーは知識槽により追放された他の土地でないカードを１枚、そのカードのマナ・コストを支払うことなく唱えてもよい。</t>
  </si>
  <si>
    <t>イシュ・サーの背骨</t>
  </si>
  <si>
    <t>イシュ・サーの背骨が戦場に出たとき、パーマネント１つを対象とし、それを破壊する。</t>
  </si>
  <si>
    <t>イシュ・サーの背骨が戦場からいずれかの墓地に置かれたとき、イシュ・サーの背骨をオーナーの手札に戻す。</t>
  </si>
  <si>
    <t>アクローマの記念碑</t>
  </si>
  <si>
    <t>あなたがコントロールするクリーチャーは飛行、先制攻撃、警戒、トランプル、速攻、プロテクション（黒）とプロテクション（赤）を持つ。</t>
  </si>
  <si>
    <t>レガシーの兵器</t>
  </si>
  <si>
    <t>(W)(U)(B)(R)(G)：パーマネント１つを対象とし、それを追放する。</t>
  </si>
  <si>
    <t>レガシーの兵器がいずれかの墓地に置かれる場合、代わりにレガシーの兵器を公開し、それをオーナーのライブラリーに加えて切り直す。</t>
  </si>
  <si>
    <t>召喚基地</t>
  </si>
  <si>
    <t>(Ｔ)：無色の2/2のピンチャー(Pincher)・クリーチャー・トークンを１体生成する。</t>
  </si>
  <si>
    <t>アーティファクトが１つ戦場からいずれかの墓地に置かれるたび、あなたは召喚基地をアンタップしてもよい。</t>
  </si>
  <si>
    <t>影の供犠台</t>
  </si>
  <si>
    <t>あなたの戦闘前のメイン・フェイズの開始時に、その上に置かれている蓄積(charge)カウンター１個につき(B)を加える。</t>
  </si>
  <si>
    <t>(７),(Ｔ)：クリーチャー１体を対象とし、それを破壊する。影の供犠台の上に蓄積カウンターを１個置く。</t>
  </si>
  <si>
    <t>王神の贈り物</t>
  </si>
  <si>
    <t>あなたのターンの戦闘の開始時に、あなたはあなたの墓地からクリーチャー・カード１枚を追放してもよい。そうしたなら、黒の4/4のゾンビ(Zombie)であることを除きそのカードのコピーであるトークンを１体生成する。ターン終了時まで、それは速攻を得る。</t>
  </si>
  <si>
    <t>スフィンクスの骨の杖</t>
  </si>
  <si>
    <t>あなたがインスタント呪文かソーサリー呪文を唱えるたび、クリーチャー１体かプレイヤー１人を対象とする。あなたはスフィンクスの骨の杖の上に蓄積(charge)カウンターを１個置いてもよい。そうした場合、スフィンクスの骨の杖はそれに、スフィンクスの骨の杖の上に置かれている蓄積カウンターの数に等しい点数のダメージを与える。</t>
  </si>
  <si>
    <t>アラジンの指輪</t>
  </si>
  <si>
    <t>(８),(Ｔ)：クリーチャー１体かプレインズウォーカー１体かプレイヤー１人を対象とする。アラジンの指輪はそれに４点のダメージを与える。</t>
  </si>
  <si>
    <t>取り憑かれた扉</t>
  </si>
  <si>
    <t>プレイヤー１人がカードを引く場合、代わりにそのプレイヤーはそのカードを引くことを飛ばす。</t>
  </si>
  <si>
    <t>各終了ステップの開始時に、各プレイヤーはカードを１枚捨てないかぎり、パーマネントを１つ生け贄に捧げる。</t>
  </si>
  <si>
    <t>ダークスティールの溶鉱炉</t>
  </si>
  <si>
    <t>あなたがコントロールするアーティファクトは破壊不能を持つ。（「破壊する」効果では、それらは破壊されない。破壊不能を持つアーティファクト・クリーチャーは、ダメージによって破壊されない。）</t>
  </si>
  <si>
    <t>オパールのモックス</t>
  </si>
  <si>
    <t>金属術 ― (Ｔ)：好きな色１色のマナ１点を加える。この能力は、あなたがアーティファクトを３つ以上コントロールしているときにのみ起動できる。</t>
  </si>
  <si>
    <t>モックス・アンバー</t>
  </si>
  <si>
    <t>(Ｔ)：あなたがコントロールしている伝説のクリーチャーとプレインズウォーカーの中の好きな色１色のマナ１点を加える。</t>
  </si>
  <si>
    <t>アゾールの門口</t>
  </si>
  <si>
    <t>(１),(Ｔ)：カードを１枚引き、その後あなたの手札からカード１枚を追放する。アゾールの門口により５種類以上の異なる点数で見たマナ・コストを持つカードが追放されたなら、あなたは５点のライフを得て、アゾールの門口をアンタップし、これを変身させる。</t>
  </si>
  <si>
    <t>太陽の聖域</t>
  </si>
  <si>
    <t>（《アゾールの門口/Azor's Gateway》から変身する。）</t>
  </si>
  <si>
    <t>(Ｔ)：あなたのマナ・プールに好きな色１色のマナＸ点を加える。Ｘはあなたのライフ総量に等しい。</t>
  </si>
  <si>
    <t>戦争と平和の剣</t>
  </si>
  <si>
    <t>装備しているクリーチャーは+2/+2の修整を受けるとともにプロテクション（赤）とプロテクション（白）を持つ。</t>
  </si>
  <si>
    <t>装備しているクリーチャーがプレイヤー１人に戦闘ダメージを与えるたび、戦争と平和の剣はそのプレイヤーに、そのプレイヤーの手札にあるカードの枚数に等しい点数のダメージを与え、あなたはあなたの手札にあるカード１枚につき１点のライフを得る。</t>
  </si>
  <si>
    <t>神送り</t>
  </si>
  <si>
    <t>装備しているクリーチャーが、１体以上のクリーチャーをブロックするか、１体以上のクリーチャーにブロックされた状態になるたび、あなたはそれらのクリーチャーのうち１体を追放してもよい。</t>
  </si>
  <si>
    <t>あなたの対戦相手は、神送りによって追放されているカードと同じ名前を持つ呪文を唱えられない。</t>
  </si>
  <si>
    <t>饗宴と飢餓の剣</t>
  </si>
  <si>
    <t>装備しているクリーチャーは+2/+2の修整を受けるとともにプロテクション（黒）とプロテクション（緑）を持つ。</t>
  </si>
  <si>
    <t>装備しているクリーチャーがプレイヤー１人に戦闘ダメージを与えるたび、そのプレイヤーはカードを１枚捨て、あなたはあなたがコントロールする土地をすべてアンタップする。</t>
  </si>
  <si>
    <t>獄庫</t>
  </si>
  <si>
    <t>(１),(Ｔ)：あなたがコントロールするクリーチャー１体を対象とし、それを追放する。</t>
  </si>
  <si>
    <t>(７),(Ｔ)：あなたがコントロールしていないクリーチャー１体を対象とし、それを追放する。</t>
  </si>
  <si>
    <t>獄庫が戦場からいずれかの墓地に置かれたとき、それにより追放されたすべてのカードをオーナーのコントロール下で戦場に戻す。</t>
  </si>
  <si>
    <t>肉体と精神の剣</t>
  </si>
  <si>
    <t>装備しているクリーチャーは+2/+2の修整を受けるとともにプロテクション（緑）とプロテクション（青）を持つ。</t>
  </si>
  <si>
    <t>装備しているクリーチャーがプレイヤー１人に戦闘ダメージを与えるたび、あなたは緑の2/2の狼(Wolf)クリーチャー・トークンを１体生成し、そのプレイヤーのライブラリーの一番上から１０枚のカードをそのプレイヤーの墓地に置く。</t>
  </si>
  <si>
    <t>鎖のヴェール</t>
  </si>
  <si>
    <t>あなたの終了ステップの開始時に、このターン、あなたがプレインズウォーカーの忠誠度能力を起動させていなかった場合、あなたは２点のライフを失う。</t>
  </si>
  <si>
    <t>(４),(Ｔ)：あなたがコントロールするプレインズウォーカー１体につき、このターン、あなたはそのプレインズウォーカーの忠誠度能力が起動されていなかったかのように、それの忠誠度能力１つを１回起動してもよい。</t>
  </si>
  <si>
    <t>死者の呪文書</t>
  </si>
  <si>
    <t>(１),(Ｔ),カードを１枚捨てる：死者の呪文書の上に学習(study)カウンターを１個置く。</t>
  </si>
  <si>
    <t>(Ｔ),死者の呪文書から学習カウンターを３個取り除くとともに、それを生け贄に捧げる：墓地にあるすべてのクリーチャー・カードを、あなたのコントロール下で戦場に出す。それらはそれらの他の色やタイプに加えて黒のゾンビ(Zombie)である。</t>
  </si>
  <si>
    <t>危険な櫃</t>
  </si>
  <si>
    <t>(５),(Ｔ),危険な櫃を追放する：すべての土地でないパーマネントを追放する。</t>
  </si>
  <si>
    <t>光明の大砲</t>
  </si>
  <si>
    <t>(Ｔ)：光明の大砲の上に蓄積(charge)カウンターを１個置く。</t>
  </si>
  <si>
    <t>(Ｔ),光明の大砲から蓄積カウンターを３個取り除く：パーマネント１つを対象とし、それを破壊する。</t>
  </si>
  <si>
    <t>霊気池の驚異</t>
  </si>
  <si>
    <t>あなたがコントロールするパーマネントが１つ墓地に置かれるたび、あなたは(Ｅ)（エネルギー・カウンター１個）を得る。</t>
  </si>
  <si>
    <t>(Ｔ),(Ｅ)(Ｅ)(Ｅ)(Ｅ)(Ｅ)(Ｅ)を支払う：あなたのライブラリーの一番上からカードを６枚見る。あなたはその中からカード１枚を、そのマナ・コストを支払うことなく唱えてもよい。残りをあなたのライブラリーの一番下に無作為の順番で置く。</t>
  </si>
  <si>
    <t>ウェザーライト</t>
  </si>
  <si>
    <t>ウェザーライトがプレイヤー１人に戦闘ダメージを与えるたび、あなたのライブラリーの一番上からカードを５枚見る。あなたはその中から歴史的なカード１枚を公開してあなたの手札に加えてもよい。残りをあなたのライブラリーの一番下に無作為の順番で置く。（歴史的とは、アーティファクトと伝説と英雄譚(Saga)のことである。）</t>
  </si>
  <si>
    <t>紅蓮術師のゴーグル</t>
  </si>
  <si>
    <t>(Ｔ)：(R)を加える。このマナが赤のインスタント呪文か赤のソーサリー呪文を唱えるために支払われたとき、その呪文をコピーする。あなたはそのコピーの新しい対象を選んでもよい。</t>
  </si>
  <si>
    <t>装備しているクリーチャーは+4/+4の修整を受けるとともに警戒と絆魂を持つ。</t>
  </si>
  <si>
    <t>パラドックス装置</t>
  </si>
  <si>
    <t>あなたが呪文を１つ唱えるたび、あなたがコントロールするすべての土地でないパーマネントをアンタップする。</t>
  </si>
  <si>
    <t>三つの願いの指輪</t>
  </si>
  <si>
    <t>三つの願いの指輪は願い(wish)カウンターが３個置かれた状態で戦場に出る。</t>
  </si>
  <si>
    <t>(５),(Ｔ),三つの願いの指輪から願いカウンターを１個取り除く：あなたのライブラリーからカードを１枚探し、それをあなたの手札に加える。その後あなたのライブラリーを切り直す。</t>
  </si>
  <si>
    <t>エルドラージの碑</t>
  </si>
  <si>
    <t>あなたがコントロールするクリーチャーは+1/+1の修整を受けるとともに飛行と破壊不能を持つ。</t>
  </si>
  <si>
    <t>あなたのアップキープの開始時に、クリーチャーを１体生け贄に捧げる。それができない場合、エルドラージの碑を生け贄に捧げる。</t>
  </si>
  <si>
    <t>アルハマレットの書庫</t>
  </si>
  <si>
    <t>あなたがライフを得るなら、代わりにあなたはその２倍の点数のライフを得る。</t>
  </si>
  <si>
    <t>あなたが自分の各ドロー・ステップで引く１枚目のカード以外にカードを１枚引くなら、代わりにカードを２枚引く。</t>
  </si>
  <si>
    <t>死者の鏡</t>
  </si>
  <si>
    <t>あなたがこのゲームに敗北する場合、代わりにあなたの手札とあなたの墓地とあなたがオーナーであるすべてのパーマネントをあなたのライブラリーに加えて切り直し、その後カードを７枚引き、あなたのライフの総量を２０点にする。</t>
  </si>
  <si>
    <t>ウギンのきずな</t>
  </si>
  <si>
    <t>プレイヤーが追加のターンを始めるなら、代わりにそのプレイヤーはそのターンを飛ばす。</t>
  </si>
  <si>
    <t>ウギンのきずなが戦場から墓地に置かれるなら、代わりにこれを追放し、このターンの直後に追加の１ターンを行う。</t>
  </si>
  <si>
    <t>次元橋</t>
  </si>
  <si>
    <t>(８),(Ｔ)：あなたのライブラリーからパーマネント・カード１枚を探し、それを戦場に出す。その後あなたのライブラリーを切り直す。</t>
  </si>
  <si>
    <t>永遠の器</t>
  </si>
  <si>
    <t>永遠の器はその上に蓄積(charge)カウンターがＸ個置かれた状態で戦場に出る。Ｘはあなたのライフの総量である。</t>
  </si>
  <si>
    <t>上陸 ― 土地が１つあなたのコントロール下で戦場に出るたび、あなたは「あなたのライフの総量は、永遠の器の上に置かれている蓄積カウンターの数になる」ことを選んでもよい。</t>
  </si>
  <si>
    <t>ゴンティの霊気心臓</t>
  </si>
  <si>
    <t>ゴンティの霊気心臓か他のアーティファクトが１つあなたのコントロール下で戦場に出るたび、あなたは(Ｅ)(Ｅ)（エネルギー・カウンター２個）を得る。</t>
  </si>
  <si>
    <t>(Ｅ)(Ｅ)(Ｅ)(Ｅ)(Ｅ)(Ｅ)(Ｅ)(Ｅ)を支払う,ゴンティの霊気心臓を追放する：このターンに続いて追加の１ターンを行う。</t>
  </si>
  <si>
    <t>不滅の太陽</t>
  </si>
  <si>
    <t>プレイヤーはプレインズウォーカーの忠誠度能力を起動できない。</t>
  </si>
  <si>
    <t>あなたのドロー・ステップの開始時に、カードを追加で１枚引く。</t>
  </si>
  <si>
    <t>あなたが呪文を唱えるためのコストは(１)少なくなる。</t>
  </si>
  <si>
    <t>あなたがコントロールしているクリーチャーは+1/+1の修整を受ける。</t>
  </si>
  <si>
    <t>束縛の刃、エルブラス</t>
  </si>
  <si>
    <t>装備しているクリーチャーがプレイヤー１人に戦闘ダメージを与えたとき、束縛の刃、エルブラスをはずし、その後それを変身させる。</t>
  </si>
  <si>
    <t>解き放たれたウィゼンガー</t>
  </si>
  <si>
    <t>色指標：〔黒〕</t>
  </si>
  <si>
    <t>飛行、威嚇、トランプル（威嚇を持つクリーチャーはアーティファクト・クリーチャーかこれと共通の色を持つクリーチャー以外にはブロックされない。）</t>
  </si>
  <si>
    <t>プレイヤー１人がゲームに敗北するたび、解き放たれたウィゼンガーの上に+1/+1カウンターを１３個置く。</t>
  </si>
  <si>
    <t>_13/13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</si>
</sst>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_ "/>
    <numFmt numFmtId="177" formatCode="0_);[Red]\(0\)"/>
  </numFmts>
  <fonts count="8">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sz val="11"/>
      <color theme="1"/>
      <name val="游ゴシック"/>
      <family val="3"/>
      <charset val="128"/>
      <scheme val="minor"/>
    </font>
    <font>
      <sz val="11"/>
      <color rgb="FF000000"/>
      <name val="游ゴシック"/>
      <family val="3"/>
      <charset val="128"/>
      <scheme val="minor"/>
    </font>
    <font>
      <sz val="11"/>
      <color rgb="FFFF0000"/>
      <name val="游ゴシック"/>
      <family val="3"/>
      <charset val="128"/>
      <scheme val="minor"/>
    </font>
    <font>
      <sz val="11"/>
      <color rgb="FF000000"/>
      <name val="ＭＳ Ｐゴシック"/>
      <family val="3"/>
      <charset val="128"/>
    </font>
    <font>
      <sz val="11"/>
      <color theme="1"/>
      <name val="ＭＳ Ｐゴシック"/>
      <family val="3"/>
      <charset val="128"/>
    </font>
  </fonts>
  <fills count="12">
    <fill>
      <patternFill patternType="none"/>
    </fill>
    <fill>
      <patternFill patternType="gray125"/>
    </fill>
    <fill>
      <patternFill patternType="solid">
        <fgColor rgb="FFFFFF00"/>
        <bgColor indexed="64"/>
      </patternFill>
    </fill>
    <fill>
      <patternFill patternType="mediumGray"/>
    </fill>
    <fill>
      <patternFill patternType="solid">
        <fgColor theme="7" tint="0.79998168889431442"/>
        <bgColor indexed="64"/>
      </patternFill>
    </fill>
    <fill>
      <patternFill patternType="solid">
        <fgColor theme="0"/>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5" tint="0.39997558519241921"/>
        <bgColor indexed="64"/>
      </patternFill>
    </fill>
    <fill>
      <patternFill patternType="mediumGray">
        <bgColor rgb="FFFFFF00"/>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right/>
      <top/>
      <bottom style="thin">
        <color indexed="64"/>
      </bottom>
      <diagonal/>
    </border>
  </borders>
  <cellStyleXfs count="2">
    <xf numFmtId="0" fontId="0" fillId="0" borderId="0">
      <alignment vertical="center"/>
    </xf>
    <xf numFmtId="9" fontId="2" fillId="0" borderId="0" applyFont="0" applyFill="0" applyBorder="0" applyAlignment="0" applyProtection="0">
      <alignment vertical="center"/>
    </xf>
  </cellStyleXfs>
  <cellXfs count="113">
    <xf numFmtId="0" fontId="0" fillId="0" borderId="0" xfId="0">
      <alignment vertical="center"/>
    </xf>
    <xf numFmtId="0" fontId="3" fillId="0" borderId="0" xfId="0" applyFont="1">
      <alignment vertical="center"/>
    </xf>
    <xf numFmtId="0" fontId="4" fillId="0" borderId="0" xfId="0" applyFont="1">
      <alignment vertical="center"/>
    </xf>
    <xf numFmtId="0" fontId="3" fillId="0" borderId="0" xfId="0" applyFont="1" applyFill="1">
      <alignment vertical="center"/>
    </xf>
    <xf numFmtId="0" fontId="3" fillId="2" borderId="0" xfId="0" applyFont="1" applyFill="1">
      <alignment vertical="center"/>
    </xf>
    <xf numFmtId="0" fontId="4" fillId="2" borderId="0" xfId="0" applyFont="1" applyFill="1">
      <alignment vertical="center"/>
    </xf>
    <xf numFmtId="0" fontId="3" fillId="3" borderId="0" xfId="0" applyFont="1" applyFill="1">
      <alignment vertical="center"/>
    </xf>
    <xf numFmtId="0" fontId="4" fillId="3" borderId="0" xfId="0" applyFont="1" applyFill="1">
      <alignment vertical="center"/>
    </xf>
    <xf numFmtId="0" fontId="3" fillId="8" borderId="0" xfId="0" applyFont="1" applyFill="1">
      <alignment vertical="center"/>
    </xf>
    <xf numFmtId="0" fontId="3" fillId="9" borderId="0" xfId="0" applyFont="1" applyFill="1">
      <alignment vertical="center"/>
    </xf>
    <xf numFmtId="0" fontId="3" fillId="10" borderId="0" xfId="0" applyFont="1" applyFill="1">
      <alignment vertical="center"/>
    </xf>
    <xf numFmtId="0" fontId="3" fillId="7" borderId="0" xfId="0" applyFont="1" applyFill="1">
      <alignment vertical="center"/>
    </xf>
    <xf numFmtId="0" fontId="3" fillId="6" borderId="0" xfId="0" applyFont="1" applyFill="1">
      <alignment vertical="center"/>
    </xf>
    <xf numFmtId="0" fontId="3" fillId="5" borderId="0" xfId="0" applyFont="1" applyFill="1">
      <alignment vertical="center"/>
    </xf>
    <xf numFmtId="0" fontId="4" fillId="0" borderId="0" xfId="0" applyFont="1" applyFill="1">
      <alignment vertical="center"/>
    </xf>
    <xf numFmtId="0" fontId="4" fillId="10" borderId="0" xfId="0" applyFont="1" applyFill="1">
      <alignment vertical="center"/>
    </xf>
    <xf numFmtId="0" fontId="4" fillId="9" borderId="0" xfId="0" applyFont="1" applyFill="1">
      <alignment vertical="center"/>
    </xf>
    <xf numFmtId="49" fontId="3" fillId="0" borderId="0" xfId="0" applyNumberFormat="1" applyFont="1">
      <alignment vertical="center"/>
    </xf>
    <xf numFmtId="49" fontId="3" fillId="3" borderId="0" xfId="0" applyNumberFormat="1" applyFont="1" applyFill="1">
      <alignment vertical="center"/>
    </xf>
    <xf numFmtId="49" fontId="3" fillId="2" borderId="0" xfId="0" applyNumberFormat="1" applyFont="1" applyFill="1">
      <alignment vertical="center"/>
    </xf>
    <xf numFmtId="56" fontId="3" fillId="0" borderId="0" xfId="0" applyNumberFormat="1" applyFont="1">
      <alignment vertical="center"/>
    </xf>
    <xf numFmtId="0" fontId="3" fillId="0" borderId="1" xfId="0" applyFont="1" applyBorder="1">
      <alignment vertical="center"/>
    </xf>
    <xf numFmtId="0" fontId="3" fillId="0" borderId="2" xfId="0" applyFont="1" applyBorder="1">
      <alignment vertical="center"/>
    </xf>
    <xf numFmtId="0" fontId="3" fillId="0" borderId="3" xfId="0" applyFont="1" applyBorder="1">
      <alignment vertical="center"/>
    </xf>
    <xf numFmtId="0" fontId="3" fillId="0" borderId="4" xfId="0" applyFont="1" applyBorder="1">
      <alignment vertical="center"/>
    </xf>
    <xf numFmtId="0" fontId="3" fillId="0" borderId="0" xfId="0" applyFont="1" applyBorder="1">
      <alignment vertical="center"/>
    </xf>
    <xf numFmtId="0" fontId="3" fillId="0" borderId="5" xfId="0" applyFont="1" applyBorder="1">
      <alignment vertical="center"/>
    </xf>
    <xf numFmtId="0" fontId="3" fillId="0" borderId="6" xfId="0" applyFont="1" applyBorder="1">
      <alignment vertical="center"/>
    </xf>
    <xf numFmtId="0" fontId="3" fillId="0" borderId="7" xfId="0" applyFont="1" applyBorder="1">
      <alignment vertical="center"/>
    </xf>
    <xf numFmtId="0" fontId="3" fillId="0" borderId="8" xfId="0" applyFont="1" applyBorder="1">
      <alignment vertical="center"/>
    </xf>
    <xf numFmtId="176" fontId="3" fillId="0" borderId="0" xfId="0" applyNumberFormat="1" applyFont="1">
      <alignment vertical="center"/>
    </xf>
    <xf numFmtId="0" fontId="3" fillId="0" borderId="0" xfId="0" applyFont="1" applyFill="1" applyBorder="1">
      <alignment vertical="center"/>
    </xf>
    <xf numFmtId="0" fontId="3" fillId="0" borderId="2" xfId="0" applyFont="1" applyFill="1" applyBorder="1">
      <alignment vertical="center"/>
    </xf>
    <xf numFmtId="0" fontId="3" fillId="0" borderId="4" xfId="0" applyFont="1" applyFill="1" applyBorder="1">
      <alignment vertical="center"/>
    </xf>
    <xf numFmtId="0" fontId="3" fillId="0" borderId="6" xfId="0" applyFont="1" applyFill="1" applyBorder="1">
      <alignment vertical="center"/>
    </xf>
    <xf numFmtId="0" fontId="3" fillId="0" borderId="9" xfId="0" applyFont="1" applyFill="1" applyBorder="1">
      <alignment vertical="center"/>
    </xf>
    <xf numFmtId="0" fontId="3" fillId="0" borderId="10" xfId="0" applyFont="1" applyFill="1" applyBorder="1">
      <alignment vertical="center"/>
    </xf>
    <xf numFmtId="0" fontId="3" fillId="0" borderId="11" xfId="0" applyFont="1" applyFill="1" applyBorder="1">
      <alignment vertical="center"/>
    </xf>
    <xf numFmtId="0" fontId="3" fillId="0" borderId="12" xfId="0" applyFont="1" applyFill="1" applyBorder="1">
      <alignment vertical="center"/>
    </xf>
    <xf numFmtId="0" fontId="3" fillId="0" borderId="13" xfId="0" applyFont="1" applyFill="1" applyBorder="1">
      <alignment vertical="center"/>
    </xf>
    <xf numFmtId="0" fontId="3" fillId="0" borderId="14" xfId="0" applyFont="1" applyFill="1" applyBorder="1">
      <alignment vertical="center"/>
    </xf>
    <xf numFmtId="0" fontId="3" fillId="0" borderId="15" xfId="0" applyFont="1" applyFill="1" applyBorder="1">
      <alignment vertical="center"/>
    </xf>
    <xf numFmtId="0" fontId="3" fillId="0" borderId="16" xfId="0" applyFont="1" applyFill="1" applyBorder="1">
      <alignment vertical="center"/>
    </xf>
    <xf numFmtId="0" fontId="3" fillId="0" borderId="17" xfId="0" applyFont="1" applyFill="1" applyBorder="1">
      <alignment vertical="center"/>
    </xf>
    <xf numFmtId="0" fontId="3" fillId="0" borderId="18" xfId="0" applyFont="1" applyFill="1" applyBorder="1">
      <alignment vertical="center"/>
    </xf>
    <xf numFmtId="0" fontId="3" fillId="0" borderId="19" xfId="0" applyFont="1" applyFill="1" applyBorder="1">
      <alignment vertical="center"/>
    </xf>
    <xf numFmtId="0" fontId="3" fillId="0" borderId="20" xfId="0" applyFont="1" applyFill="1" applyBorder="1">
      <alignment vertical="center"/>
    </xf>
    <xf numFmtId="0" fontId="3" fillId="0" borderId="21" xfId="0" applyFont="1" applyFill="1" applyBorder="1">
      <alignment vertical="center"/>
    </xf>
    <xf numFmtId="0" fontId="3" fillId="0" borderId="22" xfId="0" applyFont="1" applyFill="1" applyBorder="1">
      <alignment vertical="center"/>
    </xf>
    <xf numFmtId="0" fontId="3" fillId="0" borderId="23" xfId="0" applyFont="1" applyFill="1" applyBorder="1">
      <alignment vertical="center"/>
    </xf>
    <xf numFmtId="0" fontId="3" fillId="0" borderId="24" xfId="0" applyFont="1" applyFill="1" applyBorder="1">
      <alignment vertical="center"/>
    </xf>
    <xf numFmtId="0" fontId="3" fillId="0" borderId="25" xfId="0" applyFont="1" applyFill="1" applyBorder="1">
      <alignment vertical="center"/>
    </xf>
    <xf numFmtId="0" fontId="3" fillId="0" borderId="26" xfId="0" applyFont="1" applyFill="1" applyBorder="1">
      <alignment vertical="center"/>
    </xf>
    <xf numFmtId="0" fontId="3" fillId="0" borderId="27" xfId="0" applyFont="1" applyFill="1" applyBorder="1">
      <alignment vertical="center"/>
    </xf>
    <xf numFmtId="0" fontId="3" fillId="0" borderId="28" xfId="0" applyFont="1" applyFill="1" applyBorder="1">
      <alignment vertical="center"/>
    </xf>
    <xf numFmtId="0" fontId="3" fillId="0" borderId="29" xfId="0" applyFont="1" applyFill="1" applyBorder="1">
      <alignment vertical="center"/>
    </xf>
    <xf numFmtId="0" fontId="3" fillId="0" borderId="30" xfId="0" applyFont="1" applyFill="1" applyBorder="1">
      <alignment vertical="center"/>
    </xf>
    <xf numFmtId="9" fontId="3" fillId="0" borderId="0" xfId="1" applyFont="1" applyFill="1">
      <alignment vertical="center"/>
    </xf>
    <xf numFmtId="0" fontId="3" fillId="4" borderId="0" xfId="0" applyFont="1" applyFill="1">
      <alignment vertical="center"/>
    </xf>
    <xf numFmtId="56" fontId="4" fillId="3" borderId="0" xfId="0" applyNumberFormat="1" applyFont="1" applyFill="1">
      <alignment vertical="center"/>
    </xf>
    <xf numFmtId="49" fontId="3" fillId="0" borderId="0" xfId="0" applyNumberFormat="1" applyFont="1" applyFill="1">
      <alignment vertical="center"/>
    </xf>
    <xf numFmtId="49" fontId="3" fillId="10" borderId="0" xfId="0" applyNumberFormat="1" applyFont="1" applyFill="1">
      <alignment vertical="center"/>
    </xf>
    <xf numFmtId="49" fontId="3" fillId="8" borderId="0" xfId="0" applyNumberFormat="1" applyFont="1" applyFill="1">
      <alignment vertical="center"/>
    </xf>
    <xf numFmtId="49" fontId="3" fillId="9" borderId="0" xfId="0" applyNumberFormat="1" applyFont="1" applyFill="1">
      <alignment vertical="center"/>
    </xf>
    <xf numFmtId="177" fontId="3" fillId="0" borderId="0" xfId="0" applyNumberFormat="1" applyFont="1" applyFill="1">
      <alignment vertical="center"/>
    </xf>
    <xf numFmtId="177" fontId="3" fillId="2" borderId="0" xfId="0" applyNumberFormat="1" applyFont="1" applyFill="1">
      <alignment vertical="center"/>
    </xf>
    <xf numFmtId="177" fontId="3" fillId="3" borderId="0" xfId="0" applyNumberFormat="1" applyFont="1" applyFill="1">
      <alignment vertical="center"/>
    </xf>
    <xf numFmtId="177" fontId="3" fillId="10" borderId="0" xfId="0" applyNumberFormat="1" applyFont="1" applyFill="1">
      <alignment vertical="center"/>
    </xf>
    <xf numFmtId="177" fontId="3" fillId="8" borderId="0" xfId="0" applyNumberFormat="1" applyFont="1" applyFill="1">
      <alignment vertical="center"/>
    </xf>
    <xf numFmtId="177" fontId="4" fillId="3" borderId="0" xfId="0" applyNumberFormat="1" applyFont="1" applyFill="1">
      <alignment vertical="center"/>
    </xf>
    <xf numFmtId="49" fontId="4" fillId="0" borderId="0" xfId="0" applyNumberFormat="1" applyFont="1" applyFill="1">
      <alignment vertical="center"/>
    </xf>
    <xf numFmtId="49" fontId="4" fillId="0" borderId="0" xfId="0" applyNumberFormat="1" applyFont="1">
      <alignment vertical="center"/>
    </xf>
    <xf numFmtId="49" fontId="4" fillId="2" borderId="0" xfId="0" applyNumberFormat="1" applyFont="1" applyFill="1">
      <alignment vertical="center"/>
    </xf>
    <xf numFmtId="0" fontId="3" fillId="0" borderId="1" xfId="0" applyFont="1" applyFill="1" applyBorder="1">
      <alignment vertical="center"/>
    </xf>
    <xf numFmtId="0" fontId="3" fillId="0" borderId="31" xfId="0" applyFont="1" applyFill="1" applyBorder="1">
      <alignment vertical="center"/>
    </xf>
    <xf numFmtId="0" fontId="4" fillId="8" borderId="0" xfId="0" applyFont="1" applyFill="1">
      <alignment vertical="center"/>
    </xf>
    <xf numFmtId="0" fontId="0" fillId="3" borderId="0" xfId="0" applyFill="1">
      <alignment vertical="center"/>
    </xf>
    <xf numFmtId="0" fontId="0" fillId="8" borderId="0" xfId="0" applyFill="1">
      <alignment vertical="center"/>
    </xf>
    <xf numFmtId="0" fontId="0" fillId="2" borderId="0" xfId="0" applyFill="1">
      <alignment vertical="center"/>
    </xf>
    <xf numFmtId="0" fontId="0" fillId="9" borderId="0" xfId="0" applyFill="1">
      <alignment vertical="center"/>
    </xf>
    <xf numFmtId="0" fontId="5" fillId="0" borderId="0" xfId="0" applyFont="1" applyFill="1">
      <alignment vertical="center"/>
    </xf>
    <xf numFmtId="0" fontId="5" fillId="2" borderId="0" xfId="0" applyFont="1" applyFill="1">
      <alignment vertical="center"/>
    </xf>
    <xf numFmtId="0" fontId="3" fillId="0" borderId="7" xfId="0" applyFont="1" applyFill="1" applyBorder="1">
      <alignment vertical="center"/>
    </xf>
    <xf numFmtId="0" fontId="3" fillId="11" borderId="0" xfId="0" applyFont="1" applyFill="1">
      <alignment vertical="center"/>
    </xf>
    <xf numFmtId="177" fontId="3" fillId="9" borderId="0" xfId="0" applyNumberFormat="1" applyFont="1" applyFill="1">
      <alignment vertical="center"/>
    </xf>
    <xf numFmtId="0" fontId="3" fillId="0" borderId="15" xfId="0" applyFont="1" applyBorder="1">
      <alignment vertical="center"/>
    </xf>
    <xf numFmtId="0" fontId="3" fillId="0" borderId="10" xfId="0" applyFont="1" applyBorder="1">
      <alignment vertical="center"/>
    </xf>
    <xf numFmtId="0" fontId="3" fillId="0" borderId="11" xfId="0" applyFont="1" applyBorder="1">
      <alignment vertical="center"/>
    </xf>
    <xf numFmtId="0" fontId="3" fillId="0" borderId="32" xfId="0" applyFont="1" applyBorder="1">
      <alignment vertical="center"/>
    </xf>
    <xf numFmtId="0" fontId="3" fillId="0" borderId="14" xfId="0" applyFont="1" applyBorder="1">
      <alignment vertical="center"/>
    </xf>
    <xf numFmtId="0" fontId="3" fillId="0" borderId="16" xfId="0" applyFont="1" applyBorder="1">
      <alignment vertical="center"/>
    </xf>
    <xf numFmtId="0" fontId="3" fillId="0" borderId="19" xfId="0" applyFont="1" applyBorder="1">
      <alignment vertical="center"/>
    </xf>
    <xf numFmtId="0" fontId="3" fillId="0" borderId="20" xfId="0" applyFont="1" applyBorder="1">
      <alignment vertical="center"/>
    </xf>
    <xf numFmtId="0" fontId="3" fillId="0" borderId="21" xfId="0" applyFont="1" applyBorder="1">
      <alignment vertical="center"/>
    </xf>
    <xf numFmtId="0" fontId="3" fillId="0" borderId="29" xfId="0" applyFont="1" applyBorder="1">
      <alignment vertical="center"/>
    </xf>
    <xf numFmtId="0" fontId="3" fillId="0" borderId="33" xfId="0" applyFont="1" applyBorder="1">
      <alignment vertical="center"/>
    </xf>
    <xf numFmtId="0" fontId="0" fillId="0" borderId="34" xfId="0" applyBorder="1">
      <alignment vertical="center"/>
    </xf>
    <xf numFmtId="0" fontId="0" fillId="0" borderId="0" xfId="0" applyFill="1">
      <alignment vertical="center"/>
    </xf>
    <xf numFmtId="0" fontId="0" fillId="3" borderId="34" xfId="0" applyFill="1" applyBorder="1">
      <alignment vertical="center"/>
    </xf>
    <xf numFmtId="0" fontId="5" fillId="8" borderId="0" xfId="0" applyFont="1" applyFill="1">
      <alignment vertical="center"/>
    </xf>
    <xf numFmtId="0" fontId="3" fillId="0" borderId="28" xfId="0" applyFont="1" applyBorder="1">
      <alignment vertical="center"/>
    </xf>
    <xf numFmtId="0" fontId="6" fillId="0" borderId="0" xfId="0" applyFont="1">
      <alignment vertical="center"/>
    </xf>
    <xf numFmtId="0" fontId="7" fillId="0" borderId="0" xfId="0" applyFont="1">
      <alignment vertical="center"/>
    </xf>
    <xf numFmtId="0" fontId="6" fillId="3" borderId="0" xfId="0" applyFont="1" applyFill="1">
      <alignment vertical="center"/>
    </xf>
    <xf numFmtId="0" fontId="7" fillId="3" borderId="0" xfId="0" applyFont="1" applyFill="1">
      <alignment vertical="center"/>
    </xf>
    <xf numFmtId="0" fontId="6" fillId="0" borderId="0" xfId="0" applyFont="1" applyFill="1">
      <alignment vertical="center"/>
    </xf>
    <xf numFmtId="0" fontId="7" fillId="0" borderId="0" xfId="0" applyFont="1" applyFill="1">
      <alignment vertical="center"/>
    </xf>
    <xf numFmtId="0" fontId="6" fillId="2" borderId="0" xfId="0" applyFont="1" applyFill="1">
      <alignment vertical="center"/>
    </xf>
    <xf numFmtId="0" fontId="7" fillId="2" borderId="0" xfId="0" applyFont="1" applyFill="1">
      <alignment vertical="center"/>
    </xf>
    <xf numFmtId="0" fontId="6" fillId="9" borderId="0" xfId="0" applyFont="1" applyFill="1">
      <alignment vertical="center"/>
    </xf>
    <xf numFmtId="0" fontId="7" fillId="9" borderId="0" xfId="0" applyFont="1" applyFill="1">
      <alignment vertical="center"/>
    </xf>
    <xf numFmtId="0" fontId="6" fillId="8" borderId="0" xfId="0" applyFont="1" applyFill="1">
      <alignment vertical="center"/>
    </xf>
    <xf numFmtId="0" fontId="7" fillId="8" borderId="0" xfId="0" applyFont="1" applyFill="1">
      <alignment vertical="center"/>
    </xf>
  </cellXfs>
  <cellStyles count="2">
    <cellStyle name="パーセント" xfId="1" builtinId="5"/>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komamura/Documents/MTGPQ/MM/MM/MTG/OMA/MTGORM2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TGORM2n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セット枚数"/>
      <sheetName val="キーワード"/>
      <sheetName val="コモン"/>
      <sheetName val="アンコモン"/>
      <sheetName val="R MR"/>
      <sheetName val="H式CS+ORM"/>
      <sheetName val="ORM"/>
      <sheetName val="対抗C"/>
      <sheetName val="Sheet3"/>
      <sheetName val="CNS"/>
      <sheetName val="CNS (2)"/>
      <sheetName val="Sheet8"/>
      <sheetName val="Sheet1"/>
    </sheetNames>
    <sheetDataSet>
      <sheetData sheetId="0" refreshError="1"/>
      <sheetData sheetId="1" refreshError="1"/>
      <sheetData sheetId="2">
        <row r="2">
          <cell r="G2">
            <v>1</v>
          </cell>
          <cell r="I2" t="str">
            <v>C</v>
          </cell>
        </row>
        <row r="3">
          <cell r="G3">
            <v>2</v>
          </cell>
          <cell r="I3" t="str">
            <v>C</v>
          </cell>
        </row>
        <row r="4">
          <cell r="G4">
            <v>2</v>
          </cell>
          <cell r="I4" t="str">
            <v>C</v>
          </cell>
        </row>
        <row r="5">
          <cell r="G5">
            <v>2</v>
          </cell>
          <cell r="I5" t="str">
            <v>I</v>
          </cell>
        </row>
        <row r="6">
          <cell r="G6">
            <v>2</v>
          </cell>
          <cell r="I6" t="str">
            <v>E</v>
          </cell>
        </row>
        <row r="7">
          <cell r="G7">
            <v>3</v>
          </cell>
          <cell r="I7" t="str">
            <v>C</v>
          </cell>
        </row>
        <row r="8">
          <cell r="G8">
            <v>3</v>
          </cell>
          <cell r="I8" t="str">
            <v>I</v>
          </cell>
        </row>
        <row r="9">
          <cell r="G9">
            <v>3</v>
          </cell>
          <cell r="I9" t="str">
            <v>I</v>
          </cell>
        </row>
        <row r="10">
          <cell r="G10">
            <v>3</v>
          </cell>
          <cell r="I10" t="str">
            <v>C</v>
          </cell>
        </row>
        <row r="11">
          <cell r="G11">
            <v>4</v>
          </cell>
          <cell r="I11" t="str">
            <v>C</v>
          </cell>
        </row>
        <row r="12">
          <cell r="G12">
            <v>4</v>
          </cell>
          <cell r="I12" t="str">
            <v>C</v>
          </cell>
        </row>
        <row r="13">
          <cell r="G13">
            <v>4</v>
          </cell>
          <cell r="I13" t="str">
            <v>S</v>
          </cell>
        </row>
        <row r="14">
          <cell r="G14">
            <v>4</v>
          </cell>
          <cell r="I14" t="str">
            <v>E</v>
          </cell>
        </row>
        <row r="15">
          <cell r="G15">
            <v>5</v>
          </cell>
          <cell r="I15" t="str">
            <v>C</v>
          </cell>
        </row>
        <row r="16">
          <cell r="G16">
            <v>5</v>
          </cell>
          <cell r="I16" t="str">
            <v>C</v>
          </cell>
        </row>
        <row r="17">
          <cell r="G17">
            <v>5</v>
          </cell>
          <cell r="I17" t="str">
            <v>C</v>
          </cell>
        </row>
        <row r="18">
          <cell r="G18">
            <v>6</v>
          </cell>
          <cell r="I18" t="str">
            <v>S</v>
          </cell>
        </row>
        <row r="19">
          <cell r="G19">
            <v>1</v>
          </cell>
          <cell r="I19" t="str">
            <v>S</v>
          </cell>
        </row>
        <row r="20">
          <cell r="G20">
            <v>2</v>
          </cell>
          <cell r="I20" t="str">
            <v>C</v>
          </cell>
        </row>
        <row r="21">
          <cell r="G21">
            <v>2</v>
          </cell>
          <cell r="I21" t="str">
            <v>I</v>
          </cell>
        </row>
        <row r="22">
          <cell r="G22">
            <v>2</v>
          </cell>
          <cell r="I22" t="str">
            <v>S</v>
          </cell>
        </row>
        <row r="23">
          <cell r="G23">
            <v>3</v>
          </cell>
          <cell r="I23" t="str">
            <v>C</v>
          </cell>
        </row>
        <row r="24">
          <cell r="G24">
            <v>3</v>
          </cell>
          <cell r="I24" t="str">
            <v>C</v>
          </cell>
        </row>
        <row r="25">
          <cell r="G25">
            <v>3</v>
          </cell>
          <cell r="I25" t="str">
            <v>I</v>
          </cell>
        </row>
        <row r="26">
          <cell r="G26">
            <v>3</v>
          </cell>
          <cell r="I26" t="str">
            <v>E</v>
          </cell>
        </row>
        <row r="27">
          <cell r="G27">
            <v>4</v>
          </cell>
          <cell r="I27" t="str">
            <v>C</v>
          </cell>
        </row>
        <row r="28">
          <cell r="G28">
            <v>4</v>
          </cell>
          <cell r="I28" t="str">
            <v>C</v>
          </cell>
        </row>
        <row r="29">
          <cell r="G29">
            <v>4</v>
          </cell>
          <cell r="I29" t="str">
            <v>C</v>
          </cell>
        </row>
        <row r="30">
          <cell r="G30">
            <v>4</v>
          </cell>
          <cell r="I30" t="str">
            <v>S</v>
          </cell>
        </row>
        <row r="31">
          <cell r="G31">
            <v>5</v>
          </cell>
          <cell r="I31" t="str">
            <v>C</v>
          </cell>
        </row>
        <row r="32">
          <cell r="G32">
            <v>5</v>
          </cell>
          <cell r="I32" t="str">
            <v>C</v>
          </cell>
        </row>
        <row r="33">
          <cell r="G33">
            <v>5</v>
          </cell>
          <cell r="I33" t="str">
            <v>C</v>
          </cell>
        </row>
        <row r="34">
          <cell r="G34">
            <v>6</v>
          </cell>
          <cell r="I34" t="str">
            <v>C</v>
          </cell>
        </row>
        <row r="35">
          <cell r="G35">
            <v>5</v>
          </cell>
          <cell r="I35" t="str">
            <v>C</v>
          </cell>
        </row>
        <row r="36">
          <cell r="G36">
            <v>1</v>
          </cell>
          <cell r="I36" t="str">
            <v>E</v>
          </cell>
        </row>
        <row r="37">
          <cell r="G37">
            <v>2</v>
          </cell>
          <cell r="I37" t="str">
            <v>C</v>
          </cell>
        </row>
        <row r="38">
          <cell r="G38">
            <v>2</v>
          </cell>
          <cell r="I38" t="str">
            <v>C</v>
          </cell>
        </row>
        <row r="39">
          <cell r="G39">
            <v>2</v>
          </cell>
          <cell r="I39" t="str">
            <v>E</v>
          </cell>
        </row>
        <row r="40">
          <cell r="G40">
            <v>3</v>
          </cell>
          <cell r="I40" t="str">
            <v>C</v>
          </cell>
        </row>
        <row r="41">
          <cell r="G41">
            <v>3</v>
          </cell>
          <cell r="I41" t="str">
            <v>C</v>
          </cell>
        </row>
        <row r="42">
          <cell r="G42">
            <v>3</v>
          </cell>
          <cell r="I42" t="str">
            <v>I</v>
          </cell>
        </row>
        <row r="43">
          <cell r="G43">
            <v>3</v>
          </cell>
          <cell r="I43" t="str">
            <v>S</v>
          </cell>
        </row>
        <row r="44">
          <cell r="G44">
            <v>4</v>
          </cell>
          <cell r="I44" t="str">
            <v>C</v>
          </cell>
        </row>
        <row r="45">
          <cell r="G45">
            <v>4</v>
          </cell>
          <cell r="I45" t="str">
            <v>C</v>
          </cell>
        </row>
        <row r="46">
          <cell r="G46">
            <v>4</v>
          </cell>
          <cell r="I46" t="str">
            <v>C</v>
          </cell>
        </row>
        <row r="47">
          <cell r="G47">
            <v>5</v>
          </cell>
          <cell r="I47" t="str">
            <v>S</v>
          </cell>
        </row>
        <row r="48">
          <cell r="G48">
            <v>5</v>
          </cell>
          <cell r="I48" t="str">
            <v>C</v>
          </cell>
        </row>
        <row r="49">
          <cell r="G49">
            <v>5</v>
          </cell>
          <cell r="I49" t="str">
            <v>C</v>
          </cell>
        </row>
        <row r="50">
          <cell r="G50">
            <v>5</v>
          </cell>
          <cell r="I50" t="str">
            <v>S</v>
          </cell>
        </row>
        <row r="51">
          <cell r="G51">
            <v>5</v>
          </cell>
          <cell r="I51" t="str">
            <v>I</v>
          </cell>
        </row>
        <row r="52">
          <cell r="G52">
            <v>6</v>
          </cell>
          <cell r="I52" t="str">
            <v>C</v>
          </cell>
        </row>
        <row r="53">
          <cell r="G53">
            <v>1</v>
          </cell>
          <cell r="I53" t="str">
            <v>S</v>
          </cell>
        </row>
        <row r="54">
          <cell r="G54">
            <v>2</v>
          </cell>
          <cell r="I54" t="str">
            <v>C</v>
          </cell>
        </row>
        <row r="55">
          <cell r="G55">
            <v>2</v>
          </cell>
          <cell r="I55" t="str">
            <v>C</v>
          </cell>
        </row>
        <row r="56">
          <cell r="G56">
            <v>2</v>
          </cell>
          <cell r="I56" t="str">
            <v>S</v>
          </cell>
        </row>
        <row r="57">
          <cell r="G57">
            <v>2</v>
          </cell>
          <cell r="I57" t="str">
            <v>C</v>
          </cell>
        </row>
        <row r="58">
          <cell r="G58">
            <v>2</v>
          </cell>
          <cell r="I58" t="str">
            <v>I</v>
          </cell>
        </row>
        <row r="59">
          <cell r="G59">
            <v>3</v>
          </cell>
          <cell r="I59" t="str">
            <v>C</v>
          </cell>
        </row>
        <row r="60">
          <cell r="G60">
            <v>3</v>
          </cell>
          <cell r="I60" t="str">
            <v>C</v>
          </cell>
        </row>
        <row r="61">
          <cell r="G61">
            <v>3</v>
          </cell>
          <cell r="I61" t="str">
            <v>I</v>
          </cell>
        </row>
        <row r="62">
          <cell r="G62">
            <v>3</v>
          </cell>
          <cell r="I62" t="str">
            <v>E</v>
          </cell>
        </row>
        <row r="63">
          <cell r="G63">
            <v>4</v>
          </cell>
          <cell r="I63" t="str">
            <v>S</v>
          </cell>
        </row>
        <row r="64">
          <cell r="G64">
            <v>4</v>
          </cell>
          <cell r="I64" t="str">
            <v>S</v>
          </cell>
        </row>
        <row r="65">
          <cell r="G65">
            <v>5</v>
          </cell>
          <cell r="I65" t="str">
            <v>C</v>
          </cell>
        </row>
        <row r="66">
          <cell r="G66">
            <v>5</v>
          </cell>
          <cell r="I66" t="str">
            <v>C</v>
          </cell>
        </row>
        <row r="67">
          <cell r="G67">
            <v>6</v>
          </cell>
          <cell r="I67" t="str">
            <v>C</v>
          </cell>
        </row>
        <row r="68">
          <cell r="G68">
            <v>6</v>
          </cell>
          <cell r="I68" t="str">
            <v>C</v>
          </cell>
        </row>
        <row r="69">
          <cell r="G69">
            <v>6</v>
          </cell>
          <cell r="I69" t="str">
            <v>C</v>
          </cell>
        </row>
        <row r="70">
          <cell r="G70">
            <v>1</v>
          </cell>
          <cell r="I70" t="str">
            <v>C</v>
          </cell>
        </row>
        <row r="71">
          <cell r="G71">
            <v>2</v>
          </cell>
          <cell r="I71" t="str">
            <v>C</v>
          </cell>
        </row>
        <row r="72">
          <cell r="G72">
            <v>2</v>
          </cell>
          <cell r="I72" t="str">
            <v>C</v>
          </cell>
        </row>
        <row r="73">
          <cell r="G73">
            <v>2</v>
          </cell>
          <cell r="I73" t="str">
            <v>S</v>
          </cell>
        </row>
        <row r="74">
          <cell r="G74">
            <v>2</v>
          </cell>
          <cell r="I74" t="str">
            <v>I</v>
          </cell>
        </row>
        <row r="75">
          <cell r="G75">
            <v>2</v>
          </cell>
          <cell r="I75" t="str">
            <v>I</v>
          </cell>
        </row>
        <row r="76">
          <cell r="G76">
            <v>3</v>
          </cell>
          <cell r="I76" t="str">
            <v>C</v>
          </cell>
        </row>
        <row r="77">
          <cell r="G77">
            <v>3</v>
          </cell>
          <cell r="I77" t="str">
            <v>C</v>
          </cell>
        </row>
        <row r="78">
          <cell r="G78">
            <v>3</v>
          </cell>
          <cell r="I78" t="str">
            <v>S</v>
          </cell>
        </row>
        <row r="79">
          <cell r="G79">
            <v>3</v>
          </cell>
          <cell r="I79" t="str">
            <v>E</v>
          </cell>
        </row>
        <row r="80">
          <cell r="G80">
            <v>3</v>
          </cell>
          <cell r="I80" t="str">
            <v>I</v>
          </cell>
        </row>
        <row r="81">
          <cell r="G81">
            <v>4</v>
          </cell>
          <cell r="I81" t="str">
            <v>C</v>
          </cell>
        </row>
        <row r="82">
          <cell r="G82">
            <v>4</v>
          </cell>
          <cell r="I82" t="str">
            <v>C</v>
          </cell>
        </row>
        <row r="83">
          <cell r="G83">
            <v>4</v>
          </cell>
          <cell r="I83" t="str">
            <v>S</v>
          </cell>
        </row>
        <row r="84">
          <cell r="G84">
            <v>5</v>
          </cell>
          <cell r="I84" t="str">
            <v>C</v>
          </cell>
        </row>
        <row r="85">
          <cell r="G85">
            <v>5</v>
          </cell>
          <cell r="I85" t="str">
            <v>C</v>
          </cell>
        </row>
        <row r="86">
          <cell r="G86">
            <v>6</v>
          </cell>
          <cell r="I86" t="str">
            <v>C</v>
          </cell>
        </row>
        <row r="87">
          <cell r="G87">
            <v>1</v>
          </cell>
          <cell r="I87" t="str">
            <v>I</v>
          </cell>
        </row>
        <row r="88">
          <cell r="G88">
            <v>2</v>
          </cell>
          <cell r="I88" t="str">
            <v>C</v>
          </cell>
        </row>
        <row r="89">
          <cell r="G89">
            <v>2</v>
          </cell>
          <cell r="I89" t="str">
            <v>S</v>
          </cell>
        </row>
        <row r="90">
          <cell r="G90">
            <v>4</v>
          </cell>
          <cell r="I90" t="str">
            <v>C</v>
          </cell>
        </row>
        <row r="91">
          <cell r="G91">
            <v>2</v>
          </cell>
          <cell r="I91" t="str">
            <v>C</v>
          </cell>
        </row>
        <row r="92">
          <cell r="G92">
            <v>2</v>
          </cell>
          <cell r="I92" t="str">
            <v>I</v>
          </cell>
        </row>
        <row r="93">
          <cell r="G93">
            <v>4</v>
          </cell>
          <cell r="I93" t="str">
            <v>I</v>
          </cell>
        </row>
        <row r="94">
          <cell r="G94">
            <v>5</v>
          </cell>
          <cell r="I94" t="str">
            <v>C</v>
          </cell>
        </row>
        <row r="95">
          <cell r="G95">
            <v>2</v>
          </cell>
          <cell r="I95" t="str">
            <v>I</v>
          </cell>
        </row>
        <row r="96">
          <cell r="G96">
            <v>3</v>
          </cell>
          <cell r="I96" t="str">
            <v>C</v>
          </cell>
        </row>
        <row r="97">
          <cell r="G97">
            <v>4</v>
          </cell>
          <cell r="I97" t="str">
            <v>C</v>
          </cell>
        </row>
        <row r="98">
          <cell r="G98">
            <v>4</v>
          </cell>
          <cell r="I98" t="str">
            <v>I</v>
          </cell>
        </row>
        <row r="99">
          <cell r="G99">
            <v>1</v>
          </cell>
          <cell r="I99" t="str">
            <v>C</v>
          </cell>
        </row>
        <row r="100">
          <cell r="G100">
            <v>2</v>
          </cell>
          <cell r="I100" t="str">
            <v>I</v>
          </cell>
        </row>
        <row r="101">
          <cell r="G101">
            <v>3</v>
          </cell>
          <cell r="I101" t="str">
            <v>C</v>
          </cell>
        </row>
        <row r="102">
          <cell r="G102">
            <v>4</v>
          </cell>
          <cell r="I102" t="str">
            <v>I</v>
          </cell>
        </row>
        <row r="103">
          <cell r="G103">
            <v>1</v>
          </cell>
          <cell r="I103" t="str">
            <v>I</v>
          </cell>
        </row>
        <row r="104">
          <cell r="G104">
            <v>3</v>
          </cell>
          <cell r="I104" t="str">
            <v>C</v>
          </cell>
        </row>
        <row r="105">
          <cell r="G105">
            <v>5</v>
          </cell>
          <cell r="I105" t="str">
            <v>I</v>
          </cell>
        </row>
        <row r="106">
          <cell r="G106">
            <v>6</v>
          </cell>
          <cell r="I106" t="str">
            <v>C</v>
          </cell>
        </row>
        <row r="107">
          <cell r="G107">
            <v>2</v>
          </cell>
          <cell r="I107" t="str">
            <v>F</v>
          </cell>
        </row>
        <row r="108">
          <cell r="G108">
            <v>2</v>
          </cell>
          <cell r="I108" t="str">
            <v>F</v>
          </cell>
        </row>
        <row r="109">
          <cell r="G109">
            <v>2</v>
          </cell>
          <cell r="I109" t="str">
            <v>F</v>
          </cell>
        </row>
        <row r="110">
          <cell r="G110">
            <v>2</v>
          </cell>
          <cell r="I110" t="str">
            <v>F</v>
          </cell>
        </row>
        <row r="111">
          <cell r="G111">
            <v>2</v>
          </cell>
          <cell r="I111" t="str">
            <v>F</v>
          </cell>
        </row>
        <row r="112">
          <cell r="G112">
            <v>5</v>
          </cell>
          <cell r="I112" t="str">
            <v>FC</v>
          </cell>
        </row>
        <row r="113">
          <cell r="G113">
            <v>6</v>
          </cell>
          <cell r="I113" t="str">
            <v>FC</v>
          </cell>
        </row>
        <row r="121">
          <cell r="G121">
            <v>1</v>
          </cell>
          <cell r="I121" t="str">
            <v>I</v>
          </cell>
        </row>
        <row r="122">
          <cell r="G122">
            <v>2</v>
          </cell>
          <cell r="I122" t="str">
            <v>C</v>
          </cell>
        </row>
        <row r="123">
          <cell r="G123">
            <v>2</v>
          </cell>
          <cell r="I123" t="str">
            <v>C</v>
          </cell>
        </row>
        <row r="124">
          <cell r="G124">
            <v>2</v>
          </cell>
          <cell r="I124" t="str">
            <v>I</v>
          </cell>
        </row>
        <row r="125">
          <cell r="G125">
            <v>3</v>
          </cell>
          <cell r="I125" t="str">
            <v>S</v>
          </cell>
        </row>
        <row r="126">
          <cell r="G126">
            <v>3</v>
          </cell>
          <cell r="I126" t="str">
            <v>E</v>
          </cell>
        </row>
        <row r="127">
          <cell r="G127">
            <v>4</v>
          </cell>
          <cell r="I127" t="str">
            <v>C</v>
          </cell>
        </row>
        <row r="128">
          <cell r="G128">
            <v>5</v>
          </cell>
          <cell r="I128" t="str">
            <v>C</v>
          </cell>
        </row>
        <row r="129">
          <cell r="G129">
            <v>5</v>
          </cell>
          <cell r="I129" t="str">
            <v>C</v>
          </cell>
        </row>
        <row r="130">
          <cell r="G130">
            <v>6</v>
          </cell>
          <cell r="I130" t="str">
            <v>C</v>
          </cell>
        </row>
        <row r="131">
          <cell r="G131">
            <v>2</v>
          </cell>
          <cell r="I131" t="str">
            <v>I</v>
          </cell>
        </row>
        <row r="132">
          <cell r="G132">
            <v>1</v>
          </cell>
          <cell r="I132" t="str">
            <v>I</v>
          </cell>
        </row>
        <row r="133">
          <cell r="G133">
            <v>2</v>
          </cell>
          <cell r="I133" t="str">
            <v>C</v>
          </cell>
        </row>
        <row r="134">
          <cell r="G134">
            <v>3</v>
          </cell>
          <cell r="I134" t="str">
            <v>C</v>
          </cell>
        </row>
        <row r="135">
          <cell r="G135">
            <v>3</v>
          </cell>
          <cell r="I135" t="str">
            <v>C</v>
          </cell>
        </row>
        <row r="136">
          <cell r="G136">
            <v>3</v>
          </cell>
          <cell r="I136" t="str">
            <v>I</v>
          </cell>
        </row>
        <row r="137">
          <cell r="G137">
            <v>3</v>
          </cell>
          <cell r="I137" t="str">
            <v>E</v>
          </cell>
        </row>
        <row r="138">
          <cell r="G138">
            <v>4</v>
          </cell>
          <cell r="I138" t="str">
            <v>C</v>
          </cell>
        </row>
        <row r="139">
          <cell r="G139">
            <v>4</v>
          </cell>
          <cell r="I139" t="str">
            <v>S</v>
          </cell>
        </row>
        <row r="140">
          <cell r="G140">
            <v>6</v>
          </cell>
          <cell r="I140" t="str">
            <v>C</v>
          </cell>
        </row>
        <row r="141">
          <cell r="G141">
            <v>1</v>
          </cell>
          <cell r="I141" t="str">
            <v>S</v>
          </cell>
        </row>
        <row r="142">
          <cell r="G142">
            <v>2</v>
          </cell>
          <cell r="I142" t="str">
            <v>I</v>
          </cell>
        </row>
        <row r="143">
          <cell r="G143">
            <v>3</v>
          </cell>
          <cell r="I143" t="str">
            <v>C</v>
          </cell>
        </row>
        <row r="144">
          <cell r="G144">
            <v>3</v>
          </cell>
          <cell r="I144" t="str">
            <v>C</v>
          </cell>
        </row>
        <row r="145">
          <cell r="G145">
            <v>4</v>
          </cell>
          <cell r="I145" t="str">
            <v>S</v>
          </cell>
        </row>
        <row r="146">
          <cell r="G146">
            <v>4</v>
          </cell>
          <cell r="I146" t="str">
            <v>C</v>
          </cell>
        </row>
        <row r="147">
          <cell r="G147">
            <v>4</v>
          </cell>
          <cell r="I147" t="str">
            <v>I</v>
          </cell>
        </row>
        <row r="148">
          <cell r="G148">
            <v>5</v>
          </cell>
          <cell r="I148" t="str">
            <v>S</v>
          </cell>
        </row>
        <row r="149">
          <cell r="G149">
            <v>6</v>
          </cell>
          <cell r="I149" t="str">
            <v>E</v>
          </cell>
        </row>
        <row r="150">
          <cell r="G150">
            <v>7</v>
          </cell>
          <cell r="I150" t="str">
            <v>C</v>
          </cell>
        </row>
        <row r="151">
          <cell r="G151">
            <v>2</v>
          </cell>
          <cell r="I151" t="str">
            <v>S</v>
          </cell>
        </row>
        <row r="152">
          <cell r="G152">
            <v>2</v>
          </cell>
          <cell r="I152" t="str">
            <v>I</v>
          </cell>
        </row>
        <row r="153">
          <cell r="G153">
            <v>3</v>
          </cell>
          <cell r="I153" t="str">
            <v>EC</v>
          </cell>
        </row>
        <row r="154">
          <cell r="G154">
            <v>3</v>
          </cell>
          <cell r="I154" t="str">
            <v>C</v>
          </cell>
        </row>
        <row r="155">
          <cell r="G155">
            <v>3</v>
          </cell>
          <cell r="I155" t="str">
            <v>C</v>
          </cell>
        </row>
        <row r="156">
          <cell r="G156">
            <v>4</v>
          </cell>
          <cell r="I156" t="str">
            <v>C</v>
          </cell>
        </row>
        <row r="157">
          <cell r="G157">
            <v>4</v>
          </cell>
          <cell r="I157" t="str">
            <v>C</v>
          </cell>
        </row>
        <row r="158">
          <cell r="G158">
            <v>4</v>
          </cell>
          <cell r="I158" t="str">
            <v>I</v>
          </cell>
        </row>
        <row r="159">
          <cell r="G159">
            <v>6</v>
          </cell>
          <cell r="I159" t="str">
            <v>C</v>
          </cell>
        </row>
        <row r="160">
          <cell r="G160">
            <v>6</v>
          </cell>
          <cell r="I160" t="str">
            <v>S</v>
          </cell>
        </row>
        <row r="161">
          <cell r="G161">
            <v>1</v>
          </cell>
          <cell r="I161" t="str">
            <v>C</v>
          </cell>
        </row>
        <row r="162">
          <cell r="G162">
            <v>2</v>
          </cell>
          <cell r="I162" t="str">
            <v>E</v>
          </cell>
        </row>
        <row r="163">
          <cell r="G163">
            <v>2</v>
          </cell>
          <cell r="I163" t="str">
            <v>I</v>
          </cell>
        </row>
        <row r="164">
          <cell r="G164">
            <v>3</v>
          </cell>
          <cell r="I164" t="str">
            <v>C</v>
          </cell>
        </row>
        <row r="165">
          <cell r="G165">
            <v>4</v>
          </cell>
          <cell r="I165" t="str">
            <v>S</v>
          </cell>
        </row>
        <row r="166">
          <cell r="G166">
            <v>4</v>
          </cell>
          <cell r="I166" t="str">
            <v>S</v>
          </cell>
        </row>
        <row r="167">
          <cell r="G167">
            <v>5</v>
          </cell>
          <cell r="I167" t="str">
            <v>C</v>
          </cell>
        </row>
        <row r="168">
          <cell r="G168">
            <v>5</v>
          </cell>
          <cell r="I168" t="str">
            <v>C</v>
          </cell>
        </row>
        <row r="169">
          <cell r="G169">
            <v>5</v>
          </cell>
          <cell r="I169" t="str">
            <v>I</v>
          </cell>
        </row>
        <row r="170">
          <cell r="G170">
            <v>6</v>
          </cell>
          <cell r="I170" t="str">
            <v>C</v>
          </cell>
        </row>
        <row r="171">
          <cell r="G171">
            <v>3</v>
          </cell>
          <cell r="I171" t="str">
            <v>C</v>
          </cell>
        </row>
        <row r="172">
          <cell r="G172">
            <v>3</v>
          </cell>
          <cell r="I172" t="str">
            <v>I</v>
          </cell>
        </row>
        <row r="173">
          <cell r="G173">
            <v>3</v>
          </cell>
          <cell r="I173" t="str">
            <v>C</v>
          </cell>
        </row>
        <row r="174">
          <cell r="G174">
            <v>2</v>
          </cell>
          <cell r="I174" t="str">
            <v>I</v>
          </cell>
        </row>
        <row r="175">
          <cell r="G175">
            <v>2</v>
          </cell>
          <cell r="I175" t="str">
            <v>C</v>
          </cell>
        </row>
        <row r="176">
          <cell r="G176">
            <v>5</v>
          </cell>
          <cell r="I176" t="str">
            <v>S</v>
          </cell>
        </row>
        <row r="177">
          <cell r="G177">
            <v>2</v>
          </cell>
          <cell r="I177" t="str">
            <v>C</v>
          </cell>
        </row>
        <row r="178">
          <cell r="G178">
            <v>4</v>
          </cell>
          <cell r="I178" t="str">
            <v>I</v>
          </cell>
        </row>
        <row r="179">
          <cell r="G179">
            <v>2</v>
          </cell>
          <cell r="I179" t="str">
            <v>C</v>
          </cell>
        </row>
        <row r="180">
          <cell r="G180">
            <v>2</v>
          </cell>
          <cell r="I180" t="str">
            <v>C</v>
          </cell>
        </row>
        <row r="181">
          <cell r="G181">
            <v>0</v>
          </cell>
          <cell r="I181" t="str">
            <v>F</v>
          </cell>
        </row>
        <row r="182">
          <cell r="G182">
            <v>1</v>
          </cell>
          <cell r="I182" t="str">
            <v>FC</v>
          </cell>
        </row>
        <row r="183">
          <cell r="G183">
            <v>4</v>
          </cell>
          <cell r="I183" t="str">
            <v>F</v>
          </cell>
        </row>
        <row r="184">
          <cell r="G184">
            <v>4</v>
          </cell>
          <cell r="I184" t="str">
            <v>F</v>
          </cell>
        </row>
        <row r="185">
          <cell r="G185">
            <v>5</v>
          </cell>
          <cell r="I185" t="str">
            <v>F</v>
          </cell>
        </row>
        <row r="186">
          <cell r="I186" t="str">
            <v>L</v>
          </cell>
        </row>
        <row r="187">
          <cell r="I187" t="str">
            <v>L</v>
          </cell>
        </row>
        <row r="188">
          <cell r="I188" t="str">
            <v>L</v>
          </cell>
        </row>
        <row r="189">
          <cell r="I189" t="str">
            <v>L</v>
          </cell>
        </row>
        <row r="190">
          <cell r="I190" t="str">
            <v>L</v>
          </cell>
        </row>
        <row r="195">
          <cell r="G195">
            <v>1</v>
          </cell>
          <cell r="I195" t="str">
            <v>I</v>
          </cell>
        </row>
        <row r="196">
          <cell r="G196">
            <v>2</v>
          </cell>
          <cell r="I196" t="str">
            <v>C</v>
          </cell>
        </row>
        <row r="197">
          <cell r="G197">
            <v>2</v>
          </cell>
          <cell r="I197" t="str">
            <v>C</v>
          </cell>
        </row>
        <row r="198">
          <cell r="G198">
            <v>3</v>
          </cell>
          <cell r="I198" t="str">
            <v>E</v>
          </cell>
        </row>
        <row r="199">
          <cell r="G199">
            <v>4</v>
          </cell>
          <cell r="I199" t="str">
            <v>C</v>
          </cell>
        </row>
        <row r="200">
          <cell r="G200">
            <v>4</v>
          </cell>
          <cell r="I200" t="str">
            <v>S</v>
          </cell>
        </row>
        <row r="201">
          <cell r="G201">
            <v>5</v>
          </cell>
          <cell r="I201" t="str">
            <v>C</v>
          </cell>
        </row>
        <row r="202">
          <cell r="G202">
            <v>6</v>
          </cell>
          <cell r="I202" t="str">
            <v>C</v>
          </cell>
        </row>
        <row r="203">
          <cell r="G203">
            <v>1</v>
          </cell>
          <cell r="I203" t="str">
            <v>EC</v>
          </cell>
        </row>
        <row r="204">
          <cell r="G204">
            <v>2</v>
          </cell>
          <cell r="I204" t="str">
            <v>C</v>
          </cell>
        </row>
        <row r="205">
          <cell r="G205">
            <v>2</v>
          </cell>
          <cell r="I205" t="str">
            <v>S</v>
          </cell>
        </row>
        <row r="206">
          <cell r="G206">
            <v>3</v>
          </cell>
          <cell r="I206" t="str">
            <v>I</v>
          </cell>
        </row>
        <row r="207">
          <cell r="G207">
            <v>3</v>
          </cell>
          <cell r="I207" t="str">
            <v>I</v>
          </cell>
        </row>
        <row r="208">
          <cell r="G208">
            <v>4</v>
          </cell>
          <cell r="I208" t="str">
            <v>S</v>
          </cell>
        </row>
        <row r="209">
          <cell r="G209">
            <v>5</v>
          </cell>
          <cell r="I209" t="str">
            <v>C</v>
          </cell>
        </row>
        <row r="210">
          <cell r="G210">
            <v>5</v>
          </cell>
          <cell r="I210" t="str">
            <v>C</v>
          </cell>
        </row>
        <row r="211">
          <cell r="G211">
            <v>2</v>
          </cell>
          <cell r="I211" t="str">
            <v>C</v>
          </cell>
        </row>
        <row r="212">
          <cell r="G212">
            <v>3</v>
          </cell>
          <cell r="I212" t="str">
            <v>I</v>
          </cell>
        </row>
        <row r="213">
          <cell r="G213">
            <v>4</v>
          </cell>
          <cell r="I213" t="str">
            <v>C</v>
          </cell>
        </row>
        <row r="214">
          <cell r="G214">
            <v>4</v>
          </cell>
          <cell r="I214" t="str">
            <v>C</v>
          </cell>
        </row>
        <row r="215">
          <cell r="G215">
            <v>4</v>
          </cell>
          <cell r="I215" t="str">
            <v>I</v>
          </cell>
        </row>
        <row r="216">
          <cell r="G216">
            <v>5</v>
          </cell>
          <cell r="I216" t="str">
            <v>C</v>
          </cell>
        </row>
        <row r="217">
          <cell r="G217">
            <v>5</v>
          </cell>
          <cell r="I217" t="str">
            <v>E</v>
          </cell>
        </row>
        <row r="218">
          <cell r="G218">
            <v>8</v>
          </cell>
          <cell r="I218" t="str">
            <v>C</v>
          </cell>
        </row>
        <row r="219">
          <cell r="G219">
            <v>1</v>
          </cell>
          <cell r="I219" t="str">
            <v>S</v>
          </cell>
        </row>
        <row r="220">
          <cell r="G220">
            <v>2</v>
          </cell>
          <cell r="I220" t="str">
            <v>S</v>
          </cell>
        </row>
        <row r="221">
          <cell r="G221">
            <v>3</v>
          </cell>
          <cell r="I221" t="str">
            <v>C</v>
          </cell>
        </row>
        <row r="222">
          <cell r="G222">
            <v>3</v>
          </cell>
          <cell r="I222" t="str">
            <v>C</v>
          </cell>
        </row>
        <row r="223">
          <cell r="G223">
            <v>4</v>
          </cell>
          <cell r="I223" t="str">
            <v>C</v>
          </cell>
        </row>
        <row r="224">
          <cell r="G224">
            <v>5</v>
          </cell>
          <cell r="I224" t="str">
            <v>C</v>
          </cell>
        </row>
        <row r="225">
          <cell r="G225">
            <v>6</v>
          </cell>
          <cell r="I225" t="str">
            <v>C</v>
          </cell>
        </row>
        <row r="226">
          <cell r="G226">
            <v>6</v>
          </cell>
          <cell r="I226" t="str">
            <v>E</v>
          </cell>
        </row>
        <row r="227">
          <cell r="G227">
            <v>1</v>
          </cell>
          <cell r="I227" t="str">
            <v>C</v>
          </cell>
        </row>
        <row r="228">
          <cell r="G228">
            <v>1</v>
          </cell>
          <cell r="I228" t="str">
            <v>E</v>
          </cell>
        </row>
        <row r="229">
          <cell r="G229">
            <v>2</v>
          </cell>
          <cell r="I229" t="str">
            <v>I</v>
          </cell>
        </row>
        <row r="230">
          <cell r="G230">
            <v>3</v>
          </cell>
          <cell r="I230" t="str">
            <v>S</v>
          </cell>
        </row>
        <row r="231">
          <cell r="G231">
            <v>4</v>
          </cell>
          <cell r="I231" t="str">
            <v>C</v>
          </cell>
        </row>
        <row r="232">
          <cell r="G232">
            <v>4</v>
          </cell>
          <cell r="I232" t="str">
            <v>C</v>
          </cell>
        </row>
        <row r="233">
          <cell r="G233">
            <v>5</v>
          </cell>
          <cell r="I233" t="str">
            <v>C</v>
          </cell>
        </row>
        <row r="234">
          <cell r="G234">
            <v>6</v>
          </cell>
          <cell r="I234" t="str">
            <v>C</v>
          </cell>
        </row>
        <row r="235">
          <cell r="G235">
            <v>3</v>
          </cell>
          <cell r="I235" t="str">
            <v>C</v>
          </cell>
        </row>
        <row r="236">
          <cell r="G236">
            <v>5</v>
          </cell>
          <cell r="I236" t="str">
            <v>S</v>
          </cell>
        </row>
        <row r="237">
          <cell r="G237">
            <v>7</v>
          </cell>
          <cell r="I237" t="str">
            <v>S</v>
          </cell>
        </row>
        <row r="238">
          <cell r="G238">
            <v>3</v>
          </cell>
          <cell r="I238" t="str">
            <v>I</v>
          </cell>
        </row>
        <row r="239">
          <cell r="G239">
            <v>3</v>
          </cell>
          <cell r="I239" t="str">
            <v>S</v>
          </cell>
        </row>
        <row r="240">
          <cell r="G240">
            <v>4</v>
          </cell>
          <cell r="I240" t="str">
            <v>S</v>
          </cell>
        </row>
        <row r="241">
          <cell r="G241">
            <v>4</v>
          </cell>
          <cell r="I241" t="str">
            <v>C</v>
          </cell>
        </row>
        <row r="242">
          <cell r="G242">
            <v>5</v>
          </cell>
          <cell r="I242" t="str">
            <v>E</v>
          </cell>
        </row>
        <row r="243">
          <cell r="G243">
            <v>4</v>
          </cell>
          <cell r="I243" t="str">
            <v>C</v>
          </cell>
        </row>
        <row r="244">
          <cell r="G244">
            <v>5</v>
          </cell>
          <cell r="I244" t="str">
            <v>S</v>
          </cell>
        </row>
        <row r="245">
          <cell r="G245">
            <v>5</v>
          </cell>
          <cell r="I245" t="str">
            <v>C</v>
          </cell>
        </row>
        <row r="246">
          <cell r="G246">
            <v>2</v>
          </cell>
          <cell r="I246" t="str">
            <v>F</v>
          </cell>
        </row>
        <row r="247">
          <cell r="G247">
            <v>2</v>
          </cell>
          <cell r="I247" t="str">
            <v>F</v>
          </cell>
        </row>
        <row r="248">
          <cell r="G248">
            <v>4</v>
          </cell>
          <cell r="I248" t="str">
            <v>FC</v>
          </cell>
        </row>
        <row r="249">
          <cell r="G249">
            <v>5</v>
          </cell>
          <cell r="I249" t="str">
            <v>F</v>
          </cell>
        </row>
        <row r="250">
          <cell r="I250" t="str">
            <v>L</v>
          </cell>
        </row>
        <row r="251">
          <cell r="I251" t="str">
            <v>L</v>
          </cell>
        </row>
        <row r="252">
          <cell r="I252" t="str">
            <v>L</v>
          </cell>
        </row>
        <row r="253">
          <cell r="I253" t="str">
            <v>L</v>
          </cell>
        </row>
        <row r="254">
          <cell r="I254" t="str">
            <v>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セット枚数"/>
      <sheetName val="キーワード"/>
      <sheetName val="スリヴァ"/>
      <sheetName val="samurai"/>
      <sheetName val="SoulShift"/>
      <sheetName val="Infect"/>
      <sheetName val="コモン"/>
      <sheetName val="アンコモン"/>
      <sheetName val="R MR"/>
      <sheetName val="H式CS+ORM"/>
      <sheetName val="ORM"/>
      <sheetName val="対抗C"/>
      <sheetName val="Sheet5"/>
      <sheetName val="Arcane"/>
      <sheetName val="Sheet3"/>
      <sheetName val="Sheet1"/>
      <sheetName val="CNS"/>
      <sheetName val="Sheet2"/>
      <sheetName val="Sheet4"/>
      <sheetName val="Sheet6"/>
    </sheetNames>
    <sheetDataSet>
      <sheetData sheetId="0" refreshError="1"/>
      <sheetData sheetId="1" refreshError="1"/>
      <sheetData sheetId="2" refreshError="1"/>
      <sheetData sheetId="3" refreshError="1"/>
      <sheetData sheetId="4" refreshError="1"/>
      <sheetData sheetId="5" refreshError="1"/>
      <sheetData sheetId="6">
        <row r="2">
          <cell r="G2">
            <v>1</v>
          </cell>
          <cell r="I2" t="str">
            <v>C</v>
          </cell>
        </row>
        <row r="3">
          <cell r="G3">
            <v>2</v>
          </cell>
          <cell r="I3" t="str">
            <v>C</v>
          </cell>
        </row>
        <row r="4">
          <cell r="G4">
            <v>2</v>
          </cell>
          <cell r="I4" t="str">
            <v>C</v>
          </cell>
        </row>
        <row r="5">
          <cell r="G5">
            <v>2</v>
          </cell>
          <cell r="I5" t="str">
            <v>I</v>
          </cell>
        </row>
        <row r="6">
          <cell r="G6">
            <v>2</v>
          </cell>
          <cell r="I6" t="str">
            <v>E</v>
          </cell>
        </row>
        <row r="7">
          <cell r="G7">
            <v>3</v>
          </cell>
          <cell r="I7" t="str">
            <v>C</v>
          </cell>
        </row>
        <row r="8">
          <cell r="G8">
            <v>3</v>
          </cell>
          <cell r="I8" t="str">
            <v>I</v>
          </cell>
        </row>
        <row r="9">
          <cell r="G9">
            <v>3</v>
          </cell>
          <cell r="I9" t="str">
            <v>I</v>
          </cell>
        </row>
        <row r="10">
          <cell r="G10">
            <v>3</v>
          </cell>
          <cell r="I10" t="str">
            <v>C</v>
          </cell>
        </row>
        <row r="11">
          <cell r="G11">
            <v>4</v>
          </cell>
          <cell r="I11" t="str">
            <v>C</v>
          </cell>
        </row>
        <row r="12">
          <cell r="G12">
            <v>4</v>
          </cell>
          <cell r="I12" t="str">
            <v>C</v>
          </cell>
        </row>
        <row r="13">
          <cell r="G13">
            <v>4</v>
          </cell>
          <cell r="I13" t="str">
            <v>S</v>
          </cell>
        </row>
        <row r="14">
          <cell r="G14">
            <v>4</v>
          </cell>
          <cell r="I14" t="str">
            <v>E</v>
          </cell>
        </row>
        <row r="15">
          <cell r="G15">
            <v>5</v>
          </cell>
          <cell r="I15" t="str">
            <v>C</v>
          </cell>
        </row>
        <row r="16">
          <cell r="G16">
            <v>5</v>
          </cell>
          <cell r="I16" t="str">
            <v>C</v>
          </cell>
        </row>
        <row r="17">
          <cell r="G17">
            <v>5</v>
          </cell>
          <cell r="I17" t="str">
            <v>C</v>
          </cell>
        </row>
        <row r="18">
          <cell r="G18">
            <v>6</v>
          </cell>
          <cell r="I18" t="str">
            <v>S</v>
          </cell>
        </row>
        <row r="19">
          <cell r="G19">
            <v>1</v>
          </cell>
          <cell r="I19" t="str">
            <v>S</v>
          </cell>
        </row>
        <row r="20">
          <cell r="G20">
            <v>2</v>
          </cell>
          <cell r="I20" t="str">
            <v>C</v>
          </cell>
        </row>
        <row r="21">
          <cell r="G21">
            <v>2</v>
          </cell>
          <cell r="I21" t="str">
            <v>I</v>
          </cell>
        </row>
        <row r="22">
          <cell r="G22">
            <v>2</v>
          </cell>
          <cell r="I22" t="str">
            <v>S</v>
          </cell>
        </row>
        <row r="23">
          <cell r="G23">
            <v>3</v>
          </cell>
          <cell r="I23" t="str">
            <v>C</v>
          </cell>
        </row>
        <row r="24">
          <cell r="G24">
            <v>3</v>
          </cell>
          <cell r="I24" t="str">
            <v>C</v>
          </cell>
        </row>
        <row r="25">
          <cell r="G25">
            <v>3</v>
          </cell>
          <cell r="I25" t="str">
            <v>I</v>
          </cell>
        </row>
        <row r="26">
          <cell r="G26">
            <v>3</v>
          </cell>
          <cell r="I26" t="str">
            <v>E</v>
          </cell>
        </row>
        <row r="27">
          <cell r="G27">
            <v>4</v>
          </cell>
          <cell r="I27" t="str">
            <v>C</v>
          </cell>
        </row>
        <row r="28">
          <cell r="G28">
            <v>4</v>
          </cell>
          <cell r="I28" t="str">
            <v>C</v>
          </cell>
        </row>
        <row r="29">
          <cell r="G29">
            <v>4</v>
          </cell>
          <cell r="I29" t="str">
            <v>C</v>
          </cell>
        </row>
        <row r="30">
          <cell r="G30">
            <v>4</v>
          </cell>
          <cell r="I30" t="str">
            <v>S</v>
          </cell>
        </row>
        <row r="31">
          <cell r="G31">
            <v>5</v>
          </cell>
          <cell r="I31" t="str">
            <v>C</v>
          </cell>
        </row>
        <row r="32">
          <cell r="G32">
            <v>5</v>
          </cell>
          <cell r="I32" t="str">
            <v>C</v>
          </cell>
        </row>
        <row r="33">
          <cell r="G33">
            <v>5</v>
          </cell>
          <cell r="I33" t="str">
            <v>C</v>
          </cell>
        </row>
        <row r="34">
          <cell r="G34">
            <v>6</v>
          </cell>
          <cell r="I34" t="str">
            <v>C</v>
          </cell>
        </row>
        <row r="35">
          <cell r="G35">
            <v>5</v>
          </cell>
          <cell r="I35" t="str">
            <v>C</v>
          </cell>
        </row>
        <row r="36">
          <cell r="G36">
            <v>1</v>
          </cell>
          <cell r="I36" t="str">
            <v>E</v>
          </cell>
        </row>
        <row r="37">
          <cell r="G37">
            <v>2</v>
          </cell>
          <cell r="I37" t="str">
            <v>C</v>
          </cell>
        </row>
        <row r="38">
          <cell r="G38">
            <v>2</v>
          </cell>
          <cell r="I38" t="str">
            <v>C</v>
          </cell>
        </row>
        <row r="39">
          <cell r="G39">
            <v>2</v>
          </cell>
          <cell r="I39" t="str">
            <v>E</v>
          </cell>
        </row>
        <row r="40">
          <cell r="G40">
            <v>3</v>
          </cell>
          <cell r="I40" t="str">
            <v>C</v>
          </cell>
        </row>
        <row r="41">
          <cell r="G41">
            <v>3</v>
          </cell>
          <cell r="I41" t="str">
            <v>C</v>
          </cell>
        </row>
        <row r="42">
          <cell r="G42">
            <v>3</v>
          </cell>
          <cell r="I42" t="str">
            <v>I</v>
          </cell>
        </row>
        <row r="43">
          <cell r="G43">
            <v>3</v>
          </cell>
          <cell r="I43" t="str">
            <v>S</v>
          </cell>
        </row>
        <row r="44">
          <cell r="G44">
            <v>4</v>
          </cell>
          <cell r="I44" t="str">
            <v>C</v>
          </cell>
        </row>
        <row r="45">
          <cell r="G45">
            <v>4</v>
          </cell>
          <cell r="I45" t="str">
            <v>C</v>
          </cell>
        </row>
        <row r="46">
          <cell r="G46">
            <v>4</v>
          </cell>
          <cell r="I46" t="str">
            <v>C</v>
          </cell>
        </row>
        <row r="47">
          <cell r="G47">
            <v>5</v>
          </cell>
          <cell r="I47" t="str">
            <v>S</v>
          </cell>
        </row>
        <row r="48">
          <cell r="G48">
            <v>5</v>
          </cell>
          <cell r="I48" t="str">
            <v>C</v>
          </cell>
        </row>
        <row r="49">
          <cell r="G49">
            <v>5</v>
          </cell>
          <cell r="I49" t="str">
            <v>C</v>
          </cell>
        </row>
        <row r="50">
          <cell r="G50">
            <v>5</v>
          </cell>
          <cell r="I50" t="str">
            <v>S</v>
          </cell>
        </row>
        <row r="51">
          <cell r="G51">
            <v>5</v>
          </cell>
          <cell r="I51" t="str">
            <v>I</v>
          </cell>
        </row>
        <row r="52">
          <cell r="G52">
            <v>6</v>
          </cell>
          <cell r="I52" t="str">
            <v>C</v>
          </cell>
        </row>
        <row r="53">
          <cell r="G53">
            <v>1</v>
          </cell>
          <cell r="I53" t="str">
            <v>S</v>
          </cell>
        </row>
        <row r="54">
          <cell r="G54">
            <v>2</v>
          </cell>
          <cell r="I54" t="str">
            <v>C</v>
          </cell>
        </row>
        <row r="55">
          <cell r="G55">
            <v>2</v>
          </cell>
          <cell r="I55" t="str">
            <v>C</v>
          </cell>
        </row>
        <row r="56">
          <cell r="G56">
            <v>2</v>
          </cell>
          <cell r="I56" t="str">
            <v>S</v>
          </cell>
        </row>
        <row r="57">
          <cell r="G57">
            <v>2</v>
          </cell>
          <cell r="I57" t="str">
            <v>C</v>
          </cell>
        </row>
        <row r="58">
          <cell r="G58">
            <v>2</v>
          </cell>
          <cell r="I58" t="str">
            <v>I</v>
          </cell>
        </row>
        <row r="59">
          <cell r="G59">
            <v>3</v>
          </cell>
          <cell r="I59" t="str">
            <v>C</v>
          </cell>
        </row>
        <row r="60">
          <cell r="G60">
            <v>3</v>
          </cell>
          <cell r="I60" t="str">
            <v>C</v>
          </cell>
        </row>
        <row r="61">
          <cell r="G61">
            <v>3</v>
          </cell>
          <cell r="I61" t="str">
            <v>I</v>
          </cell>
        </row>
        <row r="62">
          <cell r="G62">
            <v>3</v>
          </cell>
          <cell r="I62" t="str">
            <v>E</v>
          </cell>
        </row>
        <row r="63">
          <cell r="G63">
            <v>4</v>
          </cell>
          <cell r="I63" t="str">
            <v>S</v>
          </cell>
        </row>
        <row r="64">
          <cell r="G64">
            <v>4</v>
          </cell>
          <cell r="I64" t="str">
            <v>S</v>
          </cell>
        </row>
        <row r="65">
          <cell r="G65">
            <v>5</v>
          </cell>
          <cell r="I65" t="str">
            <v>C</v>
          </cell>
        </row>
        <row r="66">
          <cell r="G66">
            <v>5</v>
          </cell>
          <cell r="I66" t="str">
            <v>C</v>
          </cell>
        </row>
        <row r="67">
          <cell r="G67">
            <v>6</v>
          </cell>
          <cell r="I67" t="str">
            <v>C</v>
          </cell>
        </row>
        <row r="68">
          <cell r="G68">
            <v>6</v>
          </cell>
          <cell r="I68" t="str">
            <v>C</v>
          </cell>
        </row>
        <row r="69">
          <cell r="G69">
            <v>6</v>
          </cell>
          <cell r="I69" t="str">
            <v>C</v>
          </cell>
        </row>
        <row r="70">
          <cell r="G70">
            <v>1</v>
          </cell>
          <cell r="I70" t="str">
            <v>C</v>
          </cell>
        </row>
        <row r="71">
          <cell r="G71">
            <v>2</v>
          </cell>
          <cell r="I71" t="str">
            <v>C</v>
          </cell>
        </row>
        <row r="72">
          <cell r="G72">
            <v>2</v>
          </cell>
          <cell r="I72" t="str">
            <v>C</v>
          </cell>
        </row>
        <row r="73">
          <cell r="G73">
            <v>2</v>
          </cell>
          <cell r="I73" t="str">
            <v>S</v>
          </cell>
        </row>
        <row r="74">
          <cell r="G74">
            <v>2</v>
          </cell>
          <cell r="I74" t="str">
            <v>I</v>
          </cell>
        </row>
        <row r="75">
          <cell r="G75">
            <v>2</v>
          </cell>
          <cell r="I75" t="str">
            <v>I</v>
          </cell>
        </row>
        <row r="76">
          <cell r="G76">
            <v>3</v>
          </cell>
          <cell r="I76" t="str">
            <v>C</v>
          </cell>
        </row>
        <row r="77">
          <cell r="G77">
            <v>3</v>
          </cell>
          <cell r="I77" t="str">
            <v>C</v>
          </cell>
        </row>
        <row r="78">
          <cell r="G78">
            <v>3</v>
          </cell>
          <cell r="I78" t="str">
            <v>S</v>
          </cell>
        </row>
        <row r="79">
          <cell r="G79">
            <v>3</v>
          </cell>
          <cell r="I79" t="str">
            <v>E</v>
          </cell>
        </row>
        <row r="80">
          <cell r="G80">
            <v>3</v>
          </cell>
          <cell r="I80" t="str">
            <v>I</v>
          </cell>
        </row>
        <row r="81">
          <cell r="G81">
            <v>4</v>
          </cell>
          <cell r="I81" t="str">
            <v>C</v>
          </cell>
        </row>
        <row r="82">
          <cell r="G82">
            <v>4</v>
          </cell>
          <cell r="I82" t="str">
            <v>C</v>
          </cell>
        </row>
        <row r="83">
          <cell r="G83">
            <v>4</v>
          </cell>
          <cell r="I83" t="str">
            <v>S</v>
          </cell>
        </row>
        <row r="84">
          <cell r="G84">
            <v>5</v>
          </cell>
          <cell r="I84" t="str">
            <v>C</v>
          </cell>
        </row>
        <row r="85">
          <cell r="G85">
            <v>5</v>
          </cell>
          <cell r="I85" t="str">
            <v>C</v>
          </cell>
        </row>
        <row r="86">
          <cell r="G86">
            <v>6</v>
          </cell>
          <cell r="I86" t="str">
            <v>C</v>
          </cell>
        </row>
        <row r="87">
          <cell r="G87">
            <v>1</v>
          </cell>
          <cell r="I87" t="str">
            <v>I</v>
          </cell>
        </row>
        <row r="88">
          <cell r="G88">
            <v>2</v>
          </cell>
          <cell r="I88" t="str">
            <v>C</v>
          </cell>
        </row>
        <row r="89">
          <cell r="G89">
            <v>2</v>
          </cell>
          <cell r="I89" t="str">
            <v>S</v>
          </cell>
        </row>
        <row r="90">
          <cell r="G90">
            <v>4</v>
          </cell>
          <cell r="I90" t="str">
            <v>C</v>
          </cell>
        </row>
        <row r="91">
          <cell r="G91">
            <v>2</v>
          </cell>
          <cell r="I91" t="str">
            <v>C</v>
          </cell>
        </row>
        <row r="92">
          <cell r="G92">
            <v>2</v>
          </cell>
          <cell r="I92" t="str">
            <v>I</v>
          </cell>
        </row>
        <row r="93">
          <cell r="G93">
            <v>4</v>
          </cell>
          <cell r="I93" t="str">
            <v>I</v>
          </cell>
        </row>
        <row r="94">
          <cell r="G94">
            <v>5</v>
          </cell>
          <cell r="I94" t="str">
            <v>C</v>
          </cell>
        </row>
        <row r="95">
          <cell r="G95">
            <v>2</v>
          </cell>
          <cell r="I95" t="str">
            <v>I</v>
          </cell>
        </row>
        <row r="96">
          <cell r="G96">
            <v>3</v>
          </cell>
          <cell r="I96" t="str">
            <v>C</v>
          </cell>
        </row>
        <row r="97">
          <cell r="G97">
            <v>4</v>
          </cell>
          <cell r="I97" t="str">
            <v>C</v>
          </cell>
        </row>
        <row r="98">
          <cell r="G98">
            <v>4</v>
          </cell>
          <cell r="I98" t="str">
            <v>I</v>
          </cell>
        </row>
        <row r="99">
          <cell r="G99">
            <v>1</v>
          </cell>
          <cell r="I99" t="str">
            <v>C</v>
          </cell>
        </row>
        <row r="100">
          <cell r="G100">
            <v>2</v>
          </cell>
          <cell r="I100" t="str">
            <v>I</v>
          </cell>
        </row>
        <row r="101">
          <cell r="G101">
            <v>3</v>
          </cell>
          <cell r="I101" t="str">
            <v>C</v>
          </cell>
        </row>
        <row r="102">
          <cell r="G102">
            <v>4</v>
          </cell>
          <cell r="I102" t="str">
            <v>I</v>
          </cell>
        </row>
        <row r="103">
          <cell r="G103">
            <v>1</v>
          </cell>
          <cell r="I103" t="str">
            <v>I</v>
          </cell>
        </row>
        <row r="104">
          <cell r="G104">
            <v>3</v>
          </cell>
          <cell r="I104" t="str">
            <v>C</v>
          </cell>
        </row>
        <row r="105">
          <cell r="G105">
            <v>5</v>
          </cell>
          <cell r="I105" t="str">
            <v>I</v>
          </cell>
        </row>
        <row r="106">
          <cell r="G106">
            <v>6</v>
          </cell>
          <cell r="I106" t="str">
            <v>C</v>
          </cell>
        </row>
        <row r="107">
          <cell r="G107">
            <v>2</v>
          </cell>
          <cell r="I107" t="str">
            <v>F</v>
          </cell>
        </row>
        <row r="108">
          <cell r="G108">
            <v>2</v>
          </cell>
          <cell r="I108" t="str">
            <v>F</v>
          </cell>
        </row>
        <row r="109">
          <cell r="G109">
            <v>2</v>
          </cell>
          <cell r="I109" t="str">
            <v>F</v>
          </cell>
        </row>
        <row r="110">
          <cell r="G110">
            <v>2</v>
          </cell>
          <cell r="I110" t="str">
            <v>F</v>
          </cell>
        </row>
        <row r="111">
          <cell r="G111">
            <v>2</v>
          </cell>
          <cell r="I111" t="str">
            <v>F</v>
          </cell>
        </row>
        <row r="112">
          <cell r="G112">
            <v>5</v>
          </cell>
          <cell r="I112" t="str">
            <v>FC</v>
          </cell>
        </row>
        <row r="113">
          <cell r="G113">
            <v>6</v>
          </cell>
          <cell r="I113" t="str">
            <v>FC</v>
          </cell>
        </row>
        <row r="121">
          <cell r="G121">
            <v>1</v>
          </cell>
          <cell r="I121" t="str">
            <v>I</v>
          </cell>
        </row>
        <row r="122">
          <cell r="G122">
            <v>2</v>
          </cell>
          <cell r="I122" t="str">
            <v>C</v>
          </cell>
        </row>
        <row r="123">
          <cell r="G123">
            <v>2</v>
          </cell>
          <cell r="I123" t="str">
            <v>C</v>
          </cell>
        </row>
        <row r="124">
          <cell r="G124">
            <v>2</v>
          </cell>
          <cell r="I124" t="str">
            <v>I</v>
          </cell>
        </row>
        <row r="125">
          <cell r="G125">
            <v>3</v>
          </cell>
          <cell r="I125" t="str">
            <v>S</v>
          </cell>
        </row>
        <row r="126">
          <cell r="G126">
            <v>3</v>
          </cell>
          <cell r="I126" t="str">
            <v>E</v>
          </cell>
        </row>
        <row r="127">
          <cell r="G127">
            <v>3</v>
          </cell>
          <cell r="I127" t="str">
            <v>I</v>
          </cell>
        </row>
        <row r="128">
          <cell r="G128">
            <v>4</v>
          </cell>
          <cell r="I128" t="str">
            <v>C</v>
          </cell>
        </row>
        <row r="129">
          <cell r="G129">
            <v>5</v>
          </cell>
          <cell r="I129" t="str">
            <v>C</v>
          </cell>
        </row>
        <row r="130">
          <cell r="G130">
            <v>5</v>
          </cell>
          <cell r="I130" t="str">
            <v>C</v>
          </cell>
        </row>
        <row r="131">
          <cell r="G131">
            <v>6</v>
          </cell>
          <cell r="I131" t="str">
            <v>C</v>
          </cell>
        </row>
        <row r="132">
          <cell r="G132">
            <v>2</v>
          </cell>
          <cell r="I132" t="str">
            <v>I</v>
          </cell>
        </row>
        <row r="133">
          <cell r="G133">
            <v>1</v>
          </cell>
          <cell r="I133" t="str">
            <v>I</v>
          </cell>
        </row>
        <row r="134">
          <cell r="G134">
            <v>2</v>
          </cell>
          <cell r="I134" t="str">
            <v>C</v>
          </cell>
        </row>
        <row r="135">
          <cell r="G135">
            <v>3</v>
          </cell>
          <cell r="I135" t="str">
            <v>C</v>
          </cell>
        </row>
        <row r="136">
          <cell r="G136">
            <v>3</v>
          </cell>
          <cell r="I136" t="str">
            <v>C</v>
          </cell>
        </row>
        <row r="137">
          <cell r="G137">
            <v>3</v>
          </cell>
          <cell r="I137" t="str">
            <v>I</v>
          </cell>
        </row>
        <row r="138">
          <cell r="G138">
            <v>3</v>
          </cell>
          <cell r="I138" t="str">
            <v>E</v>
          </cell>
        </row>
        <row r="139">
          <cell r="G139">
            <v>4</v>
          </cell>
          <cell r="I139" t="str">
            <v>S</v>
          </cell>
        </row>
        <row r="140">
          <cell r="G140">
            <v>4</v>
          </cell>
          <cell r="I140" t="str">
            <v>C</v>
          </cell>
        </row>
        <row r="141">
          <cell r="G141">
            <v>4</v>
          </cell>
          <cell r="I141" t="str">
            <v>S</v>
          </cell>
        </row>
        <row r="142">
          <cell r="G142">
            <v>6</v>
          </cell>
          <cell r="I142" t="str">
            <v>C</v>
          </cell>
        </row>
        <row r="143">
          <cell r="G143">
            <v>1</v>
          </cell>
          <cell r="I143" t="str">
            <v>S</v>
          </cell>
        </row>
        <row r="144">
          <cell r="G144">
            <v>2</v>
          </cell>
          <cell r="I144" t="str">
            <v>C</v>
          </cell>
        </row>
        <row r="145">
          <cell r="G145">
            <v>2</v>
          </cell>
          <cell r="I145" t="str">
            <v>I</v>
          </cell>
        </row>
        <row r="146">
          <cell r="G146">
            <v>3</v>
          </cell>
          <cell r="I146" t="str">
            <v>C</v>
          </cell>
        </row>
        <row r="147">
          <cell r="G147">
            <v>3</v>
          </cell>
          <cell r="I147" t="str">
            <v>C</v>
          </cell>
        </row>
        <row r="148">
          <cell r="G148">
            <v>4</v>
          </cell>
          <cell r="I148" t="str">
            <v>S</v>
          </cell>
        </row>
        <row r="149">
          <cell r="G149">
            <v>4</v>
          </cell>
          <cell r="I149" t="str">
            <v>C</v>
          </cell>
        </row>
        <row r="150">
          <cell r="G150">
            <v>4</v>
          </cell>
          <cell r="I150" t="str">
            <v>I</v>
          </cell>
        </row>
        <row r="151">
          <cell r="G151">
            <v>5</v>
          </cell>
          <cell r="I151" t="str">
            <v>S</v>
          </cell>
        </row>
        <row r="152">
          <cell r="G152">
            <v>6</v>
          </cell>
          <cell r="I152" t="str">
            <v>E</v>
          </cell>
        </row>
        <row r="153">
          <cell r="G153">
            <v>7</v>
          </cell>
          <cell r="I153" t="str">
            <v>C</v>
          </cell>
        </row>
        <row r="154">
          <cell r="G154">
            <v>2</v>
          </cell>
          <cell r="I154" t="str">
            <v>C</v>
          </cell>
        </row>
        <row r="155">
          <cell r="G155">
            <v>2</v>
          </cell>
          <cell r="I155" t="str">
            <v>S</v>
          </cell>
        </row>
        <row r="156">
          <cell r="G156">
            <v>2</v>
          </cell>
          <cell r="I156" t="str">
            <v>I</v>
          </cell>
        </row>
        <row r="157">
          <cell r="G157">
            <v>3</v>
          </cell>
          <cell r="I157" t="str">
            <v>EC</v>
          </cell>
        </row>
        <row r="158">
          <cell r="G158">
            <v>3</v>
          </cell>
          <cell r="I158" t="str">
            <v>C</v>
          </cell>
        </row>
        <row r="159">
          <cell r="G159">
            <v>3</v>
          </cell>
          <cell r="I159" t="str">
            <v>C</v>
          </cell>
        </row>
        <row r="160">
          <cell r="G160">
            <v>4</v>
          </cell>
          <cell r="I160" t="str">
            <v>C</v>
          </cell>
        </row>
        <row r="161">
          <cell r="G161">
            <v>4</v>
          </cell>
          <cell r="I161" t="str">
            <v>C</v>
          </cell>
        </row>
        <row r="162">
          <cell r="G162">
            <v>4</v>
          </cell>
          <cell r="I162" t="str">
            <v>I</v>
          </cell>
        </row>
        <row r="163">
          <cell r="G163">
            <v>6</v>
          </cell>
          <cell r="I163" t="str">
            <v>C</v>
          </cell>
        </row>
        <row r="164">
          <cell r="G164">
            <v>6</v>
          </cell>
          <cell r="I164" t="str">
            <v>S</v>
          </cell>
        </row>
        <row r="165">
          <cell r="G165">
            <v>1</v>
          </cell>
          <cell r="I165" t="str">
            <v>C</v>
          </cell>
        </row>
        <row r="166">
          <cell r="G166">
            <v>2</v>
          </cell>
          <cell r="I166" t="str">
            <v>E</v>
          </cell>
        </row>
        <row r="167">
          <cell r="G167">
            <v>2</v>
          </cell>
          <cell r="I167" t="str">
            <v>I</v>
          </cell>
        </row>
        <row r="168">
          <cell r="G168">
            <v>3</v>
          </cell>
          <cell r="I168" t="str">
            <v>C</v>
          </cell>
        </row>
        <row r="169">
          <cell r="G169">
            <v>4</v>
          </cell>
          <cell r="I169" t="str">
            <v>S</v>
          </cell>
        </row>
        <row r="170">
          <cell r="G170">
            <v>4</v>
          </cell>
          <cell r="I170" t="str">
            <v>S</v>
          </cell>
        </row>
        <row r="171">
          <cell r="G171">
            <v>5</v>
          </cell>
          <cell r="I171" t="str">
            <v>C</v>
          </cell>
        </row>
        <row r="172">
          <cell r="G172">
            <v>5</v>
          </cell>
          <cell r="I172" t="str">
            <v>C</v>
          </cell>
        </row>
        <row r="173">
          <cell r="G173">
            <v>5</v>
          </cell>
          <cell r="I173" t="str">
            <v>I</v>
          </cell>
        </row>
        <row r="174">
          <cell r="G174">
            <v>6</v>
          </cell>
          <cell r="I174" t="str">
            <v>C</v>
          </cell>
        </row>
        <row r="175">
          <cell r="G175">
            <v>9</v>
          </cell>
          <cell r="I175" t="str">
            <v>C</v>
          </cell>
        </row>
        <row r="176">
          <cell r="G176">
            <v>3</v>
          </cell>
          <cell r="I176" t="str">
            <v>C</v>
          </cell>
        </row>
        <row r="177">
          <cell r="G177">
            <v>5</v>
          </cell>
          <cell r="I177" t="str">
            <v>C</v>
          </cell>
        </row>
        <row r="178">
          <cell r="G178">
            <v>2</v>
          </cell>
          <cell r="I178" t="str">
            <v>C</v>
          </cell>
        </row>
        <row r="179">
          <cell r="G179">
            <v>3</v>
          </cell>
          <cell r="I179" t="str">
            <v>C</v>
          </cell>
        </row>
        <row r="180">
          <cell r="G180">
            <v>3</v>
          </cell>
          <cell r="I180" t="str">
            <v>C</v>
          </cell>
        </row>
        <row r="181">
          <cell r="G181">
            <v>3</v>
          </cell>
          <cell r="I181" t="str">
            <v>C</v>
          </cell>
        </row>
        <row r="182">
          <cell r="G182">
            <v>4</v>
          </cell>
          <cell r="I182" t="str">
            <v>C</v>
          </cell>
        </row>
        <row r="183">
          <cell r="G183">
            <v>2</v>
          </cell>
          <cell r="I183" t="str">
            <v>I</v>
          </cell>
        </row>
        <row r="184">
          <cell r="G184">
            <v>3</v>
          </cell>
          <cell r="I184" t="str">
            <v>I</v>
          </cell>
        </row>
        <row r="185">
          <cell r="G185">
            <v>3</v>
          </cell>
          <cell r="I185" t="str">
            <v>C</v>
          </cell>
        </row>
        <row r="186">
          <cell r="G186">
            <v>4</v>
          </cell>
          <cell r="I186" t="str">
            <v>C</v>
          </cell>
        </row>
        <row r="187">
          <cell r="G187">
            <v>3</v>
          </cell>
          <cell r="I187" t="str">
            <v>I</v>
          </cell>
        </row>
        <row r="188">
          <cell r="G188">
            <v>2</v>
          </cell>
          <cell r="I188" t="str">
            <v>I</v>
          </cell>
        </row>
        <row r="189">
          <cell r="G189">
            <v>2</v>
          </cell>
          <cell r="I189" t="str">
            <v>C</v>
          </cell>
        </row>
        <row r="190">
          <cell r="G190">
            <v>4</v>
          </cell>
          <cell r="I190" t="str">
            <v>C</v>
          </cell>
        </row>
        <row r="191">
          <cell r="G191">
            <v>4</v>
          </cell>
          <cell r="I191" t="str">
            <v>S</v>
          </cell>
        </row>
        <row r="192">
          <cell r="G192">
            <v>5</v>
          </cell>
          <cell r="I192" t="str">
            <v>S</v>
          </cell>
        </row>
        <row r="193">
          <cell r="G193">
            <v>2</v>
          </cell>
          <cell r="I193" t="str">
            <v>C</v>
          </cell>
        </row>
        <row r="194">
          <cell r="G194">
            <v>4</v>
          </cell>
          <cell r="I194" t="str">
            <v>C</v>
          </cell>
        </row>
        <row r="195">
          <cell r="G195">
            <v>2</v>
          </cell>
          <cell r="I195" t="str">
            <v>I</v>
          </cell>
        </row>
        <row r="196">
          <cell r="G196">
            <v>4</v>
          </cell>
          <cell r="I196" t="str">
            <v>I</v>
          </cell>
        </row>
        <row r="197">
          <cell r="G197">
            <v>2</v>
          </cell>
          <cell r="I197" t="str">
            <v>C</v>
          </cell>
        </row>
        <row r="198">
          <cell r="G198">
            <v>3</v>
          </cell>
          <cell r="I198" t="str">
            <v>S</v>
          </cell>
        </row>
        <row r="199">
          <cell r="G199">
            <v>4</v>
          </cell>
          <cell r="I199" t="str">
            <v>C</v>
          </cell>
        </row>
        <row r="200">
          <cell r="G200">
            <v>2</v>
          </cell>
          <cell r="I200" t="str">
            <v>C</v>
          </cell>
        </row>
        <row r="201">
          <cell r="G201">
            <v>0</v>
          </cell>
          <cell r="I201" t="str">
            <v>F</v>
          </cell>
        </row>
        <row r="202">
          <cell r="G202">
            <v>1</v>
          </cell>
          <cell r="I202" t="str">
            <v>FC</v>
          </cell>
        </row>
        <row r="203">
          <cell r="G203">
            <v>4</v>
          </cell>
          <cell r="I203" t="str">
            <v>F</v>
          </cell>
        </row>
        <row r="204">
          <cell r="G204">
            <v>4</v>
          </cell>
          <cell r="I204" t="str">
            <v>F</v>
          </cell>
        </row>
        <row r="205">
          <cell r="G205">
            <v>5</v>
          </cell>
          <cell r="I205" t="str">
            <v>F</v>
          </cell>
        </row>
        <row r="206">
          <cell r="I206" t="str">
            <v>L</v>
          </cell>
        </row>
        <row r="207">
          <cell r="I207" t="str">
            <v>L</v>
          </cell>
        </row>
        <row r="208">
          <cell r="I208" t="str">
            <v>L</v>
          </cell>
        </row>
        <row r="209">
          <cell r="I209" t="str">
            <v>L</v>
          </cell>
        </row>
        <row r="210">
          <cell r="I210" t="str">
            <v>L</v>
          </cell>
        </row>
        <row r="215">
          <cell r="G215">
            <v>1</v>
          </cell>
          <cell r="I215" t="str">
            <v>I</v>
          </cell>
        </row>
        <row r="216">
          <cell r="G216">
            <v>2</v>
          </cell>
          <cell r="I216" t="str">
            <v>C</v>
          </cell>
        </row>
        <row r="217">
          <cell r="G217">
            <v>2</v>
          </cell>
          <cell r="I217" t="str">
            <v>C</v>
          </cell>
        </row>
        <row r="218">
          <cell r="G218">
            <v>2</v>
          </cell>
          <cell r="I218" t="str">
            <v>E</v>
          </cell>
        </row>
        <row r="219">
          <cell r="G219">
            <v>3</v>
          </cell>
          <cell r="I219" t="str">
            <v>E</v>
          </cell>
        </row>
        <row r="220">
          <cell r="G220">
            <v>4</v>
          </cell>
          <cell r="I220" t="str">
            <v>C</v>
          </cell>
        </row>
        <row r="221">
          <cell r="G221">
            <v>4</v>
          </cell>
          <cell r="I221" t="str">
            <v>S</v>
          </cell>
        </row>
        <row r="222">
          <cell r="G222">
            <v>5</v>
          </cell>
          <cell r="I222" t="str">
            <v>C</v>
          </cell>
        </row>
        <row r="223">
          <cell r="G223">
            <v>6</v>
          </cell>
          <cell r="I223" t="str">
            <v>C</v>
          </cell>
        </row>
        <row r="224">
          <cell r="G224">
            <v>1</v>
          </cell>
          <cell r="I224" t="str">
            <v>EC</v>
          </cell>
        </row>
        <row r="225">
          <cell r="G225">
            <v>2</v>
          </cell>
          <cell r="I225" t="str">
            <v>C</v>
          </cell>
        </row>
        <row r="226">
          <cell r="G226">
            <v>2</v>
          </cell>
          <cell r="I226" t="str">
            <v>S</v>
          </cell>
        </row>
        <row r="227">
          <cell r="G227">
            <v>3</v>
          </cell>
          <cell r="I227" t="str">
            <v>I</v>
          </cell>
        </row>
        <row r="228">
          <cell r="G228">
            <v>3</v>
          </cell>
          <cell r="I228" t="str">
            <v>I</v>
          </cell>
        </row>
        <row r="229">
          <cell r="G229">
            <v>4</v>
          </cell>
          <cell r="I229" t="str">
            <v>S</v>
          </cell>
        </row>
        <row r="230">
          <cell r="G230">
            <v>5</v>
          </cell>
          <cell r="I230" t="str">
            <v>C</v>
          </cell>
        </row>
        <row r="231">
          <cell r="G231">
            <v>5</v>
          </cell>
          <cell r="I231" t="str">
            <v>C</v>
          </cell>
        </row>
        <row r="232">
          <cell r="G232">
            <v>8</v>
          </cell>
          <cell r="I232" t="str">
            <v>C</v>
          </cell>
        </row>
        <row r="233">
          <cell r="G233">
            <v>2</v>
          </cell>
          <cell r="I233" t="str">
            <v>C</v>
          </cell>
        </row>
        <row r="234">
          <cell r="G234">
            <v>2</v>
          </cell>
          <cell r="I234" t="str">
            <v>S</v>
          </cell>
        </row>
        <row r="235">
          <cell r="G235">
            <v>3</v>
          </cell>
          <cell r="I235" t="str">
            <v>I</v>
          </cell>
        </row>
        <row r="236">
          <cell r="G236">
            <v>4</v>
          </cell>
          <cell r="I236" t="str">
            <v>C</v>
          </cell>
        </row>
        <row r="237">
          <cell r="G237">
            <v>4</v>
          </cell>
          <cell r="I237" t="str">
            <v>C</v>
          </cell>
        </row>
        <row r="238">
          <cell r="G238">
            <v>4</v>
          </cell>
          <cell r="I238" t="str">
            <v>I</v>
          </cell>
        </row>
        <row r="239">
          <cell r="G239">
            <v>5</v>
          </cell>
          <cell r="I239" t="str">
            <v>C</v>
          </cell>
        </row>
        <row r="240">
          <cell r="G240">
            <v>5</v>
          </cell>
          <cell r="I240" t="str">
            <v>E</v>
          </cell>
        </row>
        <row r="241">
          <cell r="G241">
            <v>8</v>
          </cell>
          <cell r="I241" t="str">
            <v>C</v>
          </cell>
        </row>
        <row r="242">
          <cell r="G242">
            <v>1</v>
          </cell>
          <cell r="I242" t="str">
            <v>S</v>
          </cell>
        </row>
        <row r="243">
          <cell r="G243">
            <v>2</v>
          </cell>
          <cell r="I243" t="str">
            <v>S</v>
          </cell>
        </row>
        <row r="244">
          <cell r="G244">
            <v>3</v>
          </cell>
          <cell r="I244" t="str">
            <v>C</v>
          </cell>
        </row>
        <row r="245">
          <cell r="G245">
            <v>3</v>
          </cell>
          <cell r="I245" t="str">
            <v>C</v>
          </cell>
        </row>
        <row r="246">
          <cell r="G246">
            <v>4</v>
          </cell>
          <cell r="I246" t="str">
            <v>C</v>
          </cell>
        </row>
        <row r="247">
          <cell r="G247">
            <v>5</v>
          </cell>
          <cell r="I247" t="str">
            <v>C</v>
          </cell>
        </row>
        <row r="248">
          <cell r="G248">
            <v>6</v>
          </cell>
          <cell r="I248" t="str">
            <v>C</v>
          </cell>
        </row>
        <row r="249">
          <cell r="G249">
            <v>6</v>
          </cell>
          <cell r="I249" t="str">
            <v>E</v>
          </cell>
        </row>
        <row r="250">
          <cell r="G250">
            <v>6</v>
          </cell>
          <cell r="I250" t="str">
            <v>I</v>
          </cell>
        </row>
        <row r="251">
          <cell r="G251">
            <v>1</v>
          </cell>
          <cell r="I251" t="str">
            <v>C</v>
          </cell>
        </row>
        <row r="252">
          <cell r="G252">
            <v>1</v>
          </cell>
          <cell r="I252" t="str">
            <v>E</v>
          </cell>
        </row>
        <row r="253">
          <cell r="G253">
            <v>2</v>
          </cell>
          <cell r="I253" t="str">
            <v>I</v>
          </cell>
        </row>
        <row r="254">
          <cell r="G254">
            <v>3</v>
          </cell>
          <cell r="I254" t="str">
            <v>S</v>
          </cell>
        </row>
        <row r="255">
          <cell r="G255">
            <v>4</v>
          </cell>
          <cell r="I255" t="str">
            <v>C</v>
          </cell>
        </row>
        <row r="256">
          <cell r="G256">
            <v>4</v>
          </cell>
          <cell r="I256" t="str">
            <v>C</v>
          </cell>
        </row>
        <row r="257">
          <cell r="G257">
            <v>5</v>
          </cell>
          <cell r="I257" t="str">
            <v>C</v>
          </cell>
        </row>
        <row r="258">
          <cell r="G258">
            <v>6</v>
          </cell>
          <cell r="I258" t="str">
            <v>C</v>
          </cell>
        </row>
        <row r="259">
          <cell r="G259">
            <v>6</v>
          </cell>
          <cell r="I259" t="str">
            <v>S</v>
          </cell>
        </row>
        <row r="260">
          <cell r="G260">
            <v>3</v>
          </cell>
          <cell r="I260" t="str">
            <v>C</v>
          </cell>
        </row>
        <row r="261">
          <cell r="G261">
            <v>5</v>
          </cell>
          <cell r="I261" t="str">
            <v>S</v>
          </cell>
        </row>
        <row r="262">
          <cell r="G262">
            <v>7</v>
          </cell>
          <cell r="I262" t="str">
            <v>S</v>
          </cell>
        </row>
        <row r="263">
          <cell r="G263">
            <v>3</v>
          </cell>
          <cell r="I263" t="str">
            <v>I</v>
          </cell>
        </row>
        <row r="264">
          <cell r="G264">
            <v>3</v>
          </cell>
          <cell r="I264" t="str">
            <v>S</v>
          </cell>
        </row>
        <row r="265">
          <cell r="G265">
            <v>4</v>
          </cell>
          <cell r="I265" t="str">
            <v>S</v>
          </cell>
        </row>
        <row r="266">
          <cell r="G266">
            <v>4</v>
          </cell>
          <cell r="I266" t="str">
            <v>C</v>
          </cell>
        </row>
        <row r="267">
          <cell r="G267">
            <v>5</v>
          </cell>
          <cell r="I267" t="str">
            <v>E</v>
          </cell>
        </row>
        <row r="268">
          <cell r="G268">
            <v>4</v>
          </cell>
          <cell r="I268" t="str">
            <v>C</v>
          </cell>
        </row>
        <row r="269">
          <cell r="G269">
            <v>5</v>
          </cell>
          <cell r="I269" t="str">
            <v>S</v>
          </cell>
        </row>
        <row r="270">
          <cell r="G270">
            <v>6</v>
          </cell>
          <cell r="I270" t="str">
            <v>C</v>
          </cell>
        </row>
        <row r="271">
          <cell r="G271">
            <v>6</v>
          </cell>
          <cell r="I271" t="str">
            <v>C</v>
          </cell>
        </row>
        <row r="272">
          <cell r="G272">
            <v>6</v>
          </cell>
          <cell r="I272" t="str">
            <v>C</v>
          </cell>
        </row>
        <row r="273">
          <cell r="G273">
            <v>6</v>
          </cell>
          <cell r="I273" t="str">
            <v>C</v>
          </cell>
        </row>
        <row r="274">
          <cell r="G274">
            <v>6</v>
          </cell>
          <cell r="I274" t="str">
            <v>C</v>
          </cell>
        </row>
        <row r="275">
          <cell r="G275">
            <v>5</v>
          </cell>
          <cell r="I275" t="str">
            <v>C</v>
          </cell>
        </row>
        <row r="276">
          <cell r="G276">
            <v>2</v>
          </cell>
          <cell r="I276" t="str">
            <v>F</v>
          </cell>
        </row>
        <row r="277">
          <cell r="G277">
            <v>2</v>
          </cell>
          <cell r="I277" t="str">
            <v>F</v>
          </cell>
        </row>
        <row r="278">
          <cell r="G278">
            <v>4</v>
          </cell>
          <cell r="I278" t="str">
            <v>FC</v>
          </cell>
        </row>
        <row r="279">
          <cell r="G279">
            <v>5</v>
          </cell>
          <cell r="I279" t="str">
            <v>F</v>
          </cell>
        </row>
        <row r="280">
          <cell r="I280" t="str">
            <v>L</v>
          </cell>
        </row>
        <row r="281">
          <cell r="I281" t="str">
            <v>L</v>
          </cell>
        </row>
        <row r="282">
          <cell r="I282" t="str">
            <v>L</v>
          </cell>
        </row>
        <row r="283">
          <cell r="I283" t="str">
            <v>L</v>
          </cell>
        </row>
        <row r="284">
          <cell r="I284" t="str">
            <v>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399"/>
  <sheetViews>
    <sheetView zoomScale="70" zoomScaleNormal="70" workbookViewId="0">
      <pane ySplit="1" topLeftCell="A2" activePane="bottomLeft" state="frozen"/>
      <selection pane="bottomLeft" activeCell="E14" sqref="E14"/>
    </sheetView>
  </sheetViews>
  <sheetFormatPr defaultRowHeight="13.5"/>
  <cols>
    <col min="1" max="1" width="9" style="1"/>
    <col min="2" max="3" width="9" style="3"/>
    <col min="4" max="4" width="6.125" style="3" customWidth="1"/>
    <col min="5" max="8" width="5.625" style="3" customWidth="1"/>
    <col min="9" max="9" width="11.375" style="3" customWidth="1"/>
    <col min="10" max="14" width="9" style="3"/>
    <col min="15" max="15" width="6.25" style="64" bestFit="1" customWidth="1"/>
    <col min="16" max="16" width="6" style="64" bestFit="1" customWidth="1"/>
    <col min="17" max="18" width="9" style="3"/>
    <col min="19" max="16384" width="9" style="1"/>
  </cols>
  <sheetData>
    <row r="1" spans="1:24">
      <c r="B1" s="3" t="s">
        <v>3151</v>
      </c>
      <c r="C1" s="3" t="s">
        <v>3152</v>
      </c>
      <c r="D1" s="3" t="s">
        <v>3160</v>
      </c>
      <c r="E1" s="3" t="s">
        <v>3153</v>
      </c>
      <c r="F1" s="3" t="s">
        <v>3154</v>
      </c>
      <c r="G1" s="3" t="s">
        <v>3155</v>
      </c>
      <c r="H1" s="3" t="s">
        <v>3156</v>
      </c>
      <c r="I1" s="3" t="s">
        <v>3157</v>
      </c>
      <c r="O1" s="64" t="s">
        <v>4051</v>
      </c>
      <c r="P1" s="64" t="s">
        <v>4052</v>
      </c>
      <c r="Q1" s="3" t="s">
        <v>3159</v>
      </c>
      <c r="R1" s="14" t="str">
        <f>IF(ISERR(SEARCH("戦場に出",K1,1)),"","[CIP]")</f>
        <v/>
      </c>
      <c r="S1" s="2" t="str">
        <f>IF(ISERR(SEARCH("戦場に出",L1,1)),"","[CIP]")</f>
        <v/>
      </c>
      <c r="T1" s="4" t="s">
        <v>3881</v>
      </c>
      <c r="U1" s="8" t="s">
        <v>3882</v>
      </c>
      <c r="V1" s="9" t="s">
        <v>3906</v>
      </c>
      <c r="W1" s="10" t="s">
        <v>3907</v>
      </c>
      <c r="X1" s="6"/>
    </row>
    <row r="2" spans="1:24">
      <c r="A2" s="1">
        <v>1</v>
      </c>
      <c r="B2" s="3" t="s">
        <v>329</v>
      </c>
      <c r="C2" s="3" t="s">
        <v>186</v>
      </c>
      <c r="D2" s="3">
        <v>1</v>
      </c>
      <c r="E2" s="3" t="s">
        <v>3083</v>
      </c>
      <c r="F2" s="3" t="s">
        <v>3084</v>
      </c>
      <c r="G2" s="3" t="s">
        <v>3049</v>
      </c>
      <c r="I2" s="3" t="s">
        <v>189</v>
      </c>
      <c r="O2" s="64" t="s">
        <v>3533</v>
      </c>
      <c r="P2" s="64" t="s">
        <v>3533</v>
      </c>
      <c r="Q2" s="3" t="s">
        <v>50</v>
      </c>
      <c r="R2" s="3" t="s">
        <v>4</v>
      </c>
      <c r="T2" s="1">
        <f t="shared" ref="T2:T22" si="0">COUNTIF(F:H,U2)</f>
        <v>11</v>
      </c>
      <c r="U2" s="1" t="s">
        <v>3049</v>
      </c>
    </row>
    <row r="3" spans="1:24">
      <c r="A3" s="1">
        <v>2</v>
      </c>
      <c r="B3" s="3" t="s">
        <v>330</v>
      </c>
      <c r="C3" s="3" t="s">
        <v>186</v>
      </c>
      <c r="D3" s="3">
        <v>1</v>
      </c>
      <c r="E3" s="3" t="s">
        <v>3083</v>
      </c>
      <c r="F3" s="3" t="s">
        <v>3084</v>
      </c>
      <c r="G3" s="3" t="s">
        <v>3049</v>
      </c>
      <c r="I3" s="3" t="s">
        <v>190</v>
      </c>
      <c r="O3" s="64" t="s">
        <v>3533</v>
      </c>
      <c r="P3" s="64" t="s">
        <v>3533</v>
      </c>
      <c r="Q3" s="3" t="s">
        <v>168</v>
      </c>
      <c r="R3" s="3" t="s">
        <v>4</v>
      </c>
      <c r="T3" s="1">
        <f t="shared" si="0"/>
        <v>137</v>
      </c>
      <c r="U3" s="1" t="s">
        <v>3050</v>
      </c>
    </row>
    <row r="4" spans="1:24">
      <c r="A4" s="1">
        <v>3</v>
      </c>
      <c r="B4" s="3" t="s">
        <v>331</v>
      </c>
      <c r="C4" s="3" t="s">
        <v>186</v>
      </c>
      <c r="D4" s="3">
        <v>1</v>
      </c>
      <c r="E4" s="3" t="s">
        <v>3083</v>
      </c>
      <c r="F4" s="3" t="s">
        <v>3084</v>
      </c>
      <c r="G4" s="3" t="s">
        <v>3050</v>
      </c>
      <c r="I4" s="3" t="s">
        <v>191</v>
      </c>
      <c r="O4" s="64" t="s">
        <v>3533</v>
      </c>
      <c r="P4" s="64" t="s">
        <v>3533</v>
      </c>
      <c r="Q4" s="3" t="s">
        <v>39</v>
      </c>
      <c r="R4" s="3" t="s">
        <v>4</v>
      </c>
      <c r="T4" s="1">
        <f t="shared" si="0"/>
        <v>27</v>
      </c>
      <c r="U4" s="1" t="s">
        <v>3051</v>
      </c>
    </row>
    <row r="5" spans="1:24">
      <c r="A5" s="1">
        <v>4</v>
      </c>
      <c r="B5" s="3" t="s">
        <v>332</v>
      </c>
      <c r="C5" s="3" t="s">
        <v>186</v>
      </c>
      <c r="D5" s="3">
        <v>1</v>
      </c>
      <c r="E5" s="3" t="s">
        <v>3083</v>
      </c>
      <c r="F5" s="3" t="s">
        <v>3084</v>
      </c>
      <c r="G5" s="3" t="s">
        <v>3050</v>
      </c>
      <c r="I5" s="3" t="s">
        <v>1259</v>
      </c>
      <c r="J5" s="3" t="s">
        <v>55</v>
      </c>
      <c r="O5" s="64" t="s">
        <v>3533</v>
      </c>
      <c r="P5" s="64" t="s">
        <v>3569</v>
      </c>
      <c r="Q5" s="3" t="s">
        <v>49</v>
      </c>
      <c r="R5" s="3" t="s">
        <v>4</v>
      </c>
      <c r="T5" s="1">
        <f t="shared" si="0"/>
        <v>12</v>
      </c>
      <c r="U5" s="1" t="s">
        <v>3052</v>
      </c>
    </row>
    <row r="6" spans="1:24">
      <c r="A6" s="1">
        <v>5</v>
      </c>
      <c r="B6" s="3" t="s">
        <v>333</v>
      </c>
      <c r="C6" s="3" t="s">
        <v>186</v>
      </c>
      <c r="D6" s="3">
        <v>1</v>
      </c>
      <c r="E6" s="3" t="s">
        <v>3083</v>
      </c>
      <c r="F6" s="3" t="s">
        <v>3084</v>
      </c>
      <c r="G6" s="3" t="s">
        <v>3050</v>
      </c>
      <c r="I6" s="3" t="s">
        <v>1268</v>
      </c>
      <c r="O6" s="64" t="s">
        <v>3533</v>
      </c>
      <c r="P6" s="64" t="s">
        <v>3533</v>
      </c>
      <c r="Q6" s="3" t="s">
        <v>15</v>
      </c>
      <c r="R6" s="3" t="s">
        <v>4</v>
      </c>
      <c r="T6" s="1">
        <f t="shared" si="0"/>
        <v>83</v>
      </c>
      <c r="U6" s="3" t="s">
        <v>3053</v>
      </c>
    </row>
    <row r="7" spans="1:24">
      <c r="A7" s="1">
        <v>6</v>
      </c>
      <c r="B7" s="3" t="s">
        <v>334</v>
      </c>
      <c r="C7" s="3" t="s">
        <v>186</v>
      </c>
      <c r="D7" s="3">
        <v>1</v>
      </c>
      <c r="E7" s="3" t="s">
        <v>3083</v>
      </c>
      <c r="F7" s="3" t="s">
        <v>3084</v>
      </c>
      <c r="G7" s="3" t="s">
        <v>3051</v>
      </c>
      <c r="I7" s="3" t="s">
        <v>192</v>
      </c>
      <c r="O7" s="64" t="s">
        <v>4050</v>
      </c>
      <c r="P7" s="64" t="s">
        <v>3569</v>
      </c>
      <c r="Q7" s="3" t="s">
        <v>32</v>
      </c>
      <c r="R7" s="3" t="s">
        <v>4</v>
      </c>
      <c r="T7" s="1">
        <f t="shared" si="0"/>
        <v>52</v>
      </c>
      <c r="U7" s="1" t="s">
        <v>3054</v>
      </c>
    </row>
    <row r="8" spans="1:24">
      <c r="A8" s="1">
        <v>7</v>
      </c>
      <c r="B8" s="3" t="s">
        <v>335</v>
      </c>
      <c r="C8" s="3" t="s">
        <v>186</v>
      </c>
      <c r="D8" s="3">
        <v>1</v>
      </c>
      <c r="E8" s="3" t="s">
        <v>3083</v>
      </c>
      <c r="F8" s="3" t="s">
        <v>3084</v>
      </c>
      <c r="G8" s="3" t="s">
        <v>3050</v>
      </c>
      <c r="I8" s="3" t="s">
        <v>193</v>
      </c>
      <c r="O8" s="64" t="s">
        <v>3533</v>
      </c>
      <c r="P8" s="64" t="s">
        <v>3533</v>
      </c>
      <c r="Q8" s="3" t="s">
        <v>169</v>
      </c>
      <c r="R8" s="3" t="s">
        <v>4</v>
      </c>
      <c r="T8" s="1">
        <f t="shared" si="0"/>
        <v>24</v>
      </c>
      <c r="U8" s="1" t="s">
        <v>3055</v>
      </c>
    </row>
    <row r="9" spans="1:24">
      <c r="A9" s="1">
        <v>8</v>
      </c>
      <c r="B9" s="3" t="s">
        <v>336</v>
      </c>
      <c r="C9" s="3" t="s">
        <v>186</v>
      </c>
      <c r="D9" s="3">
        <v>1</v>
      </c>
      <c r="E9" s="3" t="s">
        <v>3083</v>
      </c>
      <c r="F9" s="3" t="s">
        <v>3084</v>
      </c>
      <c r="G9" s="3" t="s">
        <v>3052</v>
      </c>
      <c r="H9" s="3" t="s">
        <v>3053</v>
      </c>
      <c r="I9" s="3" t="s">
        <v>1283</v>
      </c>
      <c r="O9" s="64" t="s">
        <v>3533</v>
      </c>
      <c r="P9" s="64" t="s">
        <v>3533</v>
      </c>
      <c r="Q9" s="3" t="s">
        <v>31</v>
      </c>
      <c r="R9" s="3" t="s">
        <v>4</v>
      </c>
      <c r="T9" s="1">
        <f t="shared" si="0"/>
        <v>14</v>
      </c>
      <c r="U9" s="1" t="s">
        <v>3056</v>
      </c>
    </row>
    <row r="10" spans="1:24" s="3" customFormat="1">
      <c r="A10" s="6">
        <v>9</v>
      </c>
      <c r="B10" s="6" t="s">
        <v>337</v>
      </c>
      <c r="C10" s="6" t="s">
        <v>186</v>
      </c>
      <c r="D10" s="6">
        <v>1</v>
      </c>
      <c r="E10" s="6" t="s">
        <v>3083</v>
      </c>
      <c r="F10" s="6" t="s">
        <v>3084</v>
      </c>
      <c r="G10" s="6" t="s">
        <v>3053</v>
      </c>
      <c r="H10" s="6"/>
      <c r="I10" s="6" t="s">
        <v>56</v>
      </c>
      <c r="J10" s="6"/>
      <c r="K10" s="6"/>
      <c r="L10" s="6"/>
      <c r="M10" s="6"/>
      <c r="N10" s="6"/>
      <c r="O10" s="66" t="s">
        <v>4050</v>
      </c>
      <c r="P10" s="66" t="s">
        <v>3527</v>
      </c>
      <c r="Q10" s="6" t="s">
        <v>30</v>
      </c>
      <c r="R10" s="3" t="s">
        <v>4</v>
      </c>
      <c r="T10" s="1">
        <f t="shared" si="0"/>
        <v>1</v>
      </c>
      <c r="U10" s="1" t="s">
        <v>3057</v>
      </c>
      <c r="V10" s="1"/>
    </row>
    <row r="11" spans="1:24">
      <c r="A11" s="1">
        <v>10</v>
      </c>
      <c r="B11" s="3" t="s">
        <v>338</v>
      </c>
      <c r="C11" s="3" t="s">
        <v>186</v>
      </c>
      <c r="D11" s="3">
        <v>1</v>
      </c>
      <c r="E11" s="3" t="s">
        <v>3083</v>
      </c>
      <c r="F11" s="3" t="s">
        <v>3084</v>
      </c>
      <c r="G11" s="3" t="s">
        <v>3053</v>
      </c>
      <c r="I11" s="3" t="s">
        <v>194</v>
      </c>
      <c r="O11" s="64" t="s">
        <v>3533</v>
      </c>
      <c r="P11" s="64" t="s">
        <v>3533</v>
      </c>
      <c r="Q11" s="3" t="s">
        <v>8</v>
      </c>
      <c r="R11" s="3" t="s">
        <v>4</v>
      </c>
      <c r="T11" s="1">
        <f t="shared" si="0"/>
        <v>15</v>
      </c>
      <c r="U11" s="1" t="s">
        <v>3058</v>
      </c>
    </row>
    <row r="12" spans="1:24">
      <c r="A12" s="1">
        <v>11</v>
      </c>
      <c r="B12" s="3" t="s">
        <v>339</v>
      </c>
      <c r="C12" s="3" t="s">
        <v>186</v>
      </c>
      <c r="D12" s="3">
        <v>1</v>
      </c>
      <c r="E12" s="3" t="s">
        <v>3083</v>
      </c>
      <c r="F12" s="3" t="s">
        <v>3084</v>
      </c>
      <c r="G12" s="3" t="s">
        <v>3053</v>
      </c>
      <c r="I12" s="3" t="s">
        <v>57</v>
      </c>
      <c r="N12" s="3" t="s">
        <v>490</v>
      </c>
      <c r="O12" s="64" t="s">
        <v>3533</v>
      </c>
      <c r="P12" s="64" t="s">
        <v>3533</v>
      </c>
      <c r="Q12" s="3" t="s">
        <v>52</v>
      </c>
      <c r="R12" s="3" t="s">
        <v>4</v>
      </c>
      <c r="S12" s="3"/>
      <c r="T12" s="1">
        <f t="shared" si="0"/>
        <v>2</v>
      </c>
      <c r="U12" s="1" t="s">
        <v>3068</v>
      </c>
    </row>
    <row r="13" spans="1:24">
      <c r="A13" s="1">
        <v>12</v>
      </c>
      <c r="B13" s="3" t="s">
        <v>340</v>
      </c>
      <c r="C13" s="3" t="s">
        <v>186</v>
      </c>
      <c r="D13" s="3">
        <v>1</v>
      </c>
      <c r="E13" s="3" t="s">
        <v>3083</v>
      </c>
      <c r="F13" s="3" t="s">
        <v>3084</v>
      </c>
      <c r="G13" s="3" t="s">
        <v>3053</v>
      </c>
      <c r="I13" s="3" t="s">
        <v>58</v>
      </c>
      <c r="O13" s="64" t="s">
        <v>3533</v>
      </c>
      <c r="P13" s="64" t="s">
        <v>3533</v>
      </c>
      <c r="Q13" s="3" t="s">
        <v>10</v>
      </c>
      <c r="R13" s="3" t="s">
        <v>4</v>
      </c>
      <c r="T13" s="1">
        <f t="shared" si="0"/>
        <v>4</v>
      </c>
      <c r="U13" s="1" t="s">
        <v>3059</v>
      </c>
    </row>
    <row r="14" spans="1:24">
      <c r="A14" s="1">
        <v>13</v>
      </c>
      <c r="B14" s="3" t="s">
        <v>341</v>
      </c>
      <c r="C14" s="3" t="s">
        <v>186</v>
      </c>
      <c r="D14" s="3">
        <v>1</v>
      </c>
      <c r="E14" s="3" t="s">
        <v>3083</v>
      </c>
      <c r="F14" s="3" t="s">
        <v>3084</v>
      </c>
      <c r="G14" s="3" t="s">
        <v>3050</v>
      </c>
      <c r="O14" s="64" t="s">
        <v>4050</v>
      </c>
      <c r="P14" s="64" t="s">
        <v>3527</v>
      </c>
      <c r="Q14" s="3" t="s">
        <v>18</v>
      </c>
      <c r="R14" s="3" t="s">
        <v>4</v>
      </c>
      <c r="T14" s="1">
        <f t="shared" si="0"/>
        <v>3</v>
      </c>
      <c r="U14" s="1" t="s">
        <v>3064</v>
      </c>
    </row>
    <row r="15" spans="1:24">
      <c r="A15" s="1">
        <v>14</v>
      </c>
      <c r="B15" s="3" t="s">
        <v>342</v>
      </c>
      <c r="C15" s="3" t="s">
        <v>186</v>
      </c>
      <c r="D15" s="3">
        <v>1</v>
      </c>
      <c r="E15" s="3" t="s">
        <v>3083</v>
      </c>
      <c r="F15" s="3" t="s">
        <v>3084</v>
      </c>
      <c r="G15" s="3" t="s">
        <v>3054</v>
      </c>
      <c r="I15" s="3" t="s">
        <v>1261</v>
      </c>
      <c r="J15" s="3" t="s">
        <v>149</v>
      </c>
      <c r="K15" s="3" t="s">
        <v>150</v>
      </c>
      <c r="O15" s="64" t="s">
        <v>3533</v>
      </c>
      <c r="P15" s="64" t="s">
        <v>3533</v>
      </c>
      <c r="Q15" s="3" t="s">
        <v>170</v>
      </c>
      <c r="R15" s="3" t="s">
        <v>4</v>
      </c>
      <c r="S15" s="12"/>
      <c r="T15" s="1">
        <f t="shared" si="0"/>
        <v>5</v>
      </c>
      <c r="U15" s="1" t="s">
        <v>3063</v>
      </c>
    </row>
    <row r="16" spans="1:24">
      <c r="A16" s="4">
        <v>15</v>
      </c>
      <c r="B16" s="4" t="s">
        <v>343</v>
      </c>
      <c r="C16" s="4" t="s">
        <v>186</v>
      </c>
      <c r="D16" s="4">
        <v>1</v>
      </c>
      <c r="E16" s="4" t="s">
        <v>3086</v>
      </c>
      <c r="F16" s="4" t="s">
        <v>3084</v>
      </c>
      <c r="G16" s="4" t="s">
        <v>3050</v>
      </c>
      <c r="H16" s="4"/>
      <c r="I16" s="4" t="s">
        <v>1260</v>
      </c>
      <c r="J16" s="4" t="s">
        <v>59</v>
      </c>
      <c r="K16" s="4"/>
      <c r="L16" s="4"/>
      <c r="M16" s="4"/>
      <c r="N16" s="4"/>
      <c r="O16" s="65" t="s">
        <v>3533</v>
      </c>
      <c r="P16" s="65" t="s">
        <v>3569</v>
      </c>
      <c r="Q16" s="4" t="s">
        <v>40</v>
      </c>
      <c r="R16" s="4" t="s">
        <v>4</v>
      </c>
      <c r="S16" s="12"/>
      <c r="T16" s="1">
        <f t="shared" si="0"/>
        <v>3</v>
      </c>
      <c r="U16" s="1" t="s">
        <v>3066</v>
      </c>
    </row>
    <row r="17" spans="1:22">
      <c r="A17" s="1">
        <v>16</v>
      </c>
      <c r="B17" s="3" t="s">
        <v>344</v>
      </c>
      <c r="C17" s="3" t="s">
        <v>186</v>
      </c>
      <c r="D17" s="3">
        <v>1</v>
      </c>
      <c r="E17" s="3" t="s">
        <v>3083</v>
      </c>
      <c r="F17" s="3" t="s">
        <v>3084</v>
      </c>
      <c r="G17" s="3" t="s">
        <v>3050</v>
      </c>
      <c r="I17" s="3" t="s">
        <v>1262</v>
      </c>
      <c r="N17" s="3" t="s">
        <v>490</v>
      </c>
      <c r="O17" s="64" t="s">
        <v>3533</v>
      </c>
      <c r="P17" s="64" t="s">
        <v>3569</v>
      </c>
      <c r="Q17" s="3" t="s">
        <v>46</v>
      </c>
      <c r="R17" s="3" t="s">
        <v>4</v>
      </c>
      <c r="T17" s="1">
        <f t="shared" si="0"/>
        <v>1</v>
      </c>
      <c r="U17" s="1" t="s">
        <v>3062</v>
      </c>
    </row>
    <row r="18" spans="1:22">
      <c r="A18" s="6">
        <v>17</v>
      </c>
      <c r="B18" s="6" t="s">
        <v>345</v>
      </c>
      <c r="C18" s="6" t="s">
        <v>186</v>
      </c>
      <c r="D18" s="6">
        <v>1</v>
      </c>
      <c r="E18" s="6" t="s">
        <v>3083</v>
      </c>
      <c r="F18" s="6" t="s">
        <v>3084</v>
      </c>
      <c r="G18" s="6" t="s">
        <v>3055</v>
      </c>
      <c r="H18" s="6"/>
      <c r="I18" s="6" t="s">
        <v>1263</v>
      </c>
      <c r="J18" s="6"/>
      <c r="K18" s="6"/>
      <c r="L18" s="6"/>
      <c r="M18" s="6"/>
      <c r="N18" s="6"/>
      <c r="O18" s="66" t="s">
        <v>3533</v>
      </c>
      <c r="P18" s="66" t="s">
        <v>3533</v>
      </c>
      <c r="Q18" s="6" t="s">
        <v>38</v>
      </c>
      <c r="R18" s="6" t="s">
        <v>4</v>
      </c>
      <c r="T18" s="1">
        <f t="shared" si="0"/>
        <v>6</v>
      </c>
      <c r="U18" s="1" t="s">
        <v>3061</v>
      </c>
    </row>
    <row r="19" spans="1:22">
      <c r="A19" s="1">
        <v>18</v>
      </c>
      <c r="B19" s="3" t="s">
        <v>346</v>
      </c>
      <c r="C19" s="3" t="s">
        <v>186</v>
      </c>
      <c r="D19" s="3">
        <v>1</v>
      </c>
      <c r="E19" s="3" t="s">
        <v>3083</v>
      </c>
      <c r="F19" s="3" t="s">
        <v>3084</v>
      </c>
      <c r="G19" s="3" t="s">
        <v>3050</v>
      </c>
      <c r="O19" s="64" t="s">
        <v>3533</v>
      </c>
      <c r="P19" s="64" t="s">
        <v>3533</v>
      </c>
      <c r="Q19" s="3" t="s">
        <v>171</v>
      </c>
      <c r="R19" s="3" t="s">
        <v>4</v>
      </c>
      <c r="T19" s="1">
        <f t="shared" si="0"/>
        <v>1</v>
      </c>
      <c r="U19" s="1" t="s">
        <v>3067</v>
      </c>
    </row>
    <row r="20" spans="1:22">
      <c r="A20" s="1">
        <v>19</v>
      </c>
      <c r="B20" s="3" t="s">
        <v>347</v>
      </c>
      <c r="C20" s="3" t="s">
        <v>186</v>
      </c>
      <c r="D20" s="3">
        <v>1</v>
      </c>
      <c r="E20" s="3" t="s">
        <v>3083</v>
      </c>
      <c r="F20" s="3" t="s">
        <v>3084</v>
      </c>
      <c r="G20" s="3" t="s">
        <v>3052</v>
      </c>
      <c r="H20" s="3" t="s">
        <v>3053</v>
      </c>
      <c r="I20" s="3" t="s">
        <v>195</v>
      </c>
      <c r="O20" s="64" t="s">
        <v>3533</v>
      </c>
      <c r="P20" s="64" t="s">
        <v>3533</v>
      </c>
      <c r="Q20" s="3" t="s">
        <v>34</v>
      </c>
      <c r="R20" s="3" t="s">
        <v>4</v>
      </c>
      <c r="T20" s="1">
        <f t="shared" si="0"/>
        <v>13</v>
      </c>
      <c r="U20" s="1" t="s">
        <v>3060</v>
      </c>
    </row>
    <row r="21" spans="1:22">
      <c r="A21" s="1">
        <v>20</v>
      </c>
      <c r="B21" s="3" t="s">
        <v>348</v>
      </c>
      <c r="C21" s="3" t="s">
        <v>186</v>
      </c>
      <c r="D21" s="3">
        <v>1</v>
      </c>
      <c r="E21" s="3" t="s">
        <v>3083</v>
      </c>
      <c r="F21" s="3" t="s">
        <v>3084</v>
      </c>
      <c r="G21" s="3" t="s">
        <v>3053</v>
      </c>
      <c r="I21" s="3" t="s">
        <v>196</v>
      </c>
      <c r="O21" s="64" t="s">
        <v>3533</v>
      </c>
      <c r="P21" s="64" t="s">
        <v>3533</v>
      </c>
      <c r="Q21" s="3" t="s">
        <v>172</v>
      </c>
      <c r="R21" s="3" t="s">
        <v>4</v>
      </c>
      <c r="T21" s="1">
        <f t="shared" si="0"/>
        <v>1</v>
      </c>
      <c r="U21" s="1" t="s">
        <v>3065</v>
      </c>
    </row>
    <row r="22" spans="1:22">
      <c r="A22" s="1">
        <v>21</v>
      </c>
      <c r="B22" s="3" t="s">
        <v>349</v>
      </c>
      <c r="C22" s="3" t="s">
        <v>186</v>
      </c>
      <c r="D22" s="3">
        <v>1</v>
      </c>
      <c r="E22" s="3" t="s">
        <v>3083</v>
      </c>
      <c r="F22" s="3" t="s">
        <v>3084</v>
      </c>
      <c r="G22" s="3" t="s">
        <v>3050</v>
      </c>
      <c r="I22" s="3" t="s">
        <v>60</v>
      </c>
      <c r="O22" s="64" t="s">
        <v>3533</v>
      </c>
      <c r="P22" s="64" t="s">
        <v>3533</v>
      </c>
      <c r="Q22" s="3" t="s">
        <v>46</v>
      </c>
      <c r="R22" s="3" t="s">
        <v>4</v>
      </c>
      <c r="T22" s="1">
        <f t="shared" si="0"/>
        <v>1</v>
      </c>
      <c r="U22" s="1" t="s">
        <v>3069</v>
      </c>
    </row>
    <row r="23" spans="1:22">
      <c r="A23" s="6">
        <v>23</v>
      </c>
      <c r="B23" s="6" t="s">
        <v>351</v>
      </c>
      <c r="C23" s="6" t="s">
        <v>186</v>
      </c>
      <c r="D23" s="6">
        <v>1</v>
      </c>
      <c r="E23" s="6" t="s">
        <v>3083</v>
      </c>
      <c r="F23" s="6" t="s">
        <v>3084</v>
      </c>
      <c r="G23" s="6" t="s">
        <v>3050</v>
      </c>
      <c r="H23" s="6"/>
      <c r="I23" s="6" t="s">
        <v>215</v>
      </c>
      <c r="J23" s="6"/>
      <c r="K23" s="6"/>
      <c r="L23" s="6"/>
      <c r="M23" s="6"/>
      <c r="N23" s="6"/>
      <c r="O23" s="66" t="s">
        <v>3533</v>
      </c>
      <c r="P23" s="66" t="s">
        <v>3533</v>
      </c>
      <c r="Q23" s="6" t="s">
        <v>8</v>
      </c>
      <c r="R23" s="6" t="s">
        <v>4</v>
      </c>
    </row>
    <row r="24" spans="1:22">
      <c r="A24" s="1">
        <v>24</v>
      </c>
      <c r="B24" s="3" t="s">
        <v>352</v>
      </c>
      <c r="C24" s="3" t="s">
        <v>186</v>
      </c>
      <c r="D24" s="3">
        <v>1</v>
      </c>
      <c r="E24" s="3" t="s">
        <v>3083</v>
      </c>
      <c r="F24" s="3" t="s">
        <v>3084</v>
      </c>
      <c r="G24" s="3" t="s">
        <v>3050</v>
      </c>
      <c r="I24" s="3" t="s">
        <v>197</v>
      </c>
      <c r="O24" s="64" t="s">
        <v>3533</v>
      </c>
      <c r="P24" s="64" t="s">
        <v>3533</v>
      </c>
      <c r="Q24" s="3" t="s">
        <v>48</v>
      </c>
      <c r="R24" s="3" t="s">
        <v>4</v>
      </c>
    </row>
    <row r="25" spans="1:22">
      <c r="A25" s="1">
        <v>25</v>
      </c>
      <c r="B25" s="3" t="s">
        <v>353</v>
      </c>
      <c r="C25" s="3" t="s">
        <v>186</v>
      </c>
      <c r="D25" s="3">
        <v>1</v>
      </c>
      <c r="E25" s="3" t="s">
        <v>3083</v>
      </c>
      <c r="F25" s="3" t="s">
        <v>3084</v>
      </c>
      <c r="G25" s="3" t="s">
        <v>3050</v>
      </c>
      <c r="I25" s="3" t="s">
        <v>198</v>
      </c>
      <c r="O25" s="64" t="s">
        <v>3533</v>
      </c>
      <c r="P25" s="64" t="s">
        <v>3533</v>
      </c>
      <c r="Q25" s="3" t="s">
        <v>174</v>
      </c>
      <c r="R25" s="3" t="s">
        <v>4</v>
      </c>
    </row>
    <row r="26" spans="1:22">
      <c r="A26" s="1">
        <v>26</v>
      </c>
      <c r="B26" s="3" t="s">
        <v>354</v>
      </c>
      <c r="C26" s="3" t="s">
        <v>186</v>
      </c>
      <c r="D26" s="3">
        <v>1</v>
      </c>
      <c r="E26" s="3" t="s">
        <v>3083</v>
      </c>
      <c r="F26" s="3" t="s">
        <v>3084</v>
      </c>
      <c r="G26" s="3" t="s">
        <v>3056</v>
      </c>
      <c r="I26" s="3" t="s">
        <v>1264</v>
      </c>
      <c r="O26" s="64" t="s">
        <v>3533</v>
      </c>
      <c r="P26" s="64" t="s">
        <v>3533</v>
      </c>
      <c r="Q26" s="3" t="s">
        <v>175</v>
      </c>
      <c r="R26" s="3" t="s">
        <v>4</v>
      </c>
    </row>
    <row r="27" spans="1:22">
      <c r="A27" s="1">
        <v>27</v>
      </c>
      <c r="B27" s="3" t="s">
        <v>355</v>
      </c>
      <c r="C27" s="3" t="s">
        <v>186</v>
      </c>
      <c r="D27" s="3">
        <v>1</v>
      </c>
      <c r="E27" s="3" t="s">
        <v>3083</v>
      </c>
      <c r="F27" s="3" t="s">
        <v>3084</v>
      </c>
      <c r="G27" s="3" t="s">
        <v>3053</v>
      </c>
      <c r="I27" s="3" t="s">
        <v>63</v>
      </c>
      <c r="O27" s="64" t="s">
        <v>3533</v>
      </c>
      <c r="P27" s="64" t="s">
        <v>3533</v>
      </c>
      <c r="Q27" s="3" t="s">
        <v>49</v>
      </c>
      <c r="R27" s="3" t="s">
        <v>4</v>
      </c>
    </row>
    <row r="28" spans="1:22" s="3" customFormat="1">
      <c r="A28" s="1">
        <v>28</v>
      </c>
      <c r="B28" s="3" t="s">
        <v>356</v>
      </c>
      <c r="C28" s="3" t="s">
        <v>186</v>
      </c>
      <c r="D28" s="3">
        <v>1</v>
      </c>
      <c r="E28" s="3" t="s">
        <v>3083</v>
      </c>
      <c r="F28" s="3" t="s">
        <v>3084</v>
      </c>
      <c r="G28" s="3" t="s">
        <v>3051</v>
      </c>
      <c r="I28" s="3" t="s">
        <v>64</v>
      </c>
      <c r="O28" s="64" t="s">
        <v>4050</v>
      </c>
      <c r="P28" s="64" t="s">
        <v>3522</v>
      </c>
      <c r="Q28" s="3" t="s">
        <v>29</v>
      </c>
      <c r="R28" s="3" t="s">
        <v>4</v>
      </c>
      <c r="U28" s="1"/>
      <c r="V28" s="1"/>
    </row>
    <row r="29" spans="1:22">
      <c r="A29" s="6">
        <v>29</v>
      </c>
      <c r="B29" s="6" t="s">
        <v>357</v>
      </c>
      <c r="C29" s="6" t="s">
        <v>186</v>
      </c>
      <c r="D29" s="6">
        <v>1</v>
      </c>
      <c r="E29" s="6" t="s">
        <v>3083</v>
      </c>
      <c r="F29" s="6" t="s">
        <v>3084</v>
      </c>
      <c r="G29" s="6" t="s">
        <v>3057</v>
      </c>
      <c r="H29" s="6"/>
      <c r="I29" s="6" t="s">
        <v>214</v>
      </c>
      <c r="J29" s="6"/>
      <c r="K29" s="6"/>
      <c r="L29" s="6"/>
      <c r="M29" s="6"/>
      <c r="N29" s="6"/>
      <c r="O29" s="66" t="s">
        <v>3533</v>
      </c>
      <c r="P29" s="66" t="s">
        <v>3533</v>
      </c>
      <c r="Q29" s="6" t="s">
        <v>38</v>
      </c>
      <c r="R29" s="6" t="s">
        <v>4</v>
      </c>
    </row>
    <row r="30" spans="1:22">
      <c r="A30" s="1">
        <v>30</v>
      </c>
      <c r="B30" s="3" t="s">
        <v>358</v>
      </c>
      <c r="C30" s="3" t="s">
        <v>186</v>
      </c>
      <c r="D30" s="3">
        <v>1</v>
      </c>
      <c r="E30" s="3" t="s">
        <v>3083</v>
      </c>
      <c r="F30" s="3" t="s">
        <v>3084</v>
      </c>
      <c r="G30" s="3" t="s">
        <v>3054</v>
      </c>
      <c r="I30" s="3" t="s">
        <v>23</v>
      </c>
      <c r="J30" s="3" t="s">
        <v>201</v>
      </c>
      <c r="O30" s="64" t="s">
        <v>3533</v>
      </c>
      <c r="P30" s="64" t="s">
        <v>3533</v>
      </c>
      <c r="Q30" s="3" t="s">
        <v>11</v>
      </c>
      <c r="R30" s="3" t="s">
        <v>4</v>
      </c>
    </row>
    <row r="31" spans="1:22">
      <c r="A31" s="1">
        <v>31</v>
      </c>
      <c r="B31" s="3" t="s">
        <v>359</v>
      </c>
      <c r="C31" s="3" t="s">
        <v>186</v>
      </c>
      <c r="D31" s="3">
        <v>1</v>
      </c>
      <c r="E31" s="3" t="s">
        <v>3083</v>
      </c>
      <c r="F31" s="3" t="s">
        <v>3084</v>
      </c>
      <c r="G31" s="3" t="s">
        <v>3050</v>
      </c>
      <c r="I31" s="3" t="s">
        <v>65</v>
      </c>
      <c r="O31" s="64" t="s">
        <v>3533</v>
      </c>
      <c r="P31" s="64" t="s">
        <v>3533</v>
      </c>
      <c r="Q31" s="3" t="s">
        <v>176</v>
      </c>
      <c r="R31" s="3" t="s">
        <v>4</v>
      </c>
    </row>
    <row r="32" spans="1:22" s="3" customFormat="1">
      <c r="A32" s="1">
        <v>32</v>
      </c>
      <c r="B32" s="3" t="s">
        <v>360</v>
      </c>
      <c r="C32" s="3" t="s">
        <v>186</v>
      </c>
      <c r="D32" s="3">
        <v>1</v>
      </c>
      <c r="E32" s="3" t="s">
        <v>3083</v>
      </c>
      <c r="F32" s="3" t="s">
        <v>3084</v>
      </c>
      <c r="G32" s="3" t="s">
        <v>3050</v>
      </c>
      <c r="I32" s="3" t="s">
        <v>66</v>
      </c>
      <c r="O32" s="64" t="s">
        <v>3533</v>
      </c>
      <c r="P32" s="64" t="s">
        <v>3569</v>
      </c>
      <c r="Q32" s="3" t="s">
        <v>52</v>
      </c>
      <c r="R32" s="3" t="s">
        <v>4</v>
      </c>
      <c r="U32" s="1"/>
      <c r="V32" s="1"/>
    </row>
    <row r="33" spans="1:18">
      <c r="A33" s="1">
        <v>33</v>
      </c>
      <c r="B33" s="3" t="s">
        <v>361</v>
      </c>
      <c r="C33" s="3" t="s">
        <v>186</v>
      </c>
      <c r="D33" s="3">
        <v>1</v>
      </c>
      <c r="E33" s="3" t="s">
        <v>3083</v>
      </c>
      <c r="F33" s="3" t="s">
        <v>3084</v>
      </c>
      <c r="G33" s="3" t="s">
        <v>3053</v>
      </c>
      <c r="I33" s="3" t="s">
        <v>67</v>
      </c>
      <c r="O33" s="64" t="s">
        <v>3533</v>
      </c>
      <c r="P33" s="64" t="s">
        <v>3533</v>
      </c>
      <c r="Q33" s="3" t="s">
        <v>172</v>
      </c>
      <c r="R33" s="3" t="s">
        <v>4</v>
      </c>
    </row>
    <row r="34" spans="1:18">
      <c r="A34" s="1">
        <v>34</v>
      </c>
      <c r="B34" s="3" t="s">
        <v>362</v>
      </c>
      <c r="C34" s="3" t="s">
        <v>186</v>
      </c>
      <c r="D34" s="3">
        <v>1</v>
      </c>
      <c r="E34" s="3" t="s">
        <v>3083</v>
      </c>
      <c r="F34" s="3" t="s">
        <v>3084</v>
      </c>
      <c r="G34" s="3" t="s">
        <v>3050</v>
      </c>
      <c r="I34" s="3" t="s">
        <v>68</v>
      </c>
      <c r="O34" s="64" t="s">
        <v>3533</v>
      </c>
      <c r="P34" s="64" t="s">
        <v>3533</v>
      </c>
      <c r="Q34" s="3" t="s">
        <v>177</v>
      </c>
      <c r="R34" s="3" t="s">
        <v>4</v>
      </c>
    </row>
    <row r="35" spans="1:18">
      <c r="A35" s="4">
        <v>35</v>
      </c>
      <c r="B35" s="4" t="s">
        <v>363</v>
      </c>
      <c r="C35" s="4" t="s">
        <v>186</v>
      </c>
      <c r="D35" s="4">
        <v>1</v>
      </c>
      <c r="E35" s="4" t="s">
        <v>3083</v>
      </c>
      <c r="F35" s="4" t="s">
        <v>3084</v>
      </c>
      <c r="G35" s="4" t="s">
        <v>3050</v>
      </c>
      <c r="H35" s="4"/>
      <c r="I35" s="4" t="s">
        <v>69</v>
      </c>
      <c r="J35" s="4"/>
      <c r="K35" s="4"/>
      <c r="L35" s="4"/>
      <c r="M35" s="4"/>
      <c r="N35" s="4"/>
      <c r="O35" s="65" t="s">
        <v>3533</v>
      </c>
      <c r="P35" s="65" t="s">
        <v>3533</v>
      </c>
      <c r="Q35" s="4" t="s">
        <v>45</v>
      </c>
      <c r="R35" s="4" t="s">
        <v>4</v>
      </c>
    </row>
    <row r="36" spans="1:18">
      <c r="A36" s="1">
        <v>36</v>
      </c>
      <c r="B36" s="3" t="s">
        <v>364</v>
      </c>
      <c r="C36" s="3" t="s">
        <v>186</v>
      </c>
      <c r="D36" s="3">
        <v>1</v>
      </c>
      <c r="E36" s="3" t="s">
        <v>3083</v>
      </c>
      <c r="F36" s="3" t="s">
        <v>3084</v>
      </c>
      <c r="G36" s="3" t="s">
        <v>3058</v>
      </c>
      <c r="I36" s="3" t="s">
        <v>70</v>
      </c>
      <c r="O36" s="64" t="s">
        <v>3533</v>
      </c>
      <c r="P36" s="64" t="s">
        <v>3527</v>
      </c>
      <c r="Q36" s="3" t="s">
        <v>32</v>
      </c>
      <c r="R36" s="3" t="s">
        <v>4</v>
      </c>
    </row>
    <row r="37" spans="1:18">
      <c r="A37" s="1">
        <v>37</v>
      </c>
      <c r="B37" s="3" t="s">
        <v>365</v>
      </c>
      <c r="C37" s="3" t="s">
        <v>186</v>
      </c>
      <c r="D37" s="3">
        <v>1</v>
      </c>
      <c r="E37" s="3" t="s">
        <v>3083</v>
      </c>
      <c r="F37" s="3" t="s">
        <v>3084</v>
      </c>
      <c r="G37" s="3" t="s">
        <v>3050</v>
      </c>
      <c r="I37" s="3" t="s">
        <v>71</v>
      </c>
      <c r="O37" s="64" t="s">
        <v>3533</v>
      </c>
      <c r="P37" s="64" t="s">
        <v>3533</v>
      </c>
      <c r="Q37" s="3" t="s">
        <v>178</v>
      </c>
      <c r="R37" s="3" t="s">
        <v>4</v>
      </c>
    </row>
    <row r="38" spans="1:18">
      <c r="A38" s="1">
        <v>38</v>
      </c>
      <c r="B38" s="3" t="s">
        <v>366</v>
      </c>
      <c r="C38" s="3" t="s">
        <v>186</v>
      </c>
      <c r="D38" s="3">
        <v>1</v>
      </c>
      <c r="E38" s="3" t="s">
        <v>3083</v>
      </c>
      <c r="F38" s="3" t="s">
        <v>3084</v>
      </c>
      <c r="G38" s="3" t="s">
        <v>3053</v>
      </c>
      <c r="I38" s="3" t="s">
        <v>72</v>
      </c>
      <c r="O38" s="64" t="s">
        <v>3533</v>
      </c>
      <c r="P38" s="64" t="s">
        <v>3533</v>
      </c>
      <c r="Q38" s="3" t="s">
        <v>170</v>
      </c>
      <c r="R38" s="3" t="s">
        <v>4</v>
      </c>
    </row>
    <row r="39" spans="1:18">
      <c r="A39" s="6">
        <v>1001</v>
      </c>
      <c r="B39" s="6" t="s">
        <v>634</v>
      </c>
      <c r="C39" s="6" t="s">
        <v>186</v>
      </c>
      <c r="D39" s="6">
        <v>1</v>
      </c>
      <c r="E39" s="6" t="s">
        <v>3083</v>
      </c>
      <c r="F39" s="6" t="s">
        <v>3084</v>
      </c>
      <c r="G39" s="6" t="s">
        <v>3050</v>
      </c>
      <c r="H39" s="6" t="s">
        <v>3060</v>
      </c>
      <c r="I39" s="6" t="s">
        <v>217</v>
      </c>
      <c r="J39" s="6"/>
      <c r="K39" s="6"/>
      <c r="L39" s="6"/>
      <c r="M39" s="6"/>
      <c r="N39" s="6" t="s">
        <v>3150</v>
      </c>
      <c r="O39" s="66" t="s">
        <v>4050</v>
      </c>
      <c r="P39" s="66" t="s">
        <v>3533</v>
      </c>
      <c r="Q39" s="6" t="s">
        <v>604</v>
      </c>
      <c r="R39" s="6" t="s">
        <v>7</v>
      </c>
    </row>
    <row r="40" spans="1:18">
      <c r="A40" s="1">
        <v>1002</v>
      </c>
      <c r="B40" s="3" t="s">
        <v>635</v>
      </c>
      <c r="C40" s="3" t="s">
        <v>186</v>
      </c>
      <c r="D40" s="3">
        <v>1</v>
      </c>
      <c r="E40" s="3" t="s">
        <v>3083</v>
      </c>
      <c r="F40" s="3" t="s">
        <v>3084</v>
      </c>
      <c r="G40" s="3" t="s">
        <v>3053</v>
      </c>
      <c r="I40" s="3" t="s">
        <v>218</v>
      </c>
      <c r="N40" s="3" t="s">
        <v>3456</v>
      </c>
      <c r="O40" s="64" t="s">
        <v>3533</v>
      </c>
      <c r="P40" s="64" t="s">
        <v>3533</v>
      </c>
      <c r="Q40" s="3" t="s">
        <v>48</v>
      </c>
      <c r="R40" s="3" t="s">
        <v>7</v>
      </c>
    </row>
    <row r="41" spans="1:18">
      <c r="A41" s="6">
        <v>1003</v>
      </c>
      <c r="B41" s="6" t="s">
        <v>636</v>
      </c>
      <c r="C41" s="6" t="s">
        <v>186</v>
      </c>
      <c r="D41" s="6">
        <v>1</v>
      </c>
      <c r="E41" s="6" t="s">
        <v>3083</v>
      </c>
      <c r="F41" s="6" t="s">
        <v>3084</v>
      </c>
      <c r="G41" s="6" t="s">
        <v>3054</v>
      </c>
      <c r="H41" s="6"/>
      <c r="I41" s="6" t="s">
        <v>219</v>
      </c>
      <c r="J41" s="6"/>
      <c r="K41" s="6"/>
      <c r="L41" s="6"/>
      <c r="M41" s="6"/>
      <c r="N41" s="6" t="s">
        <v>3456</v>
      </c>
      <c r="O41" s="66" t="s">
        <v>3533</v>
      </c>
      <c r="P41" s="66" t="s">
        <v>3533</v>
      </c>
      <c r="Q41" s="6" t="s">
        <v>30</v>
      </c>
      <c r="R41" s="6" t="s">
        <v>7</v>
      </c>
    </row>
    <row r="42" spans="1:18">
      <c r="A42" s="1">
        <v>1004</v>
      </c>
      <c r="B42" s="3" t="s">
        <v>637</v>
      </c>
      <c r="C42" s="3" t="s">
        <v>186</v>
      </c>
      <c r="D42" s="3">
        <v>1</v>
      </c>
      <c r="E42" s="3" t="s">
        <v>3083</v>
      </c>
      <c r="F42" s="3" t="s">
        <v>3084</v>
      </c>
      <c r="G42" s="3" t="s">
        <v>3050</v>
      </c>
      <c r="I42" s="3" t="s">
        <v>220</v>
      </c>
      <c r="N42" s="3" t="s">
        <v>3456</v>
      </c>
      <c r="O42" s="64" t="s">
        <v>3533</v>
      </c>
      <c r="P42" s="64" t="s">
        <v>3533</v>
      </c>
      <c r="Q42" s="3" t="s">
        <v>5</v>
      </c>
      <c r="R42" s="3" t="s">
        <v>7</v>
      </c>
    </row>
    <row r="43" spans="1:18">
      <c r="A43" s="1">
        <v>1005</v>
      </c>
      <c r="B43" s="3" t="s">
        <v>638</v>
      </c>
      <c r="C43" s="3" t="s">
        <v>186</v>
      </c>
      <c r="D43" s="3">
        <v>1</v>
      </c>
      <c r="E43" s="3" t="s">
        <v>3083</v>
      </c>
      <c r="F43" s="3" t="s">
        <v>3084</v>
      </c>
      <c r="G43" s="3" t="s">
        <v>3050</v>
      </c>
      <c r="I43" s="3" t="s">
        <v>221</v>
      </c>
      <c r="M43" s="3" t="s">
        <v>491</v>
      </c>
      <c r="N43" s="3" t="s">
        <v>3456</v>
      </c>
      <c r="O43" s="64" t="s">
        <v>3533</v>
      </c>
      <c r="P43" s="64" t="s">
        <v>3533</v>
      </c>
    </row>
    <row r="44" spans="1:18">
      <c r="A44" s="1">
        <v>1006</v>
      </c>
      <c r="B44" s="3" t="s">
        <v>639</v>
      </c>
      <c r="C44" s="3" t="s">
        <v>186</v>
      </c>
      <c r="D44" s="3">
        <v>1</v>
      </c>
      <c r="E44" s="3" t="s">
        <v>3087</v>
      </c>
      <c r="F44" s="3" t="s">
        <v>3084</v>
      </c>
      <c r="G44" s="3" t="s">
        <v>3056</v>
      </c>
      <c r="I44" s="3" t="s">
        <v>3783</v>
      </c>
      <c r="M44" s="3" t="s">
        <v>491</v>
      </c>
      <c r="N44" s="3" t="s">
        <v>3456</v>
      </c>
      <c r="O44" s="64" t="s">
        <v>3527</v>
      </c>
      <c r="P44" s="64" t="s">
        <v>3522</v>
      </c>
      <c r="Q44" s="3" t="s">
        <v>175</v>
      </c>
      <c r="R44" s="3" t="s">
        <v>7</v>
      </c>
    </row>
    <row r="45" spans="1:18">
      <c r="A45" s="1">
        <v>1007</v>
      </c>
      <c r="B45" s="3" t="s">
        <v>640</v>
      </c>
      <c r="C45" s="3" t="s">
        <v>186</v>
      </c>
      <c r="D45" s="3">
        <v>1</v>
      </c>
      <c r="E45" s="3" t="s">
        <v>3083</v>
      </c>
      <c r="F45" s="3" t="s">
        <v>3084</v>
      </c>
      <c r="G45" s="3" t="s">
        <v>3055</v>
      </c>
      <c r="I45" s="3" t="s">
        <v>222</v>
      </c>
      <c r="N45" s="3" t="s">
        <v>3150</v>
      </c>
      <c r="O45" s="64" t="s">
        <v>3569</v>
      </c>
      <c r="P45" s="64" t="s">
        <v>3533</v>
      </c>
      <c r="Q45" s="3" t="s">
        <v>53</v>
      </c>
      <c r="R45" s="3" t="s">
        <v>7</v>
      </c>
    </row>
    <row r="46" spans="1:18">
      <c r="A46" s="1">
        <v>1008</v>
      </c>
      <c r="B46" s="3" t="s">
        <v>350</v>
      </c>
      <c r="C46" s="3" t="s">
        <v>186</v>
      </c>
      <c r="D46" s="3">
        <v>1</v>
      </c>
      <c r="E46" s="3" t="s">
        <v>3083</v>
      </c>
      <c r="F46" s="3" t="s">
        <v>3084</v>
      </c>
      <c r="G46" s="3" t="s">
        <v>3053</v>
      </c>
      <c r="I46" s="3" t="s">
        <v>61</v>
      </c>
      <c r="N46" s="3" t="s">
        <v>3150</v>
      </c>
      <c r="O46" s="64" t="s">
        <v>3533</v>
      </c>
      <c r="P46" s="64" t="s">
        <v>3533</v>
      </c>
      <c r="Q46" s="3" t="s">
        <v>169</v>
      </c>
      <c r="R46" s="3" t="s">
        <v>7</v>
      </c>
    </row>
    <row r="47" spans="1:18">
      <c r="A47" s="6">
        <v>1009</v>
      </c>
      <c r="B47" s="6" t="s">
        <v>641</v>
      </c>
      <c r="C47" s="6" t="s">
        <v>186</v>
      </c>
      <c r="D47" s="6">
        <v>1</v>
      </c>
      <c r="E47" s="6" t="s">
        <v>3083</v>
      </c>
      <c r="F47" s="6" t="s">
        <v>3084</v>
      </c>
      <c r="G47" s="6" t="s">
        <v>3053</v>
      </c>
      <c r="H47" s="6"/>
      <c r="I47" s="6" t="s">
        <v>613</v>
      </c>
      <c r="J47" s="6"/>
      <c r="K47" s="6"/>
      <c r="L47" s="6"/>
      <c r="M47" s="6"/>
      <c r="N47" s="6" t="s">
        <v>3150</v>
      </c>
      <c r="O47" s="66" t="s">
        <v>3533</v>
      </c>
      <c r="P47" s="66" t="s">
        <v>3533</v>
      </c>
      <c r="Q47" s="6" t="s">
        <v>15</v>
      </c>
      <c r="R47" s="6" t="s">
        <v>7</v>
      </c>
    </row>
    <row r="48" spans="1:18">
      <c r="A48" s="1">
        <v>1010</v>
      </c>
      <c r="B48" s="3" t="s">
        <v>642</v>
      </c>
      <c r="C48" s="3" t="s">
        <v>186</v>
      </c>
      <c r="D48" s="3">
        <v>1</v>
      </c>
      <c r="E48" s="3" t="s">
        <v>3083</v>
      </c>
      <c r="F48" s="3" t="s">
        <v>3084</v>
      </c>
      <c r="G48" s="3" t="s">
        <v>3050</v>
      </c>
      <c r="N48" s="3" t="s">
        <v>3456</v>
      </c>
      <c r="O48" s="64" t="s">
        <v>3569</v>
      </c>
      <c r="P48" s="64" t="s">
        <v>3533</v>
      </c>
      <c r="Q48" s="3" t="s">
        <v>174</v>
      </c>
      <c r="R48" s="3" t="s">
        <v>7</v>
      </c>
    </row>
    <row r="49" spans="1:22">
      <c r="A49" s="1">
        <v>1011</v>
      </c>
      <c r="B49" s="3" t="s">
        <v>643</v>
      </c>
      <c r="C49" s="3" t="s">
        <v>186</v>
      </c>
      <c r="D49" s="3">
        <v>1</v>
      </c>
      <c r="E49" s="3" t="s">
        <v>3083</v>
      </c>
      <c r="F49" s="3" t="s">
        <v>3084</v>
      </c>
      <c r="G49" s="3" t="s">
        <v>3050</v>
      </c>
      <c r="I49" s="3" t="s">
        <v>223</v>
      </c>
      <c r="N49" s="3" t="s">
        <v>3456</v>
      </c>
      <c r="O49" s="64" t="s">
        <v>3533</v>
      </c>
      <c r="P49" s="64" t="s">
        <v>3569</v>
      </c>
      <c r="Q49" s="3" t="s">
        <v>14</v>
      </c>
      <c r="R49" s="3" t="s">
        <v>7</v>
      </c>
    </row>
    <row r="50" spans="1:22">
      <c r="A50" s="6">
        <v>1012</v>
      </c>
      <c r="B50" s="6" t="s">
        <v>644</v>
      </c>
      <c r="C50" s="6" t="s">
        <v>186</v>
      </c>
      <c r="D50" s="6">
        <v>1</v>
      </c>
      <c r="E50" s="6" t="s">
        <v>3083</v>
      </c>
      <c r="F50" s="6" t="s">
        <v>3084</v>
      </c>
      <c r="G50" s="6"/>
      <c r="H50" s="6"/>
      <c r="I50" s="6" t="s">
        <v>224</v>
      </c>
      <c r="J50" s="6"/>
      <c r="K50" s="6"/>
      <c r="L50" s="6"/>
      <c r="M50" s="6" t="s">
        <v>153</v>
      </c>
      <c r="N50" s="6" t="s">
        <v>3456</v>
      </c>
      <c r="O50" s="66" t="s">
        <v>3533</v>
      </c>
      <c r="P50" s="66" t="s">
        <v>3533</v>
      </c>
      <c r="Q50" s="6"/>
      <c r="R50" s="6"/>
    </row>
    <row r="51" spans="1:22">
      <c r="A51" s="6">
        <v>1013</v>
      </c>
      <c r="B51" s="6" t="s">
        <v>645</v>
      </c>
      <c r="C51" s="6" t="s">
        <v>3096</v>
      </c>
      <c r="D51" s="6">
        <v>1</v>
      </c>
      <c r="E51" s="6" t="s">
        <v>3094</v>
      </c>
      <c r="F51" s="6" t="s">
        <v>3097</v>
      </c>
      <c r="G51" s="6"/>
      <c r="H51" s="6"/>
      <c r="I51" s="6" t="s">
        <v>225</v>
      </c>
      <c r="J51" s="6" t="s">
        <v>226</v>
      </c>
      <c r="K51" s="6"/>
      <c r="L51" s="6"/>
      <c r="M51" s="6" t="s">
        <v>153</v>
      </c>
      <c r="N51" s="6" t="s">
        <v>3456</v>
      </c>
      <c r="O51" s="66" t="s">
        <v>3569</v>
      </c>
      <c r="P51" s="66" t="s">
        <v>3527</v>
      </c>
      <c r="Q51" s="6" t="s">
        <v>46</v>
      </c>
      <c r="R51" s="6" t="s">
        <v>7</v>
      </c>
    </row>
    <row r="52" spans="1:22">
      <c r="A52" s="1">
        <v>1014</v>
      </c>
      <c r="B52" s="3" t="s">
        <v>646</v>
      </c>
      <c r="C52" s="3" t="s">
        <v>186</v>
      </c>
      <c r="D52" s="3">
        <v>1</v>
      </c>
      <c r="E52" s="3" t="s">
        <v>3083</v>
      </c>
      <c r="F52" s="3" t="s">
        <v>3084</v>
      </c>
      <c r="G52" s="3" t="s">
        <v>3053</v>
      </c>
      <c r="I52" s="3" t="s">
        <v>227</v>
      </c>
      <c r="N52" s="3" t="s">
        <v>3456</v>
      </c>
      <c r="O52" s="64" t="s">
        <v>3533</v>
      </c>
      <c r="P52" s="64" t="s">
        <v>3533</v>
      </c>
      <c r="Q52" s="3" t="s">
        <v>183</v>
      </c>
      <c r="R52" s="3" t="s">
        <v>7</v>
      </c>
    </row>
    <row r="53" spans="1:22">
      <c r="A53" s="6">
        <v>1015</v>
      </c>
      <c r="B53" s="6" t="s">
        <v>647</v>
      </c>
      <c r="C53" s="6" t="s">
        <v>186</v>
      </c>
      <c r="D53" s="6">
        <v>1</v>
      </c>
      <c r="E53" s="6" t="s">
        <v>3083</v>
      </c>
      <c r="F53" s="6" t="s">
        <v>3084</v>
      </c>
      <c r="G53" s="6" t="s">
        <v>3049</v>
      </c>
      <c r="H53" s="6" t="s">
        <v>3060</v>
      </c>
      <c r="I53" s="6"/>
      <c r="J53" s="6"/>
      <c r="K53" s="6"/>
      <c r="L53" s="6"/>
      <c r="M53" s="6"/>
      <c r="N53" s="6" t="s">
        <v>3456</v>
      </c>
      <c r="O53" s="66" t="s">
        <v>3569</v>
      </c>
      <c r="P53" s="66" t="s">
        <v>3533</v>
      </c>
      <c r="Q53" s="6" t="s">
        <v>28</v>
      </c>
      <c r="R53" s="6" t="s">
        <v>7</v>
      </c>
    </row>
    <row r="54" spans="1:22">
      <c r="A54" s="1">
        <v>1016</v>
      </c>
      <c r="B54" s="3" t="s">
        <v>648</v>
      </c>
      <c r="C54" s="3" t="s">
        <v>186</v>
      </c>
      <c r="D54" s="3">
        <v>1</v>
      </c>
      <c r="E54" s="3" t="s">
        <v>3083</v>
      </c>
      <c r="F54" s="3" t="s">
        <v>3084</v>
      </c>
      <c r="G54" s="3" t="s">
        <v>3053</v>
      </c>
      <c r="I54" s="3" t="s">
        <v>51</v>
      </c>
      <c r="J54" s="3" t="s">
        <v>228</v>
      </c>
      <c r="K54" s="3" t="s">
        <v>229</v>
      </c>
      <c r="N54" s="3" t="s">
        <v>3150</v>
      </c>
      <c r="O54" s="64" t="s">
        <v>4050</v>
      </c>
      <c r="P54" s="64" t="s">
        <v>3533</v>
      </c>
      <c r="Q54" s="3" t="s">
        <v>11</v>
      </c>
      <c r="R54" s="3" t="s">
        <v>7</v>
      </c>
    </row>
    <row r="55" spans="1:22">
      <c r="A55" s="1">
        <v>1017</v>
      </c>
      <c r="B55" s="3" t="s">
        <v>649</v>
      </c>
      <c r="C55" s="3" t="s">
        <v>186</v>
      </c>
      <c r="D55" s="3">
        <v>1</v>
      </c>
      <c r="E55" s="3" t="s">
        <v>3083</v>
      </c>
      <c r="F55" s="3" t="s">
        <v>3084</v>
      </c>
      <c r="G55" s="3" t="s">
        <v>3050</v>
      </c>
      <c r="I55" s="3" t="s">
        <v>51</v>
      </c>
      <c r="J55" s="3" t="s">
        <v>230</v>
      </c>
      <c r="N55" s="3" t="s">
        <v>3456</v>
      </c>
      <c r="O55" s="64" t="s">
        <v>4050</v>
      </c>
      <c r="P55" s="64" t="s">
        <v>3522</v>
      </c>
      <c r="Q55" s="3" t="s">
        <v>604</v>
      </c>
      <c r="R55" s="3" t="s">
        <v>7</v>
      </c>
    </row>
    <row r="56" spans="1:22">
      <c r="A56" s="6">
        <v>1018</v>
      </c>
      <c r="B56" s="6" t="s">
        <v>650</v>
      </c>
      <c r="C56" s="6" t="s">
        <v>186</v>
      </c>
      <c r="D56" s="6">
        <v>1</v>
      </c>
      <c r="E56" s="6" t="s">
        <v>3083</v>
      </c>
      <c r="F56" s="6" t="s">
        <v>3084</v>
      </c>
      <c r="G56" s="6" t="s">
        <v>3055</v>
      </c>
      <c r="H56" s="6"/>
      <c r="I56" s="6" t="s">
        <v>231</v>
      </c>
      <c r="J56" s="6" t="s">
        <v>232</v>
      </c>
      <c r="K56" s="6"/>
      <c r="L56" s="6"/>
      <c r="M56" s="6"/>
      <c r="N56" s="6" t="s">
        <v>3456</v>
      </c>
      <c r="O56" s="66" t="s">
        <v>3569</v>
      </c>
      <c r="P56" s="66" t="s">
        <v>3533</v>
      </c>
      <c r="Q56" s="6" t="s">
        <v>32</v>
      </c>
      <c r="R56" s="6" t="s">
        <v>7</v>
      </c>
    </row>
    <row r="57" spans="1:22">
      <c r="A57" s="1">
        <v>1019</v>
      </c>
      <c r="B57" s="3" t="s">
        <v>651</v>
      </c>
      <c r="C57" s="3" t="s">
        <v>186</v>
      </c>
      <c r="D57" s="3">
        <v>1</v>
      </c>
      <c r="E57" s="3" t="s">
        <v>3083</v>
      </c>
      <c r="F57" s="3" t="s">
        <v>3084</v>
      </c>
      <c r="G57" s="3" t="s">
        <v>3053</v>
      </c>
      <c r="I57" s="3" t="s">
        <v>614</v>
      </c>
      <c r="N57" s="3" t="s">
        <v>3456</v>
      </c>
      <c r="O57" s="64" t="s">
        <v>3533</v>
      </c>
      <c r="P57" s="64" t="s">
        <v>3533</v>
      </c>
      <c r="Q57" s="3" t="s">
        <v>169</v>
      </c>
      <c r="R57" s="3" t="s">
        <v>7</v>
      </c>
    </row>
    <row r="58" spans="1:22">
      <c r="A58" s="1">
        <v>2001</v>
      </c>
      <c r="B58" s="3" t="s">
        <v>2046</v>
      </c>
      <c r="C58" s="3" t="s">
        <v>186</v>
      </c>
      <c r="D58" s="3">
        <v>1</v>
      </c>
      <c r="E58" s="3" t="s">
        <v>3083</v>
      </c>
      <c r="F58" s="3" t="s">
        <v>3084</v>
      </c>
      <c r="G58" s="3" t="s">
        <v>3050</v>
      </c>
      <c r="I58" s="3" t="s">
        <v>502</v>
      </c>
      <c r="N58" s="3" t="s">
        <v>3456</v>
      </c>
      <c r="O58" s="64" t="s">
        <v>3533</v>
      </c>
      <c r="P58" s="64" t="s">
        <v>3533</v>
      </c>
      <c r="Q58" s="3" t="s">
        <v>169</v>
      </c>
      <c r="R58" s="3" t="s">
        <v>9</v>
      </c>
    </row>
    <row r="59" spans="1:22" s="3" customFormat="1">
      <c r="A59" s="1">
        <v>2002</v>
      </c>
      <c r="B59" s="9" t="s">
        <v>2047</v>
      </c>
      <c r="C59" s="9" t="s">
        <v>186</v>
      </c>
      <c r="D59" s="9">
        <v>1</v>
      </c>
      <c r="E59" s="9" t="s">
        <v>3083</v>
      </c>
      <c r="F59" s="9" t="s">
        <v>3084</v>
      </c>
      <c r="G59" s="9" t="s">
        <v>3050</v>
      </c>
      <c r="H59" s="9"/>
      <c r="I59" s="9" t="s">
        <v>505</v>
      </c>
      <c r="J59" s="9"/>
      <c r="K59" s="9"/>
      <c r="L59" s="9"/>
      <c r="M59" s="9"/>
      <c r="N59" s="9" t="s">
        <v>3150</v>
      </c>
      <c r="O59" s="84" t="s">
        <v>3533</v>
      </c>
      <c r="P59" s="84" t="s">
        <v>3533</v>
      </c>
      <c r="Q59" s="9" t="s">
        <v>45</v>
      </c>
      <c r="R59" s="9" t="s">
        <v>9</v>
      </c>
      <c r="S59" s="1"/>
      <c r="U59" s="1"/>
      <c r="V59" s="1"/>
    </row>
    <row r="60" spans="1:22">
      <c r="A60" s="1">
        <v>2003</v>
      </c>
      <c r="B60" s="3" t="s">
        <v>2048</v>
      </c>
      <c r="C60" s="3" t="s">
        <v>186</v>
      </c>
      <c r="D60" s="3">
        <v>1</v>
      </c>
      <c r="E60" s="3" t="s">
        <v>3083</v>
      </c>
      <c r="F60" s="3" t="s">
        <v>3084</v>
      </c>
      <c r="G60" s="3" t="s">
        <v>3068</v>
      </c>
      <c r="H60" s="3" t="s">
        <v>3053</v>
      </c>
      <c r="I60" s="3" t="s">
        <v>769</v>
      </c>
      <c r="N60" s="3" t="s">
        <v>3456</v>
      </c>
      <c r="O60" s="64" t="s">
        <v>3533</v>
      </c>
      <c r="P60" s="64" t="s">
        <v>3533</v>
      </c>
      <c r="Q60" s="3" t="s">
        <v>171</v>
      </c>
      <c r="R60" s="3" t="s">
        <v>9</v>
      </c>
    </row>
    <row r="61" spans="1:22">
      <c r="A61" s="1">
        <v>2004</v>
      </c>
      <c r="B61" s="3" t="s">
        <v>2049</v>
      </c>
      <c r="C61" s="3" t="s">
        <v>186</v>
      </c>
      <c r="D61" s="3">
        <v>1</v>
      </c>
      <c r="E61" s="3" t="s">
        <v>3083</v>
      </c>
      <c r="F61" s="3" t="s">
        <v>3084</v>
      </c>
      <c r="G61" s="3" t="s">
        <v>3053</v>
      </c>
      <c r="I61" s="3" t="s">
        <v>501</v>
      </c>
      <c r="J61" s="3" t="s">
        <v>770</v>
      </c>
      <c r="N61" s="3" t="s">
        <v>3456</v>
      </c>
      <c r="O61" s="64" t="s">
        <v>3533</v>
      </c>
      <c r="P61" s="64" t="s">
        <v>3533</v>
      </c>
      <c r="Q61" s="3" t="s">
        <v>30</v>
      </c>
      <c r="R61" s="3" t="s">
        <v>9</v>
      </c>
    </row>
    <row r="62" spans="1:22">
      <c r="A62" s="1">
        <v>2005</v>
      </c>
      <c r="B62" s="3" t="s">
        <v>2050</v>
      </c>
      <c r="C62" s="3" t="s">
        <v>186</v>
      </c>
      <c r="D62" s="3">
        <v>1</v>
      </c>
      <c r="E62" s="3" t="s">
        <v>3083</v>
      </c>
      <c r="F62" s="3" t="s">
        <v>3084</v>
      </c>
      <c r="G62" s="3" t="s">
        <v>3058</v>
      </c>
      <c r="I62" s="80" t="s">
        <v>19</v>
      </c>
      <c r="J62" s="3" t="s">
        <v>504</v>
      </c>
      <c r="N62" s="3" t="s">
        <v>3456</v>
      </c>
      <c r="O62" s="64" t="s">
        <v>3533</v>
      </c>
      <c r="P62" s="64" t="s">
        <v>3533</v>
      </c>
      <c r="Q62" s="3" t="s">
        <v>178</v>
      </c>
      <c r="R62" s="3" t="s">
        <v>9</v>
      </c>
    </row>
    <row r="63" spans="1:22">
      <c r="A63" s="1">
        <v>2006</v>
      </c>
      <c r="B63" s="3" t="s">
        <v>2051</v>
      </c>
      <c r="C63" s="3" t="s">
        <v>186</v>
      </c>
      <c r="D63" s="3">
        <v>1</v>
      </c>
      <c r="E63" s="3" t="s">
        <v>3083</v>
      </c>
      <c r="F63" s="3" t="s">
        <v>3084</v>
      </c>
      <c r="G63" s="3" t="s">
        <v>3050</v>
      </c>
      <c r="I63" s="3" t="s">
        <v>496</v>
      </c>
      <c r="J63" s="3" t="s">
        <v>497</v>
      </c>
      <c r="N63" s="3" t="s">
        <v>3456</v>
      </c>
      <c r="O63" s="64" t="s">
        <v>3569</v>
      </c>
      <c r="P63" s="64" t="s">
        <v>3533</v>
      </c>
      <c r="Q63" s="3" t="s">
        <v>14</v>
      </c>
      <c r="R63" s="3" t="s">
        <v>9</v>
      </c>
    </row>
    <row r="64" spans="1:22">
      <c r="A64" s="1">
        <v>2007</v>
      </c>
      <c r="B64" s="3" t="s">
        <v>2052</v>
      </c>
      <c r="C64" s="3" t="s">
        <v>186</v>
      </c>
      <c r="D64" s="3">
        <v>1</v>
      </c>
      <c r="E64" s="3" t="s">
        <v>3083</v>
      </c>
      <c r="F64" s="3" t="s">
        <v>3084</v>
      </c>
      <c r="G64" s="3" t="s">
        <v>3050</v>
      </c>
      <c r="I64" s="3" t="s">
        <v>3883</v>
      </c>
      <c r="J64" s="3" t="s">
        <v>503</v>
      </c>
      <c r="N64" s="3" t="s">
        <v>3456</v>
      </c>
      <c r="O64" s="64" t="s">
        <v>3533</v>
      </c>
      <c r="P64" s="64" t="s">
        <v>3569</v>
      </c>
      <c r="Q64" s="3" t="s">
        <v>38</v>
      </c>
      <c r="R64" s="3" t="s">
        <v>9</v>
      </c>
    </row>
    <row r="65" spans="1:19">
      <c r="A65" s="1">
        <v>2008</v>
      </c>
      <c r="B65" s="3" t="s">
        <v>2053</v>
      </c>
      <c r="C65" s="3" t="s">
        <v>186</v>
      </c>
      <c r="D65" s="3">
        <v>1</v>
      </c>
      <c r="E65" s="3" t="s">
        <v>3083</v>
      </c>
      <c r="F65" s="3" t="s">
        <v>3084</v>
      </c>
      <c r="G65" s="3" t="s">
        <v>3054</v>
      </c>
      <c r="I65" s="3" t="s">
        <v>3884</v>
      </c>
      <c r="J65" s="3" t="s">
        <v>3885</v>
      </c>
      <c r="K65" s="3" t="s">
        <v>3886</v>
      </c>
      <c r="N65" s="3" t="s">
        <v>3456</v>
      </c>
      <c r="O65" s="64" t="s">
        <v>3533</v>
      </c>
      <c r="P65" s="64" t="s">
        <v>3533</v>
      </c>
      <c r="Q65" s="3" t="s">
        <v>170</v>
      </c>
      <c r="R65" s="3" t="s">
        <v>9</v>
      </c>
    </row>
    <row r="66" spans="1:19">
      <c r="A66" s="10">
        <v>3001</v>
      </c>
      <c r="B66" s="10" t="s">
        <v>2137</v>
      </c>
      <c r="C66" s="10" t="s">
        <v>186</v>
      </c>
      <c r="D66" s="10">
        <v>1</v>
      </c>
      <c r="E66" s="10" t="s">
        <v>3087</v>
      </c>
      <c r="F66" s="10" t="s">
        <v>3084</v>
      </c>
      <c r="G66" s="10" t="s">
        <v>3050</v>
      </c>
      <c r="H66" s="10"/>
      <c r="I66" s="10" t="s">
        <v>492</v>
      </c>
      <c r="J66" s="10" t="s">
        <v>783</v>
      </c>
      <c r="K66" s="10"/>
      <c r="L66" s="10"/>
      <c r="M66" s="10" t="s">
        <v>153</v>
      </c>
      <c r="N66" s="10" t="s">
        <v>3456</v>
      </c>
      <c r="O66" s="67" t="s">
        <v>3569</v>
      </c>
      <c r="P66" s="67" t="s">
        <v>3533</v>
      </c>
      <c r="Q66" s="10"/>
      <c r="R66" s="10"/>
    </row>
    <row r="67" spans="1:19">
      <c r="A67" s="10">
        <v>3002</v>
      </c>
      <c r="B67" s="10" t="s">
        <v>2138</v>
      </c>
      <c r="C67" s="10" t="s">
        <v>3394</v>
      </c>
      <c r="D67" s="10">
        <v>1</v>
      </c>
      <c r="E67" s="10" t="s">
        <v>3098</v>
      </c>
      <c r="F67" s="10" t="s">
        <v>3395</v>
      </c>
      <c r="G67" s="10"/>
      <c r="H67" s="10"/>
      <c r="I67" s="10" t="s">
        <v>493</v>
      </c>
      <c r="J67" s="10" t="s">
        <v>494</v>
      </c>
      <c r="K67" s="10" t="s">
        <v>495</v>
      </c>
      <c r="L67" s="10"/>
      <c r="M67" s="10" t="s">
        <v>153</v>
      </c>
      <c r="N67" s="10" t="s">
        <v>3456</v>
      </c>
      <c r="O67" s="67">
        <v>3</v>
      </c>
      <c r="P67" s="67"/>
      <c r="Q67" s="10" t="s">
        <v>48</v>
      </c>
      <c r="R67" s="10" t="s">
        <v>41</v>
      </c>
    </row>
    <row r="68" spans="1:19" s="13" customFormat="1">
      <c r="A68" s="3">
        <v>3003</v>
      </c>
      <c r="B68" s="3" t="s">
        <v>2139</v>
      </c>
      <c r="C68" s="3" t="s">
        <v>782</v>
      </c>
      <c r="D68" s="3">
        <v>1</v>
      </c>
      <c r="E68" s="3" t="s">
        <v>3087</v>
      </c>
      <c r="F68" s="3" t="s">
        <v>3084</v>
      </c>
      <c r="G68" s="3" t="s">
        <v>3053</v>
      </c>
      <c r="H68" s="3"/>
      <c r="I68" s="3" t="s">
        <v>498</v>
      </c>
      <c r="J68" s="3" t="s">
        <v>499</v>
      </c>
      <c r="K68" s="3" t="s">
        <v>500</v>
      </c>
      <c r="L68" s="3"/>
      <c r="M68" s="3"/>
      <c r="N68" s="3"/>
      <c r="O68" s="64" t="s">
        <v>4050</v>
      </c>
      <c r="P68" s="64" t="s">
        <v>4050</v>
      </c>
      <c r="Q68" s="3" t="s">
        <v>45</v>
      </c>
      <c r="R68" s="3" t="s">
        <v>41</v>
      </c>
      <c r="S68" s="1"/>
    </row>
    <row r="69" spans="1:19" s="13" customFormat="1">
      <c r="A69" s="1">
        <v>39</v>
      </c>
      <c r="B69" s="3" t="s">
        <v>367</v>
      </c>
      <c r="C69" s="3" t="s">
        <v>187</v>
      </c>
      <c r="D69" s="3">
        <v>2</v>
      </c>
      <c r="E69" s="3" t="s">
        <v>3083</v>
      </c>
      <c r="F69" s="3" t="s">
        <v>3084</v>
      </c>
      <c r="G69" s="3" t="s">
        <v>3050</v>
      </c>
      <c r="H69" s="3"/>
      <c r="I69" s="3" t="s">
        <v>1265</v>
      </c>
      <c r="J69" s="3" t="s">
        <v>1278</v>
      </c>
      <c r="K69" s="3"/>
      <c r="L69" s="3"/>
      <c r="M69" s="3"/>
      <c r="N69" s="3"/>
      <c r="O69" s="64" t="s">
        <v>3569</v>
      </c>
      <c r="P69" s="64" t="s">
        <v>3569</v>
      </c>
      <c r="Q69" s="3" t="s">
        <v>48</v>
      </c>
      <c r="R69" s="3" t="s">
        <v>4</v>
      </c>
      <c r="S69" s="1"/>
    </row>
    <row r="70" spans="1:19">
      <c r="A70" s="1">
        <v>40</v>
      </c>
      <c r="B70" s="3" t="s">
        <v>368</v>
      </c>
      <c r="C70" s="3" t="s">
        <v>188</v>
      </c>
      <c r="D70" s="3">
        <v>2</v>
      </c>
      <c r="E70" s="3" t="s">
        <v>3083</v>
      </c>
      <c r="F70" s="3" t="s">
        <v>3084</v>
      </c>
      <c r="G70" s="3" t="s">
        <v>3054</v>
      </c>
      <c r="I70" s="3" t="s">
        <v>23</v>
      </c>
      <c r="O70" s="64" t="s">
        <v>3569</v>
      </c>
      <c r="P70" s="64" t="s">
        <v>3569</v>
      </c>
      <c r="Q70" s="3" t="s">
        <v>171</v>
      </c>
      <c r="R70" s="3" t="s">
        <v>4</v>
      </c>
    </row>
    <row r="71" spans="1:19">
      <c r="A71" s="1">
        <v>41</v>
      </c>
      <c r="B71" s="3" t="s">
        <v>369</v>
      </c>
      <c r="C71" s="3" t="s">
        <v>187</v>
      </c>
      <c r="D71" s="3">
        <v>2</v>
      </c>
      <c r="E71" s="3" t="s">
        <v>3083</v>
      </c>
      <c r="F71" s="3" t="s">
        <v>3084</v>
      </c>
      <c r="G71" s="3" t="s">
        <v>3051</v>
      </c>
      <c r="I71" s="3" t="s">
        <v>198</v>
      </c>
      <c r="O71" s="64" t="s">
        <v>3533</v>
      </c>
      <c r="P71" s="64" t="s">
        <v>3569</v>
      </c>
      <c r="Q71" s="3" t="s">
        <v>178</v>
      </c>
      <c r="R71" s="3" t="s">
        <v>4</v>
      </c>
    </row>
    <row r="72" spans="1:19">
      <c r="A72" s="1">
        <v>42</v>
      </c>
      <c r="B72" s="3" t="s">
        <v>370</v>
      </c>
      <c r="C72" s="3" t="s">
        <v>187</v>
      </c>
      <c r="D72" s="3">
        <v>2</v>
      </c>
      <c r="E72" s="3" t="s">
        <v>3083</v>
      </c>
      <c r="F72" s="3" t="s">
        <v>3084</v>
      </c>
      <c r="G72" s="3" t="s">
        <v>3053</v>
      </c>
      <c r="I72" s="3" t="s">
        <v>74</v>
      </c>
      <c r="O72" s="64" t="s">
        <v>3533</v>
      </c>
      <c r="P72" s="64" t="s">
        <v>3569</v>
      </c>
      <c r="Q72" s="3" t="s">
        <v>45</v>
      </c>
      <c r="R72" s="3" t="s">
        <v>4</v>
      </c>
    </row>
    <row r="73" spans="1:19">
      <c r="A73" s="1">
        <v>43</v>
      </c>
      <c r="B73" s="3" t="s">
        <v>371</v>
      </c>
      <c r="C73" s="3" t="s">
        <v>187</v>
      </c>
      <c r="D73" s="3">
        <v>2</v>
      </c>
      <c r="E73" s="3" t="s">
        <v>3083</v>
      </c>
      <c r="F73" s="3" t="s">
        <v>3084</v>
      </c>
      <c r="G73" s="3" t="s">
        <v>3059</v>
      </c>
      <c r="O73" s="64" t="s">
        <v>3569</v>
      </c>
      <c r="P73" s="64" t="s">
        <v>3569</v>
      </c>
      <c r="Q73" s="3" t="s">
        <v>14</v>
      </c>
      <c r="R73" s="3" t="s">
        <v>4</v>
      </c>
    </row>
    <row r="74" spans="1:19">
      <c r="A74" s="1">
        <v>44</v>
      </c>
      <c r="B74" s="3" t="s">
        <v>372</v>
      </c>
      <c r="C74" s="3" t="s">
        <v>187</v>
      </c>
      <c r="D74" s="3">
        <v>2</v>
      </c>
      <c r="E74" s="3" t="s">
        <v>3083</v>
      </c>
      <c r="F74" s="3" t="s">
        <v>3084</v>
      </c>
      <c r="G74" s="3" t="s">
        <v>3056</v>
      </c>
      <c r="I74" s="3" t="s">
        <v>1</v>
      </c>
      <c r="J74" s="3" t="s">
        <v>1264</v>
      </c>
      <c r="O74" s="64" t="s">
        <v>3533</v>
      </c>
      <c r="P74" s="64" t="s">
        <v>3533</v>
      </c>
      <c r="Q74" s="3" t="s">
        <v>179</v>
      </c>
      <c r="R74" s="3" t="s">
        <v>4</v>
      </c>
    </row>
    <row r="75" spans="1:19">
      <c r="A75" s="1">
        <v>45</v>
      </c>
      <c r="B75" s="3" t="s">
        <v>373</v>
      </c>
      <c r="C75" s="3" t="s">
        <v>187</v>
      </c>
      <c r="D75" s="3">
        <v>2</v>
      </c>
      <c r="E75" s="3" t="s">
        <v>3083</v>
      </c>
      <c r="F75" s="3" t="s">
        <v>3084</v>
      </c>
      <c r="G75" s="3" t="s">
        <v>3050</v>
      </c>
      <c r="I75" s="3" t="s">
        <v>1266</v>
      </c>
      <c r="J75" s="3" t="s">
        <v>151</v>
      </c>
      <c r="K75" s="3" t="s">
        <v>152</v>
      </c>
      <c r="O75" s="64" t="s">
        <v>3533</v>
      </c>
      <c r="P75" s="64" t="s">
        <v>3569</v>
      </c>
      <c r="Q75" s="3" t="s">
        <v>170</v>
      </c>
      <c r="R75" s="3" t="s">
        <v>4</v>
      </c>
      <c r="S75" s="3"/>
    </row>
    <row r="76" spans="1:19">
      <c r="A76" s="1">
        <v>46</v>
      </c>
      <c r="B76" s="3" t="s">
        <v>374</v>
      </c>
      <c r="C76" s="3" t="s">
        <v>187</v>
      </c>
      <c r="D76" s="3">
        <v>2</v>
      </c>
      <c r="E76" s="3" t="s">
        <v>3083</v>
      </c>
      <c r="F76" s="3" t="s">
        <v>3084</v>
      </c>
      <c r="I76" s="3" t="s">
        <v>76</v>
      </c>
      <c r="O76" s="64" t="s">
        <v>3533</v>
      </c>
      <c r="P76" s="64" t="s">
        <v>3533</v>
      </c>
      <c r="Q76" s="3" t="s">
        <v>46</v>
      </c>
      <c r="R76" s="3" t="s">
        <v>4</v>
      </c>
    </row>
    <row r="77" spans="1:19">
      <c r="A77" s="1">
        <v>47</v>
      </c>
      <c r="B77" s="3" t="s">
        <v>375</v>
      </c>
      <c r="C77" s="3" t="s">
        <v>187</v>
      </c>
      <c r="D77" s="3">
        <v>2</v>
      </c>
      <c r="E77" s="3" t="s">
        <v>3083</v>
      </c>
      <c r="F77" s="3" t="s">
        <v>3084</v>
      </c>
      <c r="G77" s="3" t="s">
        <v>3051</v>
      </c>
      <c r="I77" s="3" t="s">
        <v>199</v>
      </c>
      <c r="O77" s="64" t="s">
        <v>3569</v>
      </c>
      <c r="P77" s="64" t="s">
        <v>3569</v>
      </c>
      <c r="Q77" s="3" t="s">
        <v>27</v>
      </c>
      <c r="R77" s="3" t="s">
        <v>4</v>
      </c>
    </row>
    <row r="78" spans="1:19">
      <c r="A78" s="1">
        <v>48</v>
      </c>
      <c r="B78" s="3" t="s">
        <v>376</v>
      </c>
      <c r="C78" s="3" t="s">
        <v>188</v>
      </c>
      <c r="D78" s="3">
        <v>2</v>
      </c>
      <c r="E78" s="3" t="s">
        <v>3083</v>
      </c>
      <c r="F78" s="3" t="s">
        <v>3084</v>
      </c>
      <c r="G78" s="3" t="s">
        <v>3052</v>
      </c>
      <c r="I78" s="3" t="s">
        <v>1265</v>
      </c>
      <c r="O78" s="64" t="s">
        <v>3569</v>
      </c>
      <c r="P78" s="64" t="s">
        <v>3569</v>
      </c>
      <c r="Q78" s="3" t="s">
        <v>169</v>
      </c>
      <c r="R78" s="3" t="s">
        <v>4</v>
      </c>
    </row>
    <row r="79" spans="1:19">
      <c r="A79" s="1">
        <v>49</v>
      </c>
      <c r="B79" s="3" t="s">
        <v>377</v>
      </c>
      <c r="C79" s="3" t="s">
        <v>187</v>
      </c>
      <c r="D79" s="3">
        <v>2</v>
      </c>
      <c r="E79" s="3" t="s">
        <v>3083</v>
      </c>
      <c r="F79" s="3" t="s">
        <v>3084</v>
      </c>
      <c r="G79" s="3" t="s">
        <v>3050</v>
      </c>
      <c r="I79" s="3" t="s">
        <v>77</v>
      </c>
      <c r="O79" s="64" t="s">
        <v>3533</v>
      </c>
      <c r="P79" s="64" t="s">
        <v>3533</v>
      </c>
      <c r="Q79" s="3" t="s">
        <v>50</v>
      </c>
      <c r="R79" s="3" t="s">
        <v>4</v>
      </c>
    </row>
    <row r="80" spans="1:19">
      <c r="A80" s="1">
        <v>50</v>
      </c>
      <c r="B80" s="3" t="s">
        <v>378</v>
      </c>
      <c r="C80" s="3" t="s">
        <v>187</v>
      </c>
      <c r="D80" s="3">
        <v>2</v>
      </c>
      <c r="E80" s="3" t="s">
        <v>3083</v>
      </c>
      <c r="F80" s="3" t="s">
        <v>3084</v>
      </c>
      <c r="G80" s="3" t="s">
        <v>3050</v>
      </c>
      <c r="I80" s="3" t="s">
        <v>78</v>
      </c>
      <c r="O80" s="64" t="s">
        <v>3569</v>
      </c>
      <c r="P80" s="64" t="s">
        <v>3533</v>
      </c>
      <c r="Q80" s="3" t="s">
        <v>39</v>
      </c>
      <c r="R80" s="3" t="s">
        <v>4</v>
      </c>
    </row>
    <row r="81" spans="1:19">
      <c r="A81" s="1">
        <v>51</v>
      </c>
      <c r="B81" s="3" t="s">
        <v>379</v>
      </c>
      <c r="C81" s="3" t="s">
        <v>187</v>
      </c>
      <c r="D81" s="3">
        <v>2</v>
      </c>
      <c r="E81" s="3" t="s">
        <v>3083</v>
      </c>
      <c r="F81" s="3" t="s">
        <v>3084</v>
      </c>
      <c r="G81" s="3" t="s">
        <v>3050</v>
      </c>
      <c r="I81" s="3" t="s">
        <v>23</v>
      </c>
      <c r="O81" s="64" t="s">
        <v>3569</v>
      </c>
      <c r="P81" s="64" t="s">
        <v>3533</v>
      </c>
      <c r="Q81" s="3" t="s">
        <v>52</v>
      </c>
      <c r="R81" s="3" t="s">
        <v>4</v>
      </c>
    </row>
    <row r="82" spans="1:19">
      <c r="A82" s="1">
        <v>52</v>
      </c>
      <c r="B82" s="3" t="s">
        <v>380</v>
      </c>
      <c r="C82" s="3" t="s">
        <v>187</v>
      </c>
      <c r="D82" s="3">
        <v>2</v>
      </c>
      <c r="E82" s="3" t="s">
        <v>3083</v>
      </c>
      <c r="F82" s="3" t="s">
        <v>3084</v>
      </c>
      <c r="G82" s="3" t="s">
        <v>3053</v>
      </c>
      <c r="I82" s="3" t="s">
        <v>79</v>
      </c>
      <c r="O82" s="64" t="s">
        <v>3533</v>
      </c>
      <c r="P82" s="64" t="s">
        <v>3527</v>
      </c>
      <c r="Q82" s="3" t="s">
        <v>14</v>
      </c>
      <c r="R82" s="3" t="s">
        <v>4</v>
      </c>
    </row>
    <row r="83" spans="1:19">
      <c r="A83" s="1">
        <v>53</v>
      </c>
      <c r="B83" s="3" t="s">
        <v>381</v>
      </c>
      <c r="C83" s="3" t="s">
        <v>187</v>
      </c>
      <c r="D83" s="3">
        <v>2</v>
      </c>
      <c r="E83" s="3" t="s">
        <v>3083</v>
      </c>
      <c r="F83" s="3" t="s">
        <v>3084</v>
      </c>
      <c r="G83" s="3" t="s">
        <v>3055</v>
      </c>
      <c r="O83" s="64" t="s">
        <v>3527</v>
      </c>
      <c r="P83" s="64" t="s">
        <v>3533</v>
      </c>
      <c r="Q83" s="3" t="s">
        <v>32</v>
      </c>
      <c r="R83" s="3" t="s">
        <v>4</v>
      </c>
    </row>
    <row r="84" spans="1:19">
      <c r="A84" s="1">
        <v>54</v>
      </c>
      <c r="B84" s="3" t="s">
        <v>382</v>
      </c>
      <c r="C84" s="3" t="s">
        <v>187</v>
      </c>
      <c r="D84" s="3">
        <v>2</v>
      </c>
      <c r="E84" s="3" t="s">
        <v>3083</v>
      </c>
      <c r="F84" s="3" t="s">
        <v>3084</v>
      </c>
      <c r="G84" s="3" t="s">
        <v>3050</v>
      </c>
      <c r="O84" s="64" t="s">
        <v>3569</v>
      </c>
      <c r="P84" s="64" t="s">
        <v>3569</v>
      </c>
      <c r="Q84" s="3" t="s">
        <v>170</v>
      </c>
      <c r="R84" s="3" t="s">
        <v>4</v>
      </c>
    </row>
    <row r="85" spans="1:19">
      <c r="A85" s="1">
        <v>55</v>
      </c>
      <c r="B85" s="3" t="s">
        <v>383</v>
      </c>
      <c r="C85" s="3" t="s">
        <v>187</v>
      </c>
      <c r="D85" s="3">
        <v>2</v>
      </c>
      <c r="E85" s="3" t="s">
        <v>3083</v>
      </c>
      <c r="F85" s="3" t="s">
        <v>3084</v>
      </c>
      <c r="G85" s="3" t="s">
        <v>3051</v>
      </c>
      <c r="I85" s="3" t="s">
        <v>1284</v>
      </c>
      <c r="O85" s="64" t="s">
        <v>3569</v>
      </c>
      <c r="P85" s="64" t="s">
        <v>3569</v>
      </c>
      <c r="Q85" s="3" t="s">
        <v>17</v>
      </c>
      <c r="R85" s="3" t="s">
        <v>4</v>
      </c>
    </row>
    <row r="86" spans="1:19">
      <c r="A86" s="1">
        <v>56</v>
      </c>
      <c r="B86" s="3" t="s">
        <v>384</v>
      </c>
      <c r="C86" s="3" t="s">
        <v>187</v>
      </c>
      <c r="D86" s="3">
        <v>2</v>
      </c>
      <c r="E86" s="3" t="s">
        <v>3083</v>
      </c>
      <c r="F86" s="3" t="s">
        <v>3084</v>
      </c>
      <c r="G86" s="3" t="s">
        <v>3054</v>
      </c>
      <c r="I86" s="3" t="s">
        <v>1267</v>
      </c>
      <c r="O86" s="64" t="s">
        <v>3569</v>
      </c>
      <c r="P86" s="64" t="s">
        <v>3569</v>
      </c>
      <c r="Q86" s="3" t="s">
        <v>31</v>
      </c>
      <c r="R86" s="3" t="s">
        <v>4</v>
      </c>
    </row>
    <row r="87" spans="1:19">
      <c r="A87" s="1">
        <v>57</v>
      </c>
      <c r="B87" s="3" t="s">
        <v>385</v>
      </c>
      <c r="C87" s="3" t="s">
        <v>187</v>
      </c>
      <c r="D87" s="3">
        <v>2</v>
      </c>
      <c r="E87" s="3" t="s">
        <v>3083</v>
      </c>
      <c r="F87" s="3" t="s">
        <v>3084</v>
      </c>
      <c r="G87" s="3" t="s">
        <v>3054</v>
      </c>
      <c r="I87" s="3" t="s">
        <v>81</v>
      </c>
      <c r="O87" s="64" t="s">
        <v>3527</v>
      </c>
      <c r="P87" s="64" t="s">
        <v>3533</v>
      </c>
      <c r="Q87" s="3" t="s">
        <v>5</v>
      </c>
      <c r="R87" s="3" t="s">
        <v>4</v>
      </c>
    </row>
    <row r="88" spans="1:19">
      <c r="A88" s="1">
        <v>58</v>
      </c>
      <c r="B88" s="3" t="s">
        <v>386</v>
      </c>
      <c r="C88" s="3" t="s">
        <v>187</v>
      </c>
      <c r="D88" s="3">
        <v>2</v>
      </c>
      <c r="E88" s="3" t="s">
        <v>3083</v>
      </c>
      <c r="F88" s="3" t="s">
        <v>3084</v>
      </c>
      <c r="G88" s="3" t="s">
        <v>3053</v>
      </c>
      <c r="I88" s="3" t="s">
        <v>74</v>
      </c>
      <c r="O88" s="64" t="s">
        <v>3533</v>
      </c>
      <c r="P88" s="64" t="s">
        <v>3569</v>
      </c>
      <c r="Q88" s="3" t="s">
        <v>39</v>
      </c>
      <c r="R88" s="3" t="s">
        <v>4</v>
      </c>
    </row>
    <row r="89" spans="1:19">
      <c r="A89" s="1">
        <v>59</v>
      </c>
      <c r="B89" s="3" t="s">
        <v>387</v>
      </c>
      <c r="C89" s="3" t="s">
        <v>187</v>
      </c>
      <c r="D89" s="3">
        <v>2</v>
      </c>
      <c r="E89" s="3" t="s">
        <v>3083</v>
      </c>
      <c r="F89" s="3" t="s">
        <v>3084</v>
      </c>
      <c r="G89" s="3" t="s">
        <v>3054</v>
      </c>
      <c r="I89" s="3" t="s">
        <v>82</v>
      </c>
      <c r="O89" s="64" t="s">
        <v>3533</v>
      </c>
      <c r="P89" s="64" t="s">
        <v>3533</v>
      </c>
      <c r="Q89" s="3" t="s">
        <v>174</v>
      </c>
      <c r="R89" s="3" t="s">
        <v>4</v>
      </c>
      <c r="S89" s="3"/>
    </row>
    <row r="90" spans="1:19">
      <c r="A90" s="1">
        <v>60</v>
      </c>
      <c r="B90" s="3" t="s">
        <v>388</v>
      </c>
      <c r="C90" s="3" t="s">
        <v>187</v>
      </c>
      <c r="D90" s="3">
        <v>2</v>
      </c>
      <c r="E90" s="3" t="s">
        <v>3083</v>
      </c>
      <c r="F90" s="3" t="s">
        <v>3084</v>
      </c>
      <c r="G90" s="3" t="s">
        <v>3050</v>
      </c>
      <c r="I90" s="3" t="s">
        <v>200</v>
      </c>
      <c r="O90" s="64" t="s">
        <v>3569</v>
      </c>
      <c r="P90" s="64" t="s">
        <v>3569</v>
      </c>
      <c r="Q90" s="3" t="s">
        <v>52</v>
      </c>
      <c r="R90" s="3" t="s">
        <v>4</v>
      </c>
    </row>
    <row r="91" spans="1:19">
      <c r="A91" s="6">
        <v>61</v>
      </c>
      <c r="B91" s="6" t="s">
        <v>389</v>
      </c>
      <c r="C91" s="6" t="s">
        <v>187</v>
      </c>
      <c r="D91" s="6">
        <v>2</v>
      </c>
      <c r="E91" s="6" t="s">
        <v>3083</v>
      </c>
      <c r="F91" s="6" t="s">
        <v>3084</v>
      </c>
      <c r="G91" s="6" t="s">
        <v>3053</v>
      </c>
      <c r="H91" s="6" t="s">
        <v>3060</v>
      </c>
      <c r="I91" s="6" t="s">
        <v>83</v>
      </c>
      <c r="J91" s="6"/>
      <c r="K91" s="6"/>
      <c r="L91" s="6"/>
      <c r="M91" s="6"/>
      <c r="N91" s="6"/>
      <c r="O91" s="66" t="s">
        <v>3569</v>
      </c>
      <c r="P91" s="66" t="s">
        <v>3569</v>
      </c>
      <c r="Q91" s="6" t="s">
        <v>37</v>
      </c>
      <c r="R91" s="6" t="s">
        <v>4</v>
      </c>
    </row>
    <row r="92" spans="1:19">
      <c r="A92" s="1">
        <v>62</v>
      </c>
      <c r="B92" s="3" t="s">
        <v>390</v>
      </c>
      <c r="C92" s="3" t="s">
        <v>187</v>
      </c>
      <c r="D92" s="3">
        <v>2</v>
      </c>
      <c r="E92" s="3" t="s">
        <v>3083</v>
      </c>
      <c r="F92" s="3" t="s">
        <v>3084</v>
      </c>
      <c r="G92" s="3" t="s">
        <v>3050</v>
      </c>
      <c r="H92" s="3" t="s">
        <v>3061</v>
      </c>
      <c r="I92" s="3" t="s">
        <v>84</v>
      </c>
      <c r="O92" s="64" t="s">
        <v>3533</v>
      </c>
      <c r="P92" s="64" t="s">
        <v>3533</v>
      </c>
      <c r="Q92" s="3" t="s">
        <v>171</v>
      </c>
      <c r="R92" s="3" t="s">
        <v>4</v>
      </c>
    </row>
    <row r="93" spans="1:19">
      <c r="A93" s="1">
        <v>63</v>
      </c>
      <c r="B93" s="3" t="s">
        <v>391</v>
      </c>
      <c r="C93" s="3" t="s">
        <v>187</v>
      </c>
      <c r="D93" s="3">
        <v>2</v>
      </c>
      <c r="E93" s="3" t="s">
        <v>3083</v>
      </c>
      <c r="F93" s="3" t="s">
        <v>3084</v>
      </c>
      <c r="G93" s="3" t="s">
        <v>3053</v>
      </c>
      <c r="I93" s="3" t="s">
        <v>85</v>
      </c>
      <c r="J93" s="3" t="s">
        <v>1285</v>
      </c>
      <c r="O93" s="64" t="s">
        <v>3533</v>
      </c>
      <c r="P93" s="64" t="s">
        <v>3527</v>
      </c>
      <c r="Q93" s="3" t="s">
        <v>17</v>
      </c>
      <c r="R93" s="3" t="s">
        <v>4</v>
      </c>
    </row>
    <row r="94" spans="1:19">
      <c r="A94" s="6">
        <v>64</v>
      </c>
      <c r="B94" s="6" t="s">
        <v>392</v>
      </c>
      <c r="C94" s="6" t="s">
        <v>187</v>
      </c>
      <c r="D94" s="6">
        <v>2</v>
      </c>
      <c r="E94" s="6" t="s">
        <v>3083</v>
      </c>
      <c r="F94" s="6" t="s">
        <v>3084</v>
      </c>
      <c r="G94" s="6" t="s">
        <v>3051</v>
      </c>
      <c r="H94" s="6"/>
      <c r="I94" s="6" t="s">
        <v>1268</v>
      </c>
      <c r="J94" s="6" t="s">
        <v>1286</v>
      </c>
      <c r="K94" s="6"/>
      <c r="L94" s="6"/>
      <c r="M94" s="6"/>
      <c r="N94" s="6"/>
      <c r="O94" s="66" t="s">
        <v>3533</v>
      </c>
      <c r="P94" s="66" t="s">
        <v>3533</v>
      </c>
      <c r="Q94" s="6" t="s">
        <v>15</v>
      </c>
      <c r="R94" s="6" t="s">
        <v>4</v>
      </c>
    </row>
    <row r="95" spans="1:19">
      <c r="A95" s="1">
        <v>65</v>
      </c>
      <c r="B95" s="3" t="s">
        <v>393</v>
      </c>
      <c r="C95" s="3" t="s">
        <v>187</v>
      </c>
      <c r="D95" s="3">
        <v>2</v>
      </c>
      <c r="E95" s="3" t="s">
        <v>3083</v>
      </c>
      <c r="F95" s="3" t="s">
        <v>3084</v>
      </c>
      <c r="G95" s="3" t="s">
        <v>3050</v>
      </c>
      <c r="I95" s="3" t="s">
        <v>1</v>
      </c>
      <c r="J95" s="3" t="s">
        <v>86</v>
      </c>
      <c r="O95" s="64" t="s">
        <v>3533</v>
      </c>
      <c r="P95" s="64" t="s">
        <v>3533</v>
      </c>
      <c r="Q95" s="3" t="s">
        <v>40</v>
      </c>
      <c r="R95" s="3" t="s">
        <v>4</v>
      </c>
    </row>
    <row r="96" spans="1:19">
      <c r="A96" s="1">
        <v>66</v>
      </c>
      <c r="B96" s="3" t="s">
        <v>394</v>
      </c>
      <c r="C96" s="3" t="s">
        <v>187</v>
      </c>
      <c r="D96" s="3">
        <v>2</v>
      </c>
      <c r="E96" s="3" t="s">
        <v>3083</v>
      </c>
      <c r="F96" s="3" t="s">
        <v>3084</v>
      </c>
      <c r="G96" s="3" t="s">
        <v>3055</v>
      </c>
      <c r="I96" s="3" t="s">
        <v>87</v>
      </c>
      <c r="O96" s="64" t="s">
        <v>3569</v>
      </c>
      <c r="P96" s="64" t="s">
        <v>3533</v>
      </c>
      <c r="Q96" s="3" t="s">
        <v>32</v>
      </c>
      <c r="R96" s="3" t="s">
        <v>4</v>
      </c>
    </row>
    <row r="97" spans="1:19">
      <c r="A97" s="1">
        <v>67</v>
      </c>
      <c r="B97" s="3" t="s">
        <v>395</v>
      </c>
      <c r="C97" s="3" t="s">
        <v>187</v>
      </c>
      <c r="D97" s="3">
        <v>2</v>
      </c>
      <c r="E97" s="3" t="s">
        <v>3083</v>
      </c>
      <c r="F97" s="3" t="s">
        <v>3084</v>
      </c>
      <c r="G97" s="3" t="s">
        <v>3055</v>
      </c>
      <c r="I97" s="3" t="s">
        <v>1271</v>
      </c>
      <c r="O97" s="64" t="s">
        <v>3527</v>
      </c>
      <c r="P97" s="64" t="s">
        <v>3533</v>
      </c>
      <c r="Q97" s="3" t="s">
        <v>29</v>
      </c>
      <c r="R97" s="3" t="s">
        <v>4</v>
      </c>
    </row>
    <row r="98" spans="1:19">
      <c r="A98" s="6">
        <v>68</v>
      </c>
      <c r="B98" s="6" t="s">
        <v>396</v>
      </c>
      <c r="C98" s="6" t="s">
        <v>188</v>
      </c>
      <c r="D98" s="6">
        <v>2</v>
      </c>
      <c r="E98" s="6" t="s">
        <v>3083</v>
      </c>
      <c r="F98" s="6" t="s">
        <v>3084</v>
      </c>
      <c r="G98" s="6" t="s">
        <v>3050</v>
      </c>
      <c r="H98" s="6"/>
      <c r="I98" s="6" t="s">
        <v>23</v>
      </c>
      <c r="J98" s="6" t="s">
        <v>88</v>
      </c>
      <c r="K98" s="6"/>
      <c r="L98" s="6"/>
      <c r="M98" s="6" t="s">
        <v>153</v>
      </c>
      <c r="N98" s="6"/>
      <c r="O98" s="66" t="s">
        <v>3569</v>
      </c>
      <c r="P98" s="66" t="s">
        <v>3569</v>
      </c>
      <c r="Q98" s="6"/>
      <c r="R98" s="6"/>
      <c r="S98" s="13"/>
    </row>
    <row r="99" spans="1:19">
      <c r="A99" s="6">
        <v>69</v>
      </c>
      <c r="B99" s="6" t="s">
        <v>397</v>
      </c>
      <c r="C99" s="6" t="s">
        <v>3092</v>
      </c>
      <c r="D99" s="6">
        <v>2</v>
      </c>
      <c r="E99" s="6" t="s">
        <v>3094</v>
      </c>
      <c r="F99" s="6" t="s">
        <v>3095</v>
      </c>
      <c r="G99" s="6" t="s">
        <v>3050</v>
      </c>
      <c r="H99" s="6"/>
      <c r="I99" s="6" t="s">
        <v>89</v>
      </c>
      <c r="J99" s="6"/>
      <c r="K99" s="6"/>
      <c r="L99" s="6"/>
      <c r="M99" s="6" t="s">
        <v>153</v>
      </c>
      <c r="N99" s="6"/>
      <c r="O99" s="66" t="s">
        <v>3569</v>
      </c>
      <c r="P99" s="66" t="s">
        <v>3533</v>
      </c>
      <c r="Q99" s="6" t="s">
        <v>44</v>
      </c>
      <c r="R99" s="6" t="s">
        <v>4</v>
      </c>
      <c r="S99" s="13"/>
    </row>
    <row r="100" spans="1:19">
      <c r="A100" s="1">
        <v>70</v>
      </c>
      <c r="B100" s="3" t="s">
        <v>398</v>
      </c>
      <c r="C100" s="3" t="s">
        <v>187</v>
      </c>
      <c r="D100" s="3">
        <v>2</v>
      </c>
      <c r="E100" s="3" t="s">
        <v>3083</v>
      </c>
      <c r="F100" s="3" t="s">
        <v>3084</v>
      </c>
      <c r="G100" s="3" t="s">
        <v>3058</v>
      </c>
      <c r="I100" s="3" t="s">
        <v>1270</v>
      </c>
      <c r="O100" s="64" t="s">
        <v>3533</v>
      </c>
      <c r="P100" s="64" t="s">
        <v>3527</v>
      </c>
      <c r="Q100" s="3" t="s">
        <v>38</v>
      </c>
      <c r="R100" s="3" t="s">
        <v>4</v>
      </c>
    </row>
    <row r="101" spans="1:19">
      <c r="A101" s="1">
        <v>71</v>
      </c>
      <c r="B101" s="3" t="s">
        <v>399</v>
      </c>
      <c r="C101" s="3" t="s">
        <v>187</v>
      </c>
      <c r="D101" s="3">
        <v>2</v>
      </c>
      <c r="E101" s="3" t="s">
        <v>3083</v>
      </c>
      <c r="F101" s="3" t="s">
        <v>3084</v>
      </c>
      <c r="G101" s="3" t="s">
        <v>3053</v>
      </c>
      <c r="I101" s="3" t="s">
        <v>43</v>
      </c>
      <c r="O101" s="64" t="s">
        <v>3533</v>
      </c>
      <c r="P101" s="64" t="s">
        <v>3533</v>
      </c>
      <c r="Q101" s="3" t="s">
        <v>169</v>
      </c>
      <c r="R101" s="3" t="s">
        <v>4</v>
      </c>
    </row>
    <row r="102" spans="1:19">
      <c r="A102" s="1">
        <v>72</v>
      </c>
      <c r="B102" s="3" t="s">
        <v>400</v>
      </c>
      <c r="C102" s="3" t="s">
        <v>187</v>
      </c>
      <c r="D102" s="3">
        <v>2</v>
      </c>
      <c r="E102" s="3" t="s">
        <v>3083</v>
      </c>
      <c r="F102" s="3" t="s">
        <v>3084</v>
      </c>
      <c r="G102" s="3" t="s">
        <v>3050</v>
      </c>
      <c r="I102" s="3" t="s">
        <v>23</v>
      </c>
      <c r="O102" s="64" t="s">
        <v>3569</v>
      </c>
      <c r="P102" s="64" t="s">
        <v>3569</v>
      </c>
      <c r="Q102" s="3" t="s">
        <v>36</v>
      </c>
      <c r="R102" s="3" t="s">
        <v>4</v>
      </c>
    </row>
    <row r="103" spans="1:19">
      <c r="A103" s="1">
        <v>73</v>
      </c>
      <c r="B103" s="3" t="s">
        <v>401</v>
      </c>
      <c r="C103" s="3" t="s">
        <v>187</v>
      </c>
      <c r="D103" s="3">
        <v>2</v>
      </c>
      <c r="E103" s="3" t="s">
        <v>3083</v>
      </c>
      <c r="F103" s="3" t="s">
        <v>3084</v>
      </c>
      <c r="G103" s="3" t="s">
        <v>3053</v>
      </c>
      <c r="I103" s="3" t="s">
        <v>90</v>
      </c>
      <c r="N103" s="3" t="s">
        <v>490</v>
      </c>
      <c r="O103" s="64" t="s">
        <v>3533</v>
      </c>
      <c r="P103" s="64" t="s">
        <v>3527</v>
      </c>
      <c r="Q103" s="3" t="s">
        <v>53</v>
      </c>
      <c r="R103" s="3" t="s">
        <v>4</v>
      </c>
    </row>
    <row r="104" spans="1:19">
      <c r="A104" s="1">
        <v>74</v>
      </c>
      <c r="B104" s="3" t="s">
        <v>402</v>
      </c>
      <c r="C104" s="3" t="s">
        <v>187</v>
      </c>
      <c r="D104" s="3">
        <v>2</v>
      </c>
      <c r="E104" s="3" t="s">
        <v>3083</v>
      </c>
      <c r="F104" s="3" t="s">
        <v>3084</v>
      </c>
      <c r="G104" s="3" t="s">
        <v>3054</v>
      </c>
      <c r="I104" s="3" t="s">
        <v>1272</v>
      </c>
      <c r="J104" s="3" t="s">
        <v>202</v>
      </c>
      <c r="O104" s="64" t="s">
        <v>3533</v>
      </c>
      <c r="P104" s="64" t="s">
        <v>3533</v>
      </c>
      <c r="Q104" s="3" t="s">
        <v>180</v>
      </c>
      <c r="R104" s="3" t="s">
        <v>4</v>
      </c>
    </row>
    <row r="105" spans="1:19">
      <c r="A105" s="6">
        <v>75</v>
      </c>
      <c r="B105" s="6" t="s">
        <v>403</v>
      </c>
      <c r="C105" s="6" t="s">
        <v>187</v>
      </c>
      <c r="D105" s="6">
        <v>2</v>
      </c>
      <c r="E105" s="6" t="s">
        <v>3083</v>
      </c>
      <c r="F105" s="6" t="s">
        <v>3084</v>
      </c>
      <c r="G105" s="6" t="s">
        <v>3054</v>
      </c>
      <c r="H105" s="6"/>
      <c r="I105" s="6" t="s">
        <v>216</v>
      </c>
      <c r="J105" s="6"/>
      <c r="K105" s="6"/>
      <c r="L105" s="6"/>
      <c r="M105" s="6"/>
      <c r="N105" s="6"/>
      <c r="O105" s="66" t="s">
        <v>3569</v>
      </c>
      <c r="P105" s="66" t="s">
        <v>3569</v>
      </c>
      <c r="Q105" s="6" t="s">
        <v>15</v>
      </c>
      <c r="R105" s="6" t="s">
        <v>4</v>
      </c>
    </row>
    <row r="106" spans="1:19">
      <c r="A106" s="1">
        <v>76</v>
      </c>
      <c r="B106" s="3" t="s">
        <v>404</v>
      </c>
      <c r="C106" s="3" t="s">
        <v>188</v>
      </c>
      <c r="D106" s="3">
        <v>2</v>
      </c>
      <c r="E106" s="3" t="s">
        <v>3083</v>
      </c>
      <c r="F106" s="3" t="s">
        <v>3084</v>
      </c>
      <c r="G106" s="3" t="s">
        <v>3050</v>
      </c>
      <c r="I106" s="3" t="s">
        <v>92</v>
      </c>
      <c r="O106" s="64" t="s">
        <v>3569</v>
      </c>
      <c r="P106" s="64" t="s">
        <v>3527</v>
      </c>
      <c r="Q106" s="3" t="s">
        <v>173</v>
      </c>
      <c r="R106" s="3" t="s">
        <v>4</v>
      </c>
    </row>
    <row r="107" spans="1:19">
      <c r="A107" s="1">
        <v>77</v>
      </c>
      <c r="B107" s="3" t="s">
        <v>405</v>
      </c>
      <c r="C107" s="3" t="s">
        <v>187</v>
      </c>
      <c r="D107" s="3">
        <v>2</v>
      </c>
      <c r="E107" s="3" t="s">
        <v>3083</v>
      </c>
      <c r="F107" s="3" t="s">
        <v>3084</v>
      </c>
      <c r="G107" s="3" t="s">
        <v>3055</v>
      </c>
      <c r="I107" s="3" t="s">
        <v>23</v>
      </c>
      <c r="J107" s="3" t="s">
        <v>93</v>
      </c>
      <c r="O107" s="64" t="s">
        <v>3569</v>
      </c>
      <c r="P107" s="64" t="s">
        <v>3569</v>
      </c>
      <c r="Q107" s="3" t="s">
        <v>32</v>
      </c>
      <c r="R107" s="3" t="s">
        <v>4</v>
      </c>
    </row>
    <row r="108" spans="1:19">
      <c r="A108" s="1">
        <v>78</v>
      </c>
      <c r="B108" s="3" t="s">
        <v>406</v>
      </c>
      <c r="C108" s="3" t="s">
        <v>187</v>
      </c>
      <c r="D108" s="3">
        <v>2</v>
      </c>
      <c r="E108" s="3" t="s">
        <v>3083</v>
      </c>
      <c r="F108" s="3" t="s">
        <v>3084</v>
      </c>
      <c r="G108" s="3" t="s">
        <v>3050</v>
      </c>
      <c r="I108" s="3" t="s">
        <v>198</v>
      </c>
      <c r="O108" s="64" t="s">
        <v>3533</v>
      </c>
      <c r="P108" s="64" t="s">
        <v>3569</v>
      </c>
      <c r="Q108" s="3" t="s">
        <v>171</v>
      </c>
      <c r="R108" s="3" t="s">
        <v>4</v>
      </c>
    </row>
    <row r="109" spans="1:19">
      <c r="A109" s="1">
        <v>79</v>
      </c>
      <c r="B109" s="3" t="s">
        <v>407</v>
      </c>
      <c r="C109" s="3" t="s">
        <v>187</v>
      </c>
      <c r="D109" s="3">
        <v>2</v>
      </c>
      <c r="E109" s="3" t="s">
        <v>3083</v>
      </c>
      <c r="F109" s="3" t="s">
        <v>3084</v>
      </c>
      <c r="G109" s="3" t="s">
        <v>3052</v>
      </c>
      <c r="I109" s="3" t="s">
        <v>94</v>
      </c>
      <c r="O109" s="64" t="s">
        <v>3533</v>
      </c>
      <c r="P109" s="64" t="s">
        <v>3533</v>
      </c>
      <c r="Q109" s="3" t="s">
        <v>31</v>
      </c>
      <c r="R109" s="3" t="s">
        <v>4</v>
      </c>
    </row>
    <row r="110" spans="1:19">
      <c r="A110" s="1">
        <v>80</v>
      </c>
      <c r="B110" s="3" t="s">
        <v>408</v>
      </c>
      <c r="C110" s="3" t="s">
        <v>187</v>
      </c>
      <c r="D110" s="3">
        <v>2</v>
      </c>
      <c r="E110" s="3" t="s">
        <v>3083</v>
      </c>
      <c r="F110" s="3" t="s">
        <v>3084</v>
      </c>
      <c r="G110" s="3" t="s">
        <v>3050</v>
      </c>
      <c r="I110" s="3" t="s">
        <v>51</v>
      </c>
      <c r="J110" s="3" t="s">
        <v>95</v>
      </c>
      <c r="O110" s="64" t="s">
        <v>4050</v>
      </c>
      <c r="P110" s="64" t="s">
        <v>3527</v>
      </c>
      <c r="Q110" s="3" t="s">
        <v>170</v>
      </c>
      <c r="R110" s="3" t="s">
        <v>4</v>
      </c>
    </row>
    <row r="111" spans="1:19">
      <c r="A111" s="1">
        <v>81</v>
      </c>
      <c r="B111" s="3" t="s">
        <v>409</v>
      </c>
      <c r="C111" s="3" t="s">
        <v>187</v>
      </c>
      <c r="D111" s="3">
        <v>2</v>
      </c>
      <c r="E111" s="3" t="s">
        <v>3083</v>
      </c>
      <c r="F111" s="3" t="s">
        <v>3084</v>
      </c>
      <c r="G111" s="3" t="s">
        <v>3053</v>
      </c>
      <c r="I111" s="3" t="s">
        <v>1273</v>
      </c>
      <c r="O111" s="64" t="s">
        <v>3569</v>
      </c>
      <c r="P111" s="64" t="s">
        <v>3569</v>
      </c>
      <c r="Q111" s="3" t="s">
        <v>5</v>
      </c>
      <c r="R111" s="3" t="s">
        <v>4</v>
      </c>
    </row>
    <row r="112" spans="1:19">
      <c r="A112" s="1">
        <v>82</v>
      </c>
      <c r="B112" s="3" t="s">
        <v>410</v>
      </c>
      <c r="C112" s="3" t="s">
        <v>187</v>
      </c>
      <c r="D112" s="3">
        <v>2</v>
      </c>
      <c r="E112" s="3" t="s">
        <v>3083</v>
      </c>
      <c r="F112" s="3" t="s">
        <v>3084</v>
      </c>
      <c r="G112" s="3" t="s">
        <v>3054</v>
      </c>
      <c r="I112" s="3" t="s">
        <v>0</v>
      </c>
      <c r="O112" s="64" t="s">
        <v>3569</v>
      </c>
      <c r="P112" s="64" t="s">
        <v>3533</v>
      </c>
      <c r="Q112" s="3" t="s">
        <v>169</v>
      </c>
      <c r="R112" s="3" t="s">
        <v>4</v>
      </c>
      <c r="S112" s="12"/>
    </row>
    <row r="113" spans="1:19">
      <c r="A113" s="1">
        <v>83</v>
      </c>
      <c r="B113" s="3" t="s">
        <v>411</v>
      </c>
      <c r="C113" s="3" t="s">
        <v>187</v>
      </c>
      <c r="D113" s="3">
        <v>2</v>
      </c>
      <c r="E113" s="3" t="s">
        <v>3083</v>
      </c>
      <c r="F113" s="3" t="s">
        <v>3084</v>
      </c>
      <c r="G113" s="3" t="s">
        <v>3053</v>
      </c>
      <c r="I113" s="3" t="s">
        <v>1274</v>
      </c>
      <c r="J113" s="3" t="s">
        <v>97</v>
      </c>
      <c r="O113" s="64" t="s">
        <v>3533</v>
      </c>
      <c r="P113" s="64" t="s">
        <v>3527</v>
      </c>
      <c r="Q113" s="3" t="s">
        <v>34</v>
      </c>
      <c r="R113" s="3" t="s">
        <v>4</v>
      </c>
    </row>
    <row r="114" spans="1:19">
      <c r="A114" s="1">
        <v>84</v>
      </c>
      <c r="B114" s="3" t="s">
        <v>412</v>
      </c>
      <c r="C114" s="3" t="s">
        <v>187</v>
      </c>
      <c r="D114" s="3">
        <v>2</v>
      </c>
      <c r="E114" s="3" t="s">
        <v>3083</v>
      </c>
      <c r="F114" s="3" t="s">
        <v>3084</v>
      </c>
      <c r="G114" s="3" t="s">
        <v>3050</v>
      </c>
      <c r="I114" s="3" t="s">
        <v>203</v>
      </c>
      <c r="O114" s="64" t="s">
        <v>3569</v>
      </c>
      <c r="P114" s="64" t="s">
        <v>3569</v>
      </c>
      <c r="Q114" s="3" t="s">
        <v>49</v>
      </c>
      <c r="R114" s="3" t="s">
        <v>4</v>
      </c>
    </row>
    <row r="115" spans="1:19">
      <c r="A115" s="1">
        <v>85</v>
      </c>
      <c r="B115" s="3" t="s">
        <v>413</v>
      </c>
      <c r="C115" s="3" t="s">
        <v>187</v>
      </c>
      <c r="D115" s="3">
        <v>2</v>
      </c>
      <c r="E115" s="3" t="s">
        <v>3083</v>
      </c>
      <c r="F115" s="3" t="s">
        <v>3084</v>
      </c>
      <c r="G115" s="3" t="s">
        <v>3050</v>
      </c>
      <c r="I115" s="3" t="s">
        <v>1275</v>
      </c>
      <c r="N115" s="3" t="s">
        <v>490</v>
      </c>
      <c r="O115" s="64" t="s">
        <v>3569</v>
      </c>
      <c r="P115" s="64" t="s">
        <v>3533</v>
      </c>
      <c r="Q115" s="3" t="s">
        <v>6</v>
      </c>
      <c r="R115" s="3" t="s">
        <v>4</v>
      </c>
      <c r="S115" s="12"/>
    </row>
    <row r="116" spans="1:19">
      <c r="A116" s="1">
        <v>86</v>
      </c>
      <c r="B116" s="3" t="s">
        <v>414</v>
      </c>
      <c r="C116" s="3" t="s">
        <v>187</v>
      </c>
      <c r="D116" s="3">
        <v>2</v>
      </c>
      <c r="E116" s="3" t="s">
        <v>3083</v>
      </c>
      <c r="F116" s="3" t="s">
        <v>3084</v>
      </c>
      <c r="G116" s="3" t="s">
        <v>3053</v>
      </c>
      <c r="I116" s="3" t="s">
        <v>98</v>
      </c>
      <c r="N116" s="3" t="s">
        <v>490</v>
      </c>
      <c r="O116" s="64" t="s">
        <v>3569</v>
      </c>
      <c r="P116" s="64" t="s">
        <v>3569</v>
      </c>
      <c r="Q116" s="3" t="s">
        <v>48</v>
      </c>
      <c r="R116" s="3" t="s">
        <v>4</v>
      </c>
    </row>
    <row r="117" spans="1:19">
      <c r="A117" s="1">
        <v>87</v>
      </c>
      <c r="B117" s="3" t="s">
        <v>415</v>
      </c>
      <c r="C117" s="3" t="s">
        <v>187</v>
      </c>
      <c r="D117" s="3">
        <v>2</v>
      </c>
      <c r="E117" s="3" t="s">
        <v>3083</v>
      </c>
      <c r="F117" s="3" t="s">
        <v>3084</v>
      </c>
      <c r="G117" s="3" t="s">
        <v>3050</v>
      </c>
      <c r="I117" s="3" t="s">
        <v>99</v>
      </c>
      <c r="O117" s="64" t="s">
        <v>3569</v>
      </c>
      <c r="P117" s="64" t="s">
        <v>3569</v>
      </c>
      <c r="Q117" s="3" t="s">
        <v>8</v>
      </c>
      <c r="R117" s="3" t="s">
        <v>4</v>
      </c>
    </row>
    <row r="118" spans="1:19">
      <c r="A118" s="1">
        <v>1020</v>
      </c>
      <c r="B118" s="3" t="s">
        <v>652</v>
      </c>
      <c r="C118" s="3" t="s">
        <v>187</v>
      </c>
      <c r="D118" s="3">
        <v>2</v>
      </c>
      <c r="E118" s="3" t="s">
        <v>3083</v>
      </c>
      <c r="F118" s="3" t="s">
        <v>3084</v>
      </c>
      <c r="G118" s="3" t="s">
        <v>3051</v>
      </c>
      <c r="I118" s="3" t="s">
        <v>233</v>
      </c>
      <c r="N118" s="3" t="s">
        <v>3456</v>
      </c>
      <c r="O118" s="64" t="s">
        <v>3569</v>
      </c>
      <c r="P118" s="64" t="s">
        <v>3569</v>
      </c>
      <c r="Q118" s="3" t="s">
        <v>44</v>
      </c>
      <c r="R118" s="3" t="s">
        <v>7</v>
      </c>
    </row>
    <row r="119" spans="1:19">
      <c r="A119" s="4">
        <v>1021</v>
      </c>
      <c r="B119" s="4" t="s">
        <v>653</v>
      </c>
      <c r="C119" s="4" t="s">
        <v>187</v>
      </c>
      <c r="D119" s="4">
        <v>2</v>
      </c>
      <c r="E119" s="4" t="s">
        <v>3083</v>
      </c>
      <c r="F119" s="4" t="s">
        <v>3084</v>
      </c>
      <c r="G119" s="4" t="s">
        <v>3054</v>
      </c>
      <c r="H119" s="4"/>
      <c r="I119" s="81" t="s">
        <v>234</v>
      </c>
      <c r="J119" s="4" t="s">
        <v>235</v>
      </c>
      <c r="K119" s="4"/>
      <c r="L119" s="4"/>
      <c r="M119" s="4" t="s">
        <v>153</v>
      </c>
      <c r="N119" s="4" t="s">
        <v>3456</v>
      </c>
      <c r="O119" s="65" t="s">
        <v>3533</v>
      </c>
      <c r="P119" s="65" t="s">
        <v>3533</v>
      </c>
      <c r="Q119" s="4"/>
      <c r="R119" s="4"/>
    </row>
    <row r="120" spans="1:19">
      <c r="A120" s="4">
        <v>1022</v>
      </c>
      <c r="B120" s="4" t="s">
        <v>654</v>
      </c>
      <c r="C120" s="4" t="s">
        <v>13449</v>
      </c>
      <c r="D120" s="4">
        <v>2</v>
      </c>
      <c r="E120" s="4" t="s">
        <v>3083</v>
      </c>
      <c r="F120" s="4" t="s">
        <v>3090</v>
      </c>
      <c r="G120" s="4" t="s">
        <v>3064</v>
      </c>
      <c r="H120" s="4"/>
      <c r="I120" s="81" t="s">
        <v>236</v>
      </c>
      <c r="J120" s="4"/>
      <c r="K120" s="4"/>
      <c r="L120" s="4"/>
      <c r="M120" s="4" t="s">
        <v>153</v>
      </c>
      <c r="N120" s="4" t="s">
        <v>3456</v>
      </c>
      <c r="O120" s="65" t="s">
        <v>3522</v>
      </c>
      <c r="P120" s="65" t="s">
        <v>3522</v>
      </c>
      <c r="Q120" s="4" t="s">
        <v>39</v>
      </c>
      <c r="R120" s="4" t="s">
        <v>7</v>
      </c>
    </row>
    <row r="121" spans="1:19">
      <c r="A121" s="1">
        <v>1023</v>
      </c>
      <c r="B121" s="3" t="s">
        <v>655</v>
      </c>
      <c r="C121" s="3" t="s">
        <v>187</v>
      </c>
      <c r="D121" s="3">
        <v>2</v>
      </c>
      <c r="E121" s="3" t="s">
        <v>3083</v>
      </c>
      <c r="F121" s="3" t="s">
        <v>3084</v>
      </c>
      <c r="G121" s="3" t="s">
        <v>3053</v>
      </c>
      <c r="I121" s="3" t="s">
        <v>237</v>
      </c>
      <c r="N121" s="3" t="s">
        <v>3456</v>
      </c>
      <c r="O121" s="64" t="s">
        <v>3569</v>
      </c>
      <c r="P121" s="64" t="s">
        <v>3533</v>
      </c>
      <c r="Q121" s="3" t="s">
        <v>17</v>
      </c>
      <c r="R121" s="3" t="s">
        <v>7</v>
      </c>
    </row>
    <row r="122" spans="1:19">
      <c r="A122" s="1">
        <v>1024</v>
      </c>
      <c r="B122" s="3" t="s">
        <v>656</v>
      </c>
      <c r="C122" s="3" t="s">
        <v>187</v>
      </c>
      <c r="D122" s="3">
        <v>2</v>
      </c>
      <c r="E122" s="3" t="s">
        <v>3083</v>
      </c>
      <c r="F122" s="3" t="s">
        <v>3084</v>
      </c>
      <c r="G122" s="3" t="s">
        <v>3053</v>
      </c>
      <c r="H122" s="3" t="s">
        <v>3065</v>
      </c>
      <c r="I122" s="3" t="s">
        <v>615</v>
      </c>
      <c r="N122" s="3" t="s">
        <v>3456</v>
      </c>
      <c r="O122" s="64" t="s">
        <v>3533</v>
      </c>
      <c r="P122" s="64" t="s">
        <v>3527</v>
      </c>
      <c r="Q122" s="3" t="s">
        <v>169</v>
      </c>
      <c r="R122" s="3" t="s">
        <v>7</v>
      </c>
    </row>
    <row r="123" spans="1:19">
      <c r="A123" s="1">
        <v>1025</v>
      </c>
      <c r="B123" s="3" t="s">
        <v>657</v>
      </c>
      <c r="C123" s="3" t="s">
        <v>187</v>
      </c>
      <c r="D123" s="3">
        <v>2</v>
      </c>
      <c r="E123" s="3" t="s">
        <v>3083</v>
      </c>
      <c r="F123" s="3" t="s">
        <v>3084</v>
      </c>
      <c r="G123" s="3" t="s">
        <v>3063</v>
      </c>
      <c r="I123" s="3" t="s">
        <v>238</v>
      </c>
      <c r="N123" s="3" t="s">
        <v>3456</v>
      </c>
      <c r="O123" s="64" t="s">
        <v>3569</v>
      </c>
      <c r="P123" s="64" t="s">
        <v>3533</v>
      </c>
      <c r="Q123" s="3" t="s">
        <v>50</v>
      </c>
      <c r="R123" s="3" t="s">
        <v>7</v>
      </c>
    </row>
    <row r="124" spans="1:19">
      <c r="A124" s="6">
        <v>1026</v>
      </c>
      <c r="B124" s="6" t="s">
        <v>658</v>
      </c>
      <c r="C124" s="6" t="s">
        <v>187</v>
      </c>
      <c r="D124" s="6">
        <v>2</v>
      </c>
      <c r="E124" s="6" t="s">
        <v>3083</v>
      </c>
      <c r="F124" s="6" t="s">
        <v>3084</v>
      </c>
      <c r="G124" s="6" t="s">
        <v>3050</v>
      </c>
      <c r="H124" s="6"/>
      <c r="I124" s="6" t="s">
        <v>239</v>
      </c>
      <c r="J124" s="6" t="s">
        <v>629</v>
      </c>
      <c r="K124" s="6"/>
      <c r="L124" s="6"/>
      <c r="M124" s="6"/>
      <c r="N124" s="6" t="s">
        <v>3456</v>
      </c>
      <c r="O124" s="66" t="s">
        <v>3569</v>
      </c>
      <c r="P124" s="66" t="s">
        <v>3533</v>
      </c>
      <c r="Q124" s="6" t="s">
        <v>172</v>
      </c>
      <c r="R124" s="6" t="s">
        <v>7</v>
      </c>
    </row>
    <row r="125" spans="1:19">
      <c r="A125" s="1">
        <v>1027</v>
      </c>
      <c r="B125" s="3" t="s">
        <v>659</v>
      </c>
      <c r="C125" s="3" t="s">
        <v>187</v>
      </c>
      <c r="D125" s="3">
        <v>2</v>
      </c>
      <c r="E125" s="3" t="s">
        <v>3085</v>
      </c>
      <c r="F125" s="3" t="s">
        <v>3084</v>
      </c>
      <c r="G125" s="3" t="s">
        <v>3063</v>
      </c>
      <c r="I125" s="3" t="s">
        <v>616</v>
      </c>
      <c r="N125" s="3" t="s">
        <v>3456</v>
      </c>
      <c r="O125" s="64" t="s">
        <v>3533</v>
      </c>
      <c r="P125" s="64" t="s">
        <v>3569</v>
      </c>
      <c r="Q125" s="3" t="s">
        <v>15</v>
      </c>
      <c r="R125" s="3" t="s">
        <v>7</v>
      </c>
    </row>
    <row r="126" spans="1:19">
      <c r="A126" s="1">
        <v>1028</v>
      </c>
      <c r="B126" s="3" t="s">
        <v>660</v>
      </c>
      <c r="C126" s="3" t="s">
        <v>187</v>
      </c>
      <c r="D126" s="3">
        <v>2</v>
      </c>
      <c r="E126" s="3" t="s">
        <v>3083</v>
      </c>
      <c r="F126" s="3" t="s">
        <v>3084</v>
      </c>
      <c r="G126" s="3" t="s">
        <v>3055</v>
      </c>
      <c r="I126" s="4" t="s">
        <v>1269</v>
      </c>
      <c r="J126" s="81" t="s">
        <v>240</v>
      </c>
      <c r="N126" s="3" t="s">
        <v>3456</v>
      </c>
      <c r="O126" s="64" t="s">
        <v>3569</v>
      </c>
      <c r="P126" s="64" t="s">
        <v>3569</v>
      </c>
      <c r="Q126" s="3" t="s">
        <v>38</v>
      </c>
      <c r="R126" s="3" t="s">
        <v>7</v>
      </c>
    </row>
    <row r="127" spans="1:19">
      <c r="A127" s="6">
        <v>1029</v>
      </c>
      <c r="B127" s="6" t="s">
        <v>661</v>
      </c>
      <c r="C127" s="6" t="s">
        <v>188</v>
      </c>
      <c r="D127" s="6">
        <v>2</v>
      </c>
      <c r="E127" s="6" t="s">
        <v>3083</v>
      </c>
      <c r="F127" s="6" t="s">
        <v>3084</v>
      </c>
      <c r="G127" s="6" t="s">
        <v>3050</v>
      </c>
      <c r="H127" s="6" t="s">
        <v>3060</v>
      </c>
      <c r="I127" s="6" t="s">
        <v>25</v>
      </c>
      <c r="J127" s="6" t="s">
        <v>241</v>
      </c>
      <c r="K127" s="6"/>
      <c r="L127" s="6"/>
      <c r="M127" s="6"/>
      <c r="N127" s="6" t="s">
        <v>3150</v>
      </c>
      <c r="O127" s="66" t="s">
        <v>3533</v>
      </c>
      <c r="P127" s="66" t="s">
        <v>3533</v>
      </c>
      <c r="Q127" s="6" t="s">
        <v>607</v>
      </c>
      <c r="R127" s="6" t="s">
        <v>7</v>
      </c>
    </row>
    <row r="128" spans="1:19">
      <c r="A128" s="1">
        <v>1030</v>
      </c>
      <c r="B128" s="3" t="s">
        <v>662</v>
      </c>
      <c r="C128" s="3" t="s">
        <v>188</v>
      </c>
      <c r="D128" s="3">
        <v>2</v>
      </c>
      <c r="E128" s="3" t="s">
        <v>3083</v>
      </c>
      <c r="F128" s="3" t="s">
        <v>3084</v>
      </c>
      <c r="G128" s="3" t="s">
        <v>3050</v>
      </c>
      <c r="I128" s="3" t="s">
        <v>242</v>
      </c>
      <c r="N128" s="3" t="s">
        <v>3456</v>
      </c>
      <c r="O128" s="64" t="s">
        <v>3533</v>
      </c>
      <c r="P128" s="64" t="s">
        <v>3533</v>
      </c>
      <c r="Q128" s="3" t="s">
        <v>14</v>
      </c>
      <c r="R128" s="3" t="s">
        <v>7</v>
      </c>
    </row>
    <row r="129" spans="1:18">
      <c r="A129" s="1">
        <v>1031</v>
      </c>
      <c r="B129" s="3" t="s">
        <v>663</v>
      </c>
      <c r="C129" s="3" t="s">
        <v>187</v>
      </c>
      <c r="D129" s="3">
        <v>2</v>
      </c>
      <c r="E129" s="3" t="s">
        <v>3083</v>
      </c>
      <c r="F129" s="3" t="s">
        <v>3084</v>
      </c>
      <c r="G129" s="3" t="s">
        <v>3058</v>
      </c>
      <c r="I129" s="3" t="s">
        <v>243</v>
      </c>
      <c r="N129" s="3" t="s">
        <v>3456</v>
      </c>
      <c r="O129" s="64" t="s">
        <v>3527</v>
      </c>
      <c r="P129" s="64" t="s">
        <v>3533</v>
      </c>
      <c r="Q129" s="3" t="s">
        <v>53</v>
      </c>
      <c r="R129" s="3" t="s">
        <v>7</v>
      </c>
    </row>
    <row r="130" spans="1:18">
      <c r="A130" s="1">
        <v>1032</v>
      </c>
      <c r="B130" s="3" t="s">
        <v>664</v>
      </c>
      <c r="C130" s="3" t="s">
        <v>187</v>
      </c>
      <c r="D130" s="3">
        <v>2</v>
      </c>
      <c r="E130" s="3" t="s">
        <v>3083</v>
      </c>
      <c r="F130" s="3" t="s">
        <v>3084</v>
      </c>
      <c r="G130" s="3" t="s">
        <v>3051</v>
      </c>
      <c r="I130" s="3" t="s">
        <v>244</v>
      </c>
      <c r="N130" s="3" t="s">
        <v>3456</v>
      </c>
      <c r="O130" s="64" t="s">
        <v>3569</v>
      </c>
      <c r="P130" s="64" t="s">
        <v>3533</v>
      </c>
      <c r="Q130" s="3" t="s">
        <v>169</v>
      </c>
      <c r="R130" s="3" t="s">
        <v>7</v>
      </c>
    </row>
    <row r="131" spans="1:18">
      <c r="A131" s="1">
        <v>1033</v>
      </c>
      <c r="B131" s="3" t="s">
        <v>665</v>
      </c>
      <c r="C131" s="3" t="s">
        <v>187</v>
      </c>
      <c r="D131" s="3">
        <v>2</v>
      </c>
      <c r="E131" s="3" t="s">
        <v>3083</v>
      </c>
      <c r="F131" s="3" t="s">
        <v>3084</v>
      </c>
      <c r="G131" s="3" t="s">
        <v>3066</v>
      </c>
      <c r="I131" s="3" t="s">
        <v>245</v>
      </c>
      <c r="J131" s="3" t="s">
        <v>246</v>
      </c>
      <c r="K131" s="3" t="s">
        <v>247</v>
      </c>
      <c r="N131" s="3" t="s">
        <v>3456</v>
      </c>
      <c r="O131" s="64" t="s">
        <v>4050</v>
      </c>
      <c r="P131" s="64" t="s">
        <v>3569</v>
      </c>
      <c r="Q131" s="3" t="s">
        <v>33</v>
      </c>
      <c r="R131" s="3" t="s">
        <v>7</v>
      </c>
    </row>
    <row r="132" spans="1:18">
      <c r="A132" s="1">
        <v>1034</v>
      </c>
      <c r="B132" s="3" t="s">
        <v>666</v>
      </c>
      <c r="C132" s="3" t="s">
        <v>188</v>
      </c>
      <c r="D132" s="3">
        <v>2</v>
      </c>
      <c r="E132" s="3" t="s">
        <v>3083</v>
      </c>
      <c r="F132" s="3" t="s">
        <v>3084</v>
      </c>
      <c r="G132" s="3" t="s">
        <v>3050</v>
      </c>
      <c r="I132" s="3" t="s">
        <v>248</v>
      </c>
      <c r="N132" s="3" t="s">
        <v>3456</v>
      </c>
      <c r="O132" s="64" t="s">
        <v>3569</v>
      </c>
      <c r="P132" s="64" t="s">
        <v>3569</v>
      </c>
      <c r="Q132" s="3" t="s">
        <v>50</v>
      </c>
      <c r="R132" s="3" t="s">
        <v>7</v>
      </c>
    </row>
    <row r="133" spans="1:18">
      <c r="A133" s="1">
        <v>1035</v>
      </c>
      <c r="B133" s="3" t="s">
        <v>667</v>
      </c>
      <c r="C133" s="3" t="s">
        <v>187</v>
      </c>
      <c r="D133" s="3">
        <v>2</v>
      </c>
      <c r="E133" s="3" t="s">
        <v>3083</v>
      </c>
      <c r="F133" s="3" t="s">
        <v>3084</v>
      </c>
      <c r="G133" s="3" t="s">
        <v>3053</v>
      </c>
      <c r="I133" s="3" t="s">
        <v>3784</v>
      </c>
      <c r="J133" s="80" t="s">
        <v>250</v>
      </c>
      <c r="N133" s="3" t="s">
        <v>3456</v>
      </c>
      <c r="O133" s="64" t="s">
        <v>3569</v>
      </c>
      <c r="P133" s="64" t="s">
        <v>3533</v>
      </c>
      <c r="Q133" s="3" t="s">
        <v>52</v>
      </c>
      <c r="R133" s="3" t="s">
        <v>7</v>
      </c>
    </row>
    <row r="134" spans="1:18">
      <c r="A134" s="1">
        <v>1036</v>
      </c>
      <c r="B134" s="3" t="s">
        <v>668</v>
      </c>
      <c r="C134" s="3" t="s">
        <v>188</v>
      </c>
      <c r="D134" s="3">
        <v>2</v>
      </c>
      <c r="E134" s="3" t="s">
        <v>3083</v>
      </c>
      <c r="F134" s="3" t="s">
        <v>3084</v>
      </c>
      <c r="G134" s="3" t="s">
        <v>3050</v>
      </c>
      <c r="I134" s="3" t="s">
        <v>0</v>
      </c>
      <c r="J134" s="3" t="s">
        <v>3785</v>
      </c>
      <c r="K134" s="3" t="s">
        <v>251</v>
      </c>
      <c r="N134" s="3" t="s">
        <v>3456</v>
      </c>
      <c r="O134" s="64" t="s">
        <v>3569</v>
      </c>
      <c r="P134" s="64" t="s">
        <v>3533</v>
      </c>
      <c r="Q134" s="3" t="s">
        <v>48</v>
      </c>
      <c r="R134" s="3" t="s">
        <v>7</v>
      </c>
    </row>
    <row r="135" spans="1:18">
      <c r="A135" s="1">
        <v>1037</v>
      </c>
      <c r="B135" s="3" t="s">
        <v>669</v>
      </c>
      <c r="C135" s="3" t="s">
        <v>188</v>
      </c>
      <c r="D135" s="3">
        <v>2</v>
      </c>
      <c r="E135" s="3" t="s">
        <v>3083</v>
      </c>
      <c r="F135" s="3" t="s">
        <v>3084</v>
      </c>
      <c r="G135" s="3" t="s">
        <v>3054</v>
      </c>
      <c r="I135" s="3" t="s">
        <v>0</v>
      </c>
      <c r="J135" s="3" t="s">
        <v>22</v>
      </c>
      <c r="N135" s="3" t="s">
        <v>3456</v>
      </c>
      <c r="O135" s="64" t="s">
        <v>3569</v>
      </c>
      <c r="P135" s="64" t="s">
        <v>3569</v>
      </c>
      <c r="Q135" s="3" t="s">
        <v>178</v>
      </c>
      <c r="R135" s="3" t="s">
        <v>7</v>
      </c>
    </row>
    <row r="136" spans="1:18">
      <c r="A136" s="1">
        <v>1038</v>
      </c>
      <c r="B136" s="3" t="s">
        <v>670</v>
      </c>
      <c r="C136" s="3" t="s">
        <v>187</v>
      </c>
      <c r="D136" s="3">
        <v>2</v>
      </c>
      <c r="E136" s="3" t="s">
        <v>3083</v>
      </c>
      <c r="F136" s="3" t="s">
        <v>3084</v>
      </c>
      <c r="G136" s="3" t="s">
        <v>3051</v>
      </c>
      <c r="I136" s="80" t="s">
        <v>3786</v>
      </c>
      <c r="N136" s="3" t="s">
        <v>3456</v>
      </c>
      <c r="O136" s="64" t="s">
        <v>3569</v>
      </c>
      <c r="P136" s="64" t="s">
        <v>3533</v>
      </c>
      <c r="Q136" s="3" t="s">
        <v>174</v>
      </c>
      <c r="R136" s="3" t="s">
        <v>7</v>
      </c>
    </row>
    <row r="137" spans="1:18">
      <c r="A137" s="1">
        <v>1039</v>
      </c>
      <c r="B137" s="3" t="s">
        <v>671</v>
      </c>
      <c r="C137" s="3" t="s">
        <v>187</v>
      </c>
      <c r="D137" s="3">
        <v>2</v>
      </c>
      <c r="E137" s="3" t="s">
        <v>3083</v>
      </c>
      <c r="F137" s="3" t="s">
        <v>3084</v>
      </c>
      <c r="G137" s="3" t="s">
        <v>3056</v>
      </c>
      <c r="I137" s="3" t="s">
        <v>3787</v>
      </c>
      <c r="J137" s="3" t="s">
        <v>252</v>
      </c>
      <c r="N137" s="3" t="s">
        <v>3456</v>
      </c>
      <c r="O137" s="64" t="s">
        <v>3533</v>
      </c>
      <c r="P137" s="64" t="s">
        <v>3569</v>
      </c>
      <c r="Q137" s="3" t="s">
        <v>175</v>
      </c>
      <c r="R137" s="3" t="s">
        <v>7</v>
      </c>
    </row>
    <row r="138" spans="1:18">
      <c r="A138" s="1">
        <v>1040</v>
      </c>
      <c r="B138" s="3" t="s">
        <v>672</v>
      </c>
      <c r="C138" s="3" t="s">
        <v>188</v>
      </c>
      <c r="D138" s="3">
        <v>2</v>
      </c>
      <c r="E138" s="3" t="s">
        <v>3083</v>
      </c>
      <c r="F138" s="3" t="s">
        <v>3084</v>
      </c>
      <c r="G138" s="3" t="s">
        <v>3054</v>
      </c>
      <c r="I138" s="3" t="s">
        <v>22</v>
      </c>
      <c r="J138" s="3" t="s">
        <v>626</v>
      </c>
      <c r="K138" s="3" t="s">
        <v>628</v>
      </c>
      <c r="N138" s="3" t="s">
        <v>3456</v>
      </c>
      <c r="O138" s="64" t="s">
        <v>3569</v>
      </c>
      <c r="P138" s="64" t="s">
        <v>3533</v>
      </c>
      <c r="Q138" s="3" t="s">
        <v>49</v>
      </c>
      <c r="R138" s="3" t="s">
        <v>7</v>
      </c>
    </row>
    <row r="139" spans="1:18">
      <c r="A139" s="4">
        <v>1041</v>
      </c>
      <c r="B139" s="4" t="s">
        <v>673</v>
      </c>
      <c r="C139" s="4" t="s">
        <v>187</v>
      </c>
      <c r="D139" s="4">
        <v>2</v>
      </c>
      <c r="E139" s="4" t="s">
        <v>3083</v>
      </c>
      <c r="F139" s="4" t="s">
        <v>3084</v>
      </c>
      <c r="G139" s="4" t="s">
        <v>3053</v>
      </c>
      <c r="H139" s="4"/>
      <c r="I139" s="4" t="s">
        <v>253</v>
      </c>
      <c r="J139" s="4"/>
      <c r="K139" s="4"/>
      <c r="L139" s="4"/>
      <c r="M139" s="4"/>
      <c r="N139" s="4" t="s">
        <v>3150</v>
      </c>
      <c r="O139" s="65" t="s">
        <v>3569</v>
      </c>
      <c r="P139" s="65" t="s">
        <v>3569</v>
      </c>
      <c r="Q139" s="4" t="s">
        <v>181</v>
      </c>
      <c r="R139" s="3" t="s">
        <v>7</v>
      </c>
    </row>
    <row r="140" spans="1:18">
      <c r="A140" s="8">
        <v>1042</v>
      </c>
      <c r="B140" s="8" t="s">
        <v>674</v>
      </c>
      <c r="C140" s="8" t="s">
        <v>187</v>
      </c>
      <c r="D140" s="8">
        <v>2</v>
      </c>
      <c r="E140" s="8" t="s">
        <v>3086</v>
      </c>
      <c r="F140" s="8" t="s">
        <v>3084</v>
      </c>
      <c r="G140" s="8" t="s">
        <v>3055</v>
      </c>
      <c r="H140" s="8"/>
      <c r="I140" s="8" t="s">
        <v>3788</v>
      </c>
      <c r="J140" s="8" t="s">
        <v>254</v>
      </c>
      <c r="K140" s="8" t="s">
        <v>255</v>
      </c>
      <c r="L140" s="8"/>
      <c r="M140" s="8"/>
      <c r="N140" s="8" t="s">
        <v>3456</v>
      </c>
      <c r="O140" s="68" t="s">
        <v>3527</v>
      </c>
      <c r="P140" s="68" t="s">
        <v>3569</v>
      </c>
      <c r="Q140" s="8" t="s">
        <v>27</v>
      </c>
      <c r="R140" s="8" t="s">
        <v>7</v>
      </c>
    </row>
    <row r="141" spans="1:18">
      <c r="A141" s="1">
        <v>1043</v>
      </c>
      <c r="B141" s="3" t="s">
        <v>675</v>
      </c>
      <c r="C141" s="3" t="s">
        <v>187</v>
      </c>
      <c r="D141" s="3">
        <v>2</v>
      </c>
      <c r="E141" s="3" t="s">
        <v>3083</v>
      </c>
      <c r="F141" s="3" t="s">
        <v>3084</v>
      </c>
      <c r="G141" s="3" t="s">
        <v>3055</v>
      </c>
      <c r="I141" s="3" t="s">
        <v>256</v>
      </c>
      <c r="J141" s="3" t="s">
        <v>3789</v>
      </c>
      <c r="N141" s="3" t="s">
        <v>3456</v>
      </c>
      <c r="O141" s="64" t="s">
        <v>3569</v>
      </c>
      <c r="P141" s="64" t="s">
        <v>3569</v>
      </c>
      <c r="Q141" s="3" t="s">
        <v>17</v>
      </c>
      <c r="R141" s="3" t="s">
        <v>7</v>
      </c>
    </row>
    <row r="142" spans="1:18">
      <c r="A142" s="1">
        <v>1044</v>
      </c>
      <c r="B142" s="3" t="s">
        <v>676</v>
      </c>
      <c r="C142" s="3" t="s">
        <v>187</v>
      </c>
      <c r="D142" s="3">
        <v>2</v>
      </c>
      <c r="E142" s="3" t="s">
        <v>3083</v>
      </c>
      <c r="F142" s="3" t="s">
        <v>3084</v>
      </c>
      <c r="G142" s="3" t="s">
        <v>3050</v>
      </c>
      <c r="I142" s="3" t="s">
        <v>21</v>
      </c>
      <c r="N142" s="3" t="s">
        <v>3456</v>
      </c>
      <c r="O142" s="64" t="s">
        <v>3533</v>
      </c>
      <c r="P142" s="64" t="s">
        <v>3533</v>
      </c>
      <c r="Q142" s="3" t="s">
        <v>6</v>
      </c>
      <c r="R142" s="3" t="s">
        <v>7</v>
      </c>
    </row>
    <row r="143" spans="1:18">
      <c r="A143" s="6">
        <v>1045</v>
      </c>
      <c r="B143" s="6" t="s">
        <v>677</v>
      </c>
      <c r="C143" s="6" t="s">
        <v>187</v>
      </c>
      <c r="D143" s="6">
        <v>2</v>
      </c>
      <c r="E143" s="6" t="s">
        <v>3083</v>
      </c>
      <c r="F143" s="6" t="s">
        <v>3084</v>
      </c>
      <c r="G143" s="6" t="s">
        <v>3053</v>
      </c>
      <c r="H143" s="6" t="s">
        <v>3060</v>
      </c>
      <c r="I143" s="6" t="s">
        <v>617</v>
      </c>
      <c r="J143" s="6"/>
      <c r="K143" s="6"/>
      <c r="L143" s="6"/>
      <c r="M143" s="6"/>
      <c r="N143" s="6" t="s">
        <v>3456</v>
      </c>
      <c r="O143" s="66" t="s">
        <v>3569</v>
      </c>
      <c r="P143" s="66" t="s">
        <v>3569</v>
      </c>
      <c r="Q143" s="6" t="s">
        <v>28</v>
      </c>
      <c r="R143" s="6" t="s">
        <v>7</v>
      </c>
    </row>
    <row r="144" spans="1:18">
      <c r="A144" s="1">
        <v>1046</v>
      </c>
      <c r="B144" s="3" t="s">
        <v>678</v>
      </c>
      <c r="C144" s="3" t="s">
        <v>187</v>
      </c>
      <c r="D144" s="3">
        <v>2</v>
      </c>
      <c r="E144" s="3" t="s">
        <v>3083</v>
      </c>
      <c r="F144" s="3" t="s">
        <v>3084</v>
      </c>
      <c r="G144" s="3" t="s">
        <v>3050</v>
      </c>
      <c r="I144" s="3" t="s">
        <v>258</v>
      </c>
      <c r="N144" s="3" t="s">
        <v>3456</v>
      </c>
      <c r="O144" s="64" t="s">
        <v>3533</v>
      </c>
      <c r="P144" s="64" t="s">
        <v>3533</v>
      </c>
      <c r="Q144" s="3" t="s">
        <v>168</v>
      </c>
      <c r="R144" s="3" t="s">
        <v>7</v>
      </c>
    </row>
    <row r="145" spans="1:22">
      <c r="A145" s="1">
        <v>1047</v>
      </c>
      <c r="B145" s="3" t="s">
        <v>679</v>
      </c>
      <c r="C145" s="3" t="s">
        <v>187</v>
      </c>
      <c r="D145" s="3">
        <v>2</v>
      </c>
      <c r="E145" s="3" t="s">
        <v>3083</v>
      </c>
      <c r="F145" s="3" t="s">
        <v>3084</v>
      </c>
      <c r="G145" s="3" t="s">
        <v>3050</v>
      </c>
      <c r="I145" s="3" t="s">
        <v>618</v>
      </c>
      <c r="N145" s="3" t="s">
        <v>3456</v>
      </c>
      <c r="O145" s="64" t="s">
        <v>3533</v>
      </c>
      <c r="P145" s="64" t="s">
        <v>3533</v>
      </c>
      <c r="Q145" s="3" t="s">
        <v>40</v>
      </c>
      <c r="R145" s="3" t="s">
        <v>7</v>
      </c>
    </row>
    <row r="146" spans="1:22">
      <c r="A146" s="1">
        <v>1048</v>
      </c>
      <c r="B146" s="3" t="s">
        <v>680</v>
      </c>
      <c r="C146" s="3" t="s">
        <v>187</v>
      </c>
      <c r="D146" s="3">
        <v>2</v>
      </c>
      <c r="E146" s="3" t="s">
        <v>3083</v>
      </c>
      <c r="F146" s="3" t="s">
        <v>3084</v>
      </c>
      <c r="G146" s="3" t="s">
        <v>3052</v>
      </c>
      <c r="I146" s="3" t="s">
        <v>619</v>
      </c>
      <c r="N146" s="3" t="s">
        <v>3456</v>
      </c>
      <c r="O146" s="64" t="s">
        <v>3533</v>
      </c>
      <c r="P146" s="64" t="s">
        <v>3569</v>
      </c>
      <c r="Q146" s="3" t="s">
        <v>182</v>
      </c>
      <c r="R146" s="3" t="s">
        <v>7</v>
      </c>
    </row>
    <row r="147" spans="1:22">
      <c r="A147" s="1">
        <v>1049</v>
      </c>
      <c r="B147" s="3" t="s">
        <v>681</v>
      </c>
      <c r="C147" s="3" t="s">
        <v>187</v>
      </c>
      <c r="D147" s="3">
        <v>2</v>
      </c>
      <c r="E147" s="3" t="s">
        <v>3083</v>
      </c>
      <c r="F147" s="3" t="s">
        <v>3084</v>
      </c>
      <c r="G147" s="3" t="s">
        <v>3056</v>
      </c>
      <c r="I147" s="3" t="s">
        <v>3790</v>
      </c>
      <c r="N147" s="3" t="s">
        <v>3456</v>
      </c>
      <c r="O147" s="64" t="s">
        <v>4050</v>
      </c>
      <c r="P147" s="64" t="s">
        <v>3569</v>
      </c>
      <c r="Q147" s="3" t="s">
        <v>179</v>
      </c>
      <c r="R147" s="3" t="s">
        <v>7</v>
      </c>
    </row>
    <row r="148" spans="1:22">
      <c r="A148" s="1">
        <v>1050</v>
      </c>
      <c r="B148" s="3" t="s">
        <v>682</v>
      </c>
      <c r="C148" s="3" t="s">
        <v>188</v>
      </c>
      <c r="D148" s="3">
        <v>2</v>
      </c>
      <c r="E148" s="3" t="s">
        <v>3083</v>
      </c>
      <c r="F148" s="3" t="s">
        <v>3084</v>
      </c>
      <c r="G148" s="3" t="s">
        <v>3054</v>
      </c>
      <c r="I148" s="3" t="s">
        <v>0</v>
      </c>
      <c r="J148" s="3" t="s">
        <v>3734</v>
      </c>
      <c r="N148" s="3" t="s">
        <v>3456</v>
      </c>
      <c r="O148" s="64" t="s">
        <v>3569</v>
      </c>
      <c r="P148" s="64" t="s">
        <v>3569</v>
      </c>
      <c r="Q148" s="3" t="s">
        <v>15</v>
      </c>
      <c r="R148" s="3" t="s">
        <v>7</v>
      </c>
    </row>
    <row r="149" spans="1:22">
      <c r="A149" s="1">
        <v>1051</v>
      </c>
      <c r="B149" s="3" t="s">
        <v>683</v>
      </c>
      <c r="C149" s="3" t="s">
        <v>188</v>
      </c>
      <c r="D149" s="3">
        <v>2</v>
      </c>
      <c r="E149" s="3" t="s">
        <v>3083</v>
      </c>
      <c r="F149" s="3" t="s">
        <v>3084</v>
      </c>
      <c r="G149" s="3" t="s">
        <v>3052</v>
      </c>
      <c r="H149" s="3" t="s">
        <v>3054</v>
      </c>
      <c r="I149" s="3" t="s">
        <v>534</v>
      </c>
      <c r="J149" s="3" t="s">
        <v>259</v>
      </c>
      <c r="K149" s="3" t="s">
        <v>260</v>
      </c>
      <c r="N149" s="3" t="s">
        <v>3456</v>
      </c>
      <c r="O149" s="64" t="s">
        <v>3569</v>
      </c>
      <c r="P149" s="64" t="s">
        <v>3569</v>
      </c>
      <c r="Q149" s="3" t="s">
        <v>31</v>
      </c>
      <c r="R149" s="3" t="s">
        <v>7</v>
      </c>
    </row>
    <row r="150" spans="1:22">
      <c r="A150" s="1">
        <v>1052</v>
      </c>
      <c r="B150" s="3" t="s">
        <v>684</v>
      </c>
      <c r="C150" s="3" t="s">
        <v>187</v>
      </c>
      <c r="D150" s="3">
        <v>2</v>
      </c>
      <c r="E150" s="3" t="s">
        <v>3083</v>
      </c>
      <c r="F150" s="3" t="s">
        <v>3084</v>
      </c>
      <c r="G150" s="3" t="s">
        <v>3055</v>
      </c>
      <c r="I150" s="3" t="s">
        <v>3791</v>
      </c>
      <c r="N150" s="3" t="s">
        <v>3456</v>
      </c>
      <c r="O150" s="64" t="s">
        <v>3569</v>
      </c>
      <c r="P150" s="64" t="s">
        <v>3569</v>
      </c>
      <c r="Q150" s="3" t="s">
        <v>29</v>
      </c>
      <c r="R150" s="3" t="s">
        <v>7</v>
      </c>
    </row>
    <row r="151" spans="1:22">
      <c r="A151" s="1">
        <v>1053</v>
      </c>
      <c r="B151" s="3" t="s">
        <v>685</v>
      </c>
      <c r="C151" s="3" t="s">
        <v>188</v>
      </c>
      <c r="D151" s="3">
        <v>2</v>
      </c>
      <c r="E151" s="3" t="s">
        <v>3083</v>
      </c>
      <c r="F151" s="3" t="s">
        <v>3084</v>
      </c>
      <c r="G151" s="3" t="s">
        <v>3056</v>
      </c>
      <c r="I151" s="3" t="s">
        <v>22</v>
      </c>
      <c r="J151" s="3" t="s">
        <v>3787</v>
      </c>
      <c r="N151" s="3" t="s">
        <v>3456</v>
      </c>
      <c r="O151" s="64" t="s">
        <v>3569</v>
      </c>
      <c r="P151" s="64" t="s">
        <v>3569</v>
      </c>
      <c r="Q151" s="3" t="s">
        <v>179</v>
      </c>
      <c r="R151" s="3" t="s">
        <v>7</v>
      </c>
    </row>
    <row r="152" spans="1:22" s="3" customFormat="1">
      <c r="A152" s="1">
        <v>1054</v>
      </c>
      <c r="B152" s="3" t="s">
        <v>686</v>
      </c>
      <c r="C152" s="3" t="s">
        <v>187</v>
      </c>
      <c r="D152" s="3">
        <v>2</v>
      </c>
      <c r="E152" s="3" t="s">
        <v>3083</v>
      </c>
      <c r="F152" s="3" t="s">
        <v>3084</v>
      </c>
      <c r="G152" s="3" t="s">
        <v>3054</v>
      </c>
      <c r="I152" s="3" t="s">
        <v>3792</v>
      </c>
      <c r="N152" s="3" t="s">
        <v>3456</v>
      </c>
      <c r="O152" s="64" t="s">
        <v>3527</v>
      </c>
      <c r="P152" s="64" t="s">
        <v>3533</v>
      </c>
      <c r="Q152" s="3" t="s">
        <v>176</v>
      </c>
      <c r="R152" s="3" t="s">
        <v>7</v>
      </c>
      <c r="S152" s="1"/>
      <c r="U152" s="1"/>
      <c r="V152" s="1"/>
    </row>
    <row r="153" spans="1:22">
      <c r="A153" s="1">
        <v>1055</v>
      </c>
      <c r="B153" s="3" t="s">
        <v>687</v>
      </c>
      <c r="C153" s="3" t="s">
        <v>187</v>
      </c>
      <c r="D153" s="3">
        <v>2</v>
      </c>
      <c r="E153" s="3" t="s">
        <v>3083</v>
      </c>
      <c r="F153" s="3" t="s">
        <v>3084</v>
      </c>
      <c r="G153" s="3" t="s">
        <v>3054</v>
      </c>
      <c r="I153" s="3" t="s">
        <v>22</v>
      </c>
      <c r="J153" s="3" t="s">
        <v>3734</v>
      </c>
      <c r="N153" s="3" t="s">
        <v>3456</v>
      </c>
      <c r="O153" s="64" t="s">
        <v>3569</v>
      </c>
      <c r="P153" s="64" t="s">
        <v>3533</v>
      </c>
      <c r="Q153" s="3" t="s">
        <v>181</v>
      </c>
      <c r="R153" s="3" t="s">
        <v>7</v>
      </c>
    </row>
    <row r="154" spans="1:22">
      <c r="A154" s="6">
        <v>1056</v>
      </c>
      <c r="B154" s="6" t="s">
        <v>688</v>
      </c>
      <c r="C154" s="6" t="s">
        <v>187</v>
      </c>
      <c r="D154" s="6">
        <v>2</v>
      </c>
      <c r="E154" s="6" t="s">
        <v>3083</v>
      </c>
      <c r="F154" s="6" t="s">
        <v>3084</v>
      </c>
      <c r="G154" s="6"/>
      <c r="H154" s="6"/>
      <c r="I154" s="6" t="s">
        <v>262</v>
      </c>
      <c r="J154" s="6"/>
      <c r="K154" s="6"/>
      <c r="L154" s="6"/>
      <c r="M154" s="6" t="s">
        <v>153</v>
      </c>
      <c r="N154" s="6" t="s">
        <v>3456</v>
      </c>
      <c r="O154" s="66" t="s">
        <v>3533</v>
      </c>
      <c r="P154" s="66" t="s">
        <v>3533</v>
      </c>
      <c r="Q154" s="6"/>
      <c r="R154" s="6"/>
    </row>
    <row r="155" spans="1:22">
      <c r="A155" s="6">
        <v>1057</v>
      </c>
      <c r="B155" s="6" t="s">
        <v>689</v>
      </c>
      <c r="C155" s="6" t="s">
        <v>3091</v>
      </c>
      <c r="D155" s="6">
        <v>2</v>
      </c>
      <c r="E155" s="6" t="s">
        <v>3083</v>
      </c>
      <c r="F155" s="6" t="s">
        <v>3064</v>
      </c>
      <c r="G155" s="6"/>
      <c r="H155" s="6"/>
      <c r="I155" s="6" t="s">
        <v>263</v>
      </c>
      <c r="J155" s="6"/>
      <c r="K155" s="6"/>
      <c r="L155" s="6"/>
      <c r="M155" s="6" t="s">
        <v>153</v>
      </c>
      <c r="N155" s="6" t="s">
        <v>3456</v>
      </c>
      <c r="O155" s="66" t="s">
        <v>3527</v>
      </c>
      <c r="P155" s="66" t="s">
        <v>3527</v>
      </c>
      <c r="Q155" s="6" t="s">
        <v>45</v>
      </c>
      <c r="R155" s="6" t="s">
        <v>7</v>
      </c>
    </row>
    <row r="156" spans="1:22">
      <c r="A156" s="1">
        <v>2009</v>
      </c>
      <c r="B156" s="3" t="s">
        <v>2054</v>
      </c>
      <c r="C156" s="3" t="s">
        <v>187</v>
      </c>
      <c r="D156" s="3">
        <v>2</v>
      </c>
      <c r="E156" s="3" t="s">
        <v>3083</v>
      </c>
      <c r="F156" s="3" t="s">
        <v>3084</v>
      </c>
      <c r="I156" s="3" t="s">
        <v>516</v>
      </c>
      <c r="O156" s="64" t="s">
        <v>3569</v>
      </c>
      <c r="P156" s="64" t="s">
        <v>3533</v>
      </c>
      <c r="Q156" s="3" t="s">
        <v>180</v>
      </c>
      <c r="R156" s="3" t="s">
        <v>9</v>
      </c>
    </row>
    <row r="157" spans="1:22" s="13" customFormat="1">
      <c r="A157" s="1">
        <v>2010</v>
      </c>
      <c r="B157" s="3" t="s">
        <v>2055</v>
      </c>
      <c r="C157" s="3" t="s">
        <v>188</v>
      </c>
      <c r="D157" s="3">
        <v>2</v>
      </c>
      <c r="E157" s="3" t="s">
        <v>3083</v>
      </c>
      <c r="F157" s="3" t="s">
        <v>3084</v>
      </c>
      <c r="G157" s="3" t="s">
        <v>3050</v>
      </c>
      <c r="H157" s="3"/>
      <c r="I157" s="3" t="s">
        <v>25</v>
      </c>
      <c r="J157" s="3" t="s">
        <v>508</v>
      </c>
      <c r="K157" s="3"/>
      <c r="L157" s="3"/>
      <c r="M157" s="3"/>
      <c r="N157" s="3" t="s">
        <v>3456</v>
      </c>
      <c r="O157" s="64" t="s">
        <v>3569</v>
      </c>
      <c r="P157" s="64" t="s">
        <v>3569</v>
      </c>
      <c r="Q157" s="3" t="s">
        <v>45</v>
      </c>
      <c r="R157" s="3" t="s">
        <v>9</v>
      </c>
      <c r="S157" s="1"/>
    </row>
    <row r="158" spans="1:22">
      <c r="A158" s="1">
        <v>2011</v>
      </c>
      <c r="B158" s="3" t="s">
        <v>2056</v>
      </c>
      <c r="C158" s="3" t="s">
        <v>187</v>
      </c>
      <c r="D158" s="3">
        <v>2</v>
      </c>
      <c r="E158" s="3" t="s">
        <v>3086</v>
      </c>
      <c r="F158" s="3" t="s">
        <v>3084</v>
      </c>
      <c r="G158" s="3" t="s">
        <v>3050</v>
      </c>
      <c r="I158" s="3" t="s">
        <v>3887</v>
      </c>
      <c r="N158" s="3" t="s">
        <v>3456</v>
      </c>
      <c r="O158" s="64" t="s">
        <v>3569</v>
      </c>
      <c r="P158" s="64" t="s">
        <v>3533</v>
      </c>
      <c r="Q158" s="3" t="s">
        <v>27</v>
      </c>
      <c r="R158" s="3" t="s">
        <v>9</v>
      </c>
    </row>
    <row r="159" spans="1:22">
      <c r="A159" s="1">
        <v>2012</v>
      </c>
      <c r="B159" s="3" t="s">
        <v>2057</v>
      </c>
      <c r="C159" s="3" t="s">
        <v>187</v>
      </c>
      <c r="D159" s="3">
        <v>2</v>
      </c>
      <c r="E159" s="3" t="s">
        <v>3083</v>
      </c>
      <c r="F159" s="3" t="s">
        <v>3084</v>
      </c>
      <c r="G159" s="3" t="s">
        <v>3050</v>
      </c>
      <c r="I159" s="3" t="s">
        <v>507</v>
      </c>
      <c r="O159" s="64" t="s">
        <v>3533</v>
      </c>
      <c r="P159" s="64" t="s">
        <v>3527</v>
      </c>
      <c r="Q159" s="3" t="s">
        <v>30</v>
      </c>
      <c r="R159" s="3" t="s">
        <v>9</v>
      </c>
    </row>
    <row r="160" spans="1:22">
      <c r="A160" s="1">
        <v>2013</v>
      </c>
      <c r="B160" s="3" t="s">
        <v>2058</v>
      </c>
      <c r="C160" s="3" t="s">
        <v>187</v>
      </c>
      <c r="D160" s="3">
        <v>2</v>
      </c>
      <c r="E160" s="3" t="s">
        <v>3083</v>
      </c>
      <c r="F160" s="3" t="s">
        <v>3084</v>
      </c>
      <c r="G160" s="3" t="s">
        <v>3050</v>
      </c>
      <c r="I160" s="3" t="s">
        <v>524</v>
      </c>
      <c r="J160" s="3" t="s">
        <v>525</v>
      </c>
      <c r="N160" s="3" t="s">
        <v>3456</v>
      </c>
      <c r="O160" s="64" t="s">
        <v>3533</v>
      </c>
      <c r="P160" s="64" t="s">
        <v>3533</v>
      </c>
      <c r="Q160" s="3" t="s">
        <v>168</v>
      </c>
      <c r="R160" s="3" t="s">
        <v>9</v>
      </c>
    </row>
    <row r="161" spans="1:18">
      <c r="A161" s="1">
        <v>2014</v>
      </c>
      <c r="B161" s="3" t="s">
        <v>2059</v>
      </c>
      <c r="C161" s="3" t="s">
        <v>187</v>
      </c>
      <c r="D161" s="3">
        <v>2</v>
      </c>
      <c r="E161" s="3" t="s">
        <v>3083</v>
      </c>
      <c r="F161" s="3" t="s">
        <v>3084</v>
      </c>
      <c r="G161" s="3" t="s">
        <v>3050</v>
      </c>
      <c r="I161" s="3" t="s">
        <v>3785</v>
      </c>
      <c r="J161" s="3" t="s">
        <v>522</v>
      </c>
      <c r="N161" s="3" t="s">
        <v>3456</v>
      </c>
      <c r="O161" s="64" t="s">
        <v>3569</v>
      </c>
      <c r="P161" s="64" t="s">
        <v>3569</v>
      </c>
      <c r="Q161" s="3" t="s">
        <v>48</v>
      </c>
      <c r="R161" s="3" t="s">
        <v>9</v>
      </c>
    </row>
    <row r="162" spans="1:18">
      <c r="A162" s="1">
        <v>2015</v>
      </c>
      <c r="B162" s="3" t="s">
        <v>2060</v>
      </c>
      <c r="C162" s="3" t="s">
        <v>188</v>
      </c>
      <c r="D162" s="3">
        <v>2</v>
      </c>
      <c r="E162" s="3" t="s">
        <v>3083</v>
      </c>
      <c r="F162" s="3" t="s">
        <v>3084</v>
      </c>
      <c r="G162" s="3" t="s">
        <v>3054</v>
      </c>
      <c r="I162" s="3" t="s">
        <v>0</v>
      </c>
      <c r="J162" s="3" t="s">
        <v>523</v>
      </c>
      <c r="N162" s="3" t="s">
        <v>3150</v>
      </c>
      <c r="O162" s="64" t="s">
        <v>3569</v>
      </c>
      <c r="P162" s="64" t="s">
        <v>3569</v>
      </c>
      <c r="Q162" s="3" t="s">
        <v>48</v>
      </c>
      <c r="R162" s="3" t="s">
        <v>9</v>
      </c>
    </row>
    <row r="163" spans="1:18">
      <c r="A163" s="1">
        <v>2016</v>
      </c>
      <c r="B163" s="3" t="s">
        <v>2061</v>
      </c>
      <c r="C163" s="3" t="s">
        <v>187</v>
      </c>
      <c r="D163" s="3">
        <v>2</v>
      </c>
      <c r="E163" s="3" t="s">
        <v>3083</v>
      </c>
      <c r="F163" s="3" t="s">
        <v>3084</v>
      </c>
      <c r="G163" s="3" t="s">
        <v>3050</v>
      </c>
      <c r="I163" s="3" t="s">
        <v>510</v>
      </c>
      <c r="J163" s="3" t="s">
        <v>511</v>
      </c>
      <c r="N163" s="3" t="s">
        <v>3456</v>
      </c>
      <c r="O163" s="64" t="s">
        <v>3569</v>
      </c>
      <c r="P163" s="64" t="s">
        <v>3569</v>
      </c>
      <c r="Q163" s="3" t="s">
        <v>40</v>
      </c>
      <c r="R163" s="3" t="s">
        <v>9</v>
      </c>
    </row>
    <row r="164" spans="1:18">
      <c r="A164" s="1">
        <v>2017</v>
      </c>
      <c r="B164" s="3" t="s">
        <v>2062</v>
      </c>
      <c r="C164" s="3" t="s">
        <v>187</v>
      </c>
      <c r="D164" s="3">
        <v>2</v>
      </c>
      <c r="E164" s="3" t="s">
        <v>3083</v>
      </c>
      <c r="F164" s="3" t="s">
        <v>3084</v>
      </c>
      <c r="G164" s="3" t="s">
        <v>3050</v>
      </c>
      <c r="I164" s="3" t="s">
        <v>517</v>
      </c>
      <c r="J164" s="3" t="s">
        <v>518</v>
      </c>
      <c r="N164" s="3" t="s">
        <v>3150</v>
      </c>
      <c r="O164" s="64" t="s">
        <v>3533</v>
      </c>
      <c r="P164" s="64" t="s">
        <v>3533</v>
      </c>
      <c r="Q164" s="3" t="s">
        <v>46</v>
      </c>
      <c r="R164" s="3" t="s">
        <v>9</v>
      </c>
    </row>
    <row r="165" spans="1:18">
      <c r="A165" s="1">
        <v>2018</v>
      </c>
      <c r="B165" s="3" t="s">
        <v>2063</v>
      </c>
      <c r="C165" s="3" t="s">
        <v>188</v>
      </c>
      <c r="D165" s="3">
        <v>2</v>
      </c>
      <c r="E165" s="3" t="s">
        <v>3083</v>
      </c>
      <c r="F165" s="3" t="s">
        <v>3084</v>
      </c>
      <c r="G165" s="3" t="s">
        <v>3053</v>
      </c>
      <c r="I165" s="3" t="s">
        <v>3888</v>
      </c>
      <c r="N165" s="3" t="s">
        <v>3456</v>
      </c>
      <c r="O165" s="64" t="s">
        <v>3569</v>
      </c>
      <c r="P165" s="64" t="s">
        <v>3569</v>
      </c>
      <c r="Q165" s="3" t="s">
        <v>169</v>
      </c>
      <c r="R165" s="3" t="s">
        <v>9</v>
      </c>
    </row>
    <row r="166" spans="1:18">
      <c r="A166" s="1">
        <v>2019</v>
      </c>
      <c r="B166" s="3" t="s">
        <v>2064</v>
      </c>
      <c r="C166" s="3" t="s">
        <v>187</v>
      </c>
      <c r="D166" s="3">
        <v>2</v>
      </c>
      <c r="E166" s="3" t="s">
        <v>3087</v>
      </c>
      <c r="F166" s="3" t="s">
        <v>3084</v>
      </c>
      <c r="G166" s="3" t="s">
        <v>3050</v>
      </c>
      <c r="I166" s="3" t="s">
        <v>0</v>
      </c>
      <c r="J166" s="3" t="s">
        <v>520</v>
      </c>
      <c r="N166" s="3" t="s">
        <v>3456</v>
      </c>
      <c r="O166" s="64" t="s">
        <v>3569</v>
      </c>
      <c r="P166" s="64" t="s">
        <v>3533</v>
      </c>
      <c r="Q166" s="3" t="s">
        <v>44</v>
      </c>
      <c r="R166" s="3" t="s">
        <v>9</v>
      </c>
    </row>
    <row r="167" spans="1:18">
      <c r="A167" s="1">
        <v>2020</v>
      </c>
      <c r="B167" s="3" t="s">
        <v>2065</v>
      </c>
      <c r="C167" s="3" t="s">
        <v>188</v>
      </c>
      <c r="D167" s="3">
        <v>2</v>
      </c>
      <c r="E167" s="3" t="s">
        <v>3083</v>
      </c>
      <c r="F167" s="3" t="s">
        <v>3084</v>
      </c>
      <c r="G167" s="3" t="s">
        <v>3050</v>
      </c>
      <c r="I167" s="3" t="s">
        <v>0</v>
      </c>
      <c r="J167" s="3" t="s">
        <v>527</v>
      </c>
      <c r="N167" s="3" t="s">
        <v>3456</v>
      </c>
      <c r="O167" s="64" t="s">
        <v>3569</v>
      </c>
      <c r="P167" s="64" t="s">
        <v>3569</v>
      </c>
      <c r="Q167" s="3" t="s">
        <v>6</v>
      </c>
      <c r="R167" s="3" t="s">
        <v>9</v>
      </c>
    </row>
    <row r="168" spans="1:18">
      <c r="A168" s="6">
        <v>2021</v>
      </c>
      <c r="B168" s="6" t="s">
        <v>2066</v>
      </c>
      <c r="C168" s="6" t="s">
        <v>187</v>
      </c>
      <c r="D168" s="6">
        <v>2</v>
      </c>
      <c r="E168" s="6" t="s">
        <v>3087</v>
      </c>
      <c r="F168" s="6" t="s">
        <v>3084</v>
      </c>
      <c r="G168" s="6" t="s">
        <v>3056</v>
      </c>
      <c r="H168" s="6"/>
      <c r="I168" s="6" t="s">
        <v>3787</v>
      </c>
      <c r="J168" s="6" t="s">
        <v>515</v>
      </c>
      <c r="K168" s="6"/>
      <c r="L168" s="6"/>
      <c r="M168" s="6"/>
      <c r="N168" s="6" t="s">
        <v>3456</v>
      </c>
      <c r="O168" s="66" t="s">
        <v>3569</v>
      </c>
      <c r="P168" s="66" t="s">
        <v>3533</v>
      </c>
      <c r="Q168" s="6" t="s">
        <v>183</v>
      </c>
      <c r="R168" s="3" t="s">
        <v>9</v>
      </c>
    </row>
    <row r="169" spans="1:18">
      <c r="A169" s="1">
        <v>2022</v>
      </c>
      <c r="B169" s="3" t="s">
        <v>2067</v>
      </c>
      <c r="C169" s="3" t="s">
        <v>187</v>
      </c>
      <c r="D169" s="3">
        <v>2</v>
      </c>
      <c r="E169" s="3" t="s">
        <v>3085</v>
      </c>
      <c r="F169" s="3" t="s">
        <v>3084</v>
      </c>
      <c r="G169" s="3" t="s">
        <v>3053</v>
      </c>
      <c r="I169" s="3" t="s">
        <v>526</v>
      </c>
      <c r="N169" s="3" t="s">
        <v>3456</v>
      </c>
      <c r="O169" s="64" t="s">
        <v>3569</v>
      </c>
      <c r="P169" s="64" t="s">
        <v>3569</v>
      </c>
      <c r="Q169" s="3" t="s">
        <v>15</v>
      </c>
      <c r="R169" s="3" t="s">
        <v>9</v>
      </c>
    </row>
    <row r="170" spans="1:18">
      <c r="A170" s="1">
        <v>2023</v>
      </c>
      <c r="B170" s="3" t="s">
        <v>2068</v>
      </c>
      <c r="C170" s="3" t="s">
        <v>188</v>
      </c>
      <c r="D170" s="3">
        <v>2</v>
      </c>
      <c r="E170" s="3" t="s">
        <v>3083</v>
      </c>
      <c r="F170" s="3" t="s">
        <v>3084</v>
      </c>
      <c r="G170" s="3" t="s">
        <v>3053</v>
      </c>
      <c r="I170" s="3" t="s">
        <v>506</v>
      </c>
      <c r="N170" s="3" t="s">
        <v>3456</v>
      </c>
      <c r="O170" s="64" t="s">
        <v>3569</v>
      </c>
      <c r="P170" s="64" t="s">
        <v>3569</v>
      </c>
      <c r="Q170" s="3" t="s">
        <v>174</v>
      </c>
      <c r="R170" s="3" t="s">
        <v>9</v>
      </c>
    </row>
    <row r="171" spans="1:18">
      <c r="A171" s="1">
        <v>2024</v>
      </c>
      <c r="B171" s="3" t="s">
        <v>2069</v>
      </c>
      <c r="C171" s="3" t="s">
        <v>187</v>
      </c>
      <c r="D171" s="3">
        <v>2</v>
      </c>
      <c r="E171" s="3" t="s">
        <v>3083</v>
      </c>
      <c r="F171" s="3" t="s">
        <v>3084</v>
      </c>
      <c r="G171" s="3" t="s">
        <v>3058</v>
      </c>
      <c r="I171" s="3" t="s">
        <v>3889</v>
      </c>
      <c r="J171" s="3" t="s">
        <v>519</v>
      </c>
      <c r="N171" s="3" t="s">
        <v>3456</v>
      </c>
      <c r="O171" s="64" t="s">
        <v>3569</v>
      </c>
      <c r="P171" s="64" t="s">
        <v>3569</v>
      </c>
      <c r="Q171" s="3" t="s">
        <v>38</v>
      </c>
      <c r="R171" s="3" t="s">
        <v>9</v>
      </c>
    </row>
    <row r="172" spans="1:18">
      <c r="A172" s="1">
        <v>2025</v>
      </c>
      <c r="B172" s="3" t="s">
        <v>2070</v>
      </c>
      <c r="C172" s="3" t="s">
        <v>187</v>
      </c>
      <c r="D172" s="3">
        <v>2</v>
      </c>
      <c r="E172" s="3" t="s">
        <v>3083</v>
      </c>
      <c r="F172" s="3" t="s">
        <v>3084</v>
      </c>
      <c r="G172" s="3" t="s">
        <v>3055</v>
      </c>
      <c r="I172" s="80" t="s">
        <v>3890</v>
      </c>
      <c r="N172" s="3" t="s">
        <v>3456</v>
      </c>
      <c r="O172" s="64" t="s">
        <v>3527</v>
      </c>
      <c r="P172" s="64" t="s">
        <v>3533</v>
      </c>
      <c r="Q172" s="3" t="s">
        <v>17</v>
      </c>
      <c r="R172" s="3" t="s">
        <v>9</v>
      </c>
    </row>
    <row r="173" spans="1:18">
      <c r="A173" s="1">
        <v>2026</v>
      </c>
      <c r="B173" s="3" t="s">
        <v>2071</v>
      </c>
      <c r="C173" s="3" t="s">
        <v>188</v>
      </c>
      <c r="D173" s="3">
        <v>2</v>
      </c>
      <c r="E173" s="3" t="s">
        <v>3083</v>
      </c>
      <c r="F173" s="3" t="s">
        <v>3084</v>
      </c>
      <c r="G173" s="3" t="s">
        <v>3053</v>
      </c>
      <c r="I173" s="3" t="s">
        <v>514</v>
      </c>
      <c r="J173" s="3" t="s">
        <v>72</v>
      </c>
      <c r="N173" s="3" t="s">
        <v>3150</v>
      </c>
      <c r="O173" s="64" t="s">
        <v>3533</v>
      </c>
      <c r="P173" s="64" t="s">
        <v>3533</v>
      </c>
      <c r="Q173" s="3" t="s">
        <v>605</v>
      </c>
      <c r="R173" s="3" t="s">
        <v>9</v>
      </c>
    </row>
    <row r="174" spans="1:18">
      <c r="A174" s="1">
        <v>2027</v>
      </c>
      <c r="B174" s="3" t="s">
        <v>2072</v>
      </c>
      <c r="C174" s="3" t="s">
        <v>188</v>
      </c>
      <c r="D174" s="3">
        <v>2</v>
      </c>
      <c r="E174" s="3" t="s">
        <v>3083</v>
      </c>
      <c r="F174" s="3" t="s">
        <v>3084</v>
      </c>
      <c r="G174" s="3" t="s">
        <v>3054</v>
      </c>
      <c r="I174" s="3" t="s">
        <v>512</v>
      </c>
      <c r="J174" s="3" t="s">
        <v>513</v>
      </c>
      <c r="O174" s="64" t="s">
        <v>3569</v>
      </c>
      <c r="P174" s="64" t="s">
        <v>3569</v>
      </c>
      <c r="Q174" s="3" t="s">
        <v>606</v>
      </c>
      <c r="R174" s="3" t="s">
        <v>9</v>
      </c>
    </row>
    <row r="175" spans="1:18">
      <c r="A175" s="6">
        <v>2028</v>
      </c>
      <c r="B175" s="6" t="s">
        <v>2073</v>
      </c>
      <c r="C175" s="6" t="s">
        <v>187</v>
      </c>
      <c r="D175" s="6">
        <v>2</v>
      </c>
      <c r="E175" s="6" t="s">
        <v>3083</v>
      </c>
      <c r="F175" s="6" t="s">
        <v>3084</v>
      </c>
      <c r="G175" s="6" t="s">
        <v>3050</v>
      </c>
      <c r="H175" s="6"/>
      <c r="I175" s="6" t="s">
        <v>528</v>
      </c>
      <c r="J175" s="6"/>
      <c r="K175" s="6"/>
      <c r="L175" s="6"/>
      <c r="M175" s="6" t="s">
        <v>153</v>
      </c>
      <c r="N175" s="6" t="s">
        <v>3456</v>
      </c>
      <c r="O175" s="66" t="s">
        <v>3569</v>
      </c>
      <c r="P175" s="66" t="s">
        <v>3569</v>
      </c>
      <c r="Q175" s="6"/>
      <c r="R175" s="9"/>
    </row>
    <row r="176" spans="1:18">
      <c r="A176" s="6">
        <v>2029</v>
      </c>
      <c r="B176" s="6" t="s">
        <v>2074</v>
      </c>
      <c r="C176" s="6" t="s">
        <v>3394</v>
      </c>
      <c r="D176" s="6">
        <v>2</v>
      </c>
      <c r="E176" s="6" t="s">
        <v>3094</v>
      </c>
      <c r="F176" s="6" t="s">
        <v>3084</v>
      </c>
      <c r="G176" s="6" t="s">
        <v>3053</v>
      </c>
      <c r="H176" s="6"/>
      <c r="I176" s="6" t="s">
        <v>529</v>
      </c>
      <c r="J176" s="6" t="s">
        <v>530</v>
      </c>
      <c r="K176" s="6"/>
      <c r="L176" s="6"/>
      <c r="M176" s="6" t="s">
        <v>153</v>
      </c>
      <c r="N176" s="6" t="s">
        <v>3456</v>
      </c>
      <c r="O176" s="66" t="s">
        <v>4048</v>
      </c>
      <c r="P176" s="66" t="s">
        <v>4048</v>
      </c>
      <c r="Q176" s="6" t="s">
        <v>46</v>
      </c>
      <c r="R176" s="9" t="s">
        <v>9</v>
      </c>
    </row>
    <row r="177" spans="1:18">
      <c r="A177" s="1">
        <v>2030</v>
      </c>
      <c r="B177" s="3" t="s">
        <v>2075</v>
      </c>
      <c r="C177" s="3" t="s">
        <v>187</v>
      </c>
      <c r="D177" s="3">
        <v>2</v>
      </c>
      <c r="E177" s="3" t="s">
        <v>3083</v>
      </c>
      <c r="F177" s="3" t="s">
        <v>3084</v>
      </c>
      <c r="G177" s="3" t="s">
        <v>3055</v>
      </c>
      <c r="I177" s="80" t="s">
        <v>19</v>
      </c>
      <c r="J177" s="3" t="s">
        <v>3891</v>
      </c>
      <c r="K177" s="3" t="s">
        <v>521</v>
      </c>
      <c r="N177" s="3" t="s">
        <v>3456</v>
      </c>
      <c r="O177" s="64" t="s">
        <v>3569</v>
      </c>
      <c r="P177" s="64" t="s">
        <v>3533</v>
      </c>
      <c r="Q177" s="3" t="s">
        <v>32</v>
      </c>
      <c r="R177" s="3" t="s">
        <v>9</v>
      </c>
    </row>
    <row r="178" spans="1:18">
      <c r="A178" s="1">
        <v>3004</v>
      </c>
      <c r="B178" s="3" t="s">
        <v>2140</v>
      </c>
      <c r="C178" s="3" t="s">
        <v>187</v>
      </c>
      <c r="D178" s="3">
        <v>2</v>
      </c>
      <c r="E178" s="3" t="s">
        <v>3083</v>
      </c>
      <c r="F178" s="3" t="s">
        <v>3084</v>
      </c>
      <c r="G178" s="3" t="s">
        <v>3058</v>
      </c>
      <c r="I178" s="80" t="s">
        <v>19</v>
      </c>
      <c r="J178" s="80" t="s">
        <v>509</v>
      </c>
      <c r="K178" s="3" t="s">
        <v>785</v>
      </c>
      <c r="N178" s="3" t="s">
        <v>3456</v>
      </c>
      <c r="O178" s="64" t="s">
        <v>3569</v>
      </c>
      <c r="P178" s="64" t="s">
        <v>3569</v>
      </c>
      <c r="Q178" s="3" t="s">
        <v>53</v>
      </c>
      <c r="R178" s="3" t="s">
        <v>41</v>
      </c>
    </row>
    <row r="179" spans="1:18">
      <c r="A179" s="1">
        <v>88</v>
      </c>
      <c r="B179" s="3" t="s">
        <v>416</v>
      </c>
      <c r="C179" s="3" t="s">
        <v>204</v>
      </c>
      <c r="D179" s="3">
        <v>3</v>
      </c>
      <c r="E179" s="3" t="s">
        <v>3083</v>
      </c>
      <c r="F179" s="3" t="s">
        <v>3084</v>
      </c>
      <c r="G179" s="3" t="s">
        <v>3049</v>
      </c>
      <c r="I179" s="3" t="s">
        <v>1276</v>
      </c>
      <c r="O179" s="64" t="s">
        <v>3569</v>
      </c>
      <c r="P179" s="64" t="s">
        <v>3527</v>
      </c>
      <c r="Q179" s="3" t="s">
        <v>52</v>
      </c>
      <c r="R179" s="3" t="s">
        <v>4</v>
      </c>
    </row>
    <row r="180" spans="1:18">
      <c r="A180" s="1">
        <v>89</v>
      </c>
      <c r="B180" s="3" t="s">
        <v>417</v>
      </c>
      <c r="C180" s="3" t="s">
        <v>204</v>
      </c>
      <c r="D180" s="3">
        <v>3</v>
      </c>
      <c r="E180" s="3" t="s">
        <v>3083</v>
      </c>
      <c r="F180" s="3" t="s">
        <v>3084</v>
      </c>
      <c r="G180" s="3" t="s">
        <v>3049</v>
      </c>
      <c r="I180" s="3" t="s">
        <v>100</v>
      </c>
      <c r="O180" s="64" t="s">
        <v>3569</v>
      </c>
      <c r="P180" s="64" t="s">
        <v>3569</v>
      </c>
      <c r="Q180" s="3" t="s">
        <v>180</v>
      </c>
      <c r="R180" s="3" t="s">
        <v>4</v>
      </c>
    </row>
    <row r="181" spans="1:18">
      <c r="A181" s="1">
        <v>90</v>
      </c>
      <c r="B181" s="3" t="s">
        <v>418</v>
      </c>
      <c r="C181" s="3" t="s">
        <v>204</v>
      </c>
      <c r="D181" s="3">
        <v>3</v>
      </c>
      <c r="E181" s="3" t="s">
        <v>3083</v>
      </c>
      <c r="F181" s="3" t="s">
        <v>3084</v>
      </c>
      <c r="G181" s="3" t="s">
        <v>3054</v>
      </c>
      <c r="I181" s="3" t="s">
        <v>0</v>
      </c>
      <c r="J181" s="3" t="s">
        <v>101</v>
      </c>
      <c r="N181" s="3" t="s">
        <v>490</v>
      </c>
      <c r="O181" s="64" t="s">
        <v>3569</v>
      </c>
      <c r="P181" s="64" t="s">
        <v>3569</v>
      </c>
      <c r="Q181" s="3" t="s">
        <v>181</v>
      </c>
      <c r="R181" s="3" t="s">
        <v>4</v>
      </c>
    </row>
    <row r="182" spans="1:18">
      <c r="A182" s="1">
        <v>91</v>
      </c>
      <c r="B182" s="3" t="s">
        <v>419</v>
      </c>
      <c r="C182" s="3" t="s">
        <v>204</v>
      </c>
      <c r="D182" s="3">
        <v>3</v>
      </c>
      <c r="E182" s="3" t="s">
        <v>3083</v>
      </c>
      <c r="F182" s="3" t="s">
        <v>3084</v>
      </c>
      <c r="G182" s="3" t="s">
        <v>3050</v>
      </c>
      <c r="I182" s="3" t="s">
        <v>205</v>
      </c>
      <c r="O182" s="64" t="s">
        <v>3527</v>
      </c>
      <c r="P182" s="64" t="s">
        <v>3569</v>
      </c>
      <c r="Q182" s="3" t="s">
        <v>46</v>
      </c>
      <c r="R182" s="3" t="s">
        <v>4</v>
      </c>
    </row>
    <row r="183" spans="1:18">
      <c r="A183" s="1">
        <v>92</v>
      </c>
      <c r="B183" s="3" t="s">
        <v>420</v>
      </c>
      <c r="C183" s="3" t="s">
        <v>204</v>
      </c>
      <c r="D183" s="3">
        <v>3</v>
      </c>
      <c r="E183" s="3" t="s">
        <v>3083</v>
      </c>
      <c r="F183" s="3" t="s">
        <v>3084</v>
      </c>
      <c r="G183" s="3" t="s">
        <v>3055</v>
      </c>
      <c r="I183" s="3" t="s">
        <v>1277</v>
      </c>
      <c r="O183" s="64" t="s">
        <v>3527</v>
      </c>
      <c r="P183" s="64" t="s">
        <v>3533</v>
      </c>
      <c r="Q183" s="3" t="s">
        <v>17</v>
      </c>
      <c r="R183" s="3" t="s">
        <v>4</v>
      </c>
    </row>
    <row r="184" spans="1:18">
      <c r="A184" s="1">
        <v>93</v>
      </c>
      <c r="B184" s="3" t="s">
        <v>421</v>
      </c>
      <c r="C184" s="3" t="s">
        <v>204</v>
      </c>
      <c r="D184" s="3">
        <v>3</v>
      </c>
      <c r="E184" s="3" t="s">
        <v>3083</v>
      </c>
      <c r="F184" s="3" t="s">
        <v>3084</v>
      </c>
      <c r="G184" s="3" t="s">
        <v>3050</v>
      </c>
      <c r="I184" s="3" t="s">
        <v>102</v>
      </c>
      <c r="O184" s="64" t="s">
        <v>3569</v>
      </c>
      <c r="P184" s="64" t="s">
        <v>3569</v>
      </c>
      <c r="Q184" s="3" t="s">
        <v>5</v>
      </c>
      <c r="R184" s="3" t="s">
        <v>4</v>
      </c>
    </row>
    <row r="185" spans="1:18">
      <c r="A185" s="3">
        <v>94</v>
      </c>
      <c r="B185" s="3" t="s">
        <v>422</v>
      </c>
      <c r="C185" s="3" t="s">
        <v>204</v>
      </c>
      <c r="D185" s="3">
        <v>3</v>
      </c>
      <c r="E185" s="3" t="s">
        <v>3083</v>
      </c>
      <c r="F185" s="3" t="s">
        <v>3084</v>
      </c>
      <c r="G185" s="3" t="s">
        <v>3050</v>
      </c>
      <c r="I185" s="3" t="s">
        <v>103</v>
      </c>
      <c r="J185" s="3" t="s">
        <v>104</v>
      </c>
      <c r="O185" s="64" t="s">
        <v>3533</v>
      </c>
      <c r="P185" s="64" t="s">
        <v>3569</v>
      </c>
      <c r="Q185" s="3" t="s">
        <v>39</v>
      </c>
      <c r="R185" s="3" t="s">
        <v>4</v>
      </c>
    </row>
    <row r="186" spans="1:18">
      <c r="A186" s="1">
        <v>95</v>
      </c>
      <c r="B186" s="3" t="s">
        <v>423</v>
      </c>
      <c r="C186" s="3" t="s">
        <v>204</v>
      </c>
      <c r="D186" s="3">
        <v>3</v>
      </c>
      <c r="E186" s="3" t="s">
        <v>3083</v>
      </c>
      <c r="F186" s="3" t="s">
        <v>3084</v>
      </c>
      <c r="G186" s="3" t="s">
        <v>3052</v>
      </c>
      <c r="I186" s="3" t="s">
        <v>1274</v>
      </c>
      <c r="J186" s="3" t="s">
        <v>105</v>
      </c>
      <c r="O186" s="64" t="s">
        <v>3533</v>
      </c>
      <c r="P186" s="64" t="s">
        <v>3533</v>
      </c>
      <c r="Q186" s="3" t="s">
        <v>31</v>
      </c>
      <c r="R186" s="3" t="s">
        <v>4</v>
      </c>
    </row>
    <row r="187" spans="1:18">
      <c r="A187" s="1">
        <v>96</v>
      </c>
      <c r="B187" s="3" t="s">
        <v>424</v>
      </c>
      <c r="C187" s="3" t="s">
        <v>204</v>
      </c>
      <c r="D187" s="3">
        <v>3</v>
      </c>
      <c r="E187" s="3" t="s">
        <v>3083</v>
      </c>
      <c r="F187" s="3" t="s">
        <v>3084</v>
      </c>
      <c r="G187" s="3" t="s">
        <v>3055</v>
      </c>
      <c r="I187" s="3" t="s">
        <v>106</v>
      </c>
      <c r="N187" s="3" t="s">
        <v>490</v>
      </c>
      <c r="O187" s="64" t="s">
        <v>3569</v>
      </c>
      <c r="P187" s="64" t="s">
        <v>3527</v>
      </c>
      <c r="Q187" s="3" t="s">
        <v>38</v>
      </c>
      <c r="R187" s="3" t="s">
        <v>4</v>
      </c>
    </row>
    <row r="188" spans="1:18">
      <c r="A188" s="1">
        <v>97</v>
      </c>
      <c r="B188" s="3" t="s">
        <v>425</v>
      </c>
      <c r="C188" s="3" t="s">
        <v>204</v>
      </c>
      <c r="D188" s="3">
        <v>3</v>
      </c>
      <c r="E188" s="3" t="s">
        <v>3083</v>
      </c>
      <c r="F188" s="3" t="s">
        <v>3084</v>
      </c>
      <c r="G188" s="3" t="s">
        <v>3054</v>
      </c>
      <c r="I188" s="3" t="s">
        <v>1278</v>
      </c>
      <c r="O188" s="64" t="s">
        <v>3527</v>
      </c>
      <c r="P188" s="64" t="s">
        <v>3569</v>
      </c>
      <c r="Q188" s="3" t="s">
        <v>48</v>
      </c>
      <c r="R188" s="3" t="s">
        <v>4</v>
      </c>
    </row>
    <row r="189" spans="1:18">
      <c r="A189" s="1">
        <v>98</v>
      </c>
      <c r="B189" s="3" t="s">
        <v>426</v>
      </c>
      <c r="C189" s="3" t="s">
        <v>204</v>
      </c>
      <c r="D189" s="3">
        <v>3</v>
      </c>
      <c r="E189" s="3" t="s">
        <v>3083</v>
      </c>
      <c r="F189" s="3" t="s">
        <v>3084</v>
      </c>
      <c r="G189" s="3" t="s">
        <v>3051</v>
      </c>
      <c r="I189" s="3" t="s">
        <v>107</v>
      </c>
      <c r="N189" s="3" t="s">
        <v>490</v>
      </c>
      <c r="O189" s="64" t="s">
        <v>3569</v>
      </c>
      <c r="P189" s="64" t="s">
        <v>3569</v>
      </c>
      <c r="Q189" s="3" t="s">
        <v>48</v>
      </c>
      <c r="R189" s="3" t="s">
        <v>4</v>
      </c>
    </row>
    <row r="190" spans="1:18">
      <c r="A190" s="1">
        <v>99</v>
      </c>
      <c r="B190" s="3" t="s">
        <v>427</v>
      </c>
      <c r="C190" s="3" t="s">
        <v>204</v>
      </c>
      <c r="D190" s="3">
        <v>3</v>
      </c>
      <c r="E190" s="3" t="s">
        <v>3083</v>
      </c>
      <c r="F190" s="3" t="s">
        <v>3084</v>
      </c>
      <c r="G190" s="3" t="s">
        <v>3051</v>
      </c>
      <c r="I190" s="3" t="s">
        <v>1</v>
      </c>
      <c r="J190" s="3" t="s">
        <v>108</v>
      </c>
      <c r="O190" s="64" t="s">
        <v>3533</v>
      </c>
      <c r="P190" s="64" t="s">
        <v>3569</v>
      </c>
      <c r="Q190" s="3" t="s">
        <v>15</v>
      </c>
      <c r="R190" s="3" t="s">
        <v>4</v>
      </c>
    </row>
    <row r="191" spans="1:18">
      <c r="A191" s="1">
        <v>100</v>
      </c>
      <c r="B191" s="3" t="s">
        <v>428</v>
      </c>
      <c r="C191" s="3" t="s">
        <v>204</v>
      </c>
      <c r="D191" s="3">
        <v>3</v>
      </c>
      <c r="E191" s="3" t="s">
        <v>3083</v>
      </c>
      <c r="F191" s="3" t="s">
        <v>3084</v>
      </c>
      <c r="G191" s="3" t="s">
        <v>3050</v>
      </c>
      <c r="I191" s="3" t="s">
        <v>109</v>
      </c>
      <c r="O191" s="64" t="s">
        <v>3569</v>
      </c>
      <c r="P191" s="64" t="s">
        <v>3569</v>
      </c>
      <c r="Q191" s="3" t="s">
        <v>174</v>
      </c>
      <c r="R191" s="3" t="s">
        <v>4</v>
      </c>
    </row>
    <row r="192" spans="1:18">
      <c r="A192" s="1">
        <v>101</v>
      </c>
      <c r="B192" s="3" t="s">
        <v>429</v>
      </c>
      <c r="C192" s="3" t="s">
        <v>204</v>
      </c>
      <c r="D192" s="3">
        <v>3</v>
      </c>
      <c r="E192" s="3" t="s">
        <v>3083</v>
      </c>
      <c r="F192" s="3" t="s">
        <v>3084</v>
      </c>
      <c r="G192" s="3" t="s">
        <v>3051</v>
      </c>
      <c r="I192" s="3" t="s">
        <v>1279</v>
      </c>
      <c r="N192" s="3" t="s">
        <v>490</v>
      </c>
      <c r="O192" s="64" t="s">
        <v>3569</v>
      </c>
      <c r="P192" s="64" t="s">
        <v>3569</v>
      </c>
      <c r="Q192" s="3" t="s">
        <v>32</v>
      </c>
      <c r="R192" s="3" t="s">
        <v>4</v>
      </c>
    </row>
    <row r="193" spans="1:19">
      <c r="A193" s="1">
        <v>102</v>
      </c>
      <c r="B193" s="3" t="s">
        <v>430</v>
      </c>
      <c r="C193" s="3" t="s">
        <v>204</v>
      </c>
      <c r="D193" s="3">
        <v>3</v>
      </c>
      <c r="E193" s="3" t="s">
        <v>3083</v>
      </c>
      <c r="F193" s="3" t="s">
        <v>3084</v>
      </c>
      <c r="G193" s="3" t="s">
        <v>3050</v>
      </c>
      <c r="I193" s="3" t="s">
        <v>23</v>
      </c>
      <c r="O193" s="64" t="s">
        <v>3533</v>
      </c>
      <c r="P193" s="64" t="s">
        <v>3522</v>
      </c>
      <c r="Q193" s="3" t="s">
        <v>182</v>
      </c>
      <c r="R193" s="3" t="s">
        <v>4</v>
      </c>
    </row>
    <row r="194" spans="1:19">
      <c r="A194" s="1">
        <v>103</v>
      </c>
      <c r="B194" s="3" t="s">
        <v>431</v>
      </c>
      <c r="C194" s="3" t="s">
        <v>204</v>
      </c>
      <c r="D194" s="3">
        <v>3</v>
      </c>
      <c r="E194" s="3" t="s">
        <v>3083</v>
      </c>
      <c r="F194" s="3" t="s">
        <v>3084</v>
      </c>
      <c r="G194" s="3" t="s">
        <v>3050</v>
      </c>
      <c r="I194" s="3" t="s">
        <v>25</v>
      </c>
      <c r="O194" s="64" t="s">
        <v>3569</v>
      </c>
      <c r="P194" s="64" t="s">
        <v>3533</v>
      </c>
      <c r="Q194" s="3" t="s">
        <v>8</v>
      </c>
      <c r="R194" s="3" t="s">
        <v>4</v>
      </c>
    </row>
    <row r="195" spans="1:19">
      <c r="A195" s="1">
        <v>104</v>
      </c>
      <c r="B195" s="3" t="s">
        <v>432</v>
      </c>
      <c r="C195" s="3" t="s">
        <v>204</v>
      </c>
      <c r="D195" s="3">
        <v>3</v>
      </c>
      <c r="E195" s="3" t="s">
        <v>3083</v>
      </c>
      <c r="F195" s="3" t="s">
        <v>3084</v>
      </c>
      <c r="G195" s="3" t="s">
        <v>3062</v>
      </c>
      <c r="I195" s="3" t="s">
        <v>206</v>
      </c>
      <c r="O195" s="64" t="s">
        <v>3533</v>
      </c>
      <c r="P195" s="64" t="s">
        <v>3533</v>
      </c>
      <c r="Q195" s="3" t="s">
        <v>31</v>
      </c>
      <c r="R195" s="3" t="s">
        <v>4</v>
      </c>
    </row>
    <row r="196" spans="1:19">
      <c r="A196" s="1">
        <v>105</v>
      </c>
      <c r="B196" s="3" t="s">
        <v>433</v>
      </c>
      <c r="C196" s="3" t="s">
        <v>204</v>
      </c>
      <c r="D196" s="3">
        <v>3</v>
      </c>
      <c r="E196" s="3" t="s">
        <v>3083</v>
      </c>
      <c r="F196" s="3" t="s">
        <v>3084</v>
      </c>
      <c r="G196" s="3" t="s">
        <v>3050</v>
      </c>
      <c r="I196" s="3" t="s">
        <v>110</v>
      </c>
      <c r="O196" s="64" t="s">
        <v>3569</v>
      </c>
      <c r="P196" s="64" t="s">
        <v>3527</v>
      </c>
      <c r="Q196" s="3" t="s">
        <v>172</v>
      </c>
      <c r="R196" s="3" t="s">
        <v>4</v>
      </c>
    </row>
    <row r="197" spans="1:19">
      <c r="A197" s="4">
        <v>106</v>
      </c>
      <c r="B197" s="4" t="s">
        <v>434</v>
      </c>
      <c r="C197" s="4" t="s">
        <v>204</v>
      </c>
      <c r="D197" s="4">
        <v>3</v>
      </c>
      <c r="E197" s="4" t="s">
        <v>3083</v>
      </c>
      <c r="F197" s="4" t="s">
        <v>3084</v>
      </c>
      <c r="G197" s="4" t="s">
        <v>3061</v>
      </c>
      <c r="H197" s="4"/>
      <c r="I197" s="4" t="s">
        <v>1</v>
      </c>
      <c r="J197" s="4" t="s">
        <v>111</v>
      </c>
      <c r="K197" s="4"/>
      <c r="L197" s="4"/>
      <c r="M197" s="4"/>
      <c r="N197" s="4"/>
      <c r="O197" s="65" t="s">
        <v>3569</v>
      </c>
      <c r="P197" s="65" t="s">
        <v>3569</v>
      </c>
      <c r="Q197" s="4" t="s">
        <v>10</v>
      </c>
      <c r="R197" s="3" t="s">
        <v>4</v>
      </c>
    </row>
    <row r="198" spans="1:19">
      <c r="A198" s="6">
        <v>107</v>
      </c>
      <c r="B198" s="6" t="s">
        <v>435</v>
      </c>
      <c r="C198" s="6" t="s">
        <v>204</v>
      </c>
      <c r="D198" s="6">
        <v>3</v>
      </c>
      <c r="E198" s="6" t="s">
        <v>3083</v>
      </c>
      <c r="F198" s="6" t="s">
        <v>3084</v>
      </c>
      <c r="G198" s="6" t="s">
        <v>3053</v>
      </c>
      <c r="H198" s="6"/>
      <c r="I198" s="6" t="s">
        <v>213</v>
      </c>
      <c r="J198" s="6"/>
      <c r="K198" s="6"/>
      <c r="L198" s="6"/>
      <c r="M198" s="6"/>
      <c r="N198" s="6"/>
      <c r="O198" s="66" t="s">
        <v>3533</v>
      </c>
      <c r="P198" s="66" t="s">
        <v>3522</v>
      </c>
      <c r="Q198" s="6" t="s">
        <v>14</v>
      </c>
      <c r="R198" s="6" t="s">
        <v>4</v>
      </c>
    </row>
    <row r="199" spans="1:19">
      <c r="A199" s="1">
        <v>108</v>
      </c>
      <c r="B199" s="3" t="s">
        <v>436</v>
      </c>
      <c r="C199" s="3" t="s">
        <v>204</v>
      </c>
      <c r="D199" s="3">
        <v>3</v>
      </c>
      <c r="E199" s="3" t="s">
        <v>3083</v>
      </c>
      <c r="F199" s="3" t="s">
        <v>3084</v>
      </c>
      <c r="G199" s="3" t="s">
        <v>3055</v>
      </c>
      <c r="I199" s="3" t="s">
        <v>112</v>
      </c>
      <c r="J199" s="3" t="s">
        <v>113</v>
      </c>
      <c r="K199" s="3" t="s">
        <v>114</v>
      </c>
      <c r="O199" s="64" t="s">
        <v>3569</v>
      </c>
      <c r="P199" s="64" t="s">
        <v>3533</v>
      </c>
      <c r="Q199" s="3" t="s">
        <v>53</v>
      </c>
      <c r="R199" s="3" t="s">
        <v>4</v>
      </c>
    </row>
    <row r="200" spans="1:19">
      <c r="A200" s="1">
        <v>109</v>
      </c>
      <c r="B200" s="3" t="s">
        <v>437</v>
      </c>
      <c r="C200" s="3" t="s">
        <v>204</v>
      </c>
      <c r="D200" s="3">
        <v>3</v>
      </c>
      <c r="E200" s="3" t="s">
        <v>3083</v>
      </c>
      <c r="F200" s="3" t="s">
        <v>3084</v>
      </c>
      <c r="G200" s="3" t="s">
        <v>3050</v>
      </c>
      <c r="I200" s="3" t="s">
        <v>0</v>
      </c>
      <c r="J200" s="3" t="s">
        <v>1287</v>
      </c>
      <c r="O200" s="64" t="s">
        <v>3569</v>
      </c>
      <c r="P200" s="64" t="s">
        <v>3533</v>
      </c>
      <c r="Q200" s="3" t="s">
        <v>49</v>
      </c>
      <c r="R200" s="3" t="s">
        <v>4</v>
      </c>
    </row>
    <row r="201" spans="1:19">
      <c r="A201" s="1">
        <v>110</v>
      </c>
      <c r="B201" s="3" t="s">
        <v>438</v>
      </c>
      <c r="C201" s="3" t="s">
        <v>204</v>
      </c>
      <c r="D201" s="3">
        <v>3</v>
      </c>
      <c r="E201" s="3" t="s">
        <v>3083</v>
      </c>
      <c r="F201" s="3" t="s">
        <v>3084</v>
      </c>
      <c r="G201" s="3" t="s">
        <v>3050</v>
      </c>
      <c r="I201" s="3" t="s">
        <v>115</v>
      </c>
      <c r="O201" s="64" t="s">
        <v>3527</v>
      </c>
      <c r="P201" s="64" t="s">
        <v>3569</v>
      </c>
      <c r="Q201" s="3" t="s">
        <v>173</v>
      </c>
      <c r="R201" s="3" t="s">
        <v>4</v>
      </c>
    </row>
    <row r="202" spans="1:19">
      <c r="A202" s="1">
        <v>111</v>
      </c>
      <c r="B202" s="3" t="s">
        <v>439</v>
      </c>
      <c r="C202" s="3" t="s">
        <v>204</v>
      </c>
      <c r="D202" s="3">
        <v>3</v>
      </c>
      <c r="E202" s="3" t="s">
        <v>3083</v>
      </c>
      <c r="F202" s="3" t="s">
        <v>3084</v>
      </c>
      <c r="G202" s="3" t="s">
        <v>3050</v>
      </c>
      <c r="I202" s="3" t="s">
        <v>207</v>
      </c>
      <c r="O202" s="64" t="s">
        <v>3533</v>
      </c>
      <c r="P202" s="64" t="s">
        <v>3522</v>
      </c>
      <c r="Q202" s="3" t="s">
        <v>16</v>
      </c>
      <c r="R202" s="3" t="s">
        <v>4</v>
      </c>
    </row>
    <row r="203" spans="1:19">
      <c r="A203" s="4">
        <v>112</v>
      </c>
      <c r="B203" s="4" t="s">
        <v>440</v>
      </c>
      <c r="C203" s="4" t="s">
        <v>204</v>
      </c>
      <c r="D203" s="4">
        <v>3</v>
      </c>
      <c r="E203" s="4" t="s">
        <v>3083</v>
      </c>
      <c r="F203" s="4" t="s">
        <v>3084</v>
      </c>
      <c r="G203" s="4" t="s">
        <v>3055</v>
      </c>
      <c r="H203" s="4"/>
      <c r="I203" s="4" t="s">
        <v>116</v>
      </c>
      <c r="J203" s="4"/>
      <c r="K203" s="4"/>
      <c r="L203" s="4"/>
      <c r="M203" s="4"/>
      <c r="N203" s="4" t="s">
        <v>3150</v>
      </c>
      <c r="O203" s="65" t="s">
        <v>3527</v>
      </c>
      <c r="P203" s="65" t="s">
        <v>3569</v>
      </c>
      <c r="Q203" s="4" t="s">
        <v>39</v>
      </c>
      <c r="R203" s="3" t="s">
        <v>4</v>
      </c>
      <c r="S203" s="12"/>
    </row>
    <row r="204" spans="1:19">
      <c r="A204" s="6">
        <v>113</v>
      </c>
      <c r="B204" s="6" t="s">
        <v>441</v>
      </c>
      <c r="C204" s="6" t="s">
        <v>204</v>
      </c>
      <c r="D204" s="6">
        <v>3</v>
      </c>
      <c r="E204" s="6" t="s">
        <v>3083</v>
      </c>
      <c r="F204" s="6" t="s">
        <v>3084</v>
      </c>
      <c r="G204" s="6" t="s">
        <v>3050</v>
      </c>
      <c r="H204" s="6" t="s">
        <v>3060</v>
      </c>
      <c r="I204" s="6" t="s">
        <v>23</v>
      </c>
      <c r="J204" s="6"/>
      <c r="K204" s="6"/>
      <c r="L204" s="6"/>
      <c r="M204" s="6"/>
      <c r="N204" s="6"/>
      <c r="O204" s="66" t="s">
        <v>3533</v>
      </c>
      <c r="P204" s="66" t="s">
        <v>3522</v>
      </c>
      <c r="Q204" s="6" t="s">
        <v>37</v>
      </c>
      <c r="R204" s="6" t="s">
        <v>4</v>
      </c>
    </row>
    <row r="205" spans="1:19">
      <c r="A205" s="1">
        <v>114</v>
      </c>
      <c r="B205" s="3" t="s">
        <v>442</v>
      </c>
      <c r="C205" s="3" t="s">
        <v>204</v>
      </c>
      <c r="D205" s="3">
        <v>3</v>
      </c>
      <c r="E205" s="3" t="s">
        <v>3083</v>
      </c>
      <c r="F205" s="3" t="s">
        <v>3084</v>
      </c>
      <c r="G205" s="3" t="s">
        <v>3050</v>
      </c>
      <c r="I205" s="3" t="s">
        <v>117</v>
      </c>
      <c r="O205" s="64" t="s">
        <v>3569</v>
      </c>
      <c r="P205" s="64" t="s">
        <v>3569</v>
      </c>
      <c r="Q205" s="3" t="s">
        <v>45</v>
      </c>
      <c r="R205" s="3" t="s">
        <v>4</v>
      </c>
    </row>
    <row r="206" spans="1:19">
      <c r="A206" s="1">
        <v>115</v>
      </c>
      <c r="B206" s="3" t="s">
        <v>443</v>
      </c>
      <c r="C206" s="3" t="s">
        <v>204</v>
      </c>
      <c r="D206" s="3">
        <v>3</v>
      </c>
      <c r="E206" s="3" t="s">
        <v>3083</v>
      </c>
      <c r="F206" s="3" t="s">
        <v>3084</v>
      </c>
      <c r="I206" s="3" t="s">
        <v>118</v>
      </c>
      <c r="N206" s="3" t="s">
        <v>490</v>
      </c>
      <c r="O206" s="64" t="s">
        <v>3533</v>
      </c>
      <c r="P206" s="64" t="s">
        <v>3569</v>
      </c>
      <c r="Q206" s="3" t="s">
        <v>6</v>
      </c>
      <c r="R206" s="3" t="s">
        <v>4</v>
      </c>
    </row>
    <row r="207" spans="1:19">
      <c r="A207" s="1">
        <v>116</v>
      </c>
      <c r="B207" s="3" t="s">
        <v>444</v>
      </c>
      <c r="C207" s="3" t="s">
        <v>204</v>
      </c>
      <c r="D207" s="3">
        <v>3</v>
      </c>
      <c r="E207" s="3" t="s">
        <v>3083</v>
      </c>
      <c r="F207" s="3" t="s">
        <v>3084</v>
      </c>
      <c r="G207" s="3" t="s">
        <v>3050</v>
      </c>
      <c r="I207" s="3" t="s">
        <v>119</v>
      </c>
      <c r="O207" s="64" t="s">
        <v>3527</v>
      </c>
      <c r="P207" s="64" t="s">
        <v>3533</v>
      </c>
      <c r="Q207" s="3" t="s">
        <v>40</v>
      </c>
      <c r="R207" s="3" t="s">
        <v>4</v>
      </c>
    </row>
    <row r="208" spans="1:19">
      <c r="A208" s="1">
        <v>117</v>
      </c>
      <c r="B208" s="3" t="s">
        <v>445</v>
      </c>
      <c r="C208" s="3" t="s">
        <v>204</v>
      </c>
      <c r="D208" s="3">
        <v>3</v>
      </c>
      <c r="E208" s="3" t="s">
        <v>3083</v>
      </c>
      <c r="F208" s="3" t="s">
        <v>3084</v>
      </c>
      <c r="G208" s="3" t="s">
        <v>3053</v>
      </c>
      <c r="I208" s="3" t="s">
        <v>120</v>
      </c>
      <c r="O208" s="64" t="s">
        <v>3569</v>
      </c>
      <c r="P208" s="64" t="s">
        <v>3527</v>
      </c>
      <c r="Q208" s="3" t="s">
        <v>46</v>
      </c>
      <c r="R208" s="3" t="s">
        <v>4</v>
      </c>
    </row>
    <row r="209" spans="1:19">
      <c r="A209" s="1">
        <v>118</v>
      </c>
      <c r="B209" s="3" t="s">
        <v>446</v>
      </c>
      <c r="C209" s="3" t="s">
        <v>204</v>
      </c>
      <c r="D209" s="3">
        <v>3</v>
      </c>
      <c r="E209" s="3" t="s">
        <v>3083</v>
      </c>
      <c r="F209" s="3" t="s">
        <v>3084</v>
      </c>
      <c r="G209" s="3" t="s">
        <v>3058</v>
      </c>
      <c r="I209" s="3" t="s">
        <v>23</v>
      </c>
      <c r="J209" s="3" t="s">
        <v>1270</v>
      </c>
      <c r="O209" s="64" t="s">
        <v>3569</v>
      </c>
      <c r="P209" s="64" t="s">
        <v>3569</v>
      </c>
      <c r="Q209" s="3" t="s">
        <v>53</v>
      </c>
      <c r="R209" s="3" t="s">
        <v>4</v>
      </c>
      <c r="S209" s="12"/>
    </row>
    <row r="210" spans="1:19">
      <c r="A210" s="6">
        <v>119</v>
      </c>
      <c r="B210" s="6" t="s">
        <v>447</v>
      </c>
      <c r="C210" s="6" t="s">
        <v>204</v>
      </c>
      <c r="D210" s="6">
        <v>3</v>
      </c>
      <c r="E210" s="6" t="s">
        <v>3083</v>
      </c>
      <c r="F210" s="6" t="s">
        <v>3084</v>
      </c>
      <c r="G210" s="6" t="s">
        <v>3054</v>
      </c>
      <c r="H210" s="6" t="s">
        <v>3060</v>
      </c>
      <c r="I210" s="6" t="s">
        <v>121</v>
      </c>
      <c r="J210" s="6"/>
      <c r="K210" s="6"/>
      <c r="L210" s="6"/>
      <c r="M210" s="6"/>
      <c r="N210" s="6" t="s">
        <v>490</v>
      </c>
      <c r="O210" s="66" t="s">
        <v>3569</v>
      </c>
      <c r="P210" s="66" t="s">
        <v>3527</v>
      </c>
      <c r="Q210" s="6" t="s">
        <v>28</v>
      </c>
      <c r="R210" s="6" t="s">
        <v>4</v>
      </c>
    </row>
    <row r="211" spans="1:19">
      <c r="A211" s="1">
        <v>120</v>
      </c>
      <c r="B211" s="3" t="s">
        <v>448</v>
      </c>
      <c r="C211" s="3" t="s">
        <v>204</v>
      </c>
      <c r="D211" s="3">
        <v>3</v>
      </c>
      <c r="E211" s="3" t="s">
        <v>3083</v>
      </c>
      <c r="F211" s="3" t="s">
        <v>3084</v>
      </c>
      <c r="G211" s="3" t="s">
        <v>3054</v>
      </c>
      <c r="I211" s="3" t="s">
        <v>1280</v>
      </c>
      <c r="J211" s="3" t="s">
        <v>1272</v>
      </c>
      <c r="O211" s="64" t="s">
        <v>3569</v>
      </c>
      <c r="P211" s="64" t="s">
        <v>3569</v>
      </c>
      <c r="Q211" s="3" t="s">
        <v>169</v>
      </c>
      <c r="R211" s="3" t="s">
        <v>4</v>
      </c>
    </row>
    <row r="212" spans="1:19">
      <c r="A212" s="1">
        <v>121</v>
      </c>
      <c r="B212" s="3" t="s">
        <v>449</v>
      </c>
      <c r="C212" s="3" t="s">
        <v>204</v>
      </c>
      <c r="D212" s="3">
        <v>3</v>
      </c>
      <c r="E212" s="3" t="s">
        <v>3083</v>
      </c>
      <c r="F212" s="3" t="s">
        <v>3084</v>
      </c>
      <c r="I212" s="3" t="s">
        <v>122</v>
      </c>
      <c r="N212" s="3" t="s">
        <v>490</v>
      </c>
      <c r="O212" s="64" t="s">
        <v>3527</v>
      </c>
      <c r="P212" s="64" t="s">
        <v>3569</v>
      </c>
      <c r="Q212" s="3" t="s">
        <v>26</v>
      </c>
      <c r="R212" s="3" t="s">
        <v>4</v>
      </c>
    </row>
    <row r="213" spans="1:19">
      <c r="A213" s="1">
        <v>122</v>
      </c>
      <c r="B213" s="3" t="s">
        <v>450</v>
      </c>
      <c r="C213" s="3" t="s">
        <v>204</v>
      </c>
      <c r="D213" s="3">
        <v>3</v>
      </c>
      <c r="E213" s="3" t="s">
        <v>3083</v>
      </c>
      <c r="F213" s="3" t="s">
        <v>3084</v>
      </c>
      <c r="G213" s="3" t="s">
        <v>3050</v>
      </c>
      <c r="I213" s="3" t="s">
        <v>1281</v>
      </c>
      <c r="J213" s="3" t="s">
        <v>1268</v>
      </c>
      <c r="O213" s="64" t="s">
        <v>4050</v>
      </c>
      <c r="P213" s="64" t="s">
        <v>3522</v>
      </c>
      <c r="Q213" s="3" t="s">
        <v>181</v>
      </c>
      <c r="R213" s="3" t="s">
        <v>4</v>
      </c>
    </row>
    <row r="214" spans="1:19">
      <c r="A214" s="1">
        <v>123</v>
      </c>
      <c r="B214" s="3" t="s">
        <v>451</v>
      </c>
      <c r="C214" s="3" t="s">
        <v>204</v>
      </c>
      <c r="D214" s="3">
        <v>3</v>
      </c>
      <c r="E214" s="3" t="s">
        <v>3083</v>
      </c>
      <c r="F214" s="3" t="s">
        <v>3084</v>
      </c>
      <c r="G214" s="3" t="s">
        <v>3050</v>
      </c>
      <c r="I214" s="3" t="s">
        <v>123</v>
      </c>
      <c r="O214" s="64" t="s">
        <v>3533</v>
      </c>
      <c r="P214" s="64" t="s">
        <v>3522</v>
      </c>
      <c r="Q214" s="3" t="s">
        <v>178</v>
      </c>
      <c r="R214" s="3" t="s">
        <v>4</v>
      </c>
    </row>
    <row r="215" spans="1:19">
      <c r="A215" s="1">
        <v>124</v>
      </c>
      <c r="B215" s="3" t="s">
        <v>452</v>
      </c>
      <c r="C215" s="3" t="s">
        <v>208</v>
      </c>
      <c r="D215" s="3">
        <v>3</v>
      </c>
      <c r="E215" s="3" t="s">
        <v>3083</v>
      </c>
      <c r="F215" s="3" t="s">
        <v>3084</v>
      </c>
      <c r="G215" s="3" t="s">
        <v>3054</v>
      </c>
      <c r="I215" s="3" t="s">
        <v>1</v>
      </c>
      <c r="J215" s="3" t="s">
        <v>124</v>
      </c>
      <c r="O215" s="64" t="s">
        <v>3569</v>
      </c>
      <c r="P215" s="64" t="s">
        <v>3569</v>
      </c>
      <c r="Q215" s="3" t="s">
        <v>14</v>
      </c>
      <c r="R215" s="3" t="s">
        <v>4</v>
      </c>
    </row>
    <row r="216" spans="1:19">
      <c r="A216" s="1">
        <v>125</v>
      </c>
      <c r="B216" s="3" t="s">
        <v>453</v>
      </c>
      <c r="C216" s="3" t="s">
        <v>204</v>
      </c>
      <c r="D216" s="3">
        <v>3</v>
      </c>
      <c r="E216" s="3" t="s">
        <v>3083</v>
      </c>
      <c r="F216" s="3" t="s">
        <v>3084</v>
      </c>
      <c r="G216" s="3" t="s">
        <v>3055</v>
      </c>
      <c r="I216" s="3" t="s">
        <v>23</v>
      </c>
      <c r="J216" s="3" t="s">
        <v>1288</v>
      </c>
      <c r="O216" s="64" t="s">
        <v>3527</v>
      </c>
      <c r="P216" s="64" t="s">
        <v>3569</v>
      </c>
      <c r="Q216" s="3" t="s">
        <v>17</v>
      </c>
      <c r="R216" s="3" t="s">
        <v>4</v>
      </c>
    </row>
    <row r="217" spans="1:19">
      <c r="A217" s="1">
        <v>126</v>
      </c>
      <c r="B217" s="3" t="s">
        <v>454</v>
      </c>
      <c r="C217" s="3" t="s">
        <v>208</v>
      </c>
      <c r="D217" s="3">
        <v>3</v>
      </c>
      <c r="E217" s="3" t="s">
        <v>3083</v>
      </c>
      <c r="F217" s="3" t="s">
        <v>3084</v>
      </c>
      <c r="G217" s="3" t="s">
        <v>3053</v>
      </c>
      <c r="H217" s="3" t="s">
        <v>3061</v>
      </c>
      <c r="I217" s="3" t="s">
        <v>125</v>
      </c>
      <c r="J217" s="3" t="s">
        <v>43</v>
      </c>
      <c r="O217" s="64" t="s">
        <v>3533</v>
      </c>
      <c r="P217" s="64" t="s">
        <v>3569</v>
      </c>
      <c r="Q217" s="3" t="s">
        <v>31</v>
      </c>
      <c r="R217" s="3" t="s">
        <v>4</v>
      </c>
    </row>
    <row r="218" spans="1:19">
      <c r="A218" s="1">
        <v>127</v>
      </c>
      <c r="B218" s="3" t="s">
        <v>455</v>
      </c>
      <c r="C218" s="3" t="s">
        <v>204</v>
      </c>
      <c r="D218" s="3">
        <v>3</v>
      </c>
      <c r="E218" s="3" t="s">
        <v>3083</v>
      </c>
      <c r="F218" s="3" t="s">
        <v>3084</v>
      </c>
      <c r="G218" s="3" t="s">
        <v>3049</v>
      </c>
      <c r="I218" s="3" t="s">
        <v>1280</v>
      </c>
      <c r="J218" s="3" t="s">
        <v>126</v>
      </c>
      <c r="N218" s="3" t="s">
        <v>490</v>
      </c>
      <c r="O218" s="64" t="s">
        <v>3533</v>
      </c>
      <c r="P218" s="64" t="s">
        <v>3522</v>
      </c>
      <c r="Q218" s="3" t="s">
        <v>45</v>
      </c>
      <c r="R218" s="3" t="s">
        <v>4</v>
      </c>
    </row>
    <row r="219" spans="1:19">
      <c r="A219" s="1">
        <v>128</v>
      </c>
      <c r="B219" s="3" t="s">
        <v>456</v>
      </c>
      <c r="C219" s="3" t="s">
        <v>204</v>
      </c>
      <c r="D219" s="3">
        <v>3</v>
      </c>
      <c r="E219" s="3" t="s">
        <v>3083</v>
      </c>
      <c r="F219" s="3" t="s">
        <v>3084</v>
      </c>
      <c r="G219" s="3" t="s">
        <v>3050</v>
      </c>
      <c r="I219" s="3" t="s">
        <v>51</v>
      </c>
      <c r="J219" s="3" t="s">
        <v>1273</v>
      </c>
      <c r="O219" s="64" t="s">
        <v>3533</v>
      </c>
      <c r="P219" s="64" t="s">
        <v>3522</v>
      </c>
      <c r="Q219" s="3" t="s">
        <v>5</v>
      </c>
      <c r="R219" s="3" t="s">
        <v>4</v>
      </c>
    </row>
    <row r="220" spans="1:19">
      <c r="A220" s="1">
        <v>129</v>
      </c>
      <c r="B220" s="3" t="s">
        <v>457</v>
      </c>
      <c r="C220" s="3" t="s">
        <v>204</v>
      </c>
      <c r="D220" s="3">
        <v>3</v>
      </c>
      <c r="E220" s="3" t="s">
        <v>3083</v>
      </c>
      <c r="F220" s="3" t="s">
        <v>3084</v>
      </c>
      <c r="G220" s="3" t="s">
        <v>3053</v>
      </c>
      <c r="I220" s="3" t="s">
        <v>127</v>
      </c>
      <c r="N220" s="3" t="s">
        <v>490</v>
      </c>
      <c r="O220" s="64" t="s">
        <v>3533</v>
      </c>
      <c r="P220" s="64" t="s">
        <v>3569</v>
      </c>
      <c r="Q220" s="3" t="s">
        <v>172</v>
      </c>
      <c r="R220" s="3" t="s">
        <v>4</v>
      </c>
    </row>
    <row r="221" spans="1:19">
      <c r="A221" s="1">
        <v>130</v>
      </c>
      <c r="B221" s="3" t="s">
        <v>458</v>
      </c>
      <c r="C221" s="3" t="s">
        <v>204</v>
      </c>
      <c r="D221" s="3">
        <v>3</v>
      </c>
      <c r="E221" s="3" t="s">
        <v>3083</v>
      </c>
      <c r="F221" s="3" t="s">
        <v>3084</v>
      </c>
      <c r="G221" s="3" t="s">
        <v>3058</v>
      </c>
      <c r="H221" s="3" t="s">
        <v>3053</v>
      </c>
      <c r="I221" s="3" t="s">
        <v>128</v>
      </c>
      <c r="N221" s="3" t="s">
        <v>490</v>
      </c>
      <c r="O221" s="64" t="s">
        <v>3569</v>
      </c>
      <c r="P221" s="64" t="s">
        <v>3569</v>
      </c>
      <c r="Q221" s="3" t="s">
        <v>169</v>
      </c>
      <c r="R221" s="3" t="s">
        <v>4</v>
      </c>
    </row>
    <row r="222" spans="1:19">
      <c r="A222" s="1">
        <v>131</v>
      </c>
      <c r="B222" s="3" t="s">
        <v>459</v>
      </c>
      <c r="C222" s="3" t="s">
        <v>204</v>
      </c>
      <c r="D222" s="3">
        <v>3</v>
      </c>
      <c r="E222" s="3" t="s">
        <v>3083</v>
      </c>
      <c r="F222" s="3" t="s">
        <v>3084</v>
      </c>
      <c r="G222" s="3" t="s">
        <v>3052</v>
      </c>
      <c r="H222" s="3" t="s">
        <v>3053</v>
      </c>
      <c r="I222" s="3" t="s">
        <v>129</v>
      </c>
      <c r="O222" s="64" t="s">
        <v>3533</v>
      </c>
      <c r="P222" s="64" t="s">
        <v>3569</v>
      </c>
      <c r="Q222" s="3" t="s">
        <v>33</v>
      </c>
      <c r="R222" s="3" t="s">
        <v>4</v>
      </c>
    </row>
    <row r="223" spans="1:19">
      <c r="A223" s="1">
        <v>1058</v>
      </c>
      <c r="B223" s="3" t="s">
        <v>690</v>
      </c>
      <c r="C223" s="3" t="s">
        <v>204</v>
      </c>
      <c r="D223" s="3">
        <v>3</v>
      </c>
      <c r="E223" s="3" t="s">
        <v>3083</v>
      </c>
      <c r="F223" s="3" t="s">
        <v>3084</v>
      </c>
      <c r="G223" s="3" t="s">
        <v>3050</v>
      </c>
      <c r="I223" s="3" t="s">
        <v>264</v>
      </c>
      <c r="N223" s="3" t="s">
        <v>3456</v>
      </c>
      <c r="O223" s="64" t="s">
        <v>3569</v>
      </c>
      <c r="P223" s="64" t="s">
        <v>3569</v>
      </c>
      <c r="Q223" s="3" t="s">
        <v>182</v>
      </c>
      <c r="R223" s="3" t="s">
        <v>7</v>
      </c>
    </row>
    <row r="224" spans="1:19">
      <c r="A224" s="1">
        <v>1059</v>
      </c>
      <c r="B224" s="3" t="s">
        <v>691</v>
      </c>
      <c r="C224" s="3" t="s">
        <v>208</v>
      </c>
      <c r="D224" s="3">
        <v>3</v>
      </c>
      <c r="E224" s="3" t="s">
        <v>3086</v>
      </c>
      <c r="F224" s="3" t="s">
        <v>3084</v>
      </c>
      <c r="G224" s="3" t="s">
        <v>3050</v>
      </c>
      <c r="I224" s="3" t="s">
        <v>265</v>
      </c>
      <c r="J224" s="3" t="s">
        <v>266</v>
      </c>
      <c r="N224" s="3" t="s">
        <v>3456</v>
      </c>
      <c r="O224" s="64" t="s">
        <v>3569</v>
      </c>
      <c r="P224" s="64" t="s">
        <v>3569</v>
      </c>
      <c r="Q224" s="3" t="s">
        <v>40</v>
      </c>
      <c r="R224" s="3" t="s">
        <v>7</v>
      </c>
    </row>
    <row r="225" spans="1:18">
      <c r="A225" s="1">
        <v>1060</v>
      </c>
      <c r="B225" s="3" t="s">
        <v>692</v>
      </c>
      <c r="C225" s="3" t="s">
        <v>204</v>
      </c>
      <c r="D225" s="3">
        <v>3</v>
      </c>
      <c r="E225" s="3" t="s">
        <v>3083</v>
      </c>
      <c r="F225" s="3" t="s">
        <v>3084</v>
      </c>
      <c r="G225" s="3" t="s">
        <v>3050</v>
      </c>
      <c r="I225" s="3" t="s">
        <v>0</v>
      </c>
      <c r="J225" s="3" t="s">
        <v>3793</v>
      </c>
      <c r="N225" s="3" t="s">
        <v>3456</v>
      </c>
      <c r="O225" s="64" t="s">
        <v>3533</v>
      </c>
      <c r="P225" s="64" t="s">
        <v>3533</v>
      </c>
      <c r="Q225" s="3" t="s">
        <v>32</v>
      </c>
      <c r="R225" s="3" t="s">
        <v>7</v>
      </c>
    </row>
    <row r="226" spans="1:18">
      <c r="A226" s="1">
        <v>1061</v>
      </c>
      <c r="B226" s="3" t="s">
        <v>693</v>
      </c>
      <c r="C226" s="3" t="s">
        <v>204</v>
      </c>
      <c r="D226" s="3">
        <v>3</v>
      </c>
      <c r="E226" s="3" t="s">
        <v>3083</v>
      </c>
      <c r="F226" s="3" t="s">
        <v>3084</v>
      </c>
      <c r="G226" s="3" t="s">
        <v>3050</v>
      </c>
      <c r="I226" s="3" t="s">
        <v>267</v>
      </c>
      <c r="N226" s="3" t="s">
        <v>3456</v>
      </c>
      <c r="O226" s="64" t="s">
        <v>4048</v>
      </c>
      <c r="P226" s="64" t="s">
        <v>4048</v>
      </c>
      <c r="Q226" s="3" t="s">
        <v>181</v>
      </c>
      <c r="R226" s="3" t="s">
        <v>7</v>
      </c>
    </row>
    <row r="227" spans="1:18">
      <c r="A227" s="1">
        <v>1062</v>
      </c>
      <c r="B227" s="3" t="s">
        <v>694</v>
      </c>
      <c r="C227" s="3" t="s">
        <v>204</v>
      </c>
      <c r="D227" s="3">
        <v>3</v>
      </c>
      <c r="E227" s="3" t="s">
        <v>3083</v>
      </c>
      <c r="F227" s="3" t="s">
        <v>3084</v>
      </c>
      <c r="G227" s="3" t="s">
        <v>3053</v>
      </c>
      <c r="I227" s="3" t="s">
        <v>620</v>
      </c>
      <c r="N227" s="3" t="s">
        <v>3456</v>
      </c>
      <c r="O227" s="64" t="s">
        <v>3569</v>
      </c>
      <c r="P227" s="64" t="s">
        <v>3569</v>
      </c>
      <c r="Q227" s="3" t="s">
        <v>171</v>
      </c>
      <c r="R227" s="3" t="s">
        <v>7</v>
      </c>
    </row>
    <row r="228" spans="1:18">
      <c r="A228" s="1">
        <v>1063</v>
      </c>
      <c r="B228" s="3" t="s">
        <v>695</v>
      </c>
      <c r="C228" s="3" t="s">
        <v>204</v>
      </c>
      <c r="D228" s="3">
        <v>3</v>
      </c>
      <c r="E228" s="3" t="s">
        <v>3083</v>
      </c>
      <c r="F228" s="3" t="s">
        <v>3084</v>
      </c>
      <c r="G228" s="3" t="s">
        <v>3050</v>
      </c>
      <c r="I228" s="3" t="s">
        <v>268</v>
      </c>
      <c r="N228" s="3" t="s">
        <v>3456</v>
      </c>
      <c r="O228" s="64" t="s">
        <v>3533</v>
      </c>
      <c r="P228" s="64" t="s">
        <v>3522</v>
      </c>
      <c r="Q228" s="3" t="s">
        <v>44</v>
      </c>
      <c r="R228" s="3" t="s">
        <v>7</v>
      </c>
    </row>
    <row r="229" spans="1:18">
      <c r="A229" s="8">
        <v>1064</v>
      </c>
      <c r="B229" s="8" t="s">
        <v>696</v>
      </c>
      <c r="C229" s="8" t="s">
        <v>204</v>
      </c>
      <c r="D229" s="8">
        <v>3</v>
      </c>
      <c r="E229" s="8" t="s">
        <v>3083</v>
      </c>
      <c r="F229" s="8" t="s">
        <v>3084</v>
      </c>
      <c r="G229" s="8" t="s">
        <v>3053</v>
      </c>
      <c r="H229" s="8"/>
      <c r="I229" s="8" t="s">
        <v>269</v>
      </c>
      <c r="J229" s="8" t="s">
        <v>270</v>
      </c>
      <c r="K229" s="8"/>
      <c r="L229" s="8"/>
      <c r="M229" s="8" t="s">
        <v>153</v>
      </c>
      <c r="N229" s="8" t="s">
        <v>3150</v>
      </c>
      <c r="O229" s="68" t="s">
        <v>4050</v>
      </c>
      <c r="P229" s="68" t="s">
        <v>3527</v>
      </c>
      <c r="Q229" s="8"/>
      <c r="R229" s="8"/>
    </row>
    <row r="230" spans="1:18">
      <c r="A230" s="8">
        <v>1065</v>
      </c>
      <c r="B230" s="8" t="s">
        <v>697</v>
      </c>
      <c r="C230" s="8" t="s">
        <v>13449</v>
      </c>
      <c r="D230" s="8">
        <v>3</v>
      </c>
      <c r="E230" s="8" t="s">
        <v>3083</v>
      </c>
      <c r="F230" s="8" t="s">
        <v>3090</v>
      </c>
      <c r="G230" s="8" t="s">
        <v>3064</v>
      </c>
      <c r="H230" s="8"/>
      <c r="I230" s="8" t="s">
        <v>271</v>
      </c>
      <c r="J230" s="8" t="s">
        <v>272</v>
      </c>
      <c r="K230" s="8"/>
      <c r="L230" s="8"/>
      <c r="M230" s="8" t="s">
        <v>153</v>
      </c>
      <c r="N230" s="8" t="s">
        <v>3456</v>
      </c>
      <c r="O230" s="68" t="s">
        <v>3527</v>
      </c>
      <c r="P230" s="68" t="s">
        <v>3530</v>
      </c>
      <c r="Q230" s="8" t="s">
        <v>39</v>
      </c>
      <c r="R230" s="8" t="s">
        <v>7</v>
      </c>
    </row>
    <row r="231" spans="1:18">
      <c r="A231" s="1">
        <v>1066</v>
      </c>
      <c r="B231" s="3" t="s">
        <v>698</v>
      </c>
      <c r="C231" s="3" t="s">
        <v>208</v>
      </c>
      <c r="D231" s="3">
        <v>3</v>
      </c>
      <c r="E231" s="3" t="s">
        <v>3083</v>
      </c>
      <c r="F231" s="3" t="s">
        <v>3084</v>
      </c>
      <c r="G231" s="3" t="s">
        <v>3050</v>
      </c>
      <c r="I231" s="3" t="s">
        <v>273</v>
      </c>
      <c r="N231" s="3" t="s">
        <v>3456</v>
      </c>
      <c r="O231" s="64" t="s">
        <v>3569</v>
      </c>
      <c r="P231" s="64" t="s">
        <v>3527</v>
      </c>
      <c r="Q231" s="3" t="s">
        <v>179</v>
      </c>
      <c r="R231" s="3" t="s">
        <v>7</v>
      </c>
    </row>
    <row r="232" spans="1:18">
      <c r="A232" s="1">
        <v>1067</v>
      </c>
      <c r="B232" s="3" t="s">
        <v>699</v>
      </c>
      <c r="C232" s="3" t="s">
        <v>204</v>
      </c>
      <c r="D232" s="3">
        <v>3</v>
      </c>
      <c r="E232" s="3" t="s">
        <v>3083</v>
      </c>
      <c r="F232" s="3" t="s">
        <v>3084</v>
      </c>
      <c r="G232" s="3" t="s">
        <v>3053</v>
      </c>
      <c r="I232" s="3" t="s">
        <v>3</v>
      </c>
      <c r="J232" s="3" t="s">
        <v>274</v>
      </c>
      <c r="N232" s="3" t="s">
        <v>3150</v>
      </c>
      <c r="O232" s="64" t="s">
        <v>3569</v>
      </c>
      <c r="P232" s="64" t="s">
        <v>3569</v>
      </c>
      <c r="Q232" s="3" t="s">
        <v>17</v>
      </c>
      <c r="R232" s="3" t="s">
        <v>7</v>
      </c>
    </row>
    <row r="233" spans="1:18">
      <c r="A233" s="1">
        <v>1068</v>
      </c>
      <c r="B233" s="3" t="s">
        <v>700</v>
      </c>
      <c r="C233" s="3" t="s">
        <v>204</v>
      </c>
      <c r="D233" s="3">
        <v>3</v>
      </c>
      <c r="E233" s="3" t="s">
        <v>3083</v>
      </c>
      <c r="F233" s="3" t="s">
        <v>3084</v>
      </c>
      <c r="G233" s="3" t="s">
        <v>3053</v>
      </c>
      <c r="I233" s="3" t="s">
        <v>0</v>
      </c>
      <c r="J233" s="3" t="s">
        <v>3794</v>
      </c>
      <c r="N233" s="3" t="s">
        <v>3150</v>
      </c>
      <c r="O233" s="64" t="s">
        <v>3569</v>
      </c>
      <c r="P233" s="64" t="s">
        <v>3533</v>
      </c>
      <c r="Q233" s="3" t="s">
        <v>30</v>
      </c>
      <c r="R233" s="3" t="s">
        <v>7</v>
      </c>
    </row>
    <row r="234" spans="1:18">
      <c r="A234" s="4">
        <v>1069</v>
      </c>
      <c r="B234" s="4" t="s">
        <v>701</v>
      </c>
      <c r="C234" s="4" t="s">
        <v>204</v>
      </c>
      <c r="D234" s="4">
        <v>3</v>
      </c>
      <c r="E234" s="4" t="s">
        <v>3083</v>
      </c>
      <c r="F234" s="4" t="s">
        <v>3084</v>
      </c>
      <c r="G234" s="4" t="s">
        <v>3051</v>
      </c>
      <c r="H234" s="4"/>
      <c r="I234" s="4" t="s">
        <v>632</v>
      </c>
      <c r="J234" s="4" t="s">
        <v>630</v>
      </c>
      <c r="K234" s="4"/>
      <c r="L234" s="4"/>
      <c r="M234" s="4"/>
      <c r="N234" s="4" t="s">
        <v>3456</v>
      </c>
      <c r="O234" s="65" t="s">
        <v>3569</v>
      </c>
      <c r="P234" s="65" t="s">
        <v>3569</v>
      </c>
      <c r="Q234" s="4" t="s">
        <v>15</v>
      </c>
      <c r="R234" s="4" t="s">
        <v>7</v>
      </c>
    </row>
    <row r="235" spans="1:18">
      <c r="A235" s="1">
        <v>1070</v>
      </c>
      <c r="B235" s="3" t="s">
        <v>702</v>
      </c>
      <c r="C235" s="3" t="s">
        <v>204</v>
      </c>
      <c r="D235" s="3">
        <v>3</v>
      </c>
      <c r="E235" s="3" t="s">
        <v>3083</v>
      </c>
      <c r="F235" s="3" t="s">
        <v>3084</v>
      </c>
      <c r="G235" s="3" t="s">
        <v>3053</v>
      </c>
      <c r="I235" s="3" t="s">
        <v>621</v>
      </c>
      <c r="N235" s="3" t="s">
        <v>3456</v>
      </c>
      <c r="O235" s="64" t="s">
        <v>3569</v>
      </c>
      <c r="P235" s="64" t="s">
        <v>3569</v>
      </c>
      <c r="Q235" s="3" t="s">
        <v>173</v>
      </c>
      <c r="R235" s="3" t="s">
        <v>7</v>
      </c>
    </row>
    <row r="236" spans="1:18">
      <c r="A236" s="1">
        <v>1071</v>
      </c>
      <c r="B236" s="3" t="s">
        <v>703</v>
      </c>
      <c r="C236" s="3" t="s">
        <v>204</v>
      </c>
      <c r="D236" s="3">
        <v>3</v>
      </c>
      <c r="E236" s="3" t="s">
        <v>3083</v>
      </c>
      <c r="F236" s="3" t="s">
        <v>3084</v>
      </c>
      <c r="I236" s="3" t="s">
        <v>275</v>
      </c>
      <c r="N236" s="3" t="s">
        <v>3150</v>
      </c>
      <c r="O236" s="64" t="s">
        <v>3569</v>
      </c>
      <c r="P236" s="64" t="s">
        <v>3569</v>
      </c>
      <c r="Q236" s="3" t="s">
        <v>169</v>
      </c>
      <c r="R236" s="3" t="s">
        <v>7</v>
      </c>
    </row>
    <row r="237" spans="1:18">
      <c r="A237" s="1">
        <v>1072</v>
      </c>
      <c r="B237" s="3" t="s">
        <v>704</v>
      </c>
      <c r="C237" s="3" t="s">
        <v>204</v>
      </c>
      <c r="D237" s="3">
        <v>3</v>
      </c>
      <c r="E237" s="3" t="s">
        <v>3083</v>
      </c>
      <c r="F237" s="3" t="s">
        <v>3084</v>
      </c>
      <c r="G237" s="3" t="s">
        <v>3050</v>
      </c>
      <c r="I237" s="3" t="s">
        <v>3795</v>
      </c>
      <c r="J237" s="3" t="s">
        <v>276</v>
      </c>
      <c r="N237" s="3" t="s">
        <v>3456</v>
      </c>
      <c r="O237" s="64" t="s">
        <v>3569</v>
      </c>
      <c r="P237" s="64" t="s">
        <v>3527</v>
      </c>
      <c r="Q237" s="3" t="s">
        <v>38</v>
      </c>
      <c r="R237" s="3" t="s">
        <v>7</v>
      </c>
    </row>
    <row r="238" spans="1:18">
      <c r="A238" s="1">
        <v>1073</v>
      </c>
      <c r="B238" s="3" t="s">
        <v>705</v>
      </c>
      <c r="C238" s="3" t="s">
        <v>208</v>
      </c>
      <c r="D238" s="3">
        <v>3</v>
      </c>
      <c r="E238" s="3" t="s">
        <v>3083</v>
      </c>
      <c r="F238" s="3" t="s">
        <v>3084</v>
      </c>
      <c r="G238" s="3" t="s">
        <v>3052</v>
      </c>
      <c r="H238" s="3" t="s">
        <v>3054</v>
      </c>
      <c r="I238" s="3" t="s">
        <v>3796</v>
      </c>
      <c r="J238" s="3" t="s">
        <v>3797</v>
      </c>
      <c r="K238" s="3" t="s">
        <v>277</v>
      </c>
      <c r="N238" s="3" t="s">
        <v>3456</v>
      </c>
      <c r="O238" s="64" t="s">
        <v>3569</v>
      </c>
      <c r="P238" s="64" t="s">
        <v>3569</v>
      </c>
      <c r="Q238" s="3" t="s">
        <v>33</v>
      </c>
      <c r="R238" s="3" t="s">
        <v>7</v>
      </c>
    </row>
    <row r="239" spans="1:18">
      <c r="A239" s="1">
        <v>1074</v>
      </c>
      <c r="B239" s="3" t="s">
        <v>706</v>
      </c>
      <c r="C239" s="3" t="s">
        <v>204</v>
      </c>
      <c r="D239" s="3">
        <v>3</v>
      </c>
      <c r="E239" s="3" t="s">
        <v>3083</v>
      </c>
      <c r="F239" s="3" t="s">
        <v>3084</v>
      </c>
      <c r="G239" s="3" t="s">
        <v>3058</v>
      </c>
      <c r="I239" s="3" t="s">
        <v>278</v>
      </c>
      <c r="N239" s="3" t="s">
        <v>3456</v>
      </c>
      <c r="O239" s="64" t="s">
        <v>3569</v>
      </c>
      <c r="P239" s="64" t="s">
        <v>3527</v>
      </c>
      <c r="Q239" s="3" t="s">
        <v>32</v>
      </c>
      <c r="R239" s="3" t="s">
        <v>7</v>
      </c>
    </row>
    <row r="240" spans="1:18">
      <c r="A240" s="1">
        <v>1075</v>
      </c>
      <c r="B240" s="3" t="s">
        <v>707</v>
      </c>
      <c r="C240" s="3" t="s">
        <v>204</v>
      </c>
      <c r="D240" s="3">
        <v>3</v>
      </c>
      <c r="E240" s="3" t="s">
        <v>3083</v>
      </c>
      <c r="F240" s="3" t="s">
        <v>3084</v>
      </c>
      <c r="G240" s="3" t="s">
        <v>3055</v>
      </c>
      <c r="I240" s="3" t="s">
        <v>3798</v>
      </c>
      <c r="N240" s="3" t="s">
        <v>3456</v>
      </c>
      <c r="O240" s="64" t="s">
        <v>3527</v>
      </c>
      <c r="P240" s="64" t="s">
        <v>3569</v>
      </c>
      <c r="Q240" s="3" t="s">
        <v>17</v>
      </c>
      <c r="R240" s="3" t="s">
        <v>7</v>
      </c>
    </row>
    <row r="241" spans="1:18">
      <c r="A241" s="1">
        <v>1076</v>
      </c>
      <c r="B241" s="3" t="s">
        <v>708</v>
      </c>
      <c r="C241" s="3" t="s">
        <v>204</v>
      </c>
      <c r="D241" s="3">
        <v>3</v>
      </c>
      <c r="E241" s="3" t="s">
        <v>3083</v>
      </c>
      <c r="F241" s="3" t="s">
        <v>3084</v>
      </c>
      <c r="G241" s="3" t="s">
        <v>3051</v>
      </c>
      <c r="I241" s="3" t="s">
        <v>279</v>
      </c>
      <c r="J241" s="3" t="s">
        <v>3799</v>
      </c>
      <c r="N241" s="3" t="s">
        <v>3150</v>
      </c>
      <c r="O241" s="64" t="s">
        <v>3569</v>
      </c>
      <c r="P241" s="64" t="s">
        <v>3527</v>
      </c>
      <c r="Q241" s="3" t="s">
        <v>29</v>
      </c>
      <c r="R241" s="3" t="s">
        <v>7</v>
      </c>
    </row>
    <row r="242" spans="1:18">
      <c r="A242" s="1">
        <v>1077</v>
      </c>
      <c r="B242" s="3" t="s">
        <v>709</v>
      </c>
      <c r="C242" s="3" t="s">
        <v>204</v>
      </c>
      <c r="D242" s="3">
        <v>3</v>
      </c>
      <c r="E242" s="3" t="s">
        <v>3083</v>
      </c>
      <c r="F242" s="3" t="s">
        <v>3084</v>
      </c>
      <c r="G242" s="3" t="s">
        <v>3051</v>
      </c>
      <c r="I242" s="3" t="s">
        <v>23</v>
      </c>
      <c r="J242" s="3" t="s">
        <v>280</v>
      </c>
      <c r="N242" s="3" t="s">
        <v>3456</v>
      </c>
      <c r="O242" s="64" t="s">
        <v>3569</v>
      </c>
      <c r="P242" s="64" t="s">
        <v>3569</v>
      </c>
      <c r="Q242" s="3" t="s">
        <v>172</v>
      </c>
      <c r="R242" s="3" t="s">
        <v>7</v>
      </c>
    </row>
    <row r="243" spans="1:18">
      <c r="A243" s="6">
        <v>1078</v>
      </c>
      <c r="B243" s="6" t="s">
        <v>3989</v>
      </c>
      <c r="C243" s="6" t="s">
        <v>204</v>
      </c>
      <c r="D243" s="6">
        <v>3</v>
      </c>
      <c r="E243" s="6" t="s">
        <v>3083</v>
      </c>
      <c r="F243" s="6" t="s">
        <v>3084</v>
      </c>
      <c r="G243" s="6" t="s">
        <v>3054</v>
      </c>
      <c r="H243" s="6"/>
      <c r="I243" s="6" t="s">
        <v>0</v>
      </c>
      <c r="J243" s="6" t="s">
        <v>633</v>
      </c>
      <c r="K243" s="6"/>
      <c r="L243" s="6"/>
      <c r="M243" s="6"/>
      <c r="N243" s="6" t="s">
        <v>3456</v>
      </c>
      <c r="O243" s="66" t="s">
        <v>3569</v>
      </c>
      <c r="P243" s="66" t="s">
        <v>3569</v>
      </c>
      <c r="Q243" s="6" t="s">
        <v>18</v>
      </c>
      <c r="R243" s="6" t="s">
        <v>7</v>
      </c>
    </row>
    <row r="244" spans="1:18">
      <c r="A244" s="1">
        <v>1079</v>
      </c>
      <c r="B244" s="3" t="s">
        <v>710</v>
      </c>
      <c r="C244" s="3" t="s">
        <v>208</v>
      </c>
      <c r="D244" s="3">
        <v>3</v>
      </c>
      <c r="E244" s="3" t="s">
        <v>3083</v>
      </c>
      <c r="F244" s="3" t="s">
        <v>3084</v>
      </c>
      <c r="G244" s="3" t="s">
        <v>3053</v>
      </c>
      <c r="I244" s="3" t="s">
        <v>281</v>
      </c>
      <c r="J244" s="3" t="s">
        <v>282</v>
      </c>
      <c r="N244" s="3" t="s">
        <v>3150</v>
      </c>
      <c r="O244" s="64" t="s">
        <v>3533</v>
      </c>
      <c r="P244" s="64" t="s">
        <v>3527</v>
      </c>
      <c r="Q244" s="3" t="s">
        <v>45</v>
      </c>
      <c r="R244" s="3" t="s">
        <v>7</v>
      </c>
    </row>
    <row r="245" spans="1:18">
      <c r="A245" s="1">
        <v>1080</v>
      </c>
      <c r="B245" s="3" t="s">
        <v>711</v>
      </c>
      <c r="C245" s="3" t="s">
        <v>208</v>
      </c>
      <c r="D245" s="3">
        <v>3</v>
      </c>
      <c r="E245" s="3" t="s">
        <v>3083</v>
      </c>
      <c r="F245" s="3" t="s">
        <v>3084</v>
      </c>
      <c r="G245" s="3" t="s">
        <v>3053</v>
      </c>
      <c r="I245" s="3" t="s">
        <v>3800</v>
      </c>
      <c r="N245" s="3" t="s">
        <v>3150</v>
      </c>
      <c r="O245" s="64" t="s">
        <v>3569</v>
      </c>
      <c r="P245" s="64" t="s">
        <v>3569</v>
      </c>
      <c r="Q245" s="3" t="s">
        <v>180</v>
      </c>
      <c r="R245" s="3" t="s">
        <v>7</v>
      </c>
    </row>
    <row r="246" spans="1:18">
      <c r="A246" s="3">
        <v>1081</v>
      </c>
      <c r="B246" s="3" t="s">
        <v>712</v>
      </c>
      <c r="C246" s="3" t="s">
        <v>204</v>
      </c>
      <c r="D246" s="3">
        <v>3</v>
      </c>
      <c r="E246" s="3" t="s">
        <v>3083</v>
      </c>
      <c r="F246" s="3" t="s">
        <v>3084</v>
      </c>
      <c r="G246" s="3" t="s">
        <v>3053</v>
      </c>
      <c r="I246" s="3" t="s">
        <v>283</v>
      </c>
      <c r="J246" s="3" t="s">
        <v>284</v>
      </c>
      <c r="M246" s="3" t="s">
        <v>153</v>
      </c>
      <c r="N246" s="3" t="s">
        <v>3150</v>
      </c>
      <c r="O246" s="64" t="s">
        <v>3569</v>
      </c>
      <c r="P246" s="64" t="s">
        <v>3569</v>
      </c>
    </row>
    <row r="247" spans="1:18">
      <c r="A247" s="3">
        <v>1082</v>
      </c>
      <c r="B247" s="3" t="s">
        <v>713</v>
      </c>
      <c r="C247" s="3" t="s">
        <v>3091</v>
      </c>
      <c r="D247" s="3">
        <v>3</v>
      </c>
      <c r="E247" s="3" t="s">
        <v>3094</v>
      </c>
      <c r="F247" s="3" t="s">
        <v>3084</v>
      </c>
      <c r="G247" s="3" t="s">
        <v>3053</v>
      </c>
      <c r="I247" s="3" t="s">
        <v>285</v>
      </c>
      <c r="M247" s="3" t="s">
        <v>153</v>
      </c>
      <c r="N247" s="3" t="s">
        <v>3456</v>
      </c>
      <c r="O247" s="64" t="s">
        <v>3569</v>
      </c>
      <c r="P247" s="64" t="s">
        <v>3522</v>
      </c>
      <c r="Q247" s="3" t="s">
        <v>46</v>
      </c>
      <c r="R247" s="3" t="s">
        <v>7</v>
      </c>
    </row>
    <row r="248" spans="1:18">
      <c r="A248" s="1">
        <v>1083</v>
      </c>
      <c r="B248" s="3" t="s">
        <v>714</v>
      </c>
      <c r="C248" s="3" t="s">
        <v>208</v>
      </c>
      <c r="D248" s="3">
        <v>3</v>
      </c>
      <c r="E248" s="3" t="s">
        <v>3083</v>
      </c>
      <c r="F248" s="3" t="s">
        <v>3084</v>
      </c>
      <c r="G248" s="3" t="s">
        <v>3053</v>
      </c>
      <c r="I248" s="3" t="s">
        <v>286</v>
      </c>
      <c r="N248" s="3" t="s">
        <v>3456</v>
      </c>
      <c r="O248" s="64" t="s">
        <v>3533</v>
      </c>
      <c r="P248" s="64" t="s">
        <v>3522</v>
      </c>
      <c r="Q248" s="3" t="s">
        <v>171</v>
      </c>
      <c r="R248" s="3" t="s">
        <v>7</v>
      </c>
    </row>
    <row r="249" spans="1:18">
      <c r="A249" s="6">
        <v>1084</v>
      </c>
      <c r="B249" s="6" t="s">
        <v>715</v>
      </c>
      <c r="C249" s="6" t="s">
        <v>208</v>
      </c>
      <c r="D249" s="6">
        <v>3</v>
      </c>
      <c r="E249" s="6" t="s">
        <v>3083</v>
      </c>
      <c r="F249" s="6" t="s">
        <v>3084</v>
      </c>
      <c r="G249" s="6" t="s">
        <v>3050</v>
      </c>
      <c r="H249" s="6"/>
      <c r="I249" s="6" t="s">
        <v>287</v>
      </c>
      <c r="J249" s="6" t="s">
        <v>288</v>
      </c>
      <c r="K249" s="6"/>
      <c r="L249" s="6"/>
      <c r="M249" s="6" t="s">
        <v>491</v>
      </c>
      <c r="N249" s="6" t="s">
        <v>3456</v>
      </c>
      <c r="O249" s="66" t="s">
        <v>3569</v>
      </c>
      <c r="P249" s="66" t="s">
        <v>3569</v>
      </c>
      <c r="Q249" s="6"/>
      <c r="R249" s="6"/>
    </row>
    <row r="250" spans="1:18">
      <c r="A250" s="6">
        <v>1085</v>
      </c>
      <c r="B250" s="6" t="s">
        <v>716</v>
      </c>
      <c r="C250" s="6" t="s">
        <v>208</v>
      </c>
      <c r="D250" s="6">
        <v>3</v>
      </c>
      <c r="E250" s="6" t="s">
        <v>3087</v>
      </c>
      <c r="F250" s="6" t="s">
        <v>3089</v>
      </c>
      <c r="G250" s="6"/>
      <c r="H250" s="6"/>
      <c r="I250" s="6" t="s">
        <v>1</v>
      </c>
      <c r="J250" s="6" t="s">
        <v>289</v>
      </c>
      <c r="K250" s="6"/>
      <c r="L250" s="6"/>
      <c r="M250" s="6" t="s">
        <v>491</v>
      </c>
      <c r="N250" s="6" t="s">
        <v>3456</v>
      </c>
      <c r="O250" s="66" t="s">
        <v>3527</v>
      </c>
      <c r="P250" s="66" t="s">
        <v>3522</v>
      </c>
      <c r="Q250" s="6" t="s">
        <v>183</v>
      </c>
      <c r="R250" s="6" t="s">
        <v>7</v>
      </c>
    </row>
    <row r="251" spans="1:18">
      <c r="A251" s="1">
        <v>1086</v>
      </c>
      <c r="B251" s="3" t="s">
        <v>717</v>
      </c>
      <c r="C251" s="3" t="s">
        <v>204</v>
      </c>
      <c r="D251" s="3">
        <v>3</v>
      </c>
      <c r="E251" s="3" t="s">
        <v>3083</v>
      </c>
      <c r="F251" s="3" t="s">
        <v>3084</v>
      </c>
      <c r="G251" s="3" t="s">
        <v>3053</v>
      </c>
      <c r="I251" s="3" t="s">
        <v>290</v>
      </c>
      <c r="N251" s="3" t="s">
        <v>3456</v>
      </c>
      <c r="O251" s="64" t="s">
        <v>3569</v>
      </c>
      <c r="P251" s="64" t="s">
        <v>3569</v>
      </c>
      <c r="Q251" s="3" t="s">
        <v>52</v>
      </c>
      <c r="R251" s="3" t="s">
        <v>7</v>
      </c>
    </row>
    <row r="252" spans="1:18">
      <c r="A252" s="1">
        <v>1087</v>
      </c>
      <c r="B252" s="3" t="s">
        <v>718</v>
      </c>
      <c r="C252" s="3" t="s">
        <v>208</v>
      </c>
      <c r="D252" s="3">
        <v>3</v>
      </c>
      <c r="E252" s="3" t="s">
        <v>3083</v>
      </c>
      <c r="F252" s="3" t="s">
        <v>3084</v>
      </c>
      <c r="G252" s="3" t="s">
        <v>3050</v>
      </c>
      <c r="I252" s="3" t="s">
        <v>291</v>
      </c>
      <c r="N252" s="3" t="s">
        <v>3456</v>
      </c>
      <c r="O252" s="64" t="s">
        <v>3569</v>
      </c>
      <c r="P252" s="64" t="s">
        <v>3569</v>
      </c>
      <c r="Q252" s="3" t="s">
        <v>36</v>
      </c>
      <c r="R252" s="3" t="s">
        <v>7</v>
      </c>
    </row>
    <row r="253" spans="1:18">
      <c r="A253" s="1">
        <v>1088</v>
      </c>
      <c r="B253" s="3" t="s">
        <v>719</v>
      </c>
      <c r="C253" s="3" t="s">
        <v>204</v>
      </c>
      <c r="D253" s="3">
        <v>3</v>
      </c>
      <c r="E253" s="3" t="s">
        <v>3083</v>
      </c>
      <c r="F253" s="3" t="s">
        <v>3084</v>
      </c>
      <c r="G253" s="3" t="s">
        <v>3066</v>
      </c>
      <c r="H253" s="3" t="s">
        <v>3051</v>
      </c>
      <c r="I253" s="3" t="s">
        <v>292</v>
      </c>
      <c r="J253" s="3" t="s">
        <v>293</v>
      </c>
      <c r="N253" s="3" t="s">
        <v>3456</v>
      </c>
      <c r="O253" s="64" t="s">
        <v>3533</v>
      </c>
      <c r="P253" s="64" t="s">
        <v>3533</v>
      </c>
      <c r="Q253" s="3" t="s">
        <v>15</v>
      </c>
      <c r="R253" s="3" t="s">
        <v>7</v>
      </c>
    </row>
    <row r="254" spans="1:18">
      <c r="A254" s="1">
        <v>1089</v>
      </c>
      <c r="B254" s="3" t="s">
        <v>720</v>
      </c>
      <c r="C254" s="3" t="s">
        <v>204</v>
      </c>
      <c r="D254" s="3">
        <v>3</v>
      </c>
      <c r="E254" s="3" t="s">
        <v>3083</v>
      </c>
      <c r="F254" s="3" t="s">
        <v>3084</v>
      </c>
      <c r="G254" s="3" t="s">
        <v>3050</v>
      </c>
      <c r="I254" s="3" t="s">
        <v>294</v>
      </c>
      <c r="N254" s="3" t="s">
        <v>3456</v>
      </c>
      <c r="O254" s="64" t="s">
        <v>3527</v>
      </c>
      <c r="P254" s="64" t="s">
        <v>3569</v>
      </c>
      <c r="Q254" s="3" t="s">
        <v>46</v>
      </c>
      <c r="R254" s="3" t="s">
        <v>7</v>
      </c>
    </row>
    <row r="255" spans="1:18">
      <c r="A255" s="1">
        <v>2031</v>
      </c>
      <c r="B255" s="3" t="s">
        <v>2076</v>
      </c>
      <c r="C255" s="3" t="s">
        <v>204</v>
      </c>
      <c r="D255" s="3">
        <v>3</v>
      </c>
      <c r="E255" s="3" t="s">
        <v>3083</v>
      </c>
      <c r="F255" s="3" t="s">
        <v>3084</v>
      </c>
      <c r="G255" s="3" t="s">
        <v>3063</v>
      </c>
      <c r="I255" s="3" t="s">
        <v>555</v>
      </c>
      <c r="J255" s="3" t="s">
        <v>556</v>
      </c>
      <c r="N255" s="3" t="s">
        <v>3150</v>
      </c>
      <c r="O255" s="64" t="s">
        <v>3533</v>
      </c>
      <c r="P255" s="64" t="s">
        <v>3533</v>
      </c>
      <c r="Q255" s="3" t="s">
        <v>606</v>
      </c>
      <c r="R255" s="3" t="s">
        <v>9</v>
      </c>
    </row>
    <row r="256" spans="1:18">
      <c r="A256" s="6">
        <v>2032</v>
      </c>
      <c r="B256" s="6" t="s">
        <v>2077</v>
      </c>
      <c r="C256" s="6" t="s">
        <v>204</v>
      </c>
      <c r="D256" s="6">
        <v>3</v>
      </c>
      <c r="E256" s="6" t="s">
        <v>3083</v>
      </c>
      <c r="F256" s="6" t="s">
        <v>3084</v>
      </c>
      <c r="G256" s="6" t="s">
        <v>3049</v>
      </c>
      <c r="H256" s="6" t="s">
        <v>3060</v>
      </c>
      <c r="I256" s="6" t="s">
        <v>551</v>
      </c>
      <c r="J256" s="6"/>
      <c r="K256" s="6"/>
      <c r="L256" s="6"/>
      <c r="M256" s="6"/>
      <c r="N256" s="6" t="s">
        <v>3150</v>
      </c>
      <c r="O256" s="66" t="s">
        <v>3527</v>
      </c>
      <c r="P256" s="66" t="s">
        <v>3569</v>
      </c>
      <c r="Q256" s="6" t="s">
        <v>28</v>
      </c>
      <c r="R256" s="6" t="s">
        <v>9</v>
      </c>
    </row>
    <row r="257" spans="1:18">
      <c r="A257" s="1">
        <v>2033</v>
      </c>
      <c r="B257" s="3" t="s">
        <v>2078</v>
      </c>
      <c r="C257" s="3" t="s">
        <v>204</v>
      </c>
      <c r="D257" s="3">
        <v>3</v>
      </c>
      <c r="E257" s="3" t="s">
        <v>3083</v>
      </c>
      <c r="F257" s="3" t="s">
        <v>3084</v>
      </c>
      <c r="G257" s="3" t="s">
        <v>3068</v>
      </c>
      <c r="H257" s="3" t="s">
        <v>3053</v>
      </c>
      <c r="I257" s="3" t="s">
        <v>771</v>
      </c>
      <c r="O257" s="64" t="s">
        <v>3569</v>
      </c>
      <c r="P257" s="64" t="s">
        <v>3569</v>
      </c>
      <c r="Q257" s="3" t="s">
        <v>169</v>
      </c>
      <c r="R257" s="3" t="s">
        <v>9</v>
      </c>
    </row>
    <row r="258" spans="1:18">
      <c r="A258" s="1">
        <v>2034</v>
      </c>
      <c r="B258" s="3" t="s">
        <v>2079</v>
      </c>
      <c r="C258" s="3" t="s">
        <v>204</v>
      </c>
      <c r="D258" s="3">
        <v>3</v>
      </c>
      <c r="E258" s="3" t="s">
        <v>3087</v>
      </c>
      <c r="F258" s="3" t="s">
        <v>3084</v>
      </c>
      <c r="G258" s="3" t="s">
        <v>3050</v>
      </c>
      <c r="I258" s="3" t="s">
        <v>0</v>
      </c>
      <c r="J258" s="3" t="s">
        <v>548</v>
      </c>
      <c r="O258" s="64" t="s">
        <v>3527</v>
      </c>
      <c r="P258" s="64" t="s">
        <v>3569</v>
      </c>
      <c r="Q258" s="3" t="s">
        <v>39</v>
      </c>
      <c r="R258" s="3" t="s">
        <v>9</v>
      </c>
    </row>
    <row r="259" spans="1:18">
      <c r="A259" s="1">
        <v>2035</v>
      </c>
      <c r="B259" s="3" t="s">
        <v>2080</v>
      </c>
      <c r="C259" s="3" t="s">
        <v>208</v>
      </c>
      <c r="D259" s="3">
        <v>3</v>
      </c>
      <c r="E259" s="3" t="s">
        <v>3087</v>
      </c>
      <c r="F259" s="3" t="s">
        <v>3084</v>
      </c>
      <c r="G259" s="3" t="s">
        <v>3051</v>
      </c>
      <c r="I259" s="3" t="s">
        <v>543</v>
      </c>
      <c r="N259" s="3" t="s">
        <v>3456</v>
      </c>
      <c r="O259" s="64" t="s">
        <v>3533</v>
      </c>
      <c r="P259" s="64" t="s">
        <v>3533</v>
      </c>
      <c r="Q259" s="3" t="s">
        <v>31</v>
      </c>
      <c r="R259" s="3" t="s">
        <v>9</v>
      </c>
    </row>
    <row r="260" spans="1:18">
      <c r="A260" s="1">
        <v>2036</v>
      </c>
      <c r="B260" s="3" t="s">
        <v>2081</v>
      </c>
      <c r="C260" s="3" t="s">
        <v>204</v>
      </c>
      <c r="D260" s="3">
        <v>3</v>
      </c>
      <c r="E260" s="3" t="s">
        <v>3083</v>
      </c>
      <c r="F260" s="3" t="s">
        <v>3084</v>
      </c>
      <c r="G260" s="3" t="s">
        <v>3053</v>
      </c>
      <c r="I260" s="3" t="s">
        <v>3805</v>
      </c>
      <c r="J260" s="3" t="s">
        <v>3892</v>
      </c>
      <c r="L260" s="3" t="s">
        <v>3893</v>
      </c>
      <c r="N260" s="3" t="s">
        <v>3456</v>
      </c>
      <c r="O260" s="64" t="s">
        <v>4050</v>
      </c>
      <c r="P260" s="64" t="s">
        <v>3527</v>
      </c>
      <c r="Q260" s="3" t="s">
        <v>170</v>
      </c>
      <c r="R260" s="3" t="s">
        <v>9</v>
      </c>
    </row>
    <row r="261" spans="1:18">
      <c r="A261" s="1">
        <v>2037</v>
      </c>
      <c r="B261" s="3" t="s">
        <v>2082</v>
      </c>
      <c r="C261" s="3" t="s">
        <v>208</v>
      </c>
      <c r="D261" s="3">
        <v>3</v>
      </c>
      <c r="E261" s="3" t="s">
        <v>3083</v>
      </c>
      <c r="F261" s="3" t="s">
        <v>3084</v>
      </c>
      <c r="G261" s="3" t="s">
        <v>3055</v>
      </c>
      <c r="I261" s="3" t="s">
        <v>21</v>
      </c>
      <c r="J261" s="3" t="s">
        <v>554</v>
      </c>
      <c r="N261" s="3" t="s">
        <v>3150</v>
      </c>
      <c r="O261" s="64" t="s">
        <v>3569</v>
      </c>
      <c r="P261" s="64" t="s">
        <v>3569</v>
      </c>
      <c r="Q261" s="3" t="s">
        <v>32</v>
      </c>
      <c r="R261" s="3" t="s">
        <v>9</v>
      </c>
    </row>
    <row r="262" spans="1:18">
      <c r="A262" s="1">
        <v>2038</v>
      </c>
      <c r="B262" s="3" t="s">
        <v>2083</v>
      </c>
      <c r="C262" s="3" t="s">
        <v>208</v>
      </c>
      <c r="D262" s="3">
        <v>3</v>
      </c>
      <c r="E262" s="3" t="s">
        <v>3083</v>
      </c>
      <c r="F262" s="3" t="s">
        <v>3084</v>
      </c>
      <c r="G262" s="3" t="s">
        <v>3066</v>
      </c>
      <c r="I262" s="3" t="s">
        <v>535</v>
      </c>
      <c r="N262" s="3" t="s">
        <v>3456</v>
      </c>
      <c r="O262" s="64" t="s">
        <v>4050</v>
      </c>
      <c r="P262" s="64" t="s">
        <v>3569</v>
      </c>
      <c r="Q262" s="3" t="s">
        <v>174</v>
      </c>
      <c r="R262" s="3" t="s">
        <v>9</v>
      </c>
    </row>
    <row r="263" spans="1:18">
      <c r="A263" s="1">
        <v>2039</v>
      </c>
      <c r="B263" s="3" t="s">
        <v>2084</v>
      </c>
      <c r="C263" s="3" t="s">
        <v>208</v>
      </c>
      <c r="D263" s="3">
        <v>3</v>
      </c>
      <c r="E263" s="3" t="s">
        <v>3083</v>
      </c>
      <c r="F263" s="3" t="s">
        <v>3084</v>
      </c>
      <c r="G263" s="3" t="s">
        <v>3054</v>
      </c>
      <c r="I263" s="3" t="s">
        <v>553</v>
      </c>
      <c r="N263" s="3" t="s">
        <v>3456</v>
      </c>
      <c r="O263" s="64" t="s">
        <v>3569</v>
      </c>
      <c r="P263" s="64" t="s">
        <v>3569</v>
      </c>
      <c r="Q263" s="3" t="s">
        <v>176</v>
      </c>
      <c r="R263" s="3" t="s">
        <v>9</v>
      </c>
    </row>
    <row r="264" spans="1:18">
      <c r="A264" s="1">
        <v>2040</v>
      </c>
      <c r="B264" s="3" t="s">
        <v>2085</v>
      </c>
      <c r="C264" s="3" t="s">
        <v>208</v>
      </c>
      <c r="D264" s="3">
        <v>3</v>
      </c>
      <c r="E264" s="3" t="s">
        <v>3083</v>
      </c>
      <c r="F264" s="3" t="s">
        <v>3084</v>
      </c>
      <c r="G264" s="3" t="s">
        <v>3054</v>
      </c>
      <c r="I264" s="3" t="s">
        <v>0</v>
      </c>
      <c r="J264" s="80" t="s">
        <v>19</v>
      </c>
      <c r="K264" s="3" t="s">
        <v>552</v>
      </c>
      <c r="N264" s="3" t="s">
        <v>3456</v>
      </c>
      <c r="O264" s="64" t="s">
        <v>3569</v>
      </c>
      <c r="P264" s="64" t="s">
        <v>3569</v>
      </c>
      <c r="Q264" s="3" t="s">
        <v>180</v>
      </c>
      <c r="R264" s="3" t="s">
        <v>9</v>
      </c>
    </row>
    <row r="265" spans="1:18">
      <c r="A265" s="1">
        <v>2041</v>
      </c>
      <c r="B265" s="3" t="s">
        <v>2086</v>
      </c>
      <c r="C265" s="3" t="s">
        <v>204</v>
      </c>
      <c r="D265" s="3">
        <v>3</v>
      </c>
      <c r="E265" s="3" t="s">
        <v>3083</v>
      </c>
      <c r="F265" s="3" t="s">
        <v>3084</v>
      </c>
      <c r="G265" s="3" t="s">
        <v>3050</v>
      </c>
      <c r="I265" s="3" t="s">
        <v>772</v>
      </c>
      <c r="J265" s="3" t="s">
        <v>773</v>
      </c>
      <c r="N265" s="3" t="s">
        <v>3456</v>
      </c>
      <c r="O265" s="64" t="s">
        <v>3533</v>
      </c>
      <c r="P265" s="64" t="s">
        <v>3533</v>
      </c>
      <c r="Q265" s="3" t="s">
        <v>10</v>
      </c>
      <c r="R265" s="3" t="s">
        <v>9</v>
      </c>
    </row>
    <row r="266" spans="1:18">
      <c r="A266" s="6">
        <v>2042</v>
      </c>
      <c r="B266" s="6" t="s">
        <v>2087</v>
      </c>
      <c r="C266" s="6" t="s">
        <v>208</v>
      </c>
      <c r="D266" s="6">
        <v>3</v>
      </c>
      <c r="E266" s="6" t="s">
        <v>3087</v>
      </c>
      <c r="F266" s="6" t="s">
        <v>3084</v>
      </c>
      <c r="G266" s="6" t="s">
        <v>3054</v>
      </c>
      <c r="H266" s="6"/>
      <c r="I266" s="6" t="s">
        <v>538</v>
      </c>
      <c r="J266" s="6" t="s">
        <v>539</v>
      </c>
      <c r="K266" s="6"/>
      <c r="L266" s="6"/>
      <c r="M266" s="6"/>
      <c r="N266" s="6" t="s">
        <v>3150</v>
      </c>
      <c r="O266" s="66" t="s">
        <v>3569</v>
      </c>
      <c r="P266" s="66" t="s">
        <v>3569</v>
      </c>
      <c r="Q266" s="6" t="s">
        <v>31</v>
      </c>
      <c r="R266" s="3" t="s">
        <v>9</v>
      </c>
    </row>
    <row r="267" spans="1:18">
      <c r="A267" s="6">
        <v>2043</v>
      </c>
      <c r="B267" s="6" t="s">
        <v>2088</v>
      </c>
      <c r="C267" s="6" t="s">
        <v>208</v>
      </c>
      <c r="D267" s="6">
        <v>3</v>
      </c>
      <c r="E267" s="6" t="s">
        <v>3083</v>
      </c>
      <c r="F267" s="6" t="s">
        <v>3084</v>
      </c>
      <c r="G267" s="6" t="s">
        <v>3053</v>
      </c>
      <c r="H267" s="6"/>
      <c r="I267" s="6" t="s">
        <v>532</v>
      </c>
      <c r="J267" s="6" t="s">
        <v>533</v>
      </c>
      <c r="K267" s="6"/>
      <c r="L267" s="6"/>
      <c r="M267" s="6"/>
      <c r="N267" s="6" t="s">
        <v>3456</v>
      </c>
      <c r="O267" s="66" t="s">
        <v>3569</v>
      </c>
      <c r="P267" s="66" t="s">
        <v>3569</v>
      </c>
      <c r="Q267" s="6" t="s">
        <v>44</v>
      </c>
      <c r="R267" s="3" t="s">
        <v>9</v>
      </c>
    </row>
    <row r="268" spans="1:18">
      <c r="A268" s="1">
        <v>2044</v>
      </c>
      <c r="B268" s="3" t="s">
        <v>2089</v>
      </c>
      <c r="C268" s="3" t="s">
        <v>204</v>
      </c>
      <c r="D268" s="3">
        <v>3</v>
      </c>
      <c r="E268" s="3" t="s">
        <v>3083</v>
      </c>
      <c r="F268" s="3" t="s">
        <v>3084</v>
      </c>
      <c r="G268" s="3" t="s">
        <v>3053</v>
      </c>
      <c r="I268" s="3" t="s">
        <v>536</v>
      </c>
      <c r="J268" s="3" t="s">
        <v>537</v>
      </c>
      <c r="N268" s="3" t="s">
        <v>3456</v>
      </c>
      <c r="O268" s="64" t="s">
        <v>3527</v>
      </c>
      <c r="P268" s="64" t="s">
        <v>3527</v>
      </c>
      <c r="Q268" s="3" t="s">
        <v>5</v>
      </c>
      <c r="R268" s="3" t="s">
        <v>9</v>
      </c>
    </row>
    <row r="269" spans="1:18">
      <c r="A269" s="1">
        <v>2045</v>
      </c>
      <c r="B269" s="3" t="s">
        <v>2090</v>
      </c>
      <c r="C269" s="3" t="s">
        <v>208</v>
      </c>
      <c r="D269" s="3">
        <v>3</v>
      </c>
      <c r="E269" s="3" t="s">
        <v>3083</v>
      </c>
      <c r="F269" s="3" t="s">
        <v>3084</v>
      </c>
      <c r="G269" s="3" t="s">
        <v>3050</v>
      </c>
      <c r="I269" s="3" t="s">
        <v>549</v>
      </c>
      <c r="N269" s="3" t="s">
        <v>3456</v>
      </c>
      <c r="O269" s="64" t="s">
        <v>3569</v>
      </c>
      <c r="P269" s="64" t="s">
        <v>3569</v>
      </c>
      <c r="Q269" s="3" t="s">
        <v>174</v>
      </c>
      <c r="R269" s="3" t="s">
        <v>9</v>
      </c>
    </row>
    <row r="270" spans="1:18">
      <c r="A270" s="6">
        <v>2046</v>
      </c>
      <c r="B270" s="6" t="s">
        <v>2091</v>
      </c>
      <c r="C270" s="6" t="s">
        <v>204</v>
      </c>
      <c r="D270" s="6">
        <v>3</v>
      </c>
      <c r="E270" s="6" t="s">
        <v>3083</v>
      </c>
      <c r="F270" s="6" t="s">
        <v>3084</v>
      </c>
      <c r="G270" s="6" t="s">
        <v>3053</v>
      </c>
      <c r="H270" s="6" t="s">
        <v>3060</v>
      </c>
      <c r="I270" s="6" t="s">
        <v>546</v>
      </c>
      <c r="J270" s="6"/>
      <c r="K270" s="6"/>
      <c r="L270" s="6"/>
      <c r="M270" s="6" t="s">
        <v>3150</v>
      </c>
      <c r="N270" s="6" t="s">
        <v>3456</v>
      </c>
      <c r="O270" s="66" t="s">
        <v>3569</v>
      </c>
      <c r="P270" s="66" t="s">
        <v>3527</v>
      </c>
      <c r="Q270" s="6" t="s">
        <v>607</v>
      </c>
      <c r="R270" s="6" t="s">
        <v>9</v>
      </c>
    </row>
    <row r="271" spans="1:18">
      <c r="A271" s="1">
        <v>2047</v>
      </c>
      <c r="B271" s="3" t="s">
        <v>2092</v>
      </c>
      <c r="C271" s="3" t="s">
        <v>208</v>
      </c>
      <c r="D271" s="3">
        <v>3</v>
      </c>
      <c r="E271" s="3" t="s">
        <v>3083</v>
      </c>
      <c r="F271" s="3" t="s">
        <v>3084</v>
      </c>
      <c r="G271" s="3" t="s">
        <v>3054</v>
      </c>
      <c r="I271" s="3" t="s">
        <v>0</v>
      </c>
      <c r="J271" s="3" t="s">
        <v>3894</v>
      </c>
      <c r="N271" s="3" t="s">
        <v>3456</v>
      </c>
      <c r="O271" s="64" t="s">
        <v>3569</v>
      </c>
      <c r="P271" s="64" t="s">
        <v>3569</v>
      </c>
      <c r="Q271" s="3" t="s">
        <v>178</v>
      </c>
      <c r="R271" s="3" t="s">
        <v>9</v>
      </c>
    </row>
    <row r="272" spans="1:18">
      <c r="A272" s="1">
        <v>2048</v>
      </c>
      <c r="B272" s="9" t="s">
        <v>2093</v>
      </c>
      <c r="C272" s="9" t="s">
        <v>204</v>
      </c>
      <c r="D272" s="9">
        <v>3</v>
      </c>
      <c r="E272" s="9" t="s">
        <v>3083</v>
      </c>
      <c r="F272" s="9" t="s">
        <v>3084</v>
      </c>
      <c r="G272" s="9" t="s">
        <v>3050</v>
      </c>
      <c r="H272" s="9"/>
      <c r="I272" s="9" t="s">
        <v>550</v>
      </c>
      <c r="J272" s="9"/>
      <c r="K272" s="9"/>
      <c r="L272" s="9"/>
      <c r="M272" s="9"/>
      <c r="N272" s="9" t="s">
        <v>3456</v>
      </c>
      <c r="O272" s="84" t="s">
        <v>3533</v>
      </c>
      <c r="P272" s="84" t="s">
        <v>3533</v>
      </c>
      <c r="Q272" s="9" t="s">
        <v>181</v>
      </c>
      <c r="R272" s="9" t="s">
        <v>9</v>
      </c>
    </row>
    <row r="273" spans="1:19">
      <c r="A273" s="1">
        <v>2049</v>
      </c>
      <c r="B273" s="3" t="s">
        <v>2094</v>
      </c>
      <c r="C273" s="3" t="s">
        <v>208</v>
      </c>
      <c r="D273" s="3">
        <v>3</v>
      </c>
      <c r="E273" s="3" t="s">
        <v>3083</v>
      </c>
      <c r="F273" s="3" t="s">
        <v>3084</v>
      </c>
      <c r="G273" s="3" t="s">
        <v>3054</v>
      </c>
      <c r="I273" s="3" t="s">
        <v>3895</v>
      </c>
      <c r="N273" s="3" t="s">
        <v>3456</v>
      </c>
      <c r="O273" s="64" t="s">
        <v>3569</v>
      </c>
      <c r="P273" s="64" t="s">
        <v>3569</v>
      </c>
      <c r="Q273" s="3" t="s">
        <v>169</v>
      </c>
      <c r="R273" s="3" t="s">
        <v>9</v>
      </c>
    </row>
    <row r="274" spans="1:19">
      <c r="A274" s="1">
        <v>2050</v>
      </c>
      <c r="B274" s="3" t="s">
        <v>2095</v>
      </c>
      <c r="C274" s="3" t="s">
        <v>204</v>
      </c>
      <c r="D274" s="3">
        <v>3</v>
      </c>
      <c r="E274" s="3" t="s">
        <v>3083</v>
      </c>
      <c r="F274" s="3" t="s">
        <v>3084</v>
      </c>
      <c r="G274" s="3" t="s">
        <v>3050</v>
      </c>
      <c r="I274" s="3" t="s">
        <v>544</v>
      </c>
      <c r="N274" s="3" t="s">
        <v>3150</v>
      </c>
      <c r="O274" s="64" t="s">
        <v>3569</v>
      </c>
      <c r="P274" s="64" t="s">
        <v>3569</v>
      </c>
      <c r="Q274" s="3" t="s">
        <v>45</v>
      </c>
      <c r="R274" s="3" t="s">
        <v>9</v>
      </c>
    </row>
    <row r="275" spans="1:19">
      <c r="A275" s="1">
        <v>2051</v>
      </c>
      <c r="B275" s="3" t="s">
        <v>2096</v>
      </c>
      <c r="C275" s="3" t="s">
        <v>204</v>
      </c>
      <c r="D275" s="3">
        <v>3</v>
      </c>
      <c r="E275" s="3" t="s">
        <v>3083</v>
      </c>
      <c r="F275" s="3" t="s">
        <v>3084</v>
      </c>
      <c r="G275" s="3" t="s">
        <v>3051</v>
      </c>
      <c r="I275" s="3" t="s">
        <v>3896</v>
      </c>
      <c r="N275" s="3" t="s">
        <v>3456</v>
      </c>
      <c r="O275" s="64" t="s">
        <v>3569</v>
      </c>
      <c r="P275" s="64" t="s">
        <v>3569</v>
      </c>
      <c r="Q275" s="3" t="s">
        <v>170</v>
      </c>
      <c r="R275" s="3" t="s">
        <v>9</v>
      </c>
    </row>
    <row r="276" spans="1:19">
      <c r="A276" s="1">
        <v>2052</v>
      </c>
      <c r="B276" s="3" t="s">
        <v>2097</v>
      </c>
      <c r="C276" s="3" t="s">
        <v>204</v>
      </c>
      <c r="D276" s="3">
        <v>3</v>
      </c>
      <c r="E276" s="3" t="s">
        <v>3087</v>
      </c>
      <c r="F276" s="3" t="s">
        <v>3084</v>
      </c>
      <c r="G276" s="3" t="s">
        <v>3059</v>
      </c>
      <c r="I276" s="3" t="s">
        <v>3</v>
      </c>
      <c r="J276" s="3" t="s">
        <v>545</v>
      </c>
      <c r="N276" s="3" t="s">
        <v>3456</v>
      </c>
      <c r="O276" s="64" t="s">
        <v>3569</v>
      </c>
      <c r="P276" s="64" t="s">
        <v>3533</v>
      </c>
      <c r="Q276" s="3" t="s">
        <v>175</v>
      </c>
      <c r="R276" s="3" t="s">
        <v>9</v>
      </c>
    </row>
    <row r="277" spans="1:19">
      <c r="A277" s="6">
        <v>2053</v>
      </c>
      <c r="B277" s="6" t="s">
        <v>2098</v>
      </c>
      <c r="C277" s="6" t="s">
        <v>208</v>
      </c>
      <c r="D277" s="6">
        <v>3</v>
      </c>
      <c r="E277" s="6" t="s">
        <v>3087</v>
      </c>
      <c r="F277" s="6" t="s">
        <v>3084</v>
      </c>
      <c r="G277" s="6" t="s">
        <v>3053</v>
      </c>
      <c r="H277" s="6"/>
      <c r="I277" s="6" t="s">
        <v>540</v>
      </c>
      <c r="J277" s="6" t="s">
        <v>541</v>
      </c>
      <c r="K277" s="6"/>
      <c r="L277" s="6"/>
      <c r="M277" s="6"/>
      <c r="N277" s="6" t="s">
        <v>3456</v>
      </c>
      <c r="O277" s="66" t="s">
        <v>3533</v>
      </c>
      <c r="P277" s="66" t="s">
        <v>3527</v>
      </c>
      <c r="Q277" s="6" t="s">
        <v>34</v>
      </c>
      <c r="R277" s="3" t="s">
        <v>9</v>
      </c>
    </row>
    <row r="278" spans="1:19">
      <c r="A278" s="1">
        <v>2054</v>
      </c>
      <c r="B278" s="3" t="s">
        <v>2099</v>
      </c>
      <c r="C278" s="3" t="s">
        <v>208</v>
      </c>
      <c r="D278" s="3">
        <v>3</v>
      </c>
      <c r="E278" s="3" t="s">
        <v>3083</v>
      </c>
      <c r="F278" s="3" t="s">
        <v>3084</v>
      </c>
      <c r="G278" s="3" t="s">
        <v>3050</v>
      </c>
      <c r="I278" s="3" t="s">
        <v>21</v>
      </c>
      <c r="J278" s="3" t="s">
        <v>542</v>
      </c>
      <c r="N278" s="3" t="s">
        <v>3456</v>
      </c>
      <c r="O278" s="64" t="s">
        <v>3569</v>
      </c>
      <c r="P278" s="64" t="s">
        <v>3569</v>
      </c>
      <c r="Q278" s="3" t="s">
        <v>14</v>
      </c>
      <c r="R278" s="3" t="s">
        <v>9</v>
      </c>
    </row>
    <row r="279" spans="1:19">
      <c r="A279" s="1">
        <v>2055</v>
      </c>
      <c r="B279" s="3" t="s">
        <v>2100</v>
      </c>
      <c r="C279" s="3" t="s">
        <v>208</v>
      </c>
      <c r="D279" s="3">
        <v>3</v>
      </c>
      <c r="E279" s="3" t="s">
        <v>3083</v>
      </c>
      <c r="F279" s="3" t="s">
        <v>3084</v>
      </c>
      <c r="G279" s="3" t="s">
        <v>3050</v>
      </c>
      <c r="I279" s="3" t="s">
        <v>3897</v>
      </c>
      <c r="N279" s="3" t="s">
        <v>3456</v>
      </c>
      <c r="O279" s="64" t="s">
        <v>3569</v>
      </c>
      <c r="P279" s="64" t="s">
        <v>3569</v>
      </c>
      <c r="Q279" s="3" t="s">
        <v>169</v>
      </c>
      <c r="R279" s="3" t="s">
        <v>9</v>
      </c>
    </row>
    <row r="280" spans="1:19">
      <c r="A280" s="1">
        <v>2056</v>
      </c>
      <c r="B280" s="3" t="s">
        <v>2101</v>
      </c>
      <c r="C280" s="3" t="s">
        <v>208</v>
      </c>
      <c r="D280" s="3">
        <v>3</v>
      </c>
      <c r="E280" s="3" t="s">
        <v>3083</v>
      </c>
      <c r="F280" s="3" t="s">
        <v>3084</v>
      </c>
      <c r="G280" s="3" t="s">
        <v>3054</v>
      </c>
      <c r="I280" s="3" t="s">
        <v>3784</v>
      </c>
      <c r="J280" s="3" t="s">
        <v>547</v>
      </c>
      <c r="M280" s="3" t="s">
        <v>3150</v>
      </c>
      <c r="N280" s="3" t="s">
        <v>3456</v>
      </c>
      <c r="O280" s="64" t="s">
        <v>3569</v>
      </c>
      <c r="P280" s="64" t="s">
        <v>3569</v>
      </c>
      <c r="Q280" s="3" t="s">
        <v>52</v>
      </c>
      <c r="R280" s="3" t="s">
        <v>9</v>
      </c>
    </row>
    <row r="281" spans="1:19">
      <c r="A281" s="1">
        <v>3005</v>
      </c>
      <c r="B281" s="3" t="s">
        <v>2141</v>
      </c>
      <c r="C281" s="3" t="s">
        <v>208</v>
      </c>
      <c r="D281" s="3">
        <v>3</v>
      </c>
      <c r="E281" s="3" t="s">
        <v>3083</v>
      </c>
      <c r="F281" s="3" t="s">
        <v>3084</v>
      </c>
      <c r="G281" s="3" t="s">
        <v>3053</v>
      </c>
      <c r="H281" s="3" t="s">
        <v>3069</v>
      </c>
      <c r="I281" s="3" t="s">
        <v>3903</v>
      </c>
      <c r="J281" s="80" t="s">
        <v>3904</v>
      </c>
      <c r="K281" s="80" t="s">
        <v>3905</v>
      </c>
      <c r="N281" s="3" t="s">
        <v>3456</v>
      </c>
      <c r="O281" s="64" t="s">
        <v>3527</v>
      </c>
      <c r="P281" s="64" t="s">
        <v>3527</v>
      </c>
      <c r="Q281" s="3" t="s">
        <v>170</v>
      </c>
      <c r="R281" s="3" t="s">
        <v>41</v>
      </c>
    </row>
    <row r="282" spans="1:19">
      <c r="A282" s="1">
        <v>3006</v>
      </c>
      <c r="B282" s="3" t="s">
        <v>2142</v>
      </c>
      <c r="C282" s="3" t="s">
        <v>204</v>
      </c>
      <c r="D282" s="3">
        <v>3</v>
      </c>
      <c r="E282" s="3" t="s">
        <v>3083</v>
      </c>
      <c r="F282" s="3" t="s">
        <v>3084</v>
      </c>
      <c r="G282" s="3" t="s">
        <v>3058</v>
      </c>
      <c r="I282" s="3" t="s">
        <v>1269</v>
      </c>
      <c r="J282" s="3" t="s">
        <v>531</v>
      </c>
      <c r="N282" s="3" t="s">
        <v>3456</v>
      </c>
      <c r="O282" s="64" t="s">
        <v>3569</v>
      </c>
      <c r="P282" s="64" t="s">
        <v>3569</v>
      </c>
      <c r="Q282" s="3" t="s">
        <v>53</v>
      </c>
      <c r="R282" s="3" t="s">
        <v>41</v>
      </c>
    </row>
    <row r="283" spans="1:19">
      <c r="A283" s="1">
        <v>132</v>
      </c>
      <c r="B283" s="3" t="s">
        <v>460</v>
      </c>
      <c r="C283" s="3" t="s">
        <v>185</v>
      </c>
      <c r="D283" s="3">
        <v>4</v>
      </c>
      <c r="E283" s="3" t="s">
        <v>3083</v>
      </c>
      <c r="F283" s="3" t="s">
        <v>3084</v>
      </c>
      <c r="G283" s="3" t="s">
        <v>3049</v>
      </c>
      <c r="I283" s="3" t="s">
        <v>1282</v>
      </c>
      <c r="O283" s="64" t="s">
        <v>3569</v>
      </c>
      <c r="P283" s="64" t="s">
        <v>3530</v>
      </c>
      <c r="Q283" s="3" t="s">
        <v>38</v>
      </c>
      <c r="R283" s="3" t="s">
        <v>4</v>
      </c>
    </row>
    <row r="284" spans="1:19">
      <c r="A284" s="1">
        <v>133</v>
      </c>
      <c r="B284" s="3" t="s">
        <v>461</v>
      </c>
      <c r="C284" s="3" t="s">
        <v>185</v>
      </c>
      <c r="D284" s="3">
        <v>4</v>
      </c>
      <c r="E284" s="3" t="s">
        <v>3083</v>
      </c>
      <c r="F284" s="3" t="s">
        <v>3084</v>
      </c>
      <c r="G284" s="3" t="s">
        <v>3058</v>
      </c>
      <c r="I284" s="3" t="s">
        <v>130</v>
      </c>
      <c r="O284" s="64" t="s">
        <v>3569</v>
      </c>
      <c r="P284" s="64" t="s">
        <v>3522</v>
      </c>
      <c r="Q284" s="3" t="s">
        <v>32</v>
      </c>
      <c r="R284" s="3" t="s">
        <v>4</v>
      </c>
    </row>
    <row r="285" spans="1:19">
      <c r="A285" s="1">
        <v>134</v>
      </c>
      <c r="B285" s="3" t="s">
        <v>462</v>
      </c>
      <c r="C285" s="3" t="s">
        <v>185</v>
      </c>
      <c r="D285" s="3">
        <v>4</v>
      </c>
      <c r="E285" s="3" t="s">
        <v>3083</v>
      </c>
      <c r="F285" s="3" t="s">
        <v>3084</v>
      </c>
      <c r="G285" s="3" t="s">
        <v>3050</v>
      </c>
      <c r="O285" s="64" t="s">
        <v>3569</v>
      </c>
      <c r="P285" s="64" t="s">
        <v>3522</v>
      </c>
      <c r="Q285" s="3" t="s">
        <v>171</v>
      </c>
      <c r="R285" s="3" t="s">
        <v>4</v>
      </c>
      <c r="S285" s="12"/>
    </row>
    <row r="286" spans="1:19">
      <c r="A286" s="6">
        <v>135</v>
      </c>
      <c r="B286" s="6" t="s">
        <v>463</v>
      </c>
      <c r="C286" s="6" t="s">
        <v>185</v>
      </c>
      <c r="D286" s="6">
        <v>4</v>
      </c>
      <c r="E286" s="6" t="s">
        <v>3083</v>
      </c>
      <c r="F286" s="6" t="s">
        <v>3084</v>
      </c>
      <c r="G286" s="6" t="s">
        <v>3051</v>
      </c>
      <c r="H286" s="6" t="s">
        <v>3060</v>
      </c>
      <c r="I286" s="6" t="s">
        <v>131</v>
      </c>
      <c r="J286" s="6"/>
      <c r="K286" s="6"/>
      <c r="L286" s="6"/>
      <c r="M286" s="6"/>
      <c r="N286" s="6"/>
      <c r="O286" s="66" t="s">
        <v>3569</v>
      </c>
      <c r="P286" s="66" t="s">
        <v>3522</v>
      </c>
      <c r="Q286" s="6" t="s">
        <v>37</v>
      </c>
      <c r="R286" s="6" t="s">
        <v>4</v>
      </c>
    </row>
    <row r="287" spans="1:19">
      <c r="A287" s="1">
        <v>136</v>
      </c>
      <c r="B287" s="3" t="s">
        <v>464</v>
      </c>
      <c r="C287" s="3" t="s">
        <v>185</v>
      </c>
      <c r="D287" s="3">
        <v>4</v>
      </c>
      <c r="E287" s="3" t="s">
        <v>3083</v>
      </c>
      <c r="F287" s="3" t="s">
        <v>3084</v>
      </c>
      <c r="G287" s="3" t="s">
        <v>3056</v>
      </c>
      <c r="H287" s="3" t="s">
        <v>3061</v>
      </c>
      <c r="I287" s="3" t="s">
        <v>1264</v>
      </c>
      <c r="J287" s="3" t="s">
        <v>132</v>
      </c>
      <c r="O287" s="64" t="s">
        <v>3533</v>
      </c>
      <c r="P287" s="64" t="s">
        <v>3533</v>
      </c>
      <c r="Q287" s="3" t="s">
        <v>183</v>
      </c>
      <c r="R287" s="3" t="s">
        <v>4</v>
      </c>
    </row>
    <row r="288" spans="1:19">
      <c r="A288" s="6">
        <v>137</v>
      </c>
      <c r="B288" s="7" t="s">
        <v>465</v>
      </c>
      <c r="C288" s="7" t="s">
        <v>185</v>
      </c>
      <c r="D288" s="7">
        <v>4</v>
      </c>
      <c r="E288" s="7" t="s">
        <v>3083</v>
      </c>
      <c r="F288" s="7" t="s">
        <v>3084</v>
      </c>
      <c r="G288" s="7" t="s">
        <v>3050</v>
      </c>
      <c r="H288" s="7"/>
      <c r="I288" s="7" t="s">
        <v>23</v>
      </c>
      <c r="J288" s="7" t="s">
        <v>54</v>
      </c>
      <c r="K288" s="7"/>
      <c r="L288" s="7"/>
      <c r="M288" s="6" t="s">
        <v>153</v>
      </c>
      <c r="N288" s="6"/>
      <c r="O288" s="69" t="s">
        <v>3569</v>
      </c>
      <c r="P288" s="69" t="s">
        <v>3569</v>
      </c>
      <c r="Q288" s="6"/>
      <c r="R288" s="83"/>
      <c r="S288" s="12"/>
    </row>
    <row r="289" spans="1:19">
      <c r="A289" s="6">
        <v>138</v>
      </c>
      <c r="B289" s="7" t="s">
        <v>466</v>
      </c>
      <c r="C289" s="59" t="s">
        <v>3093</v>
      </c>
      <c r="D289" s="7">
        <v>4</v>
      </c>
      <c r="E289" s="7" t="s">
        <v>3094</v>
      </c>
      <c r="F289" s="59" t="s">
        <v>3927</v>
      </c>
      <c r="G289" s="59" t="s">
        <v>3050</v>
      </c>
      <c r="H289" s="59"/>
      <c r="I289" s="6" t="s">
        <v>20</v>
      </c>
      <c r="J289" s="7"/>
      <c r="K289" s="7"/>
      <c r="L289" s="7"/>
      <c r="M289" s="6" t="s">
        <v>153</v>
      </c>
      <c r="N289" s="6"/>
      <c r="O289" s="69" t="s">
        <v>3530</v>
      </c>
      <c r="P289" s="69" t="s">
        <v>3522</v>
      </c>
      <c r="Q289" s="6" t="s">
        <v>45</v>
      </c>
      <c r="R289" s="83" t="s">
        <v>4</v>
      </c>
      <c r="S289" s="12"/>
    </row>
    <row r="290" spans="1:19">
      <c r="A290" s="1">
        <v>139</v>
      </c>
      <c r="B290" s="3" t="s">
        <v>467</v>
      </c>
      <c r="C290" s="3" t="s">
        <v>185</v>
      </c>
      <c r="D290" s="3">
        <v>4</v>
      </c>
      <c r="E290" s="3" t="s">
        <v>3083</v>
      </c>
      <c r="F290" s="3" t="s">
        <v>3084</v>
      </c>
      <c r="G290" s="3" t="s">
        <v>3053</v>
      </c>
      <c r="I290" s="3" t="s">
        <v>23</v>
      </c>
      <c r="J290" s="3" t="s">
        <v>1289</v>
      </c>
      <c r="O290" s="64" t="s">
        <v>3569</v>
      </c>
      <c r="P290" s="64" t="s">
        <v>3527</v>
      </c>
      <c r="Q290" s="3" t="s">
        <v>29</v>
      </c>
      <c r="R290" s="3" t="s">
        <v>4</v>
      </c>
    </row>
    <row r="291" spans="1:19">
      <c r="A291" s="1">
        <v>140</v>
      </c>
      <c r="B291" s="3" t="s">
        <v>468</v>
      </c>
      <c r="C291" s="3" t="s">
        <v>185</v>
      </c>
      <c r="D291" s="3">
        <v>4</v>
      </c>
      <c r="E291" s="3" t="s">
        <v>3083</v>
      </c>
      <c r="F291" s="3" t="s">
        <v>3084</v>
      </c>
      <c r="G291" s="3" t="s">
        <v>3050</v>
      </c>
      <c r="I291" s="3" t="s">
        <v>133</v>
      </c>
      <c r="N291" s="3" t="s">
        <v>490</v>
      </c>
      <c r="O291" s="64" t="s">
        <v>3569</v>
      </c>
      <c r="P291" s="64" t="s">
        <v>3522</v>
      </c>
      <c r="Q291" s="3" t="s">
        <v>16</v>
      </c>
      <c r="R291" s="3" t="s">
        <v>4</v>
      </c>
    </row>
    <row r="292" spans="1:19">
      <c r="A292" s="1">
        <v>141</v>
      </c>
      <c r="B292" s="3" t="s">
        <v>469</v>
      </c>
      <c r="C292" s="3" t="s">
        <v>185</v>
      </c>
      <c r="D292" s="3">
        <v>4</v>
      </c>
      <c r="E292" s="3" t="s">
        <v>3083</v>
      </c>
      <c r="F292" s="3" t="s">
        <v>3084</v>
      </c>
      <c r="G292" s="3" t="s">
        <v>3056</v>
      </c>
      <c r="I292" s="3" t="s">
        <v>1</v>
      </c>
      <c r="J292" s="3" t="s">
        <v>1264</v>
      </c>
      <c r="O292" s="64" t="s">
        <v>3569</v>
      </c>
      <c r="P292" s="64" t="s">
        <v>3569</v>
      </c>
      <c r="Q292" s="3" t="s">
        <v>175</v>
      </c>
      <c r="R292" s="3" t="s">
        <v>4</v>
      </c>
    </row>
    <row r="293" spans="1:19">
      <c r="A293" s="1">
        <v>142</v>
      </c>
      <c r="B293" s="3" t="s">
        <v>470</v>
      </c>
      <c r="C293" s="3" t="s">
        <v>185</v>
      </c>
      <c r="D293" s="3">
        <v>4</v>
      </c>
      <c r="E293" s="3" t="s">
        <v>3083</v>
      </c>
      <c r="F293" s="3" t="s">
        <v>3084</v>
      </c>
      <c r="G293" s="3" t="s">
        <v>3050</v>
      </c>
      <c r="I293" s="3" t="s">
        <v>1280</v>
      </c>
      <c r="J293" s="3" t="s">
        <v>51</v>
      </c>
      <c r="K293" s="3" t="s">
        <v>134</v>
      </c>
      <c r="O293" s="64" t="s">
        <v>4050</v>
      </c>
      <c r="P293" s="64" t="s">
        <v>3530</v>
      </c>
      <c r="Q293" s="3" t="s">
        <v>31</v>
      </c>
      <c r="R293" s="3" t="s">
        <v>4</v>
      </c>
    </row>
    <row r="294" spans="1:19">
      <c r="A294" s="1">
        <v>143</v>
      </c>
      <c r="B294" s="3" t="s">
        <v>471</v>
      </c>
      <c r="C294" s="3" t="s">
        <v>209</v>
      </c>
      <c r="D294" s="3">
        <v>4</v>
      </c>
      <c r="E294" s="3" t="s">
        <v>3083</v>
      </c>
      <c r="F294" s="3" t="s">
        <v>3084</v>
      </c>
      <c r="G294" s="3" t="s">
        <v>3054</v>
      </c>
      <c r="I294" s="3" t="s">
        <v>1</v>
      </c>
      <c r="J294" s="3" t="s">
        <v>1272</v>
      </c>
      <c r="O294" s="64" t="s">
        <v>3569</v>
      </c>
      <c r="P294" s="64" t="s">
        <v>3527</v>
      </c>
      <c r="Q294" s="3" t="s">
        <v>178</v>
      </c>
      <c r="R294" s="3" t="s">
        <v>4</v>
      </c>
    </row>
    <row r="295" spans="1:19">
      <c r="A295" s="1">
        <v>144</v>
      </c>
      <c r="B295" s="3" t="s">
        <v>472</v>
      </c>
      <c r="C295" s="3" t="s">
        <v>185</v>
      </c>
      <c r="D295" s="3">
        <v>4</v>
      </c>
      <c r="E295" s="3" t="s">
        <v>3083</v>
      </c>
      <c r="F295" s="3" t="s">
        <v>3084</v>
      </c>
      <c r="G295" s="3" t="s">
        <v>3054</v>
      </c>
      <c r="I295" s="3" t="s">
        <v>1290</v>
      </c>
      <c r="J295" s="3" t="s">
        <v>1291</v>
      </c>
      <c r="O295" s="64" t="s">
        <v>3569</v>
      </c>
      <c r="P295" s="64" t="s">
        <v>3569</v>
      </c>
      <c r="Q295" s="3" t="s">
        <v>34</v>
      </c>
      <c r="R295" s="3" t="s">
        <v>4</v>
      </c>
    </row>
    <row r="296" spans="1:19">
      <c r="A296" s="1">
        <v>145</v>
      </c>
      <c r="B296" s="3" t="s">
        <v>473</v>
      </c>
      <c r="C296" s="3" t="s">
        <v>185</v>
      </c>
      <c r="D296" s="3">
        <v>4</v>
      </c>
      <c r="E296" s="3" t="s">
        <v>3083</v>
      </c>
      <c r="F296" s="3" t="s">
        <v>3084</v>
      </c>
      <c r="G296" s="3" t="s">
        <v>3051</v>
      </c>
      <c r="I296" s="3" t="s">
        <v>135</v>
      </c>
      <c r="N296" s="3" t="s">
        <v>490</v>
      </c>
      <c r="O296" s="64" t="s">
        <v>3569</v>
      </c>
      <c r="P296" s="64" t="s">
        <v>3527</v>
      </c>
      <c r="Q296" s="3" t="s">
        <v>52</v>
      </c>
      <c r="R296" s="3" t="s">
        <v>4</v>
      </c>
    </row>
    <row r="297" spans="1:19">
      <c r="A297" s="1">
        <v>146</v>
      </c>
      <c r="B297" s="3" t="s">
        <v>474</v>
      </c>
      <c r="C297" s="3" t="s">
        <v>185</v>
      </c>
      <c r="D297" s="3">
        <v>4</v>
      </c>
      <c r="E297" s="3" t="s">
        <v>3083</v>
      </c>
      <c r="F297" s="3" t="s">
        <v>3084</v>
      </c>
      <c r="G297" s="3" t="s">
        <v>3053</v>
      </c>
      <c r="I297" s="3" t="s">
        <v>136</v>
      </c>
      <c r="O297" s="64" t="s">
        <v>3533</v>
      </c>
      <c r="P297" s="64" t="s">
        <v>3569</v>
      </c>
      <c r="Q297" s="3" t="s">
        <v>14</v>
      </c>
      <c r="R297" s="3" t="s">
        <v>4</v>
      </c>
    </row>
    <row r="298" spans="1:19">
      <c r="A298" s="3">
        <v>147</v>
      </c>
      <c r="B298" s="3" t="s">
        <v>475</v>
      </c>
      <c r="C298" s="3" t="s">
        <v>185</v>
      </c>
      <c r="D298" s="3">
        <v>4</v>
      </c>
      <c r="E298" s="3" t="s">
        <v>3083</v>
      </c>
      <c r="F298" s="3" t="s">
        <v>3084</v>
      </c>
      <c r="G298" s="3" t="s">
        <v>3063</v>
      </c>
      <c r="I298" s="3" t="s">
        <v>1</v>
      </c>
      <c r="J298" s="3" t="s">
        <v>1292</v>
      </c>
      <c r="N298" s="3" t="s">
        <v>490</v>
      </c>
      <c r="O298" s="64" t="s">
        <v>3569</v>
      </c>
      <c r="P298" s="64" t="s">
        <v>3533</v>
      </c>
      <c r="Q298" s="3" t="s">
        <v>26</v>
      </c>
      <c r="R298" s="3" t="s">
        <v>4</v>
      </c>
      <c r="S298" s="12"/>
    </row>
    <row r="299" spans="1:19">
      <c r="A299" s="1">
        <v>148</v>
      </c>
      <c r="B299" s="3" t="s">
        <v>476</v>
      </c>
      <c r="C299" s="3" t="s">
        <v>185</v>
      </c>
      <c r="D299" s="3">
        <v>4</v>
      </c>
      <c r="E299" s="3" t="s">
        <v>3083</v>
      </c>
      <c r="F299" s="3" t="s">
        <v>3084</v>
      </c>
      <c r="G299" s="3" t="s">
        <v>3053</v>
      </c>
      <c r="I299" s="80" t="s">
        <v>1293</v>
      </c>
      <c r="J299" s="3" t="s">
        <v>138</v>
      </c>
      <c r="O299" s="64" t="s">
        <v>3569</v>
      </c>
      <c r="P299" s="64" t="s">
        <v>3569</v>
      </c>
      <c r="Q299" s="3" t="s">
        <v>44</v>
      </c>
      <c r="R299" s="3" t="s">
        <v>4</v>
      </c>
    </row>
    <row r="300" spans="1:19">
      <c r="A300" s="1">
        <v>149</v>
      </c>
      <c r="B300" s="3" t="s">
        <v>477</v>
      </c>
      <c r="C300" s="3" t="s">
        <v>209</v>
      </c>
      <c r="D300" s="3">
        <v>4</v>
      </c>
      <c r="E300" s="3" t="s">
        <v>3083</v>
      </c>
      <c r="F300" s="3" t="s">
        <v>3084</v>
      </c>
      <c r="G300" s="3" t="s">
        <v>3050</v>
      </c>
      <c r="I300" s="3" t="s">
        <v>139</v>
      </c>
      <c r="N300" s="3" t="s">
        <v>490</v>
      </c>
      <c r="O300" s="64" t="s">
        <v>3527</v>
      </c>
      <c r="P300" s="64" t="s">
        <v>3527</v>
      </c>
      <c r="Q300" s="3" t="s">
        <v>48</v>
      </c>
      <c r="R300" s="3" t="s">
        <v>4</v>
      </c>
    </row>
    <row r="301" spans="1:19">
      <c r="A301" s="1">
        <v>150</v>
      </c>
      <c r="B301" s="3" t="s">
        <v>478</v>
      </c>
      <c r="C301" s="3" t="s">
        <v>185</v>
      </c>
      <c r="D301" s="3">
        <v>4</v>
      </c>
      <c r="E301" s="3" t="s">
        <v>3083</v>
      </c>
      <c r="F301" s="3" t="s">
        <v>3084</v>
      </c>
      <c r="G301" s="3" t="s">
        <v>3050</v>
      </c>
      <c r="I301" s="3" t="s">
        <v>140</v>
      </c>
      <c r="O301" s="64" t="s">
        <v>3527</v>
      </c>
      <c r="P301" s="64" t="s">
        <v>3569</v>
      </c>
      <c r="Q301" s="3" t="s">
        <v>39</v>
      </c>
      <c r="R301" s="3" t="s">
        <v>4</v>
      </c>
    </row>
    <row r="302" spans="1:19">
      <c r="A302" s="1">
        <v>151</v>
      </c>
      <c r="B302" s="3" t="s">
        <v>479</v>
      </c>
      <c r="C302" s="3" t="s">
        <v>185</v>
      </c>
      <c r="D302" s="3">
        <v>4</v>
      </c>
      <c r="E302" s="3" t="s">
        <v>3083</v>
      </c>
      <c r="F302" s="3" t="s">
        <v>3084</v>
      </c>
      <c r="G302" s="3" t="s">
        <v>3054</v>
      </c>
      <c r="I302" s="3" t="s">
        <v>141</v>
      </c>
      <c r="N302" s="3" t="s">
        <v>490</v>
      </c>
      <c r="O302" s="64" t="s">
        <v>3527</v>
      </c>
      <c r="P302" s="64" t="s">
        <v>3527</v>
      </c>
      <c r="Q302" s="3" t="s">
        <v>46</v>
      </c>
      <c r="R302" s="3" t="s">
        <v>4</v>
      </c>
    </row>
    <row r="303" spans="1:19">
      <c r="A303" s="1">
        <v>152</v>
      </c>
      <c r="B303" s="3" t="s">
        <v>480</v>
      </c>
      <c r="C303" s="3" t="s">
        <v>185</v>
      </c>
      <c r="D303" s="3">
        <v>4</v>
      </c>
      <c r="E303" s="3" t="s">
        <v>3083</v>
      </c>
      <c r="F303" s="3" t="s">
        <v>3084</v>
      </c>
      <c r="G303" s="3" t="s">
        <v>3054</v>
      </c>
      <c r="I303" s="3" t="s">
        <v>142</v>
      </c>
      <c r="O303" s="64" t="s">
        <v>3527</v>
      </c>
      <c r="P303" s="64" t="s">
        <v>3527</v>
      </c>
      <c r="Q303" s="3" t="s">
        <v>30</v>
      </c>
      <c r="R303" s="3" t="s">
        <v>4</v>
      </c>
      <c r="S303" s="3"/>
    </row>
    <row r="304" spans="1:19">
      <c r="A304" s="1">
        <v>1090</v>
      </c>
      <c r="B304" s="3" t="s">
        <v>721</v>
      </c>
      <c r="C304" s="3" t="s">
        <v>185</v>
      </c>
      <c r="D304" s="3">
        <v>4</v>
      </c>
      <c r="E304" s="3" t="s">
        <v>3083</v>
      </c>
      <c r="F304" s="3" t="s">
        <v>3084</v>
      </c>
      <c r="G304" s="3" t="s">
        <v>3050</v>
      </c>
      <c r="I304" s="3" t="s">
        <v>1</v>
      </c>
      <c r="J304" s="3" t="s">
        <v>295</v>
      </c>
      <c r="N304" s="3" t="s">
        <v>3456</v>
      </c>
      <c r="O304" s="64" t="s">
        <v>3527</v>
      </c>
      <c r="P304" s="64" t="s">
        <v>3522</v>
      </c>
      <c r="Q304" s="3" t="s">
        <v>179</v>
      </c>
      <c r="R304" s="3" t="s">
        <v>7</v>
      </c>
    </row>
    <row r="305" spans="1:18">
      <c r="A305" s="1">
        <v>1091</v>
      </c>
      <c r="B305" s="3" t="s">
        <v>722</v>
      </c>
      <c r="C305" s="3" t="s">
        <v>209</v>
      </c>
      <c r="D305" s="3">
        <v>4</v>
      </c>
      <c r="E305" s="3" t="s">
        <v>3083</v>
      </c>
      <c r="F305" s="3" t="s">
        <v>3084</v>
      </c>
      <c r="G305" s="3" t="s">
        <v>3051</v>
      </c>
      <c r="I305" s="3" t="s">
        <v>3801</v>
      </c>
      <c r="J305" s="3" t="s">
        <v>296</v>
      </c>
      <c r="O305" s="64" t="s">
        <v>3527</v>
      </c>
      <c r="P305" s="64" t="s">
        <v>3527</v>
      </c>
      <c r="Q305" s="3" t="s">
        <v>34</v>
      </c>
      <c r="R305" s="3" t="s">
        <v>7</v>
      </c>
    </row>
    <row r="306" spans="1:18">
      <c r="A306" s="1">
        <v>1092</v>
      </c>
      <c r="B306" s="3" t="s">
        <v>723</v>
      </c>
      <c r="C306" s="3" t="s">
        <v>209</v>
      </c>
      <c r="D306" s="3">
        <v>4</v>
      </c>
      <c r="E306" s="3" t="s">
        <v>3083</v>
      </c>
      <c r="F306" s="3" t="s">
        <v>3084</v>
      </c>
      <c r="G306" s="3" t="s">
        <v>3053</v>
      </c>
      <c r="I306" s="3" t="s">
        <v>297</v>
      </c>
      <c r="N306" s="3" t="s">
        <v>3456</v>
      </c>
      <c r="O306" s="64" t="s">
        <v>3533</v>
      </c>
      <c r="P306" s="64" t="s">
        <v>3533</v>
      </c>
      <c r="Q306" s="3" t="s">
        <v>8</v>
      </c>
      <c r="R306" s="3" t="s">
        <v>7</v>
      </c>
    </row>
    <row r="307" spans="1:18">
      <c r="A307" s="1">
        <v>1093</v>
      </c>
      <c r="B307" s="3" t="s">
        <v>724</v>
      </c>
      <c r="C307" s="3" t="s">
        <v>209</v>
      </c>
      <c r="D307" s="3">
        <v>4</v>
      </c>
      <c r="E307" s="3" t="s">
        <v>3083</v>
      </c>
      <c r="F307" s="3" t="s">
        <v>3084</v>
      </c>
      <c r="G307" s="3" t="s">
        <v>3061</v>
      </c>
      <c r="I307" s="3" t="s">
        <v>622</v>
      </c>
      <c r="N307" s="3" t="s">
        <v>3456</v>
      </c>
      <c r="O307" s="64" t="s">
        <v>3569</v>
      </c>
      <c r="P307" s="64" t="s">
        <v>3527</v>
      </c>
      <c r="Q307" s="3" t="s">
        <v>174</v>
      </c>
      <c r="R307" s="3" t="s">
        <v>7</v>
      </c>
    </row>
    <row r="308" spans="1:18">
      <c r="A308" s="1">
        <v>1094</v>
      </c>
      <c r="B308" s="3" t="s">
        <v>725</v>
      </c>
      <c r="C308" s="3" t="s">
        <v>185</v>
      </c>
      <c r="D308" s="3">
        <v>4</v>
      </c>
      <c r="E308" s="3" t="s">
        <v>3083</v>
      </c>
      <c r="F308" s="3" t="s">
        <v>3084</v>
      </c>
      <c r="G308" s="3" t="s">
        <v>3053</v>
      </c>
      <c r="I308" s="80" t="s">
        <v>19</v>
      </c>
      <c r="J308" s="3" t="s">
        <v>627</v>
      </c>
      <c r="N308" s="3" t="s">
        <v>3456</v>
      </c>
      <c r="O308" s="64" t="s">
        <v>3527</v>
      </c>
      <c r="P308" s="64" t="s">
        <v>3533</v>
      </c>
      <c r="Q308" s="3" t="s">
        <v>46</v>
      </c>
      <c r="R308" s="3" t="s">
        <v>7</v>
      </c>
    </row>
    <row r="309" spans="1:18">
      <c r="A309" s="1">
        <v>1095</v>
      </c>
      <c r="B309" s="3" t="s">
        <v>726</v>
      </c>
      <c r="C309" s="3" t="s">
        <v>185</v>
      </c>
      <c r="D309" s="3">
        <v>4</v>
      </c>
      <c r="E309" s="3" t="s">
        <v>3083</v>
      </c>
      <c r="F309" s="3" t="s">
        <v>3084</v>
      </c>
      <c r="G309" s="3" t="s">
        <v>3053</v>
      </c>
      <c r="I309" s="3" t="s">
        <v>99</v>
      </c>
      <c r="N309" s="3" t="s">
        <v>3456</v>
      </c>
      <c r="O309" s="64" t="s">
        <v>3533</v>
      </c>
      <c r="P309" s="64" t="s">
        <v>3522</v>
      </c>
      <c r="Q309" s="3" t="s">
        <v>171</v>
      </c>
      <c r="R309" s="3" t="s">
        <v>7</v>
      </c>
    </row>
    <row r="310" spans="1:18">
      <c r="A310" s="1">
        <v>1096</v>
      </c>
      <c r="B310" s="3" t="s">
        <v>727</v>
      </c>
      <c r="C310" s="3" t="s">
        <v>209</v>
      </c>
      <c r="D310" s="3">
        <v>4</v>
      </c>
      <c r="E310" s="3" t="s">
        <v>3083</v>
      </c>
      <c r="F310" s="3" t="s">
        <v>3084</v>
      </c>
      <c r="G310" s="3" t="s">
        <v>3054</v>
      </c>
      <c r="I310" s="3" t="s">
        <v>534</v>
      </c>
      <c r="J310" s="3" t="s">
        <v>3802</v>
      </c>
      <c r="N310" s="3" t="s">
        <v>3456</v>
      </c>
      <c r="O310" s="64" t="s">
        <v>3527</v>
      </c>
      <c r="P310" s="64" t="s">
        <v>3527</v>
      </c>
      <c r="Q310" s="3" t="s">
        <v>31</v>
      </c>
      <c r="R310" s="3" t="s">
        <v>7</v>
      </c>
    </row>
    <row r="311" spans="1:18">
      <c r="A311" s="1">
        <v>1097</v>
      </c>
      <c r="B311" s="3" t="s">
        <v>728</v>
      </c>
      <c r="C311" s="3" t="s">
        <v>185</v>
      </c>
      <c r="D311" s="3">
        <v>4</v>
      </c>
      <c r="E311" s="3" t="s">
        <v>3083</v>
      </c>
      <c r="F311" s="3" t="s">
        <v>3084</v>
      </c>
      <c r="G311" s="3" t="s">
        <v>3054</v>
      </c>
      <c r="I311" s="3" t="s">
        <v>23</v>
      </c>
      <c r="J311" s="3" t="s">
        <v>3803</v>
      </c>
      <c r="N311" s="3" t="s">
        <v>3456</v>
      </c>
      <c r="O311" s="64" t="s">
        <v>3569</v>
      </c>
      <c r="P311" s="64" t="s">
        <v>3522</v>
      </c>
      <c r="Q311" s="3" t="s">
        <v>5</v>
      </c>
      <c r="R311" s="3" t="s">
        <v>7</v>
      </c>
    </row>
    <row r="312" spans="1:18">
      <c r="A312" s="3">
        <v>1098</v>
      </c>
      <c r="B312" s="3" t="s">
        <v>729</v>
      </c>
      <c r="C312" s="3" t="s">
        <v>185</v>
      </c>
      <c r="D312" s="3">
        <v>4</v>
      </c>
      <c r="E312" s="3" t="s">
        <v>3083</v>
      </c>
      <c r="F312" s="3" t="s">
        <v>3084</v>
      </c>
      <c r="G312" s="3" t="s">
        <v>3053</v>
      </c>
      <c r="I312" s="3" t="s">
        <v>3795</v>
      </c>
      <c r="J312" s="80" t="s">
        <v>298</v>
      </c>
      <c r="N312" s="3" t="s">
        <v>3456</v>
      </c>
      <c r="O312" s="64" t="s">
        <v>3527</v>
      </c>
      <c r="P312" s="64" t="s">
        <v>3569</v>
      </c>
      <c r="Q312" s="3" t="s">
        <v>38</v>
      </c>
      <c r="R312" s="3" t="s">
        <v>7</v>
      </c>
    </row>
    <row r="313" spans="1:18">
      <c r="A313" s="6">
        <v>1099</v>
      </c>
      <c r="B313" s="6" t="s">
        <v>730</v>
      </c>
      <c r="C313" s="6" t="s">
        <v>185</v>
      </c>
      <c r="D313" s="6">
        <v>4</v>
      </c>
      <c r="E313" s="6" t="s">
        <v>3083</v>
      </c>
      <c r="F313" s="6" t="s">
        <v>3084</v>
      </c>
      <c r="G313" s="6" t="s">
        <v>3053</v>
      </c>
      <c r="H313" s="6"/>
      <c r="I313" s="6" t="s">
        <v>299</v>
      </c>
      <c r="J313" s="6"/>
      <c r="K313" s="6"/>
      <c r="L313" s="6"/>
      <c r="M313" s="6" t="s">
        <v>153</v>
      </c>
      <c r="N313" s="6" t="s">
        <v>3456</v>
      </c>
      <c r="O313" s="66" t="s">
        <v>3527</v>
      </c>
      <c r="P313" s="66" t="s">
        <v>3527</v>
      </c>
      <c r="Q313" s="6"/>
      <c r="R313" s="6"/>
    </row>
    <row r="314" spans="1:18">
      <c r="A314" s="6">
        <v>1100</v>
      </c>
      <c r="B314" s="6" t="s">
        <v>731</v>
      </c>
      <c r="C314" s="6" t="s">
        <v>3394</v>
      </c>
      <c r="D314" s="6">
        <v>4</v>
      </c>
      <c r="E314" s="6" t="s">
        <v>3083</v>
      </c>
      <c r="F314" s="6" t="s">
        <v>3084</v>
      </c>
      <c r="G314" s="6" t="s">
        <v>3053</v>
      </c>
      <c r="H314" s="6"/>
      <c r="I314" s="6" t="s">
        <v>300</v>
      </c>
      <c r="J314" s="6"/>
      <c r="K314" s="6"/>
      <c r="L314" s="6"/>
      <c r="M314" s="6" t="s">
        <v>153</v>
      </c>
      <c r="N314" s="6" t="s">
        <v>3456</v>
      </c>
      <c r="O314" s="66" t="s">
        <v>3522</v>
      </c>
      <c r="P314" s="66" t="s">
        <v>3522</v>
      </c>
      <c r="Q314" s="6" t="s">
        <v>46</v>
      </c>
      <c r="R314" s="6" t="s">
        <v>7</v>
      </c>
    </row>
    <row r="315" spans="1:18">
      <c r="A315" s="1">
        <v>1101</v>
      </c>
      <c r="B315" s="3" t="s">
        <v>732</v>
      </c>
      <c r="C315" s="3" t="s">
        <v>185</v>
      </c>
      <c r="D315" s="3">
        <v>4</v>
      </c>
      <c r="E315" s="3" t="s">
        <v>3083</v>
      </c>
      <c r="F315" s="3" t="s">
        <v>3084</v>
      </c>
      <c r="G315" s="3" t="s">
        <v>3052</v>
      </c>
      <c r="I315" s="3" t="s">
        <v>623</v>
      </c>
      <c r="N315" s="3" t="s">
        <v>3456</v>
      </c>
      <c r="O315" s="64" t="s">
        <v>3569</v>
      </c>
      <c r="P315" s="64" t="s">
        <v>3569</v>
      </c>
      <c r="Q315" s="3" t="s">
        <v>169</v>
      </c>
      <c r="R315" s="3" t="s">
        <v>7</v>
      </c>
    </row>
    <row r="316" spans="1:18">
      <c r="A316" s="1">
        <v>1102</v>
      </c>
      <c r="B316" s="3" t="s">
        <v>733</v>
      </c>
      <c r="C316" s="3" t="s">
        <v>185</v>
      </c>
      <c r="D316" s="3">
        <v>4</v>
      </c>
      <c r="E316" s="3" t="s">
        <v>3083</v>
      </c>
      <c r="F316" s="3" t="s">
        <v>3084</v>
      </c>
      <c r="G316" s="3" t="s">
        <v>3050</v>
      </c>
      <c r="I316" s="3" t="s">
        <v>301</v>
      </c>
      <c r="N316" s="3" t="s">
        <v>3150</v>
      </c>
      <c r="O316" s="64" t="s">
        <v>3527</v>
      </c>
      <c r="P316" s="64" t="s">
        <v>3569</v>
      </c>
      <c r="Q316" s="3" t="s">
        <v>45</v>
      </c>
      <c r="R316" s="3" t="s">
        <v>7</v>
      </c>
    </row>
    <row r="317" spans="1:18">
      <c r="A317" s="1">
        <v>1103</v>
      </c>
      <c r="B317" s="8" t="s">
        <v>734</v>
      </c>
      <c r="C317" s="8" t="s">
        <v>185</v>
      </c>
      <c r="D317" s="8">
        <v>4</v>
      </c>
      <c r="E317" s="8" t="s">
        <v>3083</v>
      </c>
      <c r="F317" s="8" t="s">
        <v>3084</v>
      </c>
      <c r="G317" s="8" t="s">
        <v>3049</v>
      </c>
      <c r="H317" s="8"/>
      <c r="I317" s="8" t="s">
        <v>302</v>
      </c>
      <c r="J317" s="8"/>
      <c r="K317" s="8"/>
      <c r="L317" s="8"/>
      <c r="M317" s="8"/>
      <c r="N317" s="8" t="s">
        <v>3150</v>
      </c>
      <c r="O317" s="68" t="s">
        <v>3527</v>
      </c>
      <c r="P317" s="68" t="s">
        <v>3522</v>
      </c>
      <c r="Q317" s="8" t="s">
        <v>39</v>
      </c>
      <c r="R317" s="8" t="s">
        <v>7</v>
      </c>
    </row>
    <row r="318" spans="1:18">
      <c r="A318" s="1">
        <v>1104</v>
      </c>
      <c r="B318" s="3" t="s">
        <v>735</v>
      </c>
      <c r="C318" s="3" t="s">
        <v>185</v>
      </c>
      <c r="D318" s="3">
        <v>4</v>
      </c>
      <c r="E318" s="3" t="s">
        <v>3083</v>
      </c>
      <c r="F318" s="3" t="s">
        <v>3084</v>
      </c>
      <c r="G318" s="3" t="s">
        <v>3056</v>
      </c>
      <c r="I318" s="3" t="s">
        <v>3787</v>
      </c>
      <c r="J318" s="3" t="s">
        <v>303</v>
      </c>
      <c r="N318" s="3" t="s">
        <v>3456</v>
      </c>
      <c r="O318" s="64" t="s">
        <v>3569</v>
      </c>
      <c r="P318" s="64" t="s">
        <v>3527</v>
      </c>
      <c r="Q318" s="3" t="s">
        <v>183</v>
      </c>
      <c r="R318" s="3" t="s">
        <v>7</v>
      </c>
    </row>
    <row r="319" spans="1:18">
      <c r="A319" s="1">
        <v>1105</v>
      </c>
      <c r="B319" s="3" t="s">
        <v>736</v>
      </c>
      <c r="C319" s="3" t="s">
        <v>185</v>
      </c>
      <c r="D319" s="3">
        <v>4</v>
      </c>
      <c r="E319" s="3" t="s">
        <v>3083</v>
      </c>
      <c r="F319" s="3" t="s">
        <v>3084</v>
      </c>
      <c r="G319" s="3" t="s">
        <v>3053</v>
      </c>
      <c r="I319" s="3" t="s">
        <v>624</v>
      </c>
      <c r="N319" s="3" t="s">
        <v>3456</v>
      </c>
      <c r="O319" s="64" t="s">
        <v>3569</v>
      </c>
      <c r="P319" s="64" t="s">
        <v>3533</v>
      </c>
      <c r="Q319" s="3" t="s">
        <v>52</v>
      </c>
      <c r="R319" s="3" t="s">
        <v>7</v>
      </c>
    </row>
    <row r="320" spans="1:18">
      <c r="A320" s="1">
        <v>1106</v>
      </c>
      <c r="B320" s="3" t="s">
        <v>737</v>
      </c>
      <c r="C320" s="3" t="s">
        <v>185</v>
      </c>
      <c r="D320" s="3">
        <v>4</v>
      </c>
      <c r="E320" s="3" t="s">
        <v>3083</v>
      </c>
      <c r="F320" s="3" t="s">
        <v>3084</v>
      </c>
      <c r="G320" s="3" t="s">
        <v>3053</v>
      </c>
      <c r="I320" s="3" t="s">
        <v>3804</v>
      </c>
      <c r="J320" s="3" t="s">
        <v>304</v>
      </c>
      <c r="N320" s="3" t="s">
        <v>3456</v>
      </c>
      <c r="O320" s="64" t="s">
        <v>3527</v>
      </c>
      <c r="P320" s="64" t="s">
        <v>3569</v>
      </c>
      <c r="Q320" s="3" t="s">
        <v>29</v>
      </c>
      <c r="R320" s="3" t="s">
        <v>7</v>
      </c>
    </row>
    <row r="321" spans="1:18">
      <c r="A321" s="4">
        <v>1107</v>
      </c>
      <c r="B321" s="4" t="s">
        <v>738</v>
      </c>
      <c r="C321" s="4" t="s">
        <v>185</v>
      </c>
      <c r="D321" s="4">
        <v>4</v>
      </c>
      <c r="E321" s="4" t="s">
        <v>3083</v>
      </c>
      <c r="F321" s="4" t="s">
        <v>3084</v>
      </c>
      <c r="G321" s="4" t="s">
        <v>3063</v>
      </c>
      <c r="H321" s="4"/>
      <c r="I321" s="4" t="s">
        <v>305</v>
      </c>
      <c r="J321" s="4" t="s">
        <v>306</v>
      </c>
      <c r="K321" s="4"/>
      <c r="L321" s="4"/>
      <c r="M321" s="4"/>
      <c r="N321" s="4" t="s">
        <v>3150</v>
      </c>
      <c r="O321" s="65" t="s">
        <v>3533</v>
      </c>
      <c r="P321" s="65" t="s">
        <v>3533</v>
      </c>
      <c r="Q321" s="4" t="s">
        <v>606</v>
      </c>
      <c r="R321" s="3" t="s">
        <v>7</v>
      </c>
    </row>
    <row r="322" spans="1:18">
      <c r="A322" s="1">
        <v>1108</v>
      </c>
      <c r="B322" s="3" t="s">
        <v>739</v>
      </c>
      <c r="C322" s="3" t="s">
        <v>185</v>
      </c>
      <c r="D322" s="3">
        <v>4</v>
      </c>
      <c r="E322" s="3" t="s">
        <v>3087</v>
      </c>
      <c r="F322" s="3" t="s">
        <v>3084</v>
      </c>
      <c r="G322" s="3" t="s">
        <v>3056</v>
      </c>
      <c r="I322" s="3" t="s">
        <v>3787</v>
      </c>
      <c r="J322" s="3" t="s">
        <v>307</v>
      </c>
      <c r="N322" s="3" t="s">
        <v>3456</v>
      </c>
      <c r="O322" s="64" t="s">
        <v>3527</v>
      </c>
      <c r="P322" s="64" t="s">
        <v>3527</v>
      </c>
      <c r="Q322" s="3" t="s">
        <v>175</v>
      </c>
      <c r="R322" s="3" t="s">
        <v>7</v>
      </c>
    </row>
    <row r="323" spans="1:18">
      <c r="A323" s="1">
        <v>1109</v>
      </c>
      <c r="B323" s="3" t="s">
        <v>740</v>
      </c>
      <c r="C323" s="3" t="s">
        <v>185</v>
      </c>
      <c r="D323" s="3">
        <v>4</v>
      </c>
      <c r="E323" s="3" t="s">
        <v>3083</v>
      </c>
      <c r="F323" s="3" t="s">
        <v>3084</v>
      </c>
      <c r="G323" s="3" t="s">
        <v>3049</v>
      </c>
      <c r="I323" s="3" t="s">
        <v>308</v>
      </c>
      <c r="N323" s="3" t="s">
        <v>3456</v>
      </c>
      <c r="O323" s="64" t="s">
        <v>3569</v>
      </c>
      <c r="P323" s="64" t="s">
        <v>3569</v>
      </c>
      <c r="Q323" s="3" t="s">
        <v>45</v>
      </c>
      <c r="R323" s="3" t="s">
        <v>7</v>
      </c>
    </row>
    <row r="324" spans="1:18">
      <c r="A324" s="1">
        <v>1110</v>
      </c>
      <c r="B324" s="3" t="s">
        <v>741</v>
      </c>
      <c r="C324" s="3" t="s">
        <v>185</v>
      </c>
      <c r="D324" s="3">
        <v>4</v>
      </c>
      <c r="E324" s="3" t="s">
        <v>3083</v>
      </c>
      <c r="F324" s="3" t="s">
        <v>3084</v>
      </c>
      <c r="G324" s="3" t="s">
        <v>3058</v>
      </c>
      <c r="I324" s="3" t="s">
        <v>1269</v>
      </c>
      <c r="J324" s="3" t="s">
        <v>309</v>
      </c>
      <c r="N324" s="3" t="s">
        <v>3150</v>
      </c>
      <c r="O324" s="64" t="s">
        <v>3527</v>
      </c>
      <c r="P324" s="64" t="s">
        <v>3569</v>
      </c>
      <c r="Q324" s="3" t="s">
        <v>53</v>
      </c>
      <c r="R324" s="3" t="s">
        <v>7</v>
      </c>
    </row>
    <row r="325" spans="1:18">
      <c r="A325" s="1">
        <v>1111</v>
      </c>
      <c r="B325" s="3" t="s">
        <v>742</v>
      </c>
      <c r="C325" s="3" t="s">
        <v>209</v>
      </c>
      <c r="D325" s="3">
        <v>4</v>
      </c>
      <c r="E325" s="3" t="s">
        <v>3083</v>
      </c>
      <c r="F325" s="3" t="s">
        <v>3084</v>
      </c>
      <c r="G325" s="3" t="s">
        <v>3050</v>
      </c>
      <c r="I325" s="3" t="s">
        <v>310</v>
      </c>
      <c r="N325" s="3" t="s">
        <v>3456</v>
      </c>
      <c r="O325" s="64" t="s">
        <v>3569</v>
      </c>
      <c r="P325" s="64" t="s">
        <v>3569</v>
      </c>
      <c r="Q325" s="3" t="s">
        <v>171</v>
      </c>
      <c r="R325" s="3" t="s">
        <v>7</v>
      </c>
    </row>
    <row r="326" spans="1:18">
      <c r="A326" s="1">
        <v>1112</v>
      </c>
      <c r="B326" s="3" t="s">
        <v>743</v>
      </c>
      <c r="C326" s="3" t="s">
        <v>185</v>
      </c>
      <c r="D326" s="3">
        <v>4</v>
      </c>
      <c r="E326" s="3" t="s">
        <v>3083</v>
      </c>
      <c r="F326" s="3" t="s">
        <v>3084</v>
      </c>
      <c r="G326" s="3" t="s">
        <v>3054</v>
      </c>
      <c r="I326" s="3" t="s">
        <v>3805</v>
      </c>
      <c r="J326" s="3" t="s">
        <v>3806</v>
      </c>
      <c r="K326" s="3" t="s">
        <v>3807</v>
      </c>
      <c r="N326" s="3" t="s">
        <v>3456</v>
      </c>
      <c r="O326" s="64" t="s">
        <v>3569</v>
      </c>
      <c r="P326" s="64" t="s">
        <v>3522</v>
      </c>
      <c r="Q326" s="3" t="s">
        <v>170</v>
      </c>
      <c r="R326" s="3" t="s">
        <v>7</v>
      </c>
    </row>
    <row r="327" spans="1:18">
      <c r="A327" s="1">
        <v>1113</v>
      </c>
      <c r="B327" s="3" t="s">
        <v>744</v>
      </c>
      <c r="C327" s="3" t="s">
        <v>185</v>
      </c>
      <c r="D327" s="3">
        <v>4</v>
      </c>
      <c r="E327" s="3" t="s">
        <v>3083</v>
      </c>
      <c r="F327" s="3" t="s">
        <v>3084</v>
      </c>
      <c r="G327" s="3" t="s">
        <v>3053</v>
      </c>
      <c r="H327" s="3" t="s">
        <v>3050</v>
      </c>
      <c r="I327" s="3" t="s">
        <v>311</v>
      </c>
      <c r="N327" s="3" t="s">
        <v>3150</v>
      </c>
      <c r="O327" s="64" t="s">
        <v>3569</v>
      </c>
      <c r="P327" s="64" t="s">
        <v>3569</v>
      </c>
      <c r="Q327" s="3" t="s">
        <v>52</v>
      </c>
      <c r="R327" s="3" t="s">
        <v>7</v>
      </c>
    </row>
    <row r="328" spans="1:18">
      <c r="A328" s="1">
        <v>1114</v>
      </c>
      <c r="B328" s="3" t="s">
        <v>745</v>
      </c>
      <c r="C328" s="3" t="s">
        <v>209</v>
      </c>
      <c r="D328" s="3">
        <v>4</v>
      </c>
      <c r="E328" s="3" t="s">
        <v>3083</v>
      </c>
      <c r="F328" s="3" t="s">
        <v>3084</v>
      </c>
      <c r="G328" s="3" t="s">
        <v>3051</v>
      </c>
      <c r="I328" s="3" t="s">
        <v>3808</v>
      </c>
      <c r="N328" s="3" t="s">
        <v>3150</v>
      </c>
      <c r="O328" s="64" t="s">
        <v>3569</v>
      </c>
      <c r="P328" s="64" t="s">
        <v>3569</v>
      </c>
      <c r="Q328" s="3" t="s">
        <v>6</v>
      </c>
      <c r="R328" s="3" t="s">
        <v>7</v>
      </c>
    </row>
    <row r="329" spans="1:18">
      <c r="A329" s="1">
        <v>1115</v>
      </c>
      <c r="B329" s="3" t="s">
        <v>746</v>
      </c>
      <c r="C329" s="3" t="s">
        <v>185</v>
      </c>
      <c r="D329" s="3">
        <v>4</v>
      </c>
      <c r="E329" s="3" t="s">
        <v>3083</v>
      </c>
      <c r="F329" s="3" t="s">
        <v>3084</v>
      </c>
      <c r="G329" s="3" t="s">
        <v>3050</v>
      </c>
      <c r="I329" s="3" t="s">
        <v>625</v>
      </c>
      <c r="N329" s="3" t="s">
        <v>3456</v>
      </c>
      <c r="O329" s="64" t="s">
        <v>3569</v>
      </c>
      <c r="P329" s="64" t="s">
        <v>3522</v>
      </c>
      <c r="Q329" s="3" t="s">
        <v>605</v>
      </c>
      <c r="R329" s="3" t="s">
        <v>7</v>
      </c>
    </row>
    <row r="330" spans="1:18">
      <c r="A330" s="6">
        <v>1116</v>
      </c>
      <c r="B330" s="6" t="s">
        <v>747</v>
      </c>
      <c r="C330" s="6" t="s">
        <v>185</v>
      </c>
      <c r="D330" s="6">
        <v>4</v>
      </c>
      <c r="E330" s="6" t="s">
        <v>3083</v>
      </c>
      <c r="F330" s="6" t="s">
        <v>3084</v>
      </c>
      <c r="G330" s="6" t="s">
        <v>3050</v>
      </c>
      <c r="H330" s="6"/>
      <c r="I330" s="6" t="s">
        <v>23</v>
      </c>
      <c r="J330" s="6" t="s">
        <v>631</v>
      </c>
      <c r="K330" s="6"/>
      <c r="L330" s="6"/>
      <c r="M330" s="6"/>
      <c r="N330" s="6" t="s">
        <v>3456</v>
      </c>
      <c r="O330" s="66" t="s">
        <v>3527</v>
      </c>
      <c r="P330" s="66" t="s">
        <v>3527</v>
      </c>
      <c r="Q330" s="6" t="s">
        <v>40</v>
      </c>
      <c r="R330" s="6" t="s">
        <v>7</v>
      </c>
    </row>
    <row r="331" spans="1:18">
      <c r="A331" s="1">
        <v>1117</v>
      </c>
      <c r="B331" s="3" t="s">
        <v>748</v>
      </c>
      <c r="C331" s="3" t="s">
        <v>185</v>
      </c>
      <c r="D331" s="3">
        <v>4</v>
      </c>
      <c r="E331" s="3" t="s">
        <v>3083</v>
      </c>
      <c r="F331" s="3" t="s">
        <v>3084</v>
      </c>
      <c r="G331" s="3" t="s">
        <v>3067</v>
      </c>
      <c r="I331" s="3" t="s">
        <v>1</v>
      </c>
      <c r="J331" s="3" t="s">
        <v>312</v>
      </c>
      <c r="N331" s="3" t="s">
        <v>3456</v>
      </c>
      <c r="O331" s="64" t="s">
        <v>3527</v>
      </c>
      <c r="P331" s="64" t="s">
        <v>3533</v>
      </c>
      <c r="Q331" s="3" t="s">
        <v>35</v>
      </c>
      <c r="R331" s="3" t="s">
        <v>7</v>
      </c>
    </row>
    <row r="332" spans="1:18">
      <c r="A332" s="1">
        <v>1118</v>
      </c>
      <c r="B332" s="3" t="s">
        <v>749</v>
      </c>
      <c r="C332" s="3" t="s">
        <v>185</v>
      </c>
      <c r="D332" s="3">
        <v>4</v>
      </c>
      <c r="E332" s="3" t="s">
        <v>3083</v>
      </c>
      <c r="F332" s="3" t="s">
        <v>3084</v>
      </c>
      <c r="G332" s="3" t="s">
        <v>3052</v>
      </c>
      <c r="H332" s="3" t="s">
        <v>3053</v>
      </c>
      <c r="I332" s="3" t="s">
        <v>313</v>
      </c>
      <c r="N332" s="3" t="s">
        <v>3456</v>
      </c>
      <c r="O332" s="64" t="s">
        <v>3569</v>
      </c>
      <c r="P332" s="64" t="s">
        <v>3569</v>
      </c>
      <c r="Q332" s="3" t="s">
        <v>34</v>
      </c>
      <c r="R332" s="3" t="s">
        <v>7</v>
      </c>
    </row>
    <row r="333" spans="1:18">
      <c r="A333" s="1">
        <v>1119</v>
      </c>
      <c r="B333" s="3" t="s">
        <v>750</v>
      </c>
      <c r="C333" s="3" t="s">
        <v>185</v>
      </c>
      <c r="D333" s="3">
        <v>4</v>
      </c>
      <c r="E333" s="3" t="s">
        <v>3083</v>
      </c>
      <c r="F333" s="3" t="s">
        <v>3084</v>
      </c>
      <c r="G333" s="3" t="s">
        <v>3050</v>
      </c>
      <c r="I333" s="3" t="s">
        <v>47</v>
      </c>
      <c r="J333" s="3" t="s">
        <v>3809</v>
      </c>
      <c r="N333" s="3" t="s">
        <v>3456</v>
      </c>
      <c r="O333" s="64" t="s">
        <v>3569</v>
      </c>
      <c r="P333" s="64" t="s">
        <v>3569</v>
      </c>
      <c r="Q333" s="3" t="s">
        <v>172</v>
      </c>
      <c r="R333" s="3" t="s">
        <v>7</v>
      </c>
    </row>
    <row r="334" spans="1:18">
      <c r="A334" s="4">
        <v>1120</v>
      </c>
      <c r="B334" s="4" t="s">
        <v>751</v>
      </c>
      <c r="C334" s="4" t="s">
        <v>209</v>
      </c>
      <c r="D334" s="4">
        <v>4</v>
      </c>
      <c r="E334" s="4" t="s">
        <v>3083</v>
      </c>
      <c r="F334" s="4" t="s">
        <v>3084</v>
      </c>
      <c r="G334" s="4" t="s">
        <v>3053</v>
      </c>
      <c r="H334" s="4"/>
      <c r="I334" s="81" t="s">
        <v>19</v>
      </c>
      <c r="J334" s="4" t="s">
        <v>3785</v>
      </c>
      <c r="K334" s="4"/>
      <c r="L334" s="4"/>
      <c r="M334" s="4"/>
      <c r="N334" s="4" t="s">
        <v>3456</v>
      </c>
      <c r="O334" s="65" t="s">
        <v>3527</v>
      </c>
      <c r="P334" s="65" t="s">
        <v>3527</v>
      </c>
      <c r="Q334" s="4" t="s">
        <v>48</v>
      </c>
      <c r="R334" s="3" t="s">
        <v>7</v>
      </c>
    </row>
    <row r="335" spans="1:18">
      <c r="A335" s="1">
        <v>1121</v>
      </c>
      <c r="B335" s="3" t="s">
        <v>752</v>
      </c>
      <c r="C335" s="3" t="s">
        <v>185</v>
      </c>
      <c r="D335" s="3">
        <v>4</v>
      </c>
      <c r="E335" s="3" t="s">
        <v>3083</v>
      </c>
      <c r="F335" s="3" t="s">
        <v>3084</v>
      </c>
      <c r="G335" s="3" t="s">
        <v>3059</v>
      </c>
      <c r="I335" s="3" t="s">
        <v>314</v>
      </c>
      <c r="N335" s="3" t="s">
        <v>3456</v>
      </c>
      <c r="O335" s="64" t="s">
        <v>3533</v>
      </c>
      <c r="P335" s="64" t="s">
        <v>3522</v>
      </c>
      <c r="Q335" s="3" t="s">
        <v>11</v>
      </c>
      <c r="R335" s="3" t="s">
        <v>7</v>
      </c>
    </row>
    <row r="336" spans="1:18">
      <c r="A336" s="1">
        <v>1122</v>
      </c>
      <c r="B336" s="3" t="s">
        <v>753</v>
      </c>
      <c r="C336" s="3" t="s">
        <v>185</v>
      </c>
      <c r="D336" s="3">
        <v>4</v>
      </c>
      <c r="E336" s="3" t="s">
        <v>3083</v>
      </c>
      <c r="F336" s="3" t="s">
        <v>3084</v>
      </c>
      <c r="G336" s="3" t="s">
        <v>3055</v>
      </c>
      <c r="I336" s="3" t="s">
        <v>315</v>
      </c>
      <c r="N336" s="3" t="s">
        <v>3150</v>
      </c>
      <c r="O336" s="64" t="s">
        <v>3527</v>
      </c>
      <c r="P336" s="64" t="s">
        <v>3569</v>
      </c>
      <c r="Q336" s="3" t="s">
        <v>38</v>
      </c>
      <c r="R336" s="3" t="s">
        <v>7</v>
      </c>
    </row>
    <row r="337" spans="1:18">
      <c r="A337" s="4">
        <v>1138</v>
      </c>
      <c r="B337" s="4" t="s">
        <v>4057</v>
      </c>
      <c r="C337" s="4" t="s">
        <v>209</v>
      </c>
      <c r="D337" s="4">
        <v>4</v>
      </c>
      <c r="E337" s="4" t="s">
        <v>3094</v>
      </c>
      <c r="F337" s="4" t="s">
        <v>3097</v>
      </c>
      <c r="G337" s="4" t="s">
        <v>3050</v>
      </c>
      <c r="H337" s="4"/>
      <c r="I337" s="4" t="s">
        <v>4058</v>
      </c>
      <c r="J337" s="4" t="s">
        <v>4059</v>
      </c>
      <c r="K337" s="4"/>
      <c r="L337" s="4"/>
      <c r="M337" s="4"/>
      <c r="N337" s="4"/>
      <c r="O337" s="65">
        <v>2</v>
      </c>
      <c r="P337" s="4">
        <v>2</v>
      </c>
      <c r="Q337" s="4" t="s">
        <v>4056</v>
      </c>
      <c r="R337" s="3" t="s">
        <v>7</v>
      </c>
    </row>
    <row r="338" spans="1:18">
      <c r="A338" s="1">
        <v>2057</v>
      </c>
      <c r="B338" s="3" t="s">
        <v>2102</v>
      </c>
      <c r="C338" s="3" t="s">
        <v>209</v>
      </c>
      <c r="D338" s="3">
        <v>4</v>
      </c>
      <c r="E338" s="3" t="s">
        <v>3083</v>
      </c>
      <c r="F338" s="3" t="s">
        <v>3084</v>
      </c>
      <c r="G338" s="3" t="s">
        <v>3051</v>
      </c>
      <c r="I338" s="3" t="s">
        <v>573</v>
      </c>
      <c r="N338" s="3" t="s">
        <v>3456</v>
      </c>
      <c r="O338" s="64" t="s">
        <v>4050</v>
      </c>
      <c r="P338" s="64" t="s">
        <v>3527</v>
      </c>
      <c r="Q338" s="3" t="s">
        <v>34</v>
      </c>
      <c r="R338" s="3" t="s">
        <v>9</v>
      </c>
    </row>
    <row r="339" spans="1:18">
      <c r="A339" s="1">
        <v>2058</v>
      </c>
      <c r="B339" s="3" t="s">
        <v>2103</v>
      </c>
      <c r="C339" s="3" t="s">
        <v>209</v>
      </c>
      <c r="D339" s="3">
        <v>4</v>
      </c>
      <c r="E339" s="3" t="s">
        <v>3087</v>
      </c>
      <c r="F339" s="3" t="s">
        <v>3084</v>
      </c>
      <c r="G339" s="3" t="s">
        <v>3052</v>
      </c>
      <c r="I339" s="3" t="s">
        <v>563</v>
      </c>
      <c r="N339" s="3" t="s">
        <v>3456</v>
      </c>
      <c r="O339" s="64" t="s">
        <v>3569</v>
      </c>
      <c r="P339" s="64" t="s">
        <v>3569</v>
      </c>
      <c r="Q339" s="3" t="s">
        <v>169</v>
      </c>
      <c r="R339" s="3" t="s">
        <v>9</v>
      </c>
    </row>
    <row r="340" spans="1:18">
      <c r="A340" s="1">
        <v>2059</v>
      </c>
      <c r="B340" s="3" t="s">
        <v>2104</v>
      </c>
      <c r="C340" s="3" t="s">
        <v>185</v>
      </c>
      <c r="D340" s="3">
        <v>4</v>
      </c>
      <c r="E340" s="3" t="s">
        <v>3083</v>
      </c>
      <c r="F340" s="3" t="s">
        <v>3084</v>
      </c>
      <c r="G340" s="3" t="s">
        <v>3050</v>
      </c>
      <c r="I340" s="3" t="s">
        <v>574</v>
      </c>
      <c r="N340" s="3" t="s">
        <v>3150</v>
      </c>
      <c r="O340" s="64" t="s">
        <v>3527</v>
      </c>
      <c r="P340" s="64" t="s">
        <v>3569</v>
      </c>
      <c r="Q340" s="3" t="s">
        <v>15</v>
      </c>
      <c r="R340" s="3" t="s">
        <v>9</v>
      </c>
    </row>
    <row r="341" spans="1:18">
      <c r="A341" s="6">
        <v>2060</v>
      </c>
      <c r="B341" s="6" t="s">
        <v>2105</v>
      </c>
      <c r="C341" s="6" t="s">
        <v>209</v>
      </c>
      <c r="D341" s="6">
        <v>4</v>
      </c>
      <c r="E341" s="6" t="s">
        <v>3083</v>
      </c>
      <c r="F341" s="6" t="s">
        <v>3084</v>
      </c>
      <c r="G341" s="6" t="s">
        <v>3054</v>
      </c>
      <c r="H341" s="6"/>
      <c r="I341" s="6" t="s">
        <v>23</v>
      </c>
      <c r="J341" s="6" t="s">
        <v>558</v>
      </c>
      <c r="K341" s="6" t="s">
        <v>559</v>
      </c>
      <c r="L341" s="6"/>
      <c r="M341" s="6"/>
      <c r="N341" s="6" t="s">
        <v>3150</v>
      </c>
      <c r="O341" s="66" t="s">
        <v>3527</v>
      </c>
      <c r="P341" s="66" t="s">
        <v>3527</v>
      </c>
      <c r="Q341" s="6" t="s">
        <v>52</v>
      </c>
      <c r="R341" s="3" t="s">
        <v>9</v>
      </c>
    </row>
    <row r="342" spans="1:18">
      <c r="A342" s="1">
        <v>2061</v>
      </c>
      <c r="B342" s="8" t="s">
        <v>2106</v>
      </c>
      <c r="C342" s="8" t="s">
        <v>209</v>
      </c>
      <c r="D342" s="8">
        <v>4</v>
      </c>
      <c r="E342" s="8" t="s">
        <v>3083</v>
      </c>
      <c r="F342" s="8" t="s">
        <v>3084</v>
      </c>
      <c r="G342" s="8" t="s">
        <v>3050</v>
      </c>
      <c r="H342" s="8"/>
      <c r="I342" s="99" t="s">
        <v>560</v>
      </c>
      <c r="J342" s="8" t="s">
        <v>561</v>
      </c>
      <c r="K342" s="8"/>
      <c r="L342" s="8"/>
      <c r="M342" s="8"/>
      <c r="N342" s="8" t="s">
        <v>3456</v>
      </c>
      <c r="O342" s="68" t="s">
        <v>3569</v>
      </c>
      <c r="P342" s="68" t="s">
        <v>3522</v>
      </c>
      <c r="Q342" s="8" t="s">
        <v>27</v>
      </c>
      <c r="R342" s="8" t="s">
        <v>9</v>
      </c>
    </row>
    <row r="343" spans="1:18">
      <c r="A343" s="1">
        <v>2062</v>
      </c>
      <c r="B343" s="3" t="s">
        <v>2107</v>
      </c>
      <c r="C343" s="3" t="s">
        <v>185</v>
      </c>
      <c r="D343" s="3">
        <v>4</v>
      </c>
      <c r="E343" s="3" t="s">
        <v>3083</v>
      </c>
      <c r="F343" s="3" t="s">
        <v>3084</v>
      </c>
      <c r="G343" s="3" t="s">
        <v>3053</v>
      </c>
      <c r="I343" s="3" t="s">
        <v>566</v>
      </c>
      <c r="J343" s="3" t="s">
        <v>774</v>
      </c>
      <c r="N343" s="3" t="s">
        <v>3150</v>
      </c>
      <c r="O343" s="64" t="s">
        <v>3569</v>
      </c>
      <c r="P343" s="64" t="s">
        <v>3527</v>
      </c>
      <c r="Q343" s="3" t="s">
        <v>39</v>
      </c>
      <c r="R343" s="3" t="s">
        <v>9</v>
      </c>
    </row>
    <row r="344" spans="1:18">
      <c r="A344" s="6">
        <v>2063</v>
      </c>
      <c r="B344" s="6" t="s">
        <v>2108</v>
      </c>
      <c r="C344" s="6" t="s">
        <v>185</v>
      </c>
      <c r="D344" s="6">
        <v>4</v>
      </c>
      <c r="E344" s="6" t="s">
        <v>3083</v>
      </c>
      <c r="F344" s="6" t="s">
        <v>3084</v>
      </c>
      <c r="G344" s="6" t="s">
        <v>3054</v>
      </c>
      <c r="H344" s="6" t="s">
        <v>3060</v>
      </c>
      <c r="I344" s="6" t="s">
        <v>562</v>
      </c>
      <c r="J344" s="6"/>
      <c r="K344" s="6"/>
      <c r="L344" s="6"/>
      <c r="M344" s="6"/>
      <c r="N344" s="6" t="s">
        <v>3150</v>
      </c>
      <c r="O344" s="66" t="s">
        <v>3569</v>
      </c>
      <c r="P344" s="66" t="s">
        <v>3527</v>
      </c>
      <c r="Q344" s="6" t="s">
        <v>604</v>
      </c>
      <c r="R344" s="6" t="s">
        <v>9</v>
      </c>
    </row>
    <row r="345" spans="1:18">
      <c r="A345" s="1">
        <v>2064</v>
      </c>
      <c r="B345" s="9" t="s">
        <v>2109</v>
      </c>
      <c r="C345" s="9" t="s">
        <v>185</v>
      </c>
      <c r="D345" s="9">
        <v>4</v>
      </c>
      <c r="E345" s="9" t="s">
        <v>3087</v>
      </c>
      <c r="F345" s="9" t="s">
        <v>3084</v>
      </c>
      <c r="G345" s="9" t="s">
        <v>3055</v>
      </c>
      <c r="H345" s="9"/>
      <c r="I345" s="9" t="s">
        <v>23</v>
      </c>
      <c r="J345" s="9" t="s">
        <v>575</v>
      </c>
      <c r="K345" s="9" t="s">
        <v>781</v>
      </c>
      <c r="L345" s="9"/>
      <c r="M345" s="9"/>
      <c r="N345" s="9"/>
      <c r="O345" s="84" t="s">
        <v>4050</v>
      </c>
      <c r="P345" s="84" t="s">
        <v>4050</v>
      </c>
      <c r="Q345" s="9" t="s">
        <v>53</v>
      </c>
      <c r="R345" s="9" t="s">
        <v>9</v>
      </c>
    </row>
    <row r="346" spans="1:18">
      <c r="A346" s="1">
        <v>2065</v>
      </c>
      <c r="B346" s="3" t="s">
        <v>2110</v>
      </c>
      <c r="C346" s="3" t="s">
        <v>185</v>
      </c>
      <c r="D346" s="3">
        <v>4</v>
      </c>
      <c r="E346" s="3" t="s">
        <v>3083</v>
      </c>
      <c r="F346" s="3" t="s">
        <v>3084</v>
      </c>
      <c r="G346" s="3" t="s">
        <v>3051</v>
      </c>
      <c r="I346" s="3" t="s">
        <v>1</v>
      </c>
      <c r="J346" s="3" t="s">
        <v>564</v>
      </c>
      <c r="N346" s="3" t="s">
        <v>3456</v>
      </c>
      <c r="O346" s="64" t="s">
        <v>3569</v>
      </c>
      <c r="P346" s="64" t="s">
        <v>3527</v>
      </c>
      <c r="Q346" s="3" t="s">
        <v>605</v>
      </c>
      <c r="R346" s="3" t="s">
        <v>9</v>
      </c>
    </row>
    <row r="347" spans="1:18">
      <c r="A347" s="1">
        <v>2066</v>
      </c>
      <c r="B347" s="3" t="s">
        <v>2111</v>
      </c>
      <c r="C347" s="3" t="s">
        <v>185</v>
      </c>
      <c r="D347" s="3">
        <v>4</v>
      </c>
      <c r="E347" s="3" t="s">
        <v>3083</v>
      </c>
      <c r="F347" s="3" t="s">
        <v>3084</v>
      </c>
      <c r="G347" s="3" t="s">
        <v>3051</v>
      </c>
      <c r="I347" s="3" t="s">
        <v>565</v>
      </c>
      <c r="N347" s="3" t="s">
        <v>3456</v>
      </c>
      <c r="O347" s="64" t="s">
        <v>3569</v>
      </c>
      <c r="P347" s="64" t="s">
        <v>3611</v>
      </c>
      <c r="Q347" s="3" t="s">
        <v>33</v>
      </c>
      <c r="R347" s="3" t="s">
        <v>9</v>
      </c>
    </row>
    <row r="348" spans="1:18">
      <c r="A348" s="1">
        <v>2067</v>
      </c>
      <c r="B348" s="3" t="s">
        <v>2112</v>
      </c>
      <c r="C348" s="3" t="s">
        <v>185</v>
      </c>
      <c r="D348" s="3">
        <v>4</v>
      </c>
      <c r="E348" s="3" t="s">
        <v>3087</v>
      </c>
      <c r="F348" s="3" t="s">
        <v>3084</v>
      </c>
      <c r="G348" s="3" t="s">
        <v>3059</v>
      </c>
      <c r="I348" s="3" t="s">
        <v>557</v>
      </c>
      <c r="N348" s="3" t="s">
        <v>3456</v>
      </c>
      <c r="O348" s="64" t="s">
        <v>3569</v>
      </c>
      <c r="P348" s="64" t="s">
        <v>3569</v>
      </c>
      <c r="Q348" s="3" t="s">
        <v>179</v>
      </c>
      <c r="R348" s="3" t="s">
        <v>9</v>
      </c>
    </row>
    <row r="349" spans="1:18">
      <c r="A349" s="1">
        <v>2068</v>
      </c>
      <c r="B349" s="3" t="s">
        <v>2113</v>
      </c>
      <c r="C349" s="3" t="s">
        <v>185</v>
      </c>
      <c r="D349" s="3">
        <v>4</v>
      </c>
      <c r="E349" s="3" t="s">
        <v>3083</v>
      </c>
      <c r="F349" s="3" t="s">
        <v>3084</v>
      </c>
      <c r="G349" s="3" t="s">
        <v>3055</v>
      </c>
      <c r="I349" s="3" t="s">
        <v>3898</v>
      </c>
      <c r="N349" s="3" t="s">
        <v>3456</v>
      </c>
      <c r="O349" s="64" t="s">
        <v>3569</v>
      </c>
      <c r="P349" s="64" t="s">
        <v>3527</v>
      </c>
      <c r="Q349" s="3" t="s">
        <v>53</v>
      </c>
      <c r="R349" s="3" t="s">
        <v>9</v>
      </c>
    </row>
    <row r="350" spans="1:18">
      <c r="A350" s="1">
        <v>2070</v>
      </c>
      <c r="B350" s="3" t="s">
        <v>2114</v>
      </c>
      <c r="C350" s="3" t="s">
        <v>209</v>
      </c>
      <c r="D350" s="3">
        <v>4</v>
      </c>
      <c r="E350" s="3" t="s">
        <v>3083</v>
      </c>
      <c r="F350" s="3" t="s">
        <v>3084</v>
      </c>
      <c r="G350" s="3" t="s">
        <v>3050</v>
      </c>
      <c r="I350" s="3" t="s">
        <v>3785</v>
      </c>
      <c r="J350" s="3" t="s">
        <v>775</v>
      </c>
      <c r="N350" s="3" t="s">
        <v>3456</v>
      </c>
      <c r="O350" s="64" t="s">
        <v>3522</v>
      </c>
      <c r="P350" s="64" t="s">
        <v>3527</v>
      </c>
      <c r="Q350" s="3" t="s">
        <v>48</v>
      </c>
      <c r="R350" s="3" t="s">
        <v>9</v>
      </c>
    </row>
    <row r="351" spans="1:18">
      <c r="A351" s="1">
        <v>2071</v>
      </c>
      <c r="B351" s="3" t="s">
        <v>2115</v>
      </c>
      <c r="C351" s="3" t="s">
        <v>185</v>
      </c>
      <c r="D351" s="3">
        <v>4</v>
      </c>
      <c r="E351" s="3" t="s">
        <v>3087</v>
      </c>
      <c r="F351" s="3" t="s">
        <v>3084</v>
      </c>
      <c r="G351" s="3" t="s">
        <v>3050</v>
      </c>
      <c r="I351" s="80" t="s">
        <v>569</v>
      </c>
      <c r="N351" s="3" t="s">
        <v>3456</v>
      </c>
      <c r="O351" s="64" t="s">
        <v>3527</v>
      </c>
      <c r="P351" s="64" t="s">
        <v>3527</v>
      </c>
      <c r="Q351" s="3" t="s">
        <v>46</v>
      </c>
      <c r="R351" s="3" t="s">
        <v>9</v>
      </c>
    </row>
    <row r="352" spans="1:18">
      <c r="A352" s="1">
        <v>2072</v>
      </c>
      <c r="B352" s="3" t="s">
        <v>2116</v>
      </c>
      <c r="C352" s="3" t="s">
        <v>209</v>
      </c>
      <c r="D352" s="3">
        <v>4</v>
      </c>
      <c r="E352" s="3" t="s">
        <v>3083</v>
      </c>
      <c r="F352" s="3" t="s">
        <v>3084</v>
      </c>
      <c r="G352" s="3" t="s">
        <v>3051</v>
      </c>
      <c r="I352" s="3" t="s">
        <v>571</v>
      </c>
      <c r="J352" s="3" t="s">
        <v>572</v>
      </c>
      <c r="O352" s="64" t="s">
        <v>3569</v>
      </c>
      <c r="P352" s="64" t="s">
        <v>3522</v>
      </c>
      <c r="Q352" s="3" t="s">
        <v>31</v>
      </c>
      <c r="R352" s="3" t="s">
        <v>9</v>
      </c>
    </row>
    <row r="353" spans="1:19">
      <c r="A353" s="1">
        <v>2073</v>
      </c>
      <c r="B353" s="3" t="s">
        <v>3899</v>
      </c>
      <c r="C353" s="3" t="s">
        <v>185</v>
      </c>
      <c r="D353" s="3">
        <v>4</v>
      </c>
      <c r="E353" s="3" t="s">
        <v>3083</v>
      </c>
      <c r="F353" s="3" t="s">
        <v>3084</v>
      </c>
      <c r="G353" s="3" t="s">
        <v>3050</v>
      </c>
      <c r="I353" s="3" t="s">
        <v>576</v>
      </c>
      <c r="J353" s="3" t="s">
        <v>776</v>
      </c>
      <c r="K353" s="3" t="s">
        <v>577</v>
      </c>
      <c r="N353" s="3" t="s">
        <v>3456</v>
      </c>
      <c r="O353" s="64" t="s">
        <v>4048</v>
      </c>
      <c r="P353" s="64" t="s">
        <v>4048</v>
      </c>
      <c r="Q353" s="3" t="s">
        <v>33</v>
      </c>
      <c r="R353" s="3" t="s">
        <v>9</v>
      </c>
    </row>
    <row r="354" spans="1:19">
      <c r="A354" s="1">
        <v>2074</v>
      </c>
      <c r="B354" s="3" t="s">
        <v>2117</v>
      </c>
      <c r="C354" s="3" t="s">
        <v>209</v>
      </c>
      <c r="D354" s="3">
        <v>4</v>
      </c>
      <c r="E354" s="3" t="s">
        <v>3087</v>
      </c>
      <c r="F354" s="3" t="s">
        <v>3084</v>
      </c>
      <c r="G354" s="3" t="s">
        <v>3050</v>
      </c>
      <c r="I354" s="3" t="s">
        <v>0</v>
      </c>
      <c r="J354" s="3" t="s">
        <v>570</v>
      </c>
      <c r="N354" s="3" t="s">
        <v>3456</v>
      </c>
      <c r="O354" s="64" t="s">
        <v>3527</v>
      </c>
      <c r="P354" s="64" t="s">
        <v>3522</v>
      </c>
      <c r="Q354" s="3" t="s">
        <v>181</v>
      </c>
      <c r="R354" s="3" t="s">
        <v>9</v>
      </c>
    </row>
    <row r="355" spans="1:19">
      <c r="A355" s="1">
        <v>2075</v>
      </c>
      <c r="B355" s="3" t="s">
        <v>2118</v>
      </c>
      <c r="C355" s="3" t="s">
        <v>185</v>
      </c>
      <c r="D355" s="3">
        <v>4</v>
      </c>
      <c r="E355" s="3" t="s">
        <v>3083</v>
      </c>
      <c r="F355" s="3" t="s">
        <v>3084</v>
      </c>
      <c r="G355" s="3" t="s">
        <v>3050</v>
      </c>
      <c r="I355" s="3" t="s">
        <v>567</v>
      </c>
      <c r="N355" s="3" t="s">
        <v>3456</v>
      </c>
      <c r="O355" s="64" t="s">
        <v>3533</v>
      </c>
      <c r="P355" s="64" t="s">
        <v>3530</v>
      </c>
      <c r="Q355" s="3" t="s">
        <v>171</v>
      </c>
      <c r="R355" s="3" t="s">
        <v>9</v>
      </c>
    </row>
    <row r="356" spans="1:19">
      <c r="A356" s="1">
        <v>2076</v>
      </c>
      <c r="B356" s="3" t="s">
        <v>2119</v>
      </c>
      <c r="C356" s="3" t="s">
        <v>209</v>
      </c>
      <c r="D356" s="3">
        <v>4</v>
      </c>
      <c r="E356" s="3" t="s">
        <v>3083</v>
      </c>
      <c r="F356" s="3" t="s">
        <v>3084</v>
      </c>
      <c r="G356" s="3" t="s">
        <v>3050</v>
      </c>
      <c r="I356" s="3" t="s">
        <v>777</v>
      </c>
      <c r="N356" s="3" t="s">
        <v>3456</v>
      </c>
      <c r="O356" s="64" t="s">
        <v>3533</v>
      </c>
      <c r="P356" s="64" t="s">
        <v>3527</v>
      </c>
      <c r="Q356" s="3" t="s">
        <v>177</v>
      </c>
      <c r="R356" s="3" t="s">
        <v>9</v>
      </c>
    </row>
    <row r="357" spans="1:19">
      <c r="A357" s="1">
        <v>3007</v>
      </c>
      <c r="B357" s="3" t="s">
        <v>2143</v>
      </c>
      <c r="C357" s="3" t="s">
        <v>209</v>
      </c>
      <c r="D357" s="3">
        <v>4</v>
      </c>
      <c r="E357" s="3" t="s">
        <v>3083</v>
      </c>
      <c r="F357" s="3" t="s">
        <v>3084</v>
      </c>
      <c r="G357" s="3" t="s">
        <v>3054</v>
      </c>
      <c r="I357" s="3" t="s">
        <v>3792</v>
      </c>
      <c r="J357" s="3" t="s">
        <v>568</v>
      </c>
      <c r="N357" s="3" t="s">
        <v>3456</v>
      </c>
      <c r="O357" s="64" t="s">
        <v>3527</v>
      </c>
      <c r="P357" s="64" t="s">
        <v>3522</v>
      </c>
      <c r="Q357" s="3" t="s">
        <v>176</v>
      </c>
      <c r="R357" s="3" t="s">
        <v>41</v>
      </c>
    </row>
    <row r="358" spans="1:19">
      <c r="A358" s="1">
        <v>3008</v>
      </c>
      <c r="B358" s="3" t="s">
        <v>2144</v>
      </c>
      <c r="C358" s="3" t="s">
        <v>209</v>
      </c>
      <c r="D358" s="3">
        <v>4</v>
      </c>
      <c r="E358" s="3" t="s">
        <v>3083</v>
      </c>
      <c r="F358" s="3" t="s">
        <v>3084</v>
      </c>
      <c r="G358" s="3" t="s">
        <v>3058</v>
      </c>
      <c r="I358" s="3" t="s">
        <v>578</v>
      </c>
      <c r="J358" s="3" t="s">
        <v>579</v>
      </c>
      <c r="K358" s="80" t="s">
        <v>580</v>
      </c>
      <c r="L358" s="3" t="s">
        <v>581</v>
      </c>
      <c r="N358" s="3" t="s">
        <v>3456</v>
      </c>
      <c r="O358" s="64" t="s">
        <v>3522</v>
      </c>
      <c r="P358" s="64" t="s">
        <v>3522</v>
      </c>
      <c r="Q358" s="3" t="s">
        <v>32</v>
      </c>
      <c r="R358" s="3" t="s">
        <v>41</v>
      </c>
    </row>
    <row r="359" spans="1:19">
      <c r="A359" s="1">
        <v>153</v>
      </c>
      <c r="B359" s="3" t="s">
        <v>481</v>
      </c>
      <c r="C359" s="3" t="s">
        <v>210</v>
      </c>
      <c r="D359" s="3">
        <v>5</v>
      </c>
      <c r="E359" s="3" t="s">
        <v>3083</v>
      </c>
      <c r="F359" s="3" t="s">
        <v>3084</v>
      </c>
      <c r="G359" s="3" t="s">
        <v>3054</v>
      </c>
      <c r="I359" s="3" t="s">
        <v>1265</v>
      </c>
      <c r="J359" s="80" t="s">
        <v>1293</v>
      </c>
      <c r="O359" s="64" t="s">
        <v>3569</v>
      </c>
      <c r="P359" s="64" t="s">
        <v>3522</v>
      </c>
      <c r="Q359" s="3" t="s">
        <v>180</v>
      </c>
      <c r="R359" s="3" t="s">
        <v>4</v>
      </c>
    </row>
    <row r="360" spans="1:19">
      <c r="A360" s="1">
        <v>154</v>
      </c>
      <c r="B360" s="3" t="s">
        <v>482</v>
      </c>
      <c r="C360" s="3" t="s">
        <v>211</v>
      </c>
      <c r="D360" s="3">
        <v>5</v>
      </c>
      <c r="E360" s="3" t="s">
        <v>3083</v>
      </c>
      <c r="F360" s="3" t="s">
        <v>3084</v>
      </c>
      <c r="G360" s="3" t="s">
        <v>3053</v>
      </c>
      <c r="I360" s="3" t="s">
        <v>143</v>
      </c>
      <c r="N360" s="3" t="s">
        <v>490</v>
      </c>
      <c r="O360" s="64" t="s">
        <v>3569</v>
      </c>
      <c r="P360" s="64" t="s">
        <v>3527</v>
      </c>
      <c r="Q360" s="3" t="s">
        <v>172</v>
      </c>
      <c r="R360" s="3" t="s">
        <v>4</v>
      </c>
    </row>
    <row r="361" spans="1:19">
      <c r="A361" s="1">
        <v>155</v>
      </c>
      <c r="B361" s="3" t="s">
        <v>483</v>
      </c>
      <c r="C361" s="3" t="s">
        <v>211</v>
      </c>
      <c r="D361" s="3">
        <v>5</v>
      </c>
      <c r="E361" s="3" t="s">
        <v>3083</v>
      </c>
      <c r="F361" s="3" t="s">
        <v>3084</v>
      </c>
      <c r="G361" s="3" t="s">
        <v>3050</v>
      </c>
      <c r="I361" s="3" t="s">
        <v>144</v>
      </c>
      <c r="N361" s="3" t="s">
        <v>490</v>
      </c>
      <c r="O361" s="64" t="s">
        <v>3527</v>
      </c>
      <c r="P361" s="64" t="s">
        <v>3522</v>
      </c>
      <c r="Q361" s="3" t="s">
        <v>48</v>
      </c>
      <c r="R361" s="3" t="s">
        <v>4</v>
      </c>
      <c r="S361" s="12"/>
    </row>
    <row r="362" spans="1:19">
      <c r="A362" s="1">
        <v>156</v>
      </c>
      <c r="B362" s="3" t="s">
        <v>484</v>
      </c>
      <c r="C362" s="3" t="s">
        <v>211</v>
      </c>
      <c r="D362" s="3">
        <v>5</v>
      </c>
      <c r="E362" s="3" t="s">
        <v>3083</v>
      </c>
      <c r="F362" s="3" t="s">
        <v>3084</v>
      </c>
      <c r="G362" s="3" t="s">
        <v>3050</v>
      </c>
      <c r="I362" s="3" t="s">
        <v>145</v>
      </c>
      <c r="O362" s="64" t="s">
        <v>3527</v>
      </c>
      <c r="P362" s="64" t="s">
        <v>3530</v>
      </c>
      <c r="Q362" s="3" t="s">
        <v>5</v>
      </c>
      <c r="R362" s="3" t="s">
        <v>4</v>
      </c>
    </row>
    <row r="363" spans="1:19">
      <c r="A363" s="1">
        <v>157</v>
      </c>
      <c r="B363" s="3" t="s">
        <v>485</v>
      </c>
      <c r="C363" s="3" t="s">
        <v>211</v>
      </c>
      <c r="D363" s="3">
        <v>5</v>
      </c>
      <c r="E363" s="3" t="s">
        <v>3083</v>
      </c>
      <c r="F363" s="3" t="s">
        <v>3084</v>
      </c>
      <c r="G363" s="3" t="s">
        <v>3050</v>
      </c>
      <c r="I363" s="3" t="s">
        <v>146</v>
      </c>
      <c r="O363" s="64" t="s">
        <v>3527</v>
      </c>
      <c r="P363" s="64" t="s">
        <v>3527</v>
      </c>
      <c r="Q363" s="3" t="s">
        <v>11</v>
      </c>
      <c r="R363" s="3" t="s">
        <v>4</v>
      </c>
      <c r="S363" s="13"/>
    </row>
    <row r="364" spans="1:19">
      <c r="A364" s="1">
        <v>158</v>
      </c>
      <c r="B364" s="3" t="s">
        <v>486</v>
      </c>
      <c r="C364" s="3" t="s">
        <v>211</v>
      </c>
      <c r="D364" s="3">
        <v>5</v>
      </c>
      <c r="E364" s="3" t="s">
        <v>3083</v>
      </c>
      <c r="F364" s="3" t="s">
        <v>3084</v>
      </c>
      <c r="G364" s="3" t="s">
        <v>3050</v>
      </c>
      <c r="I364" s="3" t="s">
        <v>1294</v>
      </c>
      <c r="J364" s="3" t="s">
        <v>147</v>
      </c>
      <c r="N364" s="3" t="s">
        <v>490</v>
      </c>
      <c r="O364" s="64" t="s">
        <v>3569</v>
      </c>
      <c r="P364" s="64" t="s">
        <v>3522</v>
      </c>
      <c r="Q364" s="3" t="s">
        <v>184</v>
      </c>
      <c r="R364" s="3" t="s">
        <v>4</v>
      </c>
    </row>
    <row r="365" spans="1:19">
      <c r="A365" s="1">
        <v>159</v>
      </c>
      <c r="B365" s="3" t="s">
        <v>487</v>
      </c>
      <c r="C365" s="3" t="s">
        <v>211</v>
      </c>
      <c r="D365" s="3">
        <v>5</v>
      </c>
      <c r="E365" s="3" t="s">
        <v>3083</v>
      </c>
      <c r="F365" s="3" t="s">
        <v>3084</v>
      </c>
      <c r="G365" s="3" t="s">
        <v>3049</v>
      </c>
      <c r="I365" s="3" t="s">
        <v>23</v>
      </c>
      <c r="J365" s="3" t="s">
        <v>1295</v>
      </c>
      <c r="N365" s="3" t="s">
        <v>490</v>
      </c>
      <c r="O365" s="64" t="s">
        <v>3527</v>
      </c>
      <c r="P365" s="64" t="s">
        <v>3527</v>
      </c>
      <c r="Q365" s="3" t="s">
        <v>30</v>
      </c>
      <c r="R365" s="3" t="s">
        <v>4</v>
      </c>
    </row>
    <row r="366" spans="1:19">
      <c r="A366" s="1">
        <v>160</v>
      </c>
      <c r="B366" s="3" t="s">
        <v>488</v>
      </c>
      <c r="C366" s="3" t="s">
        <v>211</v>
      </c>
      <c r="D366" s="3">
        <v>5</v>
      </c>
      <c r="E366" s="3" t="s">
        <v>3083</v>
      </c>
      <c r="F366" s="3" t="s">
        <v>3084</v>
      </c>
      <c r="G366" s="3" t="s">
        <v>3054</v>
      </c>
      <c r="I366" s="81" t="s">
        <v>1293</v>
      </c>
      <c r="J366" s="4"/>
      <c r="O366" s="64" t="s">
        <v>3527</v>
      </c>
      <c r="P366" s="64" t="s">
        <v>3522</v>
      </c>
      <c r="Q366" s="3" t="s">
        <v>39</v>
      </c>
      <c r="R366" s="3" t="s">
        <v>4</v>
      </c>
    </row>
    <row r="367" spans="1:19">
      <c r="A367" s="1">
        <v>1123</v>
      </c>
      <c r="B367" s="3" t="s">
        <v>754</v>
      </c>
      <c r="C367" s="3" t="s">
        <v>210</v>
      </c>
      <c r="D367" s="3">
        <v>5</v>
      </c>
      <c r="E367" s="3" t="s">
        <v>3083</v>
      </c>
      <c r="F367" s="3" t="s">
        <v>3084</v>
      </c>
      <c r="G367" s="3" t="s">
        <v>3054</v>
      </c>
      <c r="I367" s="3" t="s">
        <v>534</v>
      </c>
      <c r="J367" s="3" t="s">
        <v>316</v>
      </c>
      <c r="K367" s="3" t="s">
        <v>317</v>
      </c>
      <c r="N367" s="3" t="s">
        <v>3456</v>
      </c>
      <c r="O367" s="64" t="s">
        <v>3569</v>
      </c>
      <c r="P367" s="64" t="s">
        <v>3569</v>
      </c>
      <c r="Q367" s="3" t="s">
        <v>31</v>
      </c>
      <c r="R367" s="3" t="s">
        <v>7</v>
      </c>
    </row>
    <row r="368" spans="1:19">
      <c r="A368" s="1">
        <v>1124</v>
      </c>
      <c r="B368" s="3" t="s">
        <v>755</v>
      </c>
      <c r="C368" s="3" t="s">
        <v>210</v>
      </c>
      <c r="D368" s="3">
        <v>5</v>
      </c>
      <c r="E368" s="3" t="s">
        <v>3083</v>
      </c>
      <c r="F368" s="3" t="s">
        <v>3084</v>
      </c>
      <c r="G368" s="3" t="s">
        <v>3050</v>
      </c>
      <c r="I368" s="3" t="s">
        <v>1</v>
      </c>
      <c r="J368" s="3" t="s">
        <v>21</v>
      </c>
      <c r="N368" s="3" t="s">
        <v>3456</v>
      </c>
      <c r="O368" s="64" t="s">
        <v>3569</v>
      </c>
      <c r="P368" s="64" t="s">
        <v>3569</v>
      </c>
      <c r="Q368" s="3" t="s">
        <v>27</v>
      </c>
      <c r="R368" s="3" t="s">
        <v>7</v>
      </c>
    </row>
    <row r="369" spans="1:18">
      <c r="A369" s="4">
        <v>1125</v>
      </c>
      <c r="B369" s="4" t="s">
        <v>756</v>
      </c>
      <c r="C369" s="4" t="s">
        <v>211</v>
      </c>
      <c r="D369" s="4">
        <v>5</v>
      </c>
      <c r="E369" s="4" t="s">
        <v>3083</v>
      </c>
      <c r="F369" s="4" t="s">
        <v>3084</v>
      </c>
      <c r="G369" s="4" t="s">
        <v>3050</v>
      </c>
      <c r="H369" s="4"/>
      <c r="I369" s="4" t="s">
        <v>1</v>
      </c>
      <c r="J369" s="4" t="s">
        <v>318</v>
      </c>
      <c r="K369" s="4" t="s">
        <v>319</v>
      </c>
      <c r="L369" s="4"/>
      <c r="M369" s="4"/>
      <c r="N369" s="4" t="s">
        <v>3150</v>
      </c>
      <c r="O369" s="65" t="s">
        <v>3522</v>
      </c>
      <c r="P369" s="65" t="s">
        <v>3527</v>
      </c>
      <c r="Q369" s="4" t="s">
        <v>33</v>
      </c>
      <c r="R369" s="4" t="s">
        <v>7</v>
      </c>
    </row>
    <row r="370" spans="1:18">
      <c r="A370" s="1">
        <v>1126</v>
      </c>
      <c r="B370" s="3" t="s">
        <v>757</v>
      </c>
      <c r="C370" s="3" t="s">
        <v>211</v>
      </c>
      <c r="D370" s="3">
        <v>5</v>
      </c>
      <c r="E370" s="3" t="s">
        <v>3083</v>
      </c>
      <c r="F370" s="3" t="s">
        <v>3084</v>
      </c>
      <c r="G370" s="3" t="s">
        <v>3058</v>
      </c>
      <c r="I370" s="3" t="s">
        <v>320</v>
      </c>
      <c r="N370" s="3" t="s">
        <v>3456</v>
      </c>
      <c r="O370" s="64" t="s">
        <v>3527</v>
      </c>
      <c r="P370" s="64" t="s">
        <v>3527</v>
      </c>
      <c r="Q370" s="3" t="s">
        <v>32</v>
      </c>
      <c r="R370" s="3" t="s">
        <v>7</v>
      </c>
    </row>
    <row r="371" spans="1:18">
      <c r="A371" s="1">
        <v>1128</v>
      </c>
      <c r="B371" s="3" t="s">
        <v>758</v>
      </c>
      <c r="C371" s="3" t="s">
        <v>211</v>
      </c>
      <c r="D371" s="3">
        <v>5</v>
      </c>
      <c r="E371" s="3" t="s">
        <v>3083</v>
      </c>
      <c r="F371" s="3" t="s">
        <v>3084</v>
      </c>
      <c r="G371" s="3" t="s">
        <v>3050</v>
      </c>
      <c r="I371" s="3" t="s">
        <v>23</v>
      </c>
      <c r="N371" s="3" t="s">
        <v>3456</v>
      </c>
      <c r="O371" s="64" t="s">
        <v>3569</v>
      </c>
      <c r="P371" s="64" t="s">
        <v>3530</v>
      </c>
      <c r="Q371" s="3" t="s">
        <v>182</v>
      </c>
      <c r="R371" s="3" t="s">
        <v>7</v>
      </c>
    </row>
    <row r="372" spans="1:18">
      <c r="A372" s="1">
        <v>1129</v>
      </c>
      <c r="B372" s="3" t="s">
        <v>759</v>
      </c>
      <c r="C372" s="3" t="s">
        <v>211</v>
      </c>
      <c r="D372" s="3">
        <v>5</v>
      </c>
      <c r="E372" s="3" t="s">
        <v>3083</v>
      </c>
      <c r="F372" s="3" t="s">
        <v>3084</v>
      </c>
      <c r="G372" s="3" t="s">
        <v>3050</v>
      </c>
      <c r="I372" s="3" t="s">
        <v>3810</v>
      </c>
      <c r="J372" s="3" t="s">
        <v>321</v>
      </c>
      <c r="N372" s="3" t="s">
        <v>3150</v>
      </c>
      <c r="O372" s="64" t="s">
        <v>3569</v>
      </c>
      <c r="P372" s="64" t="s">
        <v>3527</v>
      </c>
      <c r="Q372" s="3" t="s">
        <v>53</v>
      </c>
      <c r="R372" s="3" t="s">
        <v>7</v>
      </c>
    </row>
    <row r="373" spans="1:18">
      <c r="A373" s="1">
        <v>1130</v>
      </c>
      <c r="B373" s="3" t="s">
        <v>760</v>
      </c>
      <c r="C373" s="3" t="s">
        <v>210</v>
      </c>
      <c r="D373" s="3">
        <v>5</v>
      </c>
      <c r="E373" s="3" t="s">
        <v>3083</v>
      </c>
      <c r="F373" s="3" t="s">
        <v>3084</v>
      </c>
      <c r="G373" s="3" t="s">
        <v>3050</v>
      </c>
      <c r="I373" s="3" t="s">
        <v>322</v>
      </c>
      <c r="N373" s="3" t="s">
        <v>3150</v>
      </c>
      <c r="O373" s="64" t="s">
        <v>3527</v>
      </c>
      <c r="P373" s="64" t="s">
        <v>3522</v>
      </c>
      <c r="Q373" s="3" t="s">
        <v>182</v>
      </c>
      <c r="R373" s="3" t="s">
        <v>7</v>
      </c>
    </row>
    <row r="374" spans="1:18">
      <c r="A374" s="6">
        <v>2077</v>
      </c>
      <c r="B374" s="6" t="s">
        <v>2120</v>
      </c>
      <c r="C374" s="6" t="s">
        <v>211</v>
      </c>
      <c r="D374" s="6">
        <v>5</v>
      </c>
      <c r="E374" s="6" t="s">
        <v>3083</v>
      </c>
      <c r="F374" s="6" t="s">
        <v>3084</v>
      </c>
      <c r="G374" s="6" t="s">
        <v>3054</v>
      </c>
      <c r="H374" s="6" t="s">
        <v>3060</v>
      </c>
      <c r="I374" s="6" t="s">
        <v>583</v>
      </c>
      <c r="J374" s="6"/>
      <c r="K374" s="6"/>
      <c r="L374" s="6"/>
      <c r="M374" s="6"/>
      <c r="N374" s="6" t="s">
        <v>3150</v>
      </c>
      <c r="O374" s="66" t="s">
        <v>3522</v>
      </c>
      <c r="P374" s="66" t="s">
        <v>3527</v>
      </c>
      <c r="Q374" s="6" t="s">
        <v>28</v>
      </c>
      <c r="R374" s="6" t="s">
        <v>9</v>
      </c>
    </row>
    <row r="375" spans="1:18">
      <c r="A375" s="1">
        <v>2078</v>
      </c>
      <c r="B375" s="3" t="s">
        <v>2121</v>
      </c>
      <c r="C375" s="3" t="s">
        <v>211</v>
      </c>
      <c r="D375" s="3">
        <v>5</v>
      </c>
      <c r="E375" s="3" t="s">
        <v>3083</v>
      </c>
      <c r="F375" s="3" t="s">
        <v>3084</v>
      </c>
      <c r="G375" s="3" t="s">
        <v>3053</v>
      </c>
      <c r="I375" s="3" t="s">
        <v>587</v>
      </c>
      <c r="N375" s="3" t="s">
        <v>3456</v>
      </c>
      <c r="O375" s="64" t="s">
        <v>3533</v>
      </c>
      <c r="P375" s="64" t="s">
        <v>3522</v>
      </c>
      <c r="Q375" s="3" t="s">
        <v>171</v>
      </c>
      <c r="R375" s="3" t="s">
        <v>9</v>
      </c>
    </row>
    <row r="376" spans="1:18">
      <c r="A376" s="1">
        <v>2079</v>
      </c>
      <c r="B376" s="3" t="s">
        <v>2122</v>
      </c>
      <c r="C376" s="3" t="s">
        <v>211</v>
      </c>
      <c r="D376" s="3">
        <v>5</v>
      </c>
      <c r="E376" s="3" t="s">
        <v>3083</v>
      </c>
      <c r="F376" s="3" t="s">
        <v>3084</v>
      </c>
      <c r="G376" s="3" t="s">
        <v>3054</v>
      </c>
      <c r="I376" s="3" t="s">
        <v>585</v>
      </c>
      <c r="J376" s="3" t="s">
        <v>778</v>
      </c>
      <c r="N376" s="3" t="s">
        <v>3150</v>
      </c>
      <c r="O376" s="64" t="s">
        <v>3569</v>
      </c>
      <c r="P376" s="64" t="s">
        <v>3569</v>
      </c>
      <c r="Q376" s="3" t="s">
        <v>15</v>
      </c>
      <c r="R376" s="3" t="s">
        <v>9</v>
      </c>
    </row>
    <row r="377" spans="1:18">
      <c r="A377" s="1">
        <v>2080</v>
      </c>
      <c r="B377" s="3" t="s">
        <v>2123</v>
      </c>
      <c r="C377" s="3" t="s">
        <v>210</v>
      </c>
      <c r="D377" s="3">
        <v>5</v>
      </c>
      <c r="E377" s="3" t="s">
        <v>3083</v>
      </c>
      <c r="F377" s="3" t="s">
        <v>3084</v>
      </c>
      <c r="G377" s="3" t="s">
        <v>3050</v>
      </c>
      <c r="I377" s="3" t="s">
        <v>586</v>
      </c>
      <c r="N377" s="3" t="s">
        <v>3456</v>
      </c>
      <c r="O377" s="64" t="s">
        <v>3569</v>
      </c>
      <c r="P377" s="64" t="s">
        <v>3530</v>
      </c>
      <c r="Q377" s="3" t="s">
        <v>169</v>
      </c>
      <c r="R377" s="3" t="s">
        <v>9</v>
      </c>
    </row>
    <row r="378" spans="1:18">
      <c r="A378" s="1">
        <v>2081</v>
      </c>
      <c r="B378" s="3" t="s">
        <v>2124</v>
      </c>
      <c r="C378" s="3" t="s">
        <v>779</v>
      </c>
      <c r="D378" s="3">
        <v>5</v>
      </c>
      <c r="E378" s="3" t="s">
        <v>3083</v>
      </c>
      <c r="F378" s="3" t="s">
        <v>3084</v>
      </c>
      <c r="G378" s="3" t="s">
        <v>3054</v>
      </c>
      <c r="I378" s="3" t="s">
        <v>534</v>
      </c>
      <c r="J378" s="3" t="s">
        <v>589</v>
      </c>
      <c r="K378" s="3" t="s">
        <v>780</v>
      </c>
      <c r="N378" s="3" t="s">
        <v>3150</v>
      </c>
      <c r="O378" s="64" t="s">
        <v>3527</v>
      </c>
      <c r="P378" s="64" t="s">
        <v>3527</v>
      </c>
      <c r="Q378" s="3" t="s">
        <v>31</v>
      </c>
      <c r="R378" s="3" t="s">
        <v>9</v>
      </c>
    </row>
    <row r="379" spans="1:18">
      <c r="A379" s="6">
        <v>2082</v>
      </c>
      <c r="B379" s="6" t="s">
        <v>2125</v>
      </c>
      <c r="C379" s="6" t="s">
        <v>210</v>
      </c>
      <c r="D379" s="6">
        <v>5</v>
      </c>
      <c r="E379" s="6" t="s">
        <v>3087</v>
      </c>
      <c r="F379" s="6" t="s">
        <v>3084</v>
      </c>
      <c r="G379" s="6" t="s">
        <v>3055</v>
      </c>
      <c r="H379" s="6"/>
      <c r="I379" s="6" t="s">
        <v>23</v>
      </c>
      <c r="J379" s="6" t="s">
        <v>592</v>
      </c>
      <c r="K379" s="6" t="s">
        <v>593</v>
      </c>
      <c r="L379" s="6"/>
      <c r="M379" s="6"/>
      <c r="N379" s="6" t="s">
        <v>3150</v>
      </c>
      <c r="O379" s="66" t="s">
        <v>3522</v>
      </c>
      <c r="P379" s="66" t="s">
        <v>3527</v>
      </c>
      <c r="Q379" s="6" t="s">
        <v>29</v>
      </c>
      <c r="R379" s="3" t="s">
        <v>9</v>
      </c>
    </row>
    <row r="380" spans="1:18">
      <c r="A380" s="1">
        <v>2083</v>
      </c>
      <c r="B380" s="3" t="s">
        <v>2126</v>
      </c>
      <c r="C380" s="3" t="s">
        <v>210</v>
      </c>
      <c r="D380" s="3">
        <v>5</v>
      </c>
      <c r="E380" s="3" t="s">
        <v>3083</v>
      </c>
      <c r="F380" s="3" t="s">
        <v>3084</v>
      </c>
      <c r="G380" s="3" t="s">
        <v>3054</v>
      </c>
      <c r="I380" s="3" t="s">
        <v>0</v>
      </c>
      <c r="J380" s="3" t="s">
        <v>584</v>
      </c>
      <c r="N380" s="3" t="s">
        <v>3456</v>
      </c>
      <c r="O380" s="64" t="s">
        <v>3522</v>
      </c>
      <c r="P380" s="64" t="s">
        <v>3522</v>
      </c>
      <c r="Q380" s="3" t="s">
        <v>173</v>
      </c>
      <c r="R380" s="3" t="s">
        <v>9</v>
      </c>
    </row>
    <row r="381" spans="1:18">
      <c r="A381" s="1">
        <v>2084</v>
      </c>
      <c r="B381" s="3" t="s">
        <v>2127</v>
      </c>
      <c r="C381" s="3" t="s">
        <v>210</v>
      </c>
      <c r="D381" s="3">
        <v>5</v>
      </c>
      <c r="E381" s="3" t="s">
        <v>3087</v>
      </c>
      <c r="F381" s="3" t="s">
        <v>3084</v>
      </c>
      <c r="G381" s="3" t="s">
        <v>3050</v>
      </c>
      <c r="I381" s="3" t="s">
        <v>3</v>
      </c>
      <c r="J381" s="3" t="s">
        <v>3900</v>
      </c>
      <c r="N381" s="3" t="s">
        <v>3150</v>
      </c>
      <c r="O381" s="64" t="s">
        <v>3522</v>
      </c>
      <c r="P381" s="64" t="s">
        <v>3522</v>
      </c>
      <c r="Q381" s="3" t="s">
        <v>48</v>
      </c>
      <c r="R381" s="3" t="s">
        <v>9</v>
      </c>
    </row>
    <row r="382" spans="1:18">
      <c r="A382" s="1">
        <v>2085</v>
      </c>
      <c r="B382" s="3" t="s">
        <v>2128</v>
      </c>
      <c r="C382" s="3" t="s">
        <v>210</v>
      </c>
      <c r="D382" s="3">
        <v>5</v>
      </c>
      <c r="E382" s="3" t="s">
        <v>3083</v>
      </c>
      <c r="F382" s="3" t="s">
        <v>3084</v>
      </c>
      <c r="G382" s="3" t="s">
        <v>3058</v>
      </c>
      <c r="I382" s="3" t="s">
        <v>23</v>
      </c>
      <c r="J382" s="3" t="s">
        <v>590</v>
      </c>
      <c r="K382" s="3" t="s">
        <v>591</v>
      </c>
      <c r="N382" s="3" t="s">
        <v>3150</v>
      </c>
      <c r="O382" s="64" t="s">
        <v>4048</v>
      </c>
      <c r="P382" s="64" t="s">
        <v>4048</v>
      </c>
      <c r="Q382" s="3" t="s">
        <v>45</v>
      </c>
      <c r="R382" s="3" t="s">
        <v>9</v>
      </c>
    </row>
    <row r="383" spans="1:18">
      <c r="A383" s="1">
        <v>2086</v>
      </c>
      <c r="B383" s="3" t="s">
        <v>2129</v>
      </c>
      <c r="C383" s="3" t="s">
        <v>210</v>
      </c>
      <c r="D383" s="3">
        <v>5</v>
      </c>
      <c r="E383" s="3" t="s">
        <v>3083</v>
      </c>
      <c r="F383" s="3" t="s">
        <v>3084</v>
      </c>
      <c r="G383" s="3" t="s">
        <v>3054</v>
      </c>
      <c r="I383" s="3" t="s">
        <v>0</v>
      </c>
      <c r="J383" s="3" t="s">
        <v>588</v>
      </c>
      <c r="N383" s="3" t="s">
        <v>3150</v>
      </c>
      <c r="O383" s="64" t="s">
        <v>3522</v>
      </c>
      <c r="P383" s="64" t="s">
        <v>3522</v>
      </c>
      <c r="Q383" s="3" t="s">
        <v>39</v>
      </c>
      <c r="R383" s="3" t="s">
        <v>9</v>
      </c>
    </row>
    <row r="384" spans="1:18">
      <c r="A384" s="6">
        <v>3009</v>
      </c>
      <c r="B384" s="6" t="s">
        <v>2145</v>
      </c>
      <c r="C384" s="6" t="s">
        <v>211</v>
      </c>
      <c r="D384" s="6">
        <v>5</v>
      </c>
      <c r="E384" s="6" t="s">
        <v>3087</v>
      </c>
      <c r="F384" s="6" t="s">
        <v>3084</v>
      </c>
      <c r="G384" s="6" t="s">
        <v>3060</v>
      </c>
      <c r="H384" s="6"/>
      <c r="I384" s="6" t="s">
        <v>582</v>
      </c>
      <c r="J384" s="6" t="s">
        <v>784</v>
      </c>
      <c r="K384" s="6"/>
      <c r="L384" s="6"/>
      <c r="M384" s="6"/>
      <c r="N384" s="6" t="s">
        <v>3150</v>
      </c>
      <c r="O384" s="66" t="s">
        <v>3527</v>
      </c>
      <c r="P384" s="66" t="s">
        <v>3522</v>
      </c>
      <c r="Q384" s="6" t="s">
        <v>37</v>
      </c>
      <c r="R384" s="6" t="s">
        <v>41</v>
      </c>
    </row>
    <row r="385" spans="1:18">
      <c r="A385" s="3">
        <v>161</v>
      </c>
      <c r="B385" s="3" t="s">
        <v>489</v>
      </c>
      <c r="C385" s="3" t="s">
        <v>212</v>
      </c>
      <c r="D385" s="3">
        <v>6</v>
      </c>
      <c r="E385" s="3" t="s">
        <v>3083</v>
      </c>
      <c r="F385" s="3" t="s">
        <v>3084</v>
      </c>
      <c r="G385" s="3" t="s">
        <v>3050</v>
      </c>
      <c r="I385" s="3" t="s">
        <v>1294</v>
      </c>
      <c r="J385" s="3" t="s">
        <v>1</v>
      </c>
      <c r="O385" s="64" t="s">
        <v>3527</v>
      </c>
      <c r="P385" s="64" t="s">
        <v>3527</v>
      </c>
      <c r="Q385" s="3" t="s">
        <v>8</v>
      </c>
      <c r="R385" s="3" t="s">
        <v>4</v>
      </c>
    </row>
    <row r="386" spans="1:18">
      <c r="A386" s="1">
        <v>1131</v>
      </c>
      <c r="B386" s="3" t="s">
        <v>761</v>
      </c>
      <c r="C386" s="3" t="s">
        <v>212</v>
      </c>
      <c r="D386" s="3">
        <v>6</v>
      </c>
      <c r="E386" s="3" t="s">
        <v>3083</v>
      </c>
      <c r="F386" s="3" t="s">
        <v>3084</v>
      </c>
      <c r="G386" s="3" t="s">
        <v>3056</v>
      </c>
      <c r="I386" s="3" t="s">
        <v>3790</v>
      </c>
      <c r="N386" s="3" t="s">
        <v>3456</v>
      </c>
      <c r="O386" s="64" t="s">
        <v>3522</v>
      </c>
      <c r="P386" s="64" t="s">
        <v>3522</v>
      </c>
      <c r="Q386" s="3" t="s">
        <v>175</v>
      </c>
      <c r="R386" s="3" t="s">
        <v>7</v>
      </c>
    </row>
    <row r="387" spans="1:18">
      <c r="A387" s="1">
        <v>1132</v>
      </c>
      <c r="B387" s="3" t="s">
        <v>762</v>
      </c>
      <c r="C387" s="3" t="s">
        <v>611</v>
      </c>
      <c r="D387" s="3">
        <v>6</v>
      </c>
      <c r="E387" s="3" t="s">
        <v>3083</v>
      </c>
      <c r="F387" s="3" t="s">
        <v>3084</v>
      </c>
      <c r="G387" s="3" t="s">
        <v>3051</v>
      </c>
      <c r="I387" s="3" t="s">
        <v>324</v>
      </c>
      <c r="N387" s="3" t="s">
        <v>3150</v>
      </c>
      <c r="O387" s="64" t="s">
        <v>3527</v>
      </c>
      <c r="P387" s="64" t="s">
        <v>3527</v>
      </c>
      <c r="Q387" s="3" t="s">
        <v>8</v>
      </c>
      <c r="R387" s="3" t="s">
        <v>7</v>
      </c>
    </row>
    <row r="388" spans="1:18">
      <c r="A388" s="1">
        <v>1133</v>
      </c>
      <c r="B388" s="8" t="s">
        <v>763</v>
      </c>
      <c r="C388" s="8" t="s">
        <v>212</v>
      </c>
      <c r="D388" s="8">
        <v>6</v>
      </c>
      <c r="E388" s="8" t="s">
        <v>3083</v>
      </c>
      <c r="F388" s="8" t="s">
        <v>3084</v>
      </c>
      <c r="G388" s="8" t="s">
        <v>3053</v>
      </c>
      <c r="H388" s="8"/>
      <c r="I388" s="8" t="s">
        <v>3811</v>
      </c>
      <c r="J388" s="8"/>
      <c r="K388" s="8"/>
      <c r="L388" s="8"/>
      <c r="M388" s="8"/>
      <c r="N388" s="8" t="s">
        <v>3150</v>
      </c>
      <c r="O388" s="68" t="s">
        <v>3533</v>
      </c>
      <c r="P388" s="68" t="s">
        <v>3527</v>
      </c>
      <c r="Q388" s="8" t="s">
        <v>14</v>
      </c>
      <c r="R388" s="8" t="s">
        <v>7</v>
      </c>
    </row>
    <row r="389" spans="1:18">
      <c r="A389" s="1">
        <v>1134</v>
      </c>
      <c r="B389" s="3" t="s">
        <v>764</v>
      </c>
      <c r="C389" s="3" t="s">
        <v>212</v>
      </c>
      <c r="D389" s="3">
        <v>6</v>
      </c>
      <c r="E389" s="3" t="s">
        <v>3083</v>
      </c>
      <c r="F389" s="3" t="s">
        <v>3084</v>
      </c>
      <c r="G389" s="3" t="s">
        <v>3054</v>
      </c>
      <c r="I389" s="3" t="s">
        <v>325</v>
      </c>
      <c r="J389" s="3" t="s">
        <v>3812</v>
      </c>
      <c r="N389" s="3" t="s">
        <v>3456</v>
      </c>
      <c r="O389" s="64" t="s">
        <v>3527</v>
      </c>
      <c r="P389" s="64" t="s">
        <v>3522</v>
      </c>
      <c r="Q389" s="3" t="s">
        <v>10</v>
      </c>
      <c r="R389" s="3" t="s">
        <v>7</v>
      </c>
    </row>
    <row r="390" spans="1:18">
      <c r="A390" s="1">
        <v>1135</v>
      </c>
      <c r="B390" s="3" t="s">
        <v>765</v>
      </c>
      <c r="C390" s="3" t="s">
        <v>611</v>
      </c>
      <c r="D390" s="3">
        <v>6</v>
      </c>
      <c r="E390" s="3" t="s">
        <v>3083</v>
      </c>
      <c r="F390" s="3" t="s">
        <v>3084</v>
      </c>
      <c r="G390" s="3" t="s">
        <v>3050</v>
      </c>
      <c r="I390" s="3" t="s">
        <v>326</v>
      </c>
      <c r="N390" s="3" t="s">
        <v>3150</v>
      </c>
      <c r="O390" s="64" t="s">
        <v>3522</v>
      </c>
      <c r="P390" s="64" t="s">
        <v>3611</v>
      </c>
      <c r="Q390" s="3" t="s">
        <v>606</v>
      </c>
      <c r="R390" s="3" t="s">
        <v>7</v>
      </c>
    </row>
    <row r="391" spans="1:18">
      <c r="A391" s="8">
        <v>1136</v>
      </c>
      <c r="B391" s="8" t="s">
        <v>766</v>
      </c>
      <c r="C391" s="8" t="s">
        <v>212</v>
      </c>
      <c r="D391" s="8">
        <v>6</v>
      </c>
      <c r="E391" s="8" t="s">
        <v>3083</v>
      </c>
      <c r="F391" s="8" t="s">
        <v>3084</v>
      </c>
      <c r="G391" s="8" t="s">
        <v>3053</v>
      </c>
      <c r="H391" s="8"/>
      <c r="I391" s="8" t="s">
        <v>327</v>
      </c>
      <c r="J391" s="8"/>
      <c r="K391" s="8"/>
      <c r="L391" s="8"/>
      <c r="M391" s="8"/>
      <c r="N391" s="8" t="s">
        <v>3150</v>
      </c>
      <c r="O391" s="68" t="s">
        <v>3533</v>
      </c>
      <c r="P391" s="68" t="s">
        <v>3533</v>
      </c>
      <c r="Q391" s="8" t="s">
        <v>5</v>
      </c>
      <c r="R391" s="8" t="s">
        <v>7</v>
      </c>
    </row>
    <row r="392" spans="1:18">
      <c r="A392" s="1">
        <v>2087</v>
      </c>
      <c r="B392" s="3" t="s">
        <v>2130</v>
      </c>
      <c r="C392" s="3" t="s">
        <v>212</v>
      </c>
      <c r="D392" s="3">
        <v>6</v>
      </c>
      <c r="E392" s="3" t="s">
        <v>3087</v>
      </c>
      <c r="F392" s="3" t="s">
        <v>3084</v>
      </c>
      <c r="G392" s="3" t="s">
        <v>3050</v>
      </c>
      <c r="I392" s="3" t="s">
        <v>595</v>
      </c>
      <c r="N392" s="3" t="s">
        <v>3456</v>
      </c>
      <c r="O392" s="64" t="s">
        <v>3527</v>
      </c>
      <c r="P392" s="64" t="s">
        <v>3527</v>
      </c>
      <c r="Q392" s="3" t="s">
        <v>49</v>
      </c>
      <c r="R392" s="3" t="s">
        <v>9</v>
      </c>
    </row>
    <row r="393" spans="1:18">
      <c r="A393" s="6">
        <v>2088</v>
      </c>
      <c r="B393" s="6" t="s">
        <v>2131</v>
      </c>
      <c r="C393" s="6" t="s">
        <v>611</v>
      </c>
      <c r="D393" s="6">
        <v>6</v>
      </c>
      <c r="E393" s="6" t="s">
        <v>3087</v>
      </c>
      <c r="F393" s="6" t="s">
        <v>3084</v>
      </c>
      <c r="G393" s="6" t="s">
        <v>3056</v>
      </c>
      <c r="H393" s="6"/>
      <c r="I393" s="6" t="s">
        <v>3790</v>
      </c>
      <c r="J393" s="6" t="s">
        <v>597</v>
      </c>
      <c r="K393" s="6"/>
      <c r="L393" s="6"/>
      <c r="M393" s="6"/>
      <c r="N393" s="6" t="s">
        <v>3456</v>
      </c>
      <c r="O393" s="66" t="s">
        <v>3527</v>
      </c>
      <c r="P393" s="66" t="s">
        <v>3527</v>
      </c>
      <c r="Q393" s="6" t="s">
        <v>175</v>
      </c>
      <c r="R393" s="3" t="s">
        <v>9</v>
      </c>
    </row>
    <row r="394" spans="1:18">
      <c r="A394" s="1">
        <v>2089</v>
      </c>
      <c r="B394" s="3" t="s">
        <v>2132</v>
      </c>
      <c r="C394" s="3" t="s">
        <v>212</v>
      </c>
      <c r="D394" s="3">
        <v>6</v>
      </c>
      <c r="E394" s="3" t="s">
        <v>3087</v>
      </c>
      <c r="F394" s="3" t="s">
        <v>3084</v>
      </c>
      <c r="I394" s="3" t="s">
        <v>598</v>
      </c>
      <c r="J394" s="3" t="s">
        <v>599</v>
      </c>
      <c r="K394" s="3" t="s">
        <v>600</v>
      </c>
      <c r="N394" s="3" t="s">
        <v>3456</v>
      </c>
      <c r="O394" s="64" t="s">
        <v>3522</v>
      </c>
      <c r="P394" s="64" t="s">
        <v>3522</v>
      </c>
      <c r="Q394" s="3" t="s">
        <v>33</v>
      </c>
      <c r="R394" s="3" t="s">
        <v>9</v>
      </c>
    </row>
    <row r="395" spans="1:18">
      <c r="A395" s="1">
        <v>2090</v>
      </c>
      <c r="B395" s="3" t="s">
        <v>2133</v>
      </c>
      <c r="C395" s="3" t="s">
        <v>611</v>
      </c>
      <c r="D395" s="3">
        <v>6</v>
      </c>
      <c r="E395" s="3" t="s">
        <v>3083</v>
      </c>
      <c r="F395" s="3" t="s">
        <v>3084</v>
      </c>
      <c r="G395" s="3" t="s">
        <v>3050</v>
      </c>
      <c r="H395" s="3" t="s">
        <v>3061</v>
      </c>
      <c r="I395" s="3" t="s">
        <v>594</v>
      </c>
      <c r="N395" s="3" t="s">
        <v>3456</v>
      </c>
      <c r="O395" s="64" t="s">
        <v>3527</v>
      </c>
      <c r="P395" s="64" t="s">
        <v>3527</v>
      </c>
      <c r="Q395" s="3" t="s">
        <v>182</v>
      </c>
      <c r="R395" s="3" t="s">
        <v>9</v>
      </c>
    </row>
    <row r="396" spans="1:18">
      <c r="A396" s="1">
        <v>2091</v>
      </c>
      <c r="B396" s="9" t="s">
        <v>2134</v>
      </c>
      <c r="C396" s="9" t="s">
        <v>212</v>
      </c>
      <c r="D396" s="9">
        <v>6</v>
      </c>
      <c r="E396" s="9" t="s">
        <v>3083</v>
      </c>
      <c r="F396" s="9" t="s">
        <v>3084</v>
      </c>
      <c r="G396" s="9" t="s">
        <v>3050</v>
      </c>
      <c r="H396" s="9"/>
      <c r="I396" s="9" t="s">
        <v>23</v>
      </c>
      <c r="J396" s="9" t="s">
        <v>601</v>
      </c>
      <c r="K396" s="9" t="s">
        <v>602</v>
      </c>
      <c r="L396" s="9"/>
      <c r="M396" s="9"/>
      <c r="N396" s="9" t="s">
        <v>3150</v>
      </c>
      <c r="O396" s="84" t="s">
        <v>3527</v>
      </c>
      <c r="P396" s="84" t="s">
        <v>3527</v>
      </c>
      <c r="Q396" s="9" t="s">
        <v>181</v>
      </c>
      <c r="R396" s="9" t="s">
        <v>9</v>
      </c>
    </row>
    <row r="397" spans="1:18">
      <c r="A397" s="1">
        <v>2092</v>
      </c>
      <c r="B397" s="3" t="s">
        <v>2135</v>
      </c>
      <c r="C397" s="3" t="s">
        <v>611</v>
      </c>
      <c r="D397" s="3">
        <v>6</v>
      </c>
      <c r="E397" s="3" t="s">
        <v>3083</v>
      </c>
      <c r="F397" s="3" t="s">
        <v>3084</v>
      </c>
      <c r="G397" s="3" t="s">
        <v>3050</v>
      </c>
      <c r="I397" s="3" t="s">
        <v>596</v>
      </c>
      <c r="J397" s="3" t="s">
        <v>3901</v>
      </c>
      <c r="N397" s="3" t="s">
        <v>3456</v>
      </c>
      <c r="O397" s="64" t="s">
        <v>3569</v>
      </c>
      <c r="P397" s="64" t="s">
        <v>3530</v>
      </c>
      <c r="Q397" s="3" t="s">
        <v>31</v>
      </c>
      <c r="R397" s="3" t="s">
        <v>9</v>
      </c>
    </row>
    <row r="398" spans="1:18">
      <c r="A398" s="1">
        <v>1137</v>
      </c>
      <c r="B398" s="3" t="s">
        <v>767</v>
      </c>
      <c r="C398" s="3" t="s">
        <v>612</v>
      </c>
      <c r="D398" s="3">
        <v>7</v>
      </c>
      <c r="E398" s="3" t="s">
        <v>3083</v>
      </c>
      <c r="F398" s="3" t="s">
        <v>3084</v>
      </c>
      <c r="G398" s="3" t="s">
        <v>3053</v>
      </c>
      <c r="I398" s="3" t="s">
        <v>0</v>
      </c>
      <c r="J398" s="3" t="s">
        <v>328</v>
      </c>
      <c r="N398" s="3" t="s">
        <v>3150</v>
      </c>
      <c r="O398" s="64" t="s">
        <v>3522</v>
      </c>
      <c r="P398" s="64" t="s">
        <v>3522</v>
      </c>
      <c r="Q398" s="3" t="s">
        <v>169</v>
      </c>
      <c r="R398" s="3" t="s">
        <v>7</v>
      </c>
    </row>
    <row r="399" spans="1:18">
      <c r="A399" s="3">
        <v>2093</v>
      </c>
      <c r="B399" s="3" t="s">
        <v>2136</v>
      </c>
      <c r="C399" s="3" t="s">
        <v>612</v>
      </c>
      <c r="D399" s="3">
        <v>7</v>
      </c>
      <c r="E399" s="3" t="s">
        <v>3087</v>
      </c>
      <c r="F399" s="3" t="s">
        <v>3084</v>
      </c>
      <c r="G399" s="3" t="s">
        <v>3056</v>
      </c>
      <c r="I399" s="3" t="s">
        <v>603</v>
      </c>
      <c r="J399" s="3" t="s">
        <v>3902</v>
      </c>
      <c r="N399" s="3" t="s">
        <v>3456</v>
      </c>
      <c r="O399" s="64" t="s">
        <v>3527</v>
      </c>
      <c r="P399" s="64" t="s">
        <v>3527</v>
      </c>
      <c r="Q399" s="3" t="s">
        <v>175</v>
      </c>
      <c r="R399" s="3" t="s">
        <v>9</v>
      </c>
    </row>
  </sheetData>
  <autoFilter ref="A1:S798"/>
  <sortState ref="A2:S398">
    <sortCondition ref="D2:D398"/>
    <sortCondition ref="A2:A398"/>
  </sortSt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195"/>
  <sheetViews>
    <sheetView zoomScale="70" zoomScaleNormal="70" workbookViewId="0">
      <pane ySplit="1" topLeftCell="A2" activePane="bottomLeft" state="frozen"/>
      <selection pane="bottomLeft" sqref="A1:XFD1048576"/>
    </sheetView>
  </sheetViews>
  <sheetFormatPr defaultRowHeight="13.5"/>
  <cols>
    <col min="1" max="1" width="9" style="3"/>
    <col min="2" max="14" width="9" style="1"/>
    <col min="15" max="15" width="6.25" style="1" bestFit="1" customWidth="1"/>
    <col min="16" max="16" width="6" style="1" bestFit="1" customWidth="1"/>
    <col min="17" max="16384" width="9" style="1"/>
  </cols>
  <sheetData>
    <row r="1" spans="1:23">
      <c r="B1" s="1" t="s">
        <v>3151</v>
      </c>
      <c r="C1" s="1" t="s">
        <v>3152</v>
      </c>
      <c r="D1" s="1" t="s">
        <v>3160</v>
      </c>
      <c r="E1" s="1" t="s">
        <v>3153</v>
      </c>
      <c r="F1" s="1" t="s">
        <v>3154</v>
      </c>
      <c r="G1" s="1" t="s">
        <v>3155</v>
      </c>
      <c r="H1" s="1" t="s">
        <v>3156</v>
      </c>
      <c r="I1" s="1" t="s">
        <v>3157</v>
      </c>
      <c r="N1" s="2" t="s">
        <v>3456</v>
      </c>
      <c r="O1" s="64" t="s">
        <v>4051</v>
      </c>
      <c r="P1" s="64" t="s">
        <v>4052</v>
      </c>
      <c r="Q1" s="1" t="s">
        <v>3159</v>
      </c>
      <c r="T1" s="4" t="s">
        <v>3881</v>
      </c>
      <c r="U1" s="8" t="s">
        <v>3882</v>
      </c>
      <c r="V1" s="9" t="s">
        <v>3906</v>
      </c>
      <c r="W1" s="10" t="s">
        <v>3907</v>
      </c>
    </row>
    <row r="2" spans="1:23">
      <c r="A2" s="3">
        <v>1</v>
      </c>
      <c r="B2" s="14" t="s">
        <v>2146</v>
      </c>
      <c r="C2" s="14" t="s">
        <v>845</v>
      </c>
      <c r="D2" s="14">
        <v>1</v>
      </c>
      <c r="E2" s="14" t="s">
        <v>3083</v>
      </c>
      <c r="F2" s="14" t="s">
        <v>3084</v>
      </c>
      <c r="G2" s="14" t="s">
        <v>3051</v>
      </c>
      <c r="H2" s="14"/>
      <c r="I2" s="14" t="s">
        <v>3448</v>
      </c>
      <c r="J2" s="14"/>
      <c r="K2" s="14"/>
      <c r="L2" s="14"/>
      <c r="M2" s="14"/>
      <c r="N2" s="2" t="s">
        <v>3150</v>
      </c>
      <c r="O2" s="14">
        <v>1</v>
      </c>
      <c r="P2" s="70" t="s">
        <v>3533</v>
      </c>
      <c r="Q2" s="14" t="s">
        <v>31</v>
      </c>
      <c r="R2" s="3" t="s">
        <v>4</v>
      </c>
      <c r="S2" s="3"/>
      <c r="T2" s="1">
        <f t="shared" ref="T2:T20" si="0">COUNTIF(F:H,U2)</f>
        <v>110</v>
      </c>
      <c r="U2" s="1" t="s">
        <v>3051</v>
      </c>
    </row>
    <row r="3" spans="1:23">
      <c r="A3" s="4">
        <v>2</v>
      </c>
      <c r="B3" s="4" t="s">
        <v>2147</v>
      </c>
      <c r="C3" s="4" t="s">
        <v>845</v>
      </c>
      <c r="D3" s="5">
        <v>1</v>
      </c>
      <c r="E3" s="4" t="s">
        <v>3083</v>
      </c>
      <c r="F3" s="4" t="s">
        <v>3084</v>
      </c>
      <c r="G3" s="4" t="s">
        <v>3051</v>
      </c>
      <c r="H3" s="4"/>
      <c r="I3" s="4" t="s">
        <v>786</v>
      </c>
      <c r="J3" s="4"/>
      <c r="K3" s="4"/>
      <c r="L3" s="4"/>
      <c r="M3" s="4" t="s">
        <v>153</v>
      </c>
      <c r="N3" s="5" t="s">
        <v>3456</v>
      </c>
      <c r="O3" s="4">
        <v>1</v>
      </c>
      <c r="P3" s="19" t="s">
        <v>3533</v>
      </c>
      <c r="Q3" s="4"/>
      <c r="R3" s="4"/>
      <c r="S3" s="4"/>
      <c r="T3" s="1">
        <f t="shared" si="0"/>
        <v>3</v>
      </c>
      <c r="U3" s="1" t="s">
        <v>3074</v>
      </c>
    </row>
    <row r="4" spans="1:23">
      <c r="A4" s="4">
        <v>3</v>
      </c>
      <c r="B4" s="4" t="s">
        <v>2148</v>
      </c>
      <c r="C4" s="4" t="s">
        <v>3099</v>
      </c>
      <c r="D4" s="5">
        <v>1</v>
      </c>
      <c r="E4" s="4" t="s">
        <v>3083</v>
      </c>
      <c r="F4" s="4" t="s">
        <v>3084</v>
      </c>
      <c r="G4" s="4" t="s">
        <v>3074</v>
      </c>
      <c r="H4" s="4"/>
      <c r="I4" s="4" t="s">
        <v>1</v>
      </c>
      <c r="J4" s="4"/>
      <c r="K4" s="4"/>
      <c r="L4" s="4"/>
      <c r="M4" s="4" t="s">
        <v>153</v>
      </c>
      <c r="N4" s="5" t="s">
        <v>3456</v>
      </c>
      <c r="O4" s="4">
        <v>3</v>
      </c>
      <c r="P4" s="19" t="s">
        <v>3569</v>
      </c>
      <c r="Q4" s="4" t="s">
        <v>45</v>
      </c>
      <c r="R4" s="4" t="s">
        <v>4</v>
      </c>
      <c r="S4" s="4"/>
      <c r="T4" s="1">
        <f t="shared" si="0"/>
        <v>2</v>
      </c>
      <c r="U4" s="1" t="s">
        <v>3055</v>
      </c>
    </row>
    <row r="5" spans="1:23">
      <c r="A5" s="3">
        <v>4</v>
      </c>
      <c r="B5" s="1" t="s">
        <v>2149</v>
      </c>
      <c r="C5" s="1" t="s">
        <v>845</v>
      </c>
      <c r="D5" s="2">
        <v>1</v>
      </c>
      <c r="E5" s="1" t="s">
        <v>3083</v>
      </c>
      <c r="F5" s="1" t="s">
        <v>3084</v>
      </c>
      <c r="G5" s="1" t="s">
        <v>3051</v>
      </c>
      <c r="N5" s="2" t="s">
        <v>3456</v>
      </c>
      <c r="O5" s="1">
        <v>1</v>
      </c>
      <c r="P5" s="17" t="s">
        <v>3533</v>
      </c>
      <c r="Q5" s="1" t="s">
        <v>172</v>
      </c>
      <c r="R5" s="1" t="s">
        <v>4</v>
      </c>
      <c r="T5" s="1">
        <f t="shared" si="0"/>
        <v>19</v>
      </c>
      <c r="U5" s="1" t="s">
        <v>3071</v>
      </c>
    </row>
    <row r="6" spans="1:23">
      <c r="A6" s="3">
        <v>5</v>
      </c>
      <c r="B6" s="1" t="s">
        <v>2150</v>
      </c>
      <c r="C6" s="1" t="s">
        <v>845</v>
      </c>
      <c r="D6" s="2">
        <v>1</v>
      </c>
      <c r="E6" s="1" t="s">
        <v>3083</v>
      </c>
      <c r="F6" s="1" t="s">
        <v>3084</v>
      </c>
      <c r="G6" s="1" t="s">
        <v>3051</v>
      </c>
      <c r="I6" s="1" t="s">
        <v>96</v>
      </c>
      <c r="J6" s="1" t="s">
        <v>860</v>
      </c>
      <c r="N6" s="2" t="s">
        <v>3456</v>
      </c>
      <c r="O6" s="1">
        <v>2</v>
      </c>
      <c r="P6" s="17" t="s">
        <v>3533</v>
      </c>
      <c r="Q6" s="1" t="s">
        <v>31</v>
      </c>
      <c r="R6" s="1" t="s">
        <v>4</v>
      </c>
      <c r="T6" s="1">
        <f t="shared" si="0"/>
        <v>3</v>
      </c>
      <c r="U6" s="1" t="s">
        <v>3059</v>
      </c>
    </row>
    <row r="7" spans="1:23">
      <c r="A7" s="3">
        <v>6</v>
      </c>
      <c r="B7" s="1" t="s">
        <v>2151</v>
      </c>
      <c r="C7" s="1" t="s">
        <v>845</v>
      </c>
      <c r="D7" s="2">
        <v>1</v>
      </c>
      <c r="E7" s="1" t="s">
        <v>3083</v>
      </c>
      <c r="F7" s="1" t="s">
        <v>3084</v>
      </c>
      <c r="G7" s="1" t="s">
        <v>3055</v>
      </c>
      <c r="I7" s="1" t="s">
        <v>853</v>
      </c>
      <c r="N7" s="2" t="s">
        <v>3456</v>
      </c>
      <c r="O7" s="1">
        <v>1</v>
      </c>
      <c r="P7" s="17" t="s">
        <v>3533</v>
      </c>
      <c r="Q7" s="1" t="s">
        <v>29</v>
      </c>
      <c r="R7" s="1" t="s">
        <v>4</v>
      </c>
      <c r="T7" s="1">
        <f t="shared" si="0"/>
        <v>2</v>
      </c>
      <c r="U7" s="1" t="s">
        <v>3062</v>
      </c>
    </row>
    <row r="8" spans="1:23">
      <c r="A8" s="3">
        <v>7</v>
      </c>
      <c r="B8" s="1" t="s">
        <v>2152</v>
      </c>
      <c r="C8" s="1" t="s">
        <v>845</v>
      </c>
      <c r="D8" s="2">
        <v>1</v>
      </c>
      <c r="E8" s="1" t="s">
        <v>3083</v>
      </c>
      <c r="F8" s="1" t="s">
        <v>3084</v>
      </c>
      <c r="G8" s="1" t="s">
        <v>3051</v>
      </c>
      <c r="I8" s="1" t="s">
        <v>787</v>
      </c>
      <c r="N8" s="2" t="s">
        <v>3456</v>
      </c>
      <c r="O8" s="1">
        <v>1</v>
      </c>
      <c r="P8" s="17" t="s">
        <v>3533</v>
      </c>
      <c r="Q8" s="1" t="s">
        <v>15</v>
      </c>
      <c r="R8" s="1" t="s">
        <v>4</v>
      </c>
      <c r="T8" s="1">
        <f t="shared" si="0"/>
        <v>8</v>
      </c>
      <c r="U8" s="1" t="s">
        <v>3058</v>
      </c>
    </row>
    <row r="9" spans="1:23">
      <c r="A9" s="3">
        <v>8</v>
      </c>
      <c r="B9" s="1" t="s">
        <v>2153</v>
      </c>
      <c r="C9" s="1" t="s">
        <v>845</v>
      </c>
      <c r="D9" s="2">
        <v>1</v>
      </c>
      <c r="E9" s="1" t="s">
        <v>3083</v>
      </c>
      <c r="F9" s="1" t="s">
        <v>3084</v>
      </c>
      <c r="G9" s="1" t="s">
        <v>3051</v>
      </c>
      <c r="I9" s="1" t="s">
        <v>788</v>
      </c>
      <c r="N9" s="2" t="s">
        <v>3456</v>
      </c>
      <c r="O9" s="1">
        <v>1</v>
      </c>
      <c r="P9" s="17" t="s">
        <v>3533</v>
      </c>
      <c r="Q9" s="1" t="s">
        <v>18</v>
      </c>
      <c r="R9" s="1" t="s">
        <v>4</v>
      </c>
      <c r="T9" s="1">
        <f t="shared" si="0"/>
        <v>14</v>
      </c>
      <c r="U9" s="1" t="s">
        <v>3070</v>
      </c>
    </row>
    <row r="10" spans="1:23">
      <c r="A10" s="3">
        <v>9</v>
      </c>
      <c r="B10" s="1" t="s">
        <v>2154</v>
      </c>
      <c r="C10" s="1" t="s">
        <v>845</v>
      </c>
      <c r="D10" s="2">
        <v>1</v>
      </c>
      <c r="E10" s="1" t="s">
        <v>3083</v>
      </c>
      <c r="F10" s="1" t="s">
        <v>3084</v>
      </c>
      <c r="G10" s="1" t="s">
        <v>3051</v>
      </c>
      <c r="I10" s="1" t="s">
        <v>3449</v>
      </c>
      <c r="J10" s="1" t="s">
        <v>789</v>
      </c>
      <c r="N10" s="2" t="s">
        <v>3456</v>
      </c>
      <c r="O10" s="1">
        <v>1</v>
      </c>
      <c r="P10" s="17" t="s">
        <v>3533</v>
      </c>
      <c r="Q10" s="1" t="s">
        <v>52</v>
      </c>
      <c r="R10" s="1" t="s">
        <v>4</v>
      </c>
      <c r="T10" s="1">
        <f t="shared" si="0"/>
        <v>2</v>
      </c>
      <c r="U10" s="1" t="s">
        <v>3049</v>
      </c>
    </row>
    <row r="11" spans="1:23">
      <c r="A11" s="3">
        <v>10</v>
      </c>
      <c r="B11" s="1" t="s">
        <v>2155</v>
      </c>
      <c r="C11" s="1" t="s">
        <v>845</v>
      </c>
      <c r="D11" s="2">
        <v>1</v>
      </c>
      <c r="E11" s="1" t="s">
        <v>3083</v>
      </c>
      <c r="F11" s="1" t="s">
        <v>3084</v>
      </c>
      <c r="G11" s="1" t="s">
        <v>3051</v>
      </c>
      <c r="I11" s="1" t="s">
        <v>790</v>
      </c>
      <c r="N11" s="2" t="s">
        <v>3456</v>
      </c>
      <c r="O11" s="1">
        <v>1</v>
      </c>
      <c r="P11" s="17" t="s">
        <v>3533</v>
      </c>
      <c r="Q11" s="1" t="s">
        <v>49</v>
      </c>
      <c r="R11" s="1" t="s">
        <v>4</v>
      </c>
      <c r="T11" s="1">
        <f t="shared" si="0"/>
        <v>13</v>
      </c>
      <c r="U11" s="1" t="s">
        <v>3063</v>
      </c>
    </row>
    <row r="12" spans="1:23">
      <c r="A12" s="3">
        <v>1001</v>
      </c>
      <c r="B12" s="1" t="s">
        <v>2218</v>
      </c>
      <c r="C12" s="1" t="s">
        <v>845</v>
      </c>
      <c r="D12" s="1">
        <v>1</v>
      </c>
      <c r="E12" s="1" t="s">
        <v>3083</v>
      </c>
      <c r="F12" s="1" t="s">
        <v>3084</v>
      </c>
      <c r="G12" s="1" t="s">
        <v>3071</v>
      </c>
      <c r="I12" s="1" t="s">
        <v>945</v>
      </c>
      <c r="N12" s="2" t="s">
        <v>3456</v>
      </c>
      <c r="O12" s="1">
        <v>1</v>
      </c>
      <c r="P12" s="17" t="s">
        <v>3533</v>
      </c>
      <c r="Q12" s="1" t="s">
        <v>52</v>
      </c>
      <c r="R12" s="1" t="s">
        <v>7</v>
      </c>
      <c r="T12" s="1">
        <f t="shared" si="0"/>
        <v>2</v>
      </c>
      <c r="U12" s="1" t="s">
        <v>3064</v>
      </c>
    </row>
    <row r="13" spans="1:23">
      <c r="A13" s="3">
        <v>1002</v>
      </c>
      <c r="B13" s="1" t="s">
        <v>2219</v>
      </c>
      <c r="C13" s="1" t="s">
        <v>845</v>
      </c>
      <c r="D13" s="1">
        <v>1</v>
      </c>
      <c r="E13" s="1" t="s">
        <v>3083</v>
      </c>
      <c r="F13" s="1" t="s">
        <v>3084</v>
      </c>
      <c r="G13" s="1" t="s">
        <v>3051</v>
      </c>
      <c r="I13" s="1" t="s">
        <v>946</v>
      </c>
      <c r="J13" s="1" t="s">
        <v>866</v>
      </c>
      <c r="K13" s="1" t="s">
        <v>867</v>
      </c>
      <c r="L13" s="1" t="s">
        <v>868</v>
      </c>
      <c r="N13" s="2" t="s">
        <v>3456</v>
      </c>
      <c r="O13" s="1">
        <v>1</v>
      </c>
      <c r="P13" s="17" t="s">
        <v>3533</v>
      </c>
      <c r="Q13" s="1" t="s">
        <v>33</v>
      </c>
      <c r="R13" s="1" t="s">
        <v>7</v>
      </c>
      <c r="T13" s="1">
        <f t="shared" si="0"/>
        <v>5</v>
      </c>
      <c r="U13" s="1" t="s">
        <v>3053</v>
      </c>
    </row>
    <row r="14" spans="1:23">
      <c r="A14" s="3">
        <v>1003</v>
      </c>
      <c r="B14" s="1" t="s">
        <v>2220</v>
      </c>
      <c r="C14" s="1" t="s">
        <v>845</v>
      </c>
      <c r="D14" s="1">
        <v>1</v>
      </c>
      <c r="E14" s="1" t="s">
        <v>3083</v>
      </c>
      <c r="F14" s="1" t="s">
        <v>3084</v>
      </c>
      <c r="G14" s="1" t="s">
        <v>3059</v>
      </c>
      <c r="I14" s="1" t="s">
        <v>869</v>
      </c>
      <c r="J14" s="1" t="s">
        <v>870</v>
      </c>
      <c r="N14" s="2" t="s">
        <v>3456</v>
      </c>
      <c r="O14" s="1">
        <v>1</v>
      </c>
      <c r="P14" s="17" t="s">
        <v>3569</v>
      </c>
      <c r="Q14" s="1" t="s">
        <v>179</v>
      </c>
      <c r="R14" s="1" t="s">
        <v>7</v>
      </c>
      <c r="T14" s="1">
        <f t="shared" si="0"/>
        <v>4</v>
      </c>
      <c r="U14" s="1" t="s">
        <v>3072</v>
      </c>
    </row>
    <row r="15" spans="1:23">
      <c r="A15" s="3">
        <v>11</v>
      </c>
      <c r="B15" s="1" t="s">
        <v>2156</v>
      </c>
      <c r="C15" s="1" t="s">
        <v>846</v>
      </c>
      <c r="D15" s="2">
        <v>2</v>
      </c>
      <c r="E15" s="1" t="s">
        <v>3083</v>
      </c>
      <c r="F15" s="1" t="s">
        <v>3084</v>
      </c>
      <c r="G15" s="1" t="s">
        <v>3062</v>
      </c>
      <c r="I15" s="1" t="s">
        <v>854</v>
      </c>
      <c r="N15" s="2"/>
      <c r="O15" s="1">
        <v>1</v>
      </c>
      <c r="P15" s="17" t="s">
        <v>3533</v>
      </c>
      <c r="Q15" s="1" t="s">
        <v>33</v>
      </c>
      <c r="R15" s="1" t="s">
        <v>4</v>
      </c>
      <c r="T15" s="1">
        <f t="shared" si="0"/>
        <v>1</v>
      </c>
      <c r="U15" s="1" t="s">
        <v>3073</v>
      </c>
    </row>
    <row r="16" spans="1:23">
      <c r="A16" s="3">
        <v>12</v>
      </c>
      <c r="B16" s="1" t="s">
        <v>2157</v>
      </c>
      <c r="C16" s="1" t="s">
        <v>846</v>
      </c>
      <c r="D16" s="2">
        <v>2</v>
      </c>
      <c r="E16" s="1" t="s">
        <v>3083</v>
      </c>
      <c r="F16" s="1" t="s">
        <v>3084</v>
      </c>
      <c r="G16" s="1" t="s">
        <v>3058</v>
      </c>
      <c r="I16" s="1" t="s">
        <v>24</v>
      </c>
      <c r="J16" s="1" t="s">
        <v>791</v>
      </c>
      <c r="N16" s="2" t="s">
        <v>3456</v>
      </c>
      <c r="O16" s="1">
        <v>1</v>
      </c>
      <c r="P16" s="17" t="s">
        <v>3533</v>
      </c>
      <c r="Q16" s="1" t="s">
        <v>53</v>
      </c>
      <c r="R16" s="1" t="s">
        <v>4</v>
      </c>
      <c r="T16" s="1">
        <f t="shared" si="0"/>
        <v>1</v>
      </c>
      <c r="U16" s="1" t="s">
        <v>3061</v>
      </c>
    </row>
    <row r="17" spans="1:21">
      <c r="A17" s="3">
        <v>13</v>
      </c>
      <c r="B17" s="1" t="s">
        <v>2158</v>
      </c>
      <c r="C17" s="1" t="s">
        <v>846</v>
      </c>
      <c r="D17" s="2">
        <v>2</v>
      </c>
      <c r="E17" s="1" t="s">
        <v>3083</v>
      </c>
      <c r="F17" s="1" t="s">
        <v>3084</v>
      </c>
      <c r="G17" s="1" t="s">
        <v>3070</v>
      </c>
      <c r="I17" s="1" t="s">
        <v>792</v>
      </c>
      <c r="N17" s="2" t="s">
        <v>3150</v>
      </c>
      <c r="O17" s="1">
        <v>2</v>
      </c>
      <c r="P17" s="17" t="s">
        <v>3533</v>
      </c>
      <c r="Q17" s="1" t="s">
        <v>30</v>
      </c>
      <c r="R17" s="1" t="s">
        <v>4</v>
      </c>
      <c r="T17" s="1">
        <f t="shared" si="0"/>
        <v>3</v>
      </c>
      <c r="U17" s="1" t="s">
        <v>3065</v>
      </c>
    </row>
    <row r="18" spans="1:21">
      <c r="A18" s="3">
        <v>14</v>
      </c>
      <c r="B18" s="1" t="s">
        <v>2159</v>
      </c>
      <c r="C18" s="1" t="s">
        <v>846</v>
      </c>
      <c r="D18" s="2">
        <v>2</v>
      </c>
      <c r="E18" s="1" t="s">
        <v>3083</v>
      </c>
      <c r="F18" s="1" t="s">
        <v>3084</v>
      </c>
      <c r="G18" s="1" t="s">
        <v>3051</v>
      </c>
      <c r="I18" s="1" t="s">
        <v>793</v>
      </c>
      <c r="N18" s="2" t="s">
        <v>3456</v>
      </c>
      <c r="O18" s="1">
        <v>1</v>
      </c>
      <c r="P18" s="17" t="s">
        <v>3533</v>
      </c>
      <c r="Q18" s="1" t="s">
        <v>45</v>
      </c>
      <c r="R18" s="1" t="s">
        <v>4</v>
      </c>
      <c r="T18" s="1">
        <f t="shared" si="0"/>
        <v>2</v>
      </c>
      <c r="U18" s="1" t="s">
        <v>3054</v>
      </c>
    </row>
    <row r="19" spans="1:21">
      <c r="A19" s="3">
        <v>15</v>
      </c>
      <c r="B19" s="1" t="s">
        <v>2160</v>
      </c>
      <c r="C19" s="1" t="s">
        <v>846</v>
      </c>
      <c r="D19" s="2">
        <v>2</v>
      </c>
      <c r="E19" s="1" t="s">
        <v>3083</v>
      </c>
      <c r="F19" s="1" t="s">
        <v>3084</v>
      </c>
      <c r="G19" s="1" t="s">
        <v>3051</v>
      </c>
      <c r="I19" s="1" t="s">
        <v>794</v>
      </c>
      <c r="J19" s="1" t="s">
        <v>861</v>
      </c>
      <c r="N19" s="2" t="s">
        <v>3456</v>
      </c>
      <c r="O19" s="1">
        <v>1</v>
      </c>
      <c r="P19" s="17" t="s">
        <v>3533</v>
      </c>
      <c r="Q19" s="1" t="s">
        <v>175</v>
      </c>
      <c r="R19" s="1" t="s">
        <v>4</v>
      </c>
      <c r="T19" s="1">
        <f t="shared" si="0"/>
        <v>1</v>
      </c>
      <c r="U19" s="1" t="s">
        <v>3050</v>
      </c>
    </row>
    <row r="20" spans="1:21">
      <c r="A20" s="3">
        <v>16</v>
      </c>
      <c r="B20" s="3" t="s">
        <v>2161</v>
      </c>
      <c r="C20" s="3" t="s">
        <v>846</v>
      </c>
      <c r="D20" s="14">
        <v>2</v>
      </c>
      <c r="E20" s="3" t="s">
        <v>3083</v>
      </c>
      <c r="F20" s="3" t="s">
        <v>3084</v>
      </c>
      <c r="G20" s="3" t="s">
        <v>3051</v>
      </c>
      <c r="H20" s="3"/>
      <c r="I20" s="3"/>
      <c r="J20" s="3"/>
      <c r="K20" s="3"/>
      <c r="L20" s="3"/>
      <c r="M20" s="3"/>
      <c r="N20" s="14" t="s">
        <v>3456</v>
      </c>
      <c r="O20" s="3">
        <v>1</v>
      </c>
      <c r="P20" s="60" t="s">
        <v>3527</v>
      </c>
      <c r="Q20" s="3" t="s">
        <v>169</v>
      </c>
      <c r="R20" s="3" t="s">
        <v>4</v>
      </c>
      <c r="S20" s="4"/>
      <c r="T20" s="1">
        <f t="shared" si="0"/>
        <v>2</v>
      </c>
      <c r="U20" s="1" t="s">
        <v>3060</v>
      </c>
    </row>
    <row r="21" spans="1:21">
      <c r="A21" s="3">
        <v>17</v>
      </c>
      <c r="B21" s="1" t="s">
        <v>2162</v>
      </c>
      <c r="C21" s="1" t="s">
        <v>846</v>
      </c>
      <c r="D21" s="2">
        <v>2</v>
      </c>
      <c r="E21" s="1" t="s">
        <v>3083</v>
      </c>
      <c r="F21" s="1" t="s">
        <v>3084</v>
      </c>
      <c r="G21" s="1" t="s">
        <v>3051</v>
      </c>
      <c r="I21" s="1" t="s">
        <v>855</v>
      </c>
      <c r="N21" s="2" t="s">
        <v>3456</v>
      </c>
      <c r="O21" s="1">
        <v>1</v>
      </c>
      <c r="P21" s="17" t="s">
        <v>3527</v>
      </c>
      <c r="Q21" s="1" t="s">
        <v>172</v>
      </c>
      <c r="R21" s="1" t="s">
        <v>4</v>
      </c>
    </row>
    <row r="22" spans="1:21">
      <c r="A22" s="3">
        <v>18</v>
      </c>
      <c r="B22" s="1" t="s">
        <v>2163</v>
      </c>
      <c r="C22" s="1" t="s">
        <v>846</v>
      </c>
      <c r="D22" s="2">
        <v>2</v>
      </c>
      <c r="E22" s="1" t="s">
        <v>3083</v>
      </c>
      <c r="F22" s="1" t="s">
        <v>3084</v>
      </c>
      <c r="G22" s="1" t="s">
        <v>3051</v>
      </c>
      <c r="I22" s="1" t="s">
        <v>795</v>
      </c>
      <c r="N22" s="2" t="s">
        <v>3456</v>
      </c>
      <c r="O22" s="1">
        <v>1</v>
      </c>
      <c r="P22" s="17" t="s">
        <v>3533</v>
      </c>
      <c r="Q22" s="1" t="s">
        <v>605</v>
      </c>
      <c r="R22" s="1" t="s">
        <v>4</v>
      </c>
    </row>
    <row r="23" spans="1:21">
      <c r="A23" s="3">
        <v>19</v>
      </c>
      <c r="B23" s="1" t="s">
        <v>2164</v>
      </c>
      <c r="C23" s="1" t="s">
        <v>846</v>
      </c>
      <c r="D23" s="2">
        <v>2</v>
      </c>
      <c r="E23" s="1" t="s">
        <v>3083</v>
      </c>
      <c r="F23" s="1" t="s">
        <v>3084</v>
      </c>
      <c r="G23" s="1" t="s">
        <v>3051</v>
      </c>
      <c r="I23" s="1" t="s">
        <v>51</v>
      </c>
      <c r="J23" s="1" t="s">
        <v>796</v>
      </c>
      <c r="N23" s="2" t="s">
        <v>3456</v>
      </c>
      <c r="O23" s="1">
        <v>2</v>
      </c>
      <c r="P23" s="17" t="s">
        <v>3527</v>
      </c>
      <c r="Q23" s="1" t="s">
        <v>179</v>
      </c>
      <c r="R23" s="1" t="s">
        <v>4</v>
      </c>
    </row>
    <row r="24" spans="1:21">
      <c r="A24" s="3">
        <v>20</v>
      </c>
      <c r="B24" s="6" t="s">
        <v>2165</v>
      </c>
      <c r="C24" s="6" t="s">
        <v>846</v>
      </c>
      <c r="D24" s="7">
        <v>2</v>
      </c>
      <c r="E24" s="6" t="s">
        <v>3083</v>
      </c>
      <c r="F24" s="6" t="s">
        <v>3084</v>
      </c>
      <c r="G24" s="6" t="s">
        <v>3051</v>
      </c>
      <c r="H24" s="6" t="s">
        <v>3060</v>
      </c>
      <c r="I24" s="6" t="s">
        <v>797</v>
      </c>
      <c r="J24" s="6"/>
      <c r="K24" s="6"/>
      <c r="L24" s="6"/>
      <c r="M24" s="6"/>
      <c r="N24" s="7" t="s">
        <v>3150</v>
      </c>
      <c r="O24" s="6">
        <v>1</v>
      </c>
      <c r="P24" s="18" t="s">
        <v>3527</v>
      </c>
      <c r="Q24" s="6" t="s">
        <v>604</v>
      </c>
      <c r="R24" s="6" t="s">
        <v>4</v>
      </c>
      <c r="S24" s="6"/>
    </row>
    <row r="25" spans="1:21">
      <c r="A25" s="3">
        <v>21</v>
      </c>
      <c r="B25" s="1" t="s">
        <v>2166</v>
      </c>
      <c r="C25" s="1" t="s">
        <v>846</v>
      </c>
      <c r="D25" s="2">
        <v>2</v>
      </c>
      <c r="E25" s="1" t="s">
        <v>3083</v>
      </c>
      <c r="F25" s="1" t="s">
        <v>3084</v>
      </c>
      <c r="G25" s="1" t="s">
        <v>3071</v>
      </c>
      <c r="I25" s="1" t="s">
        <v>798</v>
      </c>
      <c r="J25" s="1" t="s">
        <v>799</v>
      </c>
      <c r="N25" s="2" t="s">
        <v>3456</v>
      </c>
      <c r="O25" s="1">
        <v>1</v>
      </c>
      <c r="P25" s="17" t="s">
        <v>3533</v>
      </c>
      <c r="Q25" s="1" t="s">
        <v>606</v>
      </c>
      <c r="R25" s="1" t="s">
        <v>4</v>
      </c>
    </row>
    <row r="26" spans="1:21">
      <c r="A26" s="3">
        <v>22</v>
      </c>
      <c r="B26" s="1" t="s">
        <v>2167</v>
      </c>
      <c r="C26" s="1" t="s">
        <v>846</v>
      </c>
      <c r="D26" s="2">
        <v>2</v>
      </c>
      <c r="E26" s="1" t="s">
        <v>3083</v>
      </c>
      <c r="F26" s="1" t="s">
        <v>3084</v>
      </c>
      <c r="G26" s="1" t="s">
        <v>3049</v>
      </c>
      <c r="N26" s="2" t="s">
        <v>3456</v>
      </c>
      <c r="O26" s="1">
        <v>2</v>
      </c>
      <c r="P26" s="17" t="s">
        <v>3533</v>
      </c>
      <c r="Q26" s="1" t="s">
        <v>15</v>
      </c>
      <c r="R26" s="1" t="s">
        <v>4</v>
      </c>
    </row>
    <row r="27" spans="1:21">
      <c r="A27" s="3">
        <v>23</v>
      </c>
      <c r="B27" s="3" t="s">
        <v>2168</v>
      </c>
      <c r="C27" s="3" t="s">
        <v>846</v>
      </c>
      <c r="D27" s="14">
        <v>2</v>
      </c>
      <c r="E27" s="3" t="s">
        <v>3083</v>
      </c>
      <c r="F27" s="3" t="s">
        <v>3084</v>
      </c>
      <c r="G27" s="3" t="s">
        <v>3070</v>
      </c>
      <c r="H27" s="3"/>
      <c r="I27" s="3" t="s">
        <v>800</v>
      </c>
      <c r="J27" s="3"/>
      <c r="K27" s="3"/>
      <c r="L27" s="3"/>
      <c r="M27" s="3"/>
      <c r="N27" s="14" t="s">
        <v>3456</v>
      </c>
      <c r="O27" s="3">
        <v>2</v>
      </c>
      <c r="P27" s="60" t="s">
        <v>3533</v>
      </c>
      <c r="Q27" s="3" t="s">
        <v>36</v>
      </c>
      <c r="R27" s="3" t="s">
        <v>4</v>
      </c>
    </row>
    <row r="28" spans="1:21">
      <c r="A28" s="3">
        <v>24</v>
      </c>
      <c r="B28" s="1" t="s">
        <v>2169</v>
      </c>
      <c r="C28" s="1" t="s">
        <v>846</v>
      </c>
      <c r="D28" s="2">
        <v>2</v>
      </c>
      <c r="E28" s="1" t="s">
        <v>3083</v>
      </c>
      <c r="F28" s="1" t="s">
        <v>3084</v>
      </c>
      <c r="G28" s="1" t="s">
        <v>3051</v>
      </c>
      <c r="I28" s="1" t="s">
        <v>801</v>
      </c>
      <c r="N28" s="2" t="s">
        <v>3456</v>
      </c>
      <c r="O28" s="1">
        <v>1</v>
      </c>
      <c r="P28" s="17" t="s">
        <v>3569</v>
      </c>
      <c r="Q28" s="1" t="s">
        <v>49</v>
      </c>
      <c r="R28" s="1" t="s">
        <v>4</v>
      </c>
    </row>
    <row r="29" spans="1:21">
      <c r="A29" s="3">
        <v>25</v>
      </c>
      <c r="B29" s="1" t="s">
        <v>2170</v>
      </c>
      <c r="C29" s="1" t="s">
        <v>846</v>
      </c>
      <c r="D29" s="2">
        <v>2</v>
      </c>
      <c r="E29" s="1" t="s">
        <v>3083</v>
      </c>
      <c r="F29" s="1" t="s">
        <v>3084</v>
      </c>
      <c r="G29" s="1" t="s">
        <v>3055</v>
      </c>
      <c r="I29" s="1" t="s">
        <v>802</v>
      </c>
      <c r="N29" s="2" t="s">
        <v>3456</v>
      </c>
      <c r="O29" s="1">
        <v>1</v>
      </c>
      <c r="P29" s="17" t="s">
        <v>3527</v>
      </c>
      <c r="Q29" s="1" t="s">
        <v>29</v>
      </c>
      <c r="R29" s="1" t="s">
        <v>4</v>
      </c>
    </row>
    <row r="30" spans="1:21">
      <c r="A30" s="3">
        <v>26</v>
      </c>
      <c r="B30" s="1" t="s">
        <v>2171</v>
      </c>
      <c r="C30" s="1" t="s">
        <v>846</v>
      </c>
      <c r="D30" s="2">
        <v>2</v>
      </c>
      <c r="E30" s="1" t="s">
        <v>3083</v>
      </c>
      <c r="F30" s="1" t="s">
        <v>3084</v>
      </c>
      <c r="G30" s="1" t="s">
        <v>3051</v>
      </c>
      <c r="I30" s="1" t="s">
        <v>803</v>
      </c>
      <c r="N30" s="2" t="s">
        <v>3456</v>
      </c>
      <c r="O30" s="1">
        <v>1</v>
      </c>
      <c r="P30" s="17" t="s">
        <v>3533</v>
      </c>
      <c r="Q30" s="1" t="s">
        <v>52</v>
      </c>
      <c r="R30" s="1" t="s">
        <v>4</v>
      </c>
      <c r="T30" s="4"/>
    </row>
    <row r="31" spans="1:21">
      <c r="A31" s="3">
        <v>27</v>
      </c>
      <c r="B31" s="1" t="s">
        <v>2172</v>
      </c>
      <c r="C31" s="1" t="s">
        <v>846</v>
      </c>
      <c r="D31" s="2">
        <v>2</v>
      </c>
      <c r="E31" s="1" t="s">
        <v>3083</v>
      </c>
      <c r="F31" s="1" t="s">
        <v>3084</v>
      </c>
      <c r="G31" s="1" t="s">
        <v>3058</v>
      </c>
      <c r="I31" s="1" t="s">
        <v>804</v>
      </c>
      <c r="N31" s="2" t="s">
        <v>3456</v>
      </c>
      <c r="O31" s="1">
        <v>1</v>
      </c>
      <c r="P31" s="17" t="s">
        <v>3527</v>
      </c>
      <c r="Q31" s="1" t="s">
        <v>32</v>
      </c>
      <c r="R31" s="1" t="s">
        <v>4</v>
      </c>
    </row>
    <row r="32" spans="1:21">
      <c r="A32" s="4">
        <v>28</v>
      </c>
      <c r="B32" s="4" t="s">
        <v>2173</v>
      </c>
      <c r="C32" s="4" t="s">
        <v>846</v>
      </c>
      <c r="D32" s="5">
        <v>2</v>
      </c>
      <c r="E32" s="4" t="s">
        <v>3083</v>
      </c>
      <c r="F32" s="4" t="s">
        <v>3084</v>
      </c>
      <c r="G32" s="4" t="s">
        <v>3051</v>
      </c>
      <c r="H32" s="4"/>
      <c r="I32" s="4" t="s">
        <v>3451</v>
      </c>
      <c r="J32" s="4"/>
      <c r="K32" s="4"/>
      <c r="L32" s="4"/>
      <c r="M32" s="4"/>
      <c r="N32" s="5" t="s">
        <v>3150</v>
      </c>
      <c r="O32" s="4">
        <v>1</v>
      </c>
      <c r="P32" s="19" t="s">
        <v>3527</v>
      </c>
      <c r="Q32" s="4" t="s">
        <v>14</v>
      </c>
      <c r="R32" s="3" t="s">
        <v>4</v>
      </c>
      <c r="S32" s="4"/>
    </row>
    <row r="33" spans="1:18">
      <c r="A33" s="3">
        <v>29</v>
      </c>
      <c r="B33" s="1" t="s">
        <v>2174</v>
      </c>
      <c r="C33" s="1" t="s">
        <v>846</v>
      </c>
      <c r="D33" s="2">
        <v>2</v>
      </c>
      <c r="E33" s="1" t="s">
        <v>3083</v>
      </c>
      <c r="F33" s="1" t="s">
        <v>3084</v>
      </c>
      <c r="G33" s="1" t="s">
        <v>3051</v>
      </c>
      <c r="I33" s="1" t="s">
        <v>805</v>
      </c>
      <c r="N33" s="2" t="s">
        <v>3456</v>
      </c>
      <c r="O33" s="1">
        <v>1</v>
      </c>
      <c r="P33" s="17" t="s">
        <v>3527</v>
      </c>
      <c r="Q33" s="1" t="s">
        <v>17</v>
      </c>
      <c r="R33" s="1" t="s">
        <v>4</v>
      </c>
    </row>
    <row r="34" spans="1:18">
      <c r="A34" s="3">
        <v>1005</v>
      </c>
      <c r="B34" s="1" t="s">
        <v>2221</v>
      </c>
      <c r="C34" s="1" t="s">
        <v>846</v>
      </c>
      <c r="D34" s="1">
        <v>2</v>
      </c>
      <c r="E34" s="1" t="s">
        <v>3083</v>
      </c>
      <c r="F34" s="1" t="s">
        <v>3084</v>
      </c>
      <c r="G34" s="1" t="s">
        <v>3071</v>
      </c>
      <c r="I34" s="1" t="s">
        <v>947</v>
      </c>
      <c r="J34" s="1" t="s">
        <v>3813</v>
      </c>
      <c r="K34" s="1" t="s">
        <v>940</v>
      </c>
      <c r="N34" s="2" t="s">
        <v>3456</v>
      </c>
      <c r="O34" s="1">
        <v>1</v>
      </c>
      <c r="P34" s="17" t="s">
        <v>3533</v>
      </c>
      <c r="Q34" s="1" t="s">
        <v>170</v>
      </c>
      <c r="R34" s="1" t="s">
        <v>7</v>
      </c>
    </row>
    <row r="35" spans="1:18">
      <c r="A35" s="3">
        <v>1006</v>
      </c>
      <c r="B35" s="1" t="s">
        <v>2222</v>
      </c>
      <c r="C35" s="1" t="s">
        <v>846</v>
      </c>
      <c r="D35" s="1">
        <v>2</v>
      </c>
      <c r="E35" s="1" t="s">
        <v>3083</v>
      </c>
      <c r="F35" s="1" t="s">
        <v>3084</v>
      </c>
      <c r="G35" s="1" t="s">
        <v>3051</v>
      </c>
      <c r="I35" s="1" t="s">
        <v>872</v>
      </c>
      <c r="N35" s="2" t="s">
        <v>3456</v>
      </c>
      <c r="O35" s="1">
        <v>1</v>
      </c>
      <c r="P35" s="17" t="s">
        <v>3527</v>
      </c>
      <c r="Q35" s="1" t="s">
        <v>40</v>
      </c>
      <c r="R35" s="1" t="s">
        <v>7</v>
      </c>
    </row>
    <row r="36" spans="1:18">
      <c r="A36" s="3">
        <v>1007</v>
      </c>
      <c r="B36" s="1" t="s">
        <v>2223</v>
      </c>
      <c r="C36" s="1" t="s">
        <v>846</v>
      </c>
      <c r="D36" s="1">
        <v>2</v>
      </c>
      <c r="E36" s="1" t="s">
        <v>3083</v>
      </c>
      <c r="F36" s="1" t="s">
        <v>3084</v>
      </c>
      <c r="G36" s="1" t="s">
        <v>3051</v>
      </c>
      <c r="I36" s="1" t="s">
        <v>873</v>
      </c>
      <c r="N36" s="2" t="s">
        <v>3456</v>
      </c>
      <c r="O36" s="1">
        <v>1</v>
      </c>
      <c r="P36" s="17" t="s">
        <v>3569</v>
      </c>
      <c r="Q36" s="1" t="s">
        <v>183</v>
      </c>
      <c r="R36" s="1" t="s">
        <v>7</v>
      </c>
    </row>
    <row r="37" spans="1:18">
      <c r="A37" s="3">
        <v>1008</v>
      </c>
      <c r="B37" s="1" t="s">
        <v>2224</v>
      </c>
      <c r="C37" s="1" t="s">
        <v>846</v>
      </c>
      <c r="D37" s="1">
        <v>2</v>
      </c>
      <c r="E37" s="1" t="s">
        <v>3083</v>
      </c>
      <c r="F37" s="1" t="s">
        <v>3084</v>
      </c>
      <c r="G37" s="1" t="s">
        <v>3051</v>
      </c>
      <c r="I37" s="1" t="s">
        <v>874</v>
      </c>
      <c r="J37" s="1" t="s">
        <v>875</v>
      </c>
      <c r="N37" s="2" t="s">
        <v>3150</v>
      </c>
      <c r="O37" s="1">
        <v>0</v>
      </c>
      <c r="P37" s="17" t="s">
        <v>3527</v>
      </c>
      <c r="Q37" s="1" t="s">
        <v>46</v>
      </c>
      <c r="R37" s="1" t="s">
        <v>7</v>
      </c>
    </row>
    <row r="38" spans="1:18">
      <c r="A38" s="3">
        <v>1009</v>
      </c>
      <c r="B38" s="1" t="s">
        <v>2225</v>
      </c>
      <c r="C38" s="1" t="s">
        <v>846</v>
      </c>
      <c r="D38" s="1">
        <v>2</v>
      </c>
      <c r="E38" s="1" t="s">
        <v>3083</v>
      </c>
      <c r="F38" s="1" t="s">
        <v>3084</v>
      </c>
      <c r="G38" s="1" t="s">
        <v>3051</v>
      </c>
      <c r="I38" s="1" t="s">
        <v>876</v>
      </c>
      <c r="J38" s="1" t="s">
        <v>877</v>
      </c>
      <c r="N38" s="2" t="s">
        <v>3456</v>
      </c>
      <c r="O38" s="1">
        <v>0</v>
      </c>
      <c r="P38" s="17" t="s">
        <v>3611</v>
      </c>
      <c r="Q38" s="1" t="s">
        <v>38</v>
      </c>
      <c r="R38" s="1" t="s">
        <v>7</v>
      </c>
    </row>
    <row r="39" spans="1:18">
      <c r="A39" s="3">
        <v>1010</v>
      </c>
      <c r="B39" s="1" t="s">
        <v>2226</v>
      </c>
      <c r="C39" s="1" t="s">
        <v>846</v>
      </c>
      <c r="D39" s="1">
        <v>2</v>
      </c>
      <c r="E39" s="1" t="s">
        <v>3083</v>
      </c>
      <c r="F39" s="1" t="s">
        <v>3084</v>
      </c>
      <c r="G39" s="1" t="s">
        <v>3071</v>
      </c>
      <c r="I39" s="1" t="s">
        <v>878</v>
      </c>
      <c r="J39" s="1" t="s">
        <v>879</v>
      </c>
      <c r="N39" s="2" t="s">
        <v>3456</v>
      </c>
      <c r="O39" s="1">
        <v>1</v>
      </c>
      <c r="P39" s="17" t="s">
        <v>3533</v>
      </c>
      <c r="Q39" s="1" t="s">
        <v>45</v>
      </c>
      <c r="R39" s="1" t="s">
        <v>7</v>
      </c>
    </row>
    <row r="40" spans="1:18">
      <c r="A40" s="3">
        <v>1011</v>
      </c>
      <c r="B40" s="1" t="s">
        <v>2227</v>
      </c>
      <c r="C40" s="1" t="s">
        <v>846</v>
      </c>
      <c r="D40" s="1">
        <v>2</v>
      </c>
      <c r="E40" s="1" t="s">
        <v>3083</v>
      </c>
      <c r="F40" s="1" t="s">
        <v>3084</v>
      </c>
      <c r="G40" s="1" t="s">
        <v>3051</v>
      </c>
      <c r="I40" s="1" t="s">
        <v>880</v>
      </c>
      <c r="N40" s="2" t="s">
        <v>3456</v>
      </c>
      <c r="O40" s="1">
        <v>1</v>
      </c>
      <c r="P40" s="17" t="s">
        <v>3527</v>
      </c>
      <c r="Q40" s="1" t="s">
        <v>5</v>
      </c>
      <c r="R40" s="1" t="s">
        <v>7</v>
      </c>
    </row>
    <row r="41" spans="1:18">
      <c r="A41" s="3">
        <v>1012</v>
      </c>
      <c r="B41" s="1" t="s">
        <v>2228</v>
      </c>
      <c r="C41" s="1" t="s">
        <v>846</v>
      </c>
      <c r="D41" s="1">
        <v>2</v>
      </c>
      <c r="E41" s="1" t="s">
        <v>3083</v>
      </c>
      <c r="F41" s="1" t="s">
        <v>3084</v>
      </c>
      <c r="G41" s="1" t="s">
        <v>3058</v>
      </c>
      <c r="I41" s="1" t="s">
        <v>24</v>
      </c>
      <c r="J41" s="1" t="s">
        <v>881</v>
      </c>
      <c r="N41" s="2" t="s">
        <v>3456</v>
      </c>
      <c r="O41" s="1">
        <v>1</v>
      </c>
      <c r="P41" s="17" t="s">
        <v>3569</v>
      </c>
      <c r="Q41" s="1" t="s">
        <v>38</v>
      </c>
      <c r="R41" s="1" t="s">
        <v>7</v>
      </c>
    </row>
    <row r="42" spans="1:18">
      <c r="A42" s="3">
        <v>1013</v>
      </c>
      <c r="B42" s="1" t="s">
        <v>2229</v>
      </c>
      <c r="C42" s="1" t="s">
        <v>846</v>
      </c>
      <c r="D42" s="1">
        <v>2</v>
      </c>
      <c r="E42" s="1" t="s">
        <v>3083</v>
      </c>
      <c r="F42" s="1" t="s">
        <v>3084</v>
      </c>
      <c r="G42" s="1" t="s">
        <v>3071</v>
      </c>
      <c r="I42" s="1" t="s">
        <v>882</v>
      </c>
      <c r="N42" s="2" t="s">
        <v>3456</v>
      </c>
      <c r="O42" s="1">
        <v>1</v>
      </c>
      <c r="P42" s="17" t="s">
        <v>3569</v>
      </c>
      <c r="Q42" s="1" t="s">
        <v>8</v>
      </c>
      <c r="R42" s="1" t="s">
        <v>7</v>
      </c>
    </row>
    <row r="43" spans="1:18">
      <c r="A43" s="3">
        <v>1014</v>
      </c>
      <c r="B43" s="1" t="s">
        <v>2230</v>
      </c>
      <c r="C43" s="1" t="s">
        <v>846</v>
      </c>
      <c r="D43" s="1">
        <v>2</v>
      </c>
      <c r="E43" s="1" t="s">
        <v>3083</v>
      </c>
      <c r="F43" s="1" t="s">
        <v>3084</v>
      </c>
      <c r="G43" s="1" t="s">
        <v>3070</v>
      </c>
      <c r="I43" s="1" t="s">
        <v>1</v>
      </c>
      <c r="J43" s="1" t="s">
        <v>883</v>
      </c>
      <c r="N43" s="2" t="s">
        <v>3150</v>
      </c>
      <c r="O43" s="1">
        <v>1</v>
      </c>
      <c r="P43" s="17" t="s">
        <v>3569</v>
      </c>
      <c r="Q43" s="1" t="s">
        <v>30</v>
      </c>
      <c r="R43" s="1" t="s">
        <v>7</v>
      </c>
    </row>
    <row r="44" spans="1:18">
      <c r="A44" s="6">
        <v>1015</v>
      </c>
      <c r="B44" s="6" t="s">
        <v>2231</v>
      </c>
      <c r="C44" s="6" t="s">
        <v>846</v>
      </c>
      <c r="D44" s="6">
        <v>2</v>
      </c>
      <c r="E44" s="6" t="s">
        <v>3083</v>
      </c>
      <c r="F44" s="6" t="s">
        <v>3084</v>
      </c>
      <c r="G44" s="6" t="s">
        <v>3071</v>
      </c>
      <c r="H44" s="6"/>
      <c r="I44" s="6" t="s">
        <v>884</v>
      </c>
      <c r="J44" s="6"/>
      <c r="K44" s="6"/>
      <c r="L44" s="6"/>
      <c r="M44" s="6" t="s">
        <v>153</v>
      </c>
      <c r="N44" s="7" t="s">
        <v>3456</v>
      </c>
      <c r="O44" s="6">
        <v>2</v>
      </c>
      <c r="P44" s="18" t="s">
        <v>3533</v>
      </c>
      <c r="Q44" s="6"/>
      <c r="R44" s="6"/>
    </row>
    <row r="45" spans="1:18">
      <c r="A45" s="6">
        <v>1016</v>
      </c>
      <c r="B45" s="6" t="s">
        <v>2232</v>
      </c>
      <c r="C45" s="6" t="s">
        <v>3396</v>
      </c>
      <c r="D45" s="6">
        <v>2</v>
      </c>
      <c r="E45" s="6" t="s">
        <v>3083</v>
      </c>
      <c r="F45" s="6" t="s">
        <v>3084</v>
      </c>
      <c r="G45" s="6" t="s">
        <v>3051</v>
      </c>
      <c r="H45" s="6"/>
      <c r="I45" s="6" t="s">
        <v>24</v>
      </c>
      <c r="J45" s="6" t="s">
        <v>885</v>
      </c>
      <c r="K45" s="6"/>
      <c r="L45" s="6"/>
      <c r="M45" s="6" t="s">
        <v>153</v>
      </c>
      <c r="N45" s="7" t="s">
        <v>3456</v>
      </c>
      <c r="O45" s="6">
        <v>3</v>
      </c>
      <c r="P45" s="18" t="s">
        <v>3569</v>
      </c>
      <c r="Q45" s="6" t="s">
        <v>46</v>
      </c>
      <c r="R45" s="6" t="s">
        <v>7</v>
      </c>
    </row>
    <row r="46" spans="1:18">
      <c r="A46" s="3">
        <v>1017</v>
      </c>
      <c r="B46" s="1" t="s">
        <v>2233</v>
      </c>
      <c r="C46" s="1" t="s">
        <v>846</v>
      </c>
      <c r="D46" s="1">
        <v>2</v>
      </c>
      <c r="E46" s="1" t="s">
        <v>3083</v>
      </c>
      <c r="F46" s="1" t="s">
        <v>3084</v>
      </c>
      <c r="G46" s="1" t="s">
        <v>3051</v>
      </c>
      <c r="I46" s="1" t="s">
        <v>886</v>
      </c>
      <c r="M46" s="1" t="s">
        <v>491</v>
      </c>
      <c r="N46" s="2" t="s">
        <v>3456</v>
      </c>
      <c r="O46" s="1">
        <v>1</v>
      </c>
      <c r="P46" s="17" t="s">
        <v>3533</v>
      </c>
    </row>
    <row r="47" spans="1:18">
      <c r="A47" s="3">
        <v>1018</v>
      </c>
      <c r="B47" s="1" t="s">
        <v>2234</v>
      </c>
      <c r="C47" s="1" t="s">
        <v>846</v>
      </c>
      <c r="D47" s="1">
        <v>2</v>
      </c>
      <c r="E47" s="1" t="s">
        <v>3087</v>
      </c>
      <c r="F47" s="1" t="s">
        <v>3084</v>
      </c>
      <c r="G47" s="1" t="s">
        <v>3051</v>
      </c>
      <c r="I47" s="1" t="s">
        <v>887</v>
      </c>
      <c r="M47" s="1" t="s">
        <v>491</v>
      </c>
      <c r="N47" s="2" t="s">
        <v>3456</v>
      </c>
      <c r="O47" s="1">
        <v>3</v>
      </c>
      <c r="P47" s="17" t="s">
        <v>3527</v>
      </c>
      <c r="Q47" s="1" t="s">
        <v>175</v>
      </c>
      <c r="R47" s="1" t="s">
        <v>7</v>
      </c>
    </row>
    <row r="48" spans="1:18">
      <c r="A48" s="3">
        <v>1019</v>
      </c>
      <c r="B48" s="1" t="s">
        <v>2235</v>
      </c>
      <c r="C48" s="1" t="s">
        <v>846</v>
      </c>
      <c r="D48" s="1">
        <v>2</v>
      </c>
      <c r="E48" s="1" t="s">
        <v>3083</v>
      </c>
      <c r="F48" s="1" t="s">
        <v>3084</v>
      </c>
      <c r="G48" s="1" t="s">
        <v>3063</v>
      </c>
      <c r="I48" s="1" t="s">
        <v>888</v>
      </c>
      <c r="N48" s="2" t="s">
        <v>3456</v>
      </c>
      <c r="O48" s="1">
        <v>2</v>
      </c>
      <c r="P48" s="17" t="s">
        <v>3533</v>
      </c>
      <c r="Q48" s="1" t="s">
        <v>50</v>
      </c>
      <c r="R48" s="1" t="s">
        <v>7</v>
      </c>
    </row>
    <row r="49" spans="1:18">
      <c r="A49" s="3">
        <v>1020</v>
      </c>
      <c r="B49" s="1" t="s">
        <v>2236</v>
      </c>
      <c r="C49" s="1" t="s">
        <v>846</v>
      </c>
      <c r="D49" s="1">
        <v>2</v>
      </c>
      <c r="E49" s="1" t="s">
        <v>3083</v>
      </c>
      <c r="F49" s="1" t="s">
        <v>3084</v>
      </c>
      <c r="G49" s="1" t="s">
        <v>3070</v>
      </c>
      <c r="I49" s="1" t="s">
        <v>1</v>
      </c>
      <c r="J49" s="1" t="s">
        <v>889</v>
      </c>
      <c r="N49" s="2" t="s">
        <v>3456</v>
      </c>
      <c r="O49" s="1">
        <v>2</v>
      </c>
      <c r="P49" s="17" t="s">
        <v>3533</v>
      </c>
      <c r="Q49" s="1" t="s">
        <v>35</v>
      </c>
      <c r="R49" s="1" t="s">
        <v>7</v>
      </c>
    </row>
    <row r="50" spans="1:18">
      <c r="A50" s="3">
        <v>1021</v>
      </c>
      <c r="B50" s="1" t="s">
        <v>2237</v>
      </c>
      <c r="C50" s="1" t="s">
        <v>846</v>
      </c>
      <c r="D50" s="1">
        <v>2</v>
      </c>
      <c r="E50" s="1" t="s">
        <v>3083</v>
      </c>
      <c r="F50" s="1" t="s">
        <v>3084</v>
      </c>
      <c r="G50" s="1" t="s">
        <v>3051</v>
      </c>
      <c r="I50" s="1" t="s">
        <v>948</v>
      </c>
      <c r="N50" s="2" t="s">
        <v>3456</v>
      </c>
      <c r="O50" s="1">
        <v>2</v>
      </c>
      <c r="P50" s="17" t="s">
        <v>3533</v>
      </c>
      <c r="Q50" s="1" t="s">
        <v>174</v>
      </c>
      <c r="R50" s="1" t="s">
        <v>7</v>
      </c>
    </row>
    <row r="51" spans="1:18">
      <c r="A51" s="3">
        <v>1022</v>
      </c>
      <c r="B51" s="1" t="s">
        <v>2238</v>
      </c>
      <c r="C51" s="1" t="s">
        <v>846</v>
      </c>
      <c r="D51" s="1">
        <v>2</v>
      </c>
      <c r="E51" s="1" t="s">
        <v>3083</v>
      </c>
      <c r="F51" s="1" t="s">
        <v>3084</v>
      </c>
      <c r="G51" s="1" t="s">
        <v>3063</v>
      </c>
      <c r="I51" s="1" t="s">
        <v>890</v>
      </c>
      <c r="J51" s="1" t="s">
        <v>954</v>
      </c>
      <c r="N51" s="2" t="s">
        <v>3456</v>
      </c>
      <c r="O51" s="1">
        <v>1</v>
      </c>
      <c r="P51" s="17" t="s">
        <v>3527</v>
      </c>
      <c r="Q51" s="1" t="s">
        <v>53</v>
      </c>
      <c r="R51" s="1" t="s">
        <v>7</v>
      </c>
    </row>
    <row r="52" spans="1:18">
      <c r="A52" s="3">
        <v>2001</v>
      </c>
      <c r="B52" s="1" t="s">
        <v>2283</v>
      </c>
      <c r="C52" s="1" t="s">
        <v>846</v>
      </c>
      <c r="D52" s="1">
        <v>2</v>
      </c>
      <c r="E52" s="1" t="s">
        <v>3083</v>
      </c>
      <c r="F52" s="1" t="s">
        <v>3084</v>
      </c>
      <c r="G52" s="1" t="s">
        <v>3051</v>
      </c>
      <c r="I52" s="1" t="s">
        <v>960</v>
      </c>
      <c r="J52" s="1" t="s">
        <v>961</v>
      </c>
      <c r="N52" s="1" t="s">
        <v>3456</v>
      </c>
      <c r="O52" s="1">
        <v>2</v>
      </c>
      <c r="P52" s="17" t="s">
        <v>3533</v>
      </c>
      <c r="Q52" s="1" t="s">
        <v>27</v>
      </c>
      <c r="R52" s="1" t="s">
        <v>9</v>
      </c>
    </row>
    <row r="53" spans="1:18">
      <c r="A53" s="6">
        <v>2002</v>
      </c>
      <c r="B53" s="6" t="s">
        <v>2284</v>
      </c>
      <c r="C53" s="6" t="s">
        <v>1008</v>
      </c>
      <c r="D53" s="6">
        <v>2</v>
      </c>
      <c r="E53" s="6" t="s">
        <v>3083</v>
      </c>
      <c r="F53" s="6" t="s">
        <v>3084</v>
      </c>
      <c r="G53" s="6" t="s">
        <v>3051</v>
      </c>
      <c r="H53" s="6"/>
      <c r="I53" s="6" t="s">
        <v>962</v>
      </c>
      <c r="J53" s="6"/>
      <c r="K53" s="6"/>
      <c r="L53" s="6"/>
      <c r="M53" s="6"/>
      <c r="N53" s="6" t="s">
        <v>3456</v>
      </c>
      <c r="O53" s="6">
        <v>2</v>
      </c>
      <c r="P53" s="18" t="s">
        <v>3569</v>
      </c>
      <c r="Q53" s="6" t="s">
        <v>174</v>
      </c>
      <c r="R53" s="6" t="s">
        <v>9</v>
      </c>
    </row>
    <row r="54" spans="1:18">
      <c r="A54" s="3">
        <v>2003</v>
      </c>
      <c r="B54" s="8" t="s">
        <v>2285</v>
      </c>
      <c r="C54" s="8" t="s">
        <v>846</v>
      </c>
      <c r="D54" s="8">
        <v>2</v>
      </c>
      <c r="E54" s="8" t="s">
        <v>3083</v>
      </c>
      <c r="F54" s="8" t="s">
        <v>3084</v>
      </c>
      <c r="G54" s="8" t="s">
        <v>3064</v>
      </c>
      <c r="H54" s="8"/>
      <c r="I54" s="8" t="s">
        <v>963</v>
      </c>
      <c r="J54" s="8" t="s">
        <v>964</v>
      </c>
      <c r="K54" s="8" t="s">
        <v>965</v>
      </c>
      <c r="L54" s="8"/>
      <c r="M54" s="8"/>
      <c r="N54" s="8" t="s">
        <v>3456</v>
      </c>
      <c r="O54" s="8">
        <v>1</v>
      </c>
      <c r="P54" s="62" t="s">
        <v>3533</v>
      </c>
      <c r="Q54" s="8" t="s">
        <v>39</v>
      </c>
      <c r="R54" s="8" t="s">
        <v>9</v>
      </c>
    </row>
    <row r="55" spans="1:18">
      <c r="A55" s="3">
        <v>2004</v>
      </c>
      <c r="B55" s="1" t="s">
        <v>2286</v>
      </c>
      <c r="C55" s="1" t="s">
        <v>846</v>
      </c>
      <c r="D55" s="1">
        <v>2</v>
      </c>
      <c r="E55" s="1" t="s">
        <v>3083</v>
      </c>
      <c r="F55" s="1" t="s">
        <v>3084</v>
      </c>
      <c r="G55" s="1" t="s">
        <v>3070</v>
      </c>
      <c r="I55" s="1" t="s">
        <v>1</v>
      </c>
      <c r="J55" s="1" t="s">
        <v>966</v>
      </c>
      <c r="N55" s="1" t="s">
        <v>3456</v>
      </c>
      <c r="O55" s="1">
        <v>2</v>
      </c>
      <c r="P55" s="17" t="s">
        <v>3533</v>
      </c>
      <c r="Q55" s="1" t="s">
        <v>36</v>
      </c>
      <c r="R55" s="1" t="s">
        <v>9</v>
      </c>
    </row>
    <row r="56" spans="1:18">
      <c r="A56" s="3">
        <v>2005</v>
      </c>
      <c r="B56" s="1" t="s">
        <v>2287</v>
      </c>
      <c r="C56" s="1" t="s">
        <v>846</v>
      </c>
      <c r="D56" s="1">
        <v>2</v>
      </c>
      <c r="E56" s="1" t="s">
        <v>3083</v>
      </c>
      <c r="F56" s="1" t="s">
        <v>3084</v>
      </c>
      <c r="G56" s="1" t="s">
        <v>3051</v>
      </c>
      <c r="I56" s="1" t="s">
        <v>1010</v>
      </c>
      <c r="M56" s="1" t="s">
        <v>491</v>
      </c>
      <c r="N56" s="1" t="s">
        <v>3456</v>
      </c>
      <c r="O56" s="1">
        <v>1</v>
      </c>
      <c r="P56" s="17" t="s">
        <v>3569</v>
      </c>
    </row>
    <row r="57" spans="1:18">
      <c r="A57" s="3">
        <v>2006</v>
      </c>
      <c r="B57" s="1" t="s">
        <v>2288</v>
      </c>
      <c r="C57" s="1" t="s">
        <v>846</v>
      </c>
      <c r="D57" s="1">
        <v>2</v>
      </c>
      <c r="E57" s="1" t="s">
        <v>3087</v>
      </c>
      <c r="F57" s="1" t="s">
        <v>3084</v>
      </c>
      <c r="G57" s="1" t="s">
        <v>3051</v>
      </c>
      <c r="I57" s="1" t="s">
        <v>1011</v>
      </c>
      <c r="M57" s="1" t="s">
        <v>491</v>
      </c>
      <c r="N57" s="1" t="s">
        <v>3456</v>
      </c>
      <c r="O57" s="1">
        <v>2</v>
      </c>
      <c r="P57" s="17" t="s">
        <v>3527</v>
      </c>
      <c r="Q57" s="1" t="s">
        <v>175</v>
      </c>
      <c r="R57" s="1" t="s">
        <v>9</v>
      </c>
    </row>
    <row r="58" spans="1:18">
      <c r="A58" s="3">
        <v>2007</v>
      </c>
      <c r="B58" s="1" t="s">
        <v>2289</v>
      </c>
      <c r="C58" s="1" t="s">
        <v>846</v>
      </c>
      <c r="D58" s="1">
        <v>2</v>
      </c>
      <c r="E58" s="1" t="s">
        <v>3083</v>
      </c>
      <c r="F58" s="1" t="s">
        <v>3084</v>
      </c>
      <c r="G58" s="1" t="s">
        <v>3063</v>
      </c>
      <c r="I58" s="1" t="s">
        <v>967</v>
      </c>
      <c r="N58" s="1" t="s">
        <v>3456</v>
      </c>
      <c r="O58" s="1">
        <v>1</v>
      </c>
      <c r="P58" s="17" t="s">
        <v>3569</v>
      </c>
      <c r="Q58" s="1" t="s">
        <v>182</v>
      </c>
      <c r="R58" s="1" t="s">
        <v>9</v>
      </c>
    </row>
    <row r="59" spans="1:18">
      <c r="A59" s="3">
        <v>2008</v>
      </c>
      <c r="B59" s="1" t="s">
        <v>2290</v>
      </c>
      <c r="C59" s="1" t="s">
        <v>1008</v>
      </c>
      <c r="D59" s="1">
        <v>2</v>
      </c>
      <c r="E59" s="1" t="s">
        <v>3083</v>
      </c>
      <c r="F59" s="1" t="s">
        <v>3084</v>
      </c>
      <c r="G59" s="1" t="s">
        <v>3051</v>
      </c>
      <c r="I59" s="1" t="s">
        <v>968</v>
      </c>
      <c r="J59" s="1" t="s">
        <v>1023</v>
      </c>
      <c r="N59" s="1" t="s">
        <v>3456</v>
      </c>
      <c r="O59" s="1">
        <v>2</v>
      </c>
      <c r="P59" s="17" t="s">
        <v>3533</v>
      </c>
      <c r="Q59" s="1" t="s">
        <v>40</v>
      </c>
      <c r="R59" s="1" t="s">
        <v>9</v>
      </c>
    </row>
    <row r="60" spans="1:18">
      <c r="A60" s="3">
        <v>2009</v>
      </c>
      <c r="B60" s="1" t="s">
        <v>2291</v>
      </c>
      <c r="C60" s="1" t="s">
        <v>846</v>
      </c>
      <c r="D60" s="1">
        <v>2</v>
      </c>
      <c r="E60" s="1" t="s">
        <v>3083</v>
      </c>
      <c r="F60" s="1" t="s">
        <v>3084</v>
      </c>
      <c r="G60" s="1" t="s">
        <v>3070</v>
      </c>
      <c r="I60" s="1" t="s">
        <v>1012</v>
      </c>
      <c r="J60" s="1" t="s">
        <v>969</v>
      </c>
      <c r="N60" s="1" t="s">
        <v>3456</v>
      </c>
      <c r="O60" s="1">
        <v>2</v>
      </c>
      <c r="P60" s="17" t="s">
        <v>3533</v>
      </c>
      <c r="Q60" s="1" t="s">
        <v>30</v>
      </c>
      <c r="R60" s="1" t="s">
        <v>9</v>
      </c>
    </row>
    <row r="61" spans="1:18">
      <c r="A61" s="3">
        <v>2010</v>
      </c>
      <c r="B61" s="1" t="s">
        <v>2292</v>
      </c>
      <c r="C61" s="1" t="s">
        <v>846</v>
      </c>
      <c r="D61" s="1">
        <v>2</v>
      </c>
      <c r="E61" s="1" t="s">
        <v>3083</v>
      </c>
      <c r="F61" s="1" t="s">
        <v>3084</v>
      </c>
      <c r="G61" s="1" t="s">
        <v>3051</v>
      </c>
      <c r="I61" s="1" t="s">
        <v>970</v>
      </c>
      <c r="N61" s="1" t="s">
        <v>3456</v>
      </c>
      <c r="O61" s="1">
        <v>0</v>
      </c>
      <c r="P61" s="17" t="s">
        <v>3533</v>
      </c>
      <c r="Q61" s="1" t="s">
        <v>33</v>
      </c>
      <c r="R61" s="1" t="s">
        <v>9</v>
      </c>
    </row>
    <row r="62" spans="1:18">
      <c r="A62" s="3">
        <v>2011</v>
      </c>
      <c r="B62" s="1" t="s">
        <v>2293</v>
      </c>
      <c r="C62" s="1" t="s">
        <v>846</v>
      </c>
      <c r="D62" s="1">
        <v>2</v>
      </c>
      <c r="E62" s="1" t="s">
        <v>3083</v>
      </c>
      <c r="F62" s="1" t="s">
        <v>3084</v>
      </c>
      <c r="G62" s="1" t="s">
        <v>3051</v>
      </c>
      <c r="I62" s="1" t="s">
        <v>3</v>
      </c>
      <c r="J62" s="1" t="s">
        <v>971</v>
      </c>
      <c r="N62" s="1" t="s">
        <v>3150</v>
      </c>
      <c r="O62" s="1">
        <v>2</v>
      </c>
      <c r="P62" s="17" t="s">
        <v>3533</v>
      </c>
      <c r="Q62" s="1" t="s">
        <v>45</v>
      </c>
      <c r="R62" s="1" t="s">
        <v>9</v>
      </c>
    </row>
    <row r="63" spans="1:18">
      <c r="A63" s="3">
        <v>2012</v>
      </c>
      <c r="B63" s="1" t="s">
        <v>2294</v>
      </c>
      <c r="C63" s="1" t="s">
        <v>846</v>
      </c>
      <c r="D63" s="1">
        <v>2</v>
      </c>
      <c r="E63" s="1" t="s">
        <v>3083</v>
      </c>
      <c r="F63" s="1" t="s">
        <v>3084</v>
      </c>
      <c r="G63" s="1" t="s">
        <v>3051</v>
      </c>
      <c r="I63" s="1" t="s">
        <v>972</v>
      </c>
      <c r="N63" s="1" t="s">
        <v>3456</v>
      </c>
      <c r="O63" s="1">
        <v>1</v>
      </c>
      <c r="P63" s="17" t="s">
        <v>3533</v>
      </c>
      <c r="Q63" s="1" t="s">
        <v>14</v>
      </c>
      <c r="R63" s="1" t="s">
        <v>9</v>
      </c>
    </row>
    <row r="64" spans="1:18">
      <c r="A64" s="3">
        <v>2013</v>
      </c>
      <c r="B64" s="1" t="s">
        <v>2295</v>
      </c>
      <c r="C64" s="1" t="s">
        <v>846</v>
      </c>
      <c r="D64" s="1">
        <v>2</v>
      </c>
      <c r="E64" s="1" t="s">
        <v>3087</v>
      </c>
      <c r="F64" s="1" t="s">
        <v>3084</v>
      </c>
      <c r="G64" s="1" t="s">
        <v>3051</v>
      </c>
      <c r="I64" s="1" t="s">
        <v>973</v>
      </c>
      <c r="J64" s="1" t="s">
        <v>974</v>
      </c>
      <c r="N64" s="1" t="s">
        <v>3456</v>
      </c>
      <c r="O64" s="1">
        <v>1</v>
      </c>
      <c r="P64" s="17" t="s">
        <v>3527</v>
      </c>
      <c r="Q64" s="1" t="s">
        <v>35</v>
      </c>
      <c r="R64" s="1" t="s">
        <v>9</v>
      </c>
    </row>
    <row r="65" spans="1:19">
      <c r="A65" s="3">
        <v>2014</v>
      </c>
      <c r="B65" s="1" t="s">
        <v>2296</v>
      </c>
      <c r="C65" s="1" t="s">
        <v>847</v>
      </c>
      <c r="D65" s="1">
        <v>2</v>
      </c>
      <c r="E65" s="1" t="s">
        <v>3083</v>
      </c>
      <c r="F65" s="1" t="s">
        <v>3084</v>
      </c>
      <c r="G65" s="1" t="s">
        <v>3051</v>
      </c>
      <c r="I65" s="1" t="s">
        <v>975</v>
      </c>
      <c r="N65" s="1" t="s">
        <v>3150</v>
      </c>
      <c r="O65" s="1">
        <v>1</v>
      </c>
      <c r="P65" s="17" t="s">
        <v>3533</v>
      </c>
      <c r="Q65" s="1" t="s">
        <v>8</v>
      </c>
      <c r="R65" s="1" t="s">
        <v>9</v>
      </c>
    </row>
    <row r="66" spans="1:19">
      <c r="A66" s="3">
        <v>2015</v>
      </c>
      <c r="B66" s="9" t="s">
        <v>2297</v>
      </c>
      <c r="C66" s="9" t="s">
        <v>847</v>
      </c>
      <c r="D66" s="9">
        <v>2</v>
      </c>
      <c r="E66" s="9" t="s">
        <v>3083</v>
      </c>
      <c r="F66" s="9" t="s">
        <v>3084</v>
      </c>
      <c r="G66" s="9" t="s">
        <v>3071</v>
      </c>
      <c r="H66" s="9"/>
      <c r="I66" s="9" t="s">
        <v>976</v>
      </c>
      <c r="J66" s="9"/>
      <c r="K66" s="9"/>
      <c r="L66" s="9"/>
      <c r="M66" s="9"/>
      <c r="N66" s="9" t="s">
        <v>3456</v>
      </c>
      <c r="O66" s="9">
        <v>2</v>
      </c>
      <c r="P66" s="63" t="s">
        <v>3527</v>
      </c>
      <c r="Q66" s="9" t="s">
        <v>27</v>
      </c>
      <c r="R66" s="9" t="s">
        <v>9</v>
      </c>
    </row>
    <row r="67" spans="1:19">
      <c r="A67" s="3">
        <v>3001</v>
      </c>
      <c r="B67" s="1" t="s">
        <v>2332</v>
      </c>
      <c r="C67" s="1" t="s">
        <v>846</v>
      </c>
      <c r="D67" s="1">
        <v>2</v>
      </c>
      <c r="E67" s="1" t="s">
        <v>3083</v>
      </c>
      <c r="F67" s="1" t="s">
        <v>3084</v>
      </c>
      <c r="G67" s="1" t="s">
        <v>3051</v>
      </c>
      <c r="I67" s="1" t="s">
        <v>1040</v>
      </c>
      <c r="J67" s="1" t="s">
        <v>3908</v>
      </c>
      <c r="K67" s="1" t="s">
        <v>3909</v>
      </c>
      <c r="N67" s="1" t="s">
        <v>3456</v>
      </c>
      <c r="O67" s="1">
        <v>1</v>
      </c>
      <c r="P67" s="17" t="s">
        <v>3527</v>
      </c>
      <c r="Q67" s="1" t="s">
        <v>170</v>
      </c>
      <c r="R67" s="1" t="s">
        <v>41</v>
      </c>
    </row>
    <row r="68" spans="1:19">
      <c r="A68" s="10">
        <v>3002</v>
      </c>
      <c r="B68" s="10" t="s">
        <v>2333</v>
      </c>
      <c r="C68" s="10" t="s">
        <v>846</v>
      </c>
      <c r="D68" s="10">
        <v>2</v>
      </c>
      <c r="E68" s="10" t="s">
        <v>3087</v>
      </c>
      <c r="F68" s="10" t="s">
        <v>3084</v>
      </c>
      <c r="G68" s="10" t="s">
        <v>3051</v>
      </c>
      <c r="H68" s="10"/>
      <c r="I68" s="10" t="s">
        <v>1029</v>
      </c>
      <c r="J68" s="10"/>
      <c r="K68" s="10"/>
      <c r="L68" s="10"/>
      <c r="M68" s="10" t="s">
        <v>153</v>
      </c>
      <c r="N68" s="10" t="s">
        <v>3456</v>
      </c>
      <c r="O68" s="10">
        <v>0</v>
      </c>
      <c r="P68" s="61" t="s">
        <v>3569</v>
      </c>
      <c r="Q68" s="10"/>
      <c r="R68" s="10"/>
    </row>
    <row r="69" spans="1:19" s="3" customFormat="1">
      <c r="A69" s="10">
        <v>3003</v>
      </c>
      <c r="B69" s="10" t="s">
        <v>2334</v>
      </c>
      <c r="C69" s="10" t="s">
        <v>3396</v>
      </c>
      <c r="D69" s="10">
        <v>2</v>
      </c>
      <c r="E69" s="10" t="s">
        <v>3098</v>
      </c>
      <c r="F69" s="10" t="s">
        <v>3397</v>
      </c>
      <c r="G69" s="10"/>
      <c r="H69" s="10"/>
      <c r="I69" s="10" t="s">
        <v>1030</v>
      </c>
      <c r="J69" s="10" t="s">
        <v>1031</v>
      </c>
      <c r="K69" s="10" t="s">
        <v>1032</v>
      </c>
      <c r="L69" s="10"/>
      <c r="M69" s="10" t="s">
        <v>153</v>
      </c>
      <c r="N69" s="10" t="s">
        <v>3456</v>
      </c>
      <c r="O69" s="10">
        <v>5</v>
      </c>
      <c r="P69" s="10"/>
      <c r="Q69" s="10" t="s">
        <v>48</v>
      </c>
      <c r="R69" s="10" t="s">
        <v>41</v>
      </c>
      <c r="S69" s="1"/>
    </row>
    <row r="70" spans="1:19">
      <c r="A70" s="3">
        <v>3004</v>
      </c>
      <c r="B70" s="1" t="s">
        <v>2335</v>
      </c>
      <c r="C70" s="1" t="s">
        <v>846</v>
      </c>
      <c r="D70" s="1">
        <v>2</v>
      </c>
      <c r="E70" s="1" t="s">
        <v>3083</v>
      </c>
      <c r="F70" s="1" t="s">
        <v>3084</v>
      </c>
      <c r="G70" s="1" t="s">
        <v>3051</v>
      </c>
      <c r="I70" s="1" t="s">
        <v>1033</v>
      </c>
      <c r="J70" s="1" t="s">
        <v>1034</v>
      </c>
      <c r="N70" s="1" t="s">
        <v>3456</v>
      </c>
      <c r="O70" s="1">
        <v>1</v>
      </c>
      <c r="P70" s="17" t="s">
        <v>3533</v>
      </c>
      <c r="Q70" s="1" t="s">
        <v>27</v>
      </c>
      <c r="R70" s="1" t="s">
        <v>41</v>
      </c>
    </row>
    <row r="71" spans="1:19">
      <c r="A71" s="3">
        <v>3006</v>
      </c>
      <c r="B71" s="1" t="s">
        <v>2336</v>
      </c>
      <c r="C71" s="1" t="s">
        <v>846</v>
      </c>
      <c r="D71" s="1">
        <v>2</v>
      </c>
      <c r="E71" s="1" t="s">
        <v>3083</v>
      </c>
      <c r="F71" s="1" t="s">
        <v>3084</v>
      </c>
      <c r="G71" s="1" t="s">
        <v>3070</v>
      </c>
      <c r="H71" s="1" t="s">
        <v>3051</v>
      </c>
      <c r="I71" s="1" t="s">
        <v>902</v>
      </c>
      <c r="J71" s="1" t="s">
        <v>1041</v>
      </c>
      <c r="N71" s="1" t="s">
        <v>3456</v>
      </c>
      <c r="O71" s="1">
        <v>1</v>
      </c>
      <c r="P71" s="17" t="s">
        <v>3533</v>
      </c>
      <c r="Q71" s="1" t="s">
        <v>36</v>
      </c>
      <c r="R71" s="1" t="s">
        <v>41</v>
      </c>
    </row>
    <row r="72" spans="1:19">
      <c r="A72" s="3">
        <v>30</v>
      </c>
      <c r="B72" s="3" t="s">
        <v>2175</v>
      </c>
      <c r="C72" s="3" t="s">
        <v>847</v>
      </c>
      <c r="D72" s="14">
        <v>3</v>
      </c>
      <c r="E72" s="3" t="s">
        <v>3083</v>
      </c>
      <c r="F72" s="3" t="s">
        <v>3084</v>
      </c>
      <c r="G72" s="3" t="s">
        <v>3071</v>
      </c>
      <c r="H72" s="3"/>
      <c r="I72" s="3" t="s">
        <v>806</v>
      </c>
      <c r="J72" s="3"/>
      <c r="K72" s="3"/>
      <c r="L72" s="3"/>
      <c r="M72" s="3"/>
      <c r="N72" s="14" t="s">
        <v>3456</v>
      </c>
      <c r="O72" s="3">
        <v>2</v>
      </c>
      <c r="P72" s="60" t="s">
        <v>3569</v>
      </c>
      <c r="Q72" s="3" t="s">
        <v>168</v>
      </c>
      <c r="R72" s="3" t="s">
        <v>4</v>
      </c>
      <c r="S72" s="4"/>
    </row>
    <row r="73" spans="1:19">
      <c r="A73" s="3">
        <v>31</v>
      </c>
      <c r="B73" s="1" t="s">
        <v>2176</v>
      </c>
      <c r="C73" s="1" t="s">
        <v>847</v>
      </c>
      <c r="D73" s="2">
        <v>3</v>
      </c>
      <c r="E73" s="1" t="s">
        <v>3083</v>
      </c>
      <c r="F73" s="1" t="s">
        <v>3084</v>
      </c>
      <c r="G73" s="1" t="s">
        <v>3071</v>
      </c>
      <c r="I73" s="1" t="s">
        <v>807</v>
      </c>
      <c r="N73" s="2" t="s">
        <v>3456</v>
      </c>
      <c r="O73" s="1">
        <v>2</v>
      </c>
      <c r="P73" s="17" t="s">
        <v>3527</v>
      </c>
      <c r="Q73" s="1" t="s">
        <v>45</v>
      </c>
      <c r="R73" s="1" t="s">
        <v>4</v>
      </c>
    </row>
    <row r="74" spans="1:19">
      <c r="A74" s="3">
        <v>32</v>
      </c>
      <c r="B74" s="3" t="s">
        <v>2177</v>
      </c>
      <c r="C74" s="3" t="s">
        <v>847</v>
      </c>
      <c r="D74" s="14">
        <v>3</v>
      </c>
      <c r="E74" s="3" t="s">
        <v>3083</v>
      </c>
      <c r="F74" s="3" t="s">
        <v>3084</v>
      </c>
      <c r="G74" s="3" t="s">
        <v>3051</v>
      </c>
      <c r="H74" s="3"/>
      <c r="I74" s="3" t="s">
        <v>13</v>
      </c>
      <c r="J74" s="3" t="s">
        <v>862</v>
      </c>
      <c r="K74" s="3"/>
      <c r="L74" s="3"/>
      <c r="M74" s="3"/>
      <c r="N74" s="14" t="s">
        <v>3456</v>
      </c>
      <c r="O74" s="3">
        <v>0</v>
      </c>
      <c r="P74" s="60" t="s">
        <v>3533</v>
      </c>
      <c r="Q74" s="3" t="s">
        <v>18</v>
      </c>
      <c r="R74" s="3" t="s">
        <v>4</v>
      </c>
    </row>
    <row r="75" spans="1:19">
      <c r="A75" s="3">
        <v>33</v>
      </c>
      <c r="B75" s="1" t="s">
        <v>2178</v>
      </c>
      <c r="C75" s="1" t="s">
        <v>847</v>
      </c>
      <c r="D75" s="2">
        <v>3</v>
      </c>
      <c r="E75" s="1" t="s">
        <v>3083</v>
      </c>
      <c r="F75" s="1" t="s">
        <v>3084</v>
      </c>
      <c r="G75" s="1" t="s">
        <v>3049</v>
      </c>
      <c r="I75" s="1" t="s">
        <v>3449</v>
      </c>
      <c r="J75" s="1" t="s">
        <v>808</v>
      </c>
      <c r="N75" s="2" t="s">
        <v>3456</v>
      </c>
      <c r="O75" s="1">
        <v>2</v>
      </c>
      <c r="P75" s="17" t="s">
        <v>3533</v>
      </c>
      <c r="Q75" s="1" t="s">
        <v>844</v>
      </c>
      <c r="R75" s="1" t="s">
        <v>4</v>
      </c>
    </row>
    <row r="76" spans="1:19">
      <c r="A76" s="3">
        <v>34</v>
      </c>
      <c r="B76" s="1" t="s">
        <v>2179</v>
      </c>
      <c r="C76" s="1" t="s">
        <v>847</v>
      </c>
      <c r="D76" s="2">
        <v>3</v>
      </c>
      <c r="E76" s="1" t="s">
        <v>3083</v>
      </c>
      <c r="F76" s="1" t="s">
        <v>3084</v>
      </c>
      <c r="G76" s="1" t="s">
        <v>3051</v>
      </c>
      <c r="I76" s="1" t="s">
        <v>809</v>
      </c>
      <c r="J76" s="1" t="s">
        <v>810</v>
      </c>
      <c r="N76" s="2" t="s">
        <v>3456</v>
      </c>
      <c r="O76" s="1">
        <v>2</v>
      </c>
      <c r="P76" s="17" t="s">
        <v>3533</v>
      </c>
      <c r="Q76" s="1" t="s">
        <v>49</v>
      </c>
      <c r="R76" s="1" t="s">
        <v>4</v>
      </c>
    </row>
    <row r="77" spans="1:19">
      <c r="A77" s="3">
        <v>35</v>
      </c>
      <c r="B77" s="3" t="s">
        <v>2180</v>
      </c>
      <c r="C77" s="3" t="s">
        <v>847</v>
      </c>
      <c r="D77" s="14">
        <v>3</v>
      </c>
      <c r="E77" s="3" t="s">
        <v>3083</v>
      </c>
      <c r="F77" s="3" t="s">
        <v>3084</v>
      </c>
      <c r="G77" s="3" t="s">
        <v>3051</v>
      </c>
      <c r="H77" s="3"/>
      <c r="I77" s="3" t="s">
        <v>811</v>
      </c>
      <c r="J77" s="3"/>
      <c r="K77" s="3"/>
      <c r="L77" s="3"/>
      <c r="M77" s="3"/>
      <c r="N77" s="14" t="s">
        <v>3150</v>
      </c>
      <c r="O77" s="3">
        <v>2</v>
      </c>
      <c r="P77" s="60" t="s">
        <v>3569</v>
      </c>
      <c r="Q77" s="3" t="s">
        <v>170</v>
      </c>
      <c r="R77" s="3" t="s">
        <v>4</v>
      </c>
      <c r="S77" s="3"/>
    </row>
    <row r="78" spans="1:19">
      <c r="A78" s="3">
        <v>36</v>
      </c>
      <c r="B78" s="1" t="s">
        <v>2181</v>
      </c>
      <c r="C78" s="1" t="s">
        <v>847</v>
      </c>
      <c r="D78" s="2">
        <v>3</v>
      </c>
      <c r="E78" s="1" t="s">
        <v>3083</v>
      </c>
      <c r="F78" s="1" t="s">
        <v>3084</v>
      </c>
      <c r="G78" s="1" t="s">
        <v>3053</v>
      </c>
      <c r="I78" s="1" t="s">
        <v>812</v>
      </c>
      <c r="N78" s="2" t="s">
        <v>3456</v>
      </c>
      <c r="O78" s="1">
        <v>2</v>
      </c>
      <c r="P78" s="17" t="s">
        <v>3569</v>
      </c>
      <c r="Q78" s="1" t="s">
        <v>17</v>
      </c>
      <c r="R78" s="1" t="s">
        <v>4</v>
      </c>
    </row>
    <row r="79" spans="1:19">
      <c r="A79" s="3">
        <v>37</v>
      </c>
      <c r="B79" s="3" t="s">
        <v>2182</v>
      </c>
      <c r="C79" s="3" t="s">
        <v>847</v>
      </c>
      <c r="D79" s="14">
        <v>3</v>
      </c>
      <c r="E79" s="3" t="s">
        <v>3083</v>
      </c>
      <c r="F79" s="3" t="s">
        <v>3084</v>
      </c>
      <c r="G79" s="3" t="s">
        <v>3051</v>
      </c>
      <c r="H79" s="3"/>
      <c r="I79" s="3" t="s">
        <v>813</v>
      </c>
      <c r="J79" s="3"/>
      <c r="K79" s="3"/>
      <c r="L79" s="3"/>
      <c r="M79" s="3"/>
      <c r="N79" s="14" t="s">
        <v>3150</v>
      </c>
      <c r="O79" s="3">
        <v>1</v>
      </c>
      <c r="P79" s="60" t="s">
        <v>3533</v>
      </c>
      <c r="Q79" s="3" t="s">
        <v>182</v>
      </c>
      <c r="R79" s="3" t="s">
        <v>4</v>
      </c>
    </row>
    <row r="80" spans="1:19">
      <c r="A80" s="3">
        <v>38</v>
      </c>
      <c r="B80" s="1" t="s">
        <v>2183</v>
      </c>
      <c r="C80" s="1" t="s">
        <v>847</v>
      </c>
      <c r="D80" s="2">
        <v>3</v>
      </c>
      <c r="E80" s="1" t="s">
        <v>3083</v>
      </c>
      <c r="F80" s="1" t="s">
        <v>3084</v>
      </c>
      <c r="G80" s="1" t="s">
        <v>3070</v>
      </c>
      <c r="I80" s="1" t="s">
        <v>814</v>
      </c>
      <c r="N80" s="2" t="s">
        <v>3150</v>
      </c>
      <c r="O80" s="1">
        <v>1</v>
      </c>
      <c r="P80" s="17" t="s">
        <v>3522</v>
      </c>
      <c r="Q80" s="1" t="s">
        <v>36</v>
      </c>
      <c r="R80" s="1" t="s">
        <v>4</v>
      </c>
    </row>
    <row r="81" spans="1:19">
      <c r="A81" s="6">
        <v>39</v>
      </c>
      <c r="B81" s="6" t="s">
        <v>2184</v>
      </c>
      <c r="C81" s="6" t="s">
        <v>847</v>
      </c>
      <c r="D81" s="7">
        <v>3</v>
      </c>
      <c r="E81" s="6" t="s">
        <v>3085</v>
      </c>
      <c r="F81" s="6" t="s">
        <v>3084</v>
      </c>
      <c r="G81" s="6" t="s">
        <v>3407</v>
      </c>
      <c r="H81" s="6"/>
      <c r="I81" s="6" t="s">
        <v>865</v>
      </c>
      <c r="J81" s="6"/>
      <c r="K81" s="6"/>
      <c r="L81" s="6"/>
      <c r="M81" s="6"/>
      <c r="N81" s="7" t="s">
        <v>3456</v>
      </c>
      <c r="O81" s="6">
        <v>1</v>
      </c>
      <c r="P81" s="18" t="s">
        <v>3569</v>
      </c>
      <c r="Q81" s="6" t="s">
        <v>15</v>
      </c>
      <c r="R81" s="6" t="s">
        <v>4</v>
      </c>
    </row>
    <row r="82" spans="1:19">
      <c r="A82" s="3">
        <v>40</v>
      </c>
      <c r="B82" s="1" t="s">
        <v>2185</v>
      </c>
      <c r="C82" s="1" t="s">
        <v>847</v>
      </c>
      <c r="D82" s="2">
        <v>3</v>
      </c>
      <c r="E82" s="1" t="s">
        <v>3083</v>
      </c>
      <c r="F82" s="1" t="s">
        <v>3084</v>
      </c>
      <c r="G82" s="1" t="s">
        <v>3051</v>
      </c>
      <c r="I82" s="1" t="s">
        <v>815</v>
      </c>
      <c r="N82" s="2" t="s">
        <v>3456</v>
      </c>
      <c r="O82" s="1">
        <v>2</v>
      </c>
      <c r="P82" s="17" t="s">
        <v>3569</v>
      </c>
      <c r="Q82" s="1" t="s">
        <v>8</v>
      </c>
      <c r="R82" s="1" t="s">
        <v>4</v>
      </c>
    </row>
    <row r="83" spans="1:19">
      <c r="A83" s="3">
        <v>41</v>
      </c>
      <c r="B83" s="1" t="s">
        <v>2186</v>
      </c>
      <c r="C83" s="1" t="s">
        <v>847</v>
      </c>
      <c r="D83" s="2">
        <v>3</v>
      </c>
      <c r="E83" s="1" t="s">
        <v>3083</v>
      </c>
      <c r="F83" s="1" t="s">
        <v>3084</v>
      </c>
      <c r="G83" s="1" t="s">
        <v>3051</v>
      </c>
      <c r="I83" s="1" t="s">
        <v>816</v>
      </c>
      <c r="N83" s="2" t="s">
        <v>3150</v>
      </c>
      <c r="O83" s="1">
        <v>1</v>
      </c>
      <c r="P83" s="17" t="s">
        <v>3527</v>
      </c>
      <c r="Q83" s="1" t="s">
        <v>170</v>
      </c>
      <c r="R83" s="1" t="s">
        <v>4</v>
      </c>
    </row>
    <row r="84" spans="1:19">
      <c r="A84" s="3">
        <v>42</v>
      </c>
      <c r="B84" s="1" t="s">
        <v>2187</v>
      </c>
      <c r="C84" s="1" t="s">
        <v>847</v>
      </c>
      <c r="D84" s="2">
        <v>3</v>
      </c>
      <c r="E84" s="1" t="s">
        <v>3083</v>
      </c>
      <c r="F84" s="1" t="s">
        <v>3084</v>
      </c>
      <c r="G84" s="1" t="s">
        <v>3053</v>
      </c>
      <c r="I84" s="1" t="s">
        <v>817</v>
      </c>
      <c r="N84" s="2" t="s">
        <v>3456</v>
      </c>
      <c r="O84" s="1">
        <v>2</v>
      </c>
      <c r="P84" s="17" t="s">
        <v>3527</v>
      </c>
      <c r="Q84" s="1" t="s">
        <v>17</v>
      </c>
      <c r="R84" s="1" t="s">
        <v>4</v>
      </c>
    </row>
    <row r="85" spans="1:19">
      <c r="A85" s="3">
        <v>43</v>
      </c>
      <c r="B85" s="1" t="s">
        <v>2188</v>
      </c>
      <c r="C85" s="1" t="s">
        <v>847</v>
      </c>
      <c r="D85" s="2">
        <v>3</v>
      </c>
      <c r="E85" s="1" t="s">
        <v>3083</v>
      </c>
      <c r="F85" s="1" t="s">
        <v>3084</v>
      </c>
      <c r="G85" s="1" t="s">
        <v>3051</v>
      </c>
      <c r="I85" s="1" t="s">
        <v>3449</v>
      </c>
      <c r="J85" s="1" t="s">
        <v>863</v>
      </c>
      <c r="N85" s="2" t="s">
        <v>3456</v>
      </c>
      <c r="O85" s="1">
        <v>1</v>
      </c>
      <c r="P85" s="17" t="s">
        <v>3522</v>
      </c>
      <c r="Q85" s="1" t="s">
        <v>52</v>
      </c>
      <c r="R85" s="1" t="s">
        <v>4</v>
      </c>
    </row>
    <row r="86" spans="1:19">
      <c r="A86" s="3">
        <v>44</v>
      </c>
      <c r="B86" s="3" t="s">
        <v>2189</v>
      </c>
      <c r="C86" s="3" t="s">
        <v>847</v>
      </c>
      <c r="D86" s="14">
        <v>3</v>
      </c>
      <c r="E86" s="3" t="s">
        <v>3083</v>
      </c>
      <c r="F86" s="3" t="s">
        <v>3084</v>
      </c>
      <c r="G86" s="3" t="s">
        <v>3071</v>
      </c>
      <c r="H86" s="3"/>
      <c r="I86" s="3" t="s">
        <v>818</v>
      </c>
      <c r="J86" s="3"/>
      <c r="K86" s="3"/>
      <c r="L86" s="3"/>
      <c r="M86" s="3"/>
      <c r="N86" s="14" t="s">
        <v>3456</v>
      </c>
      <c r="O86" s="3">
        <v>2</v>
      </c>
      <c r="P86" s="60" t="s">
        <v>3569</v>
      </c>
      <c r="Q86" s="3" t="s">
        <v>6</v>
      </c>
      <c r="R86" s="3" t="s">
        <v>4</v>
      </c>
      <c r="S86" s="4"/>
    </row>
    <row r="87" spans="1:19">
      <c r="A87" s="3">
        <v>45</v>
      </c>
      <c r="B87" s="1" t="s">
        <v>2190</v>
      </c>
      <c r="C87" s="1" t="s">
        <v>847</v>
      </c>
      <c r="D87" s="2">
        <v>3</v>
      </c>
      <c r="E87" s="1" t="s">
        <v>3083</v>
      </c>
      <c r="F87" s="1" t="s">
        <v>3084</v>
      </c>
      <c r="G87" s="1" t="s">
        <v>3063</v>
      </c>
      <c r="I87" s="1" t="s">
        <v>819</v>
      </c>
      <c r="N87" s="2" t="s">
        <v>3456</v>
      </c>
      <c r="O87" s="1">
        <v>2</v>
      </c>
      <c r="P87" s="17" t="s">
        <v>3527</v>
      </c>
      <c r="Q87" s="1" t="s">
        <v>172</v>
      </c>
      <c r="R87" s="1" t="s">
        <v>4</v>
      </c>
    </row>
    <row r="88" spans="1:19">
      <c r="A88" s="3">
        <v>47</v>
      </c>
      <c r="B88" s="1" t="s">
        <v>2192</v>
      </c>
      <c r="C88" s="1" t="s">
        <v>847</v>
      </c>
      <c r="D88" s="2">
        <v>3</v>
      </c>
      <c r="E88" s="1" t="s">
        <v>3083</v>
      </c>
      <c r="F88" s="1" t="s">
        <v>3084</v>
      </c>
      <c r="G88" s="1" t="s">
        <v>3058</v>
      </c>
      <c r="I88" s="1" t="s">
        <v>856</v>
      </c>
      <c r="J88" s="1" t="s">
        <v>821</v>
      </c>
      <c r="N88" s="2" t="s">
        <v>3456</v>
      </c>
      <c r="O88" s="1">
        <v>2</v>
      </c>
      <c r="P88" s="17" t="s">
        <v>3533</v>
      </c>
      <c r="Q88" s="1" t="s">
        <v>32</v>
      </c>
      <c r="R88" s="1" t="s">
        <v>4</v>
      </c>
    </row>
    <row r="89" spans="1:19">
      <c r="A89" s="3">
        <v>49</v>
      </c>
      <c r="B89" s="3" t="s">
        <v>2194</v>
      </c>
      <c r="C89" s="3" t="s">
        <v>847</v>
      </c>
      <c r="D89" s="14">
        <v>3</v>
      </c>
      <c r="E89" s="3" t="s">
        <v>3083</v>
      </c>
      <c r="F89" s="3" t="s">
        <v>3084</v>
      </c>
      <c r="G89" s="3" t="s">
        <v>3051</v>
      </c>
      <c r="H89" s="3"/>
      <c r="I89" s="3" t="s">
        <v>823</v>
      </c>
      <c r="J89" s="3"/>
      <c r="K89" s="3"/>
      <c r="L89" s="3"/>
      <c r="M89" s="3"/>
      <c r="N89" s="14" t="s">
        <v>3456</v>
      </c>
      <c r="O89" s="3">
        <v>2</v>
      </c>
      <c r="P89" s="60" t="s">
        <v>3569</v>
      </c>
      <c r="Q89" s="3" t="s">
        <v>39</v>
      </c>
      <c r="R89" s="3" t="s">
        <v>4</v>
      </c>
    </row>
    <row r="90" spans="1:19">
      <c r="A90" s="3">
        <v>50</v>
      </c>
      <c r="B90" s="1" t="s">
        <v>2195</v>
      </c>
      <c r="C90" s="1" t="s">
        <v>847</v>
      </c>
      <c r="D90" s="2">
        <v>3</v>
      </c>
      <c r="E90" s="1" t="s">
        <v>3083</v>
      </c>
      <c r="F90" s="1" t="s">
        <v>3084</v>
      </c>
      <c r="G90" s="1" t="s">
        <v>3051</v>
      </c>
      <c r="I90" s="1" t="s">
        <v>824</v>
      </c>
      <c r="N90" s="2" t="s">
        <v>3456</v>
      </c>
      <c r="O90" s="1">
        <v>1</v>
      </c>
      <c r="P90" s="17" t="s">
        <v>3533</v>
      </c>
      <c r="Q90" s="1" t="s">
        <v>169</v>
      </c>
      <c r="R90" s="1" t="s">
        <v>4</v>
      </c>
    </row>
    <row r="91" spans="1:19">
      <c r="A91" s="3">
        <v>51</v>
      </c>
      <c r="B91" s="1" t="s">
        <v>2196</v>
      </c>
      <c r="C91" s="1" t="s">
        <v>848</v>
      </c>
      <c r="D91" s="2">
        <v>3</v>
      </c>
      <c r="E91" s="1" t="s">
        <v>3083</v>
      </c>
      <c r="F91" s="1" t="s">
        <v>3084</v>
      </c>
      <c r="G91" s="1" t="s">
        <v>3051</v>
      </c>
      <c r="I91" s="1" t="s">
        <v>825</v>
      </c>
      <c r="J91" s="1" t="s">
        <v>826</v>
      </c>
      <c r="N91" s="2" t="s">
        <v>3150</v>
      </c>
      <c r="O91" s="1">
        <v>2</v>
      </c>
      <c r="P91" s="17" t="s">
        <v>3533</v>
      </c>
      <c r="Q91" s="1" t="s">
        <v>50</v>
      </c>
      <c r="R91" s="1" t="s">
        <v>4</v>
      </c>
    </row>
    <row r="92" spans="1:19">
      <c r="A92" s="3">
        <v>52</v>
      </c>
      <c r="B92" s="1" t="s">
        <v>2197</v>
      </c>
      <c r="C92" s="1" t="s">
        <v>847</v>
      </c>
      <c r="D92" s="2">
        <v>3</v>
      </c>
      <c r="E92" s="1" t="s">
        <v>3083</v>
      </c>
      <c r="F92" s="1" t="s">
        <v>3084</v>
      </c>
      <c r="G92" s="1" t="s">
        <v>3051</v>
      </c>
      <c r="I92" s="1" t="s">
        <v>1</v>
      </c>
      <c r="J92" s="1" t="s">
        <v>827</v>
      </c>
      <c r="N92" s="2" t="s">
        <v>3456</v>
      </c>
      <c r="O92" s="1">
        <v>2</v>
      </c>
      <c r="P92" s="17" t="s">
        <v>3533</v>
      </c>
      <c r="Q92" s="1" t="s">
        <v>177</v>
      </c>
      <c r="R92" s="1" t="s">
        <v>4</v>
      </c>
    </row>
    <row r="93" spans="1:19">
      <c r="A93" s="3">
        <v>53</v>
      </c>
      <c r="B93" s="1" t="s">
        <v>2198</v>
      </c>
      <c r="C93" s="1" t="s">
        <v>847</v>
      </c>
      <c r="D93" s="2">
        <v>3</v>
      </c>
      <c r="E93" s="1" t="s">
        <v>3083</v>
      </c>
      <c r="F93" s="1" t="s">
        <v>3084</v>
      </c>
      <c r="G93" s="1" t="s">
        <v>3072</v>
      </c>
      <c r="I93" s="1" t="s">
        <v>857</v>
      </c>
      <c r="J93" s="1" t="s">
        <v>828</v>
      </c>
      <c r="N93" s="2"/>
      <c r="O93" s="1">
        <v>1</v>
      </c>
      <c r="P93" s="17" t="s">
        <v>3533</v>
      </c>
      <c r="Q93" s="1" t="s">
        <v>183</v>
      </c>
      <c r="R93" s="1" t="s">
        <v>4</v>
      </c>
    </row>
    <row r="94" spans="1:19">
      <c r="A94" s="3">
        <v>54</v>
      </c>
      <c r="B94" s="3" t="s">
        <v>2199</v>
      </c>
      <c r="C94" s="3" t="s">
        <v>848</v>
      </c>
      <c r="D94" s="14">
        <v>3</v>
      </c>
      <c r="E94" s="3" t="s">
        <v>3083</v>
      </c>
      <c r="F94" s="3" t="s">
        <v>3084</v>
      </c>
      <c r="G94" s="3" t="s">
        <v>3051</v>
      </c>
      <c r="H94" s="3"/>
      <c r="I94" s="3" t="s">
        <v>829</v>
      </c>
      <c r="J94" s="3"/>
      <c r="K94" s="3"/>
      <c r="L94" s="3"/>
      <c r="M94" s="3"/>
      <c r="N94" s="14" t="s">
        <v>3150</v>
      </c>
      <c r="O94" s="3">
        <v>2</v>
      </c>
      <c r="P94" s="60" t="s">
        <v>3569</v>
      </c>
      <c r="Q94" s="3" t="s">
        <v>174</v>
      </c>
      <c r="R94" s="3" t="s">
        <v>4</v>
      </c>
      <c r="S94" s="4"/>
    </row>
    <row r="95" spans="1:19">
      <c r="A95" s="3">
        <v>1023</v>
      </c>
      <c r="B95" s="1" t="s">
        <v>2239</v>
      </c>
      <c r="C95" s="1" t="s">
        <v>848</v>
      </c>
      <c r="D95" s="1">
        <v>3</v>
      </c>
      <c r="E95" s="1" t="s">
        <v>3083</v>
      </c>
      <c r="F95" s="1" t="s">
        <v>3084</v>
      </c>
      <c r="G95" s="1" t="s">
        <v>3051</v>
      </c>
      <c r="I95" s="1" t="s">
        <v>891</v>
      </c>
      <c r="N95" s="2" t="s">
        <v>3150</v>
      </c>
      <c r="O95" s="1">
        <v>2</v>
      </c>
      <c r="P95" s="17" t="s">
        <v>3569</v>
      </c>
      <c r="Q95" s="1" t="s">
        <v>169</v>
      </c>
      <c r="R95" s="1" t="s">
        <v>7</v>
      </c>
    </row>
    <row r="96" spans="1:19">
      <c r="A96" s="6">
        <v>1025</v>
      </c>
      <c r="B96" s="6" t="s">
        <v>2240</v>
      </c>
      <c r="C96" s="6" t="s">
        <v>847</v>
      </c>
      <c r="D96" s="6">
        <v>3</v>
      </c>
      <c r="E96" s="6" t="s">
        <v>3083</v>
      </c>
      <c r="F96" s="6" t="s">
        <v>3084</v>
      </c>
      <c r="G96" s="6" t="s">
        <v>3051</v>
      </c>
      <c r="H96" s="6" t="s">
        <v>3060</v>
      </c>
      <c r="I96" s="6" t="s">
        <v>892</v>
      </c>
      <c r="J96" s="6" t="s">
        <v>893</v>
      </c>
      <c r="K96" s="6"/>
      <c r="L96" s="6"/>
      <c r="M96" s="6"/>
      <c r="N96" s="7" t="s">
        <v>3150</v>
      </c>
      <c r="O96" s="6">
        <v>2</v>
      </c>
      <c r="P96" s="18" t="s">
        <v>3527</v>
      </c>
      <c r="Q96" s="6" t="s">
        <v>28</v>
      </c>
      <c r="R96" s="6" t="s">
        <v>7</v>
      </c>
    </row>
    <row r="97" spans="1:18">
      <c r="A97" s="3">
        <v>1026</v>
      </c>
      <c r="B97" s="1" t="s">
        <v>2191</v>
      </c>
      <c r="C97" s="1" t="s">
        <v>847</v>
      </c>
      <c r="D97" s="1">
        <v>3</v>
      </c>
      <c r="E97" s="1" t="s">
        <v>3083</v>
      </c>
      <c r="F97" s="1" t="s">
        <v>3084</v>
      </c>
      <c r="G97" s="1" t="s">
        <v>3051</v>
      </c>
      <c r="I97" s="1" t="s">
        <v>820</v>
      </c>
      <c r="N97" s="2" t="s">
        <v>3150</v>
      </c>
      <c r="O97" s="1">
        <v>2</v>
      </c>
      <c r="P97" s="17" t="s">
        <v>3569</v>
      </c>
      <c r="Q97" s="1" t="s">
        <v>50</v>
      </c>
      <c r="R97" s="1" t="s">
        <v>7</v>
      </c>
    </row>
    <row r="98" spans="1:18">
      <c r="A98" s="3">
        <v>1027</v>
      </c>
      <c r="B98" s="1" t="s">
        <v>2193</v>
      </c>
      <c r="C98" s="1" t="s">
        <v>847</v>
      </c>
      <c r="D98" s="1">
        <v>3</v>
      </c>
      <c r="E98" s="1" t="s">
        <v>3083</v>
      </c>
      <c r="F98" s="1" t="s">
        <v>3084</v>
      </c>
      <c r="G98" s="1" t="s">
        <v>3051</v>
      </c>
      <c r="I98" s="1" t="s">
        <v>822</v>
      </c>
      <c r="N98" s="2" t="s">
        <v>3456</v>
      </c>
      <c r="O98" s="1">
        <v>2</v>
      </c>
      <c r="P98" s="17" t="s">
        <v>3533</v>
      </c>
      <c r="Q98" s="1" t="s">
        <v>46</v>
      </c>
      <c r="R98" s="1" t="s">
        <v>7</v>
      </c>
    </row>
    <row r="99" spans="1:18">
      <c r="A99" s="6">
        <v>1028</v>
      </c>
      <c r="B99" s="6" t="s">
        <v>2241</v>
      </c>
      <c r="C99" s="6" t="s">
        <v>847</v>
      </c>
      <c r="D99" s="6">
        <v>3</v>
      </c>
      <c r="E99" s="6" t="s">
        <v>3083</v>
      </c>
      <c r="F99" s="6" t="s">
        <v>3084</v>
      </c>
      <c r="G99" s="6"/>
      <c r="H99" s="6"/>
      <c r="I99" s="6" t="s">
        <v>894</v>
      </c>
      <c r="J99" s="6"/>
      <c r="K99" s="6"/>
      <c r="L99" s="6"/>
      <c r="M99" s="6" t="s">
        <v>153</v>
      </c>
      <c r="N99" s="7" t="s">
        <v>3456</v>
      </c>
      <c r="O99" s="6">
        <v>2</v>
      </c>
      <c r="P99" s="18" t="s">
        <v>3527</v>
      </c>
      <c r="Q99" s="6"/>
      <c r="R99" s="6"/>
    </row>
    <row r="100" spans="1:18">
      <c r="A100" s="6">
        <v>1029</v>
      </c>
      <c r="B100" s="6" t="s">
        <v>2242</v>
      </c>
      <c r="C100" s="6" t="s">
        <v>13449</v>
      </c>
      <c r="D100" s="6">
        <v>3</v>
      </c>
      <c r="E100" s="6" t="s">
        <v>3083</v>
      </c>
      <c r="F100" s="6" t="s">
        <v>3090</v>
      </c>
      <c r="G100" s="6" t="s">
        <v>3073</v>
      </c>
      <c r="H100" s="6"/>
      <c r="I100" s="6" t="s">
        <v>895</v>
      </c>
      <c r="J100" s="6"/>
      <c r="K100" s="6"/>
      <c r="L100" s="6"/>
      <c r="M100" s="6" t="s">
        <v>153</v>
      </c>
      <c r="N100" s="7" t="s">
        <v>3456</v>
      </c>
      <c r="O100" s="6">
        <v>4</v>
      </c>
      <c r="P100" s="18" t="s">
        <v>3530</v>
      </c>
      <c r="Q100" s="6" t="s">
        <v>39</v>
      </c>
      <c r="R100" s="6" t="s">
        <v>7</v>
      </c>
    </row>
    <row r="101" spans="1:18">
      <c r="A101" s="3">
        <v>1030</v>
      </c>
      <c r="B101" s="1" t="s">
        <v>2243</v>
      </c>
      <c r="C101" s="1" t="s">
        <v>847</v>
      </c>
      <c r="D101" s="1">
        <v>3</v>
      </c>
      <c r="E101" s="1" t="s">
        <v>3083</v>
      </c>
      <c r="F101" s="1" t="s">
        <v>3084</v>
      </c>
      <c r="G101" s="1" t="s">
        <v>3072</v>
      </c>
      <c r="I101" s="1" t="s">
        <v>949</v>
      </c>
      <c r="J101" s="1" t="s">
        <v>896</v>
      </c>
      <c r="K101" s="1" t="s">
        <v>958</v>
      </c>
      <c r="N101" s="2"/>
      <c r="O101" s="1">
        <v>1</v>
      </c>
      <c r="P101" s="17" t="s">
        <v>3569</v>
      </c>
      <c r="Q101" s="1" t="s">
        <v>183</v>
      </c>
      <c r="R101" s="1" t="s">
        <v>7</v>
      </c>
    </row>
    <row r="102" spans="1:18">
      <c r="A102" s="3">
        <v>1031</v>
      </c>
      <c r="B102" s="1" t="s">
        <v>2244</v>
      </c>
      <c r="C102" s="1" t="s">
        <v>847</v>
      </c>
      <c r="D102" s="1">
        <v>3</v>
      </c>
      <c r="E102" s="1" t="s">
        <v>3083</v>
      </c>
      <c r="F102" s="1" t="s">
        <v>3084</v>
      </c>
      <c r="G102" s="1" t="s">
        <v>3071</v>
      </c>
      <c r="I102" s="1" t="s">
        <v>897</v>
      </c>
      <c r="J102" s="1" t="s">
        <v>898</v>
      </c>
      <c r="N102" s="2" t="s">
        <v>3456</v>
      </c>
      <c r="O102" s="1">
        <v>2</v>
      </c>
      <c r="P102" s="17" t="s">
        <v>3533</v>
      </c>
      <c r="Q102" s="1" t="s">
        <v>53</v>
      </c>
      <c r="R102" s="1" t="s">
        <v>7</v>
      </c>
    </row>
    <row r="103" spans="1:18">
      <c r="A103" s="3">
        <v>1032</v>
      </c>
      <c r="B103" s="1" t="s">
        <v>2245</v>
      </c>
      <c r="C103" s="1" t="s">
        <v>847</v>
      </c>
      <c r="D103" s="1">
        <v>3</v>
      </c>
      <c r="E103" s="1" t="s">
        <v>3083</v>
      </c>
      <c r="F103" s="1" t="s">
        <v>3084</v>
      </c>
      <c r="G103" s="1" t="s">
        <v>3053</v>
      </c>
      <c r="I103" s="1" t="s">
        <v>899</v>
      </c>
      <c r="J103" s="1" t="s">
        <v>955</v>
      </c>
      <c r="K103" s="1" t="s">
        <v>900</v>
      </c>
      <c r="N103" s="2" t="s">
        <v>3456</v>
      </c>
      <c r="O103" s="1">
        <v>1</v>
      </c>
      <c r="P103" s="17" t="s">
        <v>3527</v>
      </c>
      <c r="Q103" s="1" t="s">
        <v>17</v>
      </c>
      <c r="R103" s="1" t="s">
        <v>7</v>
      </c>
    </row>
    <row r="104" spans="1:18">
      <c r="A104" s="3">
        <v>1033</v>
      </c>
      <c r="B104" s="1" t="s">
        <v>2246</v>
      </c>
      <c r="C104" s="1" t="s">
        <v>847</v>
      </c>
      <c r="D104" s="1">
        <v>3</v>
      </c>
      <c r="E104" s="1" t="s">
        <v>3083</v>
      </c>
      <c r="F104" s="1" t="s">
        <v>3084</v>
      </c>
      <c r="G104" s="1" t="s">
        <v>3051</v>
      </c>
      <c r="I104" s="1" t="s">
        <v>950</v>
      </c>
      <c r="N104" s="2" t="s">
        <v>3456</v>
      </c>
      <c r="O104" s="1">
        <v>1</v>
      </c>
      <c r="P104" s="17" t="s">
        <v>3533</v>
      </c>
      <c r="Q104" s="1" t="s">
        <v>49</v>
      </c>
      <c r="R104" s="1" t="s">
        <v>7</v>
      </c>
    </row>
    <row r="105" spans="1:18">
      <c r="A105" s="4">
        <v>1034</v>
      </c>
      <c r="B105" s="4" t="s">
        <v>2247</v>
      </c>
      <c r="C105" s="4" t="s">
        <v>847</v>
      </c>
      <c r="D105" s="4">
        <v>3</v>
      </c>
      <c r="E105" s="4" t="s">
        <v>3083</v>
      </c>
      <c r="F105" s="4" t="s">
        <v>3084</v>
      </c>
      <c r="G105" s="4" t="s">
        <v>3071</v>
      </c>
      <c r="H105" s="4"/>
      <c r="I105" s="4" t="s">
        <v>24</v>
      </c>
      <c r="J105" s="4" t="s">
        <v>901</v>
      </c>
      <c r="K105" s="4"/>
      <c r="L105" s="4"/>
      <c r="M105" s="4"/>
      <c r="N105" s="5" t="s">
        <v>3456</v>
      </c>
      <c r="O105" s="4">
        <v>1</v>
      </c>
      <c r="P105" s="19" t="s">
        <v>3527</v>
      </c>
      <c r="Q105" s="4" t="s">
        <v>48</v>
      </c>
      <c r="R105" s="1" t="s">
        <v>7</v>
      </c>
    </row>
    <row r="106" spans="1:18">
      <c r="A106" s="3">
        <v>1035</v>
      </c>
      <c r="B106" s="1" t="s">
        <v>2248</v>
      </c>
      <c r="C106" s="1" t="s">
        <v>847</v>
      </c>
      <c r="D106" s="1">
        <v>3</v>
      </c>
      <c r="E106" s="1" t="s">
        <v>3083</v>
      </c>
      <c r="F106" s="1" t="s">
        <v>3084</v>
      </c>
      <c r="G106" s="1" t="s">
        <v>3070</v>
      </c>
      <c r="I106" s="1" t="s">
        <v>902</v>
      </c>
      <c r="J106" s="1" t="s">
        <v>903</v>
      </c>
      <c r="N106" s="2" t="s">
        <v>3456</v>
      </c>
      <c r="O106" s="1">
        <v>2</v>
      </c>
      <c r="P106" s="17" t="s">
        <v>3569</v>
      </c>
      <c r="Q106" s="1" t="s">
        <v>36</v>
      </c>
      <c r="R106" s="1" t="s">
        <v>7</v>
      </c>
    </row>
    <row r="107" spans="1:18">
      <c r="A107" s="3">
        <v>1036</v>
      </c>
      <c r="B107" s="1" t="s">
        <v>2249</v>
      </c>
      <c r="C107" s="1" t="s">
        <v>847</v>
      </c>
      <c r="D107" s="1">
        <v>3</v>
      </c>
      <c r="E107" s="1" t="s">
        <v>3083</v>
      </c>
      <c r="F107" s="1" t="s">
        <v>3084</v>
      </c>
      <c r="G107" s="1" t="s">
        <v>3051</v>
      </c>
      <c r="I107" s="1" t="s">
        <v>951</v>
      </c>
      <c r="J107" s="1" t="s">
        <v>956</v>
      </c>
      <c r="N107" s="2" t="s">
        <v>3456</v>
      </c>
      <c r="O107" s="1">
        <v>2</v>
      </c>
      <c r="P107" s="17" t="s">
        <v>3569</v>
      </c>
      <c r="Q107" s="1" t="s">
        <v>177</v>
      </c>
      <c r="R107" s="1" t="s">
        <v>7</v>
      </c>
    </row>
    <row r="108" spans="1:18">
      <c r="A108" s="4">
        <v>1037</v>
      </c>
      <c r="B108" s="4" t="s">
        <v>2250</v>
      </c>
      <c r="C108" s="4" t="s">
        <v>847</v>
      </c>
      <c r="D108" s="4">
        <v>3</v>
      </c>
      <c r="E108" s="4" t="s">
        <v>3085</v>
      </c>
      <c r="F108" s="4" t="s">
        <v>3084</v>
      </c>
      <c r="G108" s="4" t="s">
        <v>3051</v>
      </c>
      <c r="H108" s="4"/>
      <c r="I108" s="4" t="s">
        <v>942</v>
      </c>
      <c r="J108" s="4" t="s">
        <v>959</v>
      </c>
      <c r="K108" s="4"/>
      <c r="L108" s="4"/>
      <c r="M108" s="4"/>
      <c r="N108" s="5" t="s">
        <v>3456</v>
      </c>
      <c r="O108" s="4">
        <v>2</v>
      </c>
      <c r="P108" s="19" t="s">
        <v>3569</v>
      </c>
      <c r="Q108" s="4" t="s">
        <v>15</v>
      </c>
      <c r="R108" s="4" t="s">
        <v>7</v>
      </c>
    </row>
    <row r="109" spans="1:18">
      <c r="A109" s="6">
        <v>1038</v>
      </c>
      <c r="B109" s="6" t="s">
        <v>2251</v>
      </c>
      <c r="C109" s="6" t="s">
        <v>848</v>
      </c>
      <c r="D109" s="6">
        <v>3</v>
      </c>
      <c r="E109" s="6" t="s">
        <v>3083</v>
      </c>
      <c r="F109" s="6" t="s">
        <v>3084</v>
      </c>
      <c r="G109" s="6" t="s">
        <v>3051</v>
      </c>
      <c r="H109" s="6"/>
      <c r="I109" s="6" t="s">
        <v>904</v>
      </c>
      <c r="J109" s="6" t="s">
        <v>905</v>
      </c>
      <c r="K109" s="6"/>
      <c r="L109" s="6"/>
      <c r="M109" s="6" t="s">
        <v>491</v>
      </c>
      <c r="N109" s="7" t="s">
        <v>3456</v>
      </c>
      <c r="O109" s="6">
        <v>2</v>
      </c>
      <c r="P109" s="18" t="s">
        <v>3569</v>
      </c>
      <c r="Q109" s="6"/>
      <c r="R109" s="6"/>
    </row>
    <row r="110" spans="1:18">
      <c r="A110" s="6">
        <v>1039</v>
      </c>
      <c r="B110" s="6" t="s">
        <v>2252</v>
      </c>
      <c r="C110" s="6" t="s">
        <v>848</v>
      </c>
      <c r="D110" s="6">
        <v>3</v>
      </c>
      <c r="E110" s="6" t="s">
        <v>3087</v>
      </c>
      <c r="F110" s="6" t="s">
        <v>3089</v>
      </c>
      <c r="G110" s="6"/>
      <c r="H110" s="6"/>
      <c r="I110" s="6" t="s">
        <v>906</v>
      </c>
      <c r="J110" s="6"/>
      <c r="K110" s="6"/>
      <c r="L110" s="6"/>
      <c r="M110" s="6" t="s">
        <v>491</v>
      </c>
      <c r="N110" s="7" t="s">
        <v>3456</v>
      </c>
      <c r="O110" s="6">
        <v>3</v>
      </c>
      <c r="P110" s="18" t="s">
        <v>3522</v>
      </c>
      <c r="Q110" s="6" t="s">
        <v>183</v>
      </c>
      <c r="R110" s="6" t="s">
        <v>7</v>
      </c>
    </row>
    <row r="111" spans="1:18">
      <c r="A111" s="3">
        <v>1040</v>
      </c>
      <c r="B111" s="1" t="s">
        <v>2253</v>
      </c>
      <c r="C111" s="1" t="s">
        <v>847</v>
      </c>
      <c r="D111" s="1">
        <v>3</v>
      </c>
      <c r="E111" s="1" t="s">
        <v>3083</v>
      </c>
      <c r="F111" s="1" t="s">
        <v>3084</v>
      </c>
      <c r="G111" s="1" t="s">
        <v>3051</v>
      </c>
      <c r="I111" s="1" t="s">
        <v>907</v>
      </c>
      <c r="N111" s="2" t="s">
        <v>3150</v>
      </c>
      <c r="O111" s="1">
        <v>2</v>
      </c>
      <c r="P111" s="17" t="s">
        <v>3569</v>
      </c>
      <c r="Q111" s="1" t="s">
        <v>176</v>
      </c>
      <c r="R111" s="1" t="s">
        <v>7</v>
      </c>
    </row>
    <row r="112" spans="1:18">
      <c r="A112" s="3">
        <v>1041</v>
      </c>
      <c r="B112" s="1" t="s">
        <v>2254</v>
      </c>
      <c r="C112" s="1" t="s">
        <v>847</v>
      </c>
      <c r="D112" s="1">
        <v>3</v>
      </c>
      <c r="E112" s="1" t="s">
        <v>3083</v>
      </c>
      <c r="F112" s="1" t="s">
        <v>3084</v>
      </c>
      <c r="G112" s="1" t="s">
        <v>3070</v>
      </c>
      <c r="I112" s="1" t="s">
        <v>908</v>
      </c>
      <c r="N112" s="2" t="s">
        <v>3150</v>
      </c>
      <c r="O112" s="1">
        <v>2</v>
      </c>
      <c r="P112" s="17" t="s">
        <v>3569</v>
      </c>
      <c r="Q112" s="1" t="s">
        <v>30</v>
      </c>
      <c r="R112" s="1" t="s">
        <v>7</v>
      </c>
    </row>
    <row r="113" spans="1:18">
      <c r="A113" s="3">
        <v>1042</v>
      </c>
      <c r="B113" s="1" t="s">
        <v>2255</v>
      </c>
      <c r="C113" s="1" t="s">
        <v>847</v>
      </c>
      <c r="D113" s="1">
        <v>3</v>
      </c>
      <c r="E113" s="1" t="s">
        <v>3083</v>
      </c>
      <c r="F113" s="1" t="s">
        <v>3084</v>
      </c>
      <c r="G113" s="1" t="s">
        <v>3051</v>
      </c>
      <c r="I113" s="1" t="s">
        <v>952</v>
      </c>
      <c r="N113" s="2" t="s">
        <v>3456</v>
      </c>
      <c r="O113" s="1">
        <v>1</v>
      </c>
      <c r="P113" s="17" t="s">
        <v>3569</v>
      </c>
      <c r="Q113" s="1" t="s">
        <v>169</v>
      </c>
      <c r="R113" s="1" t="s">
        <v>7</v>
      </c>
    </row>
    <row r="114" spans="1:18">
      <c r="A114" s="6">
        <v>1043</v>
      </c>
      <c r="B114" s="6" t="s">
        <v>2256</v>
      </c>
      <c r="C114" s="6" t="s">
        <v>847</v>
      </c>
      <c r="D114" s="6">
        <v>3</v>
      </c>
      <c r="E114" s="6" t="s">
        <v>3083</v>
      </c>
      <c r="F114" s="6" t="s">
        <v>3084</v>
      </c>
      <c r="G114" s="6" t="s">
        <v>3061</v>
      </c>
      <c r="H114" s="6"/>
      <c r="I114" s="6" t="s">
        <v>13</v>
      </c>
      <c r="J114" s="6" t="s">
        <v>943</v>
      </c>
      <c r="K114" s="6"/>
      <c r="L114" s="6"/>
      <c r="M114" s="6"/>
      <c r="N114" s="7" t="s">
        <v>3456</v>
      </c>
      <c r="O114" s="6">
        <v>1</v>
      </c>
      <c r="P114" s="18" t="s">
        <v>3533</v>
      </c>
      <c r="Q114" s="6" t="s">
        <v>15</v>
      </c>
      <c r="R114" s="6" t="s">
        <v>7</v>
      </c>
    </row>
    <row r="115" spans="1:18">
      <c r="A115" s="3">
        <v>1044</v>
      </c>
      <c r="B115" s="1" t="s">
        <v>2257</v>
      </c>
      <c r="C115" s="1" t="s">
        <v>847</v>
      </c>
      <c r="D115" s="1">
        <v>3</v>
      </c>
      <c r="E115" s="1" t="s">
        <v>3083</v>
      </c>
      <c r="F115" s="1" t="s">
        <v>3084</v>
      </c>
      <c r="G115" s="1" t="s">
        <v>3051</v>
      </c>
      <c r="I115" s="1" t="s">
        <v>909</v>
      </c>
      <c r="N115" s="2" t="s">
        <v>3456</v>
      </c>
      <c r="O115" s="1">
        <v>1</v>
      </c>
      <c r="P115" s="17" t="s">
        <v>3527</v>
      </c>
      <c r="Q115" s="1" t="s">
        <v>175</v>
      </c>
      <c r="R115" s="1" t="s">
        <v>7</v>
      </c>
    </row>
    <row r="116" spans="1:18">
      <c r="A116" s="3">
        <v>1045</v>
      </c>
      <c r="B116" s="1" t="s">
        <v>2258</v>
      </c>
      <c r="C116" s="1" t="s">
        <v>848</v>
      </c>
      <c r="D116" s="1">
        <v>3</v>
      </c>
      <c r="E116" s="1" t="s">
        <v>3083</v>
      </c>
      <c r="F116" s="1" t="s">
        <v>3084</v>
      </c>
      <c r="G116" s="1" t="s">
        <v>3071</v>
      </c>
      <c r="I116" s="1" t="s">
        <v>871</v>
      </c>
      <c r="J116" s="1" t="s">
        <v>910</v>
      </c>
      <c r="N116" s="2" t="s">
        <v>3456</v>
      </c>
      <c r="O116" s="1">
        <v>2</v>
      </c>
      <c r="P116" s="17" t="s">
        <v>3533</v>
      </c>
      <c r="Q116" s="1" t="s">
        <v>176</v>
      </c>
      <c r="R116" s="1" t="s">
        <v>7</v>
      </c>
    </row>
    <row r="117" spans="1:18">
      <c r="A117" s="3">
        <v>1046</v>
      </c>
      <c r="B117" s="1" t="s">
        <v>2259</v>
      </c>
      <c r="C117" s="1" t="s">
        <v>847</v>
      </c>
      <c r="D117" s="1">
        <v>3</v>
      </c>
      <c r="E117" s="1" t="s">
        <v>3083</v>
      </c>
      <c r="F117" s="1" t="s">
        <v>3084</v>
      </c>
      <c r="G117" s="1" t="s">
        <v>3051</v>
      </c>
      <c r="I117" s="1" t="s">
        <v>911</v>
      </c>
      <c r="N117" s="2" t="s">
        <v>3150</v>
      </c>
      <c r="O117" s="1">
        <v>2</v>
      </c>
      <c r="P117" s="17" t="s">
        <v>3569</v>
      </c>
      <c r="Q117" s="1" t="s">
        <v>35</v>
      </c>
      <c r="R117" s="1" t="s">
        <v>7</v>
      </c>
    </row>
    <row r="118" spans="1:18">
      <c r="A118" s="6">
        <v>1047</v>
      </c>
      <c r="B118" s="6" t="s">
        <v>2260</v>
      </c>
      <c r="C118" s="6" t="s">
        <v>847</v>
      </c>
      <c r="D118" s="6">
        <v>3</v>
      </c>
      <c r="E118" s="6" t="s">
        <v>3083</v>
      </c>
      <c r="F118" s="6" t="s">
        <v>3084</v>
      </c>
      <c r="G118" s="6" t="s">
        <v>3059</v>
      </c>
      <c r="H118" s="6"/>
      <c r="I118" s="6" t="s">
        <v>912</v>
      </c>
      <c r="J118" s="6"/>
      <c r="K118" s="6"/>
      <c r="L118" s="6"/>
      <c r="M118" s="6" t="s">
        <v>153</v>
      </c>
      <c r="N118" s="7" t="s">
        <v>3456</v>
      </c>
      <c r="O118" s="6">
        <v>0</v>
      </c>
      <c r="P118" s="18" t="s">
        <v>3533</v>
      </c>
      <c r="Q118" s="6"/>
      <c r="R118" s="6"/>
    </row>
    <row r="119" spans="1:18">
      <c r="A119" s="6">
        <v>1048</v>
      </c>
      <c r="B119" s="6" t="s">
        <v>2261</v>
      </c>
      <c r="C119" s="6" t="s">
        <v>3096</v>
      </c>
      <c r="D119" s="6">
        <v>3</v>
      </c>
      <c r="E119" s="6" t="s">
        <v>3083</v>
      </c>
      <c r="F119" s="6" t="s">
        <v>3084</v>
      </c>
      <c r="G119" s="6" t="s">
        <v>3065</v>
      </c>
      <c r="H119" s="6"/>
      <c r="I119" s="6" t="s">
        <v>913</v>
      </c>
      <c r="J119" s="6"/>
      <c r="K119" s="6"/>
      <c r="L119" s="6"/>
      <c r="M119" s="6" t="s">
        <v>153</v>
      </c>
      <c r="N119" s="7" t="s">
        <v>3456</v>
      </c>
      <c r="O119" s="6">
        <v>5</v>
      </c>
      <c r="P119" s="18" t="s">
        <v>3533</v>
      </c>
      <c r="Q119" s="6" t="s">
        <v>45</v>
      </c>
      <c r="R119" s="6" t="s">
        <v>7</v>
      </c>
    </row>
    <row r="120" spans="1:18">
      <c r="A120" s="3">
        <v>1049</v>
      </c>
      <c r="B120" s="1" t="s">
        <v>2262</v>
      </c>
      <c r="C120" s="1" t="s">
        <v>848</v>
      </c>
      <c r="D120" s="1">
        <v>3</v>
      </c>
      <c r="E120" s="1" t="s">
        <v>3083</v>
      </c>
      <c r="F120" s="1" t="s">
        <v>3084</v>
      </c>
      <c r="G120" s="1" t="s">
        <v>3051</v>
      </c>
      <c r="I120" s="1" t="s">
        <v>12</v>
      </c>
      <c r="J120" s="1" t="s">
        <v>1</v>
      </c>
      <c r="K120" s="1" t="s">
        <v>914</v>
      </c>
      <c r="L120" s="1" t="s">
        <v>915</v>
      </c>
      <c r="N120" s="2" t="s">
        <v>3150</v>
      </c>
      <c r="O120" s="1">
        <v>2</v>
      </c>
      <c r="P120" s="17" t="s">
        <v>3533</v>
      </c>
      <c r="Q120" s="1" t="s">
        <v>32</v>
      </c>
      <c r="R120" s="1" t="s">
        <v>7</v>
      </c>
    </row>
    <row r="121" spans="1:18">
      <c r="A121" s="3">
        <v>1050</v>
      </c>
      <c r="B121" s="1" t="s">
        <v>2263</v>
      </c>
      <c r="C121" s="1" t="s">
        <v>847</v>
      </c>
      <c r="D121" s="1">
        <v>3</v>
      </c>
      <c r="E121" s="1" t="s">
        <v>3083</v>
      </c>
      <c r="F121" s="1" t="s">
        <v>3084</v>
      </c>
      <c r="G121" s="1" t="s">
        <v>3051</v>
      </c>
      <c r="I121" s="1" t="s">
        <v>1</v>
      </c>
      <c r="J121" s="1" t="s">
        <v>916</v>
      </c>
      <c r="N121" s="2" t="s">
        <v>3150</v>
      </c>
      <c r="O121" s="1">
        <v>1</v>
      </c>
      <c r="P121" s="17" t="s">
        <v>3569</v>
      </c>
      <c r="Q121" s="1" t="s">
        <v>168</v>
      </c>
      <c r="R121" s="1" t="s">
        <v>7</v>
      </c>
    </row>
    <row r="122" spans="1:18">
      <c r="A122" s="3">
        <v>1051</v>
      </c>
      <c r="B122" s="1" t="s">
        <v>2264</v>
      </c>
      <c r="C122" s="1" t="s">
        <v>847</v>
      </c>
      <c r="D122" s="1">
        <v>3</v>
      </c>
      <c r="E122" s="1" t="s">
        <v>3083</v>
      </c>
      <c r="F122" s="1" t="s">
        <v>3084</v>
      </c>
      <c r="G122" s="1" t="s">
        <v>3051</v>
      </c>
      <c r="I122" s="1" t="s">
        <v>917</v>
      </c>
      <c r="J122" s="1" t="s">
        <v>918</v>
      </c>
      <c r="N122" s="2" t="s">
        <v>3456</v>
      </c>
      <c r="O122" s="1">
        <v>1</v>
      </c>
      <c r="P122" s="17" t="s">
        <v>3533</v>
      </c>
      <c r="Q122" s="1" t="s">
        <v>181</v>
      </c>
      <c r="R122" s="1" t="s">
        <v>7</v>
      </c>
    </row>
    <row r="123" spans="1:18">
      <c r="A123" s="3">
        <v>2016</v>
      </c>
      <c r="B123" s="1" t="s">
        <v>2298</v>
      </c>
      <c r="C123" s="1" t="s">
        <v>848</v>
      </c>
      <c r="D123" s="1">
        <v>3</v>
      </c>
      <c r="E123" s="1" t="s">
        <v>3083</v>
      </c>
      <c r="F123" s="1" t="s">
        <v>3084</v>
      </c>
      <c r="G123" s="1" t="s">
        <v>3051</v>
      </c>
      <c r="I123" s="1" t="s">
        <v>1013</v>
      </c>
      <c r="J123" s="1" t="s">
        <v>1024</v>
      </c>
      <c r="K123" s="1" t="s">
        <v>1027</v>
      </c>
      <c r="N123" s="1" t="s">
        <v>3456</v>
      </c>
      <c r="O123" s="1">
        <v>2</v>
      </c>
      <c r="P123" s="17" t="s">
        <v>3527</v>
      </c>
      <c r="Q123" s="1" t="s">
        <v>170</v>
      </c>
      <c r="R123" s="1" t="s">
        <v>9</v>
      </c>
    </row>
    <row r="124" spans="1:18">
      <c r="A124" s="3">
        <v>2017</v>
      </c>
      <c r="B124" s="8" t="s">
        <v>2299</v>
      </c>
      <c r="C124" s="8" t="s">
        <v>847</v>
      </c>
      <c r="D124" s="8">
        <v>3</v>
      </c>
      <c r="E124" s="8" t="s">
        <v>3083</v>
      </c>
      <c r="F124" s="8" t="s">
        <v>3084</v>
      </c>
      <c r="G124" s="8" t="s">
        <v>3051</v>
      </c>
      <c r="H124" s="8"/>
      <c r="I124" s="8" t="s">
        <v>977</v>
      </c>
      <c r="J124" s="8" t="s">
        <v>1025</v>
      </c>
      <c r="K124" s="8"/>
      <c r="L124" s="8"/>
      <c r="M124" s="8"/>
      <c r="N124" s="8" t="s">
        <v>3150</v>
      </c>
      <c r="O124" s="8">
        <v>2</v>
      </c>
      <c r="P124" s="62" t="s">
        <v>3527</v>
      </c>
      <c r="Q124" s="8" t="s">
        <v>52</v>
      </c>
      <c r="R124" s="8" t="s">
        <v>9</v>
      </c>
    </row>
    <row r="125" spans="1:18">
      <c r="A125" s="3">
        <v>2018</v>
      </c>
      <c r="B125" s="1" t="s">
        <v>2300</v>
      </c>
      <c r="C125" s="1" t="s">
        <v>848</v>
      </c>
      <c r="D125" s="1">
        <v>3</v>
      </c>
      <c r="E125" s="1" t="s">
        <v>3083</v>
      </c>
      <c r="F125" s="1" t="s">
        <v>3084</v>
      </c>
      <c r="G125" s="1" t="s">
        <v>3051</v>
      </c>
      <c r="I125" s="1" t="s">
        <v>978</v>
      </c>
      <c r="N125" s="1" t="s">
        <v>3456</v>
      </c>
      <c r="O125" s="1">
        <v>1</v>
      </c>
      <c r="P125" s="17" t="s">
        <v>3533</v>
      </c>
      <c r="Q125" s="1" t="s">
        <v>33</v>
      </c>
      <c r="R125" s="1" t="s">
        <v>9</v>
      </c>
    </row>
    <row r="126" spans="1:18">
      <c r="A126" s="3">
        <v>2019</v>
      </c>
      <c r="B126" s="9" t="s">
        <v>2301</v>
      </c>
      <c r="C126" s="9" t="s">
        <v>847</v>
      </c>
      <c r="D126" s="9">
        <v>3</v>
      </c>
      <c r="E126" s="9" t="s">
        <v>3087</v>
      </c>
      <c r="F126" s="9" t="s">
        <v>3084</v>
      </c>
      <c r="G126" s="9" t="s">
        <v>3058</v>
      </c>
      <c r="H126" s="9"/>
      <c r="I126" s="9" t="s">
        <v>24</v>
      </c>
      <c r="J126" s="9" t="s">
        <v>1028</v>
      </c>
      <c r="K126" s="9"/>
      <c r="L126" s="9"/>
      <c r="M126" s="9"/>
      <c r="N126" s="9" t="s">
        <v>3456</v>
      </c>
      <c r="O126" s="9">
        <v>3</v>
      </c>
      <c r="P126" s="63" t="s">
        <v>3569</v>
      </c>
      <c r="Q126" s="9" t="s">
        <v>53</v>
      </c>
      <c r="R126" s="9" t="s">
        <v>9</v>
      </c>
    </row>
    <row r="127" spans="1:18">
      <c r="A127" s="3">
        <v>2020</v>
      </c>
      <c r="B127" s="1" t="s">
        <v>2302</v>
      </c>
      <c r="C127" s="1" t="s">
        <v>848</v>
      </c>
      <c r="D127" s="1">
        <v>3</v>
      </c>
      <c r="E127" s="1" t="s">
        <v>3083</v>
      </c>
      <c r="F127" s="1" t="s">
        <v>3084</v>
      </c>
      <c r="G127" s="1" t="s">
        <v>3051</v>
      </c>
      <c r="I127" s="1" t="s">
        <v>1014</v>
      </c>
      <c r="N127" s="1" t="s">
        <v>3456</v>
      </c>
      <c r="O127" s="1">
        <v>1</v>
      </c>
      <c r="P127" s="17" t="s">
        <v>3533</v>
      </c>
      <c r="Q127" s="1" t="s">
        <v>171</v>
      </c>
      <c r="R127" s="1" t="s">
        <v>9</v>
      </c>
    </row>
    <row r="128" spans="1:18">
      <c r="A128" s="3">
        <v>2021</v>
      </c>
      <c r="B128" s="1" t="s">
        <v>2303</v>
      </c>
      <c r="C128" s="1" t="s">
        <v>847</v>
      </c>
      <c r="D128" s="1">
        <v>3</v>
      </c>
      <c r="E128" s="1" t="s">
        <v>3083</v>
      </c>
      <c r="F128" s="1" t="s">
        <v>3084</v>
      </c>
      <c r="G128" s="1" t="s">
        <v>3051</v>
      </c>
      <c r="I128" s="1" t="s">
        <v>1015</v>
      </c>
      <c r="N128" s="1" t="s">
        <v>3456</v>
      </c>
      <c r="O128" s="1">
        <v>2</v>
      </c>
      <c r="P128" s="17" t="s">
        <v>3527</v>
      </c>
      <c r="Q128" s="1" t="s">
        <v>14</v>
      </c>
      <c r="R128" s="1" t="s">
        <v>9</v>
      </c>
    </row>
    <row r="129" spans="1:19">
      <c r="A129" s="3">
        <v>2022</v>
      </c>
      <c r="B129" s="1" t="s">
        <v>2304</v>
      </c>
      <c r="C129" s="1" t="s">
        <v>847</v>
      </c>
      <c r="D129" s="1">
        <v>3</v>
      </c>
      <c r="E129" s="1" t="s">
        <v>3085</v>
      </c>
      <c r="F129" s="1" t="s">
        <v>3084</v>
      </c>
      <c r="G129" s="1" t="s">
        <v>3051</v>
      </c>
      <c r="I129" s="1" t="s">
        <v>979</v>
      </c>
      <c r="J129" s="1" t="s">
        <v>980</v>
      </c>
      <c r="N129" s="1" t="s">
        <v>3456</v>
      </c>
      <c r="O129" s="1">
        <v>1</v>
      </c>
      <c r="P129" s="17" t="s">
        <v>3527</v>
      </c>
      <c r="Q129" s="1" t="s">
        <v>15</v>
      </c>
      <c r="R129" s="1" t="s">
        <v>9</v>
      </c>
    </row>
    <row r="130" spans="1:19">
      <c r="A130" s="3">
        <v>2023</v>
      </c>
      <c r="B130" s="1" t="s">
        <v>2305</v>
      </c>
      <c r="C130" s="1" t="s">
        <v>847</v>
      </c>
      <c r="D130" s="1">
        <v>3</v>
      </c>
      <c r="E130" s="1" t="s">
        <v>3083</v>
      </c>
      <c r="F130" s="1" t="s">
        <v>3084</v>
      </c>
      <c r="G130" s="1" t="s">
        <v>3058</v>
      </c>
      <c r="I130" s="1" t="s">
        <v>981</v>
      </c>
      <c r="J130" s="1" t="s">
        <v>982</v>
      </c>
      <c r="N130" s="1" t="s">
        <v>3150</v>
      </c>
      <c r="O130" s="1">
        <v>2</v>
      </c>
      <c r="P130" s="17" t="s">
        <v>3527</v>
      </c>
      <c r="Q130" s="1" t="s">
        <v>53</v>
      </c>
      <c r="R130" s="1" t="s">
        <v>9</v>
      </c>
    </row>
    <row r="131" spans="1:19">
      <c r="A131" s="3">
        <v>2024</v>
      </c>
      <c r="B131" s="1" t="s">
        <v>2306</v>
      </c>
      <c r="C131" s="1" t="s">
        <v>848</v>
      </c>
      <c r="D131" s="1">
        <v>3</v>
      </c>
      <c r="E131" s="1" t="s">
        <v>3083</v>
      </c>
      <c r="F131" s="1" t="s">
        <v>3084</v>
      </c>
      <c r="G131" s="1" t="s">
        <v>3051</v>
      </c>
      <c r="I131" s="1" t="s">
        <v>983</v>
      </c>
      <c r="N131" s="1" t="s">
        <v>3456</v>
      </c>
      <c r="O131" s="1">
        <v>1</v>
      </c>
      <c r="P131" s="17" t="s">
        <v>3569</v>
      </c>
      <c r="Q131" s="1" t="s">
        <v>168</v>
      </c>
      <c r="R131" s="1" t="s">
        <v>9</v>
      </c>
    </row>
    <row r="132" spans="1:19">
      <c r="A132" s="3">
        <v>2025</v>
      </c>
      <c r="B132" s="1" t="s">
        <v>2307</v>
      </c>
      <c r="C132" s="1" t="s">
        <v>847</v>
      </c>
      <c r="D132" s="1">
        <v>3</v>
      </c>
      <c r="E132" s="1" t="s">
        <v>3083</v>
      </c>
      <c r="F132" s="1" t="s">
        <v>3084</v>
      </c>
      <c r="G132" s="1" t="s">
        <v>3051</v>
      </c>
      <c r="I132" s="1" t="s">
        <v>984</v>
      </c>
      <c r="N132" s="1" t="s">
        <v>3456</v>
      </c>
      <c r="O132" s="1">
        <v>2</v>
      </c>
      <c r="P132" s="17" t="s">
        <v>3569</v>
      </c>
      <c r="Q132" s="1" t="s">
        <v>45</v>
      </c>
      <c r="R132" s="1" t="s">
        <v>9</v>
      </c>
    </row>
    <row r="133" spans="1:19">
      <c r="A133" s="3">
        <v>2026</v>
      </c>
      <c r="B133" s="1" t="s">
        <v>2308</v>
      </c>
      <c r="C133" s="1" t="s">
        <v>848</v>
      </c>
      <c r="D133" s="1">
        <v>3</v>
      </c>
      <c r="E133" s="1" t="s">
        <v>3083</v>
      </c>
      <c r="F133" s="1" t="s">
        <v>3084</v>
      </c>
      <c r="G133" s="1" t="s">
        <v>3051</v>
      </c>
      <c r="I133" s="1" t="s">
        <v>985</v>
      </c>
      <c r="N133" s="1" t="s">
        <v>3456</v>
      </c>
      <c r="O133" s="1">
        <v>1</v>
      </c>
      <c r="P133" s="17" t="s">
        <v>3533</v>
      </c>
      <c r="Q133" s="1" t="s">
        <v>171</v>
      </c>
      <c r="R133" s="1" t="s">
        <v>9</v>
      </c>
    </row>
    <row r="134" spans="1:19">
      <c r="A134" s="3">
        <v>55</v>
      </c>
      <c r="B134" s="3" t="s">
        <v>2200</v>
      </c>
      <c r="C134" s="3" t="s">
        <v>849</v>
      </c>
      <c r="D134" s="14">
        <v>4</v>
      </c>
      <c r="E134" s="3" t="s">
        <v>3083</v>
      </c>
      <c r="F134" s="3" t="s">
        <v>3084</v>
      </c>
      <c r="G134" s="3" t="s">
        <v>3072</v>
      </c>
      <c r="H134" s="3"/>
      <c r="I134" s="3" t="s">
        <v>858</v>
      </c>
      <c r="J134" s="3" t="s">
        <v>830</v>
      </c>
      <c r="K134" s="3"/>
      <c r="L134" s="3"/>
      <c r="M134" s="3"/>
      <c r="N134" s="14"/>
      <c r="O134" s="3">
        <v>2</v>
      </c>
      <c r="P134" s="60" t="s">
        <v>3569</v>
      </c>
      <c r="Q134" s="3" t="s">
        <v>183</v>
      </c>
      <c r="R134" s="3" t="s">
        <v>4</v>
      </c>
      <c r="S134" s="4"/>
    </row>
    <row r="135" spans="1:19">
      <c r="A135" s="3">
        <v>56</v>
      </c>
      <c r="B135" s="1" t="s">
        <v>2201</v>
      </c>
      <c r="C135" s="1" t="s">
        <v>849</v>
      </c>
      <c r="D135" s="2">
        <v>4</v>
      </c>
      <c r="E135" s="1" t="s">
        <v>3083</v>
      </c>
      <c r="F135" s="1" t="s">
        <v>3084</v>
      </c>
      <c r="G135" s="1" t="s">
        <v>3051</v>
      </c>
      <c r="I135" s="1" t="s">
        <v>3452</v>
      </c>
      <c r="N135" s="2" t="s">
        <v>3150</v>
      </c>
      <c r="O135" s="1">
        <v>2</v>
      </c>
      <c r="P135" s="17" t="s">
        <v>3522</v>
      </c>
      <c r="Q135" s="1" t="s">
        <v>46</v>
      </c>
      <c r="R135" s="1" t="s">
        <v>4</v>
      </c>
    </row>
    <row r="136" spans="1:19">
      <c r="A136" s="3">
        <v>57</v>
      </c>
      <c r="B136" s="3" t="s">
        <v>2202</v>
      </c>
      <c r="C136" s="3" t="s">
        <v>849</v>
      </c>
      <c r="D136" s="14">
        <v>4</v>
      </c>
      <c r="E136" s="3" t="s">
        <v>3083</v>
      </c>
      <c r="F136" s="3" t="s">
        <v>3084</v>
      </c>
      <c r="G136" s="3" t="s">
        <v>3071</v>
      </c>
      <c r="H136" s="3"/>
      <c r="I136" s="3" t="s">
        <v>831</v>
      </c>
      <c r="J136" s="3" t="s">
        <v>832</v>
      </c>
      <c r="K136" s="3"/>
      <c r="L136" s="3"/>
      <c r="M136" s="3"/>
      <c r="N136" s="14" t="s">
        <v>3150</v>
      </c>
      <c r="O136" s="3">
        <v>3</v>
      </c>
      <c r="P136" s="60" t="s">
        <v>3569</v>
      </c>
      <c r="Q136" s="3" t="s">
        <v>5</v>
      </c>
      <c r="R136" s="3" t="s">
        <v>4</v>
      </c>
    </row>
    <row r="137" spans="1:19">
      <c r="A137" s="3">
        <v>58</v>
      </c>
      <c r="B137" s="1" t="s">
        <v>2203</v>
      </c>
      <c r="C137" s="1" t="s">
        <v>849</v>
      </c>
      <c r="D137" s="2">
        <v>4</v>
      </c>
      <c r="E137" s="1" t="s">
        <v>3083</v>
      </c>
      <c r="F137" s="1" t="s">
        <v>3084</v>
      </c>
      <c r="G137" s="1" t="s">
        <v>3062</v>
      </c>
      <c r="I137" s="1" t="s">
        <v>1</v>
      </c>
      <c r="J137" s="1" t="s">
        <v>864</v>
      </c>
      <c r="N137" s="2" t="s">
        <v>3456</v>
      </c>
      <c r="O137" s="1">
        <v>1</v>
      </c>
      <c r="P137" s="17" t="s">
        <v>3527</v>
      </c>
      <c r="Q137" s="1" t="s">
        <v>31</v>
      </c>
      <c r="R137" s="1" t="s">
        <v>4</v>
      </c>
    </row>
    <row r="138" spans="1:19">
      <c r="A138" s="3">
        <v>59</v>
      </c>
      <c r="B138" s="3" t="s">
        <v>2204</v>
      </c>
      <c r="C138" s="3" t="s">
        <v>849</v>
      </c>
      <c r="D138" s="14">
        <v>4</v>
      </c>
      <c r="E138" s="3" t="s">
        <v>3083</v>
      </c>
      <c r="F138" s="3" t="s">
        <v>3084</v>
      </c>
      <c r="G138" s="3" t="s">
        <v>3051</v>
      </c>
      <c r="H138" s="3"/>
      <c r="I138" s="3" t="s">
        <v>833</v>
      </c>
      <c r="J138" s="3"/>
      <c r="K138" s="3"/>
      <c r="L138" s="3"/>
      <c r="M138" s="3"/>
      <c r="N138" s="14" t="s">
        <v>3150</v>
      </c>
      <c r="O138" s="3">
        <v>2</v>
      </c>
      <c r="P138" s="60" t="s">
        <v>3569</v>
      </c>
      <c r="Q138" s="3" t="s">
        <v>48</v>
      </c>
      <c r="R138" s="3" t="s">
        <v>4</v>
      </c>
    </row>
    <row r="139" spans="1:19">
      <c r="A139" s="3">
        <v>60</v>
      </c>
      <c r="B139" s="3" t="s">
        <v>2205</v>
      </c>
      <c r="C139" s="3" t="s">
        <v>849</v>
      </c>
      <c r="D139" s="14">
        <v>4</v>
      </c>
      <c r="E139" s="3" t="s">
        <v>3083</v>
      </c>
      <c r="F139" s="3" t="s">
        <v>3084</v>
      </c>
      <c r="G139" s="3" t="s">
        <v>3054</v>
      </c>
      <c r="H139" s="3"/>
      <c r="I139" s="3" t="s">
        <v>13</v>
      </c>
      <c r="J139" s="3"/>
      <c r="K139" s="3"/>
      <c r="L139" s="3"/>
      <c r="M139" s="3"/>
      <c r="N139" s="14" t="s">
        <v>3456</v>
      </c>
      <c r="O139" s="3">
        <v>2</v>
      </c>
      <c r="P139" s="60" t="s">
        <v>3569</v>
      </c>
      <c r="Q139" s="3" t="s">
        <v>15</v>
      </c>
      <c r="R139" s="3" t="s">
        <v>4</v>
      </c>
    </row>
    <row r="140" spans="1:19">
      <c r="A140" s="3">
        <v>61</v>
      </c>
      <c r="B140" s="3" t="s">
        <v>2206</v>
      </c>
      <c r="C140" s="3" t="s">
        <v>849</v>
      </c>
      <c r="D140" s="14">
        <v>4</v>
      </c>
      <c r="E140" s="3" t="s">
        <v>3083</v>
      </c>
      <c r="F140" s="3" t="s">
        <v>3084</v>
      </c>
      <c r="G140" s="3" t="s">
        <v>3063</v>
      </c>
      <c r="H140" s="3"/>
      <c r="I140" s="3" t="s">
        <v>3453</v>
      </c>
      <c r="J140" s="3" t="s">
        <v>834</v>
      </c>
      <c r="K140" s="3"/>
      <c r="L140" s="3"/>
      <c r="M140" s="3"/>
      <c r="N140" s="14" t="s">
        <v>3150</v>
      </c>
      <c r="O140" s="3">
        <v>1</v>
      </c>
      <c r="P140" s="60" t="s">
        <v>3569</v>
      </c>
      <c r="Q140" s="3" t="s">
        <v>48</v>
      </c>
      <c r="R140" s="3" t="s">
        <v>4</v>
      </c>
    </row>
    <row r="141" spans="1:19">
      <c r="A141" s="3">
        <v>62</v>
      </c>
      <c r="B141" s="1" t="s">
        <v>2207</v>
      </c>
      <c r="C141" s="1" t="s">
        <v>849</v>
      </c>
      <c r="D141" s="2">
        <v>4</v>
      </c>
      <c r="E141" s="1" t="s">
        <v>3083</v>
      </c>
      <c r="F141" s="1" t="s">
        <v>3084</v>
      </c>
      <c r="G141" s="1" t="s">
        <v>3063</v>
      </c>
      <c r="I141" s="1" t="s">
        <v>835</v>
      </c>
      <c r="N141" s="2" t="s">
        <v>3150</v>
      </c>
      <c r="O141" s="1">
        <v>3</v>
      </c>
      <c r="P141" s="17" t="s">
        <v>3527</v>
      </c>
      <c r="Q141" s="1" t="s">
        <v>26</v>
      </c>
      <c r="R141" s="1" t="s">
        <v>4</v>
      </c>
    </row>
    <row r="142" spans="1:19">
      <c r="A142" s="3">
        <v>63</v>
      </c>
      <c r="B142" s="1" t="s">
        <v>2208</v>
      </c>
      <c r="C142" s="1" t="s">
        <v>849</v>
      </c>
      <c r="D142" s="2">
        <v>4</v>
      </c>
      <c r="E142" s="1" t="s">
        <v>3083</v>
      </c>
      <c r="F142" s="1" t="s">
        <v>3084</v>
      </c>
      <c r="G142" s="1" t="s">
        <v>3050</v>
      </c>
      <c r="I142" s="1" t="s">
        <v>3449</v>
      </c>
      <c r="J142" s="1" t="s">
        <v>3454</v>
      </c>
      <c r="N142" s="2" t="s">
        <v>3456</v>
      </c>
      <c r="O142" s="1">
        <v>2</v>
      </c>
      <c r="P142" s="17" t="s">
        <v>3527</v>
      </c>
      <c r="Q142" s="1" t="s">
        <v>52</v>
      </c>
      <c r="R142" s="1" t="s">
        <v>4</v>
      </c>
    </row>
    <row r="143" spans="1:19">
      <c r="A143" s="3">
        <v>64</v>
      </c>
      <c r="B143" s="1" t="s">
        <v>2209</v>
      </c>
      <c r="C143" s="1" t="s">
        <v>849</v>
      </c>
      <c r="D143" s="2">
        <v>4</v>
      </c>
      <c r="E143" s="1" t="s">
        <v>3083</v>
      </c>
      <c r="F143" s="1" t="s">
        <v>3084</v>
      </c>
      <c r="G143" s="1" t="s">
        <v>3051</v>
      </c>
      <c r="I143" s="1" t="s">
        <v>859</v>
      </c>
      <c r="N143" s="2" t="s">
        <v>3456</v>
      </c>
      <c r="O143" s="1">
        <v>2</v>
      </c>
      <c r="P143" s="17" t="s">
        <v>3527</v>
      </c>
      <c r="Q143" s="1" t="s">
        <v>179</v>
      </c>
      <c r="R143" s="1" t="s">
        <v>4</v>
      </c>
    </row>
    <row r="144" spans="1:19">
      <c r="A144" s="3">
        <v>65</v>
      </c>
      <c r="B144" s="3" t="s">
        <v>2210</v>
      </c>
      <c r="C144" s="3" t="s">
        <v>850</v>
      </c>
      <c r="D144" s="14">
        <v>4</v>
      </c>
      <c r="E144" s="3" t="s">
        <v>3083</v>
      </c>
      <c r="F144" s="3" t="s">
        <v>3084</v>
      </c>
      <c r="G144" s="3" t="s">
        <v>3051</v>
      </c>
      <c r="H144" s="3"/>
      <c r="I144" s="3" t="s">
        <v>836</v>
      </c>
      <c r="J144" s="3"/>
      <c r="K144" s="3"/>
      <c r="L144" s="3"/>
      <c r="M144" s="3"/>
      <c r="N144" s="2" t="s">
        <v>3150</v>
      </c>
      <c r="O144" s="3">
        <v>1</v>
      </c>
      <c r="P144" s="60" t="s">
        <v>3569</v>
      </c>
      <c r="Q144" s="3" t="s">
        <v>180</v>
      </c>
      <c r="R144" s="3" t="s">
        <v>4</v>
      </c>
      <c r="S144" s="3"/>
    </row>
    <row r="145" spans="1:19">
      <c r="A145" s="3">
        <v>66</v>
      </c>
      <c r="B145" s="1" t="s">
        <v>2211</v>
      </c>
      <c r="C145" s="1" t="s">
        <v>849</v>
      </c>
      <c r="D145" s="2">
        <v>4</v>
      </c>
      <c r="E145" s="1" t="s">
        <v>3083</v>
      </c>
      <c r="F145" s="1" t="s">
        <v>3084</v>
      </c>
      <c r="G145" s="1" t="s">
        <v>3070</v>
      </c>
      <c r="I145" s="1" t="s">
        <v>837</v>
      </c>
      <c r="N145" s="2" t="s">
        <v>3150</v>
      </c>
      <c r="O145" s="1">
        <v>3</v>
      </c>
      <c r="P145" s="17" t="s">
        <v>3569</v>
      </c>
      <c r="Q145" s="1" t="s">
        <v>36</v>
      </c>
      <c r="R145" s="1" t="s">
        <v>4</v>
      </c>
    </row>
    <row r="146" spans="1:19">
      <c r="A146" s="4">
        <v>67</v>
      </c>
      <c r="B146" s="4" t="s">
        <v>2212</v>
      </c>
      <c r="C146" s="4" t="s">
        <v>849</v>
      </c>
      <c r="D146" s="5">
        <v>4</v>
      </c>
      <c r="E146" s="4" t="s">
        <v>3083</v>
      </c>
      <c r="F146" s="4" t="s">
        <v>3084</v>
      </c>
      <c r="G146" s="4"/>
      <c r="H146" s="4"/>
      <c r="I146" s="4" t="s">
        <v>4694</v>
      </c>
      <c r="J146" s="4"/>
      <c r="K146" s="4"/>
      <c r="L146" s="4"/>
      <c r="M146" s="4"/>
      <c r="N146" s="5" t="s">
        <v>3150</v>
      </c>
      <c r="O146" s="4">
        <v>0</v>
      </c>
      <c r="P146" s="19" t="s">
        <v>3569</v>
      </c>
      <c r="Q146" s="4" t="s">
        <v>39</v>
      </c>
      <c r="R146" s="3" t="s">
        <v>4</v>
      </c>
      <c r="S146" s="4"/>
    </row>
    <row r="147" spans="1:19">
      <c r="A147" s="3">
        <v>1052</v>
      </c>
      <c r="B147" s="1" t="s">
        <v>2265</v>
      </c>
      <c r="C147" s="1" t="s">
        <v>849</v>
      </c>
      <c r="D147" s="1">
        <v>4</v>
      </c>
      <c r="E147" s="1" t="s">
        <v>3083</v>
      </c>
      <c r="F147" s="1" t="s">
        <v>3084</v>
      </c>
      <c r="G147" s="1" t="s">
        <v>3051</v>
      </c>
      <c r="I147" s="1" t="s">
        <v>919</v>
      </c>
      <c r="J147" s="1" t="s">
        <v>920</v>
      </c>
      <c r="K147" s="1" t="s">
        <v>921</v>
      </c>
      <c r="N147" s="2" t="s">
        <v>3150</v>
      </c>
      <c r="O147" s="1">
        <v>2</v>
      </c>
      <c r="P147" s="17" t="s">
        <v>3569</v>
      </c>
      <c r="Q147" s="1" t="s">
        <v>31</v>
      </c>
      <c r="R147" s="1" t="s">
        <v>7</v>
      </c>
    </row>
    <row r="148" spans="1:19">
      <c r="A148" s="3">
        <v>1053</v>
      </c>
      <c r="B148" s="1" t="s">
        <v>2266</v>
      </c>
      <c r="C148" s="1" t="s">
        <v>850</v>
      </c>
      <c r="D148" s="1">
        <v>4</v>
      </c>
      <c r="E148" s="1" t="s">
        <v>3083</v>
      </c>
      <c r="F148" s="1" t="s">
        <v>3084</v>
      </c>
      <c r="G148" s="1" t="s">
        <v>3071</v>
      </c>
      <c r="I148" s="1" t="s">
        <v>922</v>
      </c>
      <c r="N148" s="2" t="s">
        <v>3150</v>
      </c>
      <c r="O148" s="1">
        <v>2</v>
      </c>
      <c r="P148" s="17" t="s">
        <v>3569</v>
      </c>
      <c r="Q148" s="1" t="s">
        <v>174</v>
      </c>
      <c r="R148" s="1" t="s">
        <v>7</v>
      </c>
    </row>
    <row r="149" spans="1:19">
      <c r="A149" s="3">
        <v>1054</v>
      </c>
      <c r="B149" s="1" t="s">
        <v>2267</v>
      </c>
      <c r="C149" s="1" t="s">
        <v>849</v>
      </c>
      <c r="D149" s="1">
        <v>4</v>
      </c>
      <c r="E149" s="1" t="s">
        <v>3083</v>
      </c>
      <c r="F149" s="1" t="s">
        <v>3084</v>
      </c>
      <c r="G149" s="1" t="s">
        <v>3058</v>
      </c>
      <c r="I149" s="1" t="s">
        <v>24</v>
      </c>
      <c r="J149" s="1" t="s">
        <v>923</v>
      </c>
      <c r="N149" s="2" t="s">
        <v>3456</v>
      </c>
      <c r="O149" s="1">
        <v>3</v>
      </c>
      <c r="P149" s="17" t="s">
        <v>3527</v>
      </c>
      <c r="Q149" s="1" t="s">
        <v>53</v>
      </c>
      <c r="R149" s="1" t="s">
        <v>7</v>
      </c>
    </row>
    <row r="150" spans="1:19">
      <c r="A150" s="3">
        <v>1055</v>
      </c>
      <c r="B150" s="1" t="s">
        <v>2268</v>
      </c>
      <c r="C150" s="1" t="s">
        <v>849</v>
      </c>
      <c r="D150" s="1">
        <v>4</v>
      </c>
      <c r="E150" s="1" t="s">
        <v>3083</v>
      </c>
      <c r="F150" s="1" t="s">
        <v>3084</v>
      </c>
      <c r="G150" s="1" t="s">
        <v>3053</v>
      </c>
      <c r="I150" s="1" t="s">
        <v>924</v>
      </c>
      <c r="J150" s="1" t="s">
        <v>925</v>
      </c>
      <c r="N150" s="2" t="s">
        <v>3150</v>
      </c>
      <c r="O150" s="1">
        <v>2</v>
      </c>
      <c r="P150" s="17" t="s">
        <v>3522</v>
      </c>
      <c r="Q150" s="1" t="s">
        <v>29</v>
      </c>
      <c r="R150" s="1" t="s">
        <v>7</v>
      </c>
    </row>
    <row r="151" spans="1:19">
      <c r="A151" s="3">
        <v>1056</v>
      </c>
      <c r="B151" s="1" t="s">
        <v>2269</v>
      </c>
      <c r="C151" s="1" t="s">
        <v>849</v>
      </c>
      <c r="D151" s="1">
        <v>4</v>
      </c>
      <c r="E151" s="1" t="s">
        <v>3083</v>
      </c>
      <c r="F151" s="1" t="s">
        <v>3084</v>
      </c>
      <c r="G151" s="1" t="s">
        <v>3051</v>
      </c>
      <c r="I151" s="1" t="s">
        <v>926</v>
      </c>
      <c r="N151" s="2" t="s">
        <v>3456</v>
      </c>
      <c r="O151" s="1">
        <v>2</v>
      </c>
      <c r="P151" s="17" t="s">
        <v>3527</v>
      </c>
      <c r="Q151" s="1" t="s">
        <v>49</v>
      </c>
      <c r="R151" s="1" t="s">
        <v>7</v>
      </c>
    </row>
    <row r="152" spans="1:19">
      <c r="A152" s="3">
        <v>1057</v>
      </c>
      <c r="B152" s="1" t="s">
        <v>2270</v>
      </c>
      <c r="C152" s="1" t="s">
        <v>849</v>
      </c>
      <c r="D152" s="1">
        <v>4</v>
      </c>
      <c r="E152" s="1" t="s">
        <v>3083</v>
      </c>
      <c r="F152" s="1" t="s">
        <v>3084</v>
      </c>
      <c r="G152" s="1" t="s">
        <v>3051</v>
      </c>
      <c r="I152" s="1" t="s">
        <v>249</v>
      </c>
      <c r="J152" s="1" t="s">
        <v>927</v>
      </c>
      <c r="N152" s="2" t="s">
        <v>3150</v>
      </c>
      <c r="O152" s="1">
        <v>2</v>
      </c>
      <c r="P152" s="17" t="s">
        <v>3569</v>
      </c>
      <c r="Q152" s="1" t="s">
        <v>52</v>
      </c>
      <c r="R152" s="1" t="s">
        <v>7</v>
      </c>
    </row>
    <row r="153" spans="1:19">
      <c r="A153" s="4">
        <v>1058</v>
      </c>
      <c r="B153" s="4" t="s">
        <v>2271</v>
      </c>
      <c r="C153" s="4" t="s">
        <v>850</v>
      </c>
      <c r="D153" s="4">
        <v>4</v>
      </c>
      <c r="E153" s="4" t="s">
        <v>3083</v>
      </c>
      <c r="F153" s="4" t="s">
        <v>3084</v>
      </c>
      <c r="G153" s="4" t="s">
        <v>3071</v>
      </c>
      <c r="H153" s="4" t="s">
        <v>3063</v>
      </c>
      <c r="I153" s="4" t="s">
        <v>928</v>
      </c>
      <c r="J153" s="4" t="s">
        <v>929</v>
      </c>
      <c r="K153" s="4"/>
      <c r="L153" s="4"/>
      <c r="M153" s="4"/>
      <c r="N153" s="5" t="s">
        <v>3150</v>
      </c>
      <c r="O153" s="4">
        <v>2</v>
      </c>
      <c r="P153" s="19" t="s">
        <v>3569</v>
      </c>
      <c r="Q153" s="4" t="s">
        <v>48</v>
      </c>
      <c r="R153" s="1" t="s">
        <v>7</v>
      </c>
    </row>
    <row r="154" spans="1:19">
      <c r="A154" s="3">
        <v>1059</v>
      </c>
      <c r="B154" s="1" t="s">
        <v>2272</v>
      </c>
      <c r="C154" s="1" t="s">
        <v>849</v>
      </c>
      <c r="D154" s="1">
        <v>4</v>
      </c>
      <c r="E154" s="1" t="s">
        <v>3083</v>
      </c>
      <c r="F154" s="1" t="s">
        <v>3084</v>
      </c>
      <c r="G154" s="1" t="s">
        <v>3053</v>
      </c>
      <c r="I154" s="1" t="s">
        <v>953</v>
      </c>
      <c r="N154" s="2" t="s">
        <v>3456</v>
      </c>
      <c r="O154" s="1">
        <v>2</v>
      </c>
      <c r="P154" s="17" t="s">
        <v>3522</v>
      </c>
      <c r="Q154" s="1" t="s">
        <v>40</v>
      </c>
      <c r="R154" s="1" t="s">
        <v>7</v>
      </c>
    </row>
    <row r="155" spans="1:19">
      <c r="A155" s="3">
        <v>1060</v>
      </c>
      <c r="B155" s="1" t="s">
        <v>2273</v>
      </c>
      <c r="C155" s="1" t="s">
        <v>849</v>
      </c>
      <c r="D155" s="1">
        <v>4</v>
      </c>
      <c r="E155" s="1" t="s">
        <v>3083</v>
      </c>
      <c r="F155" s="1" t="s">
        <v>3084</v>
      </c>
      <c r="G155" s="1" t="s">
        <v>3063</v>
      </c>
      <c r="I155" s="1" t="s">
        <v>3814</v>
      </c>
      <c r="J155" s="1" t="s">
        <v>930</v>
      </c>
      <c r="N155" s="2" t="s">
        <v>3150</v>
      </c>
      <c r="O155" s="1">
        <v>1</v>
      </c>
      <c r="P155" s="17" t="s">
        <v>3533</v>
      </c>
      <c r="Q155" s="1" t="s">
        <v>606</v>
      </c>
      <c r="R155" s="1" t="s">
        <v>7</v>
      </c>
    </row>
    <row r="156" spans="1:19">
      <c r="A156" s="3">
        <v>1061</v>
      </c>
      <c r="B156" s="1" t="s">
        <v>2274</v>
      </c>
      <c r="C156" s="1" t="s">
        <v>849</v>
      </c>
      <c r="D156" s="1">
        <v>4</v>
      </c>
      <c r="E156" s="1" t="s">
        <v>3083</v>
      </c>
      <c r="F156" s="1" t="s">
        <v>3084</v>
      </c>
      <c r="G156" s="1" t="s">
        <v>3051</v>
      </c>
      <c r="I156" s="1" t="s">
        <v>931</v>
      </c>
      <c r="N156" s="2" t="s">
        <v>3456</v>
      </c>
      <c r="O156" s="1">
        <v>2</v>
      </c>
      <c r="P156" s="17" t="s">
        <v>3569</v>
      </c>
      <c r="Q156" s="1" t="s">
        <v>32</v>
      </c>
      <c r="R156" s="1" t="s">
        <v>7</v>
      </c>
    </row>
    <row r="157" spans="1:19">
      <c r="A157" s="8">
        <v>1062</v>
      </c>
      <c r="B157" s="8" t="s">
        <v>2275</v>
      </c>
      <c r="C157" s="8" t="s">
        <v>849</v>
      </c>
      <c r="D157" s="8">
        <v>4</v>
      </c>
      <c r="E157" s="8" t="s">
        <v>3083</v>
      </c>
      <c r="F157" s="8" t="s">
        <v>3084</v>
      </c>
      <c r="G157" s="8" t="s">
        <v>3074</v>
      </c>
      <c r="H157" s="8"/>
      <c r="I157" s="8" t="s">
        <v>1</v>
      </c>
      <c r="J157" s="8" t="s">
        <v>932</v>
      </c>
      <c r="K157" s="8"/>
      <c r="L157" s="8"/>
      <c r="M157" s="8" t="s">
        <v>153</v>
      </c>
      <c r="N157" s="75" t="s">
        <v>3456</v>
      </c>
      <c r="O157" s="8">
        <v>3</v>
      </c>
      <c r="P157" s="62" t="s">
        <v>3569</v>
      </c>
      <c r="Q157" s="8"/>
      <c r="R157" s="8"/>
    </row>
    <row r="158" spans="1:19">
      <c r="A158" s="8">
        <v>1063</v>
      </c>
      <c r="B158" s="8" t="s">
        <v>2276</v>
      </c>
      <c r="C158" s="8" t="s">
        <v>3396</v>
      </c>
      <c r="D158" s="8">
        <v>4</v>
      </c>
      <c r="E158" s="8" t="s">
        <v>3083</v>
      </c>
      <c r="F158" s="8" t="s">
        <v>3074</v>
      </c>
      <c r="G158" s="8" t="s">
        <v>3064</v>
      </c>
      <c r="H158" s="8"/>
      <c r="I158" s="8" t="s">
        <v>1</v>
      </c>
      <c r="J158" s="8"/>
      <c r="K158" s="8"/>
      <c r="L158" s="8"/>
      <c r="M158" s="8" t="s">
        <v>153</v>
      </c>
      <c r="N158" s="75" t="s">
        <v>3456</v>
      </c>
      <c r="O158" s="8">
        <v>5</v>
      </c>
      <c r="P158" s="62" t="s">
        <v>3522</v>
      </c>
      <c r="Q158" s="8" t="s">
        <v>46</v>
      </c>
      <c r="R158" s="8" t="s">
        <v>7</v>
      </c>
    </row>
    <row r="159" spans="1:19">
      <c r="A159" s="3">
        <v>1064</v>
      </c>
      <c r="B159" s="1" t="s">
        <v>2277</v>
      </c>
      <c r="C159" s="1" t="s">
        <v>849</v>
      </c>
      <c r="D159" s="1">
        <v>4</v>
      </c>
      <c r="E159" s="1" t="s">
        <v>3083</v>
      </c>
      <c r="F159" s="1" t="s">
        <v>3084</v>
      </c>
      <c r="G159" s="1" t="s">
        <v>3051</v>
      </c>
      <c r="I159" s="1" t="s">
        <v>933</v>
      </c>
      <c r="J159" s="1" t="s">
        <v>957</v>
      </c>
      <c r="N159" s="2" t="s">
        <v>3456</v>
      </c>
      <c r="O159" s="1">
        <v>2</v>
      </c>
      <c r="P159" s="17" t="s">
        <v>3569</v>
      </c>
      <c r="Q159" s="1" t="s">
        <v>172</v>
      </c>
      <c r="R159" s="1" t="s">
        <v>7</v>
      </c>
    </row>
    <row r="160" spans="1:19">
      <c r="A160" s="3">
        <v>1065</v>
      </c>
      <c r="B160" s="1" t="s">
        <v>2278</v>
      </c>
      <c r="C160" s="1" t="s">
        <v>849</v>
      </c>
      <c r="D160" s="1">
        <v>4</v>
      </c>
      <c r="E160" s="1" t="s">
        <v>3083</v>
      </c>
      <c r="F160" s="1" t="s">
        <v>3084</v>
      </c>
      <c r="G160" s="1" t="s">
        <v>3070</v>
      </c>
      <c r="I160" s="1" t="s">
        <v>934</v>
      </c>
      <c r="N160" s="1" t="s">
        <v>3150</v>
      </c>
      <c r="O160" s="1">
        <v>2</v>
      </c>
      <c r="P160" s="17" t="s">
        <v>3569</v>
      </c>
      <c r="Q160" s="1" t="s">
        <v>30</v>
      </c>
      <c r="R160" s="1" t="s">
        <v>7</v>
      </c>
    </row>
    <row r="161" spans="1:18">
      <c r="A161" s="3">
        <v>2027</v>
      </c>
      <c r="B161" s="9" t="s">
        <v>2309</v>
      </c>
      <c r="C161" s="9" t="s">
        <v>850</v>
      </c>
      <c r="D161" s="9">
        <v>4</v>
      </c>
      <c r="E161" s="9" t="s">
        <v>3087</v>
      </c>
      <c r="F161" s="9" t="s">
        <v>3084</v>
      </c>
      <c r="G161" s="9" t="s">
        <v>3051</v>
      </c>
      <c r="H161" s="9"/>
      <c r="I161" s="9" t="s">
        <v>3</v>
      </c>
      <c r="J161" s="9" t="s">
        <v>986</v>
      </c>
      <c r="K161" s="9"/>
      <c r="L161" s="9"/>
      <c r="M161" s="9"/>
      <c r="N161" s="9" t="s">
        <v>3150</v>
      </c>
      <c r="O161" s="9">
        <v>2</v>
      </c>
      <c r="P161" s="63" t="s">
        <v>3569</v>
      </c>
      <c r="Q161" s="9" t="s">
        <v>34</v>
      </c>
      <c r="R161" s="9" t="s">
        <v>9</v>
      </c>
    </row>
    <row r="162" spans="1:18">
      <c r="A162" s="3">
        <v>2028</v>
      </c>
      <c r="B162" s="1" t="s">
        <v>2310</v>
      </c>
      <c r="C162" s="1" t="s">
        <v>850</v>
      </c>
      <c r="D162" s="1">
        <v>4</v>
      </c>
      <c r="E162" s="1" t="s">
        <v>3083</v>
      </c>
      <c r="F162" s="1" t="s">
        <v>3084</v>
      </c>
      <c r="G162" s="1" t="s">
        <v>3051</v>
      </c>
      <c r="I162" s="1" t="s">
        <v>987</v>
      </c>
      <c r="N162" s="1" t="s">
        <v>3456</v>
      </c>
      <c r="O162" s="1">
        <v>1</v>
      </c>
      <c r="P162" s="17" t="s">
        <v>3533</v>
      </c>
      <c r="Q162" s="1" t="s">
        <v>171</v>
      </c>
      <c r="R162" s="1" t="s">
        <v>9</v>
      </c>
    </row>
    <row r="163" spans="1:18">
      <c r="A163" s="3">
        <v>2029</v>
      </c>
      <c r="B163" s="1" t="s">
        <v>2311</v>
      </c>
      <c r="C163" s="1" t="s">
        <v>850</v>
      </c>
      <c r="D163" s="1">
        <v>4</v>
      </c>
      <c r="E163" s="1" t="s">
        <v>3083</v>
      </c>
      <c r="F163" s="1" t="s">
        <v>3084</v>
      </c>
      <c r="G163" s="1" t="s">
        <v>3051</v>
      </c>
      <c r="I163" s="1" t="s">
        <v>988</v>
      </c>
      <c r="N163" s="1" t="s">
        <v>3456</v>
      </c>
      <c r="O163" s="1">
        <v>2</v>
      </c>
      <c r="P163" s="17" t="s">
        <v>3569</v>
      </c>
      <c r="Q163" s="1" t="s">
        <v>52</v>
      </c>
      <c r="R163" s="1" t="s">
        <v>9</v>
      </c>
    </row>
    <row r="164" spans="1:18">
      <c r="A164" s="3">
        <v>2030</v>
      </c>
      <c r="B164" s="1" t="s">
        <v>2312</v>
      </c>
      <c r="C164" s="1" t="s">
        <v>850</v>
      </c>
      <c r="D164" s="1">
        <v>4</v>
      </c>
      <c r="E164" s="1" t="s">
        <v>3087</v>
      </c>
      <c r="F164" s="1" t="s">
        <v>3084</v>
      </c>
      <c r="G164" s="1" t="s">
        <v>3071</v>
      </c>
      <c r="I164" s="1" t="s">
        <v>1016</v>
      </c>
      <c r="N164" s="1" t="s">
        <v>3150</v>
      </c>
      <c r="O164" s="1">
        <v>3</v>
      </c>
      <c r="P164" s="17" t="s">
        <v>3533</v>
      </c>
      <c r="Q164" s="1" t="s">
        <v>179</v>
      </c>
      <c r="R164" s="1" t="s">
        <v>9</v>
      </c>
    </row>
    <row r="165" spans="1:18">
      <c r="A165" s="3">
        <v>2031</v>
      </c>
      <c r="B165" s="1" t="s">
        <v>2313</v>
      </c>
      <c r="C165" s="1" t="s">
        <v>849</v>
      </c>
      <c r="D165" s="1">
        <v>4</v>
      </c>
      <c r="E165" s="1" t="s">
        <v>3087</v>
      </c>
      <c r="F165" s="1" t="s">
        <v>3084</v>
      </c>
      <c r="G165" s="1" t="s">
        <v>3063</v>
      </c>
      <c r="I165" s="1" t="s">
        <v>989</v>
      </c>
      <c r="N165" s="1" t="s">
        <v>3150</v>
      </c>
      <c r="O165" s="1">
        <v>2</v>
      </c>
      <c r="P165" s="17" t="s">
        <v>3569</v>
      </c>
      <c r="Q165" s="1" t="s">
        <v>49</v>
      </c>
      <c r="R165" s="1" t="s">
        <v>9</v>
      </c>
    </row>
    <row r="166" spans="1:18">
      <c r="A166" s="3">
        <v>2032</v>
      </c>
      <c r="B166" s="1" t="s">
        <v>2314</v>
      </c>
      <c r="C166" s="1" t="s">
        <v>849</v>
      </c>
      <c r="D166" s="1">
        <v>4</v>
      </c>
      <c r="E166" s="1" t="s">
        <v>3083</v>
      </c>
      <c r="F166" s="1" t="s">
        <v>3084</v>
      </c>
      <c r="G166" s="1" t="s">
        <v>3070</v>
      </c>
      <c r="I166" s="1" t="s">
        <v>3</v>
      </c>
      <c r="J166" s="1" t="s">
        <v>990</v>
      </c>
      <c r="N166" s="1" t="s">
        <v>3150</v>
      </c>
      <c r="O166" s="1">
        <v>2</v>
      </c>
      <c r="P166" s="17" t="s">
        <v>3569</v>
      </c>
      <c r="Q166" s="1" t="s">
        <v>36</v>
      </c>
      <c r="R166" s="1" t="s">
        <v>9</v>
      </c>
    </row>
    <row r="167" spans="1:18">
      <c r="A167" s="3">
        <v>2033</v>
      </c>
      <c r="B167" s="1" t="s">
        <v>2315</v>
      </c>
      <c r="C167" s="1" t="s">
        <v>850</v>
      </c>
      <c r="D167" s="1">
        <v>4</v>
      </c>
      <c r="E167" s="1" t="s">
        <v>3087</v>
      </c>
      <c r="F167" s="1" t="s">
        <v>3084</v>
      </c>
      <c r="G167" s="1" t="s">
        <v>3051</v>
      </c>
      <c r="I167" s="1" t="s">
        <v>991</v>
      </c>
      <c r="J167" s="1" t="s">
        <v>992</v>
      </c>
      <c r="N167" s="1" t="s">
        <v>3150</v>
      </c>
      <c r="O167" s="1">
        <v>2</v>
      </c>
      <c r="P167" s="17" t="s">
        <v>3569</v>
      </c>
      <c r="Q167" s="1" t="s">
        <v>179</v>
      </c>
      <c r="R167" s="1" t="s">
        <v>9</v>
      </c>
    </row>
    <row r="168" spans="1:18">
      <c r="A168" s="8">
        <v>2034</v>
      </c>
      <c r="B168" s="8" t="s">
        <v>2316</v>
      </c>
      <c r="C168" s="8" t="s">
        <v>849</v>
      </c>
      <c r="D168" s="8">
        <v>4</v>
      </c>
      <c r="E168" s="8" t="s">
        <v>3085</v>
      </c>
      <c r="F168" s="8" t="s">
        <v>3084</v>
      </c>
      <c r="G168" s="8" t="s">
        <v>3063</v>
      </c>
      <c r="H168" s="8"/>
      <c r="I168" s="8" t="s">
        <v>1017</v>
      </c>
      <c r="J168" s="8"/>
      <c r="K168" s="8"/>
      <c r="L168" s="8"/>
      <c r="M168" s="8"/>
      <c r="N168" s="8"/>
      <c r="O168" s="8">
        <v>1</v>
      </c>
      <c r="P168" s="62" t="s">
        <v>3569</v>
      </c>
      <c r="Q168" s="8" t="s">
        <v>18</v>
      </c>
      <c r="R168" s="8" t="s">
        <v>9</v>
      </c>
    </row>
    <row r="169" spans="1:18">
      <c r="A169" s="3">
        <v>2035</v>
      </c>
      <c r="B169" s="1" t="s">
        <v>2317</v>
      </c>
      <c r="C169" s="1" t="s">
        <v>850</v>
      </c>
      <c r="D169" s="1">
        <v>4</v>
      </c>
      <c r="E169" s="1" t="s">
        <v>3083</v>
      </c>
      <c r="F169" s="1" t="s">
        <v>3084</v>
      </c>
      <c r="G169" s="1" t="s">
        <v>3051</v>
      </c>
      <c r="I169" s="1" t="s">
        <v>1018</v>
      </c>
      <c r="N169" s="1" t="s">
        <v>3456</v>
      </c>
      <c r="O169" s="1">
        <v>2</v>
      </c>
      <c r="P169" s="17" t="s">
        <v>3569</v>
      </c>
      <c r="Q169" s="1" t="s">
        <v>44</v>
      </c>
      <c r="R169" s="1" t="s">
        <v>9</v>
      </c>
    </row>
    <row r="170" spans="1:18">
      <c r="A170" s="3">
        <v>2036</v>
      </c>
      <c r="B170" s="1" t="s">
        <v>2318</v>
      </c>
      <c r="C170" s="1" t="s">
        <v>849</v>
      </c>
      <c r="D170" s="1">
        <v>4</v>
      </c>
      <c r="E170" s="1" t="s">
        <v>3083</v>
      </c>
      <c r="F170" s="1" t="s">
        <v>3084</v>
      </c>
      <c r="G170" s="1" t="s">
        <v>3063</v>
      </c>
      <c r="I170" s="1" t="s">
        <v>993</v>
      </c>
      <c r="N170" s="1" t="s">
        <v>3150</v>
      </c>
      <c r="O170" s="1">
        <v>2</v>
      </c>
      <c r="P170" s="17" t="s">
        <v>3527</v>
      </c>
      <c r="Q170" s="1" t="s">
        <v>35</v>
      </c>
      <c r="R170" s="1" t="s">
        <v>9</v>
      </c>
    </row>
    <row r="171" spans="1:18">
      <c r="A171" s="3">
        <v>2037</v>
      </c>
      <c r="B171" s="1" t="s">
        <v>2319</v>
      </c>
      <c r="C171" s="1" t="s">
        <v>850</v>
      </c>
      <c r="D171" s="1">
        <v>4</v>
      </c>
      <c r="E171" s="1" t="s">
        <v>3087</v>
      </c>
      <c r="F171" s="1" t="s">
        <v>3084</v>
      </c>
      <c r="G171" s="1" t="s">
        <v>3051</v>
      </c>
      <c r="I171" s="1" t="s">
        <v>994</v>
      </c>
      <c r="N171" s="1" t="s">
        <v>3150</v>
      </c>
      <c r="O171" s="1">
        <v>2</v>
      </c>
      <c r="P171" s="17" t="s">
        <v>3569</v>
      </c>
      <c r="Q171" s="1" t="s">
        <v>33</v>
      </c>
      <c r="R171" s="1" t="s">
        <v>9</v>
      </c>
    </row>
    <row r="172" spans="1:18">
      <c r="A172" s="3">
        <v>2038</v>
      </c>
      <c r="B172" s="1" t="s">
        <v>2320</v>
      </c>
      <c r="C172" s="1" t="s">
        <v>850</v>
      </c>
      <c r="D172" s="1">
        <v>4</v>
      </c>
      <c r="E172" s="1" t="s">
        <v>3087</v>
      </c>
      <c r="F172" s="1" t="s">
        <v>3084</v>
      </c>
      <c r="G172" s="1" t="s">
        <v>3051</v>
      </c>
      <c r="I172" s="1" t="s">
        <v>1019</v>
      </c>
      <c r="N172" s="1" t="s">
        <v>3456</v>
      </c>
      <c r="O172" s="1">
        <v>1</v>
      </c>
      <c r="P172" s="17" t="s">
        <v>3527</v>
      </c>
      <c r="Q172" s="1" t="s">
        <v>175</v>
      </c>
      <c r="R172" s="1" t="s">
        <v>9</v>
      </c>
    </row>
    <row r="173" spans="1:18">
      <c r="A173" s="3">
        <v>2039</v>
      </c>
      <c r="B173" s="1" t="s">
        <v>2321</v>
      </c>
      <c r="C173" s="1" t="s">
        <v>849</v>
      </c>
      <c r="D173" s="1">
        <v>4</v>
      </c>
      <c r="E173" s="1" t="s">
        <v>3087</v>
      </c>
      <c r="F173" s="1" t="s">
        <v>3084</v>
      </c>
      <c r="G173" s="1" t="s">
        <v>3051</v>
      </c>
      <c r="I173" s="1" t="s">
        <v>1020</v>
      </c>
      <c r="J173" s="1" t="s">
        <v>995</v>
      </c>
      <c r="N173" s="1" t="s">
        <v>3456</v>
      </c>
      <c r="O173" s="1">
        <v>3</v>
      </c>
      <c r="P173" s="17" t="s">
        <v>3527</v>
      </c>
      <c r="Q173" s="1" t="s">
        <v>34</v>
      </c>
      <c r="R173" s="1" t="s">
        <v>9</v>
      </c>
    </row>
    <row r="174" spans="1:18">
      <c r="A174" s="3">
        <v>2040</v>
      </c>
      <c r="B174" s="1" t="s">
        <v>2322</v>
      </c>
      <c r="C174" s="1" t="s">
        <v>849</v>
      </c>
      <c r="D174" s="1">
        <v>4</v>
      </c>
      <c r="E174" s="1" t="s">
        <v>3087</v>
      </c>
      <c r="F174" s="1" t="s">
        <v>3084</v>
      </c>
      <c r="G174" s="1" t="s">
        <v>3051</v>
      </c>
      <c r="I174" s="1" t="s">
        <v>1021</v>
      </c>
      <c r="N174" s="1" t="s">
        <v>3150</v>
      </c>
      <c r="O174" s="1">
        <v>2</v>
      </c>
      <c r="P174" s="17" t="s">
        <v>3569</v>
      </c>
      <c r="Q174" s="1" t="s">
        <v>172</v>
      </c>
      <c r="R174" s="1" t="s">
        <v>9</v>
      </c>
    </row>
    <row r="175" spans="1:18">
      <c r="A175" s="3">
        <v>2041</v>
      </c>
      <c r="B175" s="1" t="s">
        <v>2323</v>
      </c>
      <c r="C175" s="1" t="s">
        <v>850</v>
      </c>
      <c r="D175" s="1">
        <v>4</v>
      </c>
      <c r="E175" s="1" t="s">
        <v>3083</v>
      </c>
      <c r="F175" s="1" t="s">
        <v>3084</v>
      </c>
      <c r="G175" s="1" t="s">
        <v>3051</v>
      </c>
      <c r="H175" s="1" t="s">
        <v>3065</v>
      </c>
      <c r="I175" s="1" t="s">
        <v>996</v>
      </c>
      <c r="J175" s="1" t="s">
        <v>1026</v>
      </c>
      <c r="N175" s="1" t="s">
        <v>3150</v>
      </c>
      <c r="O175" s="1">
        <v>0</v>
      </c>
      <c r="P175" s="17" t="s">
        <v>4050</v>
      </c>
      <c r="Q175" s="1" t="s">
        <v>10</v>
      </c>
      <c r="R175" s="1" t="s">
        <v>9</v>
      </c>
    </row>
    <row r="176" spans="1:18">
      <c r="A176" s="3">
        <v>2042</v>
      </c>
      <c r="B176" s="1" t="s">
        <v>2324</v>
      </c>
      <c r="C176" s="1" t="s">
        <v>849</v>
      </c>
      <c r="D176" s="1">
        <v>4</v>
      </c>
      <c r="E176" s="1" t="s">
        <v>3083</v>
      </c>
      <c r="F176" s="1" t="s">
        <v>3084</v>
      </c>
      <c r="G176" s="1" t="s">
        <v>3051</v>
      </c>
      <c r="I176" s="1" t="s">
        <v>997</v>
      </c>
      <c r="J176" s="1" t="s">
        <v>998</v>
      </c>
      <c r="N176" s="1" t="s">
        <v>3150</v>
      </c>
      <c r="O176" s="1">
        <v>1</v>
      </c>
      <c r="P176" s="17" t="s">
        <v>3533</v>
      </c>
      <c r="Q176" s="1" t="s">
        <v>180</v>
      </c>
      <c r="R176" s="1" t="s">
        <v>9</v>
      </c>
    </row>
    <row r="177" spans="1:19">
      <c r="A177" s="3">
        <v>68</v>
      </c>
      <c r="B177" s="3" t="s">
        <v>2213</v>
      </c>
      <c r="C177" s="3" t="s">
        <v>851</v>
      </c>
      <c r="D177" s="3">
        <v>5</v>
      </c>
      <c r="E177" s="3" t="s">
        <v>3083</v>
      </c>
      <c r="F177" s="3" t="s">
        <v>3084</v>
      </c>
      <c r="G177" s="3" t="s">
        <v>3058</v>
      </c>
      <c r="H177" s="3"/>
      <c r="I177" s="3" t="s">
        <v>839</v>
      </c>
      <c r="J177" s="3" t="s">
        <v>3406</v>
      </c>
      <c r="K177" s="3"/>
      <c r="L177" s="3"/>
      <c r="M177" s="3"/>
      <c r="N177" s="2" t="s">
        <v>3456</v>
      </c>
      <c r="O177" s="3">
        <v>3</v>
      </c>
      <c r="P177" s="60" t="s">
        <v>3569</v>
      </c>
      <c r="Q177" s="3" t="s">
        <v>38</v>
      </c>
      <c r="R177" s="3" t="s">
        <v>4</v>
      </c>
      <c r="S177" s="3"/>
    </row>
    <row r="178" spans="1:19">
      <c r="A178" s="4">
        <v>69</v>
      </c>
      <c r="B178" s="4" t="s">
        <v>2214</v>
      </c>
      <c r="C178" s="4" t="s">
        <v>851</v>
      </c>
      <c r="D178" s="5">
        <v>5</v>
      </c>
      <c r="E178" s="4" t="s">
        <v>3083</v>
      </c>
      <c r="F178" s="4" t="s">
        <v>3084</v>
      </c>
      <c r="G178" s="4" t="s">
        <v>3054</v>
      </c>
      <c r="H178" s="4"/>
      <c r="I178" s="4" t="s">
        <v>1</v>
      </c>
      <c r="J178" s="4" t="s">
        <v>840</v>
      </c>
      <c r="K178" s="4"/>
      <c r="L178" s="4"/>
      <c r="M178" s="4"/>
      <c r="N178" s="5" t="s">
        <v>3150</v>
      </c>
      <c r="O178" s="4">
        <v>3</v>
      </c>
      <c r="P178" s="19" t="s">
        <v>3569</v>
      </c>
      <c r="Q178" s="4" t="s">
        <v>52</v>
      </c>
      <c r="R178" s="3" t="s">
        <v>4</v>
      </c>
      <c r="S178" s="4"/>
    </row>
    <row r="179" spans="1:19">
      <c r="A179" s="3">
        <v>70</v>
      </c>
      <c r="B179" s="1" t="s">
        <v>2215</v>
      </c>
      <c r="C179" s="1" t="s">
        <v>851</v>
      </c>
      <c r="D179" s="2">
        <v>5</v>
      </c>
      <c r="E179" s="1" t="s">
        <v>3083</v>
      </c>
      <c r="F179" s="1" t="s">
        <v>3084</v>
      </c>
      <c r="G179" s="1" t="s">
        <v>3051</v>
      </c>
      <c r="I179" s="1" t="s">
        <v>841</v>
      </c>
      <c r="N179" s="2" t="s">
        <v>3150</v>
      </c>
      <c r="O179" s="1">
        <v>1</v>
      </c>
      <c r="P179" s="17" t="s">
        <v>3522</v>
      </c>
      <c r="Q179" s="1" t="s">
        <v>6</v>
      </c>
      <c r="R179" s="1" t="s">
        <v>4</v>
      </c>
    </row>
    <row r="180" spans="1:19">
      <c r="A180" s="4">
        <v>71</v>
      </c>
      <c r="B180" s="4" t="s">
        <v>2216</v>
      </c>
      <c r="C180" s="4" t="s">
        <v>851</v>
      </c>
      <c r="D180" s="5">
        <v>5</v>
      </c>
      <c r="E180" s="4" t="s">
        <v>3083</v>
      </c>
      <c r="F180" s="4" t="s">
        <v>3084</v>
      </c>
      <c r="G180" s="4" t="s">
        <v>3070</v>
      </c>
      <c r="H180" s="4"/>
      <c r="I180" s="4" t="s">
        <v>842</v>
      </c>
      <c r="J180" s="4"/>
      <c r="K180" s="4"/>
      <c r="L180" s="4"/>
      <c r="M180" s="4"/>
      <c r="N180" s="5" t="s">
        <v>3150</v>
      </c>
      <c r="O180" s="4">
        <v>3</v>
      </c>
      <c r="P180" s="19" t="s">
        <v>3522</v>
      </c>
      <c r="Q180" s="4" t="s">
        <v>30</v>
      </c>
      <c r="R180" s="3" t="s">
        <v>4</v>
      </c>
    </row>
    <row r="181" spans="1:19">
      <c r="A181" s="3">
        <v>72</v>
      </c>
      <c r="B181" s="3" t="s">
        <v>2217</v>
      </c>
      <c r="C181" s="3" t="s">
        <v>852</v>
      </c>
      <c r="D181" s="14">
        <v>5</v>
      </c>
      <c r="E181" s="3" t="s">
        <v>3083</v>
      </c>
      <c r="F181" s="3" t="s">
        <v>3084</v>
      </c>
      <c r="G181" s="3" t="s">
        <v>3051</v>
      </c>
      <c r="H181" s="3"/>
      <c r="I181" s="3" t="s">
        <v>1</v>
      </c>
      <c r="J181" s="3" t="s">
        <v>843</v>
      </c>
      <c r="K181" s="3"/>
      <c r="L181" s="3"/>
      <c r="M181" s="3"/>
      <c r="N181" s="14" t="s">
        <v>3456</v>
      </c>
      <c r="O181" s="3">
        <v>2</v>
      </c>
      <c r="P181" s="60" t="s">
        <v>3569</v>
      </c>
      <c r="Q181" s="3" t="s">
        <v>40</v>
      </c>
      <c r="R181" s="3" t="s">
        <v>4</v>
      </c>
      <c r="S181" s="4"/>
    </row>
    <row r="182" spans="1:19">
      <c r="A182" s="3">
        <v>1066</v>
      </c>
      <c r="B182" s="8" t="s">
        <v>2279</v>
      </c>
      <c r="C182" s="8" t="s">
        <v>852</v>
      </c>
      <c r="D182" s="8">
        <v>5</v>
      </c>
      <c r="E182" s="8" t="s">
        <v>3083</v>
      </c>
      <c r="F182" s="8" t="s">
        <v>3084</v>
      </c>
      <c r="G182" s="8" t="s">
        <v>3063</v>
      </c>
      <c r="H182" s="8"/>
      <c r="I182" s="8" t="s">
        <v>1</v>
      </c>
      <c r="J182" s="8" t="s">
        <v>935</v>
      </c>
      <c r="K182" s="8"/>
      <c r="L182" s="8"/>
      <c r="M182" s="8"/>
      <c r="N182" s="8" t="s">
        <v>3150</v>
      </c>
      <c r="O182" s="8">
        <v>0</v>
      </c>
      <c r="P182" s="62" t="s">
        <v>3527</v>
      </c>
      <c r="Q182" s="8" t="s">
        <v>26</v>
      </c>
      <c r="R182" s="8" t="s">
        <v>7</v>
      </c>
    </row>
    <row r="183" spans="1:19">
      <c r="A183" s="3">
        <v>2043</v>
      </c>
      <c r="B183" s="1" t="s">
        <v>2325</v>
      </c>
      <c r="C183" s="1" t="s">
        <v>1009</v>
      </c>
      <c r="D183" s="1">
        <v>5</v>
      </c>
      <c r="E183" s="1" t="s">
        <v>3087</v>
      </c>
      <c r="F183" s="1" t="s">
        <v>3084</v>
      </c>
      <c r="G183" s="1" t="s">
        <v>3051</v>
      </c>
      <c r="I183" s="1" t="s">
        <v>999</v>
      </c>
      <c r="N183" s="1" t="s">
        <v>3456</v>
      </c>
      <c r="O183" s="1">
        <v>0</v>
      </c>
      <c r="P183" s="17" t="s">
        <v>3569</v>
      </c>
      <c r="Q183" s="1" t="s">
        <v>175</v>
      </c>
      <c r="R183" s="1" t="s">
        <v>9</v>
      </c>
    </row>
    <row r="184" spans="1:19">
      <c r="A184" s="3">
        <v>2044</v>
      </c>
      <c r="B184" s="1" t="s">
        <v>2326</v>
      </c>
      <c r="C184" s="1" t="s">
        <v>1009</v>
      </c>
      <c r="D184" s="1">
        <v>5</v>
      </c>
      <c r="E184" s="1" t="s">
        <v>3087</v>
      </c>
      <c r="F184" s="1" t="s">
        <v>3084</v>
      </c>
      <c r="G184" s="1" t="s">
        <v>3051</v>
      </c>
      <c r="I184" s="1" t="s">
        <v>12</v>
      </c>
      <c r="J184" s="1" t="s">
        <v>1000</v>
      </c>
      <c r="K184" s="1" t="s">
        <v>1001</v>
      </c>
      <c r="N184" s="1" t="s">
        <v>3150</v>
      </c>
      <c r="O184" s="1">
        <v>3</v>
      </c>
      <c r="P184" s="17" t="s">
        <v>3522</v>
      </c>
      <c r="Q184" s="1" t="s">
        <v>31</v>
      </c>
      <c r="R184" s="1" t="s">
        <v>9</v>
      </c>
    </row>
    <row r="185" spans="1:19">
      <c r="A185" s="3">
        <v>2045</v>
      </c>
      <c r="B185" s="1" t="s">
        <v>2327</v>
      </c>
      <c r="C185" s="1" t="s">
        <v>1009</v>
      </c>
      <c r="D185" s="1">
        <v>5</v>
      </c>
      <c r="E185" s="1" t="s">
        <v>3083</v>
      </c>
      <c r="F185" s="1" t="s">
        <v>3084</v>
      </c>
      <c r="G185" s="1" t="s">
        <v>3051</v>
      </c>
      <c r="I185" s="1" t="s">
        <v>979</v>
      </c>
      <c r="J185" s="1" t="s">
        <v>1002</v>
      </c>
      <c r="N185" s="1" t="s">
        <v>3456</v>
      </c>
      <c r="O185" s="1">
        <v>2</v>
      </c>
      <c r="P185" s="17" t="s">
        <v>3527</v>
      </c>
      <c r="Q185" s="1" t="s">
        <v>34</v>
      </c>
      <c r="R185" s="1" t="s">
        <v>9</v>
      </c>
    </row>
    <row r="186" spans="1:19">
      <c r="A186" s="3">
        <v>2046</v>
      </c>
      <c r="B186" s="1" t="s">
        <v>2328</v>
      </c>
      <c r="C186" s="1" t="s">
        <v>852</v>
      </c>
      <c r="D186" s="1">
        <v>5</v>
      </c>
      <c r="E186" s="1" t="s">
        <v>3083</v>
      </c>
      <c r="F186" s="1" t="s">
        <v>3084</v>
      </c>
      <c r="G186" s="1" t="s">
        <v>3051</v>
      </c>
      <c r="I186" s="1" t="s">
        <v>1003</v>
      </c>
      <c r="N186" s="1" t="s">
        <v>3456</v>
      </c>
      <c r="O186" s="1">
        <v>2</v>
      </c>
      <c r="P186" s="17" t="s">
        <v>3527</v>
      </c>
      <c r="Q186" s="1" t="s">
        <v>48</v>
      </c>
      <c r="R186" s="1" t="s">
        <v>9</v>
      </c>
    </row>
    <row r="187" spans="1:19">
      <c r="A187" s="3">
        <v>2047</v>
      </c>
      <c r="B187" s="1" t="s">
        <v>2329</v>
      </c>
      <c r="C187" s="1" t="s">
        <v>851</v>
      </c>
      <c r="D187" s="1">
        <v>5</v>
      </c>
      <c r="E187" s="1" t="s">
        <v>3087</v>
      </c>
      <c r="F187" s="1" t="s">
        <v>3084</v>
      </c>
      <c r="G187" s="1" t="s">
        <v>3051</v>
      </c>
      <c r="I187" s="1" t="s">
        <v>1004</v>
      </c>
      <c r="N187" s="1" t="s">
        <v>3456</v>
      </c>
      <c r="O187" s="1">
        <v>3</v>
      </c>
      <c r="P187" s="17" t="s">
        <v>3527</v>
      </c>
      <c r="Q187" s="1" t="s">
        <v>49</v>
      </c>
      <c r="R187" s="1" t="s">
        <v>9</v>
      </c>
    </row>
    <row r="188" spans="1:19">
      <c r="A188" s="3">
        <v>2048</v>
      </c>
      <c r="B188" s="1" t="s">
        <v>2330</v>
      </c>
      <c r="C188" s="1" t="s">
        <v>852</v>
      </c>
      <c r="D188" s="1">
        <v>5</v>
      </c>
      <c r="E188" s="1" t="s">
        <v>3087</v>
      </c>
      <c r="F188" s="1" t="s">
        <v>3084</v>
      </c>
      <c r="G188" s="1" t="s">
        <v>3072</v>
      </c>
      <c r="I188" s="1" t="s">
        <v>1022</v>
      </c>
      <c r="J188" s="1" t="s">
        <v>1005</v>
      </c>
      <c r="K188" s="1" t="s">
        <v>1006</v>
      </c>
      <c r="N188" s="1" t="s">
        <v>3150</v>
      </c>
      <c r="O188" s="1">
        <v>3</v>
      </c>
      <c r="P188" s="17" t="s">
        <v>3522</v>
      </c>
      <c r="Q188" s="1" t="s">
        <v>183</v>
      </c>
      <c r="R188" s="1" t="s">
        <v>9</v>
      </c>
    </row>
    <row r="189" spans="1:19">
      <c r="A189" s="3">
        <v>2049</v>
      </c>
      <c r="B189" s="1" t="s">
        <v>2331</v>
      </c>
      <c r="C189" s="1" t="s">
        <v>852</v>
      </c>
      <c r="D189" s="1">
        <v>5</v>
      </c>
      <c r="E189" s="1" t="s">
        <v>3083</v>
      </c>
      <c r="F189" s="1" t="s">
        <v>3084</v>
      </c>
      <c r="G189" s="1" t="s">
        <v>3051</v>
      </c>
      <c r="I189" s="1" t="s">
        <v>1007</v>
      </c>
      <c r="N189" s="1" t="s">
        <v>3456</v>
      </c>
      <c r="O189" s="1">
        <v>3</v>
      </c>
      <c r="P189" s="17" t="s">
        <v>3527</v>
      </c>
      <c r="Q189" s="1" t="s">
        <v>31</v>
      </c>
      <c r="R189" s="1" t="s">
        <v>9</v>
      </c>
    </row>
    <row r="190" spans="1:19">
      <c r="A190" s="3">
        <v>3007</v>
      </c>
      <c r="B190" s="1" t="s">
        <v>2337</v>
      </c>
      <c r="C190" s="1" t="s">
        <v>852</v>
      </c>
      <c r="D190" s="1">
        <v>5</v>
      </c>
      <c r="E190" s="1" t="s">
        <v>3083</v>
      </c>
      <c r="F190" s="1" t="s">
        <v>3084</v>
      </c>
      <c r="G190" s="1" t="s">
        <v>3051</v>
      </c>
      <c r="I190" s="1" t="s">
        <v>1035</v>
      </c>
      <c r="J190" s="1" t="s">
        <v>1036</v>
      </c>
      <c r="K190" s="1" t="s">
        <v>1037</v>
      </c>
      <c r="L190" s="1" t="s">
        <v>579</v>
      </c>
      <c r="M190" s="1" t="s">
        <v>1038</v>
      </c>
      <c r="N190" s="1" t="s">
        <v>3456</v>
      </c>
      <c r="O190" s="1">
        <v>3</v>
      </c>
      <c r="P190" s="17" t="s">
        <v>3522</v>
      </c>
      <c r="Q190" s="1" t="s">
        <v>48</v>
      </c>
      <c r="R190" s="1" t="s">
        <v>41</v>
      </c>
    </row>
    <row r="191" spans="1:19">
      <c r="A191" s="3">
        <v>3008</v>
      </c>
      <c r="B191" s="1" t="s">
        <v>2338</v>
      </c>
      <c r="C191" s="1" t="s">
        <v>852</v>
      </c>
      <c r="D191" s="1">
        <v>5</v>
      </c>
      <c r="E191" s="1" t="s">
        <v>3083</v>
      </c>
      <c r="F191" s="1" t="s">
        <v>3084</v>
      </c>
      <c r="G191" s="1" t="s">
        <v>3051</v>
      </c>
      <c r="I191" s="1" t="s">
        <v>1039</v>
      </c>
      <c r="N191" s="1" t="s">
        <v>3456</v>
      </c>
      <c r="O191" s="1">
        <v>1</v>
      </c>
      <c r="P191" s="17" t="s">
        <v>3533</v>
      </c>
      <c r="Q191" s="1" t="s">
        <v>44</v>
      </c>
      <c r="R191" s="1" t="s">
        <v>41</v>
      </c>
    </row>
    <row r="192" spans="1:19">
      <c r="A192" s="4">
        <v>73</v>
      </c>
      <c r="B192" s="4" t="s">
        <v>4060</v>
      </c>
      <c r="C192" s="4" t="s">
        <v>4061</v>
      </c>
      <c r="D192" s="4">
        <v>6</v>
      </c>
      <c r="E192" s="4" t="s">
        <v>3094</v>
      </c>
      <c r="F192" s="4" t="s">
        <v>3097</v>
      </c>
      <c r="G192" s="4" t="s">
        <v>3071</v>
      </c>
      <c r="H192" s="4"/>
      <c r="I192" s="4" t="s">
        <v>4062</v>
      </c>
      <c r="J192" s="4" t="s">
        <v>4063</v>
      </c>
      <c r="K192" s="4"/>
      <c r="L192" s="4"/>
      <c r="M192" s="4"/>
      <c r="N192" s="4" t="s">
        <v>3150</v>
      </c>
      <c r="O192" s="4">
        <v>3</v>
      </c>
      <c r="P192" s="4">
        <v>5</v>
      </c>
      <c r="Q192" s="4" t="s">
        <v>4056</v>
      </c>
      <c r="R192" s="1" t="s">
        <v>4</v>
      </c>
    </row>
    <row r="193" spans="1:18">
      <c r="A193" s="3">
        <v>1067</v>
      </c>
      <c r="B193" s="1" t="s">
        <v>2280</v>
      </c>
      <c r="C193" s="1" t="s">
        <v>944</v>
      </c>
      <c r="D193" s="1">
        <v>6</v>
      </c>
      <c r="E193" s="1" t="s">
        <v>3086</v>
      </c>
      <c r="F193" s="1" t="s">
        <v>3084</v>
      </c>
      <c r="G193" s="1" t="s">
        <v>3051</v>
      </c>
      <c r="I193" s="1" t="s">
        <v>887</v>
      </c>
      <c r="J193" s="1" t="s">
        <v>936</v>
      </c>
      <c r="N193" s="1" t="s">
        <v>3456</v>
      </c>
      <c r="O193" s="1">
        <v>3</v>
      </c>
      <c r="P193" s="17" t="s">
        <v>3569</v>
      </c>
      <c r="Q193" s="1" t="s">
        <v>40</v>
      </c>
      <c r="R193" s="1" t="s">
        <v>7</v>
      </c>
    </row>
    <row r="194" spans="1:18">
      <c r="A194" s="4">
        <v>1068</v>
      </c>
      <c r="B194" s="4" t="s">
        <v>2281</v>
      </c>
      <c r="C194" s="4" t="s">
        <v>944</v>
      </c>
      <c r="D194" s="4">
        <v>6</v>
      </c>
      <c r="E194" s="4" t="s">
        <v>3083</v>
      </c>
      <c r="F194" s="4" t="s">
        <v>3084</v>
      </c>
      <c r="G194" s="4" t="s">
        <v>3063</v>
      </c>
      <c r="H194" s="4"/>
      <c r="I194" s="4" t="s">
        <v>937</v>
      </c>
      <c r="J194" s="4" t="s">
        <v>1</v>
      </c>
      <c r="K194" s="4"/>
      <c r="L194" s="4"/>
      <c r="M194" s="4"/>
      <c r="N194" s="4" t="s">
        <v>3456</v>
      </c>
      <c r="O194" s="4">
        <v>4</v>
      </c>
      <c r="P194" s="19" t="s">
        <v>3527</v>
      </c>
      <c r="Q194" s="4" t="s">
        <v>35</v>
      </c>
      <c r="R194" s="1" t="s">
        <v>7</v>
      </c>
    </row>
    <row r="195" spans="1:18">
      <c r="A195" s="3">
        <v>1069</v>
      </c>
      <c r="B195" s="1" t="s">
        <v>2282</v>
      </c>
      <c r="C195" s="1" t="s">
        <v>944</v>
      </c>
      <c r="D195" s="1">
        <v>6</v>
      </c>
      <c r="E195" s="1" t="s">
        <v>3083</v>
      </c>
      <c r="F195" s="1" t="s">
        <v>3084</v>
      </c>
      <c r="G195" s="1" t="s">
        <v>3059</v>
      </c>
      <c r="H195" s="1" t="s">
        <v>3065</v>
      </c>
      <c r="I195" s="1" t="s">
        <v>938</v>
      </c>
      <c r="J195" s="1" t="s">
        <v>939</v>
      </c>
      <c r="N195" s="1" t="s">
        <v>3150</v>
      </c>
      <c r="O195" s="1">
        <v>0</v>
      </c>
      <c r="P195" s="17" t="s">
        <v>4050</v>
      </c>
      <c r="Q195" s="1" t="s">
        <v>184</v>
      </c>
      <c r="R195" s="1" t="s">
        <v>7</v>
      </c>
    </row>
  </sheetData>
  <autoFilter ref="A1:S393"/>
  <sortState ref="A2:S195">
    <sortCondition ref="D2:D195"/>
    <sortCondition ref="A2:A195"/>
  </sortSt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161"/>
  <sheetViews>
    <sheetView zoomScale="70" zoomScaleNormal="70" workbookViewId="0">
      <pane ySplit="1" topLeftCell="A2" activePane="bottomLeft" state="frozen"/>
      <selection pane="bottomLeft" sqref="A1:XFD1048576"/>
    </sheetView>
  </sheetViews>
  <sheetFormatPr defaultRowHeight="13.5"/>
  <cols>
    <col min="1" max="14" width="9" style="1"/>
    <col min="15" max="15" width="6.25" style="1" bestFit="1" customWidth="1"/>
    <col min="16" max="16" width="6" style="1" bestFit="1" customWidth="1"/>
    <col min="17" max="16384" width="9" style="1"/>
  </cols>
  <sheetData>
    <row r="1" spans="1:23">
      <c r="B1" s="1" t="s">
        <v>3151</v>
      </c>
      <c r="C1" s="1" t="s">
        <v>3152</v>
      </c>
      <c r="D1" s="1" t="s">
        <v>3160</v>
      </c>
      <c r="E1" s="1" t="s">
        <v>3153</v>
      </c>
      <c r="F1" s="1" t="s">
        <v>3154</v>
      </c>
      <c r="G1" s="1" t="s">
        <v>3155</v>
      </c>
      <c r="H1" s="1" t="s">
        <v>3156</v>
      </c>
      <c r="I1" s="1" t="s">
        <v>3157</v>
      </c>
      <c r="N1" s="2" t="s">
        <v>3456</v>
      </c>
      <c r="O1" s="64" t="s">
        <v>4051</v>
      </c>
      <c r="P1" s="64" t="s">
        <v>4052</v>
      </c>
      <c r="Q1" s="1" t="s">
        <v>3159</v>
      </c>
      <c r="T1" s="4" t="s">
        <v>3881</v>
      </c>
      <c r="U1" s="8" t="s">
        <v>3882</v>
      </c>
      <c r="V1" s="9" t="s">
        <v>3906</v>
      </c>
      <c r="W1" s="10" t="s">
        <v>3907</v>
      </c>
    </row>
    <row r="2" spans="1:23">
      <c r="A2" s="3">
        <v>1</v>
      </c>
      <c r="B2" s="14" t="s">
        <v>2339</v>
      </c>
      <c r="C2" s="14" t="s">
        <v>1099</v>
      </c>
      <c r="D2" s="14">
        <v>1</v>
      </c>
      <c r="E2" s="14" t="s">
        <v>3083</v>
      </c>
      <c r="F2" s="14" t="s">
        <v>3084</v>
      </c>
      <c r="G2" s="14" t="s">
        <v>3055</v>
      </c>
      <c r="H2" s="14"/>
      <c r="I2" s="14" t="s">
        <v>75</v>
      </c>
      <c r="J2" s="14" t="s">
        <v>3925</v>
      </c>
      <c r="K2" s="14" t="s">
        <v>3926</v>
      </c>
      <c r="L2" s="14"/>
      <c r="M2" s="14"/>
      <c r="N2" s="14" t="s">
        <v>3456</v>
      </c>
      <c r="O2" s="14">
        <v>1</v>
      </c>
      <c r="P2" s="70" t="s">
        <v>3533</v>
      </c>
      <c r="Q2" s="3" t="s">
        <v>170</v>
      </c>
      <c r="R2" s="3" t="s">
        <v>4</v>
      </c>
      <c r="T2" s="1">
        <f t="shared" ref="T2:T16" si="0">COUNTIF(F:H,U2)</f>
        <v>20</v>
      </c>
      <c r="U2" s="1" t="s">
        <v>3055</v>
      </c>
    </row>
    <row r="3" spans="1:23">
      <c r="A3" s="1">
        <v>2</v>
      </c>
      <c r="B3" s="1" t="s">
        <v>2340</v>
      </c>
      <c r="C3" s="1" t="s">
        <v>1099</v>
      </c>
      <c r="D3" s="2">
        <v>1</v>
      </c>
      <c r="E3" s="1" t="s">
        <v>3083</v>
      </c>
      <c r="F3" s="1" t="s">
        <v>3084</v>
      </c>
      <c r="G3" s="1" t="s">
        <v>3053</v>
      </c>
      <c r="I3" s="1" t="s">
        <v>1042</v>
      </c>
      <c r="J3" s="1" t="s">
        <v>1115</v>
      </c>
      <c r="N3" s="2"/>
      <c r="O3" s="1">
        <v>1</v>
      </c>
      <c r="P3" s="17" t="s">
        <v>3533</v>
      </c>
      <c r="Q3" s="1" t="s">
        <v>180</v>
      </c>
      <c r="R3" s="1" t="s">
        <v>4</v>
      </c>
      <c r="T3" s="1">
        <f t="shared" si="0"/>
        <v>17</v>
      </c>
      <c r="U3" s="1" t="s">
        <v>3053</v>
      </c>
    </row>
    <row r="4" spans="1:23">
      <c r="A4" s="3">
        <v>3</v>
      </c>
      <c r="B4" s="3" t="s">
        <v>2341</v>
      </c>
      <c r="C4" s="3" t="s">
        <v>1099</v>
      </c>
      <c r="D4" s="3">
        <v>1</v>
      </c>
      <c r="E4" s="3" t="s">
        <v>3083</v>
      </c>
      <c r="F4" s="3" t="s">
        <v>3084</v>
      </c>
      <c r="G4" s="3" t="s">
        <v>3071</v>
      </c>
      <c r="H4" s="3"/>
      <c r="I4" s="3" t="s">
        <v>3455</v>
      </c>
      <c r="J4" s="3"/>
      <c r="K4" s="3"/>
      <c r="L4" s="3"/>
      <c r="M4" s="3"/>
      <c r="N4" s="14" t="s">
        <v>3150</v>
      </c>
      <c r="O4" s="3">
        <v>1</v>
      </c>
      <c r="P4" s="60" t="s">
        <v>3533</v>
      </c>
      <c r="Q4" s="3" t="s">
        <v>35</v>
      </c>
      <c r="R4" s="3" t="s">
        <v>4</v>
      </c>
      <c r="S4" s="11"/>
      <c r="T4" s="1">
        <f t="shared" si="0"/>
        <v>26</v>
      </c>
      <c r="U4" s="1" t="s">
        <v>3071</v>
      </c>
    </row>
    <row r="5" spans="1:23">
      <c r="A5" s="1">
        <v>4</v>
      </c>
      <c r="B5" s="1" t="s">
        <v>2342</v>
      </c>
      <c r="C5" s="1" t="s">
        <v>1099</v>
      </c>
      <c r="D5" s="1">
        <v>1</v>
      </c>
      <c r="E5" s="1" t="s">
        <v>3083</v>
      </c>
      <c r="F5" s="1" t="s">
        <v>3084</v>
      </c>
      <c r="G5" s="1" t="s">
        <v>3051</v>
      </c>
      <c r="I5" s="1" t="s">
        <v>1043</v>
      </c>
      <c r="N5" s="2" t="s">
        <v>3456</v>
      </c>
      <c r="O5" s="1">
        <v>1</v>
      </c>
      <c r="P5" s="17" t="s">
        <v>3533</v>
      </c>
      <c r="Q5" s="1" t="s">
        <v>170</v>
      </c>
      <c r="R5" s="1" t="s">
        <v>4</v>
      </c>
      <c r="T5" s="1">
        <f t="shared" si="0"/>
        <v>28</v>
      </c>
      <c r="U5" s="1" t="s">
        <v>3051</v>
      </c>
    </row>
    <row r="6" spans="1:23">
      <c r="A6" s="4">
        <v>5</v>
      </c>
      <c r="B6" s="4" t="s">
        <v>2343</v>
      </c>
      <c r="C6" s="4" t="s">
        <v>1099</v>
      </c>
      <c r="D6" s="4">
        <v>1</v>
      </c>
      <c r="E6" s="4" t="s">
        <v>3083</v>
      </c>
      <c r="F6" s="4" t="s">
        <v>3084</v>
      </c>
      <c r="G6" s="4" t="s">
        <v>3071</v>
      </c>
      <c r="H6" s="4"/>
      <c r="I6" s="4" t="s">
        <v>1044</v>
      </c>
      <c r="J6" s="4"/>
      <c r="K6" s="4"/>
      <c r="L6" s="4"/>
      <c r="M6" s="4"/>
      <c r="N6" s="5" t="s">
        <v>3456</v>
      </c>
      <c r="O6" s="4">
        <v>1</v>
      </c>
      <c r="P6" s="19" t="s">
        <v>3533</v>
      </c>
      <c r="Q6" s="4" t="s">
        <v>26</v>
      </c>
      <c r="R6" s="4" t="s">
        <v>4</v>
      </c>
      <c r="T6" s="1">
        <f t="shared" si="0"/>
        <v>9</v>
      </c>
      <c r="U6" s="1" t="s">
        <v>3075</v>
      </c>
    </row>
    <row r="7" spans="1:23">
      <c r="A7" s="1">
        <v>6</v>
      </c>
      <c r="B7" s="3" t="s">
        <v>2344</v>
      </c>
      <c r="C7" s="3" t="s">
        <v>1099</v>
      </c>
      <c r="D7" s="3">
        <v>1</v>
      </c>
      <c r="E7" s="3" t="s">
        <v>3083</v>
      </c>
      <c r="F7" s="3" t="s">
        <v>3084</v>
      </c>
      <c r="G7" s="3" t="s">
        <v>3075</v>
      </c>
      <c r="H7" s="3"/>
      <c r="I7" s="3" t="s">
        <v>1045</v>
      </c>
      <c r="J7" s="3"/>
      <c r="K7" s="3"/>
      <c r="L7" s="3"/>
      <c r="M7" s="3"/>
      <c r="N7" s="14" t="s">
        <v>3456</v>
      </c>
      <c r="O7" s="3">
        <v>1</v>
      </c>
      <c r="P7" s="60" t="s">
        <v>3533</v>
      </c>
      <c r="Q7" s="3" t="s">
        <v>15</v>
      </c>
      <c r="R7" s="3" t="s">
        <v>4</v>
      </c>
      <c r="S7" s="11"/>
      <c r="T7" s="1">
        <f t="shared" si="0"/>
        <v>15</v>
      </c>
      <c r="U7" s="1" t="s">
        <v>3070</v>
      </c>
    </row>
    <row r="8" spans="1:23">
      <c r="A8" s="3">
        <v>7</v>
      </c>
      <c r="B8" s="1" t="s">
        <v>2345</v>
      </c>
      <c r="C8" s="1" t="s">
        <v>1099</v>
      </c>
      <c r="D8" s="1">
        <v>1</v>
      </c>
      <c r="E8" s="1" t="s">
        <v>3083</v>
      </c>
      <c r="F8" s="1" t="s">
        <v>3084</v>
      </c>
      <c r="G8" s="1" t="s">
        <v>3070</v>
      </c>
      <c r="I8" s="1" t="s">
        <v>1046</v>
      </c>
      <c r="N8" s="2" t="s">
        <v>3456</v>
      </c>
      <c r="O8" s="1">
        <v>1</v>
      </c>
      <c r="P8" s="17" t="s">
        <v>3533</v>
      </c>
      <c r="Q8" s="1" t="s">
        <v>36</v>
      </c>
      <c r="R8" s="1" t="s">
        <v>4</v>
      </c>
      <c r="T8" s="1">
        <f t="shared" si="0"/>
        <v>4</v>
      </c>
      <c r="U8" s="1" t="s">
        <v>3052</v>
      </c>
    </row>
    <row r="9" spans="1:23">
      <c r="A9" s="1">
        <v>8</v>
      </c>
      <c r="B9" s="1" t="s">
        <v>2346</v>
      </c>
      <c r="C9" s="1" t="s">
        <v>1099</v>
      </c>
      <c r="D9" s="1">
        <v>1</v>
      </c>
      <c r="E9" s="1" t="s">
        <v>3083</v>
      </c>
      <c r="F9" s="1" t="s">
        <v>3084</v>
      </c>
      <c r="G9" s="1" t="s">
        <v>3051</v>
      </c>
      <c r="I9" s="1" t="s">
        <v>1047</v>
      </c>
      <c r="N9" s="2" t="s">
        <v>3456</v>
      </c>
      <c r="O9" s="1">
        <v>1</v>
      </c>
      <c r="P9" s="17" t="s">
        <v>3533</v>
      </c>
      <c r="Q9" s="1" t="s">
        <v>8</v>
      </c>
      <c r="R9" s="1" t="s">
        <v>4</v>
      </c>
      <c r="T9" s="1">
        <f t="shared" si="0"/>
        <v>1</v>
      </c>
      <c r="U9" s="1" t="s">
        <v>3050</v>
      </c>
    </row>
    <row r="10" spans="1:23">
      <c r="A10" s="3">
        <v>9</v>
      </c>
      <c r="B10" s="1" t="s">
        <v>2347</v>
      </c>
      <c r="C10" s="1" t="s">
        <v>1099</v>
      </c>
      <c r="D10" s="1">
        <v>1</v>
      </c>
      <c r="E10" s="1" t="s">
        <v>3083</v>
      </c>
      <c r="F10" s="1" t="s">
        <v>3084</v>
      </c>
      <c r="G10" s="1" t="s">
        <v>3051</v>
      </c>
      <c r="I10" s="1" t="s">
        <v>1048</v>
      </c>
      <c r="N10" s="2" t="s">
        <v>3456</v>
      </c>
      <c r="O10" s="1">
        <v>1</v>
      </c>
      <c r="P10" s="17" t="s">
        <v>3533</v>
      </c>
      <c r="Q10" s="1" t="s">
        <v>49</v>
      </c>
      <c r="R10" s="1" t="s">
        <v>4</v>
      </c>
      <c r="T10" s="1">
        <f t="shared" si="0"/>
        <v>5</v>
      </c>
      <c r="U10" s="1" t="s">
        <v>3063</v>
      </c>
    </row>
    <row r="11" spans="1:23">
      <c r="A11" s="1">
        <v>10</v>
      </c>
      <c r="B11" s="1" t="s">
        <v>2348</v>
      </c>
      <c r="C11" s="1" t="s">
        <v>1099</v>
      </c>
      <c r="D11" s="1">
        <v>1</v>
      </c>
      <c r="E11" s="1" t="s">
        <v>3083</v>
      </c>
      <c r="F11" s="1" t="s">
        <v>3084</v>
      </c>
      <c r="G11" s="1" t="s">
        <v>3053</v>
      </c>
      <c r="I11" s="1" t="s">
        <v>1049</v>
      </c>
      <c r="N11" s="2" t="s">
        <v>3456</v>
      </c>
      <c r="O11" s="1">
        <v>1</v>
      </c>
      <c r="P11" s="17" t="s">
        <v>3533</v>
      </c>
      <c r="Q11" s="1" t="s">
        <v>168</v>
      </c>
      <c r="R11" s="1" t="s">
        <v>4</v>
      </c>
      <c r="T11" s="1">
        <f t="shared" si="0"/>
        <v>1</v>
      </c>
      <c r="U11" s="1" t="s">
        <v>3062</v>
      </c>
    </row>
    <row r="12" spans="1:23">
      <c r="A12" s="3">
        <v>11</v>
      </c>
      <c r="B12" s="1" t="s">
        <v>2349</v>
      </c>
      <c r="C12" s="1" t="s">
        <v>1099</v>
      </c>
      <c r="D12" s="1">
        <v>1</v>
      </c>
      <c r="E12" s="1" t="s">
        <v>3083</v>
      </c>
      <c r="F12" s="1" t="s">
        <v>3084</v>
      </c>
      <c r="G12" s="1" t="s">
        <v>3071</v>
      </c>
      <c r="I12" s="1" t="s">
        <v>1106</v>
      </c>
      <c r="N12" s="2" t="s">
        <v>3456</v>
      </c>
      <c r="O12" s="1">
        <v>1</v>
      </c>
      <c r="P12" s="17" t="s">
        <v>3533</v>
      </c>
      <c r="Q12" s="1" t="s">
        <v>175</v>
      </c>
      <c r="R12" s="1" t="s">
        <v>4</v>
      </c>
      <c r="T12" s="1">
        <f t="shared" si="0"/>
        <v>15</v>
      </c>
      <c r="U12" s="1" t="s">
        <v>3076</v>
      </c>
    </row>
    <row r="13" spans="1:23">
      <c r="A13" s="1">
        <v>12</v>
      </c>
      <c r="B13" s="1" t="s">
        <v>2350</v>
      </c>
      <c r="C13" s="1" t="s">
        <v>1099</v>
      </c>
      <c r="D13" s="1">
        <v>1</v>
      </c>
      <c r="E13" s="1" t="s">
        <v>3083</v>
      </c>
      <c r="F13" s="1" t="s">
        <v>3084</v>
      </c>
      <c r="G13" s="1" t="s">
        <v>3053</v>
      </c>
      <c r="I13" s="1" t="s">
        <v>1107</v>
      </c>
      <c r="N13" s="2" t="s">
        <v>3456</v>
      </c>
      <c r="O13" s="1">
        <v>0</v>
      </c>
      <c r="P13" s="17" t="s">
        <v>3533</v>
      </c>
      <c r="Q13" s="1" t="s">
        <v>173</v>
      </c>
      <c r="R13" s="1" t="s">
        <v>4</v>
      </c>
      <c r="T13" s="1">
        <f t="shared" si="0"/>
        <v>2</v>
      </c>
      <c r="U13" s="1" t="s">
        <v>3077</v>
      </c>
    </row>
    <row r="14" spans="1:23">
      <c r="A14" s="1">
        <v>1001</v>
      </c>
      <c r="B14" s="1" t="s">
        <v>2402</v>
      </c>
      <c r="C14" s="1" t="s">
        <v>1099</v>
      </c>
      <c r="D14" s="1">
        <v>1</v>
      </c>
      <c r="E14" s="1" t="s">
        <v>3083</v>
      </c>
      <c r="F14" s="1" t="s">
        <v>3084</v>
      </c>
      <c r="G14" s="1" t="s">
        <v>3055</v>
      </c>
      <c r="I14" s="1" t="s">
        <v>1119</v>
      </c>
      <c r="J14" s="1" t="s">
        <v>1178</v>
      </c>
      <c r="N14" s="2" t="s">
        <v>3456</v>
      </c>
      <c r="O14" s="1">
        <v>1</v>
      </c>
      <c r="P14" s="17" t="s">
        <v>3533</v>
      </c>
      <c r="Q14" s="1" t="s">
        <v>53</v>
      </c>
      <c r="R14" s="1" t="s">
        <v>7</v>
      </c>
      <c r="T14" s="1">
        <f t="shared" si="0"/>
        <v>4</v>
      </c>
      <c r="U14" s="1" t="s">
        <v>3056</v>
      </c>
    </row>
    <row r="15" spans="1:23">
      <c r="A15" s="1">
        <v>1002</v>
      </c>
      <c r="B15" s="1" t="s">
        <v>2403</v>
      </c>
      <c r="C15" s="1" t="s">
        <v>1099</v>
      </c>
      <c r="D15" s="1">
        <v>1</v>
      </c>
      <c r="E15" s="1" t="s">
        <v>3083</v>
      </c>
      <c r="F15" s="1" t="s">
        <v>3084</v>
      </c>
      <c r="G15" s="1" t="s">
        <v>3076</v>
      </c>
      <c r="I15" s="1" t="s">
        <v>1120</v>
      </c>
      <c r="J15" s="1" t="s">
        <v>1121</v>
      </c>
      <c r="K15" s="1" t="s">
        <v>1122</v>
      </c>
      <c r="N15" s="2" t="s">
        <v>3456</v>
      </c>
      <c r="O15" s="1">
        <v>1</v>
      </c>
      <c r="P15" s="17" t="s">
        <v>3533</v>
      </c>
      <c r="Q15" s="1" t="s">
        <v>38</v>
      </c>
      <c r="R15" s="1" t="s">
        <v>7</v>
      </c>
      <c r="T15" s="1">
        <f t="shared" si="0"/>
        <v>1</v>
      </c>
      <c r="U15" s="1" t="s">
        <v>3064</v>
      </c>
    </row>
    <row r="16" spans="1:23">
      <c r="A16" s="6">
        <v>1003</v>
      </c>
      <c r="B16" s="6" t="s">
        <v>2404</v>
      </c>
      <c r="C16" s="6" t="s">
        <v>1099</v>
      </c>
      <c r="D16" s="6">
        <v>1</v>
      </c>
      <c r="E16" s="6" t="s">
        <v>3083</v>
      </c>
      <c r="F16" s="6" t="s">
        <v>3084</v>
      </c>
      <c r="G16" s="6" t="s">
        <v>3051</v>
      </c>
      <c r="H16" s="6"/>
      <c r="I16" s="6" t="s">
        <v>1179</v>
      </c>
      <c r="J16" s="6"/>
      <c r="K16" s="6"/>
      <c r="L16" s="6"/>
      <c r="M16" s="6"/>
      <c r="N16" s="7"/>
      <c r="O16" s="6">
        <v>1</v>
      </c>
      <c r="P16" s="18" t="s">
        <v>3533</v>
      </c>
      <c r="Q16" s="6" t="s">
        <v>15</v>
      </c>
      <c r="R16" s="1" t="s">
        <v>7</v>
      </c>
      <c r="T16" s="1">
        <f t="shared" si="0"/>
        <v>7</v>
      </c>
      <c r="U16" s="1" t="s">
        <v>3060</v>
      </c>
    </row>
    <row r="17" spans="1:19">
      <c r="A17" s="1">
        <v>1004</v>
      </c>
      <c r="B17" s="1" t="s">
        <v>2405</v>
      </c>
      <c r="C17" s="1" t="s">
        <v>1099</v>
      </c>
      <c r="D17" s="1">
        <v>1</v>
      </c>
      <c r="E17" s="1" t="s">
        <v>3083</v>
      </c>
      <c r="F17" s="1" t="s">
        <v>3084</v>
      </c>
      <c r="G17" s="1" t="s">
        <v>3055</v>
      </c>
      <c r="I17" s="1" t="s">
        <v>1123</v>
      </c>
      <c r="J17" s="1" t="s">
        <v>1124</v>
      </c>
      <c r="N17" s="2"/>
      <c r="O17" s="1">
        <v>2</v>
      </c>
      <c r="P17" s="17" t="s">
        <v>3533</v>
      </c>
      <c r="Q17" s="1" t="s">
        <v>14</v>
      </c>
      <c r="R17" s="1" t="s">
        <v>7</v>
      </c>
    </row>
    <row r="18" spans="1:19">
      <c r="A18" s="1">
        <v>1005</v>
      </c>
      <c r="B18" s="1" t="s">
        <v>2406</v>
      </c>
      <c r="C18" s="1" t="s">
        <v>1099</v>
      </c>
      <c r="D18" s="1">
        <v>1</v>
      </c>
      <c r="E18" s="1" t="s">
        <v>3083</v>
      </c>
      <c r="F18" s="1" t="s">
        <v>3084</v>
      </c>
      <c r="G18" s="1" t="s">
        <v>3061</v>
      </c>
      <c r="I18" s="1" t="s">
        <v>1125</v>
      </c>
      <c r="N18" s="2" t="s">
        <v>3456</v>
      </c>
      <c r="O18" s="1">
        <v>1</v>
      </c>
      <c r="P18" s="17" t="s">
        <v>3569</v>
      </c>
      <c r="Q18" s="1" t="s">
        <v>17</v>
      </c>
      <c r="R18" s="1" t="s">
        <v>7</v>
      </c>
    </row>
    <row r="19" spans="1:19">
      <c r="A19" s="4">
        <v>1006</v>
      </c>
      <c r="B19" s="4" t="s">
        <v>2407</v>
      </c>
      <c r="C19" s="4" t="s">
        <v>1099</v>
      </c>
      <c r="D19" s="4">
        <v>1</v>
      </c>
      <c r="E19" s="4" t="s">
        <v>3083</v>
      </c>
      <c r="F19" s="4" t="s">
        <v>3084</v>
      </c>
      <c r="G19" s="4" t="s">
        <v>3053</v>
      </c>
      <c r="H19" s="4"/>
      <c r="I19" s="4" t="s">
        <v>1180</v>
      </c>
      <c r="J19" s="4"/>
      <c r="K19" s="4"/>
      <c r="L19" s="4"/>
      <c r="M19" s="4"/>
      <c r="N19" s="5"/>
      <c r="O19" s="4">
        <v>0</v>
      </c>
      <c r="P19" s="19" t="s">
        <v>3569</v>
      </c>
      <c r="Q19" s="4" t="s">
        <v>53</v>
      </c>
      <c r="R19" s="1" t="s">
        <v>7</v>
      </c>
      <c r="S19" s="4"/>
    </row>
    <row r="20" spans="1:19">
      <c r="A20" s="2">
        <v>2001</v>
      </c>
      <c r="B20" s="2" t="s">
        <v>2459</v>
      </c>
      <c r="C20" s="2" t="s">
        <v>1099</v>
      </c>
      <c r="D20" s="2">
        <v>1</v>
      </c>
      <c r="E20" s="2" t="s">
        <v>3083</v>
      </c>
      <c r="F20" s="2" t="s">
        <v>3084</v>
      </c>
      <c r="G20" s="2" t="s">
        <v>3055</v>
      </c>
      <c r="H20" s="2"/>
      <c r="I20" s="2" t="s">
        <v>1197</v>
      </c>
      <c r="J20" s="2" t="s">
        <v>1236</v>
      </c>
      <c r="K20" s="2"/>
      <c r="L20" s="2"/>
      <c r="M20" s="2"/>
      <c r="N20" s="2" t="s">
        <v>3456</v>
      </c>
      <c r="O20" s="2">
        <v>2</v>
      </c>
      <c r="P20" s="71" t="s">
        <v>3533</v>
      </c>
      <c r="Q20" s="2" t="s">
        <v>38</v>
      </c>
      <c r="R20" s="2" t="s">
        <v>9</v>
      </c>
    </row>
    <row r="21" spans="1:19">
      <c r="A21" s="2">
        <v>2002</v>
      </c>
      <c r="B21" s="2" t="s">
        <v>2460</v>
      </c>
      <c r="C21" s="1" t="s">
        <v>1099</v>
      </c>
      <c r="D21" s="1">
        <v>1</v>
      </c>
      <c r="E21" s="1" t="s">
        <v>3083</v>
      </c>
      <c r="F21" s="1" t="s">
        <v>3084</v>
      </c>
      <c r="G21" s="1" t="s">
        <v>3070</v>
      </c>
      <c r="I21" s="1" t="s">
        <v>1237</v>
      </c>
      <c r="N21" s="2" t="s">
        <v>3456</v>
      </c>
      <c r="O21" s="1">
        <v>1</v>
      </c>
      <c r="P21" s="17" t="s">
        <v>3533</v>
      </c>
      <c r="Q21" s="1" t="s">
        <v>30</v>
      </c>
      <c r="R21" s="1" t="s">
        <v>9</v>
      </c>
    </row>
    <row r="22" spans="1:19">
      <c r="A22" s="2">
        <v>2003</v>
      </c>
      <c r="B22" s="1" t="s">
        <v>2461</v>
      </c>
      <c r="C22" s="1" t="s">
        <v>1099</v>
      </c>
      <c r="D22" s="1">
        <v>1</v>
      </c>
      <c r="E22" s="1" t="s">
        <v>3083</v>
      </c>
      <c r="F22" s="1" t="s">
        <v>3084</v>
      </c>
      <c r="G22" s="1" t="s">
        <v>3076</v>
      </c>
      <c r="I22" s="1" t="s">
        <v>1238</v>
      </c>
      <c r="J22" s="1" t="s">
        <v>1239</v>
      </c>
      <c r="N22" s="2" t="s">
        <v>3456</v>
      </c>
      <c r="O22" s="1">
        <v>1</v>
      </c>
      <c r="P22" s="17" t="s">
        <v>3533</v>
      </c>
      <c r="Q22" s="1" t="s">
        <v>172</v>
      </c>
      <c r="R22" s="1" t="s">
        <v>9</v>
      </c>
    </row>
    <row r="23" spans="1:19">
      <c r="A23" s="3">
        <v>13</v>
      </c>
      <c r="B23" s="1" t="s">
        <v>2351</v>
      </c>
      <c r="C23" s="1" t="s">
        <v>1100</v>
      </c>
      <c r="D23" s="1">
        <v>2</v>
      </c>
      <c r="E23" s="1" t="s">
        <v>3083</v>
      </c>
      <c r="F23" s="1" t="s">
        <v>3084</v>
      </c>
      <c r="G23" s="1" t="s">
        <v>3055</v>
      </c>
      <c r="I23" s="1" t="s">
        <v>1050</v>
      </c>
      <c r="N23" s="2" t="s">
        <v>3456</v>
      </c>
      <c r="O23" s="1">
        <v>2</v>
      </c>
      <c r="P23" s="17" t="s">
        <v>3533</v>
      </c>
      <c r="Q23" s="1" t="s">
        <v>32</v>
      </c>
      <c r="R23" s="1" t="s">
        <v>4</v>
      </c>
    </row>
    <row r="24" spans="1:19">
      <c r="A24" s="1">
        <v>14</v>
      </c>
      <c r="B24" s="1" t="s">
        <v>2352</v>
      </c>
      <c r="C24" s="1" t="s">
        <v>1100</v>
      </c>
      <c r="D24" s="1">
        <v>2</v>
      </c>
      <c r="E24" s="1" t="s">
        <v>3085</v>
      </c>
      <c r="F24" s="1" t="s">
        <v>3084</v>
      </c>
      <c r="G24" s="1" t="s">
        <v>3071</v>
      </c>
      <c r="I24" s="1" t="s">
        <v>1051</v>
      </c>
      <c r="N24" s="2" t="s">
        <v>3456</v>
      </c>
      <c r="O24" s="1">
        <v>1</v>
      </c>
      <c r="P24" s="17" t="s">
        <v>3533</v>
      </c>
      <c r="Q24" s="1" t="s">
        <v>18</v>
      </c>
      <c r="R24" s="1" t="s">
        <v>4</v>
      </c>
    </row>
    <row r="25" spans="1:19">
      <c r="A25" s="3">
        <v>15</v>
      </c>
      <c r="B25" s="1" t="s">
        <v>2353</v>
      </c>
      <c r="C25" s="1" t="s">
        <v>1100</v>
      </c>
      <c r="D25" s="1">
        <v>2</v>
      </c>
      <c r="E25" s="1" t="s">
        <v>3083</v>
      </c>
      <c r="F25" s="1" t="s">
        <v>3084</v>
      </c>
      <c r="G25" s="1" t="s">
        <v>3070</v>
      </c>
      <c r="I25" s="1" t="s">
        <v>1052</v>
      </c>
      <c r="N25" s="2" t="s">
        <v>3456</v>
      </c>
      <c r="O25" s="1">
        <v>2</v>
      </c>
      <c r="P25" s="17" t="s">
        <v>3527</v>
      </c>
      <c r="Q25" s="1" t="s">
        <v>30</v>
      </c>
      <c r="R25" s="1" t="s">
        <v>4</v>
      </c>
    </row>
    <row r="26" spans="1:19">
      <c r="A26" s="3">
        <v>16</v>
      </c>
      <c r="B26" s="3" t="s">
        <v>2354</v>
      </c>
      <c r="C26" s="3" t="s">
        <v>1100</v>
      </c>
      <c r="D26" s="3">
        <v>2</v>
      </c>
      <c r="E26" s="3" t="s">
        <v>3083</v>
      </c>
      <c r="F26" s="3" t="s">
        <v>3084</v>
      </c>
      <c r="G26" s="3" t="s">
        <v>3071</v>
      </c>
      <c r="H26" s="3"/>
      <c r="I26" s="3" t="s">
        <v>1108</v>
      </c>
      <c r="J26" s="3"/>
      <c r="K26" s="3"/>
      <c r="L26" s="3"/>
      <c r="M26" s="3"/>
      <c r="N26" s="14" t="s">
        <v>3456</v>
      </c>
      <c r="O26" s="3">
        <v>2</v>
      </c>
      <c r="P26" s="60" t="s">
        <v>3569</v>
      </c>
      <c r="Q26" s="3" t="s">
        <v>46</v>
      </c>
      <c r="R26" s="1" t="s">
        <v>4</v>
      </c>
    </row>
    <row r="27" spans="1:19">
      <c r="A27" s="4">
        <v>17</v>
      </c>
      <c r="B27" s="4" t="s">
        <v>2355</v>
      </c>
      <c r="C27" s="4" t="s">
        <v>1100</v>
      </c>
      <c r="D27" s="4">
        <v>2</v>
      </c>
      <c r="E27" s="4" t="s">
        <v>3083</v>
      </c>
      <c r="F27" s="4" t="s">
        <v>3084</v>
      </c>
      <c r="G27" s="4" t="s">
        <v>3071</v>
      </c>
      <c r="H27" s="4"/>
      <c r="I27" s="4" t="s">
        <v>1109</v>
      </c>
      <c r="J27" s="4"/>
      <c r="K27" s="4"/>
      <c r="L27" s="4"/>
      <c r="M27" s="4"/>
      <c r="N27" s="5" t="s">
        <v>3456</v>
      </c>
      <c r="O27" s="4">
        <v>2</v>
      </c>
      <c r="P27" s="19" t="s">
        <v>3533</v>
      </c>
      <c r="Q27" s="4" t="s">
        <v>180</v>
      </c>
      <c r="R27" s="1" t="s">
        <v>4</v>
      </c>
    </row>
    <row r="28" spans="1:19">
      <c r="A28" s="1">
        <v>18</v>
      </c>
      <c r="B28" s="1" t="s">
        <v>2356</v>
      </c>
      <c r="C28" s="1" t="s">
        <v>1100</v>
      </c>
      <c r="D28" s="1">
        <v>2</v>
      </c>
      <c r="E28" s="1" t="s">
        <v>3083</v>
      </c>
      <c r="F28" s="1" t="s">
        <v>3084</v>
      </c>
      <c r="G28" s="1" t="s">
        <v>3070</v>
      </c>
      <c r="I28" s="1" t="s">
        <v>1053</v>
      </c>
      <c r="N28" s="2" t="s">
        <v>3456</v>
      </c>
      <c r="O28" s="1">
        <v>2</v>
      </c>
      <c r="P28" s="17" t="s">
        <v>3533</v>
      </c>
      <c r="Q28" s="1" t="s">
        <v>30</v>
      </c>
      <c r="R28" s="1" t="s">
        <v>4</v>
      </c>
    </row>
    <row r="29" spans="1:19">
      <c r="A29" s="6">
        <v>19</v>
      </c>
      <c r="B29" s="6" t="s">
        <v>2357</v>
      </c>
      <c r="C29" s="6" t="s">
        <v>1100</v>
      </c>
      <c r="D29" s="6">
        <v>2</v>
      </c>
      <c r="E29" s="6" t="s">
        <v>3083</v>
      </c>
      <c r="F29" s="6" t="s">
        <v>3084</v>
      </c>
      <c r="G29" s="6" t="s">
        <v>3055</v>
      </c>
      <c r="H29" s="6" t="s">
        <v>3060</v>
      </c>
      <c r="I29" s="6" t="s">
        <v>1054</v>
      </c>
      <c r="J29" s="6" t="s">
        <v>1055</v>
      </c>
      <c r="K29" s="6"/>
      <c r="L29" s="6"/>
      <c r="M29" s="6"/>
      <c r="N29" s="7" t="s">
        <v>3150</v>
      </c>
      <c r="O29" s="6">
        <v>1</v>
      </c>
      <c r="P29" s="18" t="s">
        <v>3533</v>
      </c>
      <c r="Q29" s="6" t="s">
        <v>604</v>
      </c>
      <c r="R29" s="6" t="s">
        <v>4</v>
      </c>
    </row>
    <row r="30" spans="1:19">
      <c r="A30" s="3">
        <v>20</v>
      </c>
      <c r="B30" s="3" t="s">
        <v>2358</v>
      </c>
      <c r="C30" s="3" t="s">
        <v>1100</v>
      </c>
      <c r="D30" s="3">
        <v>2</v>
      </c>
      <c r="E30" s="3" t="s">
        <v>3083</v>
      </c>
      <c r="F30" s="3" t="s">
        <v>3084</v>
      </c>
      <c r="G30" s="3" t="s">
        <v>3051</v>
      </c>
      <c r="H30" s="3"/>
      <c r="I30" s="3" t="s">
        <v>1056</v>
      </c>
      <c r="J30" s="3"/>
      <c r="K30" s="3"/>
      <c r="L30" s="3"/>
      <c r="M30" s="3"/>
      <c r="N30" s="14" t="s">
        <v>3150</v>
      </c>
      <c r="O30" s="3">
        <v>2</v>
      </c>
      <c r="P30" s="60" t="s">
        <v>3533</v>
      </c>
      <c r="Q30" s="3" t="s">
        <v>31</v>
      </c>
      <c r="R30" s="3" t="s">
        <v>4</v>
      </c>
      <c r="S30" s="11"/>
    </row>
    <row r="31" spans="1:19">
      <c r="A31" s="3">
        <v>21</v>
      </c>
      <c r="B31" s="3" t="s">
        <v>2359</v>
      </c>
      <c r="C31" s="3" t="s">
        <v>1100</v>
      </c>
      <c r="D31" s="3">
        <v>2</v>
      </c>
      <c r="E31" s="3" t="s">
        <v>3083</v>
      </c>
      <c r="F31" s="3" t="s">
        <v>3084</v>
      </c>
      <c r="G31" s="3" t="s">
        <v>3071</v>
      </c>
      <c r="H31" s="3"/>
      <c r="I31" s="3"/>
      <c r="J31" s="3"/>
      <c r="K31" s="3"/>
      <c r="L31" s="3"/>
      <c r="M31" s="3"/>
      <c r="N31" s="14" t="s">
        <v>3456</v>
      </c>
      <c r="O31" s="3">
        <v>1</v>
      </c>
      <c r="P31" s="60" t="s">
        <v>3527</v>
      </c>
      <c r="Q31" s="3" t="s">
        <v>16</v>
      </c>
      <c r="R31" s="3" t="s">
        <v>4</v>
      </c>
      <c r="S31" s="11"/>
    </row>
    <row r="32" spans="1:19">
      <c r="A32" s="1">
        <v>22</v>
      </c>
      <c r="B32" s="3" t="s">
        <v>2360</v>
      </c>
      <c r="C32" s="3" t="s">
        <v>1100</v>
      </c>
      <c r="D32" s="3">
        <v>2</v>
      </c>
      <c r="E32" s="3" t="s">
        <v>3083</v>
      </c>
      <c r="F32" s="3" t="s">
        <v>3084</v>
      </c>
      <c r="G32" s="3" t="s">
        <v>3055</v>
      </c>
      <c r="H32" s="3"/>
      <c r="I32" s="3" t="s">
        <v>1057</v>
      </c>
      <c r="J32" s="3" t="s">
        <v>1058</v>
      </c>
      <c r="K32" s="3"/>
      <c r="L32" s="3"/>
      <c r="M32" s="3"/>
      <c r="N32" s="14" t="s">
        <v>3458</v>
      </c>
      <c r="O32" s="3">
        <v>2</v>
      </c>
      <c r="P32" s="60" t="s">
        <v>3533</v>
      </c>
      <c r="Q32" s="3" t="s">
        <v>38</v>
      </c>
      <c r="R32" s="3" t="s">
        <v>4</v>
      </c>
    </row>
    <row r="33" spans="1:19">
      <c r="A33" s="3">
        <v>23</v>
      </c>
      <c r="B33" s="3" t="s">
        <v>2361</v>
      </c>
      <c r="C33" s="3" t="s">
        <v>1100</v>
      </c>
      <c r="D33" s="3">
        <v>2</v>
      </c>
      <c r="E33" s="3" t="s">
        <v>3083</v>
      </c>
      <c r="F33" s="3" t="s">
        <v>3084</v>
      </c>
      <c r="G33" s="3" t="s">
        <v>3053</v>
      </c>
      <c r="H33" s="3"/>
      <c r="I33" s="3" t="s">
        <v>914</v>
      </c>
      <c r="J33" s="3" t="s">
        <v>1059</v>
      </c>
      <c r="K33" s="3"/>
      <c r="L33" s="3"/>
      <c r="M33" s="3"/>
      <c r="N33" s="14" t="s">
        <v>3150</v>
      </c>
      <c r="O33" s="3">
        <v>1</v>
      </c>
      <c r="P33" s="60" t="s">
        <v>3527</v>
      </c>
      <c r="Q33" s="3" t="s">
        <v>32</v>
      </c>
      <c r="R33" s="3" t="s">
        <v>4</v>
      </c>
      <c r="S33" s="11"/>
    </row>
    <row r="34" spans="1:19">
      <c r="A34" s="1">
        <v>24</v>
      </c>
      <c r="B34" s="6" t="s">
        <v>2362</v>
      </c>
      <c r="C34" s="6" t="s">
        <v>1100</v>
      </c>
      <c r="D34" s="6">
        <v>2</v>
      </c>
      <c r="E34" s="6" t="s">
        <v>3083</v>
      </c>
      <c r="F34" s="6" t="s">
        <v>3084</v>
      </c>
      <c r="G34" s="6" t="s">
        <v>3070</v>
      </c>
      <c r="H34" s="6"/>
      <c r="I34" s="6" t="s">
        <v>1060</v>
      </c>
      <c r="J34" s="6"/>
      <c r="K34" s="6"/>
      <c r="L34" s="6"/>
      <c r="M34" s="6"/>
      <c r="N34" s="7" t="s">
        <v>3456</v>
      </c>
      <c r="O34" s="6">
        <v>2</v>
      </c>
      <c r="P34" s="18" t="s">
        <v>3569</v>
      </c>
      <c r="Q34" s="6" t="s">
        <v>36</v>
      </c>
      <c r="R34" s="6" t="s">
        <v>4</v>
      </c>
    </row>
    <row r="35" spans="1:19">
      <c r="A35" s="3">
        <v>25</v>
      </c>
      <c r="B35" s="3" t="s">
        <v>2363</v>
      </c>
      <c r="C35" s="3" t="s">
        <v>1100</v>
      </c>
      <c r="D35" s="3">
        <v>2</v>
      </c>
      <c r="E35" s="3" t="s">
        <v>3083</v>
      </c>
      <c r="F35" s="3" t="s">
        <v>3084</v>
      </c>
      <c r="G35" s="3" t="s">
        <v>3071</v>
      </c>
      <c r="H35" s="3"/>
      <c r="I35" s="3" t="s">
        <v>1061</v>
      </c>
      <c r="J35" s="3"/>
      <c r="K35" s="3"/>
      <c r="L35" s="3"/>
      <c r="M35" s="3"/>
      <c r="N35" s="14" t="s">
        <v>3456</v>
      </c>
      <c r="O35" s="3">
        <v>2</v>
      </c>
      <c r="P35" s="60" t="s">
        <v>3569</v>
      </c>
      <c r="Q35" s="3" t="s">
        <v>26</v>
      </c>
      <c r="R35" s="1" t="s">
        <v>4</v>
      </c>
    </row>
    <row r="36" spans="1:19">
      <c r="A36" s="1">
        <v>26</v>
      </c>
      <c r="B36" s="1" t="s">
        <v>2364</v>
      </c>
      <c r="C36" s="1" t="s">
        <v>1100</v>
      </c>
      <c r="D36" s="1">
        <v>2</v>
      </c>
      <c r="E36" s="1" t="s">
        <v>3083</v>
      </c>
      <c r="F36" s="1" t="s">
        <v>3084</v>
      </c>
      <c r="G36" s="1" t="s">
        <v>3052</v>
      </c>
      <c r="H36" s="1" t="s">
        <v>3071</v>
      </c>
      <c r="I36" s="1" t="s">
        <v>1110</v>
      </c>
      <c r="N36" s="2" t="s">
        <v>3456</v>
      </c>
      <c r="O36" s="1">
        <v>1</v>
      </c>
      <c r="P36" s="17" t="s">
        <v>3569</v>
      </c>
      <c r="Q36" s="1" t="s">
        <v>33</v>
      </c>
      <c r="R36" s="1" t="s">
        <v>4</v>
      </c>
    </row>
    <row r="37" spans="1:19">
      <c r="A37" s="3">
        <v>27</v>
      </c>
      <c r="B37" s="6" t="s">
        <v>2365</v>
      </c>
      <c r="C37" s="6" t="s">
        <v>1100</v>
      </c>
      <c r="D37" s="6">
        <v>2</v>
      </c>
      <c r="E37" s="6" t="s">
        <v>3083</v>
      </c>
      <c r="F37" s="6" t="s">
        <v>3084</v>
      </c>
      <c r="G37" s="6" t="s">
        <v>3050</v>
      </c>
      <c r="H37" s="6"/>
      <c r="I37" s="6" t="s">
        <v>1062</v>
      </c>
      <c r="J37" s="6" t="s">
        <v>1063</v>
      </c>
      <c r="K37" s="6"/>
      <c r="L37" s="6"/>
      <c r="M37" s="6"/>
      <c r="N37" s="7" t="s">
        <v>3456</v>
      </c>
      <c r="O37" s="6">
        <v>2</v>
      </c>
      <c r="P37" s="18" t="s">
        <v>3533</v>
      </c>
      <c r="Q37" s="6" t="s">
        <v>27</v>
      </c>
      <c r="R37" s="6" t="s">
        <v>4</v>
      </c>
    </row>
    <row r="38" spans="1:19">
      <c r="A38" s="3">
        <v>28</v>
      </c>
      <c r="B38" s="3" t="s">
        <v>2366</v>
      </c>
      <c r="C38" s="3" t="s">
        <v>1100</v>
      </c>
      <c r="D38" s="3">
        <v>2</v>
      </c>
      <c r="E38" s="3" t="s">
        <v>3083</v>
      </c>
      <c r="F38" s="3" t="s">
        <v>3084</v>
      </c>
      <c r="G38" s="3"/>
      <c r="H38" s="3"/>
      <c r="I38" s="3" t="s">
        <v>1064</v>
      </c>
      <c r="J38" s="3"/>
      <c r="K38" s="3"/>
      <c r="L38" s="3"/>
      <c r="M38" s="3"/>
      <c r="N38" s="14" t="s">
        <v>3456</v>
      </c>
      <c r="O38" s="3">
        <v>1</v>
      </c>
      <c r="P38" s="60" t="s">
        <v>3533</v>
      </c>
      <c r="Q38" s="3" t="s">
        <v>17</v>
      </c>
      <c r="R38" s="1" t="s">
        <v>4</v>
      </c>
    </row>
    <row r="39" spans="1:19">
      <c r="A39" s="3">
        <v>29</v>
      </c>
      <c r="B39" s="1" t="s">
        <v>2367</v>
      </c>
      <c r="C39" s="1" t="s">
        <v>1100</v>
      </c>
      <c r="D39" s="1">
        <v>2</v>
      </c>
      <c r="E39" s="1" t="s">
        <v>3083</v>
      </c>
      <c r="F39" s="1" t="s">
        <v>3084</v>
      </c>
      <c r="G39" s="1" t="s">
        <v>3055</v>
      </c>
      <c r="I39" s="1" t="s">
        <v>1111</v>
      </c>
      <c r="N39" s="2" t="s">
        <v>3456</v>
      </c>
      <c r="O39" s="1">
        <v>2</v>
      </c>
      <c r="P39" s="17" t="s">
        <v>3569</v>
      </c>
      <c r="Q39" s="1" t="s">
        <v>32</v>
      </c>
      <c r="R39" s="1" t="s">
        <v>4</v>
      </c>
    </row>
    <row r="40" spans="1:19">
      <c r="A40" s="1">
        <v>30</v>
      </c>
      <c r="B40" s="1" t="s">
        <v>2368</v>
      </c>
      <c r="C40" s="1" t="s">
        <v>1100</v>
      </c>
      <c r="D40" s="1">
        <v>2</v>
      </c>
      <c r="E40" s="1" t="s">
        <v>3083</v>
      </c>
      <c r="F40" s="1" t="s">
        <v>3084</v>
      </c>
      <c r="G40" s="1" t="s">
        <v>3071</v>
      </c>
      <c r="N40" s="2" t="s">
        <v>3456</v>
      </c>
      <c r="O40" s="1">
        <v>2</v>
      </c>
      <c r="P40" s="17" t="s">
        <v>3533</v>
      </c>
      <c r="Q40" s="1" t="s">
        <v>49</v>
      </c>
      <c r="R40" s="1" t="s">
        <v>4</v>
      </c>
    </row>
    <row r="41" spans="1:19">
      <c r="A41" s="3">
        <v>31</v>
      </c>
      <c r="B41" s="1" t="s">
        <v>2369</v>
      </c>
      <c r="C41" s="1" t="s">
        <v>1100</v>
      </c>
      <c r="D41" s="1">
        <v>2</v>
      </c>
      <c r="E41" s="1" t="s">
        <v>3083</v>
      </c>
      <c r="F41" s="1" t="s">
        <v>3084</v>
      </c>
      <c r="G41" s="1" t="s">
        <v>3052</v>
      </c>
      <c r="H41" s="1" t="s">
        <v>3053</v>
      </c>
      <c r="I41" s="1" t="s">
        <v>1065</v>
      </c>
      <c r="J41" s="1" t="s">
        <v>1066</v>
      </c>
      <c r="N41" s="2"/>
      <c r="O41" s="1">
        <v>1</v>
      </c>
      <c r="P41" s="17" t="s">
        <v>3533</v>
      </c>
      <c r="Q41" s="1" t="s">
        <v>33</v>
      </c>
      <c r="R41" s="1" t="s">
        <v>4</v>
      </c>
    </row>
    <row r="42" spans="1:19">
      <c r="A42" s="1">
        <v>32</v>
      </c>
      <c r="B42" s="3" t="s">
        <v>2370</v>
      </c>
      <c r="C42" s="3" t="s">
        <v>1100</v>
      </c>
      <c r="D42" s="3">
        <v>2</v>
      </c>
      <c r="E42" s="3" t="s">
        <v>3083</v>
      </c>
      <c r="F42" s="3" t="s">
        <v>3084</v>
      </c>
      <c r="G42" s="3" t="s">
        <v>3063</v>
      </c>
      <c r="H42" s="3"/>
      <c r="I42" s="3" t="s">
        <v>1050</v>
      </c>
      <c r="J42" s="3" t="s">
        <v>1067</v>
      </c>
      <c r="K42" s="3" t="s">
        <v>1068</v>
      </c>
      <c r="L42" s="3"/>
      <c r="M42" s="3"/>
      <c r="N42" s="14" t="s">
        <v>3150</v>
      </c>
      <c r="O42" s="3">
        <v>1</v>
      </c>
      <c r="P42" s="60" t="s">
        <v>3533</v>
      </c>
      <c r="Q42" s="3" t="s">
        <v>35</v>
      </c>
      <c r="R42" s="3" t="s">
        <v>4</v>
      </c>
    </row>
    <row r="43" spans="1:19">
      <c r="A43" s="6">
        <v>1007</v>
      </c>
      <c r="B43" s="6" t="s">
        <v>2408</v>
      </c>
      <c r="C43" s="6" t="s">
        <v>1100</v>
      </c>
      <c r="D43" s="6">
        <v>2</v>
      </c>
      <c r="E43" s="6" t="s">
        <v>3085</v>
      </c>
      <c r="F43" s="6" t="s">
        <v>3084</v>
      </c>
      <c r="G43" s="6" t="s">
        <v>3051</v>
      </c>
      <c r="H43" s="6"/>
      <c r="I43" s="6" t="s">
        <v>1176</v>
      </c>
      <c r="J43" s="6" t="s">
        <v>1126</v>
      </c>
      <c r="K43" s="6"/>
      <c r="L43" s="6"/>
      <c r="M43" s="6"/>
      <c r="N43" s="7" t="s">
        <v>3456</v>
      </c>
      <c r="O43" s="6">
        <v>1</v>
      </c>
      <c r="P43" s="18" t="s">
        <v>3569</v>
      </c>
      <c r="Q43" s="6" t="s">
        <v>15</v>
      </c>
      <c r="R43" s="6" t="s">
        <v>7</v>
      </c>
    </row>
    <row r="44" spans="1:19">
      <c r="A44" s="4">
        <v>1008</v>
      </c>
      <c r="B44" s="4" t="s">
        <v>2409</v>
      </c>
      <c r="C44" s="4" t="s">
        <v>1100</v>
      </c>
      <c r="D44" s="4">
        <v>2</v>
      </c>
      <c r="E44" s="4" t="s">
        <v>3083</v>
      </c>
      <c r="F44" s="4" t="s">
        <v>3084</v>
      </c>
      <c r="G44" s="4" t="s">
        <v>3070</v>
      </c>
      <c r="H44" s="4"/>
      <c r="I44" s="4" t="s">
        <v>1127</v>
      </c>
      <c r="J44" s="4"/>
      <c r="K44" s="4"/>
      <c r="L44" s="4"/>
      <c r="M44" s="4"/>
      <c r="N44" s="5" t="s">
        <v>3456</v>
      </c>
      <c r="O44" s="4">
        <v>4</v>
      </c>
      <c r="P44" s="19" t="s">
        <v>3527</v>
      </c>
      <c r="Q44" s="4" t="s">
        <v>30</v>
      </c>
      <c r="R44" s="1" t="s">
        <v>7</v>
      </c>
    </row>
    <row r="45" spans="1:19">
      <c r="A45" s="1">
        <v>1009</v>
      </c>
      <c r="B45" s="1" t="s">
        <v>2410</v>
      </c>
      <c r="C45" s="1" t="s">
        <v>1100</v>
      </c>
      <c r="D45" s="1">
        <v>2</v>
      </c>
      <c r="E45" s="1" t="s">
        <v>3083</v>
      </c>
      <c r="F45" s="1" t="s">
        <v>3084</v>
      </c>
      <c r="G45" s="1" t="s">
        <v>3053</v>
      </c>
      <c r="I45" s="1" t="s">
        <v>1128</v>
      </c>
      <c r="N45" s="2" t="s">
        <v>3456</v>
      </c>
      <c r="O45" s="1">
        <v>1</v>
      </c>
      <c r="P45" s="17" t="s">
        <v>3533</v>
      </c>
      <c r="Q45" s="1" t="s">
        <v>45</v>
      </c>
      <c r="R45" s="1" t="s">
        <v>7</v>
      </c>
    </row>
    <row r="46" spans="1:19">
      <c r="A46" s="6">
        <v>1010</v>
      </c>
      <c r="B46" s="6" t="s">
        <v>2411</v>
      </c>
      <c r="C46" s="6" t="s">
        <v>1100</v>
      </c>
      <c r="D46" s="6">
        <v>2</v>
      </c>
      <c r="E46" s="6" t="s">
        <v>3083</v>
      </c>
      <c r="F46" s="6" t="s">
        <v>3084</v>
      </c>
      <c r="G46" s="6" t="s">
        <v>3071</v>
      </c>
      <c r="H46" s="6" t="s">
        <v>3060</v>
      </c>
      <c r="I46" s="6" t="s">
        <v>1129</v>
      </c>
      <c r="J46" s="6"/>
      <c r="K46" s="6"/>
      <c r="L46" s="6"/>
      <c r="M46" s="6"/>
      <c r="N46" s="7" t="s">
        <v>3456</v>
      </c>
      <c r="O46" s="6">
        <v>1</v>
      </c>
      <c r="P46" s="18" t="s">
        <v>3533</v>
      </c>
      <c r="Q46" s="6" t="s">
        <v>28</v>
      </c>
      <c r="R46" s="6" t="s">
        <v>7</v>
      </c>
    </row>
    <row r="47" spans="1:19">
      <c r="A47" s="1">
        <v>1011</v>
      </c>
      <c r="B47" s="1" t="s">
        <v>2412</v>
      </c>
      <c r="C47" s="1" t="s">
        <v>1100</v>
      </c>
      <c r="D47" s="1">
        <v>2</v>
      </c>
      <c r="E47" s="1" t="s">
        <v>3083</v>
      </c>
      <c r="F47" s="1" t="s">
        <v>3084</v>
      </c>
      <c r="G47" s="1" t="s">
        <v>3049</v>
      </c>
      <c r="I47" s="1" t="s">
        <v>1130</v>
      </c>
      <c r="N47" s="2" t="s">
        <v>3150</v>
      </c>
      <c r="O47" s="1">
        <v>1</v>
      </c>
      <c r="P47" s="17" t="s">
        <v>3569</v>
      </c>
      <c r="Q47" s="1" t="s">
        <v>30</v>
      </c>
      <c r="R47" s="1" t="s">
        <v>7</v>
      </c>
    </row>
    <row r="48" spans="1:19">
      <c r="A48" s="1">
        <v>1012</v>
      </c>
      <c r="B48" s="1" t="s">
        <v>2413</v>
      </c>
      <c r="C48" s="1" t="s">
        <v>1181</v>
      </c>
      <c r="D48" s="1">
        <v>2</v>
      </c>
      <c r="E48" s="1" t="s">
        <v>3083</v>
      </c>
      <c r="F48" s="1" t="s">
        <v>3084</v>
      </c>
      <c r="G48" s="1" t="s">
        <v>3054</v>
      </c>
      <c r="I48" s="1" t="s">
        <v>91</v>
      </c>
      <c r="J48" s="1" t="s">
        <v>1131</v>
      </c>
      <c r="N48" s="2" t="s">
        <v>3456</v>
      </c>
      <c r="O48" s="1">
        <v>2</v>
      </c>
      <c r="P48" s="17" t="s">
        <v>3569</v>
      </c>
      <c r="Q48" s="1" t="s">
        <v>178</v>
      </c>
      <c r="R48" s="1" t="s">
        <v>7</v>
      </c>
    </row>
    <row r="49" spans="1:18">
      <c r="A49" s="1">
        <v>1013</v>
      </c>
      <c r="B49" s="1" t="s">
        <v>2414</v>
      </c>
      <c r="C49" s="1" t="s">
        <v>1100</v>
      </c>
      <c r="D49" s="1">
        <v>2</v>
      </c>
      <c r="E49" s="1" t="s">
        <v>3083</v>
      </c>
      <c r="F49" s="1" t="s">
        <v>3084</v>
      </c>
      <c r="G49" s="1" t="s">
        <v>3055</v>
      </c>
      <c r="I49" s="1" t="s">
        <v>1132</v>
      </c>
      <c r="J49" s="1" t="s">
        <v>1133</v>
      </c>
      <c r="N49" s="2"/>
      <c r="O49" s="1">
        <v>3</v>
      </c>
      <c r="P49" s="17" t="s">
        <v>3533</v>
      </c>
      <c r="Q49" s="1" t="s">
        <v>26</v>
      </c>
      <c r="R49" s="1" t="s">
        <v>7</v>
      </c>
    </row>
    <row r="50" spans="1:18">
      <c r="A50" s="1">
        <v>1014</v>
      </c>
      <c r="B50" s="1" t="s">
        <v>2415</v>
      </c>
      <c r="C50" s="1" t="s">
        <v>1100</v>
      </c>
      <c r="D50" s="1">
        <v>2</v>
      </c>
      <c r="E50" s="1" t="s">
        <v>3083</v>
      </c>
      <c r="F50" s="1" t="s">
        <v>3084</v>
      </c>
      <c r="G50" s="1" t="s">
        <v>3070</v>
      </c>
      <c r="I50" s="1" t="s">
        <v>1</v>
      </c>
      <c r="J50" s="1" t="s">
        <v>1134</v>
      </c>
      <c r="N50" s="2" t="s">
        <v>3150</v>
      </c>
      <c r="O50" s="1">
        <v>1</v>
      </c>
      <c r="P50" s="17" t="s">
        <v>3569</v>
      </c>
      <c r="Q50" s="1" t="s">
        <v>30</v>
      </c>
      <c r="R50" s="1" t="s">
        <v>7</v>
      </c>
    </row>
    <row r="51" spans="1:18">
      <c r="A51" s="1">
        <v>1015</v>
      </c>
      <c r="B51" s="1" t="s">
        <v>2416</v>
      </c>
      <c r="C51" s="1" t="s">
        <v>1100</v>
      </c>
      <c r="D51" s="1">
        <v>2</v>
      </c>
      <c r="E51" s="1" t="s">
        <v>3083</v>
      </c>
      <c r="F51" s="1" t="s">
        <v>3084</v>
      </c>
      <c r="G51" s="1" t="s">
        <v>3051</v>
      </c>
      <c r="I51" s="1" t="s">
        <v>1182</v>
      </c>
      <c r="N51" s="2" t="s">
        <v>3456</v>
      </c>
      <c r="O51" s="1">
        <v>2</v>
      </c>
      <c r="P51" s="17" t="s">
        <v>3533</v>
      </c>
      <c r="Q51" s="1" t="s">
        <v>174</v>
      </c>
      <c r="R51" s="1" t="s">
        <v>7</v>
      </c>
    </row>
    <row r="52" spans="1:18">
      <c r="A52" s="1">
        <v>1016</v>
      </c>
      <c r="B52" s="1" t="s">
        <v>2417</v>
      </c>
      <c r="C52" s="1" t="s">
        <v>1100</v>
      </c>
      <c r="D52" s="1">
        <v>2</v>
      </c>
      <c r="E52" s="1" t="s">
        <v>3083</v>
      </c>
      <c r="F52" s="1" t="s">
        <v>3084</v>
      </c>
      <c r="G52" s="1" t="s">
        <v>3055</v>
      </c>
      <c r="I52" s="1" t="s">
        <v>1135</v>
      </c>
      <c r="J52" s="1" t="s">
        <v>1136</v>
      </c>
      <c r="N52" s="2" t="s">
        <v>3456</v>
      </c>
      <c r="O52" s="1">
        <v>1</v>
      </c>
      <c r="P52" s="17" t="s">
        <v>3533</v>
      </c>
      <c r="Q52" s="1" t="s">
        <v>8</v>
      </c>
      <c r="R52" s="1" t="s">
        <v>7</v>
      </c>
    </row>
    <row r="53" spans="1:18">
      <c r="A53" s="1">
        <v>1017</v>
      </c>
      <c r="B53" s="1" t="s">
        <v>2418</v>
      </c>
      <c r="C53" s="1" t="s">
        <v>1181</v>
      </c>
      <c r="D53" s="1">
        <v>2</v>
      </c>
      <c r="E53" s="1" t="s">
        <v>3083</v>
      </c>
      <c r="F53" s="1" t="s">
        <v>3084</v>
      </c>
      <c r="G53" s="1" t="s">
        <v>3052</v>
      </c>
      <c r="H53" s="1" t="s">
        <v>3071</v>
      </c>
      <c r="I53" s="1" t="s">
        <v>1137</v>
      </c>
      <c r="J53" s="1" t="s">
        <v>1138</v>
      </c>
      <c r="N53" s="2" t="s">
        <v>3456</v>
      </c>
      <c r="O53" s="1">
        <v>1</v>
      </c>
      <c r="P53" s="17" t="s">
        <v>3533</v>
      </c>
      <c r="Q53" s="1" t="s">
        <v>33</v>
      </c>
      <c r="R53" s="1" t="s">
        <v>7</v>
      </c>
    </row>
    <row r="54" spans="1:18">
      <c r="A54" s="1">
        <v>1018</v>
      </c>
      <c r="B54" s="1" t="s">
        <v>2419</v>
      </c>
      <c r="C54" s="1" t="s">
        <v>1100</v>
      </c>
      <c r="D54" s="1">
        <v>2</v>
      </c>
      <c r="E54" s="1" t="s">
        <v>3083</v>
      </c>
      <c r="F54" s="1" t="s">
        <v>3084</v>
      </c>
      <c r="G54" s="1" t="s">
        <v>3076</v>
      </c>
      <c r="I54" s="1" t="s">
        <v>1120</v>
      </c>
      <c r="J54" s="1" t="s">
        <v>1139</v>
      </c>
      <c r="N54" s="2"/>
      <c r="O54" s="1">
        <v>1</v>
      </c>
      <c r="P54" s="17" t="s">
        <v>3569</v>
      </c>
      <c r="Q54" s="1" t="s">
        <v>6</v>
      </c>
      <c r="R54" s="1" t="s">
        <v>7</v>
      </c>
    </row>
    <row r="55" spans="1:18">
      <c r="A55" s="1">
        <v>1019</v>
      </c>
      <c r="B55" s="1" t="s">
        <v>2420</v>
      </c>
      <c r="C55" s="1" t="s">
        <v>1100</v>
      </c>
      <c r="D55" s="1">
        <v>2</v>
      </c>
      <c r="E55" s="1" t="s">
        <v>3083</v>
      </c>
      <c r="F55" s="1" t="s">
        <v>3084</v>
      </c>
      <c r="G55" s="1" t="s">
        <v>3063</v>
      </c>
      <c r="I55" s="1" t="s">
        <v>1140</v>
      </c>
      <c r="N55" s="2" t="s">
        <v>3456</v>
      </c>
      <c r="O55" s="1">
        <v>2</v>
      </c>
      <c r="P55" s="17" t="s">
        <v>3533</v>
      </c>
      <c r="Q55" s="1" t="s">
        <v>50</v>
      </c>
      <c r="R55" s="1" t="s">
        <v>7</v>
      </c>
    </row>
    <row r="56" spans="1:18">
      <c r="A56" s="1">
        <v>1020</v>
      </c>
      <c r="B56" s="1" t="s">
        <v>2421</v>
      </c>
      <c r="C56" s="1" t="s">
        <v>1100</v>
      </c>
      <c r="D56" s="1">
        <v>2</v>
      </c>
      <c r="E56" s="1" t="s">
        <v>3083</v>
      </c>
      <c r="F56" s="1" t="s">
        <v>3084</v>
      </c>
      <c r="G56" s="1" t="s">
        <v>3055</v>
      </c>
      <c r="I56" s="1" t="s">
        <v>1141</v>
      </c>
      <c r="N56" s="2" t="s">
        <v>3456</v>
      </c>
      <c r="O56" s="1">
        <v>2</v>
      </c>
      <c r="P56" s="17" t="s">
        <v>3569</v>
      </c>
      <c r="Q56" s="1" t="s">
        <v>32</v>
      </c>
      <c r="R56" s="1" t="s">
        <v>7</v>
      </c>
    </row>
    <row r="57" spans="1:18">
      <c r="A57" s="1">
        <v>1021</v>
      </c>
      <c r="B57" s="1" t="s">
        <v>2422</v>
      </c>
      <c r="C57" s="1" t="s">
        <v>1181</v>
      </c>
      <c r="D57" s="1">
        <v>2</v>
      </c>
      <c r="E57" s="1" t="s">
        <v>3083</v>
      </c>
      <c r="F57" s="1" t="s">
        <v>3084</v>
      </c>
      <c r="G57" s="1" t="s">
        <v>3056</v>
      </c>
      <c r="I57" s="1" t="s">
        <v>1142</v>
      </c>
      <c r="J57" s="1" t="s">
        <v>62</v>
      </c>
      <c r="N57" s="2" t="s">
        <v>3456</v>
      </c>
      <c r="O57" s="1">
        <v>2</v>
      </c>
      <c r="P57" s="17" t="s">
        <v>3569</v>
      </c>
      <c r="Q57" s="1" t="s">
        <v>179</v>
      </c>
      <c r="R57" s="1" t="s">
        <v>7</v>
      </c>
    </row>
    <row r="58" spans="1:18">
      <c r="A58" s="8">
        <v>1022</v>
      </c>
      <c r="B58" s="8" t="s">
        <v>2423</v>
      </c>
      <c r="C58" s="8" t="s">
        <v>1100</v>
      </c>
      <c r="D58" s="8">
        <v>2</v>
      </c>
      <c r="E58" s="8" t="s">
        <v>3083</v>
      </c>
      <c r="F58" s="8" t="s">
        <v>3084</v>
      </c>
      <c r="G58" s="8" t="s">
        <v>3053</v>
      </c>
      <c r="H58" s="8"/>
      <c r="I58" s="8" t="s">
        <v>1183</v>
      </c>
      <c r="J58" s="8"/>
      <c r="K58" s="8"/>
      <c r="L58" s="8"/>
      <c r="M58" s="8"/>
      <c r="N58" s="75" t="s">
        <v>3456</v>
      </c>
      <c r="O58" s="8">
        <v>1</v>
      </c>
      <c r="P58" s="62" t="s">
        <v>3533</v>
      </c>
      <c r="Q58" s="8" t="s">
        <v>44</v>
      </c>
      <c r="R58" s="8" t="s">
        <v>7</v>
      </c>
    </row>
    <row r="59" spans="1:18">
      <c r="A59" s="1">
        <v>1023</v>
      </c>
      <c r="B59" s="1" t="s">
        <v>2424</v>
      </c>
      <c r="C59" s="1" t="s">
        <v>1100</v>
      </c>
      <c r="D59" s="1">
        <v>2</v>
      </c>
      <c r="E59" s="1" t="s">
        <v>3083</v>
      </c>
      <c r="F59" s="1" t="s">
        <v>3084</v>
      </c>
      <c r="G59" s="1" t="s">
        <v>3071</v>
      </c>
      <c r="I59" s="1" t="s">
        <v>1143</v>
      </c>
      <c r="N59" s="1" t="s">
        <v>3456</v>
      </c>
      <c r="O59" s="1">
        <v>2</v>
      </c>
      <c r="P59" s="17" t="s">
        <v>3569</v>
      </c>
      <c r="Q59" s="1" t="s">
        <v>6</v>
      </c>
      <c r="R59" s="1" t="s">
        <v>7</v>
      </c>
    </row>
    <row r="60" spans="1:18">
      <c r="A60" s="1">
        <v>1024</v>
      </c>
      <c r="B60" s="1" t="s">
        <v>2425</v>
      </c>
      <c r="C60" s="1" t="s">
        <v>1100</v>
      </c>
      <c r="D60" s="1">
        <v>2</v>
      </c>
      <c r="E60" s="1" t="s">
        <v>3083</v>
      </c>
      <c r="F60" s="1" t="s">
        <v>3084</v>
      </c>
      <c r="G60" s="1" t="s">
        <v>3054</v>
      </c>
      <c r="I60" s="1" t="s">
        <v>1131</v>
      </c>
      <c r="J60" s="1" t="s">
        <v>13</v>
      </c>
      <c r="N60" s="1" t="s">
        <v>3456</v>
      </c>
      <c r="O60" s="1">
        <v>2</v>
      </c>
      <c r="P60" s="17" t="s">
        <v>3533</v>
      </c>
      <c r="Q60" s="1" t="s">
        <v>181</v>
      </c>
      <c r="R60" s="1" t="s">
        <v>7</v>
      </c>
    </row>
    <row r="61" spans="1:18">
      <c r="A61" s="2">
        <v>2004</v>
      </c>
      <c r="B61" s="1" t="s">
        <v>2462</v>
      </c>
      <c r="C61" s="1" t="s">
        <v>1100</v>
      </c>
      <c r="D61" s="1">
        <v>2</v>
      </c>
      <c r="E61" s="1" t="s">
        <v>3083</v>
      </c>
      <c r="F61" s="1" t="s">
        <v>3084</v>
      </c>
      <c r="G61" s="1" t="s">
        <v>3070</v>
      </c>
      <c r="I61" s="1" t="s">
        <v>3</v>
      </c>
      <c r="J61" s="1" t="s">
        <v>1120</v>
      </c>
      <c r="K61" s="1" t="s">
        <v>1198</v>
      </c>
      <c r="N61" s="2" t="s">
        <v>3150</v>
      </c>
      <c r="O61" s="1">
        <v>2</v>
      </c>
      <c r="P61" s="17" t="s">
        <v>3569</v>
      </c>
      <c r="Q61" s="1" t="s">
        <v>36</v>
      </c>
      <c r="R61" s="1" t="s">
        <v>9</v>
      </c>
    </row>
    <row r="62" spans="1:18">
      <c r="A62" s="2">
        <v>2005</v>
      </c>
      <c r="B62" s="1" t="s">
        <v>2463</v>
      </c>
      <c r="C62" s="1" t="s">
        <v>1181</v>
      </c>
      <c r="D62" s="1">
        <v>2</v>
      </c>
      <c r="E62" s="1" t="s">
        <v>3087</v>
      </c>
      <c r="F62" s="1" t="s">
        <v>3084</v>
      </c>
      <c r="G62" s="1" t="s">
        <v>3076</v>
      </c>
      <c r="I62" s="1" t="s">
        <v>1240</v>
      </c>
      <c r="N62" s="2" t="s">
        <v>3456</v>
      </c>
      <c r="O62" s="1">
        <v>1</v>
      </c>
      <c r="P62" s="17" t="s">
        <v>3533</v>
      </c>
      <c r="Q62" s="1" t="s">
        <v>175</v>
      </c>
      <c r="R62" s="1" t="s">
        <v>9</v>
      </c>
    </row>
    <row r="63" spans="1:18">
      <c r="A63" s="2">
        <v>2006</v>
      </c>
      <c r="B63" s="1" t="s">
        <v>2464</v>
      </c>
      <c r="C63" s="1" t="s">
        <v>1100</v>
      </c>
      <c r="D63" s="1">
        <v>2</v>
      </c>
      <c r="E63" s="1" t="s">
        <v>3083</v>
      </c>
      <c r="F63" s="1" t="s">
        <v>3084</v>
      </c>
      <c r="G63" s="1" t="s">
        <v>3070</v>
      </c>
      <c r="I63" s="1" t="s">
        <v>1086</v>
      </c>
      <c r="J63" s="1" t="s">
        <v>1199</v>
      </c>
      <c r="N63" s="2" t="s">
        <v>3456</v>
      </c>
      <c r="O63" s="1">
        <v>2</v>
      </c>
      <c r="P63" s="17" t="s">
        <v>3533</v>
      </c>
      <c r="Q63" s="1" t="s">
        <v>30</v>
      </c>
      <c r="R63" s="1" t="s">
        <v>9</v>
      </c>
    </row>
    <row r="64" spans="1:18">
      <c r="A64" s="2">
        <v>2007</v>
      </c>
      <c r="B64" s="1" t="s">
        <v>2465</v>
      </c>
      <c r="C64" s="1" t="s">
        <v>1100</v>
      </c>
      <c r="D64" s="1">
        <v>2</v>
      </c>
      <c r="E64" s="1" t="s">
        <v>3083</v>
      </c>
      <c r="F64" s="1" t="s">
        <v>3084</v>
      </c>
      <c r="G64" s="1" t="s">
        <v>3076</v>
      </c>
      <c r="I64" s="1" t="s">
        <v>1200</v>
      </c>
      <c r="J64" s="1" t="s">
        <v>1241</v>
      </c>
      <c r="K64" s="1" t="s">
        <v>1201</v>
      </c>
      <c r="N64" s="2" t="s">
        <v>3456</v>
      </c>
      <c r="O64" s="1">
        <v>2</v>
      </c>
      <c r="P64" s="17" t="s">
        <v>3533</v>
      </c>
      <c r="Q64" s="1" t="s">
        <v>32</v>
      </c>
      <c r="R64" s="1" t="s">
        <v>9</v>
      </c>
    </row>
    <row r="65" spans="1:19">
      <c r="A65" s="2">
        <v>2009</v>
      </c>
      <c r="B65" s="9" t="s">
        <v>2467</v>
      </c>
      <c r="C65" s="9" t="s">
        <v>1100</v>
      </c>
      <c r="D65" s="9">
        <v>2</v>
      </c>
      <c r="E65" s="9" t="s">
        <v>3083</v>
      </c>
      <c r="F65" s="9" t="s">
        <v>3084</v>
      </c>
      <c r="G65" s="9" t="s">
        <v>3053</v>
      </c>
      <c r="H65" s="9"/>
      <c r="I65" s="9" t="s">
        <v>1203</v>
      </c>
      <c r="J65" s="9"/>
      <c r="K65" s="9"/>
      <c r="L65" s="9"/>
      <c r="M65" s="9"/>
      <c r="N65" s="16" t="s">
        <v>3456</v>
      </c>
      <c r="O65" s="9">
        <v>1</v>
      </c>
      <c r="P65" s="63" t="s">
        <v>3569</v>
      </c>
      <c r="Q65" s="9" t="s">
        <v>45</v>
      </c>
      <c r="R65" s="9" t="s">
        <v>9</v>
      </c>
    </row>
    <row r="66" spans="1:19">
      <c r="A66" s="16">
        <v>2010</v>
      </c>
      <c r="B66" s="9" t="s">
        <v>2468</v>
      </c>
      <c r="C66" s="9" t="s">
        <v>1100</v>
      </c>
      <c r="D66" s="9">
        <v>2</v>
      </c>
      <c r="E66" s="9" t="s">
        <v>3083</v>
      </c>
      <c r="F66" s="9" t="s">
        <v>3084</v>
      </c>
      <c r="G66" s="9" t="s">
        <v>3071</v>
      </c>
      <c r="H66" s="9"/>
      <c r="I66" s="9" t="s">
        <v>1086</v>
      </c>
      <c r="J66" s="9" t="s">
        <v>1204</v>
      </c>
      <c r="K66" s="9" t="s">
        <v>1205</v>
      </c>
      <c r="L66" s="9"/>
      <c r="M66" s="9"/>
      <c r="N66" s="16" t="s">
        <v>3150</v>
      </c>
      <c r="O66" s="9">
        <v>2</v>
      </c>
      <c r="P66" s="63" t="s">
        <v>3533</v>
      </c>
      <c r="Q66" s="9" t="s">
        <v>35</v>
      </c>
      <c r="R66" s="9" t="s">
        <v>9</v>
      </c>
    </row>
    <row r="67" spans="1:19">
      <c r="A67" s="2">
        <v>2011</v>
      </c>
      <c r="B67" s="1" t="s">
        <v>2469</v>
      </c>
      <c r="C67" s="1" t="s">
        <v>1100</v>
      </c>
      <c r="D67" s="1">
        <v>2</v>
      </c>
      <c r="E67" s="1" t="s">
        <v>3083</v>
      </c>
      <c r="F67" s="1" t="s">
        <v>3084</v>
      </c>
      <c r="G67" s="1" t="s">
        <v>3051</v>
      </c>
      <c r="I67" s="1" t="s">
        <v>1206</v>
      </c>
      <c r="N67" s="2" t="s">
        <v>3456</v>
      </c>
      <c r="O67" s="1">
        <v>2</v>
      </c>
      <c r="P67" s="17" t="s">
        <v>3569</v>
      </c>
      <c r="Q67" s="1" t="s">
        <v>40</v>
      </c>
      <c r="R67" s="1" t="s">
        <v>9</v>
      </c>
    </row>
    <row r="68" spans="1:19">
      <c r="A68" s="2">
        <v>3001</v>
      </c>
      <c r="B68" s="2" t="s">
        <v>2466</v>
      </c>
      <c r="C68" s="2" t="s">
        <v>1100</v>
      </c>
      <c r="D68" s="2">
        <v>2</v>
      </c>
      <c r="E68" s="2" t="s">
        <v>3083</v>
      </c>
      <c r="F68" s="2" t="s">
        <v>3084</v>
      </c>
      <c r="G68" s="2" t="s">
        <v>3051</v>
      </c>
      <c r="H68" s="2"/>
      <c r="I68" s="2" t="s">
        <v>1202</v>
      </c>
      <c r="J68" s="2"/>
      <c r="K68" s="2"/>
      <c r="L68" s="2"/>
      <c r="M68" s="2"/>
      <c r="N68" s="2" t="s">
        <v>3456</v>
      </c>
      <c r="O68" s="2">
        <v>2</v>
      </c>
      <c r="P68" s="71" t="s">
        <v>3533</v>
      </c>
      <c r="Q68" s="2" t="s">
        <v>768</v>
      </c>
      <c r="R68" s="2" t="s">
        <v>41</v>
      </c>
    </row>
    <row r="69" spans="1:19">
      <c r="A69" s="3">
        <v>33</v>
      </c>
      <c r="B69" s="1" t="s">
        <v>2371</v>
      </c>
      <c r="C69" s="1" t="s">
        <v>1101</v>
      </c>
      <c r="D69" s="1">
        <v>3</v>
      </c>
      <c r="E69" s="1" t="s">
        <v>3083</v>
      </c>
      <c r="F69" s="1" t="s">
        <v>3084</v>
      </c>
      <c r="G69" s="1" t="s">
        <v>3070</v>
      </c>
      <c r="I69" s="1" t="s">
        <v>1069</v>
      </c>
      <c r="N69" s="2" t="s">
        <v>3150</v>
      </c>
      <c r="O69" s="1">
        <v>2</v>
      </c>
      <c r="P69" s="17" t="s">
        <v>3569</v>
      </c>
      <c r="Q69" s="1" t="s">
        <v>30</v>
      </c>
      <c r="R69" s="1" t="s">
        <v>4</v>
      </c>
    </row>
    <row r="70" spans="1:19">
      <c r="A70" s="1">
        <v>34</v>
      </c>
      <c r="B70" s="1" t="s">
        <v>2372</v>
      </c>
      <c r="C70" s="1" t="s">
        <v>1101</v>
      </c>
      <c r="D70" s="1">
        <v>3</v>
      </c>
      <c r="E70" s="1" t="s">
        <v>3083</v>
      </c>
      <c r="F70" s="1" t="s">
        <v>3084</v>
      </c>
      <c r="G70" s="1" t="s">
        <v>3055</v>
      </c>
      <c r="I70" s="1" t="s">
        <v>1070</v>
      </c>
      <c r="N70" s="2" t="s">
        <v>3456</v>
      </c>
      <c r="O70" s="1">
        <v>2</v>
      </c>
      <c r="P70" s="17" t="s">
        <v>3569</v>
      </c>
      <c r="Q70" s="1" t="s">
        <v>5</v>
      </c>
      <c r="R70" s="1" t="s">
        <v>4</v>
      </c>
    </row>
    <row r="71" spans="1:19">
      <c r="A71" s="3">
        <v>35</v>
      </c>
      <c r="B71" s="1" t="s">
        <v>2373</v>
      </c>
      <c r="C71" s="1" t="s">
        <v>1101</v>
      </c>
      <c r="D71" s="1">
        <v>3</v>
      </c>
      <c r="E71" s="1" t="s">
        <v>3083</v>
      </c>
      <c r="F71" s="1" t="s">
        <v>3084</v>
      </c>
      <c r="G71" s="1" t="s">
        <v>3062</v>
      </c>
      <c r="I71" s="1" t="s">
        <v>1112</v>
      </c>
      <c r="N71" s="2" t="s">
        <v>3456</v>
      </c>
      <c r="O71" s="1">
        <v>2</v>
      </c>
      <c r="P71" s="17" t="s">
        <v>3569</v>
      </c>
      <c r="Q71" s="1" t="s">
        <v>31</v>
      </c>
      <c r="R71" s="1" t="s">
        <v>4</v>
      </c>
    </row>
    <row r="72" spans="1:19">
      <c r="A72" s="1">
        <v>36</v>
      </c>
      <c r="B72" s="1" t="s">
        <v>2374</v>
      </c>
      <c r="C72" s="1" t="s">
        <v>1101</v>
      </c>
      <c r="D72" s="1">
        <v>3</v>
      </c>
      <c r="E72" s="1" t="s">
        <v>3083</v>
      </c>
      <c r="F72" s="1" t="s">
        <v>3084</v>
      </c>
      <c r="G72" s="1" t="s">
        <v>3055</v>
      </c>
      <c r="I72" s="1" t="s">
        <v>1071</v>
      </c>
      <c r="N72" s="2" t="s">
        <v>3456</v>
      </c>
      <c r="O72" s="1">
        <v>2</v>
      </c>
      <c r="P72" s="17" t="s">
        <v>3569</v>
      </c>
      <c r="Q72" s="1" t="s">
        <v>605</v>
      </c>
      <c r="R72" s="1" t="s">
        <v>4</v>
      </c>
    </row>
    <row r="73" spans="1:19">
      <c r="A73" s="3">
        <v>37</v>
      </c>
      <c r="B73" s="3" t="s">
        <v>2375</v>
      </c>
      <c r="C73" s="3" t="s">
        <v>1101</v>
      </c>
      <c r="D73" s="3">
        <v>3</v>
      </c>
      <c r="E73" s="3" t="s">
        <v>3083</v>
      </c>
      <c r="F73" s="3" t="s">
        <v>3084</v>
      </c>
      <c r="G73" s="3" t="s">
        <v>3055</v>
      </c>
      <c r="H73" s="3"/>
      <c r="I73" s="3" t="s">
        <v>1072</v>
      </c>
      <c r="J73" s="3"/>
      <c r="K73" s="3"/>
      <c r="L73" s="3"/>
      <c r="M73" s="3"/>
      <c r="N73" s="14" t="s">
        <v>3456</v>
      </c>
      <c r="O73" s="3">
        <v>1</v>
      </c>
      <c r="P73" s="60" t="s">
        <v>3569</v>
      </c>
      <c r="Q73" s="3" t="s">
        <v>32</v>
      </c>
      <c r="R73" s="3" t="s">
        <v>4</v>
      </c>
      <c r="S73" s="11"/>
    </row>
    <row r="74" spans="1:19">
      <c r="A74" s="1">
        <v>38</v>
      </c>
      <c r="B74" s="3" t="s">
        <v>2376</v>
      </c>
      <c r="C74" s="3" t="s">
        <v>1101</v>
      </c>
      <c r="D74" s="3">
        <v>3</v>
      </c>
      <c r="E74" s="3" t="s">
        <v>3083</v>
      </c>
      <c r="F74" s="3" t="s">
        <v>3084</v>
      </c>
      <c r="G74" s="3" t="s">
        <v>3076</v>
      </c>
      <c r="H74" s="3"/>
      <c r="I74" s="3" t="s">
        <v>1073</v>
      </c>
      <c r="J74" s="3" t="s">
        <v>1074</v>
      </c>
      <c r="K74" s="3"/>
      <c r="L74" s="3"/>
      <c r="M74" s="3"/>
      <c r="N74" s="14" t="s">
        <v>3150</v>
      </c>
      <c r="O74" s="3">
        <v>2</v>
      </c>
      <c r="P74" s="60" t="s">
        <v>3569</v>
      </c>
      <c r="Q74" s="3" t="s">
        <v>11</v>
      </c>
      <c r="R74" s="3" t="s">
        <v>4</v>
      </c>
      <c r="S74" s="11"/>
    </row>
    <row r="75" spans="1:19">
      <c r="A75" s="3">
        <v>39</v>
      </c>
      <c r="B75" s="3" t="s">
        <v>2377</v>
      </c>
      <c r="C75" s="3" t="s">
        <v>1101</v>
      </c>
      <c r="D75" s="3">
        <v>3</v>
      </c>
      <c r="E75" s="3" t="s">
        <v>3083</v>
      </c>
      <c r="F75" s="3" t="s">
        <v>3084</v>
      </c>
      <c r="G75" s="3" t="s">
        <v>3053</v>
      </c>
      <c r="H75" s="3"/>
      <c r="I75" s="3" t="s">
        <v>13</v>
      </c>
      <c r="J75" s="3"/>
      <c r="K75" s="3"/>
      <c r="L75" s="3"/>
      <c r="M75" s="3"/>
      <c r="N75" s="14" t="s">
        <v>3456</v>
      </c>
      <c r="O75" s="3">
        <v>3</v>
      </c>
      <c r="P75" s="60" t="s">
        <v>3533</v>
      </c>
      <c r="Q75" s="3" t="s">
        <v>181</v>
      </c>
      <c r="R75" s="3" t="s">
        <v>4</v>
      </c>
    </row>
    <row r="76" spans="1:19">
      <c r="A76" s="1">
        <v>40</v>
      </c>
      <c r="B76" s="1" t="s">
        <v>2378</v>
      </c>
      <c r="C76" s="1" t="s">
        <v>1101</v>
      </c>
      <c r="D76" s="1">
        <v>3</v>
      </c>
      <c r="E76" s="1" t="s">
        <v>3083</v>
      </c>
      <c r="F76" s="1" t="s">
        <v>3084</v>
      </c>
      <c r="G76" s="1" t="s">
        <v>3071</v>
      </c>
      <c r="I76" s="1" t="s">
        <v>1075</v>
      </c>
      <c r="N76" s="2" t="s">
        <v>3456</v>
      </c>
      <c r="O76" s="1">
        <v>3</v>
      </c>
      <c r="P76" s="17" t="s">
        <v>3533</v>
      </c>
      <c r="Q76" s="1" t="s">
        <v>31</v>
      </c>
      <c r="R76" s="1" t="s">
        <v>4</v>
      </c>
    </row>
    <row r="77" spans="1:19">
      <c r="A77" s="4">
        <v>41</v>
      </c>
      <c r="B77" s="4" t="s">
        <v>2379</v>
      </c>
      <c r="C77" s="4" t="s">
        <v>1101</v>
      </c>
      <c r="D77" s="4">
        <v>3</v>
      </c>
      <c r="E77" s="4" t="s">
        <v>3083</v>
      </c>
      <c r="F77" s="4" t="s">
        <v>3084</v>
      </c>
      <c r="G77" s="4" t="s">
        <v>3076</v>
      </c>
      <c r="H77" s="4"/>
      <c r="I77" s="4" t="s">
        <v>1076</v>
      </c>
      <c r="J77" s="4" t="s">
        <v>1077</v>
      </c>
      <c r="K77" s="4" t="s">
        <v>1078</v>
      </c>
      <c r="L77" s="4"/>
      <c r="M77" s="4"/>
      <c r="N77" s="5" t="s">
        <v>3150</v>
      </c>
      <c r="O77" s="4">
        <v>1</v>
      </c>
      <c r="P77" s="19" t="s">
        <v>3569</v>
      </c>
      <c r="Q77" s="4" t="s">
        <v>53</v>
      </c>
      <c r="R77" s="3" t="s">
        <v>4</v>
      </c>
    </row>
    <row r="78" spans="1:19">
      <c r="A78" s="1">
        <v>42</v>
      </c>
      <c r="B78" s="1" t="s">
        <v>2380</v>
      </c>
      <c r="C78" s="1" t="s">
        <v>1101</v>
      </c>
      <c r="D78" s="1">
        <v>3</v>
      </c>
      <c r="E78" s="1" t="s">
        <v>3083</v>
      </c>
      <c r="F78" s="1" t="s">
        <v>3084</v>
      </c>
      <c r="G78" s="1" t="s">
        <v>3051</v>
      </c>
      <c r="I78" s="1" t="s">
        <v>1079</v>
      </c>
      <c r="N78" s="2" t="s">
        <v>3456</v>
      </c>
      <c r="O78" s="1">
        <v>3</v>
      </c>
      <c r="P78" s="17" t="s">
        <v>3533</v>
      </c>
      <c r="Q78" s="1" t="s">
        <v>8</v>
      </c>
      <c r="R78" s="1" t="s">
        <v>4</v>
      </c>
    </row>
    <row r="79" spans="1:19">
      <c r="A79" s="6">
        <v>43</v>
      </c>
      <c r="B79" s="6" t="s">
        <v>2381</v>
      </c>
      <c r="C79" s="6" t="s">
        <v>1101</v>
      </c>
      <c r="D79" s="6">
        <v>3</v>
      </c>
      <c r="E79" s="6" t="s">
        <v>3083</v>
      </c>
      <c r="F79" s="6" t="s">
        <v>3084</v>
      </c>
      <c r="G79" s="6"/>
      <c r="H79" s="6"/>
      <c r="I79" s="6" t="s">
        <v>3459</v>
      </c>
      <c r="J79" s="6"/>
      <c r="K79" s="6"/>
      <c r="L79" s="6"/>
      <c r="M79" s="6" t="s">
        <v>153</v>
      </c>
      <c r="N79" s="7" t="s">
        <v>3456</v>
      </c>
      <c r="O79" s="6">
        <v>2</v>
      </c>
      <c r="P79" s="18" t="s">
        <v>3569</v>
      </c>
      <c r="Q79" s="6"/>
      <c r="R79" s="6"/>
    </row>
    <row r="80" spans="1:19">
      <c r="A80" s="6">
        <v>44</v>
      </c>
      <c r="B80" s="6" t="s">
        <v>2382</v>
      </c>
      <c r="C80" s="6" t="s">
        <v>3092</v>
      </c>
      <c r="D80" s="6">
        <v>3</v>
      </c>
      <c r="E80" s="6" t="s">
        <v>3083</v>
      </c>
      <c r="F80" s="6" t="s">
        <v>3781</v>
      </c>
      <c r="G80" s="6"/>
      <c r="H80" s="6"/>
      <c r="I80" s="6"/>
      <c r="J80" s="6"/>
      <c r="K80" s="6"/>
      <c r="L80" s="6"/>
      <c r="M80" s="6" t="s">
        <v>153</v>
      </c>
      <c r="N80" s="7" t="s">
        <v>3456</v>
      </c>
      <c r="O80" s="6">
        <v>4</v>
      </c>
      <c r="P80" s="18" t="s">
        <v>3522</v>
      </c>
      <c r="Q80" s="6" t="s">
        <v>44</v>
      </c>
      <c r="R80" s="6" t="s">
        <v>4</v>
      </c>
    </row>
    <row r="81" spans="1:18">
      <c r="A81" s="3">
        <v>45</v>
      </c>
      <c r="B81" s="1" t="s">
        <v>2383</v>
      </c>
      <c r="C81" s="1" t="s">
        <v>1102</v>
      </c>
      <c r="D81" s="1">
        <v>3</v>
      </c>
      <c r="E81" s="1" t="s">
        <v>3083</v>
      </c>
      <c r="F81" s="1" t="s">
        <v>3084</v>
      </c>
      <c r="G81" s="1" t="s">
        <v>3053</v>
      </c>
      <c r="I81" s="1" t="s">
        <v>1080</v>
      </c>
      <c r="J81" s="1" t="s">
        <v>1081</v>
      </c>
      <c r="N81" s="2" t="s">
        <v>3456</v>
      </c>
      <c r="O81" s="1">
        <v>2</v>
      </c>
      <c r="P81" s="17" t="s">
        <v>3569</v>
      </c>
      <c r="Q81" s="1" t="s">
        <v>606</v>
      </c>
      <c r="R81" s="1" t="s">
        <v>4</v>
      </c>
    </row>
    <row r="82" spans="1:18">
      <c r="A82" s="1">
        <v>46</v>
      </c>
      <c r="B82" s="3" t="s">
        <v>2384</v>
      </c>
      <c r="C82" s="3" t="s">
        <v>1101</v>
      </c>
      <c r="D82" s="3">
        <v>3</v>
      </c>
      <c r="E82" s="3" t="s">
        <v>3083</v>
      </c>
      <c r="F82" s="3" t="s">
        <v>3084</v>
      </c>
      <c r="G82" s="3" t="s">
        <v>3071</v>
      </c>
      <c r="H82" s="3"/>
      <c r="I82" s="3" t="s">
        <v>51</v>
      </c>
      <c r="J82" s="3" t="s">
        <v>1116</v>
      </c>
      <c r="K82" s="3"/>
      <c r="L82" s="3"/>
      <c r="M82" s="3"/>
      <c r="N82" s="14" t="s">
        <v>3456</v>
      </c>
      <c r="O82" s="3">
        <v>2</v>
      </c>
      <c r="P82" s="60" t="s">
        <v>3527</v>
      </c>
      <c r="Q82" s="3" t="s">
        <v>16</v>
      </c>
      <c r="R82" s="3" t="s">
        <v>4</v>
      </c>
    </row>
    <row r="83" spans="1:18">
      <c r="A83" s="3">
        <v>47</v>
      </c>
      <c r="B83" s="1" t="s">
        <v>2385</v>
      </c>
      <c r="C83" s="1" t="s">
        <v>1102</v>
      </c>
      <c r="D83" s="1">
        <v>3</v>
      </c>
      <c r="E83" s="1" t="s">
        <v>3083</v>
      </c>
      <c r="F83" s="1" t="s">
        <v>3084</v>
      </c>
      <c r="G83" s="1" t="s">
        <v>3051</v>
      </c>
      <c r="I83" s="1" t="s">
        <v>1082</v>
      </c>
      <c r="N83" s="2" t="s">
        <v>3456</v>
      </c>
      <c r="O83" s="1">
        <v>2</v>
      </c>
      <c r="P83" s="17" t="s">
        <v>3569</v>
      </c>
      <c r="Q83" s="1" t="s">
        <v>173</v>
      </c>
      <c r="R83" s="1" t="s">
        <v>4</v>
      </c>
    </row>
    <row r="84" spans="1:18">
      <c r="A84" s="1">
        <v>48</v>
      </c>
      <c r="B84" s="1" t="s">
        <v>2386</v>
      </c>
      <c r="C84" s="1" t="s">
        <v>1101</v>
      </c>
      <c r="D84" s="1">
        <v>3</v>
      </c>
      <c r="E84" s="1" t="s">
        <v>3083</v>
      </c>
      <c r="F84" s="1" t="s">
        <v>3084</v>
      </c>
      <c r="G84" s="1" t="s">
        <v>3055</v>
      </c>
      <c r="N84" s="2" t="s">
        <v>3456</v>
      </c>
      <c r="O84" s="1">
        <v>3</v>
      </c>
      <c r="P84" s="17" t="s">
        <v>3569</v>
      </c>
      <c r="Q84" s="1" t="s">
        <v>50</v>
      </c>
      <c r="R84" s="1" t="s">
        <v>4</v>
      </c>
    </row>
    <row r="85" spans="1:18">
      <c r="A85" s="3">
        <v>49</v>
      </c>
      <c r="B85" s="1" t="s">
        <v>2387</v>
      </c>
      <c r="C85" s="1" t="s">
        <v>1101</v>
      </c>
      <c r="D85" s="1">
        <v>3</v>
      </c>
      <c r="E85" s="1" t="s">
        <v>3083</v>
      </c>
      <c r="F85" s="1" t="s">
        <v>3084</v>
      </c>
      <c r="G85" s="1" t="s">
        <v>3053</v>
      </c>
      <c r="I85" s="1" t="s">
        <v>1113</v>
      </c>
      <c r="N85" s="2" t="s">
        <v>3456</v>
      </c>
      <c r="O85" s="1">
        <v>2</v>
      </c>
      <c r="P85" s="17" t="s">
        <v>3527</v>
      </c>
      <c r="Q85" s="1" t="s">
        <v>39</v>
      </c>
      <c r="R85" s="1" t="s">
        <v>4</v>
      </c>
    </row>
    <row r="86" spans="1:18">
      <c r="A86" s="1">
        <v>1025</v>
      </c>
      <c r="B86" s="1" t="s">
        <v>2426</v>
      </c>
      <c r="C86" s="1" t="s">
        <v>1101</v>
      </c>
      <c r="D86" s="1">
        <v>3</v>
      </c>
      <c r="E86" s="1" t="s">
        <v>3083</v>
      </c>
      <c r="F86" s="1" t="s">
        <v>3084</v>
      </c>
      <c r="G86" s="1" t="s">
        <v>3057</v>
      </c>
      <c r="I86" s="1" t="s">
        <v>1184</v>
      </c>
      <c r="N86" s="1" t="s">
        <v>3150</v>
      </c>
      <c r="O86" s="1">
        <v>2</v>
      </c>
      <c r="P86" s="17" t="s">
        <v>3569</v>
      </c>
      <c r="Q86" s="1" t="s">
        <v>14</v>
      </c>
      <c r="R86" s="1" t="s">
        <v>7</v>
      </c>
    </row>
    <row r="87" spans="1:18">
      <c r="A87" s="6">
        <v>1026</v>
      </c>
      <c r="B87" s="6" t="s">
        <v>2427</v>
      </c>
      <c r="C87" s="6" t="s">
        <v>1101</v>
      </c>
      <c r="D87" s="6">
        <v>3</v>
      </c>
      <c r="E87" s="6" t="s">
        <v>3083</v>
      </c>
      <c r="F87" s="6" t="s">
        <v>3084</v>
      </c>
      <c r="G87" s="6" t="s">
        <v>3071</v>
      </c>
      <c r="H87" s="6"/>
      <c r="I87" s="6" t="s">
        <v>1144</v>
      </c>
      <c r="J87" s="6" t="s">
        <v>1177</v>
      </c>
      <c r="K87" s="6"/>
      <c r="L87" s="6"/>
      <c r="M87" s="6"/>
      <c r="N87" s="6" t="s">
        <v>3456</v>
      </c>
      <c r="O87" s="6">
        <v>2</v>
      </c>
      <c r="P87" s="18" t="s">
        <v>3569</v>
      </c>
      <c r="Q87" s="6" t="s">
        <v>181</v>
      </c>
      <c r="R87" s="6" t="s">
        <v>7</v>
      </c>
    </row>
    <row r="88" spans="1:18">
      <c r="A88" s="4">
        <v>1027</v>
      </c>
      <c r="B88" s="4" t="s">
        <v>2428</v>
      </c>
      <c r="C88" s="4" t="s">
        <v>1101</v>
      </c>
      <c r="D88" s="4">
        <v>3</v>
      </c>
      <c r="E88" s="4" t="s">
        <v>3083</v>
      </c>
      <c r="F88" s="4" t="s">
        <v>3084</v>
      </c>
      <c r="G88" s="4" t="s">
        <v>3051</v>
      </c>
      <c r="H88" s="4"/>
      <c r="I88" s="4" t="s">
        <v>856</v>
      </c>
      <c r="J88" s="4" t="s">
        <v>1195</v>
      </c>
      <c r="K88" s="4"/>
      <c r="L88" s="4"/>
      <c r="M88" s="4"/>
      <c r="N88" s="4" t="s">
        <v>3456</v>
      </c>
      <c r="O88" s="4">
        <v>2</v>
      </c>
      <c r="P88" s="19" t="s">
        <v>3569</v>
      </c>
      <c r="Q88" s="4" t="s">
        <v>15</v>
      </c>
      <c r="R88" s="4" t="s">
        <v>7</v>
      </c>
    </row>
    <row r="89" spans="1:18">
      <c r="A89" s="6">
        <v>1028</v>
      </c>
      <c r="B89" s="6" t="s">
        <v>2429</v>
      </c>
      <c r="C89" s="6" t="s">
        <v>1101</v>
      </c>
      <c r="D89" s="6">
        <v>3</v>
      </c>
      <c r="E89" s="6" t="s">
        <v>3083</v>
      </c>
      <c r="F89" s="6" t="s">
        <v>3084</v>
      </c>
      <c r="G89" s="6" t="s">
        <v>3076</v>
      </c>
      <c r="H89" s="6" t="s">
        <v>3060</v>
      </c>
      <c r="I89" s="6" t="s">
        <v>1185</v>
      </c>
      <c r="J89" s="6"/>
      <c r="K89" s="6"/>
      <c r="L89" s="6"/>
      <c r="M89" s="6"/>
      <c r="N89" s="6" t="s">
        <v>3456</v>
      </c>
      <c r="O89" s="6">
        <v>2</v>
      </c>
      <c r="P89" s="18" t="s">
        <v>3569</v>
      </c>
      <c r="Q89" s="6" t="s">
        <v>28</v>
      </c>
      <c r="R89" s="6" t="s">
        <v>7</v>
      </c>
    </row>
    <row r="90" spans="1:18">
      <c r="A90" s="1">
        <v>1029</v>
      </c>
      <c r="B90" s="1" t="s">
        <v>2430</v>
      </c>
      <c r="C90" s="1" t="s">
        <v>1101</v>
      </c>
      <c r="D90" s="1">
        <v>3</v>
      </c>
      <c r="E90" s="1" t="s">
        <v>3083</v>
      </c>
      <c r="F90" s="1" t="s">
        <v>3084</v>
      </c>
      <c r="G90" s="1" t="s">
        <v>3071</v>
      </c>
      <c r="I90" s="1" t="s">
        <v>1145</v>
      </c>
      <c r="N90" s="1" t="s">
        <v>3456</v>
      </c>
      <c r="O90" s="1">
        <v>2</v>
      </c>
      <c r="P90" s="17" t="s">
        <v>3527</v>
      </c>
      <c r="Q90" s="1" t="s">
        <v>5</v>
      </c>
      <c r="R90" s="1" t="s">
        <v>7</v>
      </c>
    </row>
    <row r="91" spans="1:18">
      <c r="A91" s="1">
        <v>1030</v>
      </c>
      <c r="B91" s="1" t="s">
        <v>2431</v>
      </c>
      <c r="C91" s="1" t="s">
        <v>1101</v>
      </c>
      <c r="D91" s="1">
        <v>3</v>
      </c>
      <c r="E91" s="1" t="s">
        <v>3083</v>
      </c>
      <c r="F91" s="1" t="s">
        <v>3084</v>
      </c>
      <c r="G91" s="1" t="s">
        <v>3076</v>
      </c>
      <c r="I91" s="1" t="s">
        <v>1146</v>
      </c>
      <c r="J91" s="1" t="s">
        <v>1186</v>
      </c>
      <c r="N91" s="1" t="s">
        <v>3456</v>
      </c>
      <c r="O91" s="1">
        <v>2</v>
      </c>
      <c r="P91" s="17" t="s">
        <v>3533</v>
      </c>
      <c r="Q91" s="1" t="s">
        <v>172</v>
      </c>
      <c r="R91" s="1" t="s">
        <v>7</v>
      </c>
    </row>
    <row r="92" spans="1:18">
      <c r="A92" s="1">
        <v>1031</v>
      </c>
      <c r="B92" s="1" t="s">
        <v>2432</v>
      </c>
      <c r="C92" s="1" t="s">
        <v>1101</v>
      </c>
      <c r="D92" s="1">
        <v>3</v>
      </c>
      <c r="E92" s="1" t="s">
        <v>3083</v>
      </c>
      <c r="F92" s="1" t="s">
        <v>3084</v>
      </c>
      <c r="G92" s="1" t="s">
        <v>3075</v>
      </c>
      <c r="I92" s="1" t="s">
        <v>914</v>
      </c>
      <c r="J92" s="1" t="s">
        <v>1147</v>
      </c>
      <c r="N92" s="1" t="s">
        <v>3150</v>
      </c>
      <c r="O92" s="1">
        <v>2</v>
      </c>
      <c r="P92" s="17" t="s">
        <v>3527</v>
      </c>
      <c r="Q92" s="1" t="s">
        <v>32</v>
      </c>
      <c r="R92" s="1" t="s">
        <v>7</v>
      </c>
    </row>
    <row r="93" spans="1:18">
      <c r="A93" s="1">
        <v>1032</v>
      </c>
      <c r="B93" s="1" t="s">
        <v>2433</v>
      </c>
      <c r="C93" s="1" t="s">
        <v>1101</v>
      </c>
      <c r="D93" s="1">
        <v>3</v>
      </c>
      <c r="E93" s="1" t="s">
        <v>3083</v>
      </c>
      <c r="F93" s="1" t="s">
        <v>3084</v>
      </c>
      <c r="G93" s="1" t="s">
        <v>3075</v>
      </c>
      <c r="I93" s="1" t="s">
        <v>1148</v>
      </c>
      <c r="N93" s="1" t="s">
        <v>3150</v>
      </c>
      <c r="O93" s="1">
        <v>2</v>
      </c>
      <c r="P93" s="17" t="s">
        <v>3569</v>
      </c>
      <c r="Q93" s="1" t="s">
        <v>44</v>
      </c>
      <c r="R93" s="1" t="s">
        <v>7</v>
      </c>
    </row>
    <row r="94" spans="1:18">
      <c r="A94" s="4">
        <v>1033</v>
      </c>
      <c r="B94" s="4" t="s">
        <v>2434</v>
      </c>
      <c r="C94" s="4" t="s">
        <v>1101</v>
      </c>
      <c r="D94" s="4">
        <v>3</v>
      </c>
      <c r="E94" s="4" t="s">
        <v>3083</v>
      </c>
      <c r="F94" s="4" t="s">
        <v>3084</v>
      </c>
      <c r="G94" s="4"/>
      <c r="H94" s="4"/>
      <c r="I94" s="4" t="s">
        <v>1187</v>
      </c>
      <c r="J94" s="4"/>
      <c r="K94" s="4"/>
      <c r="L94" s="4"/>
      <c r="M94" s="4" t="s">
        <v>153</v>
      </c>
      <c r="N94" s="4" t="s">
        <v>3456</v>
      </c>
      <c r="O94" s="4">
        <v>2</v>
      </c>
      <c r="P94" s="19" t="s">
        <v>3527</v>
      </c>
      <c r="Q94" s="4"/>
      <c r="R94" s="4"/>
    </row>
    <row r="95" spans="1:18">
      <c r="A95" s="4">
        <v>1034</v>
      </c>
      <c r="B95" s="4" t="s">
        <v>2435</v>
      </c>
      <c r="C95" s="4" t="s">
        <v>3091</v>
      </c>
      <c r="D95" s="4">
        <v>3</v>
      </c>
      <c r="E95" s="4" t="s">
        <v>3083</v>
      </c>
      <c r="F95" s="4" t="s">
        <v>3084</v>
      </c>
      <c r="G95" s="4" t="s">
        <v>3075</v>
      </c>
      <c r="H95" s="4"/>
      <c r="I95" s="4" t="s">
        <v>1149</v>
      </c>
      <c r="J95" s="4"/>
      <c r="K95" s="4"/>
      <c r="L95" s="4"/>
      <c r="M95" s="4" t="s">
        <v>153</v>
      </c>
      <c r="N95" s="4" t="s">
        <v>3456</v>
      </c>
      <c r="O95" s="4">
        <v>4</v>
      </c>
      <c r="P95" s="19" t="s">
        <v>3527</v>
      </c>
      <c r="Q95" s="4" t="s">
        <v>46</v>
      </c>
      <c r="R95" s="4" t="s">
        <v>7</v>
      </c>
    </row>
    <row r="96" spans="1:18">
      <c r="A96" s="1">
        <v>1035</v>
      </c>
      <c r="B96" s="1" t="s">
        <v>2436</v>
      </c>
      <c r="C96" s="1" t="s">
        <v>1101</v>
      </c>
      <c r="D96" s="1">
        <v>3</v>
      </c>
      <c r="E96" s="1" t="s">
        <v>3083</v>
      </c>
      <c r="F96" s="1" t="s">
        <v>3084</v>
      </c>
      <c r="G96" s="1" t="s">
        <v>3051</v>
      </c>
      <c r="I96" s="1" t="s">
        <v>1150</v>
      </c>
      <c r="N96" s="1" t="s">
        <v>3456</v>
      </c>
      <c r="O96" s="1">
        <v>1</v>
      </c>
      <c r="P96" s="17" t="s">
        <v>3527</v>
      </c>
      <c r="Q96" s="1" t="s">
        <v>40</v>
      </c>
      <c r="R96" s="1" t="s">
        <v>7</v>
      </c>
    </row>
    <row r="97" spans="1:18">
      <c r="A97" s="1">
        <v>1036</v>
      </c>
      <c r="B97" s="1" t="s">
        <v>2437</v>
      </c>
      <c r="C97" s="1" t="s">
        <v>1101</v>
      </c>
      <c r="D97" s="1">
        <v>3</v>
      </c>
      <c r="E97" s="1" t="s">
        <v>3083</v>
      </c>
      <c r="F97" s="1" t="s">
        <v>3084</v>
      </c>
      <c r="G97" s="1" t="s">
        <v>3055</v>
      </c>
      <c r="I97" s="1" t="s">
        <v>1151</v>
      </c>
      <c r="J97" s="1" t="s">
        <v>1188</v>
      </c>
      <c r="N97" s="1" t="s">
        <v>3150</v>
      </c>
      <c r="O97" s="1">
        <v>2</v>
      </c>
      <c r="P97" s="17" t="s">
        <v>3569</v>
      </c>
      <c r="Q97" s="1" t="s">
        <v>29</v>
      </c>
      <c r="R97" s="1" t="s">
        <v>7</v>
      </c>
    </row>
    <row r="98" spans="1:18">
      <c r="A98" s="1">
        <v>1037</v>
      </c>
      <c r="B98" s="1" t="s">
        <v>2438</v>
      </c>
      <c r="C98" s="1" t="s">
        <v>1102</v>
      </c>
      <c r="D98" s="1">
        <v>3</v>
      </c>
      <c r="E98" s="1" t="s">
        <v>3083</v>
      </c>
      <c r="F98" s="1" t="s">
        <v>3084</v>
      </c>
      <c r="G98" s="1" t="s">
        <v>3054</v>
      </c>
      <c r="I98" s="1" t="s">
        <v>1189</v>
      </c>
      <c r="N98" s="1" t="s">
        <v>3456</v>
      </c>
      <c r="O98" s="1">
        <v>2</v>
      </c>
      <c r="P98" s="17" t="s">
        <v>3569</v>
      </c>
      <c r="Q98" s="1" t="s">
        <v>169</v>
      </c>
      <c r="R98" s="1" t="s">
        <v>7</v>
      </c>
    </row>
    <row r="99" spans="1:18">
      <c r="A99" s="1">
        <v>1038</v>
      </c>
      <c r="B99" s="1" t="s">
        <v>2439</v>
      </c>
      <c r="C99" s="1" t="s">
        <v>1102</v>
      </c>
      <c r="D99" s="1">
        <v>3</v>
      </c>
      <c r="E99" s="1" t="s">
        <v>3083</v>
      </c>
      <c r="F99" s="1" t="s">
        <v>3084</v>
      </c>
      <c r="G99" s="1" t="s">
        <v>3052</v>
      </c>
      <c r="H99" s="1" t="s">
        <v>3076</v>
      </c>
      <c r="I99" s="1" t="s">
        <v>1152</v>
      </c>
      <c r="J99" s="1" t="s">
        <v>1190</v>
      </c>
      <c r="N99" s="1" t="s">
        <v>3150</v>
      </c>
      <c r="O99" s="1">
        <v>1</v>
      </c>
      <c r="P99" s="17" t="s">
        <v>3533</v>
      </c>
      <c r="Q99" s="1" t="s">
        <v>33</v>
      </c>
      <c r="R99" s="1" t="s">
        <v>7</v>
      </c>
    </row>
    <row r="100" spans="1:18">
      <c r="A100" s="6">
        <v>1039</v>
      </c>
      <c r="B100" s="6" t="s">
        <v>2440</v>
      </c>
      <c r="C100" s="6" t="s">
        <v>1101</v>
      </c>
      <c r="D100" s="6">
        <v>3</v>
      </c>
      <c r="E100" s="6" t="s">
        <v>3083</v>
      </c>
      <c r="F100" s="6" t="s">
        <v>3084</v>
      </c>
      <c r="G100" s="6" t="s">
        <v>3051</v>
      </c>
      <c r="H100" s="6"/>
      <c r="I100" s="6" t="s">
        <v>1196</v>
      </c>
      <c r="J100" s="6"/>
      <c r="K100" s="6"/>
      <c r="L100" s="6"/>
      <c r="M100" s="6"/>
      <c r="N100" s="6" t="s">
        <v>3456</v>
      </c>
      <c r="O100" s="6">
        <v>2</v>
      </c>
      <c r="P100" s="18" t="s">
        <v>3569</v>
      </c>
      <c r="Q100" s="6" t="s">
        <v>18</v>
      </c>
      <c r="R100" s="6" t="s">
        <v>7</v>
      </c>
    </row>
    <row r="101" spans="1:18">
      <c r="A101" s="1">
        <v>1040</v>
      </c>
      <c r="B101" s="1" t="s">
        <v>2441</v>
      </c>
      <c r="C101" s="1" t="s">
        <v>1101</v>
      </c>
      <c r="D101" s="1">
        <v>3</v>
      </c>
      <c r="E101" s="1" t="s">
        <v>3083</v>
      </c>
      <c r="F101" s="1" t="s">
        <v>3084</v>
      </c>
      <c r="G101" s="1" t="s">
        <v>3070</v>
      </c>
      <c r="I101" s="1" t="s">
        <v>1153</v>
      </c>
      <c r="J101" s="1" t="s">
        <v>1154</v>
      </c>
      <c r="N101" s="1" t="s">
        <v>3458</v>
      </c>
      <c r="O101" s="1">
        <v>2</v>
      </c>
      <c r="P101" s="17" t="s">
        <v>3569</v>
      </c>
      <c r="Q101" s="1" t="s">
        <v>36</v>
      </c>
      <c r="R101" s="1" t="s">
        <v>7</v>
      </c>
    </row>
    <row r="102" spans="1:18">
      <c r="A102" s="6">
        <v>1041</v>
      </c>
      <c r="B102" s="6" t="s">
        <v>2442</v>
      </c>
      <c r="C102" s="6" t="s">
        <v>1102</v>
      </c>
      <c r="D102" s="6">
        <v>3</v>
      </c>
      <c r="E102" s="6" t="s">
        <v>3083</v>
      </c>
      <c r="F102" s="6" t="s">
        <v>3084</v>
      </c>
      <c r="G102" s="6" t="s">
        <v>3055</v>
      </c>
      <c r="H102" s="6"/>
      <c r="I102" s="6" t="s">
        <v>1155</v>
      </c>
      <c r="J102" s="6" t="s">
        <v>1156</v>
      </c>
      <c r="K102" s="6"/>
      <c r="L102" s="6"/>
      <c r="M102" s="6" t="s">
        <v>491</v>
      </c>
      <c r="N102" s="6" t="s">
        <v>3456</v>
      </c>
      <c r="O102" s="6">
        <v>2</v>
      </c>
      <c r="P102" s="18" t="s">
        <v>3569</v>
      </c>
      <c r="Q102" s="6"/>
      <c r="R102" s="6"/>
    </row>
    <row r="103" spans="1:18">
      <c r="A103" s="6">
        <v>1042</v>
      </c>
      <c r="B103" s="6" t="s">
        <v>2443</v>
      </c>
      <c r="C103" s="6" t="s">
        <v>1102</v>
      </c>
      <c r="D103" s="6">
        <v>3</v>
      </c>
      <c r="E103" s="6" t="s">
        <v>3087</v>
      </c>
      <c r="F103" s="6" t="s">
        <v>3089</v>
      </c>
      <c r="G103" s="6"/>
      <c r="H103" s="6"/>
      <c r="I103" s="6" t="s">
        <v>1157</v>
      </c>
      <c r="J103" s="6"/>
      <c r="K103" s="6"/>
      <c r="L103" s="6"/>
      <c r="M103" s="6" t="s">
        <v>491</v>
      </c>
      <c r="N103" s="6" t="s">
        <v>3456</v>
      </c>
      <c r="O103" s="6">
        <v>4</v>
      </c>
      <c r="P103" s="18" t="s">
        <v>3522</v>
      </c>
      <c r="Q103" s="6" t="s">
        <v>183</v>
      </c>
      <c r="R103" s="6" t="s">
        <v>7</v>
      </c>
    </row>
    <row r="104" spans="1:18">
      <c r="A104" s="8">
        <v>1043</v>
      </c>
      <c r="B104" s="8" t="s">
        <v>2444</v>
      </c>
      <c r="C104" s="8" t="s">
        <v>1101</v>
      </c>
      <c r="D104" s="8">
        <v>3</v>
      </c>
      <c r="E104" s="8" t="s">
        <v>3083</v>
      </c>
      <c r="F104" s="8" t="s">
        <v>3084</v>
      </c>
      <c r="G104" s="8"/>
      <c r="H104" s="8"/>
      <c r="I104" s="8" t="s">
        <v>1158</v>
      </c>
      <c r="J104" s="8"/>
      <c r="K104" s="8"/>
      <c r="L104" s="8"/>
      <c r="M104" s="8"/>
      <c r="N104" s="8" t="s">
        <v>3456</v>
      </c>
      <c r="O104" s="8">
        <v>2</v>
      </c>
      <c r="P104" s="62" t="s">
        <v>3569</v>
      </c>
      <c r="Q104" s="8" t="s">
        <v>45</v>
      </c>
      <c r="R104" s="1" t="s">
        <v>7</v>
      </c>
    </row>
    <row r="105" spans="1:18">
      <c r="A105" s="8">
        <v>1044</v>
      </c>
      <c r="B105" s="8" t="s">
        <v>2445</v>
      </c>
      <c r="C105" s="8" t="s">
        <v>1101</v>
      </c>
      <c r="D105" s="8">
        <v>3</v>
      </c>
      <c r="E105" s="8" t="s">
        <v>3083</v>
      </c>
      <c r="F105" s="8" t="s">
        <v>3084</v>
      </c>
      <c r="G105" s="8" t="s">
        <v>3071</v>
      </c>
      <c r="H105" s="8"/>
      <c r="I105" s="8" t="s">
        <v>1159</v>
      </c>
      <c r="J105" s="8" t="s">
        <v>1160</v>
      </c>
      <c r="K105" s="8"/>
      <c r="L105" s="8"/>
      <c r="M105" s="8"/>
      <c r="N105" s="8" t="s">
        <v>3150</v>
      </c>
      <c r="O105" s="8">
        <v>3</v>
      </c>
      <c r="P105" s="62" t="s">
        <v>3569</v>
      </c>
      <c r="Q105" s="8" t="s">
        <v>46</v>
      </c>
      <c r="R105" s="8" t="s">
        <v>7</v>
      </c>
    </row>
    <row r="106" spans="1:18">
      <c r="A106" s="2">
        <v>2012</v>
      </c>
      <c r="B106" s="1" t="s">
        <v>2470</v>
      </c>
      <c r="C106" s="1" t="s">
        <v>1102</v>
      </c>
      <c r="D106" s="1">
        <v>3</v>
      </c>
      <c r="E106" s="1" t="s">
        <v>3087</v>
      </c>
      <c r="F106" s="1" t="s">
        <v>3084</v>
      </c>
      <c r="G106" s="1" t="s">
        <v>3056</v>
      </c>
      <c r="I106" s="1" t="s">
        <v>62</v>
      </c>
      <c r="J106" s="1" t="s">
        <v>1207</v>
      </c>
      <c r="N106" s="2" t="s">
        <v>3456</v>
      </c>
      <c r="O106" s="1">
        <v>2</v>
      </c>
      <c r="P106" s="17" t="s">
        <v>3569</v>
      </c>
      <c r="Q106" s="1" t="s">
        <v>183</v>
      </c>
      <c r="R106" s="1" t="s">
        <v>9</v>
      </c>
    </row>
    <row r="107" spans="1:18">
      <c r="A107" s="2">
        <v>2013</v>
      </c>
      <c r="B107" s="1" t="s">
        <v>2471</v>
      </c>
      <c r="C107" s="1" t="s">
        <v>1102</v>
      </c>
      <c r="D107" s="1">
        <v>3</v>
      </c>
      <c r="E107" s="1" t="s">
        <v>3083</v>
      </c>
      <c r="F107" s="1" t="s">
        <v>3084</v>
      </c>
      <c r="G107" s="1" t="s">
        <v>3076</v>
      </c>
      <c r="I107" s="1" t="s">
        <v>1120</v>
      </c>
      <c r="J107" s="1" t="s">
        <v>1208</v>
      </c>
      <c r="N107" s="2" t="s">
        <v>3456</v>
      </c>
      <c r="O107" s="1">
        <v>3</v>
      </c>
      <c r="P107" s="17" t="s">
        <v>3569</v>
      </c>
      <c r="Q107" s="1" t="s">
        <v>14</v>
      </c>
      <c r="R107" s="1" t="s">
        <v>9</v>
      </c>
    </row>
    <row r="108" spans="1:18">
      <c r="A108" s="2">
        <v>2014</v>
      </c>
      <c r="B108" s="10" t="s">
        <v>2472</v>
      </c>
      <c r="C108" s="10" t="s">
        <v>1101</v>
      </c>
      <c r="D108" s="10">
        <v>3</v>
      </c>
      <c r="E108" s="10" t="s">
        <v>3083</v>
      </c>
      <c r="F108" s="10" t="s">
        <v>3084</v>
      </c>
      <c r="G108" s="10" t="s">
        <v>3051</v>
      </c>
      <c r="H108" s="10"/>
      <c r="I108" s="10" t="s">
        <v>1209</v>
      </c>
      <c r="J108" s="10"/>
      <c r="K108" s="10"/>
      <c r="L108" s="10"/>
      <c r="M108" s="10"/>
      <c r="N108" s="15" t="s">
        <v>3456</v>
      </c>
      <c r="O108" s="10">
        <v>2</v>
      </c>
      <c r="P108" s="61" t="s">
        <v>3569</v>
      </c>
      <c r="Q108" s="10" t="s">
        <v>180</v>
      </c>
      <c r="R108" s="10" t="s">
        <v>9</v>
      </c>
    </row>
    <row r="109" spans="1:18">
      <c r="A109" s="2">
        <v>2015</v>
      </c>
      <c r="B109" s="1" t="s">
        <v>2473</v>
      </c>
      <c r="C109" s="1" t="s">
        <v>1101</v>
      </c>
      <c r="D109" s="1">
        <v>3</v>
      </c>
      <c r="E109" s="1" t="s">
        <v>3083</v>
      </c>
      <c r="F109" s="1" t="s">
        <v>3084</v>
      </c>
      <c r="G109" s="1" t="s">
        <v>3051</v>
      </c>
      <c r="I109" s="1" t="s">
        <v>1242</v>
      </c>
      <c r="J109" s="1" t="s">
        <v>1210</v>
      </c>
      <c r="N109" s="2" t="s">
        <v>3456</v>
      </c>
      <c r="O109" s="1">
        <v>3</v>
      </c>
      <c r="P109" s="17" t="s">
        <v>3569</v>
      </c>
      <c r="Q109" s="1" t="s">
        <v>38</v>
      </c>
      <c r="R109" s="1" t="s">
        <v>9</v>
      </c>
    </row>
    <row r="110" spans="1:18">
      <c r="A110" s="2">
        <v>2016</v>
      </c>
      <c r="B110" s="1" t="s">
        <v>2474</v>
      </c>
      <c r="C110" s="1" t="s">
        <v>1101</v>
      </c>
      <c r="D110" s="1">
        <v>3</v>
      </c>
      <c r="E110" s="1" t="s">
        <v>3083</v>
      </c>
      <c r="F110" s="1" t="s">
        <v>3084</v>
      </c>
      <c r="G110" s="1" t="s">
        <v>3051</v>
      </c>
      <c r="I110" s="1" t="s">
        <v>1211</v>
      </c>
      <c r="N110" s="2" t="s">
        <v>3456</v>
      </c>
      <c r="O110" s="1">
        <v>2</v>
      </c>
      <c r="P110" s="17" t="s">
        <v>3569</v>
      </c>
      <c r="Q110" s="1" t="s">
        <v>15</v>
      </c>
      <c r="R110" s="1" t="s">
        <v>9</v>
      </c>
    </row>
    <row r="111" spans="1:18">
      <c r="A111" s="2">
        <v>2017</v>
      </c>
      <c r="B111" s="1" t="s">
        <v>2475</v>
      </c>
      <c r="C111" s="1" t="s">
        <v>1101</v>
      </c>
      <c r="D111" s="1">
        <v>3</v>
      </c>
      <c r="E111" s="1" t="s">
        <v>3083</v>
      </c>
      <c r="F111" s="1" t="s">
        <v>3084</v>
      </c>
      <c r="G111" s="1" t="s">
        <v>3055</v>
      </c>
      <c r="I111" s="1" t="s">
        <v>1050</v>
      </c>
      <c r="J111" s="1" t="s">
        <v>1212</v>
      </c>
      <c r="N111" s="2" t="s">
        <v>3456</v>
      </c>
      <c r="O111" s="1">
        <v>1</v>
      </c>
      <c r="P111" s="17" t="s">
        <v>3522</v>
      </c>
      <c r="Q111" s="1" t="s">
        <v>48</v>
      </c>
      <c r="R111" s="1" t="s">
        <v>9</v>
      </c>
    </row>
    <row r="112" spans="1:18">
      <c r="A112" s="14">
        <v>2018</v>
      </c>
      <c r="B112" s="3" t="s">
        <v>2476</v>
      </c>
      <c r="C112" s="3" t="s">
        <v>1101</v>
      </c>
      <c r="D112" s="3">
        <v>3</v>
      </c>
      <c r="E112" s="3" t="s">
        <v>3083</v>
      </c>
      <c r="F112" s="3" t="s">
        <v>3084</v>
      </c>
      <c r="G112" s="3" t="s">
        <v>3071</v>
      </c>
      <c r="H112" s="3" t="s">
        <v>3078</v>
      </c>
      <c r="I112" s="3" t="s">
        <v>1213</v>
      </c>
      <c r="J112" s="3"/>
      <c r="K112" s="3"/>
      <c r="L112" s="3"/>
      <c r="M112" s="3"/>
      <c r="N112" s="14" t="s">
        <v>3456</v>
      </c>
      <c r="O112" s="3">
        <v>2</v>
      </c>
      <c r="P112" s="60" t="s">
        <v>3569</v>
      </c>
      <c r="Q112" s="3" t="s">
        <v>605</v>
      </c>
      <c r="R112" s="3" t="s">
        <v>9</v>
      </c>
    </row>
    <row r="113" spans="1:19">
      <c r="A113" s="2">
        <v>2019</v>
      </c>
      <c r="B113" s="1" t="s">
        <v>2477</v>
      </c>
      <c r="C113" s="1" t="s">
        <v>1243</v>
      </c>
      <c r="D113" s="1">
        <v>3</v>
      </c>
      <c r="E113" s="1" t="s">
        <v>3083</v>
      </c>
      <c r="F113" s="1" t="s">
        <v>3084</v>
      </c>
      <c r="G113" s="1" t="s">
        <v>3076</v>
      </c>
      <c r="I113" s="1" t="s">
        <v>1214</v>
      </c>
      <c r="J113" s="1" t="s">
        <v>1215</v>
      </c>
      <c r="N113" s="2" t="s">
        <v>3456</v>
      </c>
      <c r="O113" s="1">
        <v>2</v>
      </c>
      <c r="P113" s="17" t="s">
        <v>3569</v>
      </c>
      <c r="Q113" s="1" t="s">
        <v>49</v>
      </c>
      <c r="R113" s="1" t="s">
        <v>9</v>
      </c>
    </row>
    <row r="114" spans="1:19">
      <c r="A114" s="2">
        <v>2020</v>
      </c>
      <c r="B114" s="1" t="s">
        <v>2478</v>
      </c>
      <c r="C114" s="1" t="s">
        <v>1102</v>
      </c>
      <c r="D114" s="1">
        <v>3</v>
      </c>
      <c r="E114" s="1" t="s">
        <v>3083</v>
      </c>
      <c r="F114" s="1" t="s">
        <v>3084</v>
      </c>
      <c r="G114" s="1" t="s">
        <v>3076</v>
      </c>
      <c r="I114" s="1" t="s">
        <v>1216</v>
      </c>
      <c r="N114" s="2" t="s">
        <v>3456</v>
      </c>
      <c r="O114" s="1">
        <v>1</v>
      </c>
      <c r="P114" s="17" t="s">
        <v>3533</v>
      </c>
      <c r="Q114" s="1" t="s">
        <v>174</v>
      </c>
      <c r="R114" s="1" t="s">
        <v>9</v>
      </c>
    </row>
    <row r="115" spans="1:19">
      <c r="A115" s="2">
        <v>2021</v>
      </c>
      <c r="B115" s="1" t="s">
        <v>2479</v>
      </c>
      <c r="C115" s="1" t="s">
        <v>1101</v>
      </c>
      <c r="D115" s="1">
        <v>3</v>
      </c>
      <c r="E115" s="1" t="s">
        <v>3083</v>
      </c>
      <c r="F115" s="1" t="s">
        <v>3084</v>
      </c>
      <c r="G115" s="1" t="s">
        <v>3051</v>
      </c>
      <c r="I115" s="1" t="s">
        <v>1086</v>
      </c>
      <c r="J115" s="1" t="s">
        <v>1217</v>
      </c>
      <c r="K115" s="1" t="s">
        <v>1244</v>
      </c>
      <c r="N115" s="2" t="s">
        <v>3456</v>
      </c>
      <c r="O115" s="1">
        <v>1</v>
      </c>
      <c r="P115" s="17" t="s">
        <v>3569</v>
      </c>
      <c r="Q115" s="1" t="s">
        <v>29</v>
      </c>
      <c r="R115" s="1" t="s">
        <v>9</v>
      </c>
    </row>
    <row r="116" spans="1:19">
      <c r="A116" s="2">
        <v>2022</v>
      </c>
      <c r="B116" s="1" t="s">
        <v>2480</v>
      </c>
      <c r="C116" s="1" t="s">
        <v>1101</v>
      </c>
      <c r="D116" s="1">
        <v>3</v>
      </c>
      <c r="E116" s="1" t="s">
        <v>3083</v>
      </c>
      <c r="F116" s="1" t="s">
        <v>3084</v>
      </c>
      <c r="G116" s="1" t="s">
        <v>3053</v>
      </c>
      <c r="H116" s="1" t="s">
        <v>3077</v>
      </c>
      <c r="I116" s="1" t="s">
        <v>1245</v>
      </c>
      <c r="N116" s="2" t="s">
        <v>3456</v>
      </c>
      <c r="O116" s="1">
        <v>2</v>
      </c>
      <c r="P116" s="17" t="s">
        <v>3569</v>
      </c>
      <c r="Q116" s="1" t="s">
        <v>169</v>
      </c>
      <c r="R116" s="1" t="s">
        <v>9</v>
      </c>
    </row>
    <row r="117" spans="1:19">
      <c r="A117" s="2">
        <v>2023</v>
      </c>
      <c r="B117" s="1" t="s">
        <v>2481</v>
      </c>
      <c r="C117" s="1" t="s">
        <v>1246</v>
      </c>
      <c r="D117" s="1">
        <v>3</v>
      </c>
      <c r="E117" s="1" t="s">
        <v>3087</v>
      </c>
      <c r="F117" s="1" t="s">
        <v>3084</v>
      </c>
      <c r="G117" s="1" t="s">
        <v>3051</v>
      </c>
      <c r="I117" s="1" t="s">
        <v>1218</v>
      </c>
      <c r="J117" s="1" t="s">
        <v>1219</v>
      </c>
      <c r="N117" s="2" t="s">
        <v>3458</v>
      </c>
      <c r="O117" s="1">
        <v>0</v>
      </c>
      <c r="P117" s="17" t="s">
        <v>4050</v>
      </c>
      <c r="Q117" s="1" t="s">
        <v>179</v>
      </c>
      <c r="R117" s="1" t="s">
        <v>9</v>
      </c>
    </row>
    <row r="118" spans="1:19">
      <c r="A118" s="2">
        <v>2024</v>
      </c>
      <c r="B118" s="1" t="s">
        <v>2482</v>
      </c>
      <c r="C118" s="1" t="s">
        <v>1101</v>
      </c>
      <c r="D118" s="1">
        <v>3</v>
      </c>
      <c r="E118" s="1" t="s">
        <v>3083</v>
      </c>
      <c r="F118" s="1" t="s">
        <v>3084</v>
      </c>
      <c r="G118" s="1" t="s">
        <v>3070</v>
      </c>
      <c r="I118" s="1" t="s">
        <v>1086</v>
      </c>
      <c r="J118" s="1" t="s">
        <v>1220</v>
      </c>
      <c r="N118" s="2" t="s">
        <v>3456</v>
      </c>
      <c r="O118" s="1">
        <v>1</v>
      </c>
      <c r="P118" s="17" t="s">
        <v>3533</v>
      </c>
      <c r="Q118" s="1" t="s">
        <v>36</v>
      </c>
      <c r="R118" s="1" t="s">
        <v>9</v>
      </c>
    </row>
    <row r="119" spans="1:19">
      <c r="A119" s="2">
        <v>2025</v>
      </c>
      <c r="B119" s="1" t="s">
        <v>2483</v>
      </c>
      <c r="C119" s="1" t="s">
        <v>1101</v>
      </c>
      <c r="D119" s="1">
        <v>3</v>
      </c>
      <c r="E119" s="1" t="s">
        <v>3083</v>
      </c>
      <c r="F119" s="1" t="s">
        <v>3084</v>
      </c>
      <c r="G119" s="1" t="s">
        <v>3055</v>
      </c>
      <c r="I119" s="1" t="s">
        <v>1221</v>
      </c>
      <c r="J119" s="1" t="s">
        <v>1247</v>
      </c>
      <c r="N119" s="2" t="s">
        <v>3456</v>
      </c>
      <c r="O119" s="1">
        <v>3</v>
      </c>
      <c r="P119" s="17" t="s">
        <v>3569</v>
      </c>
      <c r="Q119" s="1" t="s">
        <v>53</v>
      </c>
      <c r="R119" s="1" t="s">
        <v>9</v>
      </c>
    </row>
    <row r="120" spans="1:19">
      <c r="A120" s="7">
        <v>2026</v>
      </c>
      <c r="B120" s="6" t="s">
        <v>2484</v>
      </c>
      <c r="C120" s="6" t="s">
        <v>1101</v>
      </c>
      <c r="D120" s="6">
        <v>3</v>
      </c>
      <c r="E120" s="6" t="s">
        <v>3083</v>
      </c>
      <c r="F120" s="6" t="s">
        <v>3084</v>
      </c>
      <c r="G120" s="6" t="s">
        <v>3075</v>
      </c>
      <c r="H120" s="6" t="s">
        <v>3060</v>
      </c>
      <c r="I120" s="6" t="s">
        <v>1222</v>
      </c>
      <c r="J120" s="6"/>
      <c r="K120" s="6"/>
      <c r="L120" s="6"/>
      <c r="M120" s="6"/>
      <c r="N120" s="7"/>
      <c r="O120" s="6">
        <v>0</v>
      </c>
      <c r="P120" s="18" t="s">
        <v>3569</v>
      </c>
      <c r="Q120" s="6" t="s">
        <v>604</v>
      </c>
      <c r="R120" s="6" t="s">
        <v>9</v>
      </c>
    </row>
    <row r="121" spans="1:19">
      <c r="A121" s="15">
        <v>3002</v>
      </c>
      <c r="B121" s="15" t="s">
        <v>2497</v>
      </c>
      <c r="C121" s="15" t="s">
        <v>1102</v>
      </c>
      <c r="D121" s="15">
        <v>3</v>
      </c>
      <c r="E121" s="15" t="s">
        <v>3087</v>
      </c>
      <c r="F121" s="15" t="s">
        <v>3084</v>
      </c>
      <c r="G121" s="15" t="s">
        <v>3053</v>
      </c>
      <c r="H121" s="15"/>
      <c r="I121" s="10" t="s">
        <v>19</v>
      </c>
      <c r="J121" s="10" t="s">
        <v>1255</v>
      </c>
      <c r="K121" s="10"/>
      <c r="L121" s="10"/>
      <c r="M121" s="10" t="s">
        <v>153</v>
      </c>
      <c r="N121" s="15" t="s">
        <v>3456</v>
      </c>
      <c r="O121" s="10">
        <v>2</v>
      </c>
      <c r="P121" s="61" t="s">
        <v>3527</v>
      </c>
      <c r="Q121" s="10"/>
      <c r="R121" s="10"/>
    </row>
    <row r="122" spans="1:19">
      <c r="A122" s="15">
        <v>3003</v>
      </c>
      <c r="B122" s="10" t="s">
        <v>2498</v>
      </c>
      <c r="C122" s="10" t="s">
        <v>3091</v>
      </c>
      <c r="D122" s="10">
        <v>3</v>
      </c>
      <c r="E122" s="10" t="s">
        <v>3098</v>
      </c>
      <c r="F122" s="10" t="s">
        <v>3102</v>
      </c>
      <c r="G122" s="10"/>
      <c r="H122" s="10"/>
      <c r="I122" s="10" t="s">
        <v>1256</v>
      </c>
      <c r="J122" s="10" t="s">
        <v>1257</v>
      </c>
      <c r="K122" s="10" t="s">
        <v>1258</v>
      </c>
      <c r="L122" s="10"/>
      <c r="M122" s="10" t="s">
        <v>153</v>
      </c>
      <c r="N122" s="15" t="s">
        <v>3456</v>
      </c>
      <c r="O122" s="10">
        <v>3</v>
      </c>
      <c r="P122" s="10"/>
      <c r="Q122" s="10" t="s">
        <v>48</v>
      </c>
      <c r="R122" s="10" t="s">
        <v>41</v>
      </c>
    </row>
    <row r="123" spans="1:19">
      <c r="A123" s="1">
        <v>50</v>
      </c>
      <c r="B123" s="3" t="s">
        <v>2388</v>
      </c>
      <c r="C123" s="3" t="s">
        <v>1103</v>
      </c>
      <c r="D123" s="3">
        <v>4</v>
      </c>
      <c r="E123" s="3" t="s">
        <v>3083</v>
      </c>
      <c r="F123" s="3" t="s">
        <v>3084</v>
      </c>
      <c r="G123" s="3" t="s">
        <v>3053</v>
      </c>
      <c r="H123" s="3"/>
      <c r="I123" s="3" t="s">
        <v>1083</v>
      </c>
      <c r="J123" s="3" t="s">
        <v>1117</v>
      </c>
      <c r="K123" s="3"/>
      <c r="L123" s="3"/>
      <c r="M123" s="3"/>
      <c r="N123" s="14" t="s">
        <v>3456</v>
      </c>
      <c r="O123" s="3">
        <v>3</v>
      </c>
      <c r="P123" s="60" t="s">
        <v>3533</v>
      </c>
      <c r="Q123" s="3" t="s">
        <v>49</v>
      </c>
      <c r="R123" s="3" t="s">
        <v>4</v>
      </c>
      <c r="S123" s="11"/>
    </row>
    <row r="124" spans="1:19">
      <c r="A124" s="6">
        <v>51</v>
      </c>
      <c r="B124" s="6" t="s">
        <v>2389</v>
      </c>
      <c r="C124" s="6" t="s">
        <v>1104</v>
      </c>
      <c r="D124" s="6">
        <v>4</v>
      </c>
      <c r="E124" s="6" t="s">
        <v>3083</v>
      </c>
      <c r="F124" s="6" t="s">
        <v>3084</v>
      </c>
      <c r="G124" s="6" t="s">
        <v>3071</v>
      </c>
      <c r="H124" s="6"/>
      <c r="I124" s="6" t="s">
        <v>1084</v>
      </c>
      <c r="J124" s="6"/>
      <c r="K124" s="6"/>
      <c r="L124" s="6"/>
      <c r="M124" s="6"/>
      <c r="N124" s="7" t="s">
        <v>3150</v>
      </c>
      <c r="O124" s="6">
        <v>2</v>
      </c>
      <c r="P124" s="18" t="s">
        <v>3527</v>
      </c>
      <c r="Q124" s="6" t="s">
        <v>168</v>
      </c>
      <c r="R124" s="6" t="s">
        <v>4</v>
      </c>
    </row>
    <row r="125" spans="1:19">
      <c r="A125" s="6">
        <v>52</v>
      </c>
      <c r="B125" s="6" t="s">
        <v>2390</v>
      </c>
      <c r="C125" s="6" t="s">
        <v>1104</v>
      </c>
      <c r="D125" s="6">
        <v>4</v>
      </c>
      <c r="E125" s="6" t="s">
        <v>3083</v>
      </c>
      <c r="F125" s="6" t="s">
        <v>3084</v>
      </c>
      <c r="G125" s="6" t="s">
        <v>3075</v>
      </c>
      <c r="H125" s="6" t="s">
        <v>3060</v>
      </c>
      <c r="I125" s="6" t="s">
        <v>1085</v>
      </c>
      <c r="J125" s="6"/>
      <c r="K125" s="6"/>
      <c r="L125" s="6"/>
      <c r="M125" s="6"/>
      <c r="N125" s="7" t="s">
        <v>3456</v>
      </c>
      <c r="O125" s="6">
        <v>4</v>
      </c>
      <c r="P125" s="18" t="s">
        <v>3569</v>
      </c>
      <c r="Q125" s="6" t="s">
        <v>37</v>
      </c>
      <c r="R125" s="6" t="s">
        <v>4</v>
      </c>
    </row>
    <row r="126" spans="1:19">
      <c r="A126" s="4">
        <v>53</v>
      </c>
      <c r="B126" s="4" t="s">
        <v>2391</v>
      </c>
      <c r="C126" s="4" t="s">
        <v>1104</v>
      </c>
      <c r="D126" s="4">
        <v>4</v>
      </c>
      <c r="E126" s="4" t="s">
        <v>3083</v>
      </c>
      <c r="F126" s="4" t="s">
        <v>3084</v>
      </c>
      <c r="G126" s="4" t="s">
        <v>3063</v>
      </c>
      <c r="H126" s="4"/>
      <c r="I126" s="4" t="s">
        <v>1086</v>
      </c>
      <c r="J126" s="4" t="s">
        <v>137</v>
      </c>
      <c r="K126" s="4"/>
      <c r="L126" s="4"/>
      <c r="M126" s="4"/>
      <c r="N126" s="5" t="s">
        <v>3150</v>
      </c>
      <c r="O126" s="4">
        <v>3</v>
      </c>
      <c r="P126" s="19" t="s">
        <v>3533</v>
      </c>
      <c r="Q126" s="4" t="s">
        <v>26</v>
      </c>
      <c r="R126" s="3" t="s">
        <v>4</v>
      </c>
      <c r="S126" s="11"/>
    </row>
    <row r="127" spans="1:19">
      <c r="A127" s="1">
        <v>54</v>
      </c>
      <c r="B127" s="1" t="s">
        <v>2392</v>
      </c>
      <c r="C127" s="1" t="s">
        <v>1103</v>
      </c>
      <c r="D127" s="1">
        <v>4</v>
      </c>
      <c r="E127" s="1" t="s">
        <v>3083</v>
      </c>
      <c r="F127" s="1" t="s">
        <v>3084</v>
      </c>
      <c r="G127" s="1" t="s">
        <v>3077</v>
      </c>
      <c r="I127" s="1" t="s">
        <v>1087</v>
      </c>
      <c r="N127" s="2" t="s">
        <v>3150</v>
      </c>
      <c r="O127" s="1">
        <v>2</v>
      </c>
      <c r="P127" s="17" t="s">
        <v>3569</v>
      </c>
      <c r="Q127" s="1" t="s">
        <v>169</v>
      </c>
      <c r="R127" s="1" t="s">
        <v>4</v>
      </c>
    </row>
    <row r="128" spans="1:19">
      <c r="A128" s="8">
        <v>55</v>
      </c>
      <c r="B128" s="8" t="s">
        <v>2393</v>
      </c>
      <c r="C128" s="8" t="s">
        <v>1104</v>
      </c>
      <c r="D128" s="8">
        <v>4</v>
      </c>
      <c r="E128" s="8" t="s">
        <v>3083</v>
      </c>
      <c r="F128" s="8" t="s">
        <v>3084</v>
      </c>
      <c r="G128" s="8" t="s">
        <v>3071</v>
      </c>
      <c r="H128" s="8"/>
      <c r="I128" s="8" t="s">
        <v>1088</v>
      </c>
      <c r="J128" s="8"/>
      <c r="K128" s="8"/>
      <c r="L128" s="8"/>
      <c r="M128" s="8"/>
      <c r="N128" s="75" t="s">
        <v>3456</v>
      </c>
      <c r="O128" s="8">
        <v>4</v>
      </c>
      <c r="P128" s="62" t="s">
        <v>3533</v>
      </c>
      <c r="Q128" s="8" t="s">
        <v>34</v>
      </c>
      <c r="R128" s="8" t="s">
        <v>4</v>
      </c>
    </row>
    <row r="129" spans="1:19">
      <c r="A129" s="1">
        <v>56</v>
      </c>
      <c r="B129" s="3" t="s">
        <v>2394</v>
      </c>
      <c r="C129" s="3" t="s">
        <v>1104</v>
      </c>
      <c r="D129" s="3">
        <v>4</v>
      </c>
      <c r="E129" s="3" t="s">
        <v>3083</v>
      </c>
      <c r="F129" s="3" t="s">
        <v>3084</v>
      </c>
      <c r="G129" s="3" t="s">
        <v>3070</v>
      </c>
      <c r="H129" s="3"/>
      <c r="I129" s="3" t="s">
        <v>1089</v>
      </c>
      <c r="J129" s="3"/>
      <c r="K129" s="3"/>
      <c r="L129" s="3"/>
      <c r="M129" s="3"/>
      <c r="N129" s="14" t="s">
        <v>3150</v>
      </c>
      <c r="O129" s="3">
        <v>3</v>
      </c>
      <c r="P129" s="60" t="s">
        <v>3527</v>
      </c>
      <c r="Q129" s="3" t="s">
        <v>30</v>
      </c>
      <c r="R129" s="3" t="s">
        <v>4</v>
      </c>
      <c r="S129" s="11"/>
    </row>
    <row r="130" spans="1:19">
      <c r="A130" s="6">
        <v>57</v>
      </c>
      <c r="B130" s="6" t="s">
        <v>2395</v>
      </c>
      <c r="C130" s="6" t="s">
        <v>1104</v>
      </c>
      <c r="D130" s="6">
        <v>4</v>
      </c>
      <c r="E130" s="6" t="s">
        <v>3083</v>
      </c>
      <c r="F130" s="6" t="s">
        <v>3084</v>
      </c>
      <c r="G130" s="6" t="s">
        <v>3055</v>
      </c>
      <c r="H130" s="6" t="s">
        <v>3060</v>
      </c>
      <c r="I130" s="6" t="s">
        <v>1090</v>
      </c>
      <c r="J130" s="6"/>
      <c r="K130" s="6"/>
      <c r="L130" s="6"/>
      <c r="M130" s="6"/>
      <c r="N130" s="7" t="s">
        <v>3150</v>
      </c>
      <c r="O130" s="6">
        <v>2</v>
      </c>
      <c r="P130" s="18" t="s">
        <v>3569</v>
      </c>
      <c r="Q130" s="6" t="s">
        <v>607</v>
      </c>
      <c r="R130" s="6" t="s">
        <v>4</v>
      </c>
    </row>
    <row r="131" spans="1:19">
      <c r="A131" s="1">
        <v>58</v>
      </c>
      <c r="B131" s="1" t="s">
        <v>2396</v>
      </c>
      <c r="C131" s="1" t="s">
        <v>1104</v>
      </c>
      <c r="D131" s="1">
        <v>4</v>
      </c>
      <c r="E131" s="1" t="s">
        <v>3083</v>
      </c>
      <c r="F131" s="1" t="s">
        <v>3084</v>
      </c>
      <c r="G131" s="1" t="s">
        <v>3070</v>
      </c>
      <c r="I131" s="1" t="s">
        <v>1086</v>
      </c>
      <c r="J131" s="1" t="s">
        <v>1091</v>
      </c>
      <c r="N131" s="2" t="s">
        <v>3150</v>
      </c>
      <c r="O131" s="1">
        <v>2</v>
      </c>
      <c r="P131" s="17" t="s">
        <v>3569</v>
      </c>
      <c r="Q131" s="1" t="s">
        <v>30</v>
      </c>
      <c r="R131" s="1" t="s">
        <v>4</v>
      </c>
    </row>
    <row r="132" spans="1:19">
      <c r="A132" s="4">
        <v>59</v>
      </c>
      <c r="B132" s="4" t="s">
        <v>2397</v>
      </c>
      <c r="C132" s="4" t="s">
        <v>1104</v>
      </c>
      <c r="D132" s="4">
        <v>4</v>
      </c>
      <c r="E132" s="4" t="s">
        <v>3083</v>
      </c>
      <c r="F132" s="4" t="s">
        <v>3084</v>
      </c>
      <c r="G132" s="4" t="s">
        <v>3071</v>
      </c>
      <c r="H132" s="4"/>
      <c r="I132" s="4" t="s">
        <v>42</v>
      </c>
      <c r="J132" s="4"/>
      <c r="K132" s="4"/>
      <c r="L132" s="4"/>
      <c r="M132" s="4"/>
      <c r="N132" s="5" t="s">
        <v>3456</v>
      </c>
      <c r="O132" s="4">
        <v>3</v>
      </c>
      <c r="P132" s="19" t="s">
        <v>3569</v>
      </c>
      <c r="Q132" s="4" t="s">
        <v>5</v>
      </c>
      <c r="R132" s="3" t="s">
        <v>4</v>
      </c>
    </row>
    <row r="133" spans="1:19">
      <c r="A133" s="1">
        <v>60</v>
      </c>
      <c r="B133" s="1" t="s">
        <v>2398</v>
      </c>
      <c r="C133" s="1" t="s">
        <v>1103</v>
      </c>
      <c r="D133" s="1">
        <v>4</v>
      </c>
      <c r="E133" s="1" t="s">
        <v>3083</v>
      </c>
      <c r="F133" s="1" t="s">
        <v>3084</v>
      </c>
      <c r="G133" s="1" t="s">
        <v>3053</v>
      </c>
      <c r="I133" s="1" t="s">
        <v>1114</v>
      </c>
      <c r="N133" s="2" t="s">
        <v>3150</v>
      </c>
      <c r="O133" s="1">
        <v>1</v>
      </c>
      <c r="P133" s="17" t="s">
        <v>3527</v>
      </c>
      <c r="Q133" s="1" t="s">
        <v>14</v>
      </c>
      <c r="R133" s="1" t="s">
        <v>4</v>
      </c>
    </row>
    <row r="134" spans="1:19">
      <c r="A134" s="3">
        <v>61</v>
      </c>
      <c r="B134" s="1" t="s">
        <v>2399</v>
      </c>
      <c r="C134" s="1" t="s">
        <v>1104</v>
      </c>
      <c r="D134" s="1">
        <v>4</v>
      </c>
      <c r="E134" s="1" t="s">
        <v>3083</v>
      </c>
      <c r="F134" s="1" t="s">
        <v>3084</v>
      </c>
      <c r="G134" s="1" t="s">
        <v>3056</v>
      </c>
      <c r="I134" s="1" t="s">
        <v>62</v>
      </c>
      <c r="J134" s="1" t="s">
        <v>1118</v>
      </c>
      <c r="N134" s="2" t="s">
        <v>3456</v>
      </c>
      <c r="O134" s="1">
        <v>1</v>
      </c>
      <c r="P134" s="17" t="s">
        <v>3533</v>
      </c>
      <c r="Q134" s="1" t="s">
        <v>175</v>
      </c>
      <c r="R134" s="1" t="s">
        <v>4</v>
      </c>
    </row>
    <row r="135" spans="1:19">
      <c r="A135" s="1">
        <v>1045</v>
      </c>
      <c r="B135" s="1" t="s">
        <v>2446</v>
      </c>
      <c r="C135" s="1" t="s">
        <v>1104</v>
      </c>
      <c r="D135" s="1">
        <v>4</v>
      </c>
      <c r="E135" s="1" t="s">
        <v>3083</v>
      </c>
      <c r="F135" s="1" t="s">
        <v>3084</v>
      </c>
      <c r="G135" s="1" t="s">
        <v>3056</v>
      </c>
      <c r="I135" s="1" t="s">
        <v>323</v>
      </c>
      <c r="J135" s="1" t="s">
        <v>1191</v>
      </c>
      <c r="N135" s="1" t="s">
        <v>3456</v>
      </c>
      <c r="O135" s="1">
        <v>1</v>
      </c>
      <c r="P135" s="17" t="s">
        <v>3533</v>
      </c>
      <c r="Q135" s="1" t="s">
        <v>175</v>
      </c>
      <c r="R135" s="1" t="s">
        <v>7</v>
      </c>
    </row>
    <row r="136" spans="1:19">
      <c r="A136" s="4">
        <v>1046</v>
      </c>
      <c r="B136" s="4" t="s">
        <v>2447</v>
      </c>
      <c r="C136" s="4" t="s">
        <v>1103</v>
      </c>
      <c r="D136" s="4">
        <v>4</v>
      </c>
      <c r="E136" s="4" t="s">
        <v>3083</v>
      </c>
      <c r="F136" s="4" t="s">
        <v>3084</v>
      </c>
      <c r="G136" s="4" t="s">
        <v>3051</v>
      </c>
      <c r="H136" s="4"/>
      <c r="I136" s="4" t="s">
        <v>1161</v>
      </c>
      <c r="J136" s="4"/>
      <c r="K136" s="4"/>
      <c r="L136" s="4"/>
      <c r="M136" s="4"/>
      <c r="N136" s="4" t="s">
        <v>3456</v>
      </c>
      <c r="O136" s="4">
        <v>2</v>
      </c>
      <c r="P136" s="19" t="s">
        <v>3569</v>
      </c>
      <c r="Q136" s="4" t="s">
        <v>11</v>
      </c>
      <c r="R136" s="1" t="s">
        <v>7</v>
      </c>
    </row>
    <row r="137" spans="1:19">
      <c r="A137" s="1">
        <v>1047</v>
      </c>
      <c r="B137" s="1" t="s">
        <v>2448</v>
      </c>
      <c r="C137" s="1" t="s">
        <v>1104</v>
      </c>
      <c r="D137" s="1">
        <v>4</v>
      </c>
      <c r="E137" s="1" t="s">
        <v>3083</v>
      </c>
      <c r="F137" s="1" t="s">
        <v>3084</v>
      </c>
      <c r="G137" s="1" t="s">
        <v>3051</v>
      </c>
      <c r="I137" s="1" t="s">
        <v>1162</v>
      </c>
      <c r="N137" s="1" t="s">
        <v>3456</v>
      </c>
      <c r="O137" s="1">
        <v>2</v>
      </c>
      <c r="P137" s="17" t="s">
        <v>3527</v>
      </c>
      <c r="Q137" s="1" t="s">
        <v>48</v>
      </c>
      <c r="R137" s="1" t="s">
        <v>7</v>
      </c>
    </row>
    <row r="138" spans="1:19">
      <c r="A138" s="1">
        <v>1048</v>
      </c>
      <c r="B138" s="1" t="s">
        <v>2449</v>
      </c>
      <c r="C138" s="1" t="s">
        <v>1104</v>
      </c>
      <c r="D138" s="1">
        <v>4</v>
      </c>
      <c r="E138" s="1" t="s">
        <v>3083</v>
      </c>
      <c r="F138" s="1" t="s">
        <v>3084</v>
      </c>
      <c r="G138" s="1" t="s">
        <v>3067</v>
      </c>
      <c r="I138" s="1" t="s">
        <v>1163</v>
      </c>
      <c r="N138" s="1" t="s">
        <v>3150</v>
      </c>
      <c r="O138" s="1">
        <v>4</v>
      </c>
      <c r="P138" s="17" t="s">
        <v>3569</v>
      </c>
      <c r="Q138" s="1" t="s">
        <v>26</v>
      </c>
      <c r="R138" s="1" t="s">
        <v>7</v>
      </c>
    </row>
    <row r="139" spans="1:19">
      <c r="A139" s="1">
        <v>1049</v>
      </c>
      <c r="B139" s="1" t="s">
        <v>2450</v>
      </c>
      <c r="C139" s="1" t="s">
        <v>1104</v>
      </c>
      <c r="D139" s="1">
        <v>4</v>
      </c>
      <c r="E139" s="1" t="s">
        <v>3083</v>
      </c>
      <c r="F139" s="1" t="s">
        <v>3084</v>
      </c>
      <c r="G139" s="1" t="s">
        <v>3071</v>
      </c>
      <c r="I139" s="1" t="s">
        <v>1192</v>
      </c>
      <c r="N139" s="1" t="s">
        <v>3456</v>
      </c>
      <c r="O139" s="1">
        <v>3</v>
      </c>
      <c r="P139" s="17" t="s">
        <v>3527</v>
      </c>
      <c r="Q139" s="1" t="s">
        <v>52</v>
      </c>
      <c r="R139" s="1" t="s">
        <v>7</v>
      </c>
    </row>
    <row r="140" spans="1:19">
      <c r="A140" s="8">
        <v>1050</v>
      </c>
      <c r="B140" s="8" t="s">
        <v>2451</v>
      </c>
      <c r="C140" s="8" t="s">
        <v>1103</v>
      </c>
      <c r="D140" s="8">
        <v>4</v>
      </c>
      <c r="E140" s="8" t="s">
        <v>3083</v>
      </c>
      <c r="F140" s="8" t="s">
        <v>3084</v>
      </c>
      <c r="G140" s="8" t="s">
        <v>3076</v>
      </c>
      <c r="H140" s="8"/>
      <c r="I140" s="8" t="s">
        <v>0</v>
      </c>
      <c r="J140" s="8" t="s">
        <v>1164</v>
      </c>
      <c r="K140" s="8"/>
      <c r="L140" s="8"/>
      <c r="M140" s="8"/>
      <c r="N140" s="8" t="s">
        <v>3150</v>
      </c>
      <c r="O140" s="8">
        <v>2</v>
      </c>
      <c r="P140" s="62" t="s">
        <v>3533</v>
      </c>
      <c r="Q140" s="8" t="s">
        <v>169</v>
      </c>
      <c r="R140" s="1" t="s">
        <v>7</v>
      </c>
    </row>
    <row r="141" spans="1:19">
      <c r="A141" s="1">
        <v>1051</v>
      </c>
      <c r="B141" s="1" t="s">
        <v>2452</v>
      </c>
      <c r="C141" s="1" t="s">
        <v>1104</v>
      </c>
      <c r="D141" s="1">
        <v>4</v>
      </c>
      <c r="E141" s="1" t="s">
        <v>3083</v>
      </c>
      <c r="F141" s="1" t="s">
        <v>3084</v>
      </c>
      <c r="G141" s="1" t="s">
        <v>3070</v>
      </c>
      <c r="I141" s="1" t="s">
        <v>1165</v>
      </c>
      <c r="N141" s="1" t="s">
        <v>3456</v>
      </c>
      <c r="O141" s="1">
        <v>1</v>
      </c>
      <c r="P141" s="17" t="s">
        <v>3522</v>
      </c>
      <c r="Q141" s="1" t="s">
        <v>36</v>
      </c>
      <c r="R141" s="1" t="s">
        <v>7</v>
      </c>
    </row>
    <row r="142" spans="1:19">
      <c r="A142" s="8">
        <v>1052</v>
      </c>
      <c r="B142" s="8" t="s">
        <v>2453</v>
      </c>
      <c r="C142" s="8" t="s">
        <v>1104</v>
      </c>
      <c r="D142" s="8">
        <v>4</v>
      </c>
      <c r="E142" s="8" t="s">
        <v>3083</v>
      </c>
      <c r="F142" s="8" t="s">
        <v>3084</v>
      </c>
      <c r="G142" s="8" t="s">
        <v>3075</v>
      </c>
      <c r="H142" s="8"/>
      <c r="I142" s="8" t="s">
        <v>1166</v>
      </c>
      <c r="J142" s="8" t="s">
        <v>1167</v>
      </c>
      <c r="K142" s="8"/>
      <c r="L142" s="8"/>
      <c r="M142" s="8" t="s">
        <v>153</v>
      </c>
      <c r="N142" s="8" t="s">
        <v>3456</v>
      </c>
      <c r="O142" s="8">
        <v>4</v>
      </c>
      <c r="P142" s="62" t="s">
        <v>3569</v>
      </c>
      <c r="Q142" s="8"/>
      <c r="R142" s="8"/>
    </row>
    <row r="143" spans="1:19">
      <c r="A143" s="8">
        <v>1053</v>
      </c>
      <c r="B143" s="8" t="s">
        <v>2454</v>
      </c>
      <c r="C143" s="8" t="s">
        <v>3091</v>
      </c>
      <c r="D143" s="8">
        <v>4</v>
      </c>
      <c r="E143" s="8" t="s">
        <v>3100</v>
      </c>
      <c r="F143" s="8" t="s">
        <v>3402</v>
      </c>
      <c r="G143" s="8" t="s">
        <v>3101</v>
      </c>
      <c r="H143" s="8"/>
      <c r="I143" s="8" t="s">
        <v>1168</v>
      </c>
      <c r="J143" s="8" t="s">
        <v>1169</v>
      </c>
      <c r="K143" s="8" t="s">
        <v>1170</v>
      </c>
      <c r="L143" s="8"/>
      <c r="M143" s="8" t="s">
        <v>153</v>
      </c>
      <c r="N143" s="8" t="s">
        <v>3456</v>
      </c>
      <c r="O143" s="8"/>
      <c r="P143" s="8"/>
      <c r="Q143" s="8" t="s">
        <v>46</v>
      </c>
      <c r="R143" s="8" t="s">
        <v>7</v>
      </c>
    </row>
    <row r="144" spans="1:19">
      <c r="A144" s="1">
        <v>1054</v>
      </c>
      <c r="B144" s="1" t="s">
        <v>2455</v>
      </c>
      <c r="C144" s="1" t="s">
        <v>1103</v>
      </c>
      <c r="D144" s="1">
        <v>4</v>
      </c>
      <c r="E144" s="1" t="s">
        <v>3083</v>
      </c>
      <c r="F144" s="1" t="s">
        <v>3084</v>
      </c>
      <c r="G144" s="1" t="s">
        <v>3076</v>
      </c>
      <c r="I144" s="1" t="s">
        <v>0</v>
      </c>
      <c r="J144" s="1" t="s">
        <v>1171</v>
      </c>
      <c r="K144" s="1" t="s">
        <v>1193</v>
      </c>
      <c r="N144" s="1" t="s">
        <v>3150</v>
      </c>
      <c r="O144" s="1">
        <v>2</v>
      </c>
      <c r="P144" s="17" t="s">
        <v>3533</v>
      </c>
      <c r="Q144" s="1" t="s">
        <v>31</v>
      </c>
      <c r="R144" s="1" t="s">
        <v>7</v>
      </c>
    </row>
    <row r="145" spans="1:18">
      <c r="A145" s="7">
        <v>2027</v>
      </c>
      <c r="B145" s="6" t="s">
        <v>2485</v>
      </c>
      <c r="C145" s="6" t="s">
        <v>1104</v>
      </c>
      <c r="D145" s="6">
        <v>4</v>
      </c>
      <c r="E145" s="6" t="s">
        <v>3083</v>
      </c>
      <c r="F145" s="6" t="s">
        <v>3084</v>
      </c>
      <c r="G145" s="6" t="s">
        <v>3071</v>
      </c>
      <c r="H145" s="6" t="s">
        <v>3060</v>
      </c>
      <c r="I145" s="6" t="s">
        <v>1223</v>
      </c>
      <c r="J145" s="6"/>
      <c r="K145" s="6"/>
      <c r="L145" s="6"/>
      <c r="M145" s="6"/>
      <c r="N145" s="7" t="s">
        <v>3150</v>
      </c>
      <c r="O145" s="6">
        <v>2</v>
      </c>
      <c r="P145" s="18" t="s">
        <v>3569</v>
      </c>
      <c r="Q145" s="6" t="s">
        <v>607</v>
      </c>
      <c r="R145" s="6" t="s">
        <v>9</v>
      </c>
    </row>
    <row r="146" spans="1:18">
      <c r="A146" s="7">
        <v>2028</v>
      </c>
      <c r="B146" s="6" t="s">
        <v>2486</v>
      </c>
      <c r="C146" s="6" t="s">
        <v>1104</v>
      </c>
      <c r="D146" s="6">
        <v>4</v>
      </c>
      <c r="E146" s="6" t="s">
        <v>3083</v>
      </c>
      <c r="F146" s="6" t="s">
        <v>3084</v>
      </c>
      <c r="G146" s="6" t="s">
        <v>3051</v>
      </c>
      <c r="H146" s="6"/>
      <c r="I146" s="6" t="s">
        <v>1224</v>
      </c>
      <c r="J146" s="6"/>
      <c r="K146" s="6"/>
      <c r="L146" s="6"/>
      <c r="M146" s="6"/>
      <c r="N146" s="7" t="s">
        <v>3150</v>
      </c>
      <c r="O146" s="6">
        <v>1</v>
      </c>
      <c r="P146" s="18" t="s">
        <v>3527</v>
      </c>
      <c r="Q146" s="6" t="s">
        <v>180</v>
      </c>
      <c r="R146" s="6" t="s">
        <v>9</v>
      </c>
    </row>
    <row r="147" spans="1:18">
      <c r="A147" s="2">
        <v>2029</v>
      </c>
      <c r="B147" s="1" t="s">
        <v>2487</v>
      </c>
      <c r="C147" s="1" t="s">
        <v>1104</v>
      </c>
      <c r="D147" s="3">
        <v>4</v>
      </c>
      <c r="E147" s="1" t="s">
        <v>3083</v>
      </c>
      <c r="F147" s="1" t="s">
        <v>3084</v>
      </c>
      <c r="G147" s="1" t="s">
        <v>3051</v>
      </c>
      <c r="I147" s="1" t="s">
        <v>1225</v>
      </c>
      <c r="N147" s="2" t="s">
        <v>3456</v>
      </c>
      <c r="O147" s="1">
        <v>4</v>
      </c>
      <c r="P147" s="17" t="s">
        <v>3527</v>
      </c>
      <c r="Q147" s="1" t="s">
        <v>34</v>
      </c>
      <c r="R147" s="1" t="s">
        <v>9</v>
      </c>
    </row>
    <row r="148" spans="1:18">
      <c r="A148" s="2">
        <v>2030</v>
      </c>
      <c r="B148" s="8" t="s">
        <v>2488</v>
      </c>
      <c r="C148" s="8" t="s">
        <v>1104</v>
      </c>
      <c r="D148" s="8">
        <v>4</v>
      </c>
      <c r="E148" s="8" t="s">
        <v>3083</v>
      </c>
      <c r="F148" s="8" t="s">
        <v>3084</v>
      </c>
      <c r="G148" s="8" t="s">
        <v>3051</v>
      </c>
      <c r="H148" s="8"/>
      <c r="I148" s="8" t="s">
        <v>1226</v>
      </c>
      <c r="J148" s="8"/>
      <c r="K148" s="8"/>
      <c r="L148" s="8"/>
      <c r="M148" s="8"/>
      <c r="N148" s="75" t="s">
        <v>3150</v>
      </c>
      <c r="O148" s="8">
        <v>2</v>
      </c>
      <c r="P148" s="62" t="s">
        <v>3533</v>
      </c>
      <c r="Q148" s="8" t="s">
        <v>181</v>
      </c>
      <c r="R148" s="8" t="s">
        <v>9</v>
      </c>
    </row>
    <row r="149" spans="1:18">
      <c r="A149" s="2">
        <v>2031</v>
      </c>
      <c r="B149" s="1" t="s">
        <v>2489</v>
      </c>
      <c r="C149" s="1" t="s">
        <v>1103</v>
      </c>
      <c r="D149" s="3">
        <v>4</v>
      </c>
      <c r="E149" s="1" t="s">
        <v>3087</v>
      </c>
      <c r="F149" s="1" t="s">
        <v>3084</v>
      </c>
      <c r="I149" s="1" t="s">
        <v>1227</v>
      </c>
      <c r="N149" s="2" t="s">
        <v>3456</v>
      </c>
      <c r="O149" s="1">
        <v>2</v>
      </c>
      <c r="P149" s="17" t="s">
        <v>3527</v>
      </c>
      <c r="Q149" s="1" t="s">
        <v>27</v>
      </c>
      <c r="R149" s="1" t="s">
        <v>9</v>
      </c>
    </row>
    <row r="150" spans="1:18">
      <c r="A150" s="6">
        <v>62</v>
      </c>
      <c r="B150" s="6" t="s">
        <v>2400</v>
      </c>
      <c r="C150" s="6" t="s">
        <v>1105</v>
      </c>
      <c r="D150" s="6">
        <v>5</v>
      </c>
      <c r="E150" s="6" t="s">
        <v>3083</v>
      </c>
      <c r="F150" s="6" t="s">
        <v>3084</v>
      </c>
      <c r="G150" s="6" t="s">
        <v>3071</v>
      </c>
      <c r="H150" s="6"/>
      <c r="I150" s="6" t="s">
        <v>1092</v>
      </c>
      <c r="J150" s="6" t="s">
        <v>1093</v>
      </c>
      <c r="K150" s="6"/>
      <c r="L150" s="6"/>
      <c r="M150" s="6" t="s">
        <v>1097</v>
      </c>
      <c r="N150" s="7" t="s">
        <v>3150</v>
      </c>
      <c r="O150" s="6">
        <v>3</v>
      </c>
      <c r="P150" s="18" t="s">
        <v>3527</v>
      </c>
      <c r="Q150" s="6"/>
      <c r="R150" s="6"/>
    </row>
    <row r="151" spans="1:18">
      <c r="A151" s="6">
        <v>63</v>
      </c>
      <c r="B151" s="6" t="s">
        <v>2401</v>
      </c>
      <c r="C151" s="6" t="s">
        <v>13449</v>
      </c>
      <c r="D151" s="6">
        <v>5</v>
      </c>
      <c r="E151" s="6" t="s">
        <v>3083</v>
      </c>
      <c r="F151" s="6" t="s">
        <v>3090</v>
      </c>
      <c r="G151" s="6" t="s">
        <v>3064</v>
      </c>
      <c r="H151" s="6"/>
      <c r="I151" s="6" t="s">
        <v>1094</v>
      </c>
      <c r="J151" s="6" t="s">
        <v>1095</v>
      </c>
      <c r="K151" s="6" t="s">
        <v>1096</v>
      </c>
      <c r="L151" s="6"/>
      <c r="M151" s="6" t="s">
        <v>1097</v>
      </c>
      <c r="N151" s="7" t="s">
        <v>3150</v>
      </c>
      <c r="O151" s="6">
        <v>5</v>
      </c>
      <c r="P151" s="18" t="s">
        <v>3611</v>
      </c>
      <c r="Q151" s="6" t="s">
        <v>39</v>
      </c>
      <c r="R151" s="6" t="s">
        <v>4</v>
      </c>
    </row>
    <row r="152" spans="1:18">
      <c r="A152" s="1">
        <v>1055</v>
      </c>
      <c r="B152" s="1" t="s">
        <v>2456</v>
      </c>
      <c r="C152" s="1" t="s">
        <v>1105</v>
      </c>
      <c r="D152" s="1">
        <v>5</v>
      </c>
      <c r="E152" s="1" t="s">
        <v>3083</v>
      </c>
      <c r="F152" s="1" t="s">
        <v>3084</v>
      </c>
      <c r="G152" s="1" t="s">
        <v>3063</v>
      </c>
      <c r="I152" s="1" t="s">
        <v>937</v>
      </c>
      <c r="J152" s="1" t="s">
        <v>1172</v>
      </c>
      <c r="N152" s="1" t="s">
        <v>3456</v>
      </c>
      <c r="O152" s="1">
        <v>2</v>
      </c>
      <c r="P152" s="17" t="s">
        <v>3569</v>
      </c>
      <c r="Q152" s="1" t="s">
        <v>35</v>
      </c>
      <c r="R152" s="1" t="s">
        <v>7</v>
      </c>
    </row>
    <row r="153" spans="1:18">
      <c r="A153" s="6">
        <v>1056</v>
      </c>
      <c r="B153" s="6" t="s">
        <v>2457</v>
      </c>
      <c r="C153" s="6" t="s">
        <v>1105</v>
      </c>
      <c r="D153" s="6">
        <v>5</v>
      </c>
      <c r="E153" s="6" t="s">
        <v>3083</v>
      </c>
      <c r="F153" s="6" t="s">
        <v>3084</v>
      </c>
      <c r="G153" s="6" t="s">
        <v>3075</v>
      </c>
      <c r="H153" s="6"/>
      <c r="I153" s="6" t="s">
        <v>1120</v>
      </c>
      <c r="J153" s="6" t="s">
        <v>1173</v>
      </c>
      <c r="K153" s="6"/>
      <c r="L153" s="6"/>
      <c r="M153" s="6"/>
      <c r="N153" s="6" t="s">
        <v>3150</v>
      </c>
      <c r="O153" s="6">
        <v>1</v>
      </c>
      <c r="P153" s="18" t="s">
        <v>3569</v>
      </c>
      <c r="Q153" s="6" t="s">
        <v>45</v>
      </c>
      <c r="R153" s="1" t="s">
        <v>7</v>
      </c>
    </row>
    <row r="154" spans="1:18">
      <c r="A154" s="16">
        <v>2032</v>
      </c>
      <c r="B154" s="9" t="s">
        <v>2490</v>
      </c>
      <c r="C154" s="9" t="s">
        <v>1248</v>
      </c>
      <c r="D154" s="9">
        <v>5</v>
      </c>
      <c r="E154" s="9" t="s">
        <v>3083</v>
      </c>
      <c r="F154" s="9" t="s">
        <v>3084</v>
      </c>
      <c r="G154" s="9" t="s">
        <v>3053</v>
      </c>
      <c r="H154" s="9"/>
      <c r="I154" s="9" t="s">
        <v>1228</v>
      </c>
      <c r="J154" s="9" t="s">
        <v>1229</v>
      </c>
      <c r="K154" s="9"/>
      <c r="L154" s="9"/>
      <c r="M154" s="9"/>
      <c r="N154" s="16" t="s">
        <v>3150</v>
      </c>
      <c r="O154" s="9">
        <v>2</v>
      </c>
      <c r="P154" s="63" t="s">
        <v>3569</v>
      </c>
      <c r="Q154" s="9" t="s">
        <v>48</v>
      </c>
      <c r="R154" s="9" t="s">
        <v>9</v>
      </c>
    </row>
    <row r="155" spans="1:18">
      <c r="A155" s="2">
        <v>2033</v>
      </c>
      <c r="B155" s="1" t="s">
        <v>2491</v>
      </c>
      <c r="C155" s="1" t="s">
        <v>1105</v>
      </c>
      <c r="D155" s="3">
        <v>5</v>
      </c>
      <c r="E155" s="1" t="s">
        <v>3087</v>
      </c>
      <c r="F155" s="1" t="s">
        <v>3084</v>
      </c>
      <c r="G155" s="1" t="s">
        <v>3051</v>
      </c>
      <c r="I155" s="1" t="s">
        <v>1230</v>
      </c>
      <c r="J155" s="1" t="s">
        <v>1231</v>
      </c>
      <c r="N155" s="2" t="s">
        <v>3456</v>
      </c>
      <c r="O155" s="1">
        <v>2</v>
      </c>
      <c r="P155" s="17" t="s">
        <v>3569</v>
      </c>
      <c r="Q155" s="1" t="s">
        <v>31</v>
      </c>
      <c r="R155" s="1" t="s">
        <v>9</v>
      </c>
    </row>
    <row r="156" spans="1:18">
      <c r="A156" s="2">
        <v>2034</v>
      </c>
      <c r="B156" s="1" t="s">
        <v>2492</v>
      </c>
      <c r="C156" s="1" t="s">
        <v>1105</v>
      </c>
      <c r="D156" s="3">
        <v>5</v>
      </c>
      <c r="E156" s="1" t="s">
        <v>3083</v>
      </c>
      <c r="F156" s="1" t="s">
        <v>3084</v>
      </c>
      <c r="G156" s="1" t="s">
        <v>3051</v>
      </c>
      <c r="I156" s="1" t="s">
        <v>1249</v>
      </c>
      <c r="N156" s="2" t="s">
        <v>3456</v>
      </c>
      <c r="O156" s="1">
        <v>4</v>
      </c>
      <c r="P156" s="17" t="s">
        <v>3522</v>
      </c>
      <c r="Q156" s="1" t="s">
        <v>33</v>
      </c>
      <c r="R156" s="1" t="s">
        <v>9</v>
      </c>
    </row>
    <row r="157" spans="1:18">
      <c r="A157" s="4">
        <v>1057</v>
      </c>
      <c r="B157" s="4" t="s">
        <v>2458</v>
      </c>
      <c r="C157" s="4" t="s">
        <v>1194</v>
      </c>
      <c r="D157" s="4">
        <v>6</v>
      </c>
      <c r="E157" s="4" t="s">
        <v>3083</v>
      </c>
      <c r="F157" s="4" t="s">
        <v>3084</v>
      </c>
      <c r="G157" s="4" t="s">
        <v>3057</v>
      </c>
      <c r="H157" s="4"/>
      <c r="I157" s="4" t="s">
        <v>1174</v>
      </c>
      <c r="J157" s="4" t="s">
        <v>1175</v>
      </c>
      <c r="K157" s="4"/>
      <c r="L157" s="4"/>
      <c r="M157" s="4"/>
      <c r="N157" s="4" t="s">
        <v>3150</v>
      </c>
      <c r="O157" s="4">
        <v>5</v>
      </c>
      <c r="P157" s="19" t="s">
        <v>3530</v>
      </c>
      <c r="Q157" s="4" t="s">
        <v>8</v>
      </c>
      <c r="R157" s="1" t="s">
        <v>7</v>
      </c>
    </row>
    <row r="158" spans="1:18">
      <c r="A158" s="2">
        <v>2035</v>
      </c>
      <c r="B158" s="9" t="s">
        <v>2493</v>
      </c>
      <c r="C158" s="9" t="s">
        <v>1250</v>
      </c>
      <c r="D158" s="9">
        <v>6</v>
      </c>
      <c r="E158" s="9" t="s">
        <v>3087</v>
      </c>
      <c r="F158" s="9" t="s">
        <v>3084</v>
      </c>
      <c r="G158" s="9" t="s">
        <v>3075</v>
      </c>
      <c r="H158" s="9"/>
      <c r="I158" s="9" t="s">
        <v>1232</v>
      </c>
      <c r="J158" s="9" t="s">
        <v>1254</v>
      </c>
      <c r="K158" s="9"/>
      <c r="L158" s="9"/>
      <c r="M158" s="9"/>
      <c r="N158" s="16" t="s">
        <v>3456</v>
      </c>
      <c r="O158" s="9">
        <v>4</v>
      </c>
      <c r="P158" s="63" t="s">
        <v>3530</v>
      </c>
      <c r="Q158" s="9" t="s">
        <v>53</v>
      </c>
      <c r="R158" s="9" t="s">
        <v>9</v>
      </c>
    </row>
    <row r="159" spans="1:18">
      <c r="A159" s="2">
        <v>2036</v>
      </c>
      <c r="B159" s="1" t="s">
        <v>2494</v>
      </c>
      <c r="C159" s="1" t="s">
        <v>1194</v>
      </c>
      <c r="D159" s="3">
        <v>6</v>
      </c>
      <c r="E159" s="1" t="s">
        <v>3083</v>
      </c>
      <c r="F159" s="1" t="s">
        <v>3084</v>
      </c>
      <c r="G159" s="1" t="s">
        <v>3051</v>
      </c>
      <c r="I159" s="1" t="s">
        <v>1233</v>
      </c>
      <c r="N159" s="2" t="s">
        <v>3456</v>
      </c>
      <c r="O159" s="1">
        <v>4</v>
      </c>
      <c r="P159" s="17" t="s">
        <v>3569</v>
      </c>
      <c r="Q159" s="1" t="s">
        <v>31</v>
      </c>
      <c r="R159" s="1" t="s">
        <v>9</v>
      </c>
    </row>
    <row r="160" spans="1:18">
      <c r="A160" s="2">
        <v>2037</v>
      </c>
      <c r="B160" s="1" t="s">
        <v>2495</v>
      </c>
      <c r="C160" s="1" t="s">
        <v>1194</v>
      </c>
      <c r="D160" s="3">
        <v>6</v>
      </c>
      <c r="E160" s="1" t="s">
        <v>3083</v>
      </c>
      <c r="F160" s="1" t="s">
        <v>3084</v>
      </c>
      <c r="G160" s="1" t="s">
        <v>3063</v>
      </c>
      <c r="I160" s="1" t="s">
        <v>1234</v>
      </c>
      <c r="J160" s="1" t="s">
        <v>1235</v>
      </c>
      <c r="N160" s="2" t="s">
        <v>3150</v>
      </c>
      <c r="O160" s="1">
        <v>1</v>
      </c>
      <c r="P160" s="17" t="s">
        <v>3527</v>
      </c>
      <c r="Q160" s="1" t="s">
        <v>26</v>
      </c>
      <c r="R160" s="1" t="s">
        <v>9</v>
      </c>
    </row>
    <row r="161" spans="1:18">
      <c r="A161" s="2">
        <v>2038</v>
      </c>
      <c r="B161" s="1" t="s">
        <v>2496</v>
      </c>
      <c r="C161" s="1" t="s">
        <v>1251</v>
      </c>
      <c r="D161" s="3">
        <v>7</v>
      </c>
      <c r="E161" s="1" t="s">
        <v>3087</v>
      </c>
      <c r="F161" s="1" t="s">
        <v>3084</v>
      </c>
      <c r="G161" s="1" t="s">
        <v>3051</v>
      </c>
      <c r="I161" s="1" t="s">
        <v>1252</v>
      </c>
      <c r="J161" s="1" t="s">
        <v>1253</v>
      </c>
      <c r="N161" s="2" t="s">
        <v>3456</v>
      </c>
      <c r="O161" s="1">
        <v>4</v>
      </c>
      <c r="P161" s="17" t="s">
        <v>3522</v>
      </c>
      <c r="Q161" s="1" t="s">
        <v>31</v>
      </c>
      <c r="R161" s="1" t="s">
        <v>9</v>
      </c>
    </row>
  </sheetData>
  <autoFilter ref="A1:S162"/>
  <sortState ref="A2:S161">
    <sortCondition ref="D2:D161"/>
    <sortCondition ref="A2:A161"/>
  </sortState>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A1:W233"/>
  <sheetViews>
    <sheetView zoomScale="85" zoomScaleNormal="85" workbookViewId="0">
      <pane ySplit="1" topLeftCell="A205" activePane="bottomLeft" state="frozen"/>
      <selection pane="bottomLeft" activeCell="I215" sqref="I215"/>
    </sheetView>
  </sheetViews>
  <sheetFormatPr defaultRowHeight="13.5"/>
  <cols>
    <col min="1" max="14" width="9" style="1"/>
    <col min="15" max="15" width="6.25" style="1" bestFit="1" customWidth="1"/>
    <col min="16" max="16" width="6" style="1" bestFit="1" customWidth="1"/>
    <col min="17" max="16384" width="9" style="1"/>
  </cols>
  <sheetData>
    <row r="1" spans="1:23">
      <c r="B1" s="1" t="s">
        <v>3151</v>
      </c>
      <c r="C1" s="1" t="s">
        <v>3152</v>
      </c>
      <c r="D1" s="1" t="s">
        <v>3160</v>
      </c>
      <c r="E1" s="1" t="s">
        <v>3153</v>
      </c>
      <c r="F1" s="1" t="s">
        <v>3154</v>
      </c>
      <c r="G1" s="1" t="s">
        <v>3155</v>
      </c>
      <c r="H1" s="1" t="s">
        <v>3156</v>
      </c>
      <c r="I1" s="1" t="s">
        <v>3157</v>
      </c>
      <c r="N1" s="2" t="s">
        <v>3456</v>
      </c>
      <c r="O1" s="64" t="s">
        <v>4051</v>
      </c>
      <c r="P1" s="64" t="s">
        <v>4052</v>
      </c>
      <c r="Q1" s="1" t="s">
        <v>3159</v>
      </c>
      <c r="T1" s="4" t="s">
        <v>3881</v>
      </c>
      <c r="U1" s="8" t="s">
        <v>3882</v>
      </c>
      <c r="V1" s="9" t="s">
        <v>3906</v>
      </c>
      <c r="W1" s="10" t="s">
        <v>3907</v>
      </c>
    </row>
    <row r="2" spans="1:23" hidden="1">
      <c r="A2" s="2">
        <v>1</v>
      </c>
      <c r="B2" s="2" t="s">
        <v>2499</v>
      </c>
      <c r="C2" s="2" t="s">
        <v>1370</v>
      </c>
      <c r="D2" s="2">
        <v>1</v>
      </c>
      <c r="E2" s="2" t="s">
        <v>3083</v>
      </c>
      <c r="F2" s="2" t="s">
        <v>3084</v>
      </c>
      <c r="G2" s="2" t="s">
        <v>3055</v>
      </c>
      <c r="H2" s="2"/>
      <c r="I2" s="2" t="s">
        <v>1296</v>
      </c>
      <c r="J2" s="2"/>
      <c r="K2" s="2"/>
      <c r="L2" s="2"/>
      <c r="M2" s="2"/>
      <c r="N2" s="2" t="s">
        <v>3456</v>
      </c>
      <c r="O2" s="2">
        <v>1</v>
      </c>
      <c r="P2" s="2">
        <v>1</v>
      </c>
      <c r="Q2" s="2" t="s">
        <v>17</v>
      </c>
      <c r="R2" s="2" t="s">
        <v>4</v>
      </c>
      <c r="T2" s="1">
        <f t="shared" ref="T2:T20" si="0">COUNTIF(F:H,U2)</f>
        <v>44</v>
      </c>
      <c r="U2" s="1" t="s">
        <v>3143</v>
      </c>
    </row>
    <row r="3" spans="1:23" hidden="1">
      <c r="A3" s="2">
        <v>2</v>
      </c>
      <c r="B3" s="2" t="s">
        <v>2500</v>
      </c>
      <c r="C3" s="2" t="s">
        <v>1370</v>
      </c>
      <c r="D3" s="2">
        <v>1</v>
      </c>
      <c r="E3" s="2" t="s">
        <v>3083</v>
      </c>
      <c r="F3" s="2" t="s">
        <v>3084</v>
      </c>
      <c r="G3" s="2" t="s">
        <v>3075</v>
      </c>
      <c r="H3" s="2"/>
      <c r="I3" s="1" t="s">
        <v>1297</v>
      </c>
      <c r="N3" s="2" t="s">
        <v>3456</v>
      </c>
      <c r="O3" s="1">
        <v>1</v>
      </c>
      <c r="P3" s="1">
        <v>1</v>
      </c>
      <c r="Q3" s="1" t="s">
        <v>49</v>
      </c>
      <c r="R3" s="1" t="s">
        <v>4</v>
      </c>
      <c r="T3" s="1">
        <f t="shared" si="0"/>
        <v>41</v>
      </c>
      <c r="U3" s="1" t="s">
        <v>3144</v>
      </c>
    </row>
    <row r="4" spans="1:23" hidden="1">
      <c r="A4" s="2">
        <v>3</v>
      </c>
      <c r="B4" s="1" t="s">
        <v>2501</v>
      </c>
      <c r="C4" s="1" t="s">
        <v>1370</v>
      </c>
      <c r="D4" s="1">
        <v>1</v>
      </c>
      <c r="E4" s="1" t="s">
        <v>3083</v>
      </c>
      <c r="F4" s="1" t="s">
        <v>3084</v>
      </c>
      <c r="G4" s="1" t="s">
        <v>3050</v>
      </c>
      <c r="I4" s="1" t="s">
        <v>1298</v>
      </c>
      <c r="N4" s="2" t="s">
        <v>3456</v>
      </c>
      <c r="O4" s="1">
        <v>1</v>
      </c>
      <c r="P4" s="1">
        <v>1</v>
      </c>
      <c r="Q4" s="1" t="s">
        <v>14</v>
      </c>
      <c r="R4" s="1" t="s">
        <v>4</v>
      </c>
      <c r="T4" s="1">
        <f t="shared" si="0"/>
        <v>10</v>
      </c>
      <c r="U4" s="1" t="s">
        <v>3148</v>
      </c>
    </row>
    <row r="5" spans="1:23" hidden="1">
      <c r="A5" s="5">
        <v>4</v>
      </c>
      <c r="B5" s="4" t="s">
        <v>2502</v>
      </c>
      <c r="C5" s="4" t="s">
        <v>1370</v>
      </c>
      <c r="D5" s="4">
        <v>1</v>
      </c>
      <c r="E5" s="4" t="s">
        <v>3083</v>
      </c>
      <c r="F5" s="4" t="s">
        <v>3084</v>
      </c>
      <c r="G5" s="4" t="s">
        <v>3055</v>
      </c>
      <c r="H5" s="4"/>
      <c r="I5" s="4" t="s">
        <v>1299</v>
      </c>
      <c r="J5" s="4"/>
      <c r="K5" s="4"/>
      <c r="L5" s="4"/>
      <c r="M5" s="4"/>
      <c r="N5" s="5" t="s">
        <v>3456</v>
      </c>
      <c r="O5" s="4">
        <v>1</v>
      </c>
      <c r="P5" s="4">
        <v>1</v>
      </c>
      <c r="Q5" s="4" t="s">
        <v>52</v>
      </c>
      <c r="R5" s="1" t="s">
        <v>4</v>
      </c>
      <c r="T5" s="1">
        <f t="shared" si="0"/>
        <v>3</v>
      </c>
      <c r="U5" s="1" t="s">
        <v>3053</v>
      </c>
    </row>
    <row r="6" spans="1:23" hidden="1">
      <c r="A6" s="2">
        <v>5</v>
      </c>
      <c r="B6" s="1" t="s">
        <v>2503</v>
      </c>
      <c r="C6" s="1" t="s">
        <v>1370</v>
      </c>
      <c r="D6" s="1">
        <v>1</v>
      </c>
      <c r="E6" s="1" t="s">
        <v>3083</v>
      </c>
      <c r="F6" s="1" t="s">
        <v>3084</v>
      </c>
      <c r="G6" s="1" t="s">
        <v>3075</v>
      </c>
      <c r="I6" s="1" t="s">
        <v>1094</v>
      </c>
      <c r="J6" s="1" t="s">
        <v>1371</v>
      </c>
      <c r="K6" s="1" t="s">
        <v>1300</v>
      </c>
      <c r="N6" s="2" t="s">
        <v>3456</v>
      </c>
      <c r="O6" s="1">
        <v>1</v>
      </c>
      <c r="P6" s="1">
        <v>1</v>
      </c>
      <c r="Q6" s="1" t="s">
        <v>32</v>
      </c>
      <c r="R6" s="1" t="s">
        <v>4</v>
      </c>
      <c r="T6" s="1">
        <f t="shared" si="0"/>
        <v>8</v>
      </c>
      <c r="U6" s="1" t="s">
        <v>3146</v>
      </c>
    </row>
    <row r="7" spans="1:23" hidden="1">
      <c r="A7" s="7">
        <v>6</v>
      </c>
      <c r="B7" s="6" t="s">
        <v>2504</v>
      </c>
      <c r="C7" s="6" t="s">
        <v>1370</v>
      </c>
      <c r="D7" s="6">
        <v>1</v>
      </c>
      <c r="E7" s="6" t="s">
        <v>3083</v>
      </c>
      <c r="F7" s="6" t="s">
        <v>3084</v>
      </c>
      <c r="G7" s="6" t="s">
        <v>3053</v>
      </c>
      <c r="H7" s="6"/>
      <c r="I7" s="6" t="s">
        <v>1368</v>
      </c>
      <c r="J7" s="6"/>
      <c r="K7" s="6"/>
      <c r="L7" s="6"/>
      <c r="M7" s="6"/>
      <c r="N7" s="7" t="s">
        <v>3456</v>
      </c>
      <c r="O7" s="6">
        <v>1</v>
      </c>
      <c r="P7" s="6">
        <v>1</v>
      </c>
      <c r="Q7" s="6" t="s">
        <v>14</v>
      </c>
      <c r="R7" s="6" t="s">
        <v>4</v>
      </c>
      <c r="S7" s="4"/>
      <c r="T7" s="1">
        <f t="shared" si="0"/>
        <v>15</v>
      </c>
      <c r="U7" s="1" t="s">
        <v>3145</v>
      </c>
    </row>
    <row r="8" spans="1:23" hidden="1">
      <c r="A8" s="4">
        <v>1001</v>
      </c>
      <c r="B8" s="4" t="s">
        <v>2585</v>
      </c>
      <c r="C8" s="4" t="s">
        <v>1370</v>
      </c>
      <c r="D8" s="4">
        <v>1</v>
      </c>
      <c r="E8" s="4" t="s">
        <v>3083</v>
      </c>
      <c r="F8" s="4" t="s">
        <v>3084</v>
      </c>
      <c r="G8" s="4" t="s">
        <v>3079</v>
      </c>
      <c r="H8" s="4"/>
      <c r="I8" s="4" t="s">
        <v>1094</v>
      </c>
      <c r="J8" s="4" t="s">
        <v>3940</v>
      </c>
      <c r="K8" s="4"/>
      <c r="L8" s="4"/>
      <c r="M8" s="4" t="s">
        <v>153</v>
      </c>
      <c r="N8" s="4" t="s">
        <v>3456</v>
      </c>
      <c r="O8" s="4">
        <v>1</v>
      </c>
      <c r="P8" s="4">
        <v>1</v>
      </c>
      <c r="Q8" s="4"/>
      <c r="R8" s="4"/>
      <c r="T8" s="1">
        <f t="shared" si="0"/>
        <v>7</v>
      </c>
      <c r="U8" s="1" t="s">
        <v>3058</v>
      </c>
    </row>
    <row r="9" spans="1:23" hidden="1">
      <c r="A9" s="4">
        <v>1002</v>
      </c>
      <c r="B9" s="4" t="s">
        <v>2586</v>
      </c>
      <c r="C9" s="4" t="s">
        <v>3096</v>
      </c>
      <c r="D9" s="4">
        <v>1</v>
      </c>
      <c r="E9" s="4" t="s">
        <v>3083</v>
      </c>
      <c r="F9" s="4" t="s">
        <v>3079</v>
      </c>
      <c r="G9" s="4"/>
      <c r="H9" s="4"/>
      <c r="I9" s="4" t="s">
        <v>1095</v>
      </c>
      <c r="J9" s="4" t="s">
        <v>3928</v>
      </c>
      <c r="K9" s="4"/>
      <c r="L9" s="4"/>
      <c r="M9" s="4" t="s">
        <v>153</v>
      </c>
      <c r="N9" s="4" t="s">
        <v>3456</v>
      </c>
      <c r="O9" s="4">
        <v>2</v>
      </c>
      <c r="P9" s="4">
        <v>2</v>
      </c>
      <c r="Q9" s="4" t="s">
        <v>46</v>
      </c>
      <c r="R9" s="4" t="s">
        <v>7</v>
      </c>
      <c r="T9" s="1">
        <f t="shared" si="0"/>
        <v>13</v>
      </c>
      <c r="U9" s="1" t="s">
        <v>3051</v>
      </c>
    </row>
    <row r="10" spans="1:23" hidden="1">
      <c r="A10" s="1">
        <v>1003</v>
      </c>
      <c r="B10" s="1" t="s">
        <v>2587</v>
      </c>
      <c r="C10" s="1" t="s">
        <v>1370</v>
      </c>
      <c r="D10" s="1">
        <v>1</v>
      </c>
      <c r="E10" s="1" t="s">
        <v>3083</v>
      </c>
      <c r="F10" s="1" t="s">
        <v>3084</v>
      </c>
      <c r="G10" s="1" t="s">
        <v>3075</v>
      </c>
      <c r="I10" s="1" t="s">
        <v>249</v>
      </c>
      <c r="J10" s="1" t="s">
        <v>1475</v>
      </c>
      <c r="N10" s="1" t="s">
        <v>3150</v>
      </c>
      <c r="O10" s="1">
        <v>1</v>
      </c>
      <c r="P10" s="1">
        <v>1</v>
      </c>
      <c r="Q10" s="1" t="s">
        <v>52</v>
      </c>
      <c r="R10" s="1" t="s">
        <v>7</v>
      </c>
      <c r="T10" s="1">
        <f t="shared" si="0"/>
        <v>13</v>
      </c>
      <c r="U10" s="1" t="s">
        <v>3147</v>
      </c>
    </row>
    <row r="11" spans="1:23" hidden="1">
      <c r="A11" s="6">
        <v>1004</v>
      </c>
      <c r="B11" s="6" t="s">
        <v>2588</v>
      </c>
      <c r="C11" s="6" t="s">
        <v>1370</v>
      </c>
      <c r="D11" s="6">
        <v>1</v>
      </c>
      <c r="E11" s="6" t="s">
        <v>3083</v>
      </c>
      <c r="F11" s="6" t="s">
        <v>3084</v>
      </c>
      <c r="G11" s="6" t="s">
        <v>3071</v>
      </c>
      <c r="H11" s="6" t="s">
        <v>3079</v>
      </c>
      <c r="I11" s="6" t="s">
        <v>3941</v>
      </c>
      <c r="J11" s="6"/>
      <c r="K11" s="6"/>
      <c r="L11" s="6"/>
      <c r="M11" s="6" t="s">
        <v>153</v>
      </c>
      <c r="N11" s="6" t="s">
        <v>3456</v>
      </c>
      <c r="O11" s="6">
        <v>1</v>
      </c>
      <c r="P11" s="6">
        <v>1</v>
      </c>
      <c r="Q11" s="6"/>
      <c r="R11" s="6"/>
      <c r="T11" s="1">
        <f>COUNTIF(F:H,U11)/2</f>
        <v>15</v>
      </c>
      <c r="U11" s="1" t="s">
        <v>3079</v>
      </c>
    </row>
    <row r="12" spans="1:23" hidden="1">
      <c r="A12" s="6">
        <v>1005</v>
      </c>
      <c r="B12" s="6" t="s">
        <v>2589</v>
      </c>
      <c r="C12" s="6" t="s">
        <v>3096</v>
      </c>
      <c r="D12" s="6">
        <v>1</v>
      </c>
      <c r="E12" s="6" t="s">
        <v>3083</v>
      </c>
      <c r="F12" s="6" t="s">
        <v>3079</v>
      </c>
      <c r="G12" s="6"/>
      <c r="H12" s="6"/>
      <c r="I12" s="6" t="s">
        <v>3929</v>
      </c>
      <c r="J12" s="6"/>
      <c r="K12" s="6"/>
      <c r="L12" s="6"/>
      <c r="M12" s="6" t="s">
        <v>153</v>
      </c>
      <c r="N12" s="6" t="s">
        <v>3456</v>
      </c>
      <c r="O12" s="6">
        <v>3</v>
      </c>
      <c r="P12" s="6">
        <v>2</v>
      </c>
      <c r="Q12" s="6" t="s">
        <v>45</v>
      </c>
      <c r="R12" s="6" t="s">
        <v>7</v>
      </c>
      <c r="T12" s="1">
        <f t="shared" si="0"/>
        <v>12</v>
      </c>
      <c r="U12" s="1" t="s">
        <v>3063</v>
      </c>
    </row>
    <row r="13" spans="1:23" hidden="1">
      <c r="A13" s="1">
        <v>1006</v>
      </c>
      <c r="B13" s="1" t="s">
        <v>2590</v>
      </c>
      <c r="C13" s="1" t="s">
        <v>1370</v>
      </c>
      <c r="D13" s="1">
        <v>1</v>
      </c>
      <c r="E13" s="1" t="s">
        <v>3083</v>
      </c>
      <c r="F13" s="1" t="s">
        <v>3084</v>
      </c>
      <c r="G13" s="1" t="s">
        <v>3058</v>
      </c>
      <c r="I13" s="1" t="s">
        <v>1094</v>
      </c>
      <c r="J13" s="1" t="s">
        <v>24</v>
      </c>
      <c r="N13" s="1" t="s">
        <v>3456</v>
      </c>
      <c r="O13" s="1">
        <v>1</v>
      </c>
      <c r="P13" s="1">
        <v>2</v>
      </c>
      <c r="Q13" s="1" t="s">
        <v>38</v>
      </c>
      <c r="R13" s="1" t="s">
        <v>7</v>
      </c>
      <c r="T13" s="1">
        <f t="shared" si="0"/>
        <v>7</v>
      </c>
      <c r="U13" s="1" t="s">
        <v>3056</v>
      </c>
    </row>
    <row r="14" spans="1:23" hidden="1">
      <c r="A14" s="1">
        <v>1007</v>
      </c>
      <c r="B14" s="1" t="s">
        <v>2591</v>
      </c>
      <c r="C14" s="1" t="s">
        <v>1370</v>
      </c>
      <c r="D14" s="1">
        <v>1</v>
      </c>
      <c r="E14" s="1" t="s">
        <v>3083</v>
      </c>
      <c r="F14" s="1" t="s">
        <v>3084</v>
      </c>
      <c r="G14" s="1" t="s">
        <v>3063</v>
      </c>
      <c r="I14" s="1" t="s">
        <v>1388</v>
      </c>
      <c r="N14" s="1" t="s">
        <v>3456</v>
      </c>
      <c r="O14" s="1">
        <v>1</v>
      </c>
      <c r="P14" s="1">
        <v>2</v>
      </c>
      <c r="Q14" s="1" t="s">
        <v>26</v>
      </c>
      <c r="R14" s="1" t="s">
        <v>7</v>
      </c>
      <c r="T14" s="1">
        <f t="shared" si="0"/>
        <v>1</v>
      </c>
      <c r="U14" s="1" t="s">
        <v>3077</v>
      </c>
    </row>
    <row r="15" spans="1:23" hidden="1">
      <c r="A15" s="1">
        <v>1008</v>
      </c>
      <c r="B15" s="1" t="s">
        <v>2592</v>
      </c>
      <c r="C15" s="1" t="s">
        <v>1370</v>
      </c>
      <c r="D15" s="1">
        <v>1</v>
      </c>
      <c r="E15" s="1" t="s">
        <v>3083</v>
      </c>
      <c r="F15" s="1" t="s">
        <v>3084</v>
      </c>
      <c r="G15" s="1" t="s">
        <v>3057</v>
      </c>
      <c r="I15" s="1" t="s">
        <v>1466</v>
      </c>
      <c r="J15" s="1" t="s">
        <v>1476</v>
      </c>
      <c r="N15" s="1" t="s">
        <v>3456</v>
      </c>
      <c r="O15" s="1">
        <v>1</v>
      </c>
      <c r="P15" s="1">
        <v>1</v>
      </c>
      <c r="Q15" s="1" t="s">
        <v>32</v>
      </c>
      <c r="R15" s="1" t="s">
        <v>7</v>
      </c>
      <c r="T15" s="1">
        <f t="shared" si="0"/>
        <v>2</v>
      </c>
      <c r="U15" s="1" t="s">
        <v>3061</v>
      </c>
    </row>
    <row r="16" spans="1:23" hidden="1">
      <c r="A16" s="1">
        <v>1009</v>
      </c>
      <c r="B16" s="1" t="s">
        <v>2593</v>
      </c>
      <c r="C16" s="1" t="s">
        <v>1370</v>
      </c>
      <c r="D16" s="1">
        <v>1</v>
      </c>
      <c r="E16" s="1" t="s">
        <v>3083</v>
      </c>
      <c r="F16" s="1" t="s">
        <v>3084</v>
      </c>
      <c r="G16" s="1" t="s">
        <v>3055</v>
      </c>
      <c r="I16" s="1" t="s">
        <v>1467</v>
      </c>
      <c r="N16" s="1" t="s">
        <v>3456</v>
      </c>
      <c r="O16" s="1">
        <v>1</v>
      </c>
      <c r="P16" s="1">
        <v>1</v>
      </c>
      <c r="Q16" s="1" t="s">
        <v>179</v>
      </c>
      <c r="R16" s="1" t="s">
        <v>7</v>
      </c>
      <c r="T16" s="1">
        <f t="shared" si="0"/>
        <v>2</v>
      </c>
      <c r="U16" s="1" t="s">
        <v>3049</v>
      </c>
    </row>
    <row r="17" spans="1:21" hidden="1">
      <c r="A17" s="6">
        <v>1010</v>
      </c>
      <c r="B17" s="6" t="s">
        <v>2594</v>
      </c>
      <c r="C17" s="6" t="s">
        <v>1370</v>
      </c>
      <c r="D17" s="6">
        <v>1</v>
      </c>
      <c r="E17" s="6" t="s">
        <v>3083</v>
      </c>
      <c r="F17" s="6" t="s">
        <v>3084</v>
      </c>
      <c r="G17" s="6" t="s">
        <v>3070</v>
      </c>
      <c r="H17" s="6"/>
      <c r="I17" s="6" t="s">
        <v>1389</v>
      </c>
      <c r="J17" s="6"/>
      <c r="K17" s="6"/>
      <c r="L17" s="6"/>
      <c r="M17" s="6"/>
      <c r="N17" s="6" t="s">
        <v>3456</v>
      </c>
      <c r="O17" s="6">
        <v>2</v>
      </c>
      <c r="P17" s="6">
        <v>2</v>
      </c>
      <c r="Q17" s="6" t="s">
        <v>36</v>
      </c>
      <c r="R17" s="1" t="s">
        <v>7</v>
      </c>
      <c r="T17" s="1">
        <f t="shared" si="0"/>
        <v>11</v>
      </c>
      <c r="U17" s="1" t="s">
        <v>3071</v>
      </c>
    </row>
    <row r="18" spans="1:21" hidden="1">
      <c r="A18" s="6">
        <v>2001</v>
      </c>
      <c r="B18" s="6" t="s">
        <v>2666</v>
      </c>
      <c r="C18" s="6" t="s">
        <v>1370</v>
      </c>
      <c r="D18" s="6">
        <v>1</v>
      </c>
      <c r="E18" s="6" t="s">
        <v>3087</v>
      </c>
      <c r="F18" s="6" t="s">
        <v>3084</v>
      </c>
      <c r="G18" s="6" t="s">
        <v>3055</v>
      </c>
      <c r="H18" s="6"/>
      <c r="I18" s="6" t="s">
        <v>1481</v>
      </c>
      <c r="J18" s="6"/>
      <c r="K18" s="6"/>
      <c r="L18" s="6"/>
      <c r="M18" s="6"/>
      <c r="N18" s="6" t="s">
        <v>3456</v>
      </c>
      <c r="O18" s="6">
        <v>2</v>
      </c>
      <c r="P18" s="6">
        <v>1</v>
      </c>
      <c r="Q18" s="6" t="s">
        <v>31</v>
      </c>
      <c r="R18" s="1" t="s">
        <v>9</v>
      </c>
      <c r="T18" s="1">
        <f t="shared" si="0"/>
        <v>5</v>
      </c>
      <c r="U18" s="1" t="s">
        <v>3080</v>
      </c>
    </row>
    <row r="19" spans="1:21" hidden="1">
      <c r="A19" s="1">
        <v>2002</v>
      </c>
      <c r="B19" s="1" t="s">
        <v>2667</v>
      </c>
      <c r="C19" s="1" t="s">
        <v>1370</v>
      </c>
      <c r="D19" s="1">
        <v>1</v>
      </c>
      <c r="E19" s="1" t="s">
        <v>3083</v>
      </c>
      <c r="F19" s="1" t="s">
        <v>3084</v>
      </c>
      <c r="G19" s="1" t="s">
        <v>3051</v>
      </c>
      <c r="I19" s="1" t="s">
        <v>1482</v>
      </c>
      <c r="N19" s="1" t="s">
        <v>3456</v>
      </c>
      <c r="O19" s="1">
        <v>1</v>
      </c>
      <c r="P19" s="1">
        <v>1</v>
      </c>
      <c r="Q19" s="1" t="s">
        <v>31</v>
      </c>
      <c r="R19" s="1" t="s">
        <v>9</v>
      </c>
      <c r="T19" s="1">
        <f t="shared" si="0"/>
        <v>2</v>
      </c>
      <c r="U19" s="1" t="s">
        <v>3062</v>
      </c>
    </row>
    <row r="20" spans="1:21" hidden="1">
      <c r="A20" s="1">
        <v>2003</v>
      </c>
      <c r="B20" s="1" t="s">
        <v>2668</v>
      </c>
      <c r="C20" s="1" t="s">
        <v>1370</v>
      </c>
      <c r="D20" s="1">
        <v>1</v>
      </c>
      <c r="E20" s="1" t="s">
        <v>3083</v>
      </c>
      <c r="F20" s="1" t="s">
        <v>3084</v>
      </c>
      <c r="G20" s="1" t="s">
        <v>3051</v>
      </c>
      <c r="I20" s="1" t="s">
        <v>1527</v>
      </c>
      <c r="N20" s="1" t="s">
        <v>3456</v>
      </c>
      <c r="O20" s="1">
        <v>1</v>
      </c>
      <c r="P20" s="1">
        <v>1</v>
      </c>
      <c r="Q20" s="1" t="s">
        <v>174</v>
      </c>
      <c r="R20" s="1" t="s">
        <v>9</v>
      </c>
      <c r="T20" s="1">
        <f t="shared" si="0"/>
        <v>6</v>
      </c>
      <c r="U20" s="1" t="s">
        <v>3060</v>
      </c>
    </row>
    <row r="21" spans="1:21" hidden="1">
      <c r="A21" s="1">
        <v>2004</v>
      </c>
      <c r="B21" s="1" t="s">
        <v>2669</v>
      </c>
      <c r="C21" s="1" t="s">
        <v>1370</v>
      </c>
      <c r="D21" s="1">
        <v>1</v>
      </c>
      <c r="E21" s="1" t="s">
        <v>3083</v>
      </c>
      <c r="F21" s="1" t="s">
        <v>3084</v>
      </c>
      <c r="G21" s="1" t="s">
        <v>3051</v>
      </c>
      <c r="I21" s="1" t="s">
        <v>1269</v>
      </c>
      <c r="J21" s="1" t="s">
        <v>1483</v>
      </c>
      <c r="N21" s="1" t="s">
        <v>3456</v>
      </c>
      <c r="O21" s="1">
        <v>1</v>
      </c>
      <c r="P21" s="1">
        <v>2</v>
      </c>
      <c r="Q21" s="1" t="s">
        <v>17</v>
      </c>
      <c r="R21" s="1" t="s">
        <v>9</v>
      </c>
    </row>
    <row r="22" spans="1:21" hidden="1">
      <c r="A22" s="1">
        <v>3001</v>
      </c>
      <c r="B22" s="1" t="s">
        <v>2713</v>
      </c>
      <c r="C22" s="1" t="s">
        <v>1370</v>
      </c>
      <c r="D22" s="1">
        <v>1</v>
      </c>
      <c r="E22" s="1" t="s">
        <v>3083</v>
      </c>
      <c r="F22" s="1" t="s">
        <v>3084</v>
      </c>
      <c r="G22" s="1" t="s">
        <v>3075</v>
      </c>
      <c r="I22" s="1" t="s">
        <v>1543</v>
      </c>
      <c r="N22" s="1" t="s">
        <v>3456</v>
      </c>
      <c r="O22" s="1">
        <v>1</v>
      </c>
      <c r="P22" s="1">
        <v>1</v>
      </c>
      <c r="Q22" s="1" t="s">
        <v>28</v>
      </c>
      <c r="R22" s="1" t="s">
        <v>41</v>
      </c>
    </row>
    <row r="23" spans="1:21" hidden="1">
      <c r="A23" s="2">
        <v>7</v>
      </c>
      <c r="B23" s="1" t="s">
        <v>2505</v>
      </c>
      <c r="C23" s="1" t="s">
        <v>1372</v>
      </c>
      <c r="D23" s="1">
        <v>2</v>
      </c>
      <c r="E23" s="1" t="s">
        <v>3083</v>
      </c>
      <c r="F23" s="1" t="s">
        <v>3084</v>
      </c>
      <c r="G23" s="1" t="s">
        <v>3054</v>
      </c>
      <c r="I23" s="1" t="s">
        <v>1301</v>
      </c>
      <c r="J23" s="1" t="s">
        <v>80</v>
      </c>
      <c r="N23" s="2"/>
      <c r="O23" s="1">
        <v>1</v>
      </c>
      <c r="P23" s="1">
        <v>1</v>
      </c>
      <c r="Q23" s="1" t="s">
        <v>34</v>
      </c>
      <c r="R23" s="1" t="s">
        <v>4</v>
      </c>
      <c r="T23" s="1">
        <f t="shared" ref="T23" si="1">COUNTIF(F:H,U23)</f>
        <v>2</v>
      </c>
      <c r="U23" s="1" t="s">
        <v>3067</v>
      </c>
    </row>
    <row r="24" spans="1:21" hidden="1">
      <c r="A24" s="2">
        <v>8</v>
      </c>
      <c r="B24" s="3" t="s">
        <v>2506</v>
      </c>
      <c r="C24" s="3" t="s">
        <v>1372</v>
      </c>
      <c r="D24" s="3">
        <v>2</v>
      </c>
      <c r="E24" s="3" t="s">
        <v>3083</v>
      </c>
      <c r="F24" s="3" t="s">
        <v>3084</v>
      </c>
      <c r="G24" s="3" t="s">
        <v>3057</v>
      </c>
      <c r="H24" s="3"/>
      <c r="I24" s="3" t="s">
        <v>1094</v>
      </c>
      <c r="J24" s="3" t="s">
        <v>1302</v>
      </c>
      <c r="K24" s="3"/>
      <c r="L24" s="3"/>
      <c r="M24" s="3"/>
      <c r="N24" s="14" t="s">
        <v>3456</v>
      </c>
      <c r="O24" s="3">
        <v>2</v>
      </c>
      <c r="P24" s="3">
        <v>2</v>
      </c>
      <c r="Q24" s="3" t="s">
        <v>38</v>
      </c>
      <c r="R24" s="3" t="s">
        <v>4</v>
      </c>
      <c r="S24" s="4"/>
    </row>
    <row r="25" spans="1:21" hidden="1">
      <c r="A25" s="2">
        <v>9</v>
      </c>
      <c r="B25" s="1" t="s">
        <v>2507</v>
      </c>
      <c r="C25" s="1" t="s">
        <v>1372</v>
      </c>
      <c r="D25" s="1">
        <v>2</v>
      </c>
      <c r="E25" s="1" t="s">
        <v>3083</v>
      </c>
      <c r="F25" s="1" t="s">
        <v>3084</v>
      </c>
      <c r="G25" s="1" t="s">
        <v>3055</v>
      </c>
      <c r="I25" s="1" t="s">
        <v>1139</v>
      </c>
      <c r="N25" s="2"/>
      <c r="O25" s="1">
        <v>2</v>
      </c>
      <c r="P25" s="1">
        <v>1</v>
      </c>
      <c r="Q25" s="1" t="s">
        <v>6</v>
      </c>
      <c r="R25" s="1" t="s">
        <v>4</v>
      </c>
    </row>
    <row r="26" spans="1:21" hidden="1">
      <c r="A26" s="7">
        <v>10</v>
      </c>
      <c r="B26" s="6" t="s">
        <v>2508</v>
      </c>
      <c r="C26" s="6" t="s">
        <v>1372</v>
      </c>
      <c r="D26" s="6">
        <v>2</v>
      </c>
      <c r="E26" s="6" t="s">
        <v>3083</v>
      </c>
      <c r="F26" s="6" t="s">
        <v>3084</v>
      </c>
      <c r="G26" s="6" t="s">
        <v>3058</v>
      </c>
      <c r="H26" s="6"/>
      <c r="I26" s="6" t="s">
        <v>1369</v>
      </c>
      <c r="J26" s="6"/>
      <c r="K26" s="6"/>
      <c r="L26" s="6"/>
      <c r="M26" s="6"/>
      <c r="N26" s="7" t="s">
        <v>3456</v>
      </c>
      <c r="O26" s="6">
        <v>2</v>
      </c>
      <c r="P26" s="6">
        <v>1</v>
      </c>
      <c r="Q26" s="6" t="s">
        <v>38</v>
      </c>
      <c r="R26" s="6" t="s">
        <v>4</v>
      </c>
    </row>
    <row r="27" spans="1:21" hidden="1">
      <c r="A27" s="2">
        <v>11</v>
      </c>
      <c r="B27" s="1" t="s">
        <v>2509</v>
      </c>
      <c r="C27" s="1" t="s">
        <v>1372</v>
      </c>
      <c r="D27" s="1">
        <v>2</v>
      </c>
      <c r="E27" s="1" t="s">
        <v>3083</v>
      </c>
      <c r="F27" s="1" t="s">
        <v>3084</v>
      </c>
      <c r="G27" s="1" t="s">
        <v>3051</v>
      </c>
      <c r="I27" s="1" t="s">
        <v>1303</v>
      </c>
      <c r="N27" s="2" t="s">
        <v>3150</v>
      </c>
      <c r="O27" s="1">
        <v>1</v>
      </c>
      <c r="P27" s="1">
        <v>1</v>
      </c>
      <c r="Q27" s="1" t="s">
        <v>173</v>
      </c>
      <c r="R27" s="1" t="s">
        <v>4</v>
      </c>
    </row>
    <row r="28" spans="1:21" hidden="1">
      <c r="A28" s="2">
        <v>12</v>
      </c>
      <c r="B28" s="1" t="s">
        <v>2510</v>
      </c>
      <c r="C28" s="1" t="s">
        <v>1372</v>
      </c>
      <c r="D28" s="1">
        <v>2</v>
      </c>
      <c r="E28" s="1" t="s">
        <v>3083</v>
      </c>
      <c r="F28" s="1" t="s">
        <v>3084</v>
      </c>
      <c r="G28" s="1" t="s">
        <v>3070</v>
      </c>
      <c r="I28" s="1" t="s">
        <v>1373</v>
      </c>
      <c r="N28" s="2" t="s">
        <v>3456</v>
      </c>
      <c r="O28" s="1">
        <v>2</v>
      </c>
      <c r="P28" s="1">
        <v>2</v>
      </c>
      <c r="Q28" s="1" t="s">
        <v>30</v>
      </c>
      <c r="R28" s="1" t="s">
        <v>4</v>
      </c>
    </row>
    <row r="29" spans="1:21" hidden="1">
      <c r="A29" s="2">
        <v>13</v>
      </c>
      <c r="B29" s="3" t="s">
        <v>2511</v>
      </c>
      <c r="C29" s="3" t="s">
        <v>1372</v>
      </c>
      <c r="D29" s="3">
        <v>2</v>
      </c>
      <c r="E29" s="3" t="s">
        <v>3083</v>
      </c>
      <c r="F29" s="3" t="s">
        <v>3084</v>
      </c>
      <c r="G29" s="3" t="s">
        <v>3055</v>
      </c>
      <c r="H29" s="3"/>
      <c r="I29" s="3" t="s">
        <v>3457</v>
      </c>
      <c r="J29" s="3" t="s">
        <v>1304</v>
      </c>
      <c r="K29" s="3"/>
      <c r="L29" s="3"/>
      <c r="M29" s="3"/>
      <c r="N29" s="14" t="s">
        <v>3150</v>
      </c>
      <c r="O29" s="3">
        <v>3</v>
      </c>
      <c r="P29" s="3">
        <v>3</v>
      </c>
      <c r="Q29" s="3" t="s">
        <v>33</v>
      </c>
      <c r="R29" s="3" t="s">
        <v>4</v>
      </c>
      <c r="S29" s="4"/>
    </row>
    <row r="30" spans="1:21" hidden="1">
      <c r="A30" s="7">
        <v>14</v>
      </c>
      <c r="B30" s="6" t="s">
        <v>2512</v>
      </c>
      <c r="C30" s="6" t="s">
        <v>1372</v>
      </c>
      <c r="D30" s="6">
        <v>2</v>
      </c>
      <c r="E30" s="6" t="s">
        <v>3083</v>
      </c>
      <c r="F30" s="6" t="s">
        <v>3084</v>
      </c>
      <c r="G30" s="6" t="s">
        <v>3079</v>
      </c>
      <c r="H30" s="6"/>
      <c r="I30" s="6" t="s">
        <v>3983</v>
      </c>
      <c r="J30" s="6"/>
      <c r="K30" s="6"/>
      <c r="L30" s="6"/>
      <c r="M30" s="6" t="s">
        <v>153</v>
      </c>
      <c r="N30" s="7" t="s">
        <v>3456</v>
      </c>
      <c r="O30" s="6">
        <v>2</v>
      </c>
      <c r="P30" s="6">
        <v>1</v>
      </c>
      <c r="Q30" s="6"/>
      <c r="R30" s="6"/>
      <c r="S30" s="4"/>
    </row>
    <row r="31" spans="1:21" hidden="1">
      <c r="A31" s="7">
        <v>15</v>
      </c>
      <c r="B31" s="6" t="s">
        <v>2513</v>
      </c>
      <c r="C31" s="6" t="s">
        <v>3096</v>
      </c>
      <c r="D31" s="6">
        <v>2</v>
      </c>
      <c r="E31" s="6" t="s">
        <v>3083</v>
      </c>
      <c r="F31" s="6" t="s">
        <v>3079</v>
      </c>
      <c r="G31" s="6"/>
      <c r="H31" s="6"/>
      <c r="I31" s="6" t="s">
        <v>1305</v>
      </c>
      <c r="J31" s="6" t="s">
        <v>3984</v>
      </c>
      <c r="K31" s="6"/>
      <c r="L31" s="6"/>
      <c r="M31" s="6" t="s">
        <v>153</v>
      </c>
      <c r="N31" s="7" t="s">
        <v>3456</v>
      </c>
      <c r="O31" s="6">
        <v>3</v>
      </c>
      <c r="P31" s="6">
        <v>2</v>
      </c>
      <c r="Q31" s="6" t="s">
        <v>44</v>
      </c>
      <c r="R31" s="6" t="s">
        <v>4</v>
      </c>
      <c r="S31" s="4"/>
    </row>
    <row r="32" spans="1:21" hidden="1">
      <c r="A32" s="2">
        <v>16</v>
      </c>
      <c r="B32" s="1" t="s">
        <v>2514</v>
      </c>
      <c r="C32" s="1" t="s">
        <v>1372</v>
      </c>
      <c r="D32" s="3">
        <v>2</v>
      </c>
      <c r="E32" s="1" t="s">
        <v>3083</v>
      </c>
      <c r="F32" s="1" t="s">
        <v>3084</v>
      </c>
      <c r="G32" s="1" t="s">
        <v>3063</v>
      </c>
      <c r="I32" s="1" t="s">
        <v>1306</v>
      </c>
      <c r="N32" s="2" t="s">
        <v>3150</v>
      </c>
      <c r="O32" s="1">
        <v>1</v>
      </c>
      <c r="P32" s="1">
        <v>3</v>
      </c>
      <c r="Q32" s="1" t="s">
        <v>26</v>
      </c>
      <c r="R32" s="1" t="s">
        <v>4</v>
      </c>
    </row>
    <row r="33" spans="1:18" hidden="1">
      <c r="A33" s="2">
        <v>17</v>
      </c>
      <c r="B33" s="1" t="s">
        <v>2515</v>
      </c>
      <c r="C33" s="1" t="s">
        <v>1372</v>
      </c>
      <c r="D33" s="3">
        <v>2</v>
      </c>
      <c r="E33" s="1" t="s">
        <v>3083</v>
      </c>
      <c r="F33" s="1" t="s">
        <v>3084</v>
      </c>
      <c r="G33" s="1" t="s">
        <v>3056</v>
      </c>
      <c r="I33" s="1" t="s">
        <v>323</v>
      </c>
      <c r="J33" s="1" t="s">
        <v>1307</v>
      </c>
      <c r="N33" s="2" t="s">
        <v>3456</v>
      </c>
      <c r="O33" s="1">
        <v>1</v>
      </c>
      <c r="P33" s="1">
        <v>1</v>
      </c>
      <c r="Q33" s="1" t="s">
        <v>175</v>
      </c>
      <c r="R33" s="1" t="s">
        <v>4</v>
      </c>
    </row>
    <row r="34" spans="1:18" hidden="1">
      <c r="A34" s="2">
        <v>18</v>
      </c>
      <c r="B34" s="1" t="s">
        <v>2516</v>
      </c>
      <c r="C34" s="1" t="s">
        <v>1372</v>
      </c>
      <c r="D34" s="3">
        <v>2</v>
      </c>
      <c r="E34" s="1" t="s">
        <v>3083</v>
      </c>
      <c r="F34" s="1" t="s">
        <v>3084</v>
      </c>
      <c r="G34" s="1" t="s">
        <v>3077</v>
      </c>
      <c r="I34" s="1" t="s">
        <v>1308</v>
      </c>
      <c r="N34" s="2" t="s">
        <v>3456</v>
      </c>
      <c r="O34" s="1">
        <v>2</v>
      </c>
      <c r="P34" s="1">
        <v>2</v>
      </c>
      <c r="Q34" s="1" t="s">
        <v>8</v>
      </c>
      <c r="R34" s="1" t="s">
        <v>4</v>
      </c>
    </row>
    <row r="35" spans="1:18" hidden="1">
      <c r="A35" s="7">
        <v>19</v>
      </c>
      <c r="B35" s="6" t="s">
        <v>2517</v>
      </c>
      <c r="C35" s="6" t="s">
        <v>1372</v>
      </c>
      <c r="D35" s="6">
        <v>2</v>
      </c>
      <c r="E35" s="6" t="s">
        <v>3083</v>
      </c>
      <c r="F35" s="6" t="s">
        <v>3084</v>
      </c>
      <c r="G35" s="6" t="s">
        <v>3055</v>
      </c>
      <c r="H35" s="6" t="s">
        <v>3060</v>
      </c>
      <c r="I35" s="6" t="s">
        <v>1309</v>
      </c>
      <c r="J35" s="6"/>
      <c r="K35" s="6"/>
      <c r="L35" s="6"/>
      <c r="M35" s="6"/>
      <c r="N35" s="7" t="s">
        <v>3456</v>
      </c>
      <c r="O35" s="6">
        <v>2</v>
      </c>
      <c r="P35" s="6">
        <v>2</v>
      </c>
      <c r="Q35" s="6" t="s">
        <v>28</v>
      </c>
      <c r="R35" s="6" t="s">
        <v>4</v>
      </c>
    </row>
    <row r="36" spans="1:18" hidden="1">
      <c r="A36" s="2">
        <v>20</v>
      </c>
      <c r="B36" s="1" t="s">
        <v>2518</v>
      </c>
      <c r="C36" s="1" t="s">
        <v>1372</v>
      </c>
      <c r="D36" s="3">
        <v>2</v>
      </c>
      <c r="E36" s="1" t="s">
        <v>3083</v>
      </c>
      <c r="F36" s="1" t="s">
        <v>3084</v>
      </c>
      <c r="G36" s="1" t="s">
        <v>3061</v>
      </c>
      <c r="I36" s="1" t="s">
        <v>1310</v>
      </c>
      <c r="N36" s="2" t="s">
        <v>3456</v>
      </c>
      <c r="O36" s="1">
        <v>2</v>
      </c>
      <c r="P36" s="1">
        <v>1</v>
      </c>
      <c r="Q36" s="1" t="s">
        <v>29</v>
      </c>
      <c r="R36" s="1" t="s">
        <v>4</v>
      </c>
    </row>
    <row r="37" spans="1:18" hidden="1">
      <c r="A37" s="7">
        <v>21</v>
      </c>
      <c r="B37" s="6" t="s">
        <v>2519</v>
      </c>
      <c r="C37" s="6" t="s">
        <v>1372</v>
      </c>
      <c r="D37" s="6">
        <v>2</v>
      </c>
      <c r="E37" s="6" t="s">
        <v>3083</v>
      </c>
      <c r="F37" s="6" t="s">
        <v>3084</v>
      </c>
      <c r="G37" s="6" t="s">
        <v>3079</v>
      </c>
      <c r="H37" s="6"/>
      <c r="I37" s="6" t="s">
        <v>0</v>
      </c>
      <c r="J37" s="6" t="s">
        <v>3944</v>
      </c>
      <c r="K37" s="6"/>
      <c r="L37" s="6"/>
      <c r="M37" s="6" t="s">
        <v>153</v>
      </c>
      <c r="N37" s="7" t="s">
        <v>3456</v>
      </c>
      <c r="O37" s="6">
        <v>1</v>
      </c>
      <c r="P37" s="6">
        <v>1</v>
      </c>
      <c r="Q37" s="6"/>
      <c r="R37" s="6"/>
    </row>
    <row r="38" spans="1:18" hidden="1">
      <c r="A38" s="7">
        <v>22</v>
      </c>
      <c r="B38" s="6" t="s">
        <v>2520</v>
      </c>
      <c r="C38" s="6" t="s">
        <v>3096</v>
      </c>
      <c r="D38" s="6">
        <v>2</v>
      </c>
      <c r="E38" s="6" t="s">
        <v>3083</v>
      </c>
      <c r="F38" s="6" t="s">
        <v>3079</v>
      </c>
      <c r="G38" s="6"/>
      <c r="H38" s="6"/>
      <c r="I38" s="6" t="s">
        <v>0</v>
      </c>
      <c r="J38" s="6" t="s">
        <v>3930</v>
      </c>
      <c r="K38" s="6"/>
      <c r="L38" s="6"/>
      <c r="M38" s="6" t="s">
        <v>153</v>
      </c>
      <c r="N38" s="7" t="s">
        <v>3456</v>
      </c>
      <c r="O38" s="6">
        <v>3</v>
      </c>
      <c r="P38" s="6">
        <v>1</v>
      </c>
      <c r="Q38" s="6" t="s">
        <v>45</v>
      </c>
      <c r="R38" s="6" t="s">
        <v>4</v>
      </c>
    </row>
    <row r="39" spans="1:18" hidden="1">
      <c r="A39" s="2">
        <v>23</v>
      </c>
      <c r="B39" s="1" t="s">
        <v>2521</v>
      </c>
      <c r="C39" s="1" t="s">
        <v>1372</v>
      </c>
      <c r="D39" s="1">
        <v>2</v>
      </c>
      <c r="E39" s="1" t="s">
        <v>3083</v>
      </c>
      <c r="F39" s="1" t="s">
        <v>3084</v>
      </c>
      <c r="G39" s="1" t="s">
        <v>3055</v>
      </c>
      <c r="I39" s="1" t="s">
        <v>1311</v>
      </c>
      <c r="N39" s="2" t="s">
        <v>3456</v>
      </c>
      <c r="O39" s="1">
        <v>1</v>
      </c>
      <c r="P39" s="1">
        <v>2</v>
      </c>
      <c r="Q39" s="1" t="s">
        <v>172</v>
      </c>
      <c r="R39" s="1" t="s">
        <v>4</v>
      </c>
    </row>
    <row r="40" spans="1:18" hidden="1">
      <c r="A40" s="2">
        <v>24</v>
      </c>
      <c r="B40" s="1" t="s">
        <v>2522</v>
      </c>
      <c r="C40" s="1" t="s">
        <v>1372</v>
      </c>
      <c r="D40" s="1">
        <v>2</v>
      </c>
      <c r="E40" s="1" t="s">
        <v>3083</v>
      </c>
      <c r="F40" s="1" t="s">
        <v>3084</v>
      </c>
      <c r="G40" s="1" t="s">
        <v>3075</v>
      </c>
      <c r="I40" s="1" t="s">
        <v>51</v>
      </c>
      <c r="J40" s="1" t="s">
        <v>1312</v>
      </c>
      <c r="K40" s="1" t="s">
        <v>1313</v>
      </c>
      <c r="N40" s="2" t="s">
        <v>3456</v>
      </c>
      <c r="O40" s="1">
        <v>0</v>
      </c>
      <c r="P40" s="1">
        <v>3</v>
      </c>
      <c r="Q40" s="1" t="s">
        <v>39</v>
      </c>
      <c r="R40" s="1" t="s">
        <v>4</v>
      </c>
    </row>
    <row r="41" spans="1:18" hidden="1">
      <c r="A41" s="2">
        <v>25</v>
      </c>
      <c r="B41" s="1" t="s">
        <v>2523</v>
      </c>
      <c r="C41" s="1" t="s">
        <v>1372</v>
      </c>
      <c r="D41" s="1">
        <v>2</v>
      </c>
      <c r="E41" s="1" t="s">
        <v>3083</v>
      </c>
      <c r="F41" s="1" t="s">
        <v>3084</v>
      </c>
      <c r="G41" s="1" t="s">
        <v>3049</v>
      </c>
      <c r="I41" s="1" t="s">
        <v>1094</v>
      </c>
      <c r="J41" s="1" t="s">
        <v>1314</v>
      </c>
      <c r="N41" s="2" t="s">
        <v>3456</v>
      </c>
      <c r="O41" s="1">
        <v>1</v>
      </c>
      <c r="P41" s="1">
        <v>1</v>
      </c>
      <c r="Q41" s="1" t="s">
        <v>15</v>
      </c>
      <c r="R41" s="1" t="s">
        <v>4</v>
      </c>
    </row>
    <row r="42" spans="1:18" hidden="1">
      <c r="A42" s="2">
        <v>26</v>
      </c>
      <c r="B42" s="1" t="s">
        <v>2524</v>
      </c>
      <c r="C42" s="1" t="s">
        <v>1372</v>
      </c>
      <c r="D42" s="1">
        <v>2</v>
      </c>
      <c r="E42" s="1" t="s">
        <v>3083</v>
      </c>
      <c r="F42" s="1" t="s">
        <v>3084</v>
      </c>
      <c r="G42" s="1" t="s">
        <v>3055</v>
      </c>
      <c r="I42" s="1" t="s">
        <v>1315</v>
      </c>
      <c r="N42" s="2" t="s">
        <v>3456</v>
      </c>
      <c r="O42" s="1">
        <v>2</v>
      </c>
      <c r="P42" s="1">
        <v>1</v>
      </c>
      <c r="Q42" s="1" t="s">
        <v>32</v>
      </c>
      <c r="R42" s="1" t="s">
        <v>4</v>
      </c>
    </row>
    <row r="43" spans="1:18" hidden="1">
      <c r="A43" s="14">
        <v>27</v>
      </c>
      <c r="B43" s="3" t="s">
        <v>2525</v>
      </c>
      <c r="C43" s="3" t="s">
        <v>1372</v>
      </c>
      <c r="D43" s="3">
        <v>2</v>
      </c>
      <c r="E43" s="3" t="s">
        <v>3083</v>
      </c>
      <c r="F43" s="3" t="s">
        <v>3084</v>
      </c>
      <c r="G43" s="3" t="s">
        <v>3063</v>
      </c>
      <c r="H43" s="3"/>
      <c r="I43" s="3" t="s">
        <v>0</v>
      </c>
      <c r="J43" s="3" t="s">
        <v>1316</v>
      </c>
      <c r="K43" s="3" t="s">
        <v>1317</v>
      </c>
      <c r="L43" s="3"/>
      <c r="M43" s="3"/>
      <c r="N43" s="14" t="s">
        <v>3150</v>
      </c>
      <c r="O43" s="3">
        <v>2</v>
      </c>
      <c r="P43" s="3">
        <v>1</v>
      </c>
      <c r="Q43" s="3" t="s">
        <v>35</v>
      </c>
      <c r="R43" s="1" t="s">
        <v>4</v>
      </c>
    </row>
    <row r="44" spans="1:18" hidden="1">
      <c r="A44" s="7">
        <v>28</v>
      </c>
      <c r="B44" s="6" t="s">
        <v>2526</v>
      </c>
      <c r="C44" s="6" t="s">
        <v>1372</v>
      </c>
      <c r="D44" s="6">
        <v>2</v>
      </c>
      <c r="E44" s="6" t="s">
        <v>3083</v>
      </c>
      <c r="F44" s="6" t="s">
        <v>3084</v>
      </c>
      <c r="G44" s="6" t="s">
        <v>3057</v>
      </c>
      <c r="H44" s="6" t="s">
        <v>3060</v>
      </c>
      <c r="I44" s="6" t="s">
        <v>1094</v>
      </c>
      <c r="J44" s="6" t="s">
        <v>1318</v>
      </c>
      <c r="K44" s="6"/>
      <c r="L44" s="6"/>
      <c r="M44" s="6"/>
      <c r="N44" s="7" t="s">
        <v>3150</v>
      </c>
      <c r="O44" s="6">
        <v>1</v>
      </c>
      <c r="P44" s="6">
        <v>1</v>
      </c>
      <c r="Q44" s="6" t="s">
        <v>604</v>
      </c>
      <c r="R44" s="6" t="s">
        <v>4</v>
      </c>
    </row>
    <row r="45" spans="1:18" hidden="1">
      <c r="A45" s="2">
        <v>29</v>
      </c>
      <c r="B45" s="1" t="s">
        <v>2527</v>
      </c>
      <c r="C45" s="1" t="s">
        <v>1372</v>
      </c>
      <c r="D45" s="1">
        <v>2</v>
      </c>
      <c r="E45" s="1" t="s">
        <v>3083</v>
      </c>
      <c r="F45" s="1" t="s">
        <v>3084</v>
      </c>
      <c r="G45" s="1" t="s">
        <v>3050</v>
      </c>
      <c r="I45" s="1" t="s">
        <v>1319</v>
      </c>
      <c r="N45" s="2" t="s">
        <v>3456</v>
      </c>
      <c r="O45" s="1">
        <v>1</v>
      </c>
      <c r="P45" s="1">
        <v>2</v>
      </c>
      <c r="Q45" s="1" t="s">
        <v>5</v>
      </c>
      <c r="R45" s="1" t="s">
        <v>4</v>
      </c>
    </row>
    <row r="46" spans="1:18" hidden="1">
      <c r="A46" s="2">
        <v>30</v>
      </c>
      <c r="B46" s="1" t="s">
        <v>2528</v>
      </c>
      <c r="C46" s="1" t="s">
        <v>1372</v>
      </c>
      <c r="D46" s="1">
        <v>2</v>
      </c>
      <c r="E46" s="1" t="s">
        <v>3083</v>
      </c>
      <c r="F46" s="1" t="s">
        <v>3084</v>
      </c>
      <c r="G46" s="1" t="s">
        <v>3055</v>
      </c>
      <c r="I46" s="1" t="s">
        <v>24</v>
      </c>
      <c r="J46" s="1" t="s">
        <v>1320</v>
      </c>
      <c r="N46" s="2" t="s">
        <v>3456</v>
      </c>
      <c r="O46" s="1">
        <v>2</v>
      </c>
      <c r="P46" s="1">
        <v>2</v>
      </c>
      <c r="Q46" s="1" t="s">
        <v>48</v>
      </c>
      <c r="R46" s="1" t="s">
        <v>4</v>
      </c>
    </row>
    <row r="47" spans="1:18" hidden="1">
      <c r="A47" s="2">
        <v>31</v>
      </c>
      <c r="B47" s="1" t="s">
        <v>2529</v>
      </c>
      <c r="C47" s="1" t="s">
        <v>1372</v>
      </c>
      <c r="D47" s="1">
        <v>2</v>
      </c>
      <c r="E47" s="1" t="s">
        <v>3083</v>
      </c>
      <c r="F47" s="1" t="s">
        <v>3084</v>
      </c>
      <c r="G47" s="1" t="s">
        <v>3051</v>
      </c>
      <c r="I47" s="1" t="s">
        <v>824</v>
      </c>
      <c r="N47" s="2" t="s">
        <v>3456</v>
      </c>
      <c r="O47" s="1">
        <v>2</v>
      </c>
      <c r="P47" s="1">
        <v>1</v>
      </c>
      <c r="Q47" s="1" t="s">
        <v>17</v>
      </c>
      <c r="R47" s="1" t="s">
        <v>4</v>
      </c>
    </row>
    <row r="48" spans="1:18" hidden="1">
      <c r="A48" s="2">
        <v>32</v>
      </c>
      <c r="B48" s="1" t="s">
        <v>2530</v>
      </c>
      <c r="C48" s="1" t="s">
        <v>1372</v>
      </c>
      <c r="D48" s="1">
        <v>2</v>
      </c>
      <c r="E48" s="1" t="s">
        <v>3083</v>
      </c>
      <c r="F48" s="1" t="s">
        <v>3084</v>
      </c>
      <c r="G48" s="1" t="s">
        <v>3050</v>
      </c>
      <c r="I48" s="1" t="s">
        <v>1321</v>
      </c>
      <c r="J48" s="1" t="s">
        <v>1322</v>
      </c>
      <c r="N48" s="2" t="s">
        <v>3456</v>
      </c>
      <c r="O48" s="1">
        <v>1</v>
      </c>
      <c r="P48" s="1">
        <v>1</v>
      </c>
      <c r="Q48" s="1" t="s">
        <v>40</v>
      </c>
      <c r="R48" s="1" t="s">
        <v>4</v>
      </c>
    </row>
    <row r="49" spans="1:18" hidden="1">
      <c r="A49" s="7">
        <v>33</v>
      </c>
      <c r="B49" s="6" t="s">
        <v>2531</v>
      </c>
      <c r="C49" s="6" t="s">
        <v>1372</v>
      </c>
      <c r="D49" s="6">
        <v>2</v>
      </c>
      <c r="E49" s="6" t="s">
        <v>3083</v>
      </c>
      <c r="F49" s="6" t="s">
        <v>3084</v>
      </c>
      <c r="G49" s="6" t="s">
        <v>3054</v>
      </c>
      <c r="H49" s="6"/>
      <c r="I49" s="6" t="s">
        <v>1323</v>
      </c>
      <c r="J49" s="6"/>
      <c r="K49" s="6"/>
      <c r="L49" s="6"/>
      <c r="M49" s="6"/>
      <c r="N49" s="7" t="s">
        <v>3456</v>
      </c>
      <c r="O49" s="6">
        <v>2</v>
      </c>
      <c r="P49" s="6">
        <v>2</v>
      </c>
      <c r="Q49" s="6" t="s">
        <v>30</v>
      </c>
      <c r="R49" s="1" t="s">
        <v>4</v>
      </c>
    </row>
    <row r="50" spans="1:18" hidden="1">
      <c r="A50" s="14">
        <v>34</v>
      </c>
      <c r="B50" s="3" t="s">
        <v>2532</v>
      </c>
      <c r="C50" s="3" t="s">
        <v>1372</v>
      </c>
      <c r="D50" s="3">
        <v>2</v>
      </c>
      <c r="E50" s="3" t="s">
        <v>3083</v>
      </c>
      <c r="F50" s="3" t="s">
        <v>3084</v>
      </c>
      <c r="G50" s="3" t="s">
        <v>3055</v>
      </c>
      <c r="H50" s="3"/>
      <c r="I50" s="3" t="s">
        <v>1324</v>
      </c>
      <c r="J50" s="3"/>
      <c r="K50" s="3"/>
      <c r="L50" s="3"/>
      <c r="M50" s="3"/>
      <c r="N50" s="14" t="s">
        <v>3150</v>
      </c>
      <c r="O50" s="3">
        <v>2</v>
      </c>
      <c r="P50" s="3">
        <v>1</v>
      </c>
      <c r="Q50" s="3" t="s">
        <v>52</v>
      </c>
      <c r="R50" s="3" t="s">
        <v>4</v>
      </c>
    </row>
    <row r="51" spans="1:18" hidden="1">
      <c r="A51" s="7">
        <v>35</v>
      </c>
      <c r="B51" s="6" t="s">
        <v>2533</v>
      </c>
      <c r="C51" s="6" t="s">
        <v>1372</v>
      </c>
      <c r="D51" s="6">
        <v>2</v>
      </c>
      <c r="E51" s="6" t="s">
        <v>3083</v>
      </c>
      <c r="F51" s="6" t="s">
        <v>3084</v>
      </c>
      <c r="G51" s="6" t="s">
        <v>3057</v>
      </c>
      <c r="H51" s="6" t="s">
        <v>3060</v>
      </c>
      <c r="I51" s="6" t="s">
        <v>1325</v>
      </c>
      <c r="J51" s="6"/>
      <c r="K51" s="6"/>
      <c r="L51" s="6"/>
      <c r="M51" s="6"/>
      <c r="N51" s="7" t="s">
        <v>3150</v>
      </c>
      <c r="O51" s="6">
        <v>2</v>
      </c>
      <c r="P51" s="6">
        <v>1</v>
      </c>
      <c r="Q51" s="6" t="s">
        <v>607</v>
      </c>
      <c r="R51" s="6" t="s">
        <v>4</v>
      </c>
    </row>
    <row r="52" spans="1:18" hidden="1">
      <c r="A52" s="2">
        <v>36</v>
      </c>
      <c r="B52" s="1" t="s">
        <v>2534</v>
      </c>
      <c r="C52" s="1" t="s">
        <v>1372</v>
      </c>
      <c r="D52" s="1">
        <v>2</v>
      </c>
      <c r="E52" s="1" t="s">
        <v>3083</v>
      </c>
      <c r="F52" s="1" t="s">
        <v>3084</v>
      </c>
      <c r="G52" s="1" t="s">
        <v>3055</v>
      </c>
      <c r="I52" s="1" t="s">
        <v>20</v>
      </c>
      <c r="J52" s="1" t="s">
        <v>1326</v>
      </c>
      <c r="N52" s="2" t="s">
        <v>3456</v>
      </c>
      <c r="O52" s="1">
        <v>2</v>
      </c>
      <c r="P52" s="1">
        <v>1</v>
      </c>
      <c r="Q52" s="1" t="s">
        <v>17</v>
      </c>
      <c r="R52" s="1" t="s">
        <v>4</v>
      </c>
    </row>
    <row r="53" spans="1:18" hidden="1">
      <c r="A53" s="6">
        <v>1011</v>
      </c>
      <c r="B53" s="6" t="s">
        <v>2595</v>
      </c>
      <c r="C53" s="6" t="s">
        <v>1372</v>
      </c>
      <c r="D53" s="6">
        <v>2</v>
      </c>
      <c r="E53" s="6" t="s">
        <v>3083</v>
      </c>
      <c r="F53" s="6" t="s">
        <v>3084</v>
      </c>
      <c r="G53" s="6" t="s">
        <v>3071</v>
      </c>
      <c r="H53" s="6"/>
      <c r="I53" s="6" t="s">
        <v>1390</v>
      </c>
      <c r="J53" s="6"/>
      <c r="K53" s="6"/>
      <c r="L53" s="6"/>
      <c r="M53" s="6"/>
      <c r="N53" s="6" t="s">
        <v>3456</v>
      </c>
      <c r="O53" s="6">
        <v>2</v>
      </c>
      <c r="P53" s="6">
        <v>1</v>
      </c>
      <c r="Q53" s="6" t="s">
        <v>53</v>
      </c>
      <c r="R53" s="1" t="s">
        <v>7</v>
      </c>
    </row>
    <row r="54" spans="1:18" hidden="1">
      <c r="A54" s="1">
        <v>1012</v>
      </c>
      <c r="B54" s="1" t="s">
        <v>2596</v>
      </c>
      <c r="C54" s="1" t="s">
        <v>1372</v>
      </c>
      <c r="D54" s="1">
        <v>2</v>
      </c>
      <c r="E54" s="1" t="s">
        <v>3083</v>
      </c>
      <c r="F54" s="1" t="s">
        <v>3084</v>
      </c>
      <c r="G54" s="1" t="s">
        <v>3063</v>
      </c>
      <c r="I54" s="1" t="s">
        <v>1391</v>
      </c>
      <c r="N54" s="1" t="s">
        <v>3456</v>
      </c>
      <c r="O54" s="1">
        <v>2</v>
      </c>
      <c r="P54" s="1">
        <v>1</v>
      </c>
      <c r="Q54" s="1" t="s">
        <v>50</v>
      </c>
      <c r="R54" s="1" t="s">
        <v>7</v>
      </c>
    </row>
    <row r="55" spans="1:18" hidden="1">
      <c r="A55" s="1">
        <v>1013</v>
      </c>
      <c r="B55" s="1" t="s">
        <v>2597</v>
      </c>
      <c r="C55" s="1" t="s">
        <v>1372</v>
      </c>
      <c r="D55" s="1">
        <v>2</v>
      </c>
      <c r="E55" s="1" t="s">
        <v>3083</v>
      </c>
      <c r="F55" s="1" t="s">
        <v>3084</v>
      </c>
      <c r="G55" s="1" t="s">
        <v>3050</v>
      </c>
      <c r="I55" s="1" t="s">
        <v>1392</v>
      </c>
      <c r="N55" s="1" t="s">
        <v>3456</v>
      </c>
      <c r="O55" s="1">
        <v>2</v>
      </c>
      <c r="P55" s="1">
        <v>1</v>
      </c>
      <c r="Q55" s="1" t="s">
        <v>5</v>
      </c>
      <c r="R55" s="1" t="s">
        <v>7</v>
      </c>
    </row>
    <row r="56" spans="1:18" hidden="1">
      <c r="A56" s="6">
        <v>1014</v>
      </c>
      <c r="B56" s="6" t="s">
        <v>2598</v>
      </c>
      <c r="C56" s="6" t="s">
        <v>1372</v>
      </c>
      <c r="D56" s="6">
        <v>2</v>
      </c>
      <c r="E56" s="6" t="s">
        <v>3083</v>
      </c>
      <c r="F56" s="6" t="s">
        <v>3084</v>
      </c>
      <c r="G56" s="6" t="s">
        <v>3075</v>
      </c>
      <c r="H56" s="6"/>
      <c r="I56" s="6" t="s">
        <v>56</v>
      </c>
      <c r="J56" s="6" t="s">
        <v>1393</v>
      </c>
      <c r="K56" s="6"/>
      <c r="L56" s="6"/>
      <c r="M56" s="6"/>
      <c r="N56" s="6" t="s">
        <v>3456</v>
      </c>
      <c r="O56" s="6">
        <v>1</v>
      </c>
      <c r="P56" s="6">
        <v>2</v>
      </c>
      <c r="Q56" s="6" t="s">
        <v>30</v>
      </c>
      <c r="R56" s="1" t="s">
        <v>7</v>
      </c>
    </row>
    <row r="57" spans="1:18" hidden="1">
      <c r="A57" s="3">
        <v>1015</v>
      </c>
      <c r="B57" s="3" t="s">
        <v>2599</v>
      </c>
      <c r="C57" s="3" t="s">
        <v>1372</v>
      </c>
      <c r="D57" s="3">
        <v>2</v>
      </c>
      <c r="E57" s="3" t="s">
        <v>3083</v>
      </c>
      <c r="F57" s="3" t="s">
        <v>3084</v>
      </c>
      <c r="G57" s="3" t="s">
        <v>3057</v>
      </c>
      <c r="H57" s="3"/>
      <c r="I57" s="3" t="s">
        <v>1394</v>
      </c>
      <c r="J57" s="3" t="s">
        <v>1095</v>
      </c>
      <c r="K57" s="3"/>
      <c r="L57" s="3"/>
      <c r="M57" s="3"/>
      <c r="N57" s="3"/>
      <c r="O57" s="3">
        <v>1</v>
      </c>
      <c r="P57" s="3">
        <v>1</v>
      </c>
      <c r="Q57" s="3" t="s">
        <v>174</v>
      </c>
      <c r="R57" s="1" t="s">
        <v>7</v>
      </c>
    </row>
    <row r="58" spans="1:18" hidden="1">
      <c r="A58" s="8">
        <v>1016</v>
      </c>
      <c r="B58" s="8" t="s">
        <v>2600</v>
      </c>
      <c r="C58" s="8" t="s">
        <v>1372</v>
      </c>
      <c r="D58" s="8">
        <v>2</v>
      </c>
      <c r="E58" s="8" t="s">
        <v>3083</v>
      </c>
      <c r="F58" s="8" t="s">
        <v>3084</v>
      </c>
      <c r="G58" s="8" t="s">
        <v>3075</v>
      </c>
      <c r="H58" s="8" t="s">
        <v>3079</v>
      </c>
      <c r="I58" s="8" t="s">
        <v>1395</v>
      </c>
      <c r="J58" s="8" t="s">
        <v>3945</v>
      </c>
      <c r="K58" s="8"/>
      <c r="L58" s="8"/>
      <c r="M58" s="8" t="s">
        <v>153</v>
      </c>
      <c r="N58" s="8" t="s">
        <v>3456</v>
      </c>
      <c r="O58" s="8">
        <v>2</v>
      </c>
      <c r="P58" s="8">
        <v>1</v>
      </c>
      <c r="Q58" s="8"/>
      <c r="R58" s="8"/>
    </row>
    <row r="59" spans="1:18" hidden="1">
      <c r="A59" s="8">
        <v>1017</v>
      </c>
      <c r="B59" s="8" t="s">
        <v>2601</v>
      </c>
      <c r="C59" s="8" t="s">
        <v>3096</v>
      </c>
      <c r="D59" s="8">
        <v>2</v>
      </c>
      <c r="E59" s="8" t="s">
        <v>3083</v>
      </c>
      <c r="F59" s="8" t="s">
        <v>3079</v>
      </c>
      <c r="G59" s="8"/>
      <c r="H59" s="8"/>
      <c r="I59" s="8" t="s">
        <v>1396</v>
      </c>
      <c r="J59" s="8" t="s">
        <v>3931</v>
      </c>
      <c r="K59" s="8"/>
      <c r="L59" s="8"/>
      <c r="M59" s="8" t="s">
        <v>153</v>
      </c>
      <c r="N59" s="8" t="s">
        <v>3456</v>
      </c>
      <c r="O59" s="8">
        <v>3</v>
      </c>
      <c r="P59" s="8">
        <v>2</v>
      </c>
      <c r="Q59" s="8" t="s">
        <v>46</v>
      </c>
      <c r="R59" s="8" t="s">
        <v>7</v>
      </c>
    </row>
    <row r="60" spans="1:18" hidden="1">
      <c r="A60" s="1">
        <v>1018</v>
      </c>
      <c r="B60" s="1" t="s">
        <v>2602</v>
      </c>
      <c r="C60" s="1" t="s">
        <v>1372</v>
      </c>
      <c r="D60" s="1">
        <v>2</v>
      </c>
      <c r="E60" s="1" t="s">
        <v>3083</v>
      </c>
      <c r="F60" s="1" t="s">
        <v>3084</v>
      </c>
      <c r="G60" s="1" t="s">
        <v>3057</v>
      </c>
      <c r="I60" s="1" t="s">
        <v>1397</v>
      </c>
      <c r="N60" s="1" t="s">
        <v>3456</v>
      </c>
      <c r="O60" s="1">
        <v>2</v>
      </c>
      <c r="P60" s="1">
        <v>1</v>
      </c>
      <c r="Q60" s="1" t="s">
        <v>172</v>
      </c>
      <c r="R60" s="1" t="s">
        <v>7</v>
      </c>
    </row>
    <row r="61" spans="1:18" hidden="1">
      <c r="A61" s="1">
        <v>1019</v>
      </c>
      <c r="B61" s="1" t="s">
        <v>2603</v>
      </c>
      <c r="C61" s="1" t="s">
        <v>1372</v>
      </c>
      <c r="D61" s="1">
        <v>2</v>
      </c>
      <c r="E61" s="1" t="s">
        <v>3083</v>
      </c>
      <c r="F61" s="1" t="s">
        <v>3084</v>
      </c>
      <c r="G61" s="1" t="s">
        <v>3055</v>
      </c>
      <c r="I61" s="1" t="s">
        <v>1398</v>
      </c>
      <c r="J61" s="1" t="s">
        <v>1399</v>
      </c>
      <c r="O61" s="1">
        <v>2</v>
      </c>
      <c r="P61" s="1">
        <v>1</v>
      </c>
      <c r="Q61" s="1" t="s">
        <v>38</v>
      </c>
      <c r="R61" s="1" t="s">
        <v>7</v>
      </c>
    </row>
    <row r="62" spans="1:18" hidden="1">
      <c r="A62" s="1">
        <v>1020</v>
      </c>
      <c r="B62" s="1" t="s">
        <v>2604</v>
      </c>
      <c r="C62" s="1" t="s">
        <v>1372</v>
      </c>
      <c r="D62" s="1">
        <v>2</v>
      </c>
      <c r="E62" s="1" t="s">
        <v>3083</v>
      </c>
      <c r="F62" s="1" t="s">
        <v>3084</v>
      </c>
      <c r="I62" s="1" t="s">
        <v>1400</v>
      </c>
      <c r="N62" s="1" t="s">
        <v>3456</v>
      </c>
      <c r="O62" s="1">
        <v>2</v>
      </c>
      <c r="P62" s="1">
        <v>1</v>
      </c>
      <c r="Q62" s="1" t="s">
        <v>14</v>
      </c>
      <c r="R62" s="1" t="s">
        <v>7</v>
      </c>
    </row>
    <row r="63" spans="1:18" hidden="1">
      <c r="A63" s="1">
        <v>1021</v>
      </c>
      <c r="B63" s="1" t="s">
        <v>2605</v>
      </c>
      <c r="C63" s="1" t="s">
        <v>1372</v>
      </c>
      <c r="D63" s="1">
        <v>2</v>
      </c>
      <c r="E63" s="1" t="s">
        <v>3083</v>
      </c>
      <c r="F63" s="1" t="s">
        <v>3084</v>
      </c>
      <c r="G63" s="1" t="s">
        <v>3070</v>
      </c>
      <c r="I63" s="1" t="s">
        <v>902</v>
      </c>
      <c r="J63" s="1" t="s">
        <v>1401</v>
      </c>
      <c r="N63" s="1" t="s">
        <v>3456</v>
      </c>
      <c r="O63" s="1">
        <v>2</v>
      </c>
      <c r="P63" s="1">
        <v>2</v>
      </c>
      <c r="Q63" s="1" t="s">
        <v>36</v>
      </c>
      <c r="R63" s="1" t="s">
        <v>7</v>
      </c>
    </row>
    <row r="64" spans="1:18" hidden="1">
      <c r="A64" s="1">
        <v>1022</v>
      </c>
      <c r="B64" s="4" t="s">
        <v>2606</v>
      </c>
      <c r="C64" s="4" t="s">
        <v>1372</v>
      </c>
      <c r="D64" s="4">
        <v>2</v>
      </c>
      <c r="E64" s="4" t="s">
        <v>3083</v>
      </c>
      <c r="F64" s="4" t="s">
        <v>3084</v>
      </c>
      <c r="G64" s="4" t="s">
        <v>3057</v>
      </c>
      <c r="H64" s="4"/>
      <c r="I64" s="4" t="s">
        <v>249</v>
      </c>
      <c r="J64" s="4" t="s">
        <v>1402</v>
      </c>
      <c r="K64" s="4"/>
      <c r="L64" s="4"/>
      <c r="M64" s="4"/>
      <c r="N64" s="4" t="s">
        <v>3150</v>
      </c>
      <c r="O64" s="4">
        <v>2</v>
      </c>
      <c r="P64" s="4">
        <v>1</v>
      </c>
      <c r="Q64" s="4" t="s">
        <v>52</v>
      </c>
      <c r="R64" s="4" t="s">
        <v>7</v>
      </c>
    </row>
    <row r="65" spans="1:18" hidden="1">
      <c r="A65" s="1">
        <v>1023</v>
      </c>
      <c r="B65" s="1" t="s">
        <v>2607</v>
      </c>
      <c r="C65" s="1" t="s">
        <v>1372</v>
      </c>
      <c r="D65" s="1">
        <v>2</v>
      </c>
      <c r="E65" s="1" t="s">
        <v>3083</v>
      </c>
      <c r="F65" s="1" t="s">
        <v>3084</v>
      </c>
      <c r="G65" s="1" t="s">
        <v>3075</v>
      </c>
      <c r="I65" s="1" t="s">
        <v>1468</v>
      </c>
      <c r="N65" s="1" t="s">
        <v>3150</v>
      </c>
      <c r="O65" s="1">
        <v>2</v>
      </c>
      <c r="P65" s="1">
        <v>1</v>
      </c>
      <c r="Q65" s="1" t="s">
        <v>28</v>
      </c>
      <c r="R65" s="1" t="s">
        <v>7</v>
      </c>
    </row>
    <row r="66" spans="1:18" hidden="1">
      <c r="A66" s="1">
        <v>1024</v>
      </c>
      <c r="B66" s="1" t="s">
        <v>2608</v>
      </c>
      <c r="C66" s="1" t="s">
        <v>1464</v>
      </c>
      <c r="D66" s="1">
        <v>2</v>
      </c>
      <c r="E66" s="1" t="s">
        <v>3083</v>
      </c>
      <c r="F66" s="1" t="s">
        <v>3084</v>
      </c>
      <c r="G66" s="1" t="s">
        <v>3054</v>
      </c>
      <c r="I66" s="1" t="s">
        <v>1403</v>
      </c>
      <c r="N66" s="1" t="s">
        <v>3456</v>
      </c>
      <c r="O66" s="1">
        <v>2</v>
      </c>
      <c r="P66" s="1">
        <v>2</v>
      </c>
      <c r="Q66" s="1" t="s">
        <v>33</v>
      </c>
      <c r="R66" s="1" t="s">
        <v>7</v>
      </c>
    </row>
    <row r="67" spans="1:18" hidden="1">
      <c r="A67" s="1">
        <v>1025</v>
      </c>
      <c r="B67" s="1" t="s">
        <v>2609</v>
      </c>
      <c r="C67" s="1" t="s">
        <v>1372</v>
      </c>
      <c r="D67" s="1">
        <v>2</v>
      </c>
      <c r="E67" s="1" t="s">
        <v>3083</v>
      </c>
      <c r="F67" s="1" t="s">
        <v>3084</v>
      </c>
      <c r="G67" s="1" t="s">
        <v>3057</v>
      </c>
      <c r="I67" s="1" t="s">
        <v>1404</v>
      </c>
      <c r="J67" s="1" t="s">
        <v>1405</v>
      </c>
      <c r="K67" s="1" t="s">
        <v>1406</v>
      </c>
      <c r="N67" s="1" t="s">
        <v>3456</v>
      </c>
      <c r="O67" s="1">
        <v>2</v>
      </c>
      <c r="P67" s="1">
        <v>2</v>
      </c>
      <c r="Q67" s="1" t="s">
        <v>38</v>
      </c>
      <c r="R67" s="1" t="s">
        <v>7</v>
      </c>
    </row>
    <row r="68" spans="1:18" hidden="1">
      <c r="A68" s="1">
        <v>1026</v>
      </c>
      <c r="B68" s="1" t="s">
        <v>2610</v>
      </c>
      <c r="C68" s="1" t="s">
        <v>1372</v>
      </c>
      <c r="D68" s="1">
        <v>2</v>
      </c>
      <c r="E68" s="1" t="s">
        <v>3083</v>
      </c>
      <c r="F68" s="1" t="s">
        <v>3084</v>
      </c>
      <c r="G68" s="1" t="s">
        <v>3051</v>
      </c>
      <c r="I68" s="1" t="s">
        <v>1407</v>
      </c>
      <c r="N68" s="1" t="s">
        <v>3150</v>
      </c>
      <c r="O68" s="1">
        <v>2</v>
      </c>
      <c r="P68" s="1">
        <v>1</v>
      </c>
      <c r="Q68" s="1" t="s">
        <v>169</v>
      </c>
      <c r="R68" s="1" t="s">
        <v>7</v>
      </c>
    </row>
    <row r="69" spans="1:18" hidden="1">
      <c r="A69" s="4">
        <v>1027</v>
      </c>
      <c r="B69" s="4" t="s">
        <v>2611</v>
      </c>
      <c r="C69" s="4" t="s">
        <v>1372</v>
      </c>
      <c r="D69" s="4">
        <v>2</v>
      </c>
      <c r="E69" s="4" t="s">
        <v>3083</v>
      </c>
      <c r="F69" s="4" t="s">
        <v>3084</v>
      </c>
      <c r="G69" s="4" t="s">
        <v>3067</v>
      </c>
      <c r="H69" s="4"/>
      <c r="I69" s="4" t="s">
        <v>1094</v>
      </c>
      <c r="J69" s="4" t="s">
        <v>1408</v>
      </c>
      <c r="K69" s="4"/>
      <c r="L69" s="4"/>
      <c r="M69" s="4"/>
      <c r="N69" s="4" t="s">
        <v>3456</v>
      </c>
      <c r="O69" s="4">
        <v>2</v>
      </c>
      <c r="P69" s="4">
        <v>1</v>
      </c>
      <c r="Q69" s="4" t="s">
        <v>26</v>
      </c>
      <c r="R69" s="1" t="s">
        <v>7</v>
      </c>
    </row>
    <row r="70" spans="1:18" hidden="1">
      <c r="A70" s="1">
        <v>1028</v>
      </c>
      <c r="B70" s="1" t="s">
        <v>2612</v>
      </c>
      <c r="C70" s="1" t="s">
        <v>1372</v>
      </c>
      <c r="D70" s="1">
        <v>2</v>
      </c>
      <c r="E70" s="1" t="s">
        <v>3083</v>
      </c>
      <c r="F70" s="1" t="s">
        <v>3084</v>
      </c>
      <c r="G70" s="1" t="s">
        <v>3075</v>
      </c>
      <c r="I70" s="1" t="s">
        <v>1409</v>
      </c>
      <c r="N70" s="1" t="s">
        <v>3456</v>
      </c>
      <c r="O70" s="1">
        <v>2</v>
      </c>
      <c r="P70" s="1">
        <v>1</v>
      </c>
      <c r="Q70" s="1" t="s">
        <v>180</v>
      </c>
      <c r="R70" s="1" t="s">
        <v>7</v>
      </c>
    </row>
    <row r="71" spans="1:18" hidden="1">
      <c r="A71" s="1">
        <v>1029</v>
      </c>
      <c r="B71" s="1" t="s">
        <v>2613</v>
      </c>
      <c r="C71" s="1" t="s">
        <v>1372</v>
      </c>
      <c r="D71" s="1">
        <v>2</v>
      </c>
      <c r="E71" s="1" t="s">
        <v>3083</v>
      </c>
      <c r="F71" s="1" t="s">
        <v>3084</v>
      </c>
      <c r="G71" s="1" t="s">
        <v>3075</v>
      </c>
      <c r="I71" s="1" t="s">
        <v>1469</v>
      </c>
      <c r="N71" s="1" t="s">
        <v>3456</v>
      </c>
      <c r="O71" s="1">
        <v>2</v>
      </c>
      <c r="P71" s="1">
        <v>1</v>
      </c>
      <c r="Q71" s="1" t="s">
        <v>174</v>
      </c>
      <c r="R71" s="1" t="s">
        <v>7</v>
      </c>
    </row>
    <row r="72" spans="1:18" hidden="1">
      <c r="A72" s="1">
        <v>2005</v>
      </c>
      <c r="B72" s="1" t="s">
        <v>2670</v>
      </c>
      <c r="C72" s="1" t="s">
        <v>1372</v>
      </c>
      <c r="D72" s="1">
        <v>2</v>
      </c>
      <c r="E72" s="1" t="s">
        <v>3083</v>
      </c>
      <c r="F72" s="1" t="s">
        <v>3084</v>
      </c>
      <c r="G72" s="1" t="s">
        <v>3053</v>
      </c>
      <c r="I72" s="1" t="s">
        <v>1484</v>
      </c>
      <c r="N72" s="1" t="s">
        <v>3456</v>
      </c>
      <c r="O72" s="1">
        <v>2</v>
      </c>
      <c r="P72" s="1">
        <v>2</v>
      </c>
      <c r="Q72" s="1" t="s">
        <v>17</v>
      </c>
      <c r="R72" s="1" t="s">
        <v>9</v>
      </c>
    </row>
    <row r="73" spans="1:18" hidden="1">
      <c r="A73" s="1">
        <v>2006</v>
      </c>
      <c r="B73" s="1" t="s">
        <v>2671</v>
      </c>
      <c r="C73" s="1" t="s">
        <v>1372</v>
      </c>
      <c r="D73" s="1">
        <v>2</v>
      </c>
      <c r="E73" s="1" t="s">
        <v>3087</v>
      </c>
      <c r="F73" s="1" t="s">
        <v>3084</v>
      </c>
      <c r="G73" s="1" t="s">
        <v>3070</v>
      </c>
      <c r="I73" s="1" t="s">
        <v>1485</v>
      </c>
      <c r="J73" s="1" t="s">
        <v>1486</v>
      </c>
      <c r="N73" s="1" t="s">
        <v>3456</v>
      </c>
      <c r="O73" s="1">
        <v>1</v>
      </c>
      <c r="P73" s="1">
        <v>3</v>
      </c>
      <c r="Q73" s="1" t="s">
        <v>35</v>
      </c>
      <c r="R73" s="1" t="s">
        <v>9</v>
      </c>
    </row>
    <row r="74" spans="1:18" hidden="1">
      <c r="A74" s="1">
        <v>2007</v>
      </c>
      <c r="B74" s="1" t="s">
        <v>2672</v>
      </c>
      <c r="C74" s="1" t="s">
        <v>1464</v>
      </c>
      <c r="D74" s="1">
        <v>2</v>
      </c>
      <c r="E74" s="1" t="s">
        <v>3083</v>
      </c>
      <c r="F74" s="1" t="s">
        <v>3084</v>
      </c>
      <c r="G74" s="1" t="s">
        <v>3055</v>
      </c>
      <c r="I74" s="1" t="s">
        <v>1487</v>
      </c>
      <c r="J74" s="1" t="s">
        <v>1488</v>
      </c>
      <c r="N74" s="1" t="s">
        <v>3456</v>
      </c>
      <c r="O74" s="1">
        <v>2</v>
      </c>
      <c r="P74" s="1">
        <v>2</v>
      </c>
      <c r="Q74" s="1" t="s">
        <v>6</v>
      </c>
      <c r="R74" s="1" t="s">
        <v>9</v>
      </c>
    </row>
    <row r="75" spans="1:18" hidden="1">
      <c r="A75" s="1">
        <v>2008</v>
      </c>
      <c r="B75" s="1" t="s">
        <v>2673</v>
      </c>
      <c r="C75" s="1" t="s">
        <v>1372</v>
      </c>
      <c r="D75" s="1">
        <v>2</v>
      </c>
      <c r="E75" s="1" t="s">
        <v>3083</v>
      </c>
      <c r="F75" s="1" t="s">
        <v>3084</v>
      </c>
      <c r="G75" s="1" t="s">
        <v>3058</v>
      </c>
      <c r="I75" s="1" t="s">
        <v>24</v>
      </c>
      <c r="J75" s="1" t="s">
        <v>1489</v>
      </c>
      <c r="N75" s="1" t="s">
        <v>3150</v>
      </c>
      <c r="O75" s="1">
        <v>2</v>
      </c>
      <c r="P75" s="1">
        <v>1</v>
      </c>
      <c r="Q75" s="1" t="s">
        <v>48</v>
      </c>
      <c r="R75" s="1" t="s">
        <v>9</v>
      </c>
    </row>
    <row r="76" spans="1:18" hidden="1">
      <c r="A76" s="1">
        <v>2009</v>
      </c>
      <c r="B76" s="1" t="s">
        <v>2674</v>
      </c>
      <c r="C76" s="1" t="s">
        <v>1372</v>
      </c>
      <c r="D76" s="1">
        <v>2</v>
      </c>
      <c r="E76" s="1" t="s">
        <v>3083</v>
      </c>
      <c r="F76" s="1" t="s">
        <v>3084</v>
      </c>
      <c r="G76" s="1" t="s">
        <v>3075</v>
      </c>
      <c r="I76" s="1" t="s">
        <v>902</v>
      </c>
      <c r="J76" s="1" t="s">
        <v>1528</v>
      </c>
      <c r="N76" s="1" t="s">
        <v>3456</v>
      </c>
      <c r="O76" s="1">
        <v>1</v>
      </c>
      <c r="P76" s="1">
        <v>1</v>
      </c>
      <c r="Q76" s="1" t="s">
        <v>36</v>
      </c>
      <c r="R76" s="1" t="s">
        <v>9</v>
      </c>
    </row>
    <row r="77" spans="1:18" hidden="1">
      <c r="A77" s="1">
        <v>2010</v>
      </c>
      <c r="B77" s="1" t="s">
        <v>2675</v>
      </c>
      <c r="C77" s="1" t="s">
        <v>1372</v>
      </c>
      <c r="D77" s="1">
        <v>2</v>
      </c>
      <c r="E77" s="1" t="s">
        <v>3083</v>
      </c>
      <c r="F77" s="1" t="s">
        <v>3084</v>
      </c>
      <c r="G77" s="1" t="s">
        <v>3070</v>
      </c>
      <c r="I77" s="1" t="s">
        <v>0</v>
      </c>
      <c r="J77" s="1" t="s">
        <v>1490</v>
      </c>
      <c r="N77" s="1" t="s">
        <v>3150</v>
      </c>
      <c r="O77" s="1">
        <v>2</v>
      </c>
      <c r="P77" s="1">
        <v>1</v>
      </c>
      <c r="Q77" s="1" t="s">
        <v>36</v>
      </c>
      <c r="R77" s="1" t="s">
        <v>9</v>
      </c>
    </row>
    <row r="78" spans="1:18" hidden="1">
      <c r="A78" s="1">
        <v>3002</v>
      </c>
      <c r="B78" s="1" t="s">
        <v>2714</v>
      </c>
      <c r="C78" s="1" t="s">
        <v>1464</v>
      </c>
      <c r="D78" s="1">
        <v>2</v>
      </c>
      <c r="E78" s="1" t="s">
        <v>3083</v>
      </c>
      <c r="F78" s="1" t="s">
        <v>3084</v>
      </c>
      <c r="G78" s="1" t="s">
        <v>3075</v>
      </c>
      <c r="I78" s="1" t="s">
        <v>1556</v>
      </c>
      <c r="J78" s="1" t="s">
        <v>1558</v>
      </c>
      <c r="K78" s="1" t="s">
        <v>1559</v>
      </c>
      <c r="N78" s="1" t="s">
        <v>3456</v>
      </c>
      <c r="O78" s="1">
        <v>2</v>
      </c>
      <c r="P78" s="1">
        <v>2</v>
      </c>
      <c r="Q78" s="1" t="s">
        <v>32</v>
      </c>
      <c r="R78" s="1" t="s">
        <v>41</v>
      </c>
    </row>
    <row r="79" spans="1:18" hidden="1">
      <c r="A79" s="1">
        <v>3003</v>
      </c>
      <c r="B79" s="1" t="s">
        <v>2715</v>
      </c>
      <c r="C79" s="1" t="s">
        <v>1464</v>
      </c>
      <c r="D79" s="1">
        <v>2</v>
      </c>
      <c r="E79" s="1" t="s">
        <v>3083</v>
      </c>
      <c r="F79" s="1" t="s">
        <v>3084</v>
      </c>
      <c r="G79" s="1" t="s">
        <v>3055</v>
      </c>
      <c r="I79" s="1" t="s">
        <v>1557</v>
      </c>
      <c r="J79" s="1" t="s">
        <v>3910</v>
      </c>
      <c r="K79" s="1" t="s">
        <v>1560</v>
      </c>
      <c r="N79" s="1" t="s">
        <v>3456</v>
      </c>
      <c r="O79" s="1">
        <v>2</v>
      </c>
      <c r="P79" s="1">
        <v>2</v>
      </c>
      <c r="Q79" s="1" t="s">
        <v>170</v>
      </c>
      <c r="R79" s="1" t="s">
        <v>41</v>
      </c>
    </row>
    <row r="80" spans="1:18" hidden="1">
      <c r="A80" s="2">
        <v>37</v>
      </c>
      <c r="B80" s="1" t="s">
        <v>2535</v>
      </c>
      <c r="C80" s="1" t="s">
        <v>1374</v>
      </c>
      <c r="D80" s="1">
        <v>3</v>
      </c>
      <c r="E80" s="1" t="s">
        <v>3083</v>
      </c>
      <c r="F80" s="1" t="s">
        <v>3084</v>
      </c>
      <c r="G80" s="1" t="s">
        <v>3054</v>
      </c>
      <c r="I80" s="1" t="s">
        <v>249</v>
      </c>
      <c r="J80" s="1" t="s">
        <v>1327</v>
      </c>
      <c r="N80" s="2" t="s">
        <v>3150</v>
      </c>
      <c r="O80" s="1">
        <v>2</v>
      </c>
      <c r="P80" s="1">
        <v>2</v>
      </c>
      <c r="Q80" s="1" t="s">
        <v>52</v>
      </c>
      <c r="R80" s="1" t="s">
        <v>4</v>
      </c>
    </row>
    <row r="81" spans="1:19" hidden="1">
      <c r="A81" s="2">
        <v>38</v>
      </c>
      <c r="B81" s="1" t="s">
        <v>2536</v>
      </c>
      <c r="C81" s="1" t="s">
        <v>1374</v>
      </c>
      <c r="D81" s="1">
        <v>3</v>
      </c>
      <c r="E81" s="1" t="s">
        <v>3083</v>
      </c>
      <c r="F81" s="1" t="s">
        <v>3084</v>
      </c>
      <c r="G81" s="1" t="s">
        <v>3056</v>
      </c>
      <c r="I81" s="1" t="s">
        <v>1094</v>
      </c>
      <c r="J81" s="1" t="s">
        <v>62</v>
      </c>
      <c r="N81" s="2" t="s">
        <v>3456</v>
      </c>
      <c r="O81" s="1">
        <v>2</v>
      </c>
      <c r="P81" s="1">
        <v>2</v>
      </c>
      <c r="Q81" s="1" t="s">
        <v>175</v>
      </c>
      <c r="R81" s="1" t="s">
        <v>4</v>
      </c>
    </row>
    <row r="82" spans="1:19" hidden="1">
      <c r="A82" s="2">
        <v>39</v>
      </c>
      <c r="B82" s="1" t="s">
        <v>2537</v>
      </c>
      <c r="C82" s="1" t="s">
        <v>1374</v>
      </c>
      <c r="D82" s="1">
        <v>3</v>
      </c>
      <c r="E82" s="1" t="s">
        <v>3083</v>
      </c>
      <c r="F82" s="1" t="s">
        <v>3084</v>
      </c>
      <c r="G82" s="1" t="s">
        <v>3050</v>
      </c>
      <c r="I82" s="1" t="s">
        <v>91</v>
      </c>
      <c r="J82" s="1" t="s">
        <v>73</v>
      </c>
      <c r="N82" s="2" t="s">
        <v>3456</v>
      </c>
      <c r="O82" s="1">
        <v>2</v>
      </c>
      <c r="P82" s="1">
        <v>2</v>
      </c>
      <c r="Q82" s="1" t="s">
        <v>48</v>
      </c>
      <c r="R82" s="1" t="s">
        <v>4</v>
      </c>
    </row>
    <row r="83" spans="1:19" hidden="1">
      <c r="A83" s="2">
        <v>40</v>
      </c>
      <c r="B83" s="1" t="s">
        <v>2538</v>
      </c>
      <c r="C83" s="1" t="s">
        <v>1374</v>
      </c>
      <c r="D83" s="1">
        <v>3</v>
      </c>
      <c r="E83" s="1" t="s">
        <v>3083</v>
      </c>
      <c r="F83" s="1" t="s">
        <v>3084</v>
      </c>
      <c r="G83" s="1" t="s">
        <v>3075</v>
      </c>
      <c r="I83" s="1" t="s">
        <v>1328</v>
      </c>
      <c r="N83" s="2" t="s">
        <v>3150</v>
      </c>
      <c r="O83" s="1">
        <v>2</v>
      </c>
      <c r="P83" s="1">
        <v>2</v>
      </c>
      <c r="Q83" s="1" t="s">
        <v>50</v>
      </c>
      <c r="R83" s="1" t="s">
        <v>4</v>
      </c>
    </row>
    <row r="84" spans="1:19" hidden="1">
      <c r="A84" s="7">
        <v>41</v>
      </c>
      <c r="B84" s="6" t="s">
        <v>2539</v>
      </c>
      <c r="C84" s="6" t="s">
        <v>1374</v>
      </c>
      <c r="D84" s="6">
        <v>3</v>
      </c>
      <c r="E84" s="6" t="s">
        <v>3083</v>
      </c>
      <c r="F84" s="6" t="s">
        <v>3084</v>
      </c>
      <c r="G84" s="6" t="s">
        <v>3075</v>
      </c>
      <c r="H84" s="6" t="s">
        <v>3060</v>
      </c>
      <c r="I84" s="6" t="s">
        <v>1329</v>
      </c>
      <c r="J84" s="6"/>
      <c r="K84" s="6"/>
      <c r="L84" s="6"/>
      <c r="M84" s="6"/>
      <c r="N84" s="7" t="s">
        <v>3456</v>
      </c>
      <c r="O84" s="6">
        <v>3</v>
      </c>
      <c r="P84" s="6">
        <v>2</v>
      </c>
      <c r="Q84" s="6" t="s">
        <v>37</v>
      </c>
      <c r="R84" s="6" t="s">
        <v>4</v>
      </c>
    </row>
    <row r="85" spans="1:19" hidden="1">
      <c r="A85" s="14">
        <v>43</v>
      </c>
      <c r="B85" s="3" t="s">
        <v>2541</v>
      </c>
      <c r="C85" s="3" t="s">
        <v>1374</v>
      </c>
      <c r="D85" s="3">
        <v>3</v>
      </c>
      <c r="E85" s="3" t="s">
        <v>3083</v>
      </c>
      <c r="F85" s="3" t="s">
        <v>3084</v>
      </c>
      <c r="G85" s="3" t="s">
        <v>3054</v>
      </c>
      <c r="H85" s="3"/>
      <c r="I85" s="3" t="s">
        <v>1094</v>
      </c>
      <c r="J85" s="3" t="s">
        <v>1331</v>
      </c>
      <c r="K85" s="3"/>
      <c r="L85" s="3"/>
      <c r="M85" s="3"/>
      <c r="N85" s="14" t="s">
        <v>3150</v>
      </c>
      <c r="O85" s="3">
        <v>2</v>
      </c>
      <c r="P85" s="3">
        <v>1</v>
      </c>
      <c r="Q85" s="3" t="s">
        <v>52</v>
      </c>
      <c r="R85" s="3" t="s">
        <v>4</v>
      </c>
      <c r="S85" s="4"/>
    </row>
    <row r="86" spans="1:19" hidden="1">
      <c r="A86" s="7">
        <v>44</v>
      </c>
      <c r="B86" s="6" t="s">
        <v>2542</v>
      </c>
      <c r="C86" s="6" t="s">
        <v>1374</v>
      </c>
      <c r="D86" s="6">
        <v>3</v>
      </c>
      <c r="E86" s="6" t="s">
        <v>3083</v>
      </c>
      <c r="F86" s="6" t="s">
        <v>3084</v>
      </c>
      <c r="G86" s="6" t="s">
        <v>3071</v>
      </c>
      <c r="H86" s="6"/>
      <c r="I86" s="6" t="s">
        <v>1332</v>
      </c>
      <c r="J86" s="6"/>
      <c r="K86" s="6"/>
      <c r="L86" s="6"/>
      <c r="M86" s="6"/>
      <c r="N86" s="7" t="s">
        <v>3456</v>
      </c>
      <c r="O86" s="6">
        <v>3</v>
      </c>
      <c r="P86" s="6">
        <v>2</v>
      </c>
      <c r="Q86" s="6" t="s">
        <v>26</v>
      </c>
      <c r="R86" s="1" t="s">
        <v>4</v>
      </c>
    </row>
    <row r="87" spans="1:19" hidden="1">
      <c r="A87" s="2">
        <v>45</v>
      </c>
      <c r="B87" s="1" t="s">
        <v>2543</v>
      </c>
      <c r="C87" s="1" t="s">
        <v>1374</v>
      </c>
      <c r="D87" s="1">
        <v>3</v>
      </c>
      <c r="E87" s="1" t="s">
        <v>3083</v>
      </c>
      <c r="F87" s="1" t="s">
        <v>3084</v>
      </c>
      <c r="G87" s="1" t="s">
        <v>3054</v>
      </c>
      <c r="I87" s="1" t="s">
        <v>0</v>
      </c>
      <c r="J87" s="1" t="s">
        <v>1387</v>
      </c>
      <c r="N87" s="2" t="s">
        <v>3456</v>
      </c>
      <c r="O87" s="1">
        <v>2</v>
      </c>
      <c r="P87" s="1">
        <v>2</v>
      </c>
      <c r="Q87" s="1" t="s">
        <v>184</v>
      </c>
      <c r="R87" s="1" t="s">
        <v>4</v>
      </c>
    </row>
    <row r="88" spans="1:19" hidden="1">
      <c r="A88" s="2">
        <v>46</v>
      </c>
      <c r="B88" s="1" t="s">
        <v>2544</v>
      </c>
      <c r="C88" s="1" t="s">
        <v>1374</v>
      </c>
      <c r="D88" s="1">
        <v>3</v>
      </c>
      <c r="E88" s="1" t="s">
        <v>3083</v>
      </c>
      <c r="F88" s="1" t="s">
        <v>3084</v>
      </c>
      <c r="G88" s="1" t="s">
        <v>3055</v>
      </c>
      <c r="I88" s="1" t="s">
        <v>1333</v>
      </c>
      <c r="J88" s="1" t="s">
        <v>1334</v>
      </c>
      <c r="N88" s="2" t="s">
        <v>3456</v>
      </c>
      <c r="O88" s="1">
        <v>1</v>
      </c>
      <c r="P88" s="1">
        <v>1</v>
      </c>
      <c r="Q88" s="1" t="s">
        <v>180</v>
      </c>
      <c r="R88" s="1" t="s">
        <v>4</v>
      </c>
    </row>
    <row r="89" spans="1:19" hidden="1">
      <c r="A89" s="2">
        <v>47</v>
      </c>
      <c r="B89" s="1" t="s">
        <v>2545</v>
      </c>
      <c r="C89" s="1" t="s">
        <v>1374</v>
      </c>
      <c r="D89" s="1">
        <v>3</v>
      </c>
      <c r="E89" s="1" t="s">
        <v>3083</v>
      </c>
      <c r="F89" s="1" t="s">
        <v>3084</v>
      </c>
      <c r="G89" s="1" t="s">
        <v>3075</v>
      </c>
      <c r="I89" s="1" t="s">
        <v>1335</v>
      </c>
      <c r="N89" s="2" t="s">
        <v>3456</v>
      </c>
      <c r="O89" s="1">
        <v>2</v>
      </c>
      <c r="P89" s="1">
        <v>3</v>
      </c>
      <c r="Q89" s="1" t="s">
        <v>28</v>
      </c>
      <c r="R89" s="1" t="s">
        <v>4</v>
      </c>
    </row>
    <row r="90" spans="1:19" hidden="1">
      <c r="A90" s="2">
        <v>48</v>
      </c>
      <c r="B90" s="3" t="s">
        <v>2546</v>
      </c>
      <c r="C90" s="3" t="s">
        <v>1375</v>
      </c>
      <c r="D90" s="3">
        <v>3</v>
      </c>
      <c r="E90" s="3" t="s">
        <v>3083</v>
      </c>
      <c r="F90" s="3" t="s">
        <v>3084</v>
      </c>
      <c r="G90" s="3" t="s">
        <v>3080</v>
      </c>
      <c r="H90" s="3"/>
      <c r="I90" s="3"/>
      <c r="J90" s="3"/>
      <c r="K90" s="3"/>
      <c r="L90" s="3"/>
      <c r="M90" s="3"/>
      <c r="N90" s="14" t="s">
        <v>3456</v>
      </c>
      <c r="O90" s="3">
        <v>3</v>
      </c>
      <c r="P90" s="3">
        <v>2</v>
      </c>
      <c r="Q90" s="3" t="s">
        <v>171</v>
      </c>
      <c r="R90" s="3" t="s">
        <v>4</v>
      </c>
      <c r="S90" s="4"/>
    </row>
    <row r="91" spans="1:19" hidden="1">
      <c r="A91" s="2">
        <v>49</v>
      </c>
      <c r="B91" s="1" t="s">
        <v>2547</v>
      </c>
      <c r="C91" s="1" t="s">
        <v>1374</v>
      </c>
      <c r="D91" s="1">
        <v>3</v>
      </c>
      <c r="E91" s="1" t="s">
        <v>3083</v>
      </c>
      <c r="F91" s="1" t="s">
        <v>3084</v>
      </c>
      <c r="G91" s="1" t="s">
        <v>3070</v>
      </c>
      <c r="I91" s="1" t="s">
        <v>1336</v>
      </c>
      <c r="N91" s="2" t="s">
        <v>3150</v>
      </c>
      <c r="O91" s="1">
        <v>2</v>
      </c>
      <c r="P91" s="1">
        <v>2</v>
      </c>
      <c r="Q91" s="1" t="s">
        <v>36</v>
      </c>
      <c r="R91" s="1" t="s">
        <v>4</v>
      </c>
    </row>
    <row r="92" spans="1:19" hidden="1">
      <c r="A92" s="2">
        <v>51</v>
      </c>
      <c r="B92" s="1" t="s">
        <v>2549</v>
      </c>
      <c r="C92" s="1" t="s">
        <v>1374</v>
      </c>
      <c r="D92" s="1">
        <v>3</v>
      </c>
      <c r="E92" s="1" t="s">
        <v>3083</v>
      </c>
      <c r="F92" s="1" t="s">
        <v>3084</v>
      </c>
      <c r="G92" s="1" t="s">
        <v>3055</v>
      </c>
      <c r="I92" s="1" t="s">
        <v>1338</v>
      </c>
      <c r="N92" s="2" t="s">
        <v>3456</v>
      </c>
      <c r="O92" s="1">
        <v>2</v>
      </c>
      <c r="P92" s="1">
        <v>2</v>
      </c>
      <c r="Q92" s="1" t="s">
        <v>52</v>
      </c>
      <c r="R92" s="1" t="s">
        <v>4</v>
      </c>
    </row>
    <row r="93" spans="1:19" hidden="1">
      <c r="A93" s="2">
        <v>52</v>
      </c>
      <c r="B93" s="1" t="s">
        <v>2550</v>
      </c>
      <c r="C93" s="1" t="s">
        <v>1374</v>
      </c>
      <c r="D93" s="1">
        <v>3</v>
      </c>
      <c r="E93" s="1" t="s">
        <v>3083</v>
      </c>
      <c r="F93" s="1" t="s">
        <v>3084</v>
      </c>
      <c r="G93" s="1" t="s">
        <v>3055</v>
      </c>
      <c r="I93" s="1" t="s">
        <v>1339</v>
      </c>
      <c r="N93" s="2" t="s">
        <v>3456</v>
      </c>
      <c r="O93" s="1">
        <v>3</v>
      </c>
      <c r="P93" s="1">
        <v>3</v>
      </c>
      <c r="Q93" s="1" t="s">
        <v>35</v>
      </c>
      <c r="R93" s="1" t="s">
        <v>4</v>
      </c>
    </row>
    <row r="94" spans="1:19" hidden="1">
      <c r="A94" s="5">
        <v>53</v>
      </c>
      <c r="B94" s="4" t="s">
        <v>2551</v>
      </c>
      <c r="C94" s="4" t="s">
        <v>1374</v>
      </c>
      <c r="D94" s="4">
        <v>3</v>
      </c>
      <c r="E94" s="4" t="s">
        <v>3083</v>
      </c>
      <c r="F94" s="4" t="s">
        <v>3084</v>
      </c>
      <c r="G94" s="4" t="s">
        <v>3055</v>
      </c>
      <c r="H94" s="4"/>
      <c r="I94" s="4" t="s">
        <v>1340</v>
      </c>
      <c r="J94" s="4"/>
      <c r="K94" s="4"/>
      <c r="L94" s="4"/>
      <c r="M94" s="4"/>
      <c r="N94" s="5" t="s">
        <v>3150</v>
      </c>
      <c r="O94" s="4">
        <v>2</v>
      </c>
      <c r="P94" s="4">
        <v>2</v>
      </c>
      <c r="Q94" s="4" t="s">
        <v>174</v>
      </c>
      <c r="R94" s="3" t="s">
        <v>4</v>
      </c>
      <c r="S94" s="4"/>
    </row>
    <row r="95" spans="1:19" hidden="1">
      <c r="A95" s="2">
        <v>54</v>
      </c>
      <c r="B95" s="1" t="s">
        <v>2552</v>
      </c>
      <c r="C95" s="1" t="s">
        <v>1375</v>
      </c>
      <c r="D95" s="1">
        <v>3</v>
      </c>
      <c r="E95" s="1" t="s">
        <v>3083</v>
      </c>
      <c r="F95" s="1" t="s">
        <v>3084</v>
      </c>
      <c r="G95" s="1" t="s">
        <v>3075</v>
      </c>
      <c r="I95" s="1" t="s">
        <v>1094</v>
      </c>
      <c r="J95" s="1" t="s">
        <v>1341</v>
      </c>
      <c r="N95" s="2" t="s">
        <v>3456</v>
      </c>
      <c r="O95" s="1">
        <v>1</v>
      </c>
      <c r="P95" s="1">
        <v>1</v>
      </c>
      <c r="Q95" s="1" t="s">
        <v>605</v>
      </c>
      <c r="R95" s="1" t="s">
        <v>4</v>
      </c>
    </row>
    <row r="96" spans="1:19" hidden="1">
      <c r="A96" s="2">
        <v>55</v>
      </c>
      <c r="B96" s="1" t="s">
        <v>2553</v>
      </c>
      <c r="C96" s="1" t="s">
        <v>1374</v>
      </c>
      <c r="D96" s="1">
        <v>3</v>
      </c>
      <c r="E96" s="1" t="s">
        <v>3083</v>
      </c>
      <c r="F96" s="1" t="s">
        <v>3084</v>
      </c>
      <c r="G96" s="1" t="s">
        <v>3062</v>
      </c>
      <c r="I96" s="1" t="s">
        <v>1377</v>
      </c>
      <c r="N96" s="2" t="s">
        <v>3456</v>
      </c>
      <c r="O96" s="1">
        <v>2</v>
      </c>
      <c r="P96" s="1">
        <v>2</v>
      </c>
      <c r="Q96" s="1" t="s">
        <v>31</v>
      </c>
      <c r="R96" s="1" t="s">
        <v>4</v>
      </c>
    </row>
    <row r="97" spans="1:18" hidden="1">
      <c r="A97" s="2">
        <v>56</v>
      </c>
      <c r="B97" s="1" t="s">
        <v>2554</v>
      </c>
      <c r="C97" s="1" t="s">
        <v>1374</v>
      </c>
      <c r="D97" s="1">
        <v>3</v>
      </c>
      <c r="E97" s="1" t="s">
        <v>3083</v>
      </c>
      <c r="F97" s="1" t="s">
        <v>3084</v>
      </c>
      <c r="G97" s="1" t="s">
        <v>3057</v>
      </c>
      <c r="I97" s="1" t="s">
        <v>1342</v>
      </c>
      <c r="N97" s="2" t="s">
        <v>3456</v>
      </c>
      <c r="O97" s="1">
        <v>3</v>
      </c>
      <c r="P97" s="1">
        <v>2</v>
      </c>
      <c r="Q97" s="1" t="s">
        <v>32</v>
      </c>
      <c r="R97" s="1" t="s">
        <v>4</v>
      </c>
    </row>
    <row r="98" spans="1:18" hidden="1">
      <c r="A98" s="2">
        <v>57</v>
      </c>
      <c r="B98" s="1" t="s">
        <v>2555</v>
      </c>
      <c r="C98" s="1" t="s">
        <v>1374</v>
      </c>
      <c r="D98" s="1">
        <v>3</v>
      </c>
      <c r="E98" s="1" t="s">
        <v>3083</v>
      </c>
      <c r="F98" s="1" t="s">
        <v>3084</v>
      </c>
      <c r="G98" s="1" t="s">
        <v>3055</v>
      </c>
      <c r="I98" s="1" t="s">
        <v>1343</v>
      </c>
      <c r="N98" s="2" t="s">
        <v>3456</v>
      </c>
      <c r="O98" s="1">
        <v>2</v>
      </c>
      <c r="P98" s="1">
        <v>3</v>
      </c>
      <c r="Q98" s="1" t="s">
        <v>35</v>
      </c>
      <c r="R98" s="1" t="s">
        <v>4</v>
      </c>
    </row>
    <row r="99" spans="1:18" hidden="1">
      <c r="A99" s="2">
        <v>58</v>
      </c>
      <c r="B99" s="1" t="s">
        <v>2556</v>
      </c>
      <c r="C99" s="1" t="s">
        <v>1374</v>
      </c>
      <c r="D99" s="1">
        <v>3</v>
      </c>
      <c r="E99" s="1" t="s">
        <v>3083</v>
      </c>
      <c r="F99" s="1" t="s">
        <v>3084</v>
      </c>
      <c r="G99" s="1" t="s">
        <v>3055</v>
      </c>
      <c r="I99" s="1" t="s">
        <v>0</v>
      </c>
      <c r="J99" s="1" t="s">
        <v>1139</v>
      </c>
      <c r="N99" s="2"/>
      <c r="O99" s="1">
        <v>2</v>
      </c>
      <c r="P99" s="1">
        <v>2</v>
      </c>
      <c r="Q99" s="1" t="s">
        <v>6</v>
      </c>
      <c r="R99" s="1" t="s">
        <v>4</v>
      </c>
    </row>
    <row r="100" spans="1:18" hidden="1">
      <c r="A100" s="14">
        <v>59</v>
      </c>
      <c r="B100" s="3" t="s">
        <v>2557</v>
      </c>
      <c r="C100" s="3" t="s">
        <v>1374</v>
      </c>
      <c r="D100" s="3">
        <v>3</v>
      </c>
      <c r="E100" s="3" t="s">
        <v>3083</v>
      </c>
      <c r="F100" s="3" t="s">
        <v>3084</v>
      </c>
      <c r="G100" s="3" t="s">
        <v>3063</v>
      </c>
      <c r="H100" s="3"/>
      <c r="I100" s="3" t="s">
        <v>1344</v>
      </c>
      <c r="J100" s="3"/>
      <c r="K100" s="3"/>
      <c r="L100" s="3"/>
      <c r="M100" s="3"/>
      <c r="N100" s="14" t="s">
        <v>3150</v>
      </c>
      <c r="O100" s="3">
        <v>2</v>
      </c>
      <c r="P100" s="3">
        <v>1</v>
      </c>
      <c r="Q100" s="3" t="s">
        <v>48</v>
      </c>
      <c r="R100" s="1" t="s">
        <v>4</v>
      </c>
    </row>
    <row r="101" spans="1:18" hidden="1">
      <c r="A101" s="2">
        <v>60</v>
      </c>
      <c r="B101" s="1" t="s">
        <v>2558</v>
      </c>
      <c r="C101" s="1" t="s">
        <v>1374</v>
      </c>
      <c r="D101" s="1">
        <v>3</v>
      </c>
      <c r="E101" s="1" t="s">
        <v>3083</v>
      </c>
      <c r="F101" s="1" t="s">
        <v>3084</v>
      </c>
      <c r="G101" s="1" t="s">
        <v>3054</v>
      </c>
      <c r="I101" s="1" t="s">
        <v>80</v>
      </c>
      <c r="J101" s="1" t="s">
        <v>1345</v>
      </c>
      <c r="N101" s="2" t="s">
        <v>3456</v>
      </c>
      <c r="O101" s="1">
        <v>2</v>
      </c>
      <c r="P101" s="1">
        <v>2</v>
      </c>
      <c r="Q101" s="1" t="s">
        <v>31</v>
      </c>
      <c r="R101" s="1" t="s">
        <v>4</v>
      </c>
    </row>
    <row r="102" spans="1:18" hidden="1">
      <c r="A102" s="7">
        <v>61</v>
      </c>
      <c r="B102" s="6" t="s">
        <v>2559</v>
      </c>
      <c r="C102" s="6" t="s">
        <v>1375</v>
      </c>
      <c r="D102" s="6">
        <v>3</v>
      </c>
      <c r="E102" s="6" t="s">
        <v>3083</v>
      </c>
      <c r="F102" s="6" t="s">
        <v>3084</v>
      </c>
      <c r="G102" s="6" t="s">
        <v>3071</v>
      </c>
      <c r="H102" s="6"/>
      <c r="I102" s="6" t="s">
        <v>1346</v>
      </c>
      <c r="J102" s="6"/>
      <c r="K102" s="6"/>
      <c r="L102" s="6"/>
      <c r="M102" s="6"/>
      <c r="N102" s="7" t="s">
        <v>3456</v>
      </c>
      <c r="O102" s="6">
        <v>2</v>
      </c>
      <c r="P102" s="6">
        <v>3</v>
      </c>
      <c r="Q102" s="6" t="s">
        <v>176</v>
      </c>
      <c r="R102" s="1" t="s">
        <v>4</v>
      </c>
    </row>
    <row r="103" spans="1:18" hidden="1">
      <c r="A103" s="7">
        <v>62</v>
      </c>
      <c r="B103" s="6" t="s">
        <v>2560</v>
      </c>
      <c r="C103" s="6" t="s">
        <v>1374</v>
      </c>
      <c r="D103" s="6">
        <v>3</v>
      </c>
      <c r="E103" s="6" t="s">
        <v>3083</v>
      </c>
      <c r="F103" s="6" t="s">
        <v>3084</v>
      </c>
      <c r="G103" s="6" t="s">
        <v>3079</v>
      </c>
      <c r="H103" s="6"/>
      <c r="I103" s="6" t="s">
        <v>3942</v>
      </c>
      <c r="J103" s="6"/>
      <c r="K103" s="6"/>
      <c r="L103" s="6"/>
      <c r="M103" s="6" t="s">
        <v>153</v>
      </c>
      <c r="N103" s="7" t="s">
        <v>3456</v>
      </c>
      <c r="O103" s="6">
        <v>2</v>
      </c>
      <c r="P103" s="6">
        <v>2</v>
      </c>
      <c r="Q103" s="6"/>
      <c r="R103" s="6"/>
    </row>
    <row r="104" spans="1:18" hidden="1">
      <c r="A104" s="7">
        <v>63</v>
      </c>
      <c r="B104" s="6" t="s">
        <v>2561</v>
      </c>
      <c r="C104" s="6" t="s">
        <v>3096</v>
      </c>
      <c r="D104" s="6">
        <v>3</v>
      </c>
      <c r="E104" s="6" t="s">
        <v>3083</v>
      </c>
      <c r="F104" s="6" t="s">
        <v>3079</v>
      </c>
      <c r="G104" s="6"/>
      <c r="H104" s="6"/>
      <c r="I104" s="6" t="s">
        <v>3932</v>
      </c>
      <c r="J104" s="6"/>
      <c r="K104" s="6"/>
      <c r="L104" s="6"/>
      <c r="M104" s="6" t="s">
        <v>153</v>
      </c>
      <c r="N104" s="7" t="s">
        <v>3456</v>
      </c>
      <c r="O104" s="6">
        <v>4</v>
      </c>
      <c r="P104" s="6">
        <v>4</v>
      </c>
      <c r="Q104" s="6" t="s">
        <v>46</v>
      </c>
      <c r="R104" s="6" t="s">
        <v>4</v>
      </c>
    </row>
    <row r="105" spans="1:18" hidden="1">
      <c r="A105" s="1">
        <v>1030</v>
      </c>
      <c r="B105" s="1" t="s">
        <v>2614</v>
      </c>
      <c r="C105" s="1" t="s">
        <v>1374</v>
      </c>
      <c r="D105" s="1">
        <v>3</v>
      </c>
      <c r="E105" s="1" t="s">
        <v>3083</v>
      </c>
      <c r="F105" s="1" t="s">
        <v>3084</v>
      </c>
      <c r="G105" s="1" t="s">
        <v>3055</v>
      </c>
      <c r="I105" s="1" t="s">
        <v>1410</v>
      </c>
      <c r="N105" s="1" t="s">
        <v>3456</v>
      </c>
      <c r="O105" s="1">
        <v>3</v>
      </c>
      <c r="P105" s="1">
        <v>2</v>
      </c>
      <c r="Q105" s="1" t="s">
        <v>26</v>
      </c>
      <c r="R105" s="1" t="s">
        <v>7</v>
      </c>
    </row>
    <row r="106" spans="1:18" hidden="1">
      <c r="A106" s="6">
        <v>1031</v>
      </c>
      <c r="B106" s="6" t="s">
        <v>2615</v>
      </c>
      <c r="C106" s="6" t="s">
        <v>1375</v>
      </c>
      <c r="D106" s="6">
        <v>3</v>
      </c>
      <c r="E106" s="6" t="s">
        <v>3083</v>
      </c>
      <c r="F106" s="6" t="s">
        <v>3084</v>
      </c>
      <c r="G106" s="6" t="s">
        <v>3055</v>
      </c>
      <c r="H106" s="6"/>
      <c r="I106" s="6" t="s">
        <v>1411</v>
      </c>
      <c r="J106" s="6" t="s">
        <v>1412</v>
      </c>
      <c r="K106" s="6"/>
      <c r="L106" s="6"/>
      <c r="M106" s="6" t="s">
        <v>491</v>
      </c>
      <c r="N106" s="6" t="s">
        <v>3456</v>
      </c>
      <c r="O106" s="6">
        <v>2</v>
      </c>
      <c r="P106" s="6">
        <v>2</v>
      </c>
      <c r="Q106" s="6"/>
      <c r="R106" s="6"/>
    </row>
    <row r="107" spans="1:18" hidden="1">
      <c r="A107" s="6">
        <v>1032</v>
      </c>
      <c r="B107" s="6" t="s">
        <v>2616</v>
      </c>
      <c r="C107" s="6" t="s">
        <v>1375</v>
      </c>
      <c r="D107" s="6">
        <v>3</v>
      </c>
      <c r="E107" s="6" t="s">
        <v>3087</v>
      </c>
      <c r="F107" s="6" t="s">
        <v>3089</v>
      </c>
      <c r="G107" s="6"/>
      <c r="H107" s="6"/>
      <c r="I107" s="6" t="s">
        <v>1413</v>
      </c>
      <c r="J107" s="6"/>
      <c r="K107" s="6"/>
      <c r="L107" s="6"/>
      <c r="M107" s="6" t="s">
        <v>491</v>
      </c>
      <c r="N107" s="6" t="s">
        <v>3456</v>
      </c>
      <c r="O107" s="6">
        <v>5</v>
      </c>
      <c r="P107" s="6">
        <v>2</v>
      </c>
      <c r="Q107" s="6" t="s">
        <v>183</v>
      </c>
      <c r="R107" s="6" t="s">
        <v>7</v>
      </c>
    </row>
    <row r="108" spans="1:18" hidden="1">
      <c r="A108" s="1">
        <v>1033</v>
      </c>
      <c r="B108" s="1" t="s">
        <v>2617</v>
      </c>
      <c r="C108" s="1" t="s">
        <v>1374</v>
      </c>
      <c r="D108" s="1">
        <v>3</v>
      </c>
      <c r="E108" s="1" t="s">
        <v>3083</v>
      </c>
      <c r="F108" s="1" t="s">
        <v>3084</v>
      </c>
      <c r="G108" s="1" t="s">
        <v>3063</v>
      </c>
      <c r="I108" s="1" t="s">
        <v>1414</v>
      </c>
      <c r="J108" s="1" t="s">
        <v>1415</v>
      </c>
      <c r="N108" s="1" t="s">
        <v>3150</v>
      </c>
      <c r="O108" s="1">
        <v>1</v>
      </c>
      <c r="P108" s="1">
        <v>3</v>
      </c>
      <c r="Q108" s="1" t="s">
        <v>48</v>
      </c>
      <c r="R108" s="1" t="s">
        <v>7</v>
      </c>
    </row>
    <row r="109" spans="1:18" hidden="1">
      <c r="A109" s="6">
        <v>1034</v>
      </c>
      <c r="B109" s="6" t="s">
        <v>2618</v>
      </c>
      <c r="C109" s="6" t="s">
        <v>1374</v>
      </c>
      <c r="D109" s="6">
        <v>3</v>
      </c>
      <c r="E109" s="6" t="s">
        <v>3083</v>
      </c>
      <c r="F109" s="6" t="s">
        <v>3084</v>
      </c>
      <c r="G109" s="6" t="s">
        <v>3071</v>
      </c>
      <c r="H109" s="6"/>
      <c r="I109" s="6" t="s">
        <v>1416</v>
      </c>
      <c r="J109" s="6"/>
      <c r="K109" s="6"/>
      <c r="L109" s="6"/>
      <c r="M109" s="6"/>
      <c r="N109" s="6" t="s">
        <v>3456</v>
      </c>
      <c r="O109" s="6">
        <v>3</v>
      </c>
      <c r="P109" s="6">
        <v>1</v>
      </c>
      <c r="Q109" s="6" t="s">
        <v>10</v>
      </c>
      <c r="R109" s="1" t="s">
        <v>7</v>
      </c>
    </row>
    <row r="110" spans="1:18" hidden="1">
      <c r="A110" s="1">
        <v>1035</v>
      </c>
      <c r="B110" s="1" t="s">
        <v>2619</v>
      </c>
      <c r="C110" s="1" t="s">
        <v>1374</v>
      </c>
      <c r="D110" s="1">
        <v>3</v>
      </c>
      <c r="E110" s="1" t="s">
        <v>3083</v>
      </c>
      <c r="F110" s="1" t="s">
        <v>3084</v>
      </c>
      <c r="G110" s="1" t="s">
        <v>3066</v>
      </c>
      <c r="H110" s="1" t="s">
        <v>3075</v>
      </c>
      <c r="I110" s="1" t="s">
        <v>1417</v>
      </c>
      <c r="J110" s="1" t="s">
        <v>293</v>
      </c>
      <c r="N110" s="1" t="s">
        <v>3456</v>
      </c>
      <c r="O110" s="1">
        <v>1</v>
      </c>
      <c r="P110" s="1">
        <v>1</v>
      </c>
      <c r="Q110" s="1" t="s">
        <v>15</v>
      </c>
      <c r="R110" s="1" t="s">
        <v>7</v>
      </c>
    </row>
    <row r="111" spans="1:18" hidden="1">
      <c r="A111" s="1">
        <v>1036</v>
      </c>
      <c r="B111" s="1" t="s">
        <v>2620</v>
      </c>
      <c r="C111" s="1" t="s">
        <v>1374</v>
      </c>
      <c r="D111" s="1">
        <v>3</v>
      </c>
      <c r="E111" s="1" t="s">
        <v>3083</v>
      </c>
      <c r="F111" s="1" t="s">
        <v>3084</v>
      </c>
      <c r="G111" s="1" t="s">
        <v>3063</v>
      </c>
      <c r="I111" s="1" t="s">
        <v>1418</v>
      </c>
      <c r="N111" s="1" t="s">
        <v>3150</v>
      </c>
      <c r="O111" s="1">
        <v>3</v>
      </c>
      <c r="P111" s="1">
        <v>2</v>
      </c>
      <c r="Q111" s="1" t="s">
        <v>26</v>
      </c>
      <c r="R111" s="1" t="s">
        <v>7</v>
      </c>
    </row>
    <row r="112" spans="1:18" hidden="1">
      <c r="A112" s="1">
        <v>1037</v>
      </c>
      <c r="B112" s="1" t="s">
        <v>2621</v>
      </c>
      <c r="C112" s="1" t="s">
        <v>1374</v>
      </c>
      <c r="D112" s="1">
        <v>3</v>
      </c>
      <c r="E112" s="1" t="s">
        <v>3083</v>
      </c>
      <c r="F112" s="1" t="s">
        <v>3084</v>
      </c>
      <c r="G112" s="1" t="s">
        <v>3075</v>
      </c>
      <c r="I112" s="1" t="s">
        <v>1470</v>
      </c>
      <c r="J112" s="1" t="s">
        <v>3815</v>
      </c>
      <c r="K112" s="1" t="s">
        <v>3816</v>
      </c>
      <c r="N112" s="1" t="s">
        <v>3456</v>
      </c>
      <c r="O112" s="1">
        <v>2</v>
      </c>
      <c r="P112" s="1">
        <v>2</v>
      </c>
      <c r="Q112" s="1" t="s">
        <v>170</v>
      </c>
      <c r="R112" s="1" t="s">
        <v>7</v>
      </c>
    </row>
    <row r="113" spans="1:18" hidden="1">
      <c r="A113" s="1">
        <v>1038</v>
      </c>
      <c r="B113" s="1" t="s">
        <v>2622</v>
      </c>
      <c r="C113" s="1" t="s">
        <v>1374</v>
      </c>
      <c r="D113" s="1">
        <v>3</v>
      </c>
      <c r="E113" s="1" t="s">
        <v>3083</v>
      </c>
      <c r="F113" s="1" t="s">
        <v>3084</v>
      </c>
      <c r="G113" s="1" t="s">
        <v>3058</v>
      </c>
      <c r="I113" s="1" t="s">
        <v>73</v>
      </c>
      <c r="J113" s="1" t="s">
        <v>1419</v>
      </c>
      <c r="N113" s="1" t="s">
        <v>3456</v>
      </c>
      <c r="O113" s="1">
        <v>3</v>
      </c>
      <c r="P113" s="1">
        <v>1</v>
      </c>
      <c r="Q113" s="1" t="s">
        <v>48</v>
      </c>
      <c r="R113" s="1" t="s">
        <v>7</v>
      </c>
    </row>
    <row r="114" spans="1:18" hidden="1">
      <c r="A114" s="1">
        <v>1039</v>
      </c>
      <c r="B114" s="1" t="s">
        <v>2623</v>
      </c>
      <c r="C114" s="1" t="s">
        <v>1374</v>
      </c>
      <c r="D114" s="1">
        <v>3</v>
      </c>
      <c r="E114" s="1" t="s">
        <v>3083</v>
      </c>
      <c r="F114" s="1" t="s">
        <v>3084</v>
      </c>
      <c r="G114" s="1" t="s">
        <v>3051</v>
      </c>
      <c r="I114" s="1" t="s">
        <v>1420</v>
      </c>
      <c r="J114" s="1" t="s">
        <v>1421</v>
      </c>
      <c r="N114" s="1" t="s">
        <v>3456</v>
      </c>
      <c r="O114" s="1">
        <v>3</v>
      </c>
      <c r="P114" s="1">
        <v>1</v>
      </c>
      <c r="Q114" s="1" t="s">
        <v>29</v>
      </c>
      <c r="R114" s="1" t="s">
        <v>7</v>
      </c>
    </row>
    <row r="115" spans="1:18" hidden="1">
      <c r="A115" s="1">
        <v>1040</v>
      </c>
      <c r="B115" s="1" t="s">
        <v>2624</v>
      </c>
      <c r="C115" s="1" t="s">
        <v>1375</v>
      </c>
      <c r="D115" s="1">
        <v>3</v>
      </c>
      <c r="E115" s="1" t="s">
        <v>3083</v>
      </c>
      <c r="F115" s="1" t="s">
        <v>3084</v>
      </c>
      <c r="G115" s="1" t="s">
        <v>3055</v>
      </c>
      <c r="I115" s="1" t="s">
        <v>1422</v>
      </c>
      <c r="N115" s="1" t="s">
        <v>3456</v>
      </c>
      <c r="O115" s="1">
        <v>3</v>
      </c>
      <c r="P115" s="1">
        <v>2</v>
      </c>
      <c r="Q115" s="1" t="s">
        <v>606</v>
      </c>
      <c r="R115" s="1" t="s">
        <v>7</v>
      </c>
    </row>
    <row r="116" spans="1:18" hidden="1">
      <c r="A116" s="1">
        <v>1041</v>
      </c>
      <c r="B116" s="1" t="s">
        <v>2625</v>
      </c>
      <c r="C116" s="1" t="s">
        <v>1375</v>
      </c>
      <c r="D116" s="1">
        <v>3</v>
      </c>
      <c r="E116" s="1" t="s">
        <v>3086</v>
      </c>
      <c r="F116" s="1" t="s">
        <v>3084</v>
      </c>
      <c r="G116" s="1" t="s">
        <v>3055</v>
      </c>
      <c r="I116" s="1" t="s">
        <v>1423</v>
      </c>
      <c r="J116" s="1" t="s">
        <v>1424</v>
      </c>
      <c r="N116" s="1" t="s">
        <v>3456</v>
      </c>
      <c r="O116" s="1">
        <v>3</v>
      </c>
      <c r="P116" s="1">
        <v>2</v>
      </c>
      <c r="Q116" s="1" t="s">
        <v>40</v>
      </c>
      <c r="R116" s="1" t="s">
        <v>7</v>
      </c>
    </row>
    <row r="117" spans="1:18" hidden="1">
      <c r="A117" s="4">
        <v>1042</v>
      </c>
      <c r="B117" s="4" t="s">
        <v>2626</v>
      </c>
      <c r="C117" s="4" t="s">
        <v>1374</v>
      </c>
      <c r="D117" s="4">
        <v>3</v>
      </c>
      <c r="E117" s="4" t="s">
        <v>3083</v>
      </c>
      <c r="F117" s="4" t="s">
        <v>3084</v>
      </c>
      <c r="G117" s="4" t="s">
        <v>3075</v>
      </c>
      <c r="H117" s="4"/>
      <c r="I117" s="4" t="s">
        <v>1463</v>
      </c>
      <c r="J117" s="4" t="s">
        <v>1480</v>
      </c>
      <c r="K117" s="4"/>
      <c r="L117" s="4"/>
      <c r="M117" s="4"/>
      <c r="N117" s="4" t="s">
        <v>3456</v>
      </c>
      <c r="O117" s="4">
        <v>2</v>
      </c>
      <c r="P117" s="4">
        <v>2</v>
      </c>
      <c r="Q117" s="4" t="s">
        <v>15</v>
      </c>
      <c r="R117" s="4" t="s">
        <v>7</v>
      </c>
    </row>
    <row r="118" spans="1:18" hidden="1">
      <c r="A118" s="1">
        <v>1043</v>
      </c>
      <c r="B118" s="1" t="s">
        <v>2627</v>
      </c>
      <c r="C118" s="1" t="s">
        <v>1374</v>
      </c>
      <c r="D118" s="1">
        <v>3</v>
      </c>
      <c r="E118" s="1" t="s">
        <v>3087</v>
      </c>
      <c r="F118" s="1" t="s">
        <v>3084</v>
      </c>
      <c r="G118" s="1" t="s">
        <v>3056</v>
      </c>
      <c r="I118" s="1" t="s">
        <v>62</v>
      </c>
      <c r="J118" s="1" t="s">
        <v>1425</v>
      </c>
      <c r="K118" s="1" t="s">
        <v>1426</v>
      </c>
      <c r="N118" s="1" t="s">
        <v>3456</v>
      </c>
      <c r="O118" s="1">
        <v>2</v>
      </c>
      <c r="P118" s="1">
        <v>1</v>
      </c>
      <c r="Q118" s="1" t="s">
        <v>175</v>
      </c>
      <c r="R118" s="1" t="s">
        <v>7</v>
      </c>
    </row>
    <row r="119" spans="1:18" hidden="1">
      <c r="A119" s="1">
        <v>1044</v>
      </c>
      <c r="B119" s="1" t="s">
        <v>2628</v>
      </c>
      <c r="C119" s="1" t="s">
        <v>1374</v>
      </c>
      <c r="D119" s="1">
        <v>3</v>
      </c>
      <c r="E119" s="1" t="s">
        <v>3083</v>
      </c>
      <c r="F119" s="1" t="s">
        <v>3084</v>
      </c>
      <c r="G119" s="1" t="s">
        <v>3075</v>
      </c>
      <c r="I119" s="1" t="s">
        <v>1094</v>
      </c>
      <c r="J119" s="1" t="s">
        <v>1427</v>
      </c>
      <c r="N119" s="1" t="s">
        <v>3456</v>
      </c>
      <c r="O119" s="1">
        <v>0</v>
      </c>
      <c r="P119" s="1">
        <v>1</v>
      </c>
      <c r="Q119" s="1" t="s">
        <v>604</v>
      </c>
      <c r="R119" s="1" t="s">
        <v>7</v>
      </c>
    </row>
    <row r="120" spans="1:18" hidden="1">
      <c r="A120" s="1">
        <v>1045</v>
      </c>
      <c r="B120" s="1" t="s">
        <v>2629</v>
      </c>
      <c r="C120" s="1" t="s">
        <v>1374</v>
      </c>
      <c r="D120" s="1">
        <v>3</v>
      </c>
      <c r="E120" s="1" t="s">
        <v>3083</v>
      </c>
      <c r="F120" s="1" t="s">
        <v>3084</v>
      </c>
      <c r="G120" s="1" t="s">
        <v>3075</v>
      </c>
      <c r="I120" s="1" t="s">
        <v>1428</v>
      </c>
      <c r="N120" s="1" t="s">
        <v>3456</v>
      </c>
      <c r="O120" s="1">
        <v>1</v>
      </c>
      <c r="P120" s="1">
        <v>1</v>
      </c>
      <c r="Q120" s="1" t="s">
        <v>8</v>
      </c>
      <c r="R120" s="1" t="s">
        <v>7</v>
      </c>
    </row>
    <row r="121" spans="1:18" hidden="1">
      <c r="A121" s="1">
        <v>1046</v>
      </c>
      <c r="B121" s="1" t="s">
        <v>2630</v>
      </c>
      <c r="C121" s="1" t="s">
        <v>1374</v>
      </c>
      <c r="D121" s="1">
        <v>3</v>
      </c>
      <c r="E121" s="1" t="s">
        <v>3083</v>
      </c>
      <c r="F121" s="1" t="s">
        <v>3084</v>
      </c>
      <c r="G121" s="1" t="s">
        <v>3053</v>
      </c>
      <c r="I121" s="1" t="s">
        <v>1471</v>
      </c>
      <c r="N121" s="1" t="s">
        <v>3150</v>
      </c>
      <c r="O121" s="1">
        <v>2</v>
      </c>
      <c r="P121" s="1">
        <v>1</v>
      </c>
      <c r="Q121" s="1" t="s">
        <v>606</v>
      </c>
      <c r="R121" s="1" t="s">
        <v>7</v>
      </c>
    </row>
    <row r="122" spans="1:18" hidden="1">
      <c r="A122" s="6">
        <v>1047</v>
      </c>
      <c r="B122" s="6" t="s">
        <v>2631</v>
      </c>
      <c r="C122" s="6" t="s">
        <v>1375</v>
      </c>
      <c r="D122" s="6">
        <v>3</v>
      </c>
      <c r="E122" s="6" t="s">
        <v>3083</v>
      </c>
      <c r="F122" s="6" t="s">
        <v>3084</v>
      </c>
      <c r="G122" s="6" t="s">
        <v>3049</v>
      </c>
      <c r="H122" s="6" t="s">
        <v>3079</v>
      </c>
      <c r="I122" s="6" t="s">
        <v>3943</v>
      </c>
      <c r="J122" s="6"/>
      <c r="K122" s="6"/>
      <c r="L122" s="6"/>
      <c r="M122" s="6" t="s">
        <v>153</v>
      </c>
      <c r="N122" s="6" t="s">
        <v>3456</v>
      </c>
      <c r="O122" s="6">
        <v>3</v>
      </c>
      <c r="P122" s="6">
        <v>3</v>
      </c>
      <c r="Q122" s="6"/>
      <c r="R122" s="6"/>
    </row>
    <row r="123" spans="1:18" hidden="1">
      <c r="A123" s="6">
        <v>1048</v>
      </c>
      <c r="B123" s="6" t="s">
        <v>2632</v>
      </c>
      <c r="C123" s="6" t="s">
        <v>3096</v>
      </c>
      <c r="D123" s="6">
        <v>3</v>
      </c>
      <c r="E123" s="6" t="s">
        <v>3083</v>
      </c>
      <c r="F123" s="6" t="s">
        <v>3079</v>
      </c>
      <c r="G123" s="6"/>
      <c r="H123" s="6"/>
      <c r="I123" s="6" t="s">
        <v>1429</v>
      </c>
      <c r="J123" s="6" t="s">
        <v>3933</v>
      </c>
      <c r="K123" s="6"/>
      <c r="L123" s="6"/>
      <c r="M123" s="6" t="s">
        <v>153</v>
      </c>
      <c r="N123" s="6" t="s">
        <v>3456</v>
      </c>
      <c r="O123" s="6">
        <v>4</v>
      </c>
      <c r="P123" s="6">
        <v>3</v>
      </c>
      <c r="Q123" s="6" t="s">
        <v>46</v>
      </c>
      <c r="R123" s="6" t="s">
        <v>7</v>
      </c>
    </row>
    <row r="124" spans="1:18" hidden="1">
      <c r="A124" s="1">
        <v>1049</v>
      </c>
      <c r="B124" s="1" t="s">
        <v>2540</v>
      </c>
      <c r="C124" s="1" t="s">
        <v>1374</v>
      </c>
      <c r="D124" s="1">
        <v>3</v>
      </c>
      <c r="E124" s="1" t="s">
        <v>3083</v>
      </c>
      <c r="F124" s="1" t="s">
        <v>3084</v>
      </c>
      <c r="G124" s="1" t="s">
        <v>3051</v>
      </c>
      <c r="I124" s="1" t="s">
        <v>1330</v>
      </c>
      <c r="N124" s="1" t="s">
        <v>3456</v>
      </c>
      <c r="O124" s="1">
        <v>1</v>
      </c>
      <c r="P124" s="1">
        <v>1</v>
      </c>
      <c r="Q124" s="1" t="s">
        <v>178</v>
      </c>
      <c r="R124" s="1" t="s">
        <v>7</v>
      </c>
    </row>
    <row r="125" spans="1:18" hidden="1">
      <c r="A125" s="1">
        <v>1050</v>
      </c>
      <c r="B125" s="1" t="s">
        <v>2633</v>
      </c>
      <c r="C125" s="1" t="s">
        <v>1374</v>
      </c>
      <c r="D125" s="1">
        <v>3</v>
      </c>
      <c r="E125" s="1" t="s">
        <v>3083</v>
      </c>
      <c r="F125" s="1" t="s">
        <v>3084</v>
      </c>
      <c r="G125" s="1" t="s">
        <v>3050</v>
      </c>
      <c r="I125" s="1" t="s">
        <v>1472</v>
      </c>
      <c r="N125" s="1" t="s">
        <v>3456</v>
      </c>
      <c r="O125" s="1">
        <v>2</v>
      </c>
      <c r="P125" s="1">
        <v>1</v>
      </c>
      <c r="Q125" s="1" t="s">
        <v>171</v>
      </c>
      <c r="R125" s="1" t="s">
        <v>7</v>
      </c>
    </row>
    <row r="126" spans="1:18" hidden="1">
      <c r="A126" s="4">
        <v>1051</v>
      </c>
      <c r="B126" s="4" t="s">
        <v>2634</v>
      </c>
      <c r="C126" s="4" t="s">
        <v>1374</v>
      </c>
      <c r="D126" s="4">
        <v>3</v>
      </c>
      <c r="E126" s="4" t="s">
        <v>3083</v>
      </c>
      <c r="F126" s="4" t="s">
        <v>3084</v>
      </c>
      <c r="G126" s="4" t="s">
        <v>3067</v>
      </c>
      <c r="H126" s="4"/>
      <c r="I126" s="4" t="s">
        <v>0</v>
      </c>
      <c r="J126" s="4" t="s">
        <v>1430</v>
      </c>
      <c r="K126" s="4"/>
      <c r="L126" s="4"/>
      <c r="M126" s="4"/>
      <c r="N126" s="4" t="s">
        <v>3456</v>
      </c>
      <c r="O126" s="4">
        <v>2</v>
      </c>
      <c r="P126" s="4">
        <v>3</v>
      </c>
      <c r="Q126" s="4" t="s">
        <v>35</v>
      </c>
      <c r="R126" s="1" t="s">
        <v>7</v>
      </c>
    </row>
    <row r="127" spans="1:18" hidden="1">
      <c r="A127" s="1">
        <v>1052</v>
      </c>
      <c r="B127" s="1" t="s">
        <v>2635</v>
      </c>
      <c r="C127" s="1" t="s">
        <v>1374</v>
      </c>
      <c r="D127" s="1">
        <v>3</v>
      </c>
      <c r="E127" s="1" t="s">
        <v>3083</v>
      </c>
      <c r="F127" s="1" t="s">
        <v>3084</v>
      </c>
      <c r="G127" s="1" t="s">
        <v>3075</v>
      </c>
      <c r="I127" s="1" t="s">
        <v>1431</v>
      </c>
      <c r="N127" s="1" t="s">
        <v>3456</v>
      </c>
      <c r="O127" s="1">
        <v>2</v>
      </c>
      <c r="P127" s="1">
        <v>3</v>
      </c>
      <c r="Q127" s="1" t="s">
        <v>14</v>
      </c>
      <c r="R127" s="1" t="s">
        <v>7</v>
      </c>
    </row>
    <row r="128" spans="1:18" hidden="1">
      <c r="A128" s="6">
        <v>1053</v>
      </c>
      <c r="B128" s="6" t="s">
        <v>2636</v>
      </c>
      <c r="C128" s="6" t="s">
        <v>1374</v>
      </c>
      <c r="D128" s="6">
        <v>3</v>
      </c>
      <c r="E128" s="6" t="s">
        <v>3083</v>
      </c>
      <c r="F128" s="6" t="s">
        <v>3084</v>
      </c>
      <c r="G128" s="6" t="s">
        <v>3055</v>
      </c>
      <c r="H128" s="6" t="s">
        <v>3079</v>
      </c>
      <c r="I128" s="6" t="s">
        <v>51</v>
      </c>
      <c r="J128" s="6" t="s">
        <v>3946</v>
      </c>
      <c r="K128" s="6"/>
      <c r="L128" s="6"/>
      <c r="M128" s="6" t="s">
        <v>153</v>
      </c>
      <c r="N128" s="6" t="s">
        <v>3456</v>
      </c>
      <c r="O128" s="6">
        <v>1</v>
      </c>
      <c r="P128" s="6">
        <v>5</v>
      </c>
      <c r="Q128" s="6"/>
      <c r="R128" s="6"/>
    </row>
    <row r="129" spans="1:18" hidden="1">
      <c r="A129" s="6">
        <v>1054</v>
      </c>
      <c r="B129" s="6" t="s">
        <v>2637</v>
      </c>
      <c r="C129" s="6" t="s">
        <v>3096</v>
      </c>
      <c r="D129" s="6">
        <v>3</v>
      </c>
      <c r="E129" s="6" t="s">
        <v>3083</v>
      </c>
      <c r="F129" s="6" t="s">
        <v>3079</v>
      </c>
      <c r="G129" s="6"/>
      <c r="H129" s="6"/>
      <c r="I129" s="6" t="s">
        <v>1432</v>
      </c>
      <c r="J129" s="6" t="s">
        <v>3934</v>
      </c>
      <c r="K129" s="6"/>
      <c r="L129" s="6"/>
      <c r="M129" s="6" t="s">
        <v>153</v>
      </c>
      <c r="N129" s="6" t="s">
        <v>3456</v>
      </c>
      <c r="O129" s="6">
        <v>5</v>
      </c>
      <c r="P129" s="6">
        <v>5</v>
      </c>
      <c r="Q129" s="6" t="s">
        <v>45</v>
      </c>
      <c r="R129" s="6" t="s">
        <v>7</v>
      </c>
    </row>
    <row r="130" spans="1:18" hidden="1">
      <c r="A130" s="1">
        <v>1055</v>
      </c>
      <c r="B130" s="1" t="s">
        <v>2638</v>
      </c>
      <c r="C130" s="1" t="s">
        <v>1374</v>
      </c>
      <c r="D130" s="1">
        <v>3</v>
      </c>
      <c r="E130" s="1" t="s">
        <v>3083</v>
      </c>
      <c r="F130" s="1" t="s">
        <v>3084</v>
      </c>
      <c r="G130" s="1" t="s">
        <v>3055</v>
      </c>
      <c r="I130" s="1" t="s">
        <v>1433</v>
      </c>
      <c r="N130" s="1" t="s">
        <v>3456</v>
      </c>
      <c r="O130" s="1">
        <v>2</v>
      </c>
      <c r="P130" s="1">
        <v>1</v>
      </c>
      <c r="Q130" s="1" t="s">
        <v>27</v>
      </c>
      <c r="R130" s="1" t="s">
        <v>7</v>
      </c>
    </row>
    <row r="131" spans="1:18" hidden="1">
      <c r="A131" s="6">
        <v>1056</v>
      </c>
      <c r="B131" s="6" t="s">
        <v>2639</v>
      </c>
      <c r="C131" s="6" t="s">
        <v>1374</v>
      </c>
      <c r="D131" s="6">
        <v>3</v>
      </c>
      <c r="E131" s="6" t="s">
        <v>3083</v>
      </c>
      <c r="F131" s="6" t="s">
        <v>3084</v>
      </c>
      <c r="G131" s="6" t="s">
        <v>3071</v>
      </c>
      <c r="H131" s="6"/>
      <c r="I131" s="6" t="s">
        <v>1434</v>
      </c>
      <c r="J131" s="6" t="s">
        <v>1435</v>
      </c>
      <c r="K131" s="6" t="s">
        <v>1436</v>
      </c>
      <c r="L131" s="6"/>
      <c r="M131" s="6"/>
      <c r="N131" s="6" t="s">
        <v>3150</v>
      </c>
      <c r="O131" s="6">
        <v>1</v>
      </c>
      <c r="P131" s="6">
        <v>2</v>
      </c>
      <c r="Q131" s="6" t="s">
        <v>26</v>
      </c>
      <c r="R131" s="1" t="s">
        <v>7</v>
      </c>
    </row>
    <row r="132" spans="1:18" hidden="1">
      <c r="A132" s="8">
        <v>1058</v>
      </c>
      <c r="B132" s="8" t="s">
        <v>2640</v>
      </c>
      <c r="C132" s="8" t="s">
        <v>1374</v>
      </c>
      <c r="D132" s="8">
        <v>3</v>
      </c>
      <c r="E132" s="8" t="s">
        <v>3083</v>
      </c>
      <c r="F132" s="8" t="s">
        <v>3084</v>
      </c>
      <c r="G132" s="8" t="s">
        <v>3055</v>
      </c>
      <c r="H132" s="8"/>
      <c r="I132" s="8" t="s">
        <v>1437</v>
      </c>
      <c r="J132" s="8"/>
      <c r="K132" s="8"/>
      <c r="L132" s="8"/>
      <c r="M132" s="8"/>
      <c r="N132" s="8" t="s">
        <v>3150</v>
      </c>
      <c r="O132" s="8">
        <v>3</v>
      </c>
      <c r="P132" s="8">
        <v>1</v>
      </c>
      <c r="Q132" s="8" t="s">
        <v>52</v>
      </c>
      <c r="R132" s="8" t="s">
        <v>7</v>
      </c>
    </row>
    <row r="133" spans="1:18" hidden="1">
      <c r="A133" s="1">
        <v>1059</v>
      </c>
      <c r="B133" s="1" t="s">
        <v>2641</v>
      </c>
      <c r="C133" s="1" t="s">
        <v>1374</v>
      </c>
      <c r="D133" s="1">
        <v>3</v>
      </c>
      <c r="E133" s="1" t="s">
        <v>3083</v>
      </c>
      <c r="F133" s="1" t="s">
        <v>3084</v>
      </c>
      <c r="G133" s="1" t="s">
        <v>3057</v>
      </c>
      <c r="I133" s="1" t="s">
        <v>20</v>
      </c>
      <c r="J133" s="1" t="s">
        <v>1438</v>
      </c>
      <c r="K133" s="1" t="s">
        <v>1479</v>
      </c>
      <c r="N133" s="1" t="s">
        <v>3456</v>
      </c>
      <c r="O133" s="1" t="s">
        <v>4048</v>
      </c>
      <c r="P133" s="1">
        <v>3</v>
      </c>
      <c r="Q133" s="1" t="s">
        <v>32</v>
      </c>
      <c r="R133" s="1" t="s">
        <v>7</v>
      </c>
    </row>
    <row r="134" spans="1:18" hidden="1">
      <c r="A134" s="6">
        <v>1060</v>
      </c>
      <c r="B134" s="6" t="s">
        <v>2642</v>
      </c>
      <c r="C134" s="6" t="s">
        <v>1374</v>
      </c>
      <c r="D134" s="6">
        <v>3</v>
      </c>
      <c r="E134" s="6" t="s">
        <v>3083</v>
      </c>
      <c r="F134" s="6" t="s">
        <v>3084</v>
      </c>
      <c r="G134" s="6" t="s">
        <v>3075</v>
      </c>
      <c r="H134" s="6" t="s">
        <v>3060</v>
      </c>
      <c r="I134" s="6" t="s">
        <v>1439</v>
      </c>
      <c r="J134" s="6"/>
      <c r="K134" s="6"/>
      <c r="L134" s="6"/>
      <c r="M134" s="6"/>
      <c r="N134" s="6" t="s">
        <v>3150</v>
      </c>
      <c r="O134" s="6">
        <v>2</v>
      </c>
      <c r="P134" s="6">
        <v>2</v>
      </c>
      <c r="Q134" s="6" t="s">
        <v>28</v>
      </c>
      <c r="R134" s="6" t="s">
        <v>7</v>
      </c>
    </row>
    <row r="135" spans="1:18" hidden="1">
      <c r="A135" s="6">
        <v>1061</v>
      </c>
      <c r="B135" s="6" t="s">
        <v>2643</v>
      </c>
      <c r="C135" s="6" t="s">
        <v>1374</v>
      </c>
      <c r="D135" s="6">
        <v>3</v>
      </c>
      <c r="E135" s="6" t="s">
        <v>3083</v>
      </c>
      <c r="F135" s="6" t="s">
        <v>3084</v>
      </c>
      <c r="G135" s="6" t="s">
        <v>3075</v>
      </c>
      <c r="H135" s="6"/>
      <c r="I135" s="6" t="s">
        <v>1094</v>
      </c>
      <c r="J135" s="6" t="s">
        <v>1462</v>
      </c>
      <c r="K135" s="6"/>
      <c r="L135" s="6"/>
      <c r="M135" s="6"/>
      <c r="N135" s="6" t="s">
        <v>3456</v>
      </c>
      <c r="O135" s="6">
        <v>2</v>
      </c>
      <c r="P135" s="6">
        <v>2</v>
      </c>
      <c r="Q135" s="6" t="s">
        <v>40</v>
      </c>
      <c r="R135" s="6" t="s">
        <v>7</v>
      </c>
    </row>
    <row r="136" spans="1:18" hidden="1">
      <c r="A136" s="1">
        <v>1062</v>
      </c>
      <c r="B136" s="1" t="s">
        <v>2644</v>
      </c>
      <c r="C136" s="1" t="s">
        <v>1374</v>
      </c>
      <c r="D136" s="1">
        <v>3</v>
      </c>
      <c r="E136" s="1" t="s">
        <v>3083</v>
      </c>
      <c r="F136" s="1" t="s">
        <v>3084</v>
      </c>
      <c r="G136" s="1" t="s">
        <v>3075</v>
      </c>
      <c r="I136" s="1" t="s">
        <v>1440</v>
      </c>
      <c r="J136" s="1" t="s">
        <v>1441</v>
      </c>
      <c r="N136" s="1" t="s">
        <v>3456</v>
      </c>
      <c r="O136" s="1">
        <v>1</v>
      </c>
      <c r="P136" s="1">
        <v>4</v>
      </c>
      <c r="Q136" s="1" t="s">
        <v>39</v>
      </c>
      <c r="R136" s="1" t="s">
        <v>7</v>
      </c>
    </row>
    <row r="137" spans="1:18" hidden="1">
      <c r="A137" s="1">
        <v>1063</v>
      </c>
      <c r="B137" s="1" t="s">
        <v>2548</v>
      </c>
      <c r="C137" s="1" t="s">
        <v>1374</v>
      </c>
      <c r="D137" s="1">
        <v>3</v>
      </c>
      <c r="E137" s="1" t="s">
        <v>3083</v>
      </c>
      <c r="F137" s="1" t="s">
        <v>3084</v>
      </c>
      <c r="G137" s="1" t="s">
        <v>3075</v>
      </c>
      <c r="I137" s="1" t="s">
        <v>1337</v>
      </c>
      <c r="J137" s="1" t="s">
        <v>1376</v>
      </c>
      <c r="N137" s="1" t="s">
        <v>3456</v>
      </c>
      <c r="O137" s="1">
        <v>0</v>
      </c>
      <c r="P137" s="1">
        <v>1</v>
      </c>
      <c r="Q137" s="1" t="s">
        <v>844</v>
      </c>
      <c r="R137" s="1" t="s">
        <v>7</v>
      </c>
    </row>
    <row r="138" spans="1:18" hidden="1">
      <c r="A138" s="9">
        <v>2011</v>
      </c>
      <c r="B138" s="9" t="s">
        <v>2676</v>
      </c>
      <c r="C138" s="9" t="s">
        <v>1374</v>
      </c>
      <c r="D138" s="9">
        <v>3</v>
      </c>
      <c r="E138" s="9" t="s">
        <v>3083</v>
      </c>
      <c r="F138" s="9" t="s">
        <v>3084</v>
      </c>
      <c r="G138" s="9" t="s">
        <v>3071</v>
      </c>
      <c r="H138" s="9" t="s">
        <v>3079</v>
      </c>
      <c r="I138" s="9" t="s">
        <v>1094</v>
      </c>
      <c r="J138" s="9" t="s">
        <v>3947</v>
      </c>
      <c r="K138" s="9"/>
      <c r="L138" s="9"/>
      <c r="M138" s="9" t="s">
        <v>153</v>
      </c>
      <c r="N138" s="9" t="s">
        <v>3456</v>
      </c>
      <c r="O138" s="9">
        <v>3</v>
      </c>
      <c r="P138" s="9">
        <v>2</v>
      </c>
      <c r="Q138" s="9"/>
      <c r="R138" s="9"/>
    </row>
    <row r="139" spans="1:18" hidden="1">
      <c r="A139" s="9">
        <v>2012</v>
      </c>
      <c r="B139" s="9" t="s">
        <v>2677</v>
      </c>
      <c r="C139" s="9" t="s">
        <v>3096</v>
      </c>
      <c r="D139" s="9">
        <v>3</v>
      </c>
      <c r="E139" s="9" t="s">
        <v>3083</v>
      </c>
      <c r="F139" s="9" t="s">
        <v>3079</v>
      </c>
      <c r="G139" s="9"/>
      <c r="H139" s="9"/>
      <c r="I139" s="9" t="s">
        <v>1491</v>
      </c>
      <c r="J139" s="9" t="s">
        <v>3935</v>
      </c>
      <c r="K139" s="9"/>
      <c r="L139" s="9"/>
      <c r="M139" s="9" t="s">
        <v>153</v>
      </c>
      <c r="N139" s="9" t="s">
        <v>3150</v>
      </c>
      <c r="O139" s="9">
        <v>4</v>
      </c>
      <c r="P139" s="9">
        <v>3</v>
      </c>
      <c r="Q139" s="9" t="s">
        <v>46</v>
      </c>
      <c r="R139" s="9" t="s">
        <v>9</v>
      </c>
    </row>
    <row r="140" spans="1:18" hidden="1">
      <c r="A140" s="8">
        <v>2013</v>
      </c>
      <c r="B140" s="8" t="s">
        <v>2678</v>
      </c>
      <c r="C140" s="8" t="s">
        <v>1375</v>
      </c>
      <c r="D140" s="8">
        <v>3</v>
      </c>
      <c r="E140" s="8" t="s">
        <v>3083</v>
      </c>
      <c r="F140" s="8" t="s">
        <v>3084</v>
      </c>
      <c r="G140" s="8" t="s">
        <v>3071</v>
      </c>
      <c r="H140" s="8" t="s">
        <v>3079</v>
      </c>
      <c r="I140" s="8" t="s">
        <v>0</v>
      </c>
      <c r="J140" s="8" t="s">
        <v>3948</v>
      </c>
      <c r="K140" s="8"/>
      <c r="L140" s="8"/>
      <c r="M140" s="8" t="s">
        <v>153</v>
      </c>
      <c r="N140" s="8" t="s">
        <v>3456</v>
      </c>
      <c r="O140" s="8">
        <v>2</v>
      </c>
      <c r="P140" s="8">
        <v>2</v>
      </c>
      <c r="Q140" s="8"/>
      <c r="R140" s="8"/>
    </row>
    <row r="141" spans="1:18" hidden="1">
      <c r="A141" s="8">
        <v>2014</v>
      </c>
      <c r="B141" s="8" t="s">
        <v>2679</v>
      </c>
      <c r="C141" s="8" t="s">
        <v>3096</v>
      </c>
      <c r="D141" s="8">
        <v>3</v>
      </c>
      <c r="E141" s="8" t="s">
        <v>3083</v>
      </c>
      <c r="F141" s="8" t="s">
        <v>3079</v>
      </c>
      <c r="G141" s="8"/>
      <c r="H141" s="8"/>
      <c r="I141" s="8" t="s">
        <v>21</v>
      </c>
      <c r="J141" s="8" t="s">
        <v>1492</v>
      </c>
      <c r="K141" s="8" t="s">
        <v>3936</v>
      </c>
      <c r="L141" s="8"/>
      <c r="M141" s="8" t="s">
        <v>153</v>
      </c>
      <c r="N141" s="8" t="s">
        <v>3456</v>
      </c>
      <c r="O141" s="8">
        <v>3</v>
      </c>
      <c r="P141" s="8">
        <v>3</v>
      </c>
      <c r="Q141" s="8" t="s">
        <v>45</v>
      </c>
      <c r="R141" s="8" t="s">
        <v>9</v>
      </c>
    </row>
    <row r="142" spans="1:18" hidden="1">
      <c r="A142" s="1">
        <v>2015</v>
      </c>
      <c r="B142" s="1" t="s">
        <v>2680</v>
      </c>
      <c r="C142" s="1" t="s">
        <v>1374</v>
      </c>
      <c r="D142" s="1">
        <v>3</v>
      </c>
      <c r="E142" s="1" t="s">
        <v>3083</v>
      </c>
      <c r="F142" s="1" t="s">
        <v>3084</v>
      </c>
      <c r="G142" s="1" t="s">
        <v>3075</v>
      </c>
      <c r="I142" s="1" t="s">
        <v>1094</v>
      </c>
      <c r="J142" s="1" t="s">
        <v>1493</v>
      </c>
      <c r="N142" s="1" t="s">
        <v>3456</v>
      </c>
      <c r="O142" s="1">
        <v>0</v>
      </c>
      <c r="P142" s="1">
        <v>1</v>
      </c>
      <c r="Q142" s="1" t="s">
        <v>30</v>
      </c>
      <c r="R142" s="1" t="s">
        <v>9</v>
      </c>
    </row>
    <row r="143" spans="1:18" hidden="1">
      <c r="A143" s="1">
        <v>2016</v>
      </c>
      <c r="B143" s="1" t="s">
        <v>2681</v>
      </c>
      <c r="C143" s="1" t="s">
        <v>1375</v>
      </c>
      <c r="D143" s="1">
        <v>3</v>
      </c>
      <c r="E143" s="1" t="s">
        <v>3083</v>
      </c>
      <c r="F143" s="1" t="s">
        <v>3084</v>
      </c>
      <c r="G143" s="1" t="s">
        <v>3057</v>
      </c>
      <c r="I143" s="1" t="s">
        <v>1094</v>
      </c>
      <c r="J143" s="1" t="s">
        <v>73</v>
      </c>
      <c r="K143" s="1" t="s">
        <v>1494</v>
      </c>
      <c r="N143" s="1" t="s">
        <v>3456</v>
      </c>
      <c r="O143" s="1">
        <v>2</v>
      </c>
      <c r="P143" s="1">
        <v>2</v>
      </c>
      <c r="Q143" s="1" t="s">
        <v>48</v>
      </c>
      <c r="R143" s="1" t="s">
        <v>9</v>
      </c>
    </row>
    <row r="144" spans="1:18" hidden="1">
      <c r="A144" s="1">
        <v>2017</v>
      </c>
      <c r="B144" s="1" t="s">
        <v>2682</v>
      </c>
      <c r="C144" s="1" t="s">
        <v>1375</v>
      </c>
      <c r="D144" s="1">
        <v>3</v>
      </c>
      <c r="E144" s="1" t="s">
        <v>3087</v>
      </c>
      <c r="F144" s="1" t="s">
        <v>3084</v>
      </c>
      <c r="G144" s="1" t="s">
        <v>3062</v>
      </c>
      <c r="I144" s="1" t="s">
        <v>1529</v>
      </c>
      <c r="J144" s="1" t="s">
        <v>1530</v>
      </c>
      <c r="K144" s="1" t="s">
        <v>1531</v>
      </c>
      <c r="N144" s="1" t="s">
        <v>3456</v>
      </c>
      <c r="O144" s="1">
        <v>2</v>
      </c>
      <c r="P144" s="1">
        <v>2</v>
      </c>
      <c r="Q144" s="1" t="s">
        <v>31</v>
      </c>
      <c r="R144" s="1" t="s">
        <v>9</v>
      </c>
    </row>
    <row r="145" spans="1:18" hidden="1">
      <c r="A145" s="1">
        <v>2018</v>
      </c>
      <c r="B145" s="1" t="s">
        <v>2683</v>
      </c>
      <c r="C145" s="1" t="s">
        <v>1374</v>
      </c>
      <c r="D145" s="1">
        <v>3</v>
      </c>
      <c r="E145" s="1" t="s">
        <v>3083</v>
      </c>
      <c r="F145" s="1" t="s">
        <v>3084</v>
      </c>
      <c r="G145" s="1" t="s">
        <v>3051</v>
      </c>
      <c r="I145" s="1" t="s">
        <v>1495</v>
      </c>
      <c r="N145" s="1" t="s">
        <v>3456</v>
      </c>
      <c r="O145" s="1">
        <v>2</v>
      </c>
      <c r="P145" s="1">
        <v>2</v>
      </c>
      <c r="Q145" s="1" t="s">
        <v>34</v>
      </c>
      <c r="R145" s="1" t="s">
        <v>9</v>
      </c>
    </row>
    <row r="146" spans="1:18" hidden="1">
      <c r="A146" s="1">
        <v>2019</v>
      </c>
      <c r="B146" s="1" t="s">
        <v>2684</v>
      </c>
      <c r="C146" s="1" t="s">
        <v>1374</v>
      </c>
      <c r="D146" s="1">
        <v>3</v>
      </c>
      <c r="E146" s="1" t="s">
        <v>3087</v>
      </c>
      <c r="F146" s="1" t="s">
        <v>3084</v>
      </c>
      <c r="G146" s="1" t="s">
        <v>3063</v>
      </c>
      <c r="I146" s="1" t="s">
        <v>1496</v>
      </c>
      <c r="J146" s="1" t="s">
        <v>1532</v>
      </c>
      <c r="K146" s="1" t="s">
        <v>1497</v>
      </c>
      <c r="N146" s="1" t="s">
        <v>3150</v>
      </c>
      <c r="O146" s="1">
        <v>2</v>
      </c>
      <c r="P146" s="1">
        <v>2</v>
      </c>
      <c r="Q146" s="1" t="s">
        <v>26</v>
      </c>
      <c r="R146" s="1" t="s">
        <v>9</v>
      </c>
    </row>
    <row r="147" spans="1:18" hidden="1">
      <c r="A147" s="1">
        <v>2020</v>
      </c>
      <c r="B147" s="1" t="s">
        <v>2685</v>
      </c>
      <c r="C147" s="1" t="s">
        <v>1374</v>
      </c>
      <c r="D147" s="1">
        <v>3</v>
      </c>
      <c r="E147" s="1" t="s">
        <v>3087</v>
      </c>
      <c r="F147" s="1" t="s">
        <v>3084</v>
      </c>
      <c r="G147" s="1" t="s">
        <v>3070</v>
      </c>
      <c r="I147" s="1" t="s">
        <v>1094</v>
      </c>
      <c r="J147" s="1" t="s">
        <v>1498</v>
      </c>
      <c r="K147" s="1" t="s">
        <v>1499</v>
      </c>
      <c r="N147" s="1" t="s">
        <v>3456</v>
      </c>
      <c r="O147" s="1">
        <v>2</v>
      </c>
      <c r="P147" s="1">
        <v>2</v>
      </c>
      <c r="Q147" s="1" t="s">
        <v>30</v>
      </c>
      <c r="R147" s="1" t="s">
        <v>9</v>
      </c>
    </row>
    <row r="148" spans="1:18" hidden="1">
      <c r="A148" s="1">
        <v>2021</v>
      </c>
      <c r="B148" s="9" t="s">
        <v>2686</v>
      </c>
      <c r="C148" s="9" t="s">
        <v>1374</v>
      </c>
      <c r="D148" s="9">
        <v>3</v>
      </c>
      <c r="E148" s="9" t="s">
        <v>3087</v>
      </c>
      <c r="F148" s="9" t="s">
        <v>3084</v>
      </c>
      <c r="G148" s="9" t="s">
        <v>3055</v>
      </c>
      <c r="H148" s="9"/>
      <c r="I148" s="9" t="s">
        <v>0</v>
      </c>
      <c r="J148" s="9" t="s">
        <v>1542</v>
      </c>
      <c r="K148" s="9"/>
      <c r="L148" s="9"/>
      <c r="M148" s="9"/>
      <c r="N148" s="9" t="s">
        <v>3456</v>
      </c>
      <c r="O148" s="9">
        <v>3</v>
      </c>
      <c r="P148" s="9">
        <v>2</v>
      </c>
      <c r="Q148" s="9" t="s">
        <v>53</v>
      </c>
      <c r="R148" s="9" t="s">
        <v>9</v>
      </c>
    </row>
    <row r="149" spans="1:18" hidden="1">
      <c r="A149" s="6">
        <v>2022</v>
      </c>
      <c r="B149" s="6" t="s">
        <v>2687</v>
      </c>
      <c r="C149" s="6" t="s">
        <v>1374</v>
      </c>
      <c r="D149" s="6">
        <v>3</v>
      </c>
      <c r="E149" s="6" t="s">
        <v>3083</v>
      </c>
      <c r="F149" s="6" t="s">
        <v>3084</v>
      </c>
      <c r="G149" s="6" t="s">
        <v>3050</v>
      </c>
      <c r="H149" s="6"/>
      <c r="I149" s="6" t="s">
        <v>1500</v>
      </c>
      <c r="J149" s="6" t="s">
        <v>1501</v>
      </c>
      <c r="K149" s="6"/>
      <c r="L149" s="6"/>
      <c r="M149" s="6" t="s">
        <v>153</v>
      </c>
      <c r="N149" s="6" t="s">
        <v>3456</v>
      </c>
      <c r="O149" s="6">
        <v>2</v>
      </c>
      <c r="P149" s="6">
        <v>3</v>
      </c>
      <c r="Q149" s="6"/>
      <c r="R149" s="3"/>
    </row>
    <row r="150" spans="1:18" hidden="1">
      <c r="A150" s="6">
        <v>2023</v>
      </c>
      <c r="B150" s="6" t="s">
        <v>2688</v>
      </c>
      <c r="C150" s="6" t="s">
        <v>13449</v>
      </c>
      <c r="D150" s="6">
        <v>3</v>
      </c>
      <c r="E150" s="6" t="s">
        <v>3087</v>
      </c>
      <c r="F150" s="6" t="s">
        <v>3090</v>
      </c>
      <c r="G150" s="6" t="s">
        <v>3081</v>
      </c>
      <c r="H150" s="6"/>
      <c r="I150" s="6" t="s">
        <v>1502</v>
      </c>
      <c r="J150" s="6" t="s">
        <v>1503</v>
      </c>
      <c r="K150" s="6"/>
      <c r="L150" s="6"/>
      <c r="M150" s="6" t="s">
        <v>153</v>
      </c>
      <c r="N150" s="6" t="s">
        <v>3456</v>
      </c>
      <c r="O150" s="6">
        <v>7</v>
      </c>
      <c r="P150" s="6">
        <v>4</v>
      </c>
      <c r="Q150" s="6" t="s">
        <v>39</v>
      </c>
      <c r="R150" s="3" t="s">
        <v>9</v>
      </c>
    </row>
    <row r="151" spans="1:18" hidden="1">
      <c r="A151" s="1">
        <v>3004</v>
      </c>
      <c r="B151" s="1" t="s">
        <v>2716</v>
      </c>
      <c r="C151" s="1" t="s">
        <v>1375</v>
      </c>
      <c r="D151" s="1">
        <v>3</v>
      </c>
      <c r="E151" s="1" t="s">
        <v>3083</v>
      </c>
      <c r="F151" s="1" t="s">
        <v>3084</v>
      </c>
      <c r="G151" s="1" t="s">
        <v>3075</v>
      </c>
      <c r="I151" s="1" t="s">
        <v>1544</v>
      </c>
      <c r="J151" s="1" t="s">
        <v>1545</v>
      </c>
      <c r="N151" s="1" t="s">
        <v>3456</v>
      </c>
      <c r="O151" s="1">
        <v>1</v>
      </c>
      <c r="P151" s="1">
        <v>3</v>
      </c>
      <c r="Q151" s="1" t="s">
        <v>27</v>
      </c>
      <c r="R151" s="1" t="s">
        <v>41</v>
      </c>
    </row>
    <row r="152" spans="1:18" hidden="1">
      <c r="A152" s="1">
        <v>3005</v>
      </c>
      <c r="B152" s="1" t="s">
        <v>2717</v>
      </c>
      <c r="C152" s="1" t="s">
        <v>1374</v>
      </c>
      <c r="D152" s="1">
        <v>3</v>
      </c>
      <c r="E152" s="1" t="s">
        <v>3083</v>
      </c>
      <c r="F152" s="1" t="s">
        <v>3084</v>
      </c>
      <c r="G152" s="1" t="s">
        <v>3055</v>
      </c>
      <c r="I152" s="1" t="s">
        <v>1546</v>
      </c>
      <c r="N152" s="1" t="s">
        <v>3456</v>
      </c>
      <c r="O152" s="1">
        <v>4</v>
      </c>
      <c r="P152" s="1">
        <v>1</v>
      </c>
      <c r="Q152" s="1" t="s">
        <v>17</v>
      </c>
      <c r="R152" s="1" t="s">
        <v>41</v>
      </c>
    </row>
    <row r="153" spans="1:18" hidden="1">
      <c r="A153" s="10">
        <v>3006</v>
      </c>
      <c r="B153" s="10" t="s">
        <v>2718</v>
      </c>
      <c r="C153" s="10" t="s">
        <v>1375</v>
      </c>
      <c r="D153" s="10">
        <v>3</v>
      </c>
      <c r="E153" s="10" t="s">
        <v>3087</v>
      </c>
      <c r="F153" s="10" t="s">
        <v>3084</v>
      </c>
      <c r="G153" s="10" t="s">
        <v>3075</v>
      </c>
      <c r="H153" s="10"/>
      <c r="I153" s="10" t="s">
        <v>1547</v>
      </c>
      <c r="J153" s="10" t="s">
        <v>1548</v>
      </c>
      <c r="K153" s="10"/>
      <c r="L153" s="10"/>
      <c r="M153" s="10" t="s">
        <v>153</v>
      </c>
      <c r="N153" s="10" t="s">
        <v>3456</v>
      </c>
      <c r="O153" s="10">
        <v>2</v>
      </c>
      <c r="P153" s="10">
        <v>2</v>
      </c>
      <c r="Q153" s="10"/>
      <c r="R153" s="10"/>
    </row>
    <row r="154" spans="1:18" hidden="1">
      <c r="A154" s="10">
        <v>3007</v>
      </c>
      <c r="B154" s="10" t="s">
        <v>2719</v>
      </c>
      <c r="C154" s="10" t="s">
        <v>3096</v>
      </c>
      <c r="D154" s="10">
        <v>3</v>
      </c>
      <c r="E154" s="10" t="s">
        <v>3098</v>
      </c>
      <c r="F154" s="10" t="s">
        <v>3398</v>
      </c>
      <c r="G154" s="10"/>
      <c r="H154" s="10"/>
      <c r="I154" s="10" t="s">
        <v>1549</v>
      </c>
      <c r="J154" s="10" t="s">
        <v>1550</v>
      </c>
      <c r="K154" s="10" t="s">
        <v>1551</v>
      </c>
      <c r="L154" s="10"/>
      <c r="M154" s="10" t="s">
        <v>153</v>
      </c>
      <c r="N154" s="10" t="s">
        <v>3456</v>
      </c>
      <c r="O154" s="10">
        <v>4</v>
      </c>
      <c r="P154" s="10"/>
      <c r="Q154" s="10" t="s">
        <v>48</v>
      </c>
      <c r="R154" s="10" t="s">
        <v>41</v>
      </c>
    </row>
    <row r="155" spans="1:18" hidden="1">
      <c r="A155" s="2">
        <v>64</v>
      </c>
      <c r="B155" s="1" t="s">
        <v>2562</v>
      </c>
      <c r="C155" s="1" t="s">
        <v>1378</v>
      </c>
      <c r="D155" s="1">
        <v>4</v>
      </c>
      <c r="E155" s="1" t="s">
        <v>3083</v>
      </c>
      <c r="F155" s="1" t="s">
        <v>3084</v>
      </c>
      <c r="G155" s="1" t="s">
        <v>3050</v>
      </c>
      <c r="I155" s="1" t="s">
        <v>1347</v>
      </c>
      <c r="N155" s="2" t="s">
        <v>3456</v>
      </c>
      <c r="O155" s="1">
        <v>2</v>
      </c>
      <c r="P155" s="1">
        <v>2</v>
      </c>
      <c r="Q155" s="1" t="s">
        <v>182</v>
      </c>
      <c r="R155" s="1" t="s">
        <v>4</v>
      </c>
    </row>
    <row r="156" spans="1:18" hidden="1">
      <c r="A156" s="7">
        <v>65</v>
      </c>
      <c r="B156" s="6" t="s">
        <v>2563</v>
      </c>
      <c r="C156" s="6" t="s">
        <v>1378</v>
      </c>
      <c r="D156" s="6">
        <v>4</v>
      </c>
      <c r="E156" s="6" t="s">
        <v>3083</v>
      </c>
      <c r="F156" s="6" t="s">
        <v>3084</v>
      </c>
      <c r="G156" s="6" t="s">
        <v>3071</v>
      </c>
      <c r="H156" s="6"/>
      <c r="I156" s="6" t="s">
        <v>1348</v>
      </c>
      <c r="J156" s="6" t="s">
        <v>1349</v>
      </c>
      <c r="K156" s="6"/>
      <c r="L156" s="6"/>
      <c r="M156" s="6"/>
      <c r="N156" s="7" t="s">
        <v>3150</v>
      </c>
      <c r="O156" s="6">
        <v>3</v>
      </c>
      <c r="P156" s="6">
        <v>3</v>
      </c>
      <c r="Q156" s="6" t="s">
        <v>26</v>
      </c>
      <c r="R156" s="1" t="s">
        <v>4</v>
      </c>
    </row>
    <row r="157" spans="1:18" hidden="1">
      <c r="A157" s="2">
        <v>66</v>
      </c>
      <c r="B157" s="1" t="s">
        <v>2564</v>
      </c>
      <c r="C157" s="1" t="s">
        <v>1378</v>
      </c>
      <c r="D157" s="1">
        <v>4</v>
      </c>
      <c r="E157" s="1" t="s">
        <v>3083</v>
      </c>
      <c r="F157" s="1" t="s">
        <v>3084</v>
      </c>
      <c r="G157" s="1" t="s">
        <v>3070</v>
      </c>
      <c r="I157" s="1" t="s">
        <v>1094</v>
      </c>
      <c r="J157" s="1" t="s">
        <v>1350</v>
      </c>
      <c r="N157" s="2" t="s">
        <v>3150</v>
      </c>
      <c r="O157" s="1">
        <v>2</v>
      </c>
      <c r="P157" s="1">
        <v>2</v>
      </c>
      <c r="Q157" s="1" t="s">
        <v>30</v>
      </c>
      <c r="R157" s="1" t="s">
        <v>4</v>
      </c>
    </row>
    <row r="158" spans="1:18" hidden="1">
      <c r="A158" s="2">
        <v>67</v>
      </c>
      <c r="B158" s="1" t="s">
        <v>2565</v>
      </c>
      <c r="C158" s="1" t="s">
        <v>1379</v>
      </c>
      <c r="D158" s="1">
        <v>4</v>
      </c>
      <c r="E158" s="1" t="s">
        <v>3083</v>
      </c>
      <c r="F158" s="1" t="s">
        <v>3084</v>
      </c>
      <c r="G158" s="1" t="s">
        <v>3050</v>
      </c>
      <c r="H158" s="1" t="s">
        <v>3055</v>
      </c>
      <c r="I158" s="1" t="s">
        <v>0</v>
      </c>
      <c r="J158" s="1" t="s">
        <v>1380</v>
      </c>
      <c r="N158" s="2" t="s">
        <v>3456</v>
      </c>
      <c r="O158" s="1">
        <v>1</v>
      </c>
      <c r="P158" s="1">
        <v>3</v>
      </c>
      <c r="Q158" s="1" t="s">
        <v>171</v>
      </c>
      <c r="R158" s="1" t="s">
        <v>4</v>
      </c>
    </row>
    <row r="159" spans="1:18" hidden="1">
      <c r="A159" s="2">
        <v>68</v>
      </c>
      <c r="B159" s="1" t="s">
        <v>2566</v>
      </c>
      <c r="C159" s="1" t="s">
        <v>1379</v>
      </c>
      <c r="D159" s="1">
        <v>4</v>
      </c>
      <c r="E159" s="1" t="s">
        <v>3083</v>
      </c>
      <c r="F159" s="1" t="s">
        <v>3084</v>
      </c>
      <c r="G159" s="1" t="s">
        <v>3075</v>
      </c>
      <c r="I159" s="1" t="s">
        <v>1351</v>
      </c>
      <c r="J159" s="1" t="s">
        <v>1352</v>
      </c>
      <c r="N159" s="2" t="s">
        <v>3456</v>
      </c>
      <c r="O159" s="1">
        <v>1</v>
      </c>
      <c r="P159" s="1">
        <v>2</v>
      </c>
      <c r="Q159" s="1" t="s">
        <v>175</v>
      </c>
      <c r="R159" s="1" t="s">
        <v>4</v>
      </c>
    </row>
    <row r="160" spans="1:18" hidden="1">
      <c r="A160" s="2">
        <v>69</v>
      </c>
      <c r="B160" s="1" t="s">
        <v>2567</v>
      </c>
      <c r="C160" s="1" t="s">
        <v>1378</v>
      </c>
      <c r="D160" s="1">
        <v>4</v>
      </c>
      <c r="E160" s="1" t="s">
        <v>3083</v>
      </c>
      <c r="F160" s="1" t="s">
        <v>3084</v>
      </c>
      <c r="G160" s="1" t="s">
        <v>3055</v>
      </c>
      <c r="I160" s="1" t="s">
        <v>20</v>
      </c>
      <c r="J160" s="1" t="s">
        <v>1353</v>
      </c>
      <c r="N160" s="2" t="s">
        <v>3456</v>
      </c>
      <c r="O160" s="1">
        <v>4</v>
      </c>
      <c r="P160" s="1">
        <v>2</v>
      </c>
      <c r="Q160" s="1" t="s">
        <v>32</v>
      </c>
      <c r="R160" s="1" t="s">
        <v>4</v>
      </c>
    </row>
    <row r="161" spans="1:19" hidden="1">
      <c r="A161" s="2">
        <v>70</v>
      </c>
      <c r="B161" s="1" t="s">
        <v>2568</v>
      </c>
      <c r="C161" s="1" t="s">
        <v>1378</v>
      </c>
      <c r="D161" s="1">
        <v>4</v>
      </c>
      <c r="E161" s="1" t="s">
        <v>3083</v>
      </c>
      <c r="F161" s="1" t="s">
        <v>3084</v>
      </c>
      <c r="G161" s="1" t="s">
        <v>3063</v>
      </c>
      <c r="I161" s="1" t="s">
        <v>937</v>
      </c>
      <c r="J161" s="1" t="s">
        <v>1086</v>
      </c>
      <c r="N161" s="2" t="s">
        <v>3456</v>
      </c>
      <c r="O161" s="1">
        <v>3</v>
      </c>
      <c r="P161" s="1">
        <v>3</v>
      </c>
      <c r="Q161" s="1" t="s">
        <v>35</v>
      </c>
      <c r="R161" s="1" t="s">
        <v>4</v>
      </c>
    </row>
    <row r="162" spans="1:19" hidden="1">
      <c r="A162" s="2">
        <v>71</v>
      </c>
      <c r="B162" s="1" t="s">
        <v>2569</v>
      </c>
      <c r="C162" s="1" t="s">
        <v>1378</v>
      </c>
      <c r="D162" s="1">
        <v>4</v>
      </c>
      <c r="E162" s="1" t="s">
        <v>3083</v>
      </c>
      <c r="F162" s="1" t="s">
        <v>3084</v>
      </c>
      <c r="G162" s="1" t="s">
        <v>3057</v>
      </c>
      <c r="I162" s="1" t="s">
        <v>1354</v>
      </c>
      <c r="N162" s="2" t="s">
        <v>3150</v>
      </c>
      <c r="O162" s="1">
        <v>3</v>
      </c>
      <c r="P162" s="1">
        <v>3</v>
      </c>
      <c r="Q162" s="1" t="s">
        <v>50</v>
      </c>
      <c r="R162" s="1" t="s">
        <v>4</v>
      </c>
    </row>
    <row r="163" spans="1:19" hidden="1">
      <c r="A163" s="2">
        <v>72</v>
      </c>
      <c r="B163" s="1" t="s">
        <v>2570</v>
      </c>
      <c r="C163" s="1" t="s">
        <v>1378</v>
      </c>
      <c r="D163" s="1">
        <v>4</v>
      </c>
      <c r="E163" s="1" t="s">
        <v>3083</v>
      </c>
      <c r="F163" s="1" t="s">
        <v>3084</v>
      </c>
      <c r="G163" s="1" t="s">
        <v>3055</v>
      </c>
      <c r="I163" s="1" t="s">
        <v>1355</v>
      </c>
      <c r="N163" s="2" t="s">
        <v>3150</v>
      </c>
      <c r="O163" s="1">
        <v>2</v>
      </c>
      <c r="P163" s="1">
        <v>4</v>
      </c>
      <c r="Q163" s="1" t="s">
        <v>16</v>
      </c>
      <c r="R163" s="1" t="s">
        <v>4</v>
      </c>
    </row>
    <row r="164" spans="1:19" hidden="1">
      <c r="A164" s="2">
        <v>73</v>
      </c>
      <c r="B164" s="3" t="s">
        <v>2571</v>
      </c>
      <c r="C164" s="3" t="s">
        <v>1378</v>
      </c>
      <c r="D164" s="3">
        <v>4</v>
      </c>
      <c r="E164" s="3" t="s">
        <v>3083</v>
      </c>
      <c r="F164" s="3" t="s">
        <v>3084</v>
      </c>
      <c r="G164" s="3" t="s">
        <v>3070</v>
      </c>
      <c r="H164" s="3"/>
      <c r="I164" s="3" t="s">
        <v>1356</v>
      </c>
      <c r="J164" s="3"/>
      <c r="K164" s="3"/>
      <c r="L164" s="3"/>
      <c r="M164" s="3"/>
      <c r="N164" s="14" t="s">
        <v>3150</v>
      </c>
      <c r="O164" s="3">
        <v>3</v>
      </c>
      <c r="P164" s="3">
        <v>3</v>
      </c>
      <c r="Q164" s="3" t="s">
        <v>36</v>
      </c>
      <c r="R164" s="3" t="s">
        <v>4</v>
      </c>
      <c r="S164" s="4"/>
    </row>
    <row r="165" spans="1:19" hidden="1">
      <c r="A165" s="2">
        <v>74</v>
      </c>
      <c r="B165" s="1" t="s">
        <v>2572</v>
      </c>
      <c r="C165" s="1" t="s">
        <v>1378</v>
      </c>
      <c r="D165" s="1">
        <v>4</v>
      </c>
      <c r="E165" s="1" t="s">
        <v>3083</v>
      </c>
      <c r="F165" s="1" t="s">
        <v>3084</v>
      </c>
      <c r="G165" s="1" t="s">
        <v>3075</v>
      </c>
      <c r="I165" s="1" t="s">
        <v>1094</v>
      </c>
      <c r="J165" s="1" t="s">
        <v>1357</v>
      </c>
      <c r="N165" s="2" t="s">
        <v>3456</v>
      </c>
      <c r="O165" s="1">
        <v>2</v>
      </c>
      <c r="P165" s="1">
        <v>2</v>
      </c>
      <c r="Q165" s="1" t="s">
        <v>52</v>
      </c>
      <c r="R165" s="1" t="s">
        <v>4</v>
      </c>
    </row>
    <row r="166" spans="1:19" hidden="1">
      <c r="A166" s="7">
        <v>75</v>
      </c>
      <c r="B166" s="6" t="s">
        <v>2573</v>
      </c>
      <c r="C166" s="6" t="s">
        <v>1378</v>
      </c>
      <c r="D166" s="6">
        <v>4</v>
      </c>
      <c r="E166" s="6" t="s">
        <v>3083</v>
      </c>
      <c r="F166" s="6" t="s">
        <v>3084</v>
      </c>
      <c r="G166" s="6" t="s">
        <v>3055</v>
      </c>
      <c r="H166" s="6" t="s">
        <v>3079</v>
      </c>
      <c r="I166" s="6" t="s">
        <v>3949</v>
      </c>
      <c r="J166" s="6"/>
      <c r="K166" s="6"/>
      <c r="L166" s="6"/>
      <c r="M166" s="6" t="s">
        <v>153</v>
      </c>
      <c r="N166" s="7" t="s">
        <v>3456</v>
      </c>
      <c r="O166" s="6">
        <v>3</v>
      </c>
      <c r="P166" s="6">
        <v>2</v>
      </c>
      <c r="Q166" s="6"/>
      <c r="R166" s="6"/>
      <c r="S166" s="4"/>
    </row>
    <row r="167" spans="1:19" hidden="1">
      <c r="A167" s="7">
        <v>76</v>
      </c>
      <c r="B167" s="6" t="s">
        <v>2574</v>
      </c>
      <c r="C167" s="6" t="s">
        <v>3096</v>
      </c>
      <c r="D167" s="6">
        <v>4</v>
      </c>
      <c r="E167" s="6" t="s">
        <v>3083</v>
      </c>
      <c r="F167" s="6" t="s">
        <v>3079</v>
      </c>
      <c r="G167" s="6"/>
      <c r="H167" s="6"/>
      <c r="I167" s="6" t="s">
        <v>3937</v>
      </c>
      <c r="J167" s="6"/>
      <c r="K167" s="6"/>
      <c r="L167" s="6"/>
      <c r="M167" s="6" t="s">
        <v>153</v>
      </c>
      <c r="N167" s="7" t="s">
        <v>3456</v>
      </c>
      <c r="O167" s="6">
        <v>6</v>
      </c>
      <c r="P167" s="6">
        <v>4</v>
      </c>
      <c r="Q167" s="6" t="s">
        <v>45</v>
      </c>
      <c r="R167" s="6" t="s">
        <v>4</v>
      </c>
      <c r="S167" s="4"/>
    </row>
    <row r="168" spans="1:19" hidden="1">
      <c r="A168" s="2">
        <v>77</v>
      </c>
      <c r="B168" s="1" t="s">
        <v>2575</v>
      </c>
      <c r="C168" s="1" t="s">
        <v>1378</v>
      </c>
      <c r="D168" s="3">
        <v>4</v>
      </c>
      <c r="E168" s="1" t="s">
        <v>3083</v>
      </c>
      <c r="F168" s="1" t="s">
        <v>3084</v>
      </c>
      <c r="G168" s="1" t="s">
        <v>3057</v>
      </c>
      <c r="I168" s="1" t="s">
        <v>1358</v>
      </c>
      <c r="N168" s="2" t="s">
        <v>3456</v>
      </c>
      <c r="O168" s="1">
        <v>3</v>
      </c>
      <c r="P168" s="1">
        <v>2</v>
      </c>
      <c r="Q168" s="1" t="s">
        <v>178</v>
      </c>
      <c r="R168" s="1" t="s">
        <v>4</v>
      </c>
    </row>
    <row r="169" spans="1:19" hidden="1">
      <c r="A169" s="1">
        <v>1064</v>
      </c>
      <c r="B169" s="1" t="s">
        <v>2645</v>
      </c>
      <c r="C169" s="1" t="s">
        <v>1378</v>
      </c>
      <c r="D169" s="1">
        <v>4</v>
      </c>
      <c r="E169" s="1" t="s">
        <v>3083</v>
      </c>
      <c r="F169" s="1" t="s">
        <v>3084</v>
      </c>
      <c r="G169" s="1" t="s">
        <v>3055</v>
      </c>
      <c r="I169" s="1" t="s">
        <v>1442</v>
      </c>
      <c r="J169" s="1" t="s">
        <v>1477</v>
      </c>
      <c r="N169" s="1" t="s">
        <v>3456</v>
      </c>
      <c r="O169" s="1">
        <v>2</v>
      </c>
      <c r="P169" s="1">
        <v>2</v>
      </c>
      <c r="Q169" s="1" t="s">
        <v>172</v>
      </c>
      <c r="R169" s="1" t="s">
        <v>7</v>
      </c>
    </row>
    <row r="170" spans="1:19" hidden="1">
      <c r="A170" s="1">
        <v>1065</v>
      </c>
      <c r="B170" s="1" t="s">
        <v>2646</v>
      </c>
      <c r="C170" s="1" t="s">
        <v>1379</v>
      </c>
      <c r="D170" s="1">
        <v>4</v>
      </c>
      <c r="E170" s="1" t="s">
        <v>3083</v>
      </c>
      <c r="F170" s="1" t="s">
        <v>3084</v>
      </c>
      <c r="G170" s="1" t="s">
        <v>3075</v>
      </c>
      <c r="I170" s="1" t="s">
        <v>1473</v>
      </c>
      <c r="N170" s="1" t="s">
        <v>3456</v>
      </c>
      <c r="O170" s="1">
        <v>2</v>
      </c>
      <c r="P170" s="1">
        <v>2</v>
      </c>
      <c r="Q170" s="1" t="s">
        <v>45</v>
      </c>
      <c r="R170" s="1" t="s">
        <v>7</v>
      </c>
    </row>
    <row r="171" spans="1:19" hidden="1">
      <c r="A171" s="1">
        <v>1066</v>
      </c>
      <c r="B171" s="1" t="s">
        <v>2647</v>
      </c>
      <c r="C171" s="1" t="s">
        <v>1378</v>
      </c>
      <c r="D171" s="1">
        <v>4</v>
      </c>
      <c r="E171" s="1" t="s">
        <v>3083</v>
      </c>
      <c r="F171" s="1" t="s">
        <v>3084</v>
      </c>
      <c r="G171" s="1" t="s">
        <v>3058</v>
      </c>
      <c r="I171" s="1" t="s">
        <v>1443</v>
      </c>
      <c r="N171" s="1" t="s">
        <v>3456</v>
      </c>
      <c r="O171" s="1">
        <v>5</v>
      </c>
      <c r="P171" s="1">
        <v>2</v>
      </c>
      <c r="Q171" s="1" t="s">
        <v>53</v>
      </c>
      <c r="R171" s="1" t="s">
        <v>7</v>
      </c>
    </row>
    <row r="172" spans="1:19" hidden="1">
      <c r="A172" s="1">
        <v>1067</v>
      </c>
      <c r="B172" s="1" t="s">
        <v>2648</v>
      </c>
      <c r="C172" s="1" t="s">
        <v>1378</v>
      </c>
      <c r="D172" s="1">
        <v>4</v>
      </c>
      <c r="E172" s="1" t="s">
        <v>3083</v>
      </c>
      <c r="F172" s="1" t="s">
        <v>3084</v>
      </c>
      <c r="G172" s="1" t="s">
        <v>3051</v>
      </c>
      <c r="I172" s="1" t="s">
        <v>1444</v>
      </c>
      <c r="N172" s="1" t="s">
        <v>3456</v>
      </c>
      <c r="O172" s="1">
        <v>1</v>
      </c>
      <c r="P172" s="1">
        <v>2</v>
      </c>
      <c r="Q172" s="1" t="s">
        <v>8</v>
      </c>
      <c r="R172" s="1" t="s">
        <v>7</v>
      </c>
    </row>
    <row r="173" spans="1:19" hidden="1">
      <c r="A173" s="1">
        <v>1068</v>
      </c>
      <c r="B173" s="1" t="s">
        <v>2649</v>
      </c>
      <c r="C173" s="1" t="s">
        <v>1378</v>
      </c>
      <c r="D173" s="1">
        <v>4</v>
      </c>
      <c r="E173" s="1" t="s">
        <v>3083</v>
      </c>
      <c r="F173" s="1" t="s">
        <v>3084</v>
      </c>
      <c r="G173" s="1" t="s">
        <v>3055</v>
      </c>
      <c r="I173" s="1" t="s">
        <v>1445</v>
      </c>
      <c r="J173" s="1" t="s">
        <v>1446</v>
      </c>
      <c r="N173" s="1" t="s">
        <v>3150</v>
      </c>
      <c r="O173" s="1">
        <v>4</v>
      </c>
      <c r="P173" s="1">
        <v>2</v>
      </c>
      <c r="Q173" s="1" t="s">
        <v>26</v>
      </c>
      <c r="R173" s="1" t="s">
        <v>7</v>
      </c>
    </row>
    <row r="174" spans="1:19" hidden="1">
      <c r="A174" s="1">
        <v>1070</v>
      </c>
      <c r="B174" s="1" t="s">
        <v>2650</v>
      </c>
      <c r="C174" s="1" t="s">
        <v>1378</v>
      </c>
      <c r="D174" s="1">
        <v>4</v>
      </c>
      <c r="E174" s="1" t="s">
        <v>3083</v>
      </c>
      <c r="F174" s="1" t="s">
        <v>3084</v>
      </c>
      <c r="G174" s="1" t="s">
        <v>3055</v>
      </c>
      <c r="I174" s="1" t="s">
        <v>1447</v>
      </c>
      <c r="N174" s="1" t="s">
        <v>3150</v>
      </c>
      <c r="O174" s="1">
        <v>3</v>
      </c>
      <c r="P174" s="1">
        <v>2</v>
      </c>
      <c r="Q174" s="1" t="s">
        <v>48</v>
      </c>
      <c r="R174" s="1" t="s">
        <v>7</v>
      </c>
    </row>
    <row r="175" spans="1:19" hidden="1">
      <c r="A175" s="8">
        <v>1071</v>
      </c>
      <c r="B175" s="8" t="s">
        <v>2651</v>
      </c>
      <c r="C175" s="8" t="s">
        <v>1378</v>
      </c>
      <c r="D175" s="8">
        <v>4</v>
      </c>
      <c r="E175" s="8" t="s">
        <v>3083</v>
      </c>
      <c r="F175" s="8" t="s">
        <v>3084</v>
      </c>
      <c r="G175" s="8" t="s">
        <v>3063</v>
      </c>
      <c r="H175" s="8"/>
      <c r="I175" s="8" t="s">
        <v>257</v>
      </c>
      <c r="J175" s="8" t="s">
        <v>1448</v>
      </c>
      <c r="K175" s="8" t="s">
        <v>1449</v>
      </c>
      <c r="L175" s="8"/>
      <c r="M175" s="8"/>
      <c r="N175" s="8" t="s">
        <v>3150</v>
      </c>
      <c r="O175" s="8">
        <v>2</v>
      </c>
      <c r="P175" s="8">
        <v>2</v>
      </c>
      <c r="Q175" s="8" t="s">
        <v>35</v>
      </c>
      <c r="R175" s="8" t="s">
        <v>7</v>
      </c>
    </row>
    <row r="176" spans="1:19" hidden="1">
      <c r="A176" s="1">
        <v>1072</v>
      </c>
      <c r="B176" s="1" t="s">
        <v>2652</v>
      </c>
      <c r="C176" s="1" t="s">
        <v>1378</v>
      </c>
      <c r="D176" s="1">
        <v>4</v>
      </c>
      <c r="E176" s="1" t="s">
        <v>3083</v>
      </c>
      <c r="F176" s="1" t="s">
        <v>3084</v>
      </c>
      <c r="G176" s="1" t="s">
        <v>3075</v>
      </c>
      <c r="I176" s="1" t="s">
        <v>1474</v>
      </c>
      <c r="N176" s="1" t="s">
        <v>3456</v>
      </c>
      <c r="O176" s="1">
        <v>2</v>
      </c>
      <c r="P176" s="1">
        <v>3</v>
      </c>
      <c r="Q176" s="1" t="s">
        <v>172</v>
      </c>
      <c r="R176" s="1" t="s">
        <v>7</v>
      </c>
    </row>
    <row r="177" spans="1:18" hidden="1">
      <c r="A177" s="6">
        <v>1073</v>
      </c>
      <c r="B177" s="6" t="s">
        <v>2653</v>
      </c>
      <c r="C177" s="6" t="s">
        <v>1378</v>
      </c>
      <c r="D177" s="6">
        <v>4</v>
      </c>
      <c r="E177" s="6" t="s">
        <v>3083</v>
      </c>
      <c r="F177" s="6" t="s">
        <v>3084</v>
      </c>
      <c r="G177" s="6" t="s">
        <v>3075</v>
      </c>
      <c r="H177" s="6"/>
      <c r="I177" s="6" t="s">
        <v>798</v>
      </c>
      <c r="J177" s="6" t="s">
        <v>1478</v>
      </c>
      <c r="K177" s="6"/>
      <c r="L177" s="6"/>
      <c r="M177" s="6"/>
      <c r="N177" s="6" t="s">
        <v>3456</v>
      </c>
      <c r="O177" s="6">
        <v>1</v>
      </c>
      <c r="P177" s="6">
        <v>1</v>
      </c>
      <c r="Q177" s="6" t="s">
        <v>606</v>
      </c>
      <c r="R177" s="1" t="s">
        <v>7</v>
      </c>
    </row>
    <row r="178" spans="1:18" hidden="1">
      <c r="A178" s="6">
        <v>1074</v>
      </c>
      <c r="B178" s="6" t="s">
        <v>2654</v>
      </c>
      <c r="C178" s="6" t="s">
        <v>1378</v>
      </c>
      <c r="D178" s="6">
        <v>4</v>
      </c>
      <c r="E178" s="6" t="s">
        <v>3083</v>
      </c>
      <c r="F178" s="6" t="s">
        <v>3084</v>
      </c>
      <c r="G178" s="6" t="s">
        <v>3050</v>
      </c>
      <c r="H178" s="6"/>
      <c r="I178" s="6" t="s">
        <v>1450</v>
      </c>
      <c r="J178" s="6" t="s">
        <v>1451</v>
      </c>
      <c r="K178" s="6"/>
      <c r="L178" s="6"/>
      <c r="M178" s="6"/>
      <c r="N178" s="6" t="s">
        <v>3458</v>
      </c>
      <c r="O178" s="6">
        <v>1</v>
      </c>
      <c r="P178" s="6">
        <v>3</v>
      </c>
      <c r="Q178" s="6" t="s">
        <v>36</v>
      </c>
      <c r="R178" s="1" t="s">
        <v>7</v>
      </c>
    </row>
    <row r="179" spans="1:18" hidden="1">
      <c r="A179" s="6">
        <v>1075</v>
      </c>
      <c r="B179" s="6" t="s">
        <v>2655</v>
      </c>
      <c r="C179" s="6" t="s">
        <v>1379</v>
      </c>
      <c r="D179" s="6">
        <v>4</v>
      </c>
      <c r="E179" s="6" t="s">
        <v>3083</v>
      </c>
      <c r="F179" s="6" t="s">
        <v>3084</v>
      </c>
      <c r="G179" s="6" t="s">
        <v>3057</v>
      </c>
      <c r="H179" s="6"/>
      <c r="I179" s="6" t="s">
        <v>1452</v>
      </c>
      <c r="J179" s="6"/>
      <c r="K179" s="6"/>
      <c r="L179" s="6"/>
      <c r="M179" s="6"/>
      <c r="N179" s="6" t="s">
        <v>3456</v>
      </c>
      <c r="O179" s="6">
        <v>3</v>
      </c>
      <c r="P179" s="6">
        <v>1</v>
      </c>
      <c r="Q179" s="6" t="s">
        <v>176</v>
      </c>
      <c r="R179" s="1" t="s">
        <v>7</v>
      </c>
    </row>
    <row r="180" spans="1:18" hidden="1">
      <c r="A180" s="1">
        <v>1076</v>
      </c>
      <c r="B180" s="1" t="s">
        <v>2656</v>
      </c>
      <c r="C180" s="1" t="s">
        <v>1378</v>
      </c>
      <c r="D180" s="1">
        <v>4</v>
      </c>
      <c r="E180" s="1" t="s">
        <v>3083</v>
      </c>
      <c r="F180" s="1" t="s">
        <v>3084</v>
      </c>
      <c r="G180" s="1" t="s">
        <v>3080</v>
      </c>
      <c r="I180" s="1" t="s">
        <v>1453</v>
      </c>
      <c r="N180" s="1" t="s">
        <v>3456</v>
      </c>
      <c r="O180" s="1">
        <v>3</v>
      </c>
      <c r="P180" s="1">
        <v>2</v>
      </c>
      <c r="Q180" s="1" t="s">
        <v>49</v>
      </c>
      <c r="R180" s="1" t="s">
        <v>7</v>
      </c>
    </row>
    <row r="181" spans="1:18" hidden="1">
      <c r="A181" s="4">
        <v>1077</v>
      </c>
      <c r="B181" s="4" t="s">
        <v>2657</v>
      </c>
      <c r="C181" s="4" t="s">
        <v>1378</v>
      </c>
      <c r="D181" s="4">
        <v>4</v>
      </c>
      <c r="E181" s="4" t="s">
        <v>3083</v>
      </c>
      <c r="F181" s="4" t="s">
        <v>3084</v>
      </c>
      <c r="G181" s="4" t="s">
        <v>3061</v>
      </c>
      <c r="H181" s="4"/>
      <c r="I181" s="4" t="s">
        <v>1454</v>
      </c>
      <c r="J181" s="4"/>
      <c r="K181" s="4"/>
      <c r="L181" s="4"/>
      <c r="M181" s="4"/>
      <c r="N181" s="4" t="s">
        <v>3150</v>
      </c>
      <c r="O181" s="4">
        <v>2</v>
      </c>
      <c r="P181" s="4">
        <v>3</v>
      </c>
      <c r="Q181" s="4" t="s">
        <v>38</v>
      </c>
      <c r="R181" s="1" t="s">
        <v>7</v>
      </c>
    </row>
    <row r="182" spans="1:18" hidden="1">
      <c r="A182" s="4">
        <v>1078</v>
      </c>
      <c r="B182" s="4" t="s">
        <v>2658</v>
      </c>
      <c r="C182" s="4" t="s">
        <v>1378</v>
      </c>
      <c r="D182" s="4">
        <v>4</v>
      </c>
      <c r="E182" s="4" t="s">
        <v>3083</v>
      </c>
      <c r="F182" s="4" t="s">
        <v>3084</v>
      </c>
      <c r="G182" s="4" t="s">
        <v>3079</v>
      </c>
      <c r="H182" s="4"/>
      <c r="I182" s="4" t="s">
        <v>3950</v>
      </c>
      <c r="J182" s="4"/>
      <c r="K182" s="4"/>
      <c r="L182" s="4"/>
      <c r="M182" s="4" t="s">
        <v>153</v>
      </c>
      <c r="N182" s="4" t="s">
        <v>3456</v>
      </c>
      <c r="O182" s="4">
        <v>3</v>
      </c>
      <c r="P182" s="4">
        <v>2</v>
      </c>
      <c r="Q182" s="4"/>
      <c r="R182" s="4"/>
    </row>
    <row r="183" spans="1:18" hidden="1">
      <c r="A183" s="4">
        <v>1079</v>
      </c>
      <c r="B183" s="4" t="s">
        <v>2659</v>
      </c>
      <c r="C183" s="4" t="s">
        <v>3096</v>
      </c>
      <c r="D183" s="4">
        <v>4</v>
      </c>
      <c r="E183" s="4" t="s">
        <v>3083</v>
      </c>
      <c r="F183" s="4" t="s">
        <v>3079</v>
      </c>
      <c r="G183" s="4"/>
      <c r="H183" s="4"/>
      <c r="I183" s="4" t="s">
        <v>1455</v>
      </c>
      <c r="J183" s="4" t="s">
        <v>3985</v>
      </c>
      <c r="K183" s="4"/>
      <c r="L183" s="4"/>
      <c r="M183" s="4" t="s">
        <v>153</v>
      </c>
      <c r="N183" s="4" t="s">
        <v>3456</v>
      </c>
      <c r="O183" s="4">
        <v>5</v>
      </c>
      <c r="P183" s="4">
        <v>4</v>
      </c>
      <c r="Q183" s="4" t="s">
        <v>44</v>
      </c>
      <c r="R183" s="4" t="s">
        <v>7</v>
      </c>
    </row>
    <row r="184" spans="1:18" hidden="1">
      <c r="A184" s="6">
        <v>2024</v>
      </c>
      <c r="B184" s="6" t="s">
        <v>2689</v>
      </c>
      <c r="C184" s="6" t="s">
        <v>1378</v>
      </c>
      <c r="D184" s="6">
        <v>4</v>
      </c>
      <c r="E184" s="6" t="s">
        <v>3083</v>
      </c>
      <c r="F184" s="6" t="s">
        <v>3084</v>
      </c>
      <c r="G184" s="6" t="s">
        <v>3079</v>
      </c>
      <c r="H184" s="6"/>
      <c r="I184" s="6" t="s">
        <v>1504</v>
      </c>
      <c r="J184" s="6" t="s">
        <v>3951</v>
      </c>
      <c r="K184" s="6"/>
      <c r="L184" s="6"/>
      <c r="M184" s="6" t="s">
        <v>153</v>
      </c>
      <c r="N184" s="6" t="s">
        <v>3456</v>
      </c>
      <c r="O184" s="6">
        <v>2</v>
      </c>
      <c r="P184" s="6">
        <v>3</v>
      </c>
      <c r="Q184" s="6"/>
      <c r="R184" s="6"/>
    </row>
    <row r="185" spans="1:18" hidden="1">
      <c r="A185" s="6">
        <v>2025</v>
      </c>
      <c r="B185" s="6" t="s">
        <v>2690</v>
      </c>
      <c r="C185" s="6" t="s">
        <v>3096</v>
      </c>
      <c r="D185" s="6">
        <v>4</v>
      </c>
      <c r="E185" s="6" t="s">
        <v>3083</v>
      </c>
      <c r="F185" s="6" t="s">
        <v>3079</v>
      </c>
      <c r="G185" s="6"/>
      <c r="H185" s="6"/>
      <c r="I185" s="6" t="s">
        <v>20</v>
      </c>
      <c r="J185" s="6" t="s">
        <v>1505</v>
      </c>
      <c r="K185" s="6" t="s">
        <v>3938</v>
      </c>
      <c r="L185" s="6"/>
      <c r="M185" s="6" t="s">
        <v>153</v>
      </c>
      <c r="N185" s="6" t="s">
        <v>3456</v>
      </c>
      <c r="O185" s="6">
        <v>5</v>
      </c>
      <c r="P185" s="6">
        <v>5</v>
      </c>
      <c r="Q185" s="6" t="s">
        <v>45</v>
      </c>
      <c r="R185" s="6" t="s">
        <v>9</v>
      </c>
    </row>
    <row r="186" spans="1:18" hidden="1">
      <c r="A186" s="1">
        <v>2026</v>
      </c>
      <c r="B186" s="1" t="s">
        <v>2691</v>
      </c>
      <c r="C186" s="1" t="s">
        <v>1378</v>
      </c>
      <c r="D186" s="1">
        <v>4</v>
      </c>
      <c r="E186" s="1" t="s">
        <v>3083</v>
      </c>
      <c r="F186" s="1" t="s">
        <v>3084</v>
      </c>
      <c r="G186" s="1" t="s">
        <v>3063</v>
      </c>
      <c r="I186" s="1" t="s">
        <v>1506</v>
      </c>
      <c r="N186" s="1" t="s">
        <v>3150</v>
      </c>
      <c r="O186" s="1">
        <v>3</v>
      </c>
      <c r="P186" s="1">
        <v>2</v>
      </c>
      <c r="Q186" s="1" t="s">
        <v>35</v>
      </c>
      <c r="R186" s="1" t="s">
        <v>9</v>
      </c>
    </row>
    <row r="187" spans="1:18" hidden="1">
      <c r="A187" s="1">
        <v>2027</v>
      </c>
      <c r="B187" s="1" t="s">
        <v>2692</v>
      </c>
      <c r="C187" s="1" t="s">
        <v>1379</v>
      </c>
      <c r="D187" s="1">
        <v>4</v>
      </c>
      <c r="E187" s="1" t="s">
        <v>3087</v>
      </c>
      <c r="F187" s="1" t="s">
        <v>3084</v>
      </c>
      <c r="G187" s="1" t="s">
        <v>3056</v>
      </c>
      <c r="I187" s="1" t="s">
        <v>1507</v>
      </c>
      <c r="J187" s="1" t="s">
        <v>1508</v>
      </c>
      <c r="N187" s="1" t="s">
        <v>3456</v>
      </c>
      <c r="O187" s="1">
        <v>3</v>
      </c>
      <c r="P187" s="1">
        <v>2</v>
      </c>
      <c r="Q187" s="1" t="s">
        <v>183</v>
      </c>
      <c r="R187" s="1" t="s">
        <v>9</v>
      </c>
    </row>
    <row r="188" spans="1:18" hidden="1">
      <c r="A188" s="1">
        <v>2028</v>
      </c>
      <c r="B188" s="1" t="s">
        <v>2693</v>
      </c>
      <c r="C188" s="1" t="s">
        <v>1378</v>
      </c>
      <c r="D188" s="1">
        <v>4</v>
      </c>
      <c r="E188" s="1" t="s">
        <v>3083</v>
      </c>
      <c r="F188" s="1" t="s">
        <v>3084</v>
      </c>
      <c r="G188" s="1" t="s">
        <v>3055</v>
      </c>
      <c r="I188" s="1" t="s">
        <v>1509</v>
      </c>
      <c r="N188" s="1" t="s">
        <v>3456</v>
      </c>
      <c r="O188" s="1">
        <v>2</v>
      </c>
      <c r="P188" s="1">
        <v>2</v>
      </c>
      <c r="Q188" s="1" t="s">
        <v>14</v>
      </c>
      <c r="R188" s="1" t="s">
        <v>9</v>
      </c>
    </row>
    <row r="189" spans="1:18" hidden="1">
      <c r="A189" s="1">
        <v>2029</v>
      </c>
      <c r="B189" s="1" t="s">
        <v>2694</v>
      </c>
      <c r="C189" s="1" t="s">
        <v>1379</v>
      </c>
      <c r="D189" s="1">
        <v>4</v>
      </c>
      <c r="E189" s="1" t="s">
        <v>3087</v>
      </c>
      <c r="F189" s="1" t="s">
        <v>3084</v>
      </c>
      <c r="G189" s="1" t="s">
        <v>3063</v>
      </c>
      <c r="I189" s="1" t="s">
        <v>1510</v>
      </c>
      <c r="J189" s="1" t="s">
        <v>1533</v>
      </c>
      <c r="N189" s="1" t="s">
        <v>3150</v>
      </c>
      <c r="O189" s="1">
        <v>2</v>
      </c>
      <c r="P189" s="1">
        <v>2</v>
      </c>
      <c r="Q189" s="1" t="s">
        <v>48</v>
      </c>
      <c r="R189" s="1" t="s">
        <v>9</v>
      </c>
    </row>
    <row r="190" spans="1:18" hidden="1">
      <c r="A190" s="1">
        <v>2030</v>
      </c>
      <c r="B190" s="1" t="s">
        <v>2695</v>
      </c>
      <c r="C190" s="1" t="s">
        <v>1379</v>
      </c>
      <c r="D190" s="1">
        <v>4</v>
      </c>
      <c r="E190" s="1" t="s">
        <v>3087</v>
      </c>
      <c r="F190" s="1" t="s">
        <v>3084</v>
      </c>
      <c r="G190" s="1" t="s">
        <v>3075</v>
      </c>
      <c r="I190" s="1" t="s">
        <v>1094</v>
      </c>
      <c r="J190" s="1" t="s">
        <v>1534</v>
      </c>
      <c r="N190" s="1" t="s">
        <v>3456</v>
      </c>
      <c r="O190" s="1">
        <v>2</v>
      </c>
      <c r="P190" s="1">
        <v>2</v>
      </c>
      <c r="Q190" s="1" t="s">
        <v>18</v>
      </c>
      <c r="R190" s="1" t="s">
        <v>9</v>
      </c>
    </row>
    <row r="191" spans="1:18" hidden="1">
      <c r="A191" s="1">
        <v>2031</v>
      </c>
      <c r="B191" s="1" t="s">
        <v>2696</v>
      </c>
      <c r="C191" s="1" t="s">
        <v>1378</v>
      </c>
      <c r="D191" s="1">
        <v>4</v>
      </c>
      <c r="E191" s="1" t="s">
        <v>3083</v>
      </c>
      <c r="F191" s="1" t="s">
        <v>3084</v>
      </c>
      <c r="G191" s="1" t="s">
        <v>3070</v>
      </c>
      <c r="I191" s="1" t="s">
        <v>1535</v>
      </c>
      <c r="N191" s="1" t="s">
        <v>3456</v>
      </c>
      <c r="O191" s="1">
        <v>4</v>
      </c>
      <c r="P191" s="1">
        <v>3</v>
      </c>
      <c r="Q191" s="1" t="s">
        <v>30</v>
      </c>
      <c r="R191" s="1" t="s">
        <v>9</v>
      </c>
    </row>
    <row r="192" spans="1:18" hidden="1">
      <c r="A192" s="9">
        <v>2032</v>
      </c>
      <c r="B192" s="9" t="s">
        <v>2697</v>
      </c>
      <c r="C192" s="9" t="s">
        <v>1378</v>
      </c>
      <c r="D192" s="9">
        <v>4</v>
      </c>
      <c r="E192" s="9" t="s">
        <v>3083</v>
      </c>
      <c r="F192" s="9" t="s">
        <v>3084</v>
      </c>
      <c r="G192" s="9" t="s">
        <v>3075</v>
      </c>
      <c r="H192" s="9" t="s">
        <v>3079</v>
      </c>
      <c r="I192" s="9" t="s">
        <v>3952</v>
      </c>
      <c r="J192" s="9"/>
      <c r="K192" s="9"/>
      <c r="L192" s="9"/>
      <c r="M192" s="9" t="s">
        <v>153</v>
      </c>
      <c r="N192" s="9" t="s">
        <v>3456</v>
      </c>
      <c r="O192" s="9">
        <v>3</v>
      </c>
      <c r="P192" s="9">
        <v>2</v>
      </c>
      <c r="Q192" s="9"/>
      <c r="R192" s="9"/>
    </row>
    <row r="193" spans="1:19" hidden="1">
      <c r="A193" s="9">
        <v>2033</v>
      </c>
      <c r="B193" s="9" t="s">
        <v>2698</v>
      </c>
      <c r="C193" s="9" t="s">
        <v>3096</v>
      </c>
      <c r="D193" s="9">
        <v>4</v>
      </c>
      <c r="E193" s="9" t="s">
        <v>3083</v>
      </c>
      <c r="F193" s="9" t="s">
        <v>3079</v>
      </c>
      <c r="G193" s="9"/>
      <c r="H193" s="9"/>
      <c r="I193" s="9" t="s">
        <v>1511</v>
      </c>
      <c r="J193" s="9" t="s">
        <v>3986</v>
      </c>
      <c r="K193" s="9"/>
      <c r="L193" s="9"/>
      <c r="M193" s="9" t="s">
        <v>153</v>
      </c>
      <c r="N193" s="9" t="s">
        <v>3456</v>
      </c>
      <c r="O193" s="9">
        <v>5</v>
      </c>
      <c r="P193" s="9">
        <v>5</v>
      </c>
      <c r="Q193" s="9" t="s">
        <v>44</v>
      </c>
      <c r="R193" s="9" t="s">
        <v>9</v>
      </c>
    </row>
    <row r="194" spans="1:19" hidden="1">
      <c r="A194" s="1">
        <v>3008</v>
      </c>
      <c r="B194" s="1" t="s">
        <v>2720</v>
      </c>
      <c r="C194" s="1" t="s">
        <v>1379</v>
      </c>
      <c r="D194" s="1">
        <v>4</v>
      </c>
      <c r="E194" s="1" t="s">
        <v>3083</v>
      </c>
      <c r="F194" s="1" t="s">
        <v>3084</v>
      </c>
      <c r="G194" s="1" t="s">
        <v>3070</v>
      </c>
      <c r="I194" s="1" t="s">
        <v>20</v>
      </c>
      <c r="J194" s="1" t="s">
        <v>1552</v>
      </c>
      <c r="N194" s="1" t="s">
        <v>3150</v>
      </c>
      <c r="O194" s="1">
        <v>3</v>
      </c>
      <c r="P194" s="1">
        <v>3</v>
      </c>
      <c r="Q194" s="1" t="s">
        <v>30</v>
      </c>
      <c r="R194" s="1" t="s">
        <v>41</v>
      </c>
    </row>
    <row r="195" spans="1:19" hidden="1">
      <c r="A195" s="1">
        <v>3009</v>
      </c>
      <c r="B195" s="10" t="s">
        <v>5181</v>
      </c>
      <c r="C195" s="10" t="s">
        <v>1379</v>
      </c>
      <c r="D195" s="10">
        <v>4</v>
      </c>
      <c r="E195" s="10" t="s">
        <v>3083</v>
      </c>
      <c r="F195" s="10" t="s">
        <v>3084</v>
      </c>
      <c r="G195" s="10" t="s">
        <v>3054</v>
      </c>
      <c r="H195" s="10"/>
      <c r="I195" s="10" t="s">
        <v>1094</v>
      </c>
      <c r="J195" s="10" t="s">
        <v>261</v>
      </c>
      <c r="K195" s="10" t="s">
        <v>1553</v>
      </c>
      <c r="L195" s="10"/>
      <c r="M195" s="10"/>
      <c r="N195" s="10" t="s">
        <v>3456</v>
      </c>
      <c r="O195" s="10">
        <v>4</v>
      </c>
      <c r="P195" s="10">
        <v>2</v>
      </c>
      <c r="Q195" s="10" t="s">
        <v>176</v>
      </c>
      <c r="R195" s="10" t="s">
        <v>41</v>
      </c>
    </row>
    <row r="196" spans="1:19">
      <c r="A196" s="2">
        <v>78</v>
      </c>
      <c r="B196" s="3" t="s">
        <v>2576</v>
      </c>
      <c r="C196" s="3" t="s">
        <v>1381</v>
      </c>
      <c r="D196" s="3">
        <v>5</v>
      </c>
      <c r="E196" s="3" t="s">
        <v>3083</v>
      </c>
      <c r="F196" s="3" t="s">
        <v>3084</v>
      </c>
      <c r="G196" s="3" t="s">
        <v>3057</v>
      </c>
      <c r="H196" s="3"/>
      <c r="I196" s="3" t="s">
        <v>1359</v>
      </c>
      <c r="J196" s="3"/>
      <c r="K196" s="3"/>
      <c r="L196" s="3"/>
      <c r="M196" s="3"/>
      <c r="N196" s="14" t="s">
        <v>3456</v>
      </c>
      <c r="O196" s="3">
        <v>4</v>
      </c>
      <c r="P196" s="3">
        <v>4</v>
      </c>
      <c r="Q196" s="3" t="s">
        <v>178</v>
      </c>
      <c r="R196" s="3" t="s">
        <v>4</v>
      </c>
      <c r="S196" s="4"/>
    </row>
    <row r="197" spans="1:19">
      <c r="A197" s="7">
        <v>79</v>
      </c>
      <c r="B197" s="6" t="s">
        <v>2577</v>
      </c>
      <c r="C197" s="6" t="s">
        <v>1381</v>
      </c>
      <c r="D197" s="6">
        <v>5</v>
      </c>
      <c r="E197" s="6" t="s">
        <v>3083</v>
      </c>
      <c r="F197" s="6" t="s">
        <v>3084</v>
      </c>
      <c r="G197" s="6" t="s">
        <v>3071</v>
      </c>
      <c r="H197" s="6"/>
      <c r="I197" s="6" t="s">
        <v>1382</v>
      </c>
      <c r="J197" s="6"/>
      <c r="K197" s="6"/>
      <c r="L197" s="6"/>
      <c r="M197" s="6"/>
      <c r="N197" s="7" t="s">
        <v>3456</v>
      </c>
      <c r="O197" s="6">
        <v>5</v>
      </c>
      <c r="P197" s="6">
        <v>2</v>
      </c>
      <c r="Q197" s="6" t="s">
        <v>38</v>
      </c>
      <c r="R197" s="1" t="s">
        <v>4</v>
      </c>
    </row>
    <row r="198" spans="1:19">
      <c r="A198" s="2">
        <v>80</v>
      </c>
      <c r="B198" s="3" t="s">
        <v>2578</v>
      </c>
      <c r="C198" s="3" t="s">
        <v>1381</v>
      </c>
      <c r="D198" s="3">
        <v>5</v>
      </c>
      <c r="E198" s="3" t="s">
        <v>3083</v>
      </c>
      <c r="F198" s="3" t="s">
        <v>3084</v>
      </c>
      <c r="G198" s="3" t="s">
        <v>3055</v>
      </c>
      <c r="H198" s="3"/>
      <c r="I198" s="3" t="s">
        <v>0</v>
      </c>
      <c r="J198" s="3" t="s">
        <v>1383</v>
      </c>
      <c r="K198" s="3"/>
      <c r="L198" s="3"/>
      <c r="M198" s="3"/>
      <c r="N198" s="14" t="s">
        <v>3456</v>
      </c>
      <c r="O198" s="3">
        <v>4</v>
      </c>
      <c r="P198" s="3">
        <v>1</v>
      </c>
      <c r="Q198" s="3" t="s">
        <v>31</v>
      </c>
      <c r="R198" s="3" t="s">
        <v>4</v>
      </c>
      <c r="S198" s="4"/>
    </row>
    <row r="199" spans="1:19">
      <c r="A199" s="2">
        <v>81</v>
      </c>
      <c r="B199" s="1" t="s">
        <v>2579</v>
      </c>
      <c r="C199" s="1" t="s">
        <v>1381</v>
      </c>
      <c r="D199" s="3">
        <v>5</v>
      </c>
      <c r="E199" s="1" t="s">
        <v>3083</v>
      </c>
      <c r="F199" s="1" t="s">
        <v>3084</v>
      </c>
      <c r="G199" s="1" t="s">
        <v>3080</v>
      </c>
      <c r="I199" s="1" t="s">
        <v>1384</v>
      </c>
      <c r="N199" s="2" t="s">
        <v>3456</v>
      </c>
      <c r="O199" s="1">
        <v>3</v>
      </c>
      <c r="P199" s="1">
        <v>3</v>
      </c>
      <c r="Q199" s="1" t="s">
        <v>8</v>
      </c>
      <c r="R199" s="1" t="s">
        <v>4</v>
      </c>
    </row>
    <row r="200" spans="1:19">
      <c r="A200" s="7">
        <v>82</v>
      </c>
      <c r="B200" s="6" t="s">
        <v>2580</v>
      </c>
      <c r="C200" s="6" t="s">
        <v>1381</v>
      </c>
      <c r="D200" s="6">
        <v>5</v>
      </c>
      <c r="E200" s="6" t="s">
        <v>3083</v>
      </c>
      <c r="F200" s="6" t="s">
        <v>3084</v>
      </c>
      <c r="G200" s="6" t="s">
        <v>3079</v>
      </c>
      <c r="H200" s="6"/>
      <c r="I200" s="6" t="s">
        <v>3953</v>
      </c>
      <c r="J200" s="6"/>
      <c r="K200" s="6"/>
      <c r="L200" s="6"/>
      <c r="M200" s="6" t="s">
        <v>153</v>
      </c>
      <c r="N200" s="7" t="s">
        <v>3456</v>
      </c>
      <c r="O200" s="6">
        <v>5</v>
      </c>
      <c r="P200" s="6">
        <v>4</v>
      </c>
      <c r="Q200" s="6"/>
      <c r="R200" s="6"/>
    </row>
    <row r="201" spans="1:19">
      <c r="A201" s="7">
        <v>83</v>
      </c>
      <c r="B201" s="6" t="s">
        <v>2581</v>
      </c>
      <c r="C201" s="6" t="s">
        <v>3096</v>
      </c>
      <c r="D201" s="6">
        <v>5</v>
      </c>
      <c r="E201" s="6" t="s">
        <v>3083</v>
      </c>
      <c r="F201" s="6" t="s">
        <v>3079</v>
      </c>
      <c r="G201" s="6"/>
      <c r="H201" s="6"/>
      <c r="I201" s="6" t="s">
        <v>1095</v>
      </c>
      <c r="J201" s="6" t="s">
        <v>3939</v>
      </c>
      <c r="K201" s="6"/>
      <c r="L201" s="6"/>
      <c r="M201" s="6" t="s">
        <v>153</v>
      </c>
      <c r="N201" s="7" t="s">
        <v>3456</v>
      </c>
      <c r="O201" s="6">
        <v>6</v>
      </c>
      <c r="P201" s="6">
        <v>5</v>
      </c>
      <c r="Q201" s="6" t="s">
        <v>46</v>
      </c>
      <c r="R201" s="6" t="s">
        <v>4</v>
      </c>
    </row>
    <row r="202" spans="1:19">
      <c r="A202" s="2">
        <v>84</v>
      </c>
      <c r="B202" s="1" t="s">
        <v>2582</v>
      </c>
      <c r="C202" s="1" t="s">
        <v>1385</v>
      </c>
      <c r="D202" s="3">
        <v>5</v>
      </c>
      <c r="E202" s="1" t="s">
        <v>3083</v>
      </c>
      <c r="F202" s="1" t="s">
        <v>3084</v>
      </c>
      <c r="G202" s="1" t="s">
        <v>3055</v>
      </c>
      <c r="I202" s="1" t="s">
        <v>1360</v>
      </c>
      <c r="J202" s="1" t="s">
        <v>1361</v>
      </c>
      <c r="N202" s="2" t="s">
        <v>3456</v>
      </c>
      <c r="O202" s="1">
        <v>3</v>
      </c>
      <c r="P202" s="1">
        <v>3</v>
      </c>
      <c r="Q202" s="1" t="s">
        <v>34</v>
      </c>
      <c r="R202" s="1" t="s">
        <v>4</v>
      </c>
    </row>
    <row r="203" spans="1:19">
      <c r="A203" s="2">
        <v>85</v>
      </c>
      <c r="B203" s="1" t="s">
        <v>2583</v>
      </c>
      <c r="C203" s="1" t="s">
        <v>1381</v>
      </c>
      <c r="D203" s="3">
        <v>5</v>
      </c>
      <c r="E203" s="1" t="s">
        <v>3083</v>
      </c>
      <c r="F203" s="1" t="s">
        <v>3084</v>
      </c>
      <c r="G203" s="1" t="s">
        <v>3070</v>
      </c>
      <c r="H203" s="1" t="s">
        <v>3051</v>
      </c>
      <c r="I203" s="1" t="s">
        <v>1362</v>
      </c>
      <c r="N203" s="2" t="s">
        <v>3150</v>
      </c>
      <c r="O203" s="1">
        <v>3</v>
      </c>
      <c r="P203" s="1">
        <v>2</v>
      </c>
      <c r="Q203" s="1" t="s">
        <v>30</v>
      </c>
      <c r="R203" s="1" t="s">
        <v>4</v>
      </c>
    </row>
    <row r="204" spans="1:19">
      <c r="A204" s="1">
        <v>1080</v>
      </c>
      <c r="B204" s="1" t="s">
        <v>2660</v>
      </c>
      <c r="C204" s="1" t="s">
        <v>1381</v>
      </c>
      <c r="D204" s="1">
        <v>5</v>
      </c>
      <c r="E204" s="1" t="s">
        <v>3083</v>
      </c>
      <c r="F204" s="1" t="s">
        <v>3084</v>
      </c>
      <c r="G204" s="1" t="s">
        <v>3075</v>
      </c>
      <c r="I204" s="1" t="s">
        <v>1456</v>
      </c>
      <c r="N204" s="1" t="s">
        <v>3456</v>
      </c>
      <c r="O204" s="1">
        <v>3</v>
      </c>
      <c r="P204" s="1">
        <v>2</v>
      </c>
      <c r="Q204" s="1" t="s">
        <v>40</v>
      </c>
      <c r="R204" s="1" t="s">
        <v>7</v>
      </c>
    </row>
    <row r="205" spans="1:19">
      <c r="A205" s="1">
        <v>1081</v>
      </c>
      <c r="B205" s="1" t="s">
        <v>2661</v>
      </c>
      <c r="C205" s="1" t="s">
        <v>1381</v>
      </c>
      <c r="D205" s="1">
        <v>5</v>
      </c>
      <c r="E205" s="1" t="s">
        <v>3083</v>
      </c>
      <c r="F205" s="1" t="s">
        <v>3084</v>
      </c>
      <c r="G205" s="1" t="s">
        <v>3075</v>
      </c>
      <c r="I205" s="1" t="s">
        <v>1457</v>
      </c>
      <c r="N205" s="1" t="s">
        <v>3456</v>
      </c>
      <c r="O205" s="1">
        <v>3</v>
      </c>
      <c r="P205" s="1">
        <v>3</v>
      </c>
      <c r="Q205" s="1" t="s">
        <v>175</v>
      </c>
      <c r="R205" s="1" t="s">
        <v>7</v>
      </c>
    </row>
    <row r="206" spans="1:19">
      <c r="A206" s="1">
        <v>1082</v>
      </c>
      <c r="B206" s="1" t="s">
        <v>2662</v>
      </c>
      <c r="C206" s="1" t="s">
        <v>1385</v>
      </c>
      <c r="D206" s="1">
        <v>5</v>
      </c>
      <c r="E206" s="1" t="s">
        <v>3083</v>
      </c>
      <c r="F206" s="1" t="s">
        <v>3084</v>
      </c>
      <c r="G206" s="1" t="s">
        <v>3056</v>
      </c>
      <c r="I206" s="1" t="s">
        <v>62</v>
      </c>
      <c r="J206" s="1" t="s">
        <v>1458</v>
      </c>
      <c r="N206" s="1" t="s">
        <v>3456</v>
      </c>
      <c r="O206" s="1">
        <v>2</v>
      </c>
      <c r="P206" s="1">
        <v>2</v>
      </c>
      <c r="Q206" s="1" t="s">
        <v>183</v>
      </c>
      <c r="R206" s="1" t="s">
        <v>7</v>
      </c>
    </row>
    <row r="207" spans="1:19">
      <c r="A207" s="4">
        <v>1083</v>
      </c>
      <c r="B207" s="4" t="s">
        <v>2663</v>
      </c>
      <c r="C207" s="4" t="s">
        <v>1381</v>
      </c>
      <c r="D207" s="4">
        <v>5</v>
      </c>
      <c r="E207" s="4" t="s">
        <v>3083</v>
      </c>
      <c r="F207" s="4" t="s">
        <v>3084</v>
      </c>
      <c r="G207" s="4" t="s">
        <v>3051</v>
      </c>
      <c r="H207" s="4"/>
      <c r="I207" s="4" t="s">
        <v>1459</v>
      </c>
      <c r="J207" s="4"/>
      <c r="K207" s="4"/>
      <c r="L207" s="4"/>
      <c r="M207" s="4"/>
      <c r="N207" s="4" t="s">
        <v>3150</v>
      </c>
      <c r="O207" s="4">
        <v>2</v>
      </c>
      <c r="P207" s="4">
        <v>2</v>
      </c>
      <c r="Q207" s="4" t="s">
        <v>171</v>
      </c>
      <c r="R207" s="1" t="s">
        <v>7</v>
      </c>
    </row>
    <row r="208" spans="1:19">
      <c r="A208" s="1">
        <v>2034</v>
      </c>
      <c r="B208" s="1" t="s">
        <v>2699</v>
      </c>
      <c r="C208" s="1" t="s">
        <v>1385</v>
      </c>
      <c r="D208" s="1">
        <v>5</v>
      </c>
      <c r="E208" s="1" t="s">
        <v>3087</v>
      </c>
      <c r="F208" s="1" t="s">
        <v>3084</v>
      </c>
      <c r="G208" s="1" t="s">
        <v>3056</v>
      </c>
      <c r="I208" s="1" t="s">
        <v>323</v>
      </c>
      <c r="J208" s="1" t="s">
        <v>1536</v>
      </c>
      <c r="N208" s="1" t="s">
        <v>3456</v>
      </c>
      <c r="O208" s="1">
        <v>3</v>
      </c>
      <c r="P208" s="1">
        <v>3</v>
      </c>
      <c r="Q208" s="1" t="s">
        <v>179</v>
      </c>
      <c r="R208" s="1" t="s">
        <v>9</v>
      </c>
    </row>
    <row r="209" spans="1:19">
      <c r="A209" s="1">
        <v>2035</v>
      </c>
      <c r="B209" s="9" t="s">
        <v>2700</v>
      </c>
      <c r="C209" s="9" t="s">
        <v>1385</v>
      </c>
      <c r="D209" s="9">
        <v>5</v>
      </c>
      <c r="E209" s="9" t="s">
        <v>3083</v>
      </c>
      <c r="F209" s="9" t="s">
        <v>3084</v>
      </c>
      <c r="G209" s="9" t="s">
        <v>3058</v>
      </c>
      <c r="H209" s="9"/>
      <c r="I209" s="9" t="s">
        <v>21</v>
      </c>
      <c r="J209" s="9" t="s">
        <v>24</v>
      </c>
      <c r="K209" s="9"/>
      <c r="L209" s="9"/>
      <c r="M209" s="9"/>
      <c r="N209" s="9" t="s">
        <v>3456</v>
      </c>
      <c r="O209" s="9">
        <v>3</v>
      </c>
      <c r="P209" s="9">
        <v>3</v>
      </c>
      <c r="Q209" s="9" t="s">
        <v>38</v>
      </c>
      <c r="R209" s="9" t="s">
        <v>9</v>
      </c>
    </row>
    <row r="210" spans="1:19">
      <c r="A210" s="1">
        <v>2036</v>
      </c>
      <c r="B210" s="1" t="s">
        <v>2701</v>
      </c>
      <c r="C210" s="1" t="s">
        <v>1381</v>
      </c>
      <c r="D210" s="1">
        <v>5</v>
      </c>
      <c r="E210" s="1" t="s">
        <v>3083</v>
      </c>
      <c r="F210" s="1" t="s">
        <v>3084</v>
      </c>
      <c r="G210" s="1" t="s">
        <v>3071</v>
      </c>
      <c r="I210" s="1" t="s">
        <v>1512</v>
      </c>
      <c r="J210" s="1" t="s">
        <v>1537</v>
      </c>
      <c r="N210" s="1" t="s">
        <v>3456</v>
      </c>
      <c r="O210" s="1">
        <v>0</v>
      </c>
      <c r="P210" s="1">
        <v>1</v>
      </c>
      <c r="Q210" s="1" t="s">
        <v>31</v>
      </c>
      <c r="R210" s="1" t="s">
        <v>9</v>
      </c>
    </row>
    <row r="211" spans="1:19">
      <c r="A211" s="1">
        <v>2037</v>
      </c>
      <c r="B211" s="1" t="s">
        <v>2702</v>
      </c>
      <c r="C211" s="1" t="s">
        <v>1385</v>
      </c>
      <c r="D211" s="1">
        <v>5</v>
      </c>
      <c r="E211" s="1" t="s">
        <v>3087</v>
      </c>
      <c r="F211" s="1" t="s">
        <v>3084</v>
      </c>
      <c r="G211" s="1" t="s">
        <v>3075</v>
      </c>
      <c r="I211" s="1" t="s">
        <v>1538</v>
      </c>
      <c r="J211" s="1" t="s">
        <v>1513</v>
      </c>
      <c r="N211" s="1" t="s">
        <v>3456</v>
      </c>
      <c r="O211" s="1">
        <v>4</v>
      </c>
      <c r="P211" s="1">
        <v>4</v>
      </c>
      <c r="Q211" s="1" t="s">
        <v>175</v>
      </c>
      <c r="R211" s="1" t="s">
        <v>9</v>
      </c>
    </row>
    <row r="212" spans="1:19">
      <c r="A212" s="1">
        <v>2038</v>
      </c>
      <c r="B212" s="1" t="s">
        <v>2703</v>
      </c>
      <c r="C212" s="1" t="s">
        <v>1381</v>
      </c>
      <c r="D212" s="1">
        <v>5</v>
      </c>
      <c r="E212" s="1" t="s">
        <v>3083</v>
      </c>
      <c r="F212" s="1" t="s">
        <v>3084</v>
      </c>
      <c r="G212" s="1" t="s">
        <v>3055</v>
      </c>
      <c r="I212" s="1" t="s">
        <v>1094</v>
      </c>
      <c r="J212" s="1" t="s">
        <v>1514</v>
      </c>
      <c r="N212" s="1" t="s">
        <v>3150</v>
      </c>
      <c r="O212" s="1">
        <v>3</v>
      </c>
      <c r="P212" s="1">
        <v>3</v>
      </c>
      <c r="Q212" s="1" t="s">
        <v>52</v>
      </c>
      <c r="R212" s="1" t="s">
        <v>9</v>
      </c>
    </row>
    <row r="213" spans="1:19">
      <c r="A213" s="1">
        <v>2039</v>
      </c>
      <c r="B213" s="1" t="s">
        <v>2704</v>
      </c>
      <c r="C213" s="1" t="s">
        <v>1385</v>
      </c>
      <c r="D213" s="1">
        <v>5</v>
      </c>
      <c r="E213" s="1" t="s">
        <v>3087</v>
      </c>
      <c r="F213" s="1" t="s">
        <v>3084</v>
      </c>
      <c r="I213" s="1" t="s">
        <v>1515</v>
      </c>
      <c r="N213" s="1" t="s">
        <v>3456</v>
      </c>
      <c r="O213" s="1">
        <v>3</v>
      </c>
      <c r="P213" s="1">
        <v>3</v>
      </c>
      <c r="Q213" s="1" t="s">
        <v>49</v>
      </c>
      <c r="R213" s="1" t="s">
        <v>9</v>
      </c>
    </row>
    <row r="214" spans="1:19">
      <c r="A214" s="1">
        <v>2040</v>
      </c>
      <c r="B214" s="8" t="s">
        <v>2705</v>
      </c>
      <c r="C214" s="8" t="s">
        <v>1381</v>
      </c>
      <c r="D214" s="8">
        <v>5</v>
      </c>
      <c r="E214" s="8" t="s">
        <v>3083</v>
      </c>
      <c r="F214" s="8" t="s">
        <v>3084</v>
      </c>
      <c r="G214" s="8" t="s">
        <v>3055</v>
      </c>
      <c r="H214" s="8"/>
      <c r="I214" s="8" t="s">
        <v>1094</v>
      </c>
      <c r="J214" s="8" t="s">
        <v>1516</v>
      </c>
      <c r="K214" s="8"/>
      <c r="L214" s="8"/>
      <c r="M214" s="8"/>
      <c r="N214" s="8" t="s">
        <v>3150</v>
      </c>
      <c r="O214" s="8">
        <v>2</v>
      </c>
      <c r="P214" s="8">
        <v>2</v>
      </c>
      <c r="Q214" s="8" t="s">
        <v>168</v>
      </c>
      <c r="R214" s="8" t="s">
        <v>9</v>
      </c>
    </row>
    <row r="215" spans="1:19">
      <c r="A215" s="1">
        <v>2041</v>
      </c>
      <c r="B215" s="1" t="s">
        <v>2706</v>
      </c>
      <c r="C215" s="1" t="s">
        <v>1381</v>
      </c>
      <c r="D215" s="1">
        <v>5</v>
      </c>
      <c r="E215" s="1" t="s">
        <v>3083</v>
      </c>
      <c r="F215" s="1" t="s">
        <v>3084</v>
      </c>
      <c r="G215" s="1" t="s">
        <v>3055</v>
      </c>
      <c r="I215" s="1" t="s">
        <v>1517</v>
      </c>
      <c r="J215" s="1" t="s">
        <v>1539</v>
      </c>
      <c r="N215" s="1" t="s">
        <v>3456</v>
      </c>
      <c r="O215" s="1">
        <v>3</v>
      </c>
      <c r="P215" s="1">
        <v>3</v>
      </c>
      <c r="Q215" s="1" t="s">
        <v>53</v>
      </c>
      <c r="R215" s="1" t="s">
        <v>9</v>
      </c>
    </row>
    <row r="216" spans="1:19">
      <c r="A216" s="1">
        <v>3010</v>
      </c>
      <c r="B216" s="1" t="s">
        <v>2722</v>
      </c>
      <c r="C216" s="1" t="s">
        <v>1385</v>
      </c>
      <c r="D216" s="1">
        <v>5</v>
      </c>
      <c r="E216" s="1" t="s">
        <v>3083</v>
      </c>
      <c r="F216" s="1" t="s">
        <v>3084</v>
      </c>
      <c r="G216" s="1" t="s">
        <v>3055</v>
      </c>
      <c r="I216" s="1" t="s">
        <v>1554</v>
      </c>
      <c r="J216" s="1" t="s">
        <v>1555</v>
      </c>
      <c r="N216" s="1" t="s">
        <v>3456</v>
      </c>
      <c r="O216" s="1">
        <v>2</v>
      </c>
      <c r="P216" s="1">
        <v>2</v>
      </c>
      <c r="Q216" s="1" t="s">
        <v>35</v>
      </c>
      <c r="R216" s="1" t="s">
        <v>41</v>
      </c>
    </row>
    <row r="217" spans="1:19" hidden="1">
      <c r="A217" s="5">
        <v>86</v>
      </c>
      <c r="B217" s="4" t="s">
        <v>2584</v>
      </c>
      <c r="C217" s="4" t="s">
        <v>1386</v>
      </c>
      <c r="D217" s="4">
        <v>6</v>
      </c>
      <c r="E217" s="4" t="s">
        <v>3083</v>
      </c>
      <c r="F217" s="4" t="s">
        <v>3084</v>
      </c>
      <c r="G217" s="4" t="s">
        <v>3056</v>
      </c>
      <c r="H217" s="4"/>
      <c r="I217" s="4" t="s">
        <v>323</v>
      </c>
      <c r="J217" s="4"/>
      <c r="K217" s="4"/>
      <c r="L217" s="4"/>
      <c r="M217" s="4"/>
      <c r="N217" s="5" t="s">
        <v>3456</v>
      </c>
      <c r="O217" s="4">
        <v>4</v>
      </c>
      <c r="P217" s="4">
        <v>3</v>
      </c>
      <c r="Q217" s="4" t="s">
        <v>179</v>
      </c>
      <c r="R217" s="3" t="s">
        <v>4</v>
      </c>
      <c r="S217" s="4"/>
    </row>
    <row r="218" spans="1:19" hidden="1">
      <c r="A218" s="1">
        <v>1084</v>
      </c>
      <c r="B218" s="8" t="s">
        <v>2664</v>
      </c>
      <c r="C218" s="8" t="s">
        <v>1386</v>
      </c>
      <c r="D218" s="8">
        <v>6</v>
      </c>
      <c r="E218" s="8" t="s">
        <v>3083</v>
      </c>
      <c r="F218" s="8" t="s">
        <v>3084</v>
      </c>
      <c r="G218" s="8" t="s">
        <v>3075</v>
      </c>
      <c r="H218" s="8"/>
      <c r="I218" s="8" t="s">
        <v>1460</v>
      </c>
      <c r="J218" s="8"/>
      <c r="K218" s="8"/>
      <c r="L218" s="8"/>
      <c r="M218" s="8"/>
      <c r="N218" s="8" t="s">
        <v>3456</v>
      </c>
      <c r="O218" s="8">
        <v>4</v>
      </c>
      <c r="P218" s="8">
        <v>2</v>
      </c>
      <c r="Q218" s="8" t="s">
        <v>45</v>
      </c>
      <c r="R218" s="8" t="s">
        <v>7</v>
      </c>
    </row>
    <row r="219" spans="1:19" hidden="1">
      <c r="A219" s="6">
        <v>1085</v>
      </c>
      <c r="B219" s="6" t="s">
        <v>2665</v>
      </c>
      <c r="C219" s="6" t="s">
        <v>1465</v>
      </c>
      <c r="D219" s="6">
        <v>6</v>
      </c>
      <c r="E219" s="6" t="s">
        <v>3083</v>
      </c>
      <c r="F219" s="6" t="s">
        <v>3084</v>
      </c>
      <c r="G219" s="6" t="s">
        <v>3075</v>
      </c>
      <c r="H219" s="6" t="s">
        <v>3060</v>
      </c>
      <c r="I219" s="6" t="s">
        <v>1461</v>
      </c>
      <c r="J219" s="6"/>
      <c r="K219" s="6"/>
      <c r="L219" s="6"/>
      <c r="M219" s="6"/>
      <c r="N219" s="6" t="s">
        <v>3150</v>
      </c>
      <c r="O219" s="6">
        <v>3</v>
      </c>
      <c r="P219" s="6">
        <v>2</v>
      </c>
      <c r="Q219" s="6" t="s">
        <v>607</v>
      </c>
      <c r="R219" s="6" t="s">
        <v>7</v>
      </c>
    </row>
    <row r="220" spans="1:19" hidden="1">
      <c r="A220" s="1">
        <v>2042</v>
      </c>
      <c r="B220" s="1" t="s">
        <v>2707</v>
      </c>
      <c r="C220" s="1" t="s">
        <v>1465</v>
      </c>
      <c r="D220" s="1">
        <v>6</v>
      </c>
      <c r="E220" s="1" t="s">
        <v>3087</v>
      </c>
      <c r="F220" s="1" t="s">
        <v>3084</v>
      </c>
      <c r="G220" s="1" t="s">
        <v>3080</v>
      </c>
      <c r="I220" s="1" t="s">
        <v>1518</v>
      </c>
      <c r="J220" s="1" t="s">
        <v>1519</v>
      </c>
      <c r="O220" s="1">
        <v>6</v>
      </c>
      <c r="P220" s="1">
        <v>1</v>
      </c>
      <c r="Q220" s="1" t="s">
        <v>169</v>
      </c>
      <c r="R220" s="1" t="s">
        <v>9</v>
      </c>
    </row>
    <row r="221" spans="1:19" hidden="1">
      <c r="A221" s="1">
        <v>2043</v>
      </c>
      <c r="B221" s="1" t="s">
        <v>2708</v>
      </c>
      <c r="C221" s="1" t="s">
        <v>1386</v>
      </c>
      <c r="D221" s="1">
        <v>6</v>
      </c>
      <c r="E221" s="1" t="s">
        <v>3087</v>
      </c>
      <c r="F221" s="1" t="s">
        <v>3084</v>
      </c>
      <c r="G221" s="1" t="s">
        <v>3080</v>
      </c>
      <c r="I221" s="1" t="s">
        <v>1520</v>
      </c>
      <c r="J221" s="1" t="s">
        <v>1521</v>
      </c>
      <c r="N221" s="1" t="s">
        <v>3150</v>
      </c>
      <c r="O221" s="1">
        <v>3</v>
      </c>
      <c r="P221" s="1">
        <v>3</v>
      </c>
      <c r="Q221" s="1" t="s">
        <v>175</v>
      </c>
      <c r="R221" s="1" t="s">
        <v>9</v>
      </c>
    </row>
    <row r="222" spans="1:19" hidden="1">
      <c r="A222" s="1">
        <v>2044</v>
      </c>
      <c r="B222" s="1" t="s">
        <v>2709</v>
      </c>
      <c r="C222" s="1" t="s">
        <v>1465</v>
      </c>
      <c r="D222" s="1">
        <v>6</v>
      </c>
      <c r="E222" s="1" t="s">
        <v>3083</v>
      </c>
      <c r="F222" s="1" t="s">
        <v>3084</v>
      </c>
      <c r="G222" s="1" t="s">
        <v>3051</v>
      </c>
      <c r="I222" s="1" t="s">
        <v>1522</v>
      </c>
      <c r="N222" s="1" t="s">
        <v>3456</v>
      </c>
      <c r="O222" s="1">
        <v>5</v>
      </c>
      <c r="P222" s="1">
        <v>5</v>
      </c>
      <c r="Q222" s="1" t="s">
        <v>33</v>
      </c>
      <c r="R222" s="1" t="s">
        <v>9</v>
      </c>
    </row>
    <row r="223" spans="1:19" hidden="1">
      <c r="A223" s="6">
        <v>2045</v>
      </c>
      <c r="B223" s="6" t="s">
        <v>2710</v>
      </c>
      <c r="C223" s="6" t="s">
        <v>1465</v>
      </c>
      <c r="D223" s="6">
        <v>6</v>
      </c>
      <c r="E223" s="6" t="s">
        <v>3087</v>
      </c>
      <c r="F223" s="6" t="s">
        <v>3084</v>
      </c>
      <c r="G223" s="6" t="s">
        <v>3058</v>
      </c>
      <c r="H223" s="6"/>
      <c r="I223" s="6" t="s">
        <v>1523</v>
      </c>
      <c r="J223" s="6" t="s">
        <v>1524</v>
      </c>
      <c r="K223" s="6"/>
      <c r="L223" s="6"/>
      <c r="M223" s="6" t="s">
        <v>491</v>
      </c>
      <c r="N223" s="6" t="s">
        <v>3456</v>
      </c>
      <c r="O223" s="6">
        <v>4</v>
      </c>
      <c r="P223" s="6">
        <v>4</v>
      </c>
      <c r="Q223" s="6"/>
      <c r="R223" s="6"/>
    </row>
    <row r="224" spans="1:19" hidden="1">
      <c r="A224" s="6">
        <v>2046</v>
      </c>
      <c r="B224" s="6" t="s">
        <v>2711</v>
      </c>
      <c r="C224" s="6" t="s">
        <v>1465</v>
      </c>
      <c r="D224" s="6">
        <v>6</v>
      </c>
      <c r="E224" s="6" t="s">
        <v>1526</v>
      </c>
      <c r="F224" s="6"/>
      <c r="G224" s="6"/>
      <c r="H224" s="6"/>
      <c r="I224" s="6" t="s">
        <v>1540</v>
      </c>
      <c r="J224" s="6"/>
      <c r="K224" s="6"/>
      <c r="L224" s="6"/>
      <c r="M224" s="6" t="s">
        <v>491</v>
      </c>
      <c r="N224" s="6" t="s">
        <v>3456</v>
      </c>
      <c r="O224" s="6"/>
      <c r="P224" s="6"/>
      <c r="Q224" s="6" t="s">
        <v>179</v>
      </c>
      <c r="R224" s="6" t="s">
        <v>9</v>
      </c>
    </row>
    <row r="225" spans="1:19" hidden="1">
      <c r="A225" s="1">
        <v>2047</v>
      </c>
      <c r="B225" s="1" t="s">
        <v>2712</v>
      </c>
      <c r="C225" s="1" t="s">
        <v>1541</v>
      </c>
      <c r="D225" s="1">
        <v>7</v>
      </c>
      <c r="E225" s="1" t="s">
        <v>3083</v>
      </c>
      <c r="F225" s="1" t="s">
        <v>3084</v>
      </c>
      <c r="G225" s="1" t="s">
        <v>3070</v>
      </c>
      <c r="I225" s="1" t="s">
        <v>1525</v>
      </c>
      <c r="N225" s="1" t="s">
        <v>3456</v>
      </c>
      <c r="O225" s="1">
        <v>4</v>
      </c>
      <c r="P225" s="1">
        <v>4</v>
      </c>
      <c r="Q225" s="1" t="s">
        <v>30</v>
      </c>
      <c r="R225" s="1" t="s">
        <v>9</v>
      </c>
    </row>
    <row r="226" spans="1:19" hidden="1"/>
    <row r="227" spans="1:19" hidden="1"/>
    <row r="228" spans="1:19" hidden="1"/>
    <row r="229" spans="1:19" hidden="1"/>
    <row r="230" spans="1:19" hidden="1"/>
    <row r="231" spans="1:19" hidden="1"/>
    <row r="232" spans="1:19">
      <c r="A232" s="3"/>
      <c r="B232" s="3"/>
      <c r="C232" s="3"/>
      <c r="D232" s="3"/>
      <c r="E232" s="3"/>
      <c r="F232" s="3"/>
      <c r="G232" s="3"/>
      <c r="H232" s="3"/>
      <c r="I232" s="3"/>
      <c r="J232" s="3"/>
      <c r="K232" s="3"/>
      <c r="L232" s="3"/>
      <c r="M232" s="3"/>
      <c r="N232" s="3"/>
      <c r="O232" s="3"/>
      <c r="P232" s="3"/>
      <c r="Q232" s="3"/>
      <c r="R232" s="3"/>
      <c r="S232" s="3"/>
    </row>
    <row r="233" spans="1:19">
      <c r="A233" s="3"/>
      <c r="B233" s="3"/>
      <c r="C233" s="3"/>
      <c r="D233" s="3"/>
      <c r="E233" s="3"/>
      <c r="F233" s="3"/>
      <c r="G233" s="3"/>
      <c r="H233" s="3"/>
      <c r="I233" s="3"/>
      <c r="J233" s="3"/>
      <c r="K233" s="3"/>
      <c r="L233" s="3"/>
      <c r="M233" s="3"/>
      <c r="N233" s="3"/>
      <c r="O233" s="3"/>
      <c r="P233" s="3"/>
      <c r="Q233" s="3"/>
      <c r="R233" s="3"/>
      <c r="S233" s="3"/>
    </row>
  </sheetData>
  <autoFilter ref="A1:S231">
    <filterColumn colId="3">
      <filters>
        <filter val="5"/>
      </filters>
    </filterColumn>
  </autoFilter>
  <sortState ref="A2:S230">
    <sortCondition ref="D2:D230"/>
    <sortCondition ref="A2:A230"/>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75"/>
  <sheetViews>
    <sheetView zoomScale="70" zoomScaleNormal="70" workbookViewId="0">
      <pane ySplit="1" topLeftCell="A2" activePane="bottomLeft" state="frozen"/>
      <selection pane="bottomLeft" sqref="A1:XFD1048576"/>
    </sheetView>
  </sheetViews>
  <sheetFormatPr defaultRowHeight="13.5"/>
  <cols>
    <col min="1" max="14" width="9" style="1"/>
    <col min="15" max="15" width="6.25" style="1" bestFit="1" customWidth="1"/>
    <col min="16" max="16" width="6" style="1" bestFit="1" customWidth="1"/>
    <col min="17" max="16384" width="9" style="1"/>
  </cols>
  <sheetData>
    <row r="1" spans="1:23">
      <c r="B1" s="1" t="s">
        <v>3151</v>
      </c>
      <c r="C1" s="1" t="s">
        <v>3152</v>
      </c>
      <c r="D1" s="1" t="s">
        <v>3160</v>
      </c>
      <c r="E1" s="1" t="s">
        <v>3153</v>
      </c>
      <c r="F1" s="1" t="s">
        <v>3154</v>
      </c>
      <c r="G1" s="1" t="s">
        <v>3155</v>
      </c>
      <c r="H1" s="1" t="s">
        <v>3156</v>
      </c>
      <c r="I1" s="1" t="s">
        <v>3157</v>
      </c>
      <c r="N1" s="2" t="s">
        <v>3456</v>
      </c>
      <c r="O1" s="64" t="s">
        <v>4051</v>
      </c>
      <c r="P1" s="64" t="s">
        <v>4052</v>
      </c>
      <c r="Q1" s="1" t="s">
        <v>3159</v>
      </c>
      <c r="T1" s="4" t="s">
        <v>3881</v>
      </c>
      <c r="U1" s="8" t="s">
        <v>3882</v>
      </c>
      <c r="V1" s="9" t="s">
        <v>3906</v>
      </c>
      <c r="W1" s="10" t="s">
        <v>3907</v>
      </c>
    </row>
    <row r="2" spans="1:23">
      <c r="A2" s="4">
        <v>1</v>
      </c>
      <c r="B2" s="5" t="s">
        <v>2723</v>
      </c>
      <c r="C2" s="5" t="s">
        <v>1606</v>
      </c>
      <c r="D2" s="5">
        <v>1</v>
      </c>
      <c r="E2" s="5" t="s">
        <v>3083</v>
      </c>
      <c r="F2" s="5" t="s">
        <v>3084</v>
      </c>
      <c r="G2" s="5" t="s">
        <v>3058</v>
      </c>
      <c r="H2" s="5"/>
      <c r="I2" s="5" t="s">
        <v>1601</v>
      </c>
      <c r="J2" s="5"/>
      <c r="K2" s="5"/>
      <c r="L2" s="5"/>
      <c r="M2" s="5"/>
      <c r="N2" s="5" t="s">
        <v>3456</v>
      </c>
      <c r="O2" s="5">
        <v>1</v>
      </c>
      <c r="P2" s="5">
        <v>1</v>
      </c>
      <c r="Q2" s="5" t="s">
        <v>45</v>
      </c>
      <c r="R2" s="5" t="s">
        <v>4</v>
      </c>
      <c r="T2" s="1">
        <f>COUNTIF(F:H,U2)</f>
        <v>14</v>
      </c>
      <c r="U2" s="1" t="s">
        <v>3058</v>
      </c>
    </row>
    <row r="3" spans="1:23">
      <c r="A3" s="3">
        <v>2</v>
      </c>
      <c r="B3" s="2" t="s">
        <v>2724</v>
      </c>
      <c r="C3" s="2" t="s">
        <v>1606</v>
      </c>
      <c r="D3" s="2">
        <v>1</v>
      </c>
      <c r="E3" s="2" t="s">
        <v>3083</v>
      </c>
      <c r="F3" s="2" t="s">
        <v>3084</v>
      </c>
      <c r="G3" s="2" t="s">
        <v>3055</v>
      </c>
      <c r="H3" s="2"/>
      <c r="I3" s="1" t="s">
        <v>1561</v>
      </c>
      <c r="J3" s="1" t="s">
        <v>1607</v>
      </c>
      <c r="N3" s="2" t="s">
        <v>3456</v>
      </c>
      <c r="O3" s="1">
        <v>1</v>
      </c>
      <c r="P3" s="1">
        <v>1</v>
      </c>
      <c r="Q3" s="1" t="s">
        <v>38</v>
      </c>
      <c r="R3" s="1" t="s">
        <v>4</v>
      </c>
      <c r="T3" s="1">
        <f t="shared" ref="T3:T16" si="0">COUNTIF(F:H,U3)</f>
        <v>32</v>
      </c>
      <c r="U3" s="1" t="s">
        <v>3055</v>
      </c>
    </row>
    <row r="4" spans="1:23">
      <c r="A4" s="3">
        <v>3</v>
      </c>
      <c r="B4" s="3" t="s">
        <v>2725</v>
      </c>
      <c r="C4" s="3" t="s">
        <v>1606</v>
      </c>
      <c r="D4" s="3">
        <v>1</v>
      </c>
      <c r="E4" s="3" t="s">
        <v>3083</v>
      </c>
      <c r="F4" s="3" t="s">
        <v>3084</v>
      </c>
      <c r="G4" s="3" t="s">
        <v>3066</v>
      </c>
      <c r="H4" s="3"/>
      <c r="I4" s="3" t="s">
        <v>1608</v>
      </c>
      <c r="J4" s="3"/>
      <c r="K4" s="3"/>
      <c r="L4" s="3"/>
      <c r="M4" s="3"/>
      <c r="N4" s="14"/>
      <c r="O4" s="3">
        <v>0</v>
      </c>
      <c r="P4" s="3">
        <v>3</v>
      </c>
      <c r="Q4" s="3" t="s">
        <v>17</v>
      </c>
      <c r="R4" s="3" t="s">
        <v>4</v>
      </c>
      <c r="S4" s="4"/>
      <c r="T4" s="1">
        <f t="shared" si="0"/>
        <v>29</v>
      </c>
      <c r="U4" s="1" t="s">
        <v>3066</v>
      </c>
    </row>
    <row r="5" spans="1:23">
      <c r="A5" s="6">
        <v>4</v>
      </c>
      <c r="B5" s="6" t="s">
        <v>2726</v>
      </c>
      <c r="C5" s="6" t="s">
        <v>1606</v>
      </c>
      <c r="D5" s="6">
        <v>1</v>
      </c>
      <c r="E5" s="6" t="s">
        <v>3083</v>
      </c>
      <c r="F5" s="6" t="s">
        <v>3084</v>
      </c>
      <c r="G5" s="6" t="s">
        <v>3053</v>
      </c>
      <c r="H5" s="6"/>
      <c r="I5" s="6" t="s">
        <v>249</v>
      </c>
      <c r="J5" s="6" t="s">
        <v>1562</v>
      </c>
      <c r="K5" s="6"/>
      <c r="L5" s="6"/>
      <c r="M5" s="6"/>
      <c r="N5" s="7" t="s">
        <v>3150</v>
      </c>
      <c r="O5" s="6">
        <v>1</v>
      </c>
      <c r="P5" s="6">
        <v>1</v>
      </c>
      <c r="Q5" s="6" t="s">
        <v>52</v>
      </c>
      <c r="R5" s="6" t="s">
        <v>4</v>
      </c>
      <c r="T5" s="1">
        <f t="shared" si="0"/>
        <v>2</v>
      </c>
      <c r="U5" s="1" t="s">
        <v>3053</v>
      </c>
    </row>
    <row r="6" spans="1:23">
      <c r="A6" s="3">
        <v>5</v>
      </c>
      <c r="B6" s="1" t="s">
        <v>2727</v>
      </c>
      <c r="C6" s="1" t="s">
        <v>1606</v>
      </c>
      <c r="D6" s="1">
        <v>1</v>
      </c>
      <c r="E6" s="1" t="s">
        <v>3083</v>
      </c>
      <c r="F6" s="1" t="s">
        <v>3084</v>
      </c>
      <c r="G6" s="1" t="s">
        <v>3050</v>
      </c>
      <c r="I6" s="1" t="s">
        <v>1563</v>
      </c>
      <c r="J6" s="1" t="s">
        <v>1564</v>
      </c>
      <c r="N6" s="2"/>
      <c r="O6" s="1">
        <v>0</v>
      </c>
      <c r="P6" s="1">
        <v>0</v>
      </c>
      <c r="Q6" s="1" t="s">
        <v>32</v>
      </c>
      <c r="R6" s="1" t="s">
        <v>4</v>
      </c>
      <c r="T6" s="1">
        <f t="shared" si="0"/>
        <v>5</v>
      </c>
      <c r="U6" s="1" t="s">
        <v>3050</v>
      </c>
    </row>
    <row r="7" spans="1:23">
      <c r="A7" s="3">
        <v>6</v>
      </c>
      <c r="B7" s="1" t="s">
        <v>2728</v>
      </c>
      <c r="C7" s="1" t="s">
        <v>1606</v>
      </c>
      <c r="D7" s="1">
        <v>1</v>
      </c>
      <c r="E7" s="1" t="s">
        <v>3083</v>
      </c>
      <c r="F7" s="1" t="s">
        <v>3084</v>
      </c>
      <c r="G7" s="1" t="s">
        <v>3058</v>
      </c>
      <c r="I7" s="1" t="s">
        <v>1346</v>
      </c>
      <c r="N7" s="2" t="s">
        <v>3456</v>
      </c>
      <c r="O7" s="1">
        <v>1</v>
      </c>
      <c r="P7" s="1">
        <v>1</v>
      </c>
      <c r="Q7" s="1" t="s">
        <v>175</v>
      </c>
      <c r="R7" s="1" t="s">
        <v>4</v>
      </c>
      <c r="T7" s="1">
        <f t="shared" si="0"/>
        <v>26</v>
      </c>
      <c r="U7" s="1" t="s">
        <v>3075</v>
      </c>
    </row>
    <row r="8" spans="1:23">
      <c r="A8" s="3">
        <v>7</v>
      </c>
      <c r="B8" s="1" t="s">
        <v>2729</v>
      </c>
      <c r="C8" s="1" t="s">
        <v>1606</v>
      </c>
      <c r="D8" s="1">
        <v>1</v>
      </c>
      <c r="E8" s="1" t="s">
        <v>3083</v>
      </c>
      <c r="F8" s="1" t="s">
        <v>3084</v>
      </c>
      <c r="G8" s="1" t="s">
        <v>3075</v>
      </c>
      <c r="I8" s="1" t="s">
        <v>1609</v>
      </c>
      <c r="N8" s="2" t="s">
        <v>3456</v>
      </c>
      <c r="O8" s="1">
        <v>1</v>
      </c>
      <c r="P8" s="1">
        <v>1</v>
      </c>
      <c r="Q8" s="1" t="s">
        <v>27</v>
      </c>
      <c r="R8" s="1" t="s">
        <v>4</v>
      </c>
      <c r="T8" s="1">
        <f t="shared" si="0"/>
        <v>1</v>
      </c>
      <c r="U8" s="1" t="s">
        <v>3065</v>
      </c>
    </row>
    <row r="9" spans="1:23">
      <c r="A9" s="3">
        <v>8</v>
      </c>
      <c r="B9" s="1" t="s">
        <v>2730</v>
      </c>
      <c r="C9" s="1" t="s">
        <v>1606</v>
      </c>
      <c r="D9" s="1">
        <v>1</v>
      </c>
      <c r="E9" s="1" t="s">
        <v>3083</v>
      </c>
      <c r="F9" s="1" t="s">
        <v>3084</v>
      </c>
      <c r="G9" s="1" t="s">
        <v>3055</v>
      </c>
      <c r="I9" s="1" t="s">
        <v>1301</v>
      </c>
      <c r="J9" s="1" t="s">
        <v>1565</v>
      </c>
      <c r="N9" s="2"/>
      <c r="O9" s="1">
        <v>1</v>
      </c>
      <c r="P9" s="1">
        <v>1</v>
      </c>
      <c r="Q9" s="1" t="s">
        <v>11</v>
      </c>
      <c r="R9" s="1" t="s">
        <v>4</v>
      </c>
      <c r="T9" s="1">
        <f>COUNTIF(F:H,U9)/2</f>
        <v>15</v>
      </c>
      <c r="U9" s="1" t="s">
        <v>3079</v>
      </c>
    </row>
    <row r="10" spans="1:23">
      <c r="A10" s="3">
        <v>9</v>
      </c>
      <c r="B10" s="1" t="s">
        <v>2731</v>
      </c>
      <c r="C10" s="1" t="s">
        <v>1606</v>
      </c>
      <c r="D10" s="1">
        <v>1</v>
      </c>
      <c r="E10" s="1" t="s">
        <v>3083</v>
      </c>
      <c r="F10" s="1" t="s">
        <v>3084</v>
      </c>
      <c r="G10" s="1" t="s">
        <v>3075</v>
      </c>
      <c r="I10" s="1" t="s">
        <v>1566</v>
      </c>
      <c r="N10" s="2" t="s">
        <v>3456</v>
      </c>
      <c r="O10" s="1">
        <v>1</v>
      </c>
      <c r="P10" s="1">
        <v>1</v>
      </c>
      <c r="Q10" s="1" t="s">
        <v>49</v>
      </c>
      <c r="R10" s="1" t="s">
        <v>4</v>
      </c>
      <c r="T10" s="1">
        <f t="shared" si="0"/>
        <v>10</v>
      </c>
      <c r="U10" s="1" t="s">
        <v>3049</v>
      </c>
    </row>
    <row r="11" spans="1:23">
      <c r="A11" s="3">
        <v>10</v>
      </c>
      <c r="B11" s="1" t="s">
        <v>2732</v>
      </c>
      <c r="C11" s="1" t="s">
        <v>1606</v>
      </c>
      <c r="D11" s="1">
        <v>1</v>
      </c>
      <c r="E11" s="1" t="s">
        <v>3083</v>
      </c>
      <c r="F11" s="1" t="s">
        <v>3084</v>
      </c>
      <c r="G11" s="1" t="s">
        <v>3053</v>
      </c>
      <c r="I11" s="1" t="s">
        <v>1610</v>
      </c>
      <c r="N11" s="2" t="s">
        <v>3456</v>
      </c>
      <c r="O11" s="1">
        <v>1</v>
      </c>
      <c r="P11" s="1">
        <v>2</v>
      </c>
      <c r="Q11" s="1" t="s">
        <v>39</v>
      </c>
      <c r="R11" s="1" t="s">
        <v>4</v>
      </c>
      <c r="T11" s="1">
        <f t="shared" si="0"/>
        <v>7</v>
      </c>
      <c r="U11" s="1" t="s">
        <v>3061</v>
      </c>
    </row>
    <row r="12" spans="1:23">
      <c r="A12" s="6">
        <v>11</v>
      </c>
      <c r="B12" s="6" t="s">
        <v>2733</v>
      </c>
      <c r="C12" s="6" t="s">
        <v>1606</v>
      </c>
      <c r="D12" s="6">
        <v>1</v>
      </c>
      <c r="E12" s="6" t="s">
        <v>3083</v>
      </c>
      <c r="F12" s="6" t="s">
        <v>3084</v>
      </c>
      <c r="G12" s="6" t="s">
        <v>3066</v>
      </c>
      <c r="H12" s="6"/>
      <c r="I12" s="6" t="s">
        <v>1567</v>
      </c>
      <c r="J12" s="6"/>
      <c r="K12" s="6"/>
      <c r="L12" s="6"/>
      <c r="M12" s="6"/>
      <c r="N12" s="7" t="s">
        <v>3456</v>
      </c>
      <c r="O12" s="6">
        <v>1</v>
      </c>
      <c r="P12" s="6">
        <v>1</v>
      </c>
      <c r="Q12" s="6" t="s">
        <v>179</v>
      </c>
      <c r="R12" s="6" t="s">
        <v>4</v>
      </c>
      <c r="T12" s="1">
        <f t="shared" si="0"/>
        <v>5</v>
      </c>
      <c r="U12" s="1" t="s">
        <v>3071</v>
      </c>
    </row>
    <row r="13" spans="1:23">
      <c r="A13" s="3">
        <v>12</v>
      </c>
      <c r="B13" s="3" t="s">
        <v>2734</v>
      </c>
      <c r="C13" s="3" t="s">
        <v>1606</v>
      </c>
      <c r="D13" s="3">
        <v>1</v>
      </c>
      <c r="E13" s="3" t="s">
        <v>3083</v>
      </c>
      <c r="F13" s="3" t="s">
        <v>3084</v>
      </c>
      <c r="G13" s="3" t="s">
        <v>3065</v>
      </c>
      <c r="H13" s="3"/>
      <c r="I13" s="3" t="s">
        <v>1568</v>
      </c>
      <c r="J13" s="3"/>
      <c r="K13" s="3"/>
      <c r="L13" s="3"/>
      <c r="M13" s="3"/>
      <c r="N13" s="14"/>
      <c r="O13" s="3">
        <v>0</v>
      </c>
      <c r="P13" s="3">
        <v>0</v>
      </c>
      <c r="Q13" s="3" t="s">
        <v>10</v>
      </c>
      <c r="R13" s="3" t="s">
        <v>4</v>
      </c>
      <c r="T13" s="1">
        <f t="shared" si="0"/>
        <v>1</v>
      </c>
      <c r="U13" s="1" t="s">
        <v>3057</v>
      </c>
    </row>
    <row r="14" spans="1:23">
      <c r="A14" s="4">
        <v>1001</v>
      </c>
      <c r="B14" s="4" t="s">
        <v>2785</v>
      </c>
      <c r="C14" s="4" t="s">
        <v>1606</v>
      </c>
      <c r="D14" s="4">
        <v>1</v>
      </c>
      <c r="E14" s="4" t="s">
        <v>3083</v>
      </c>
      <c r="F14" s="4" t="s">
        <v>3084</v>
      </c>
      <c r="G14" s="4" t="s">
        <v>3081</v>
      </c>
      <c r="H14" s="4"/>
      <c r="I14" s="4" t="s">
        <v>1624</v>
      </c>
      <c r="J14" s="4" t="s">
        <v>1625</v>
      </c>
      <c r="K14" s="4"/>
      <c r="L14" s="4"/>
      <c r="M14" s="4"/>
      <c r="N14" s="4"/>
      <c r="O14" s="4">
        <v>1</v>
      </c>
      <c r="P14" s="4">
        <v>1</v>
      </c>
      <c r="Q14" s="4" t="s">
        <v>5</v>
      </c>
      <c r="R14" s="1" t="s">
        <v>7</v>
      </c>
      <c r="T14" s="1">
        <f t="shared" si="0"/>
        <v>1</v>
      </c>
      <c r="U14" s="1" t="s">
        <v>3054</v>
      </c>
    </row>
    <row r="15" spans="1:23">
      <c r="A15" s="1">
        <v>1002</v>
      </c>
      <c r="B15" s="1" t="s">
        <v>2786</v>
      </c>
      <c r="C15" s="1" t="s">
        <v>1606</v>
      </c>
      <c r="D15" s="1">
        <v>1</v>
      </c>
      <c r="E15" s="1" t="s">
        <v>3083</v>
      </c>
      <c r="F15" s="1" t="s">
        <v>3084</v>
      </c>
      <c r="G15" s="1" t="s">
        <v>3066</v>
      </c>
      <c r="I15" s="1" t="s">
        <v>1682</v>
      </c>
      <c r="N15" s="1" t="s">
        <v>3456</v>
      </c>
      <c r="O15" s="1">
        <v>1</v>
      </c>
      <c r="P15" s="1">
        <v>1</v>
      </c>
      <c r="Q15" s="1" t="s">
        <v>46</v>
      </c>
      <c r="R15" s="1" t="s">
        <v>7</v>
      </c>
      <c r="T15" s="1">
        <f t="shared" si="0"/>
        <v>4</v>
      </c>
      <c r="U15" s="1" t="s">
        <v>3063</v>
      </c>
    </row>
    <row r="16" spans="1:23">
      <c r="A16" s="1">
        <v>2001</v>
      </c>
      <c r="B16" s="1" t="s">
        <v>2845</v>
      </c>
      <c r="C16" s="1" t="s">
        <v>1606</v>
      </c>
      <c r="D16" s="1">
        <v>1</v>
      </c>
      <c r="E16" s="1" t="s">
        <v>3083</v>
      </c>
      <c r="F16" s="1" t="s">
        <v>3084</v>
      </c>
      <c r="G16" s="1" t="s">
        <v>3066</v>
      </c>
      <c r="I16" s="1" t="s">
        <v>73</v>
      </c>
      <c r="J16" s="1" t="s">
        <v>1697</v>
      </c>
      <c r="N16" s="1" t="s">
        <v>3456</v>
      </c>
      <c r="O16" s="1">
        <v>1</v>
      </c>
      <c r="P16" s="1">
        <v>1</v>
      </c>
      <c r="Q16" s="1" t="s">
        <v>48</v>
      </c>
      <c r="R16" s="1" t="s">
        <v>9</v>
      </c>
      <c r="T16" s="1">
        <f t="shared" si="0"/>
        <v>3</v>
      </c>
      <c r="U16" s="1" t="s">
        <v>3060</v>
      </c>
    </row>
    <row r="17" spans="1:19">
      <c r="A17" s="1">
        <v>2002</v>
      </c>
      <c r="B17" s="1" t="s">
        <v>2846</v>
      </c>
      <c r="C17" s="1" t="s">
        <v>1606</v>
      </c>
      <c r="D17" s="1">
        <v>1</v>
      </c>
      <c r="E17" s="1" t="s">
        <v>3083</v>
      </c>
      <c r="F17" s="1" t="s">
        <v>3084</v>
      </c>
      <c r="G17" s="1" t="s">
        <v>3051</v>
      </c>
      <c r="I17" s="1" t="s">
        <v>1746</v>
      </c>
      <c r="N17" s="1" t="s">
        <v>3456</v>
      </c>
      <c r="O17" s="1">
        <v>1</v>
      </c>
      <c r="P17" s="1">
        <v>1</v>
      </c>
      <c r="Q17" s="1" t="s">
        <v>34</v>
      </c>
      <c r="R17" s="1" t="s">
        <v>9</v>
      </c>
    </row>
    <row r="18" spans="1:19">
      <c r="A18" s="1">
        <v>2003</v>
      </c>
      <c r="B18" s="1" t="s">
        <v>2847</v>
      </c>
      <c r="C18" s="1" t="s">
        <v>1606</v>
      </c>
      <c r="D18" s="1">
        <v>1</v>
      </c>
      <c r="E18" s="1" t="s">
        <v>3083</v>
      </c>
      <c r="F18" s="1" t="s">
        <v>3084</v>
      </c>
      <c r="G18" s="1" t="s">
        <v>3075</v>
      </c>
      <c r="I18" s="1" t="s">
        <v>1747</v>
      </c>
      <c r="N18" s="1" t="s">
        <v>3456</v>
      </c>
      <c r="O18" s="1">
        <v>1</v>
      </c>
      <c r="P18" s="1">
        <v>1</v>
      </c>
      <c r="Q18" s="1" t="s">
        <v>52</v>
      </c>
      <c r="R18" s="1" t="s">
        <v>9</v>
      </c>
    </row>
    <row r="19" spans="1:19">
      <c r="A19" s="1">
        <v>2004</v>
      </c>
      <c r="B19" s="1" t="s">
        <v>2848</v>
      </c>
      <c r="C19" s="1" t="s">
        <v>1606</v>
      </c>
      <c r="D19" s="1">
        <v>1</v>
      </c>
      <c r="E19" s="1" t="s">
        <v>3087</v>
      </c>
      <c r="F19" s="1" t="s">
        <v>3084</v>
      </c>
      <c r="G19" s="1" t="s">
        <v>3063</v>
      </c>
      <c r="I19" s="1" t="s">
        <v>1748</v>
      </c>
      <c r="J19" s="1" t="s">
        <v>1749</v>
      </c>
      <c r="N19" s="1" t="s">
        <v>3456</v>
      </c>
      <c r="O19" s="1">
        <v>1</v>
      </c>
      <c r="P19" s="1">
        <v>2</v>
      </c>
      <c r="Q19" s="1" t="s">
        <v>26</v>
      </c>
      <c r="R19" s="1" t="s">
        <v>9</v>
      </c>
    </row>
    <row r="20" spans="1:19">
      <c r="A20" s="1">
        <v>2005</v>
      </c>
      <c r="B20" s="1" t="s">
        <v>2849</v>
      </c>
      <c r="C20" s="1" t="s">
        <v>1606</v>
      </c>
      <c r="D20" s="1">
        <v>1</v>
      </c>
      <c r="E20" s="1" t="s">
        <v>3083</v>
      </c>
      <c r="F20" s="1" t="s">
        <v>3084</v>
      </c>
      <c r="G20" s="1" t="s">
        <v>3055</v>
      </c>
      <c r="I20" s="1" t="s">
        <v>1698</v>
      </c>
      <c r="N20" s="1" t="s">
        <v>3456</v>
      </c>
      <c r="O20" s="1">
        <v>1</v>
      </c>
      <c r="P20" s="1">
        <v>1</v>
      </c>
      <c r="Q20" s="1" t="s">
        <v>40</v>
      </c>
      <c r="R20" s="1" t="s">
        <v>9</v>
      </c>
      <c r="S20" s="6"/>
    </row>
    <row r="21" spans="1:19">
      <c r="A21" s="1">
        <v>2006</v>
      </c>
      <c r="B21" s="1" t="s">
        <v>2850</v>
      </c>
      <c r="C21" s="1" t="s">
        <v>1606</v>
      </c>
      <c r="D21" s="1">
        <v>1</v>
      </c>
      <c r="E21" s="1" t="s">
        <v>3083</v>
      </c>
      <c r="F21" s="1" t="s">
        <v>3084</v>
      </c>
      <c r="G21" s="1" t="s">
        <v>3051</v>
      </c>
      <c r="I21" s="1" t="s">
        <v>1699</v>
      </c>
      <c r="N21" s="1" t="s">
        <v>3456</v>
      </c>
      <c r="O21" s="1">
        <v>1</v>
      </c>
      <c r="P21" s="1">
        <v>2</v>
      </c>
      <c r="Q21" s="1" t="s">
        <v>31</v>
      </c>
      <c r="R21" s="1" t="s">
        <v>9</v>
      </c>
    </row>
    <row r="22" spans="1:19">
      <c r="A22" s="6">
        <v>2007</v>
      </c>
      <c r="B22" s="6" t="s">
        <v>2851</v>
      </c>
      <c r="C22" s="6" t="s">
        <v>1606</v>
      </c>
      <c r="D22" s="6">
        <v>1</v>
      </c>
      <c r="E22" s="6" t="s">
        <v>3083</v>
      </c>
      <c r="F22" s="6" t="s">
        <v>3084</v>
      </c>
      <c r="G22" s="6" t="s">
        <v>3079</v>
      </c>
      <c r="H22" s="6"/>
      <c r="I22" s="6" t="s">
        <v>1750</v>
      </c>
      <c r="J22" s="6" t="s">
        <v>3954</v>
      </c>
      <c r="K22" s="6"/>
      <c r="L22" s="6"/>
      <c r="M22" s="6" t="s">
        <v>153</v>
      </c>
      <c r="N22" s="6" t="s">
        <v>3456</v>
      </c>
      <c r="O22" s="6">
        <v>1</v>
      </c>
      <c r="P22" s="6">
        <v>1</v>
      </c>
      <c r="Q22" s="6"/>
      <c r="R22" s="6"/>
    </row>
    <row r="23" spans="1:19">
      <c r="A23" s="6">
        <v>2008</v>
      </c>
      <c r="B23" s="6" t="s">
        <v>2852</v>
      </c>
      <c r="C23" s="6" t="s">
        <v>3103</v>
      </c>
      <c r="D23" s="6">
        <v>1</v>
      </c>
      <c r="E23" s="6" t="s">
        <v>3083</v>
      </c>
      <c r="F23" s="6" t="s">
        <v>3079</v>
      </c>
      <c r="G23" s="6"/>
      <c r="H23" s="6"/>
      <c r="I23" s="6" t="s">
        <v>1751</v>
      </c>
      <c r="J23" s="6" t="s">
        <v>3969</v>
      </c>
      <c r="K23" s="6"/>
      <c r="L23" s="6"/>
      <c r="M23" s="6" t="s">
        <v>153</v>
      </c>
      <c r="N23" s="6" t="s">
        <v>3456</v>
      </c>
      <c r="O23" s="6">
        <v>2</v>
      </c>
      <c r="P23" s="6">
        <v>2</v>
      </c>
      <c r="Q23" s="6" t="s">
        <v>44</v>
      </c>
      <c r="R23" s="6" t="s">
        <v>9</v>
      </c>
    </row>
    <row r="24" spans="1:19">
      <c r="A24" s="1">
        <v>2009</v>
      </c>
      <c r="B24" s="1" t="s">
        <v>2853</v>
      </c>
      <c r="C24" s="1" t="s">
        <v>1606</v>
      </c>
      <c r="D24" s="1">
        <v>1</v>
      </c>
      <c r="E24" s="1" t="s">
        <v>3083</v>
      </c>
      <c r="F24" s="1" t="s">
        <v>3084</v>
      </c>
      <c r="G24" s="1" t="s">
        <v>3066</v>
      </c>
      <c r="I24" s="3" t="s">
        <v>13</v>
      </c>
      <c r="J24" s="3" t="s">
        <v>1752</v>
      </c>
      <c r="K24" s="3"/>
      <c r="N24" s="1" t="s">
        <v>3456</v>
      </c>
      <c r="O24" s="1">
        <v>0</v>
      </c>
      <c r="P24" s="1">
        <v>1</v>
      </c>
      <c r="Q24" s="1" t="s">
        <v>18</v>
      </c>
      <c r="R24" s="1" t="s">
        <v>9</v>
      </c>
    </row>
    <row r="25" spans="1:19">
      <c r="A25" s="1">
        <v>3001</v>
      </c>
      <c r="B25" s="1" t="s">
        <v>2894</v>
      </c>
      <c r="C25" s="1" t="s">
        <v>1606</v>
      </c>
      <c r="D25" s="1">
        <v>1</v>
      </c>
      <c r="E25" s="1" t="s">
        <v>3083</v>
      </c>
      <c r="F25" s="1" t="s">
        <v>3084</v>
      </c>
      <c r="I25" s="1" t="s">
        <v>1771</v>
      </c>
      <c r="J25" s="1" t="s">
        <v>1772</v>
      </c>
      <c r="K25" s="1" t="s">
        <v>1773</v>
      </c>
      <c r="N25" s="1" t="s">
        <v>3456</v>
      </c>
      <c r="O25" s="1">
        <v>1</v>
      </c>
      <c r="P25" s="1">
        <v>1</v>
      </c>
      <c r="Q25" s="1" t="s">
        <v>53</v>
      </c>
      <c r="R25" s="1" t="s">
        <v>41</v>
      </c>
    </row>
    <row r="26" spans="1:19">
      <c r="A26" s="6">
        <v>13</v>
      </c>
      <c r="B26" s="6" t="s">
        <v>2735</v>
      </c>
      <c r="C26" s="6" t="s">
        <v>1611</v>
      </c>
      <c r="D26" s="6">
        <v>2</v>
      </c>
      <c r="E26" s="6" t="s">
        <v>3083</v>
      </c>
      <c r="F26" s="6" t="s">
        <v>3084</v>
      </c>
      <c r="G26" s="6" t="s">
        <v>3079</v>
      </c>
      <c r="H26" s="6"/>
      <c r="I26" s="6" t="s">
        <v>1612</v>
      </c>
      <c r="J26" s="6" t="s">
        <v>3955</v>
      </c>
      <c r="K26" s="6"/>
      <c r="L26" s="6"/>
      <c r="M26" s="6" t="s">
        <v>153</v>
      </c>
      <c r="N26" s="7" t="s">
        <v>3456</v>
      </c>
      <c r="O26" s="6">
        <v>1</v>
      </c>
      <c r="P26" s="6">
        <v>1</v>
      </c>
      <c r="Q26" s="6"/>
      <c r="R26" s="6"/>
    </row>
    <row r="27" spans="1:19">
      <c r="A27" s="6">
        <v>14</v>
      </c>
      <c r="B27" s="6" t="s">
        <v>2736</v>
      </c>
      <c r="C27" s="6" t="s">
        <v>3103</v>
      </c>
      <c r="D27" s="6">
        <v>2</v>
      </c>
      <c r="E27" s="6" t="s">
        <v>3083</v>
      </c>
      <c r="F27" s="6" t="s">
        <v>3079</v>
      </c>
      <c r="G27" s="6"/>
      <c r="H27" s="6"/>
      <c r="I27" s="6" t="s">
        <v>23</v>
      </c>
      <c r="J27" s="6" t="s">
        <v>1613</v>
      </c>
      <c r="K27" s="6" t="s">
        <v>3970</v>
      </c>
      <c r="L27" s="6"/>
      <c r="M27" s="6" t="s">
        <v>153</v>
      </c>
      <c r="N27" s="7" t="s">
        <v>3456</v>
      </c>
      <c r="O27" s="6">
        <v>2</v>
      </c>
      <c r="P27" s="6">
        <v>2</v>
      </c>
      <c r="Q27" s="6" t="s">
        <v>44</v>
      </c>
      <c r="R27" s="6" t="s">
        <v>4</v>
      </c>
    </row>
    <row r="28" spans="1:19">
      <c r="A28" s="3">
        <v>15</v>
      </c>
      <c r="B28" s="3" t="s">
        <v>2737</v>
      </c>
      <c r="C28" s="3" t="s">
        <v>1611</v>
      </c>
      <c r="D28" s="3">
        <v>2</v>
      </c>
      <c r="E28" s="3" t="s">
        <v>3083</v>
      </c>
      <c r="F28" s="3" t="s">
        <v>3084</v>
      </c>
      <c r="G28" s="3" t="s">
        <v>3050</v>
      </c>
      <c r="H28" s="3"/>
      <c r="I28" s="3" t="s">
        <v>1614</v>
      </c>
      <c r="J28" s="3" t="s">
        <v>1569</v>
      </c>
      <c r="K28" s="3"/>
      <c r="L28" s="3"/>
      <c r="M28" s="3"/>
      <c r="N28" s="14" t="s">
        <v>3456</v>
      </c>
      <c r="O28" s="3">
        <v>2</v>
      </c>
      <c r="P28" s="3">
        <v>1</v>
      </c>
      <c r="Q28" s="3" t="s">
        <v>32</v>
      </c>
      <c r="R28" s="3" t="s">
        <v>4</v>
      </c>
    </row>
    <row r="29" spans="1:19">
      <c r="A29" s="3">
        <v>16</v>
      </c>
      <c r="B29" s="1" t="s">
        <v>2738</v>
      </c>
      <c r="C29" s="1" t="s">
        <v>1611</v>
      </c>
      <c r="D29" s="1">
        <v>2</v>
      </c>
      <c r="E29" s="1" t="s">
        <v>3083</v>
      </c>
      <c r="F29" s="1" t="s">
        <v>3084</v>
      </c>
      <c r="G29" s="1" t="s">
        <v>3055</v>
      </c>
      <c r="I29" s="1" t="s">
        <v>1570</v>
      </c>
      <c r="N29" s="2" t="s">
        <v>3456</v>
      </c>
      <c r="O29" s="1">
        <v>2</v>
      </c>
      <c r="P29" s="1">
        <v>2</v>
      </c>
      <c r="Q29" s="1" t="s">
        <v>36</v>
      </c>
      <c r="R29" s="1" t="s">
        <v>4</v>
      </c>
    </row>
    <row r="30" spans="1:19">
      <c r="A30" s="3">
        <v>17</v>
      </c>
      <c r="B30" s="1" t="s">
        <v>2739</v>
      </c>
      <c r="C30" s="1" t="s">
        <v>1611</v>
      </c>
      <c r="D30" s="1">
        <v>2</v>
      </c>
      <c r="E30" s="1" t="s">
        <v>3083</v>
      </c>
      <c r="F30" s="1" t="s">
        <v>3084</v>
      </c>
      <c r="G30" s="1" t="s">
        <v>3075</v>
      </c>
      <c r="I30" s="1" t="s">
        <v>1571</v>
      </c>
      <c r="N30" s="2" t="s">
        <v>3456</v>
      </c>
      <c r="O30" s="1">
        <v>1</v>
      </c>
      <c r="P30" s="1">
        <v>1</v>
      </c>
      <c r="Q30" s="1" t="s">
        <v>33</v>
      </c>
      <c r="R30" s="1" t="s">
        <v>4</v>
      </c>
    </row>
    <row r="31" spans="1:19">
      <c r="A31" s="3">
        <v>18</v>
      </c>
      <c r="B31" s="1" t="s">
        <v>2740</v>
      </c>
      <c r="C31" s="1" t="s">
        <v>1611</v>
      </c>
      <c r="D31" s="1">
        <v>2</v>
      </c>
      <c r="E31" s="1" t="s">
        <v>3083</v>
      </c>
      <c r="F31" s="1" t="s">
        <v>3084</v>
      </c>
      <c r="G31" s="1" t="s">
        <v>3058</v>
      </c>
      <c r="I31" s="1" t="s">
        <v>871</v>
      </c>
      <c r="N31" s="2" t="s">
        <v>3456</v>
      </c>
      <c r="O31" s="1">
        <v>2</v>
      </c>
      <c r="P31" s="1">
        <v>2</v>
      </c>
      <c r="Q31" s="1" t="s">
        <v>175</v>
      </c>
      <c r="R31" s="1" t="s">
        <v>4</v>
      </c>
    </row>
    <row r="32" spans="1:19">
      <c r="A32" s="3">
        <v>19</v>
      </c>
      <c r="B32" s="1" t="s">
        <v>2741</v>
      </c>
      <c r="C32" s="1" t="s">
        <v>1611</v>
      </c>
      <c r="D32" s="1">
        <v>2</v>
      </c>
      <c r="E32" s="1" t="s">
        <v>3083</v>
      </c>
      <c r="F32" s="1" t="s">
        <v>3084</v>
      </c>
      <c r="G32" s="1" t="s">
        <v>3066</v>
      </c>
      <c r="I32" s="1" t="s">
        <v>1572</v>
      </c>
      <c r="N32" s="2"/>
      <c r="O32" s="1">
        <v>0</v>
      </c>
      <c r="P32" s="1">
        <v>3</v>
      </c>
      <c r="Q32" s="1" t="s">
        <v>39</v>
      </c>
      <c r="R32" s="1" t="s">
        <v>4</v>
      </c>
    </row>
    <row r="33" spans="1:19">
      <c r="A33" s="3">
        <v>20</v>
      </c>
      <c r="B33" s="1" t="s">
        <v>2742</v>
      </c>
      <c r="C33" s="1" t="s">
        <v>1611</v>
      </c>
      <c r="D33" s="1">
        <v>2</v>
      </c>
      <c r="E33" s="1" t="s">
        <v>3083</v>
      </c>
      <c r="F33" s="1" t="s">
        <v>3084</v>
      </c>
      <c r="G33" s="1" t="s">
        <v>3055</v>
      </c>
      <c r="I33" s="1" t="s">
        <v>1615</v>
      </c>
      <c r="N33" s="2" t="s">
        <v>3456</v>
      </c>
      <c r="O33" s="1">
        <v>2</v>
      </c>
      <c r="P33" s="1">
        <v>2</v>
      </c>
      <c r="Q33" s="1" t="s">
        <v>32</v>
      </c>
      <c r="R33" s="1" t="s">
        <v>4</v>
      </c>
    </row>
    <row r="34" spans="1:19">
      <c r="A34" s="3">
        <v>21</v>
      </c>
      <c r="B34" s="1" t="s">
        <v>2743</v>
      </c>
      <c r="C34" s="1" t="s">
        <v>1611</v>
      </c>
      <c r="D34" s="1">
        <v>2</v>
      </c>
      <c r="E34" s="1" t="s">
        <v>3083</v>
      </c>
      <c r="F34" s="1" t="s">
        <v>3084</v>
      </c>
      <c r="G34" s="1" t="s">
        <v>3075</v>
      </c>
      <c r="I34" s="1" t="s">
        <v>1616</v>
      </c>
      <c r="N34" s="2" t="s">
        <v>3456</v>
      </c>
      <c r="O34" s="1">
        <v>2</v>
      </c>
      <c r="P34" s="1">
        <v>2</v>
      </c>
      <c r="Q34" s="1" t="s">
        <v>30</v>
      </c>
      <c r="R34" s="1" t="s">
        <v>4</v>
      </c>
      <c r="S34" s="4"/>
    </row>
    <row r="35" spans="1:19">
      <c r="A35" s="3">
        <v>22</v>
      </c>
      <c r="B35" s="3" t="s">
        <v>2744</v>
      </c>
      <c r="C35" s="3" t="s">
        <v>1611</v>
      </c>
      <c r="D35" s="3">
        <v>2</v>
      </c>
      <c r="E35" s="3" t="s">
        <v>3083</v>
      </c>
      <c r="F35" s="3" t="s">
        <v>3084</v>
      </c>
      <c r="G35" s="3" t="s">
        <v>3049</v>
      </c>
      <c r="H35" s="3"/>
      <c r="I35" s="3" t="s">
        <v>1573</v>
      </c>
      <c r="J35" s="3"/>
      <c r="K35" s="3"/>
      <c r="L35" s="3"/>
      <c r="M35" s="3"/>
      <c r="N35" s="14" t="s">
        <v>3150</v>
      </c>
      <c r="O35" s="3">
        <v>1</v>
      </c>
      <c r="P35" s="3">
        <v>1</v>
      </c>
      <c r="Q35" s="3" t="s">
        <v>52</v>
      </c>
      <c r="R35" s="3" t="s">
        <v>4</v>
      </c>
    </row>
    <row r="36" spans="1:19">
      <c r="A36" s="6">
        <v>23</v>
      </c>
      <c r="B36" s="6" t="s">
        <v>2745</v>
      </c>
      <c r="C36" s="6" t="s">
        <v>1611</v>
      </c>
      <c r="D36" s="6">
        <v>2</v>
      </c>
      <c r="E36" s="6" t="s">
        <v>3083</v>
      </c>
      <c r="F36" s="6" t="s">
        <v>3084</v>
      </c>
      <c r="G36" s="6" t="s">
        <v>3079</v>
      </c>
      <c r="H36" s="6"/>
      <c r="I36" s="6" t="s">
        <v>3956</v>
      </c>
      <c r="J36" s="6"/>
      <c r="K36" s="6"/>
      <c r="L36" s="6"/>
      <c r="M36" s="6" t="s">
        <v>153</v>
      </c>
      <c r="N36" s="7" t="s">
        <v>3456</v>
      </c>
      <c r="O36" s="6">
        <v>2</v>
      </c>
      <c r="P36" s="6">
        <v>1</v>
      </c>
      <c r="Q36" s="6"/>
      <c r="R36" s="6"/>
    </row>
    <row r="37" spans="1:19">
      <c r="A37" s="6">
        <v>24</v>
      </c>
      <c r="B37" s="6" t="s">
        <v>2746</v>
      </c>
      <c r="C37" s="6" t="s">
        <v>3103</v>
      </c>
      <c r="D37" s="6">
        <v>2</v>
      </c>
      <c r="E37" s="6" t="s">
        <v>3083</v>
      </c>
      <c r="F37" s="6" t="s">
        <v>3079</v>
      </c>
      <c r="G37" s="6"/>
      <c r="H37" s="6"/>
      <c r="I37" s="6" t="s">
        <v>20</v>
      </c>
      <c r="J37" s="6" t="s">
        <v>3972</v>
      </c>
      <c r="K37" s="6"/>
      <c r="L37" s="6"/>
      <c r="M37" s="6" t="s">
        <v>153</v>
      </c>
      <c r="N37" s="7" t="s">
        <v>3456</v>
      </c>
      <c r="O37" s="6">
        <v>4</v>
      </c>
      <c r="P37" s="6">
        <v>2</v>
      </c>
      <c r="Q37" s="6" t="s">
        <v>46</v>
      </c>
      <c r="R37" s="6" t="s">
        <v>4</v>
      </c>
    </row>
    <row r="38" spans="1:19">
      <c r="A38" s="3">
        <v>25</v>
      </c>
      <c r="B38" s="1" t="s">
        <v>2747</v>
      </c>
      <c r="C38" s="1" t="s">
        <v>1611</v>
      </c>
      <c r="D38" s="1">
        <v>2</v>
      </c>
      <c r="E38" s="1" t="s">
        <v>3083</v>
      </c>
      <c r="F38" s="1" t="s">
        <v>3084</v>
      </c>
      <c r="G38" s="1" t="s">
        <v>3066</v>
      </c>
      <c r="I38" s="1" t="s">
        <v>1574</v>
      </c>
      <c r="N38" s="2" t="s">
        <v>3456</v>
      </c>
      <c r="O38" s="1">
        <v>1</v>
      </c>
      <c r="P38" s="1">
        <v>1</v>
      </c>
      <c r="Q38" s="1" t="s">
        <v>605</v>
      </c>
      <c r="R38" s="1" t="s">
        <v>4</v>
      </c>
    </row>
    <row r="39" spans="1:19">
      <c r="A39" s="6">
        <v>26</v>
      </c>
      <c r="B39" s="6" t="s">
        <v>2748</v>
      </c>
      <c r="C39" s="6" t="s">
        <v>1611</v>
      </c>
      <c r="D39" s="6">
        <v>2</v>
      </c>
      <c r="E39" s="6" t="s">
        <v>3083</v>
      </c>
      <c r="F39" s="6" t="s">
        <v>3084</v>
      </c>
      <c r="G39" s="6" t="s">
        <v>3055</v>
      </c>
      <c r="H39" s="6" t="s">
        <v>3060</v>
      </c>
      <c r="I39" s="6" t="s">
        <v>1575</v>
      </c>
      <c r="J39" s="6"/>
      <c r="K39" s="6"/>
      <c r="L39" s="6"/>
      <c r="M39" s="6"/>
      <c r="N39" s="7" t="s">
        <v>3150</v>
      </c>
      <c r="O39" s="6">
        <v>1</v>
      </c>
      <c r="P39" s="6">
        <v>1</v>
      </c>
      <c r="Q39" s="6" t="s">
        <v>607</v>
      </c>
      <c r="R39" s="6" t="s">
        <v>4</v>
      </c>
      <c r="S39" s="4"/>
    </row>
    <row r="40" spans="1:19">
      <c r="A40" s="3">
        <v>27</v>
      </c>
      <c r="B40" s="1" t="s">
        <v>2749</v>
      </c>
      <c r="C40" s="1" t="s">
        <v>1611</v>
      </c>
      <c r="D40" s="1">
        <v>2</v>
      </c>
      <c r="E40" s="1" t="s">
        <v>3083</v>
      </c>
      <c r="F40" s="1" t="s">
        <v>3084</v>
      </c>
      <c r="G40" s="1" t="s">
        <v>3075</v>
      </c>
      <c r="I40" s="1" t="s">
        <v>1612</v>
      </c>
      <c r="J40" s="1" t="s">
        <v>1617</v>
      </c>
      <c r="N40" s="2" t="s">
        <v>3456</v>
      </c>
      <c r="O40" s="1">
        <v>0</v>
      </c>
      <c r="P40" s="1">
        <v>2</v>
      </c>
      <c r="Q40" s="1" t="s">
        <v>53</v>
      </c>
      <c r="R40" s="1" t="s">
        <v>4</v>
      </c>
    </row>
    <row r="41" spans="1:19">
      <c r="A41" s="4">
        <v>28</v>
      </c>
      <c r="B41" s="4" t="s">
        <v>2750</v>
      </c>
      <c r="C41" s="4" t="s">
        <v>1611</v>
      </c>
      <c r="D41" s="4">
        <v>2</v>
      </c>
      <c r="E41" s="4" t="s">
        <v>3083</v>
      </c>
      <c r="F41" s="4" t="s">
        <v>3084</v>
      </c>
      <c r="G41" s="4" t="s">
        <v>3066</v>
      </c>
      <c r="H41" s="4"/>
      <c r="I41" s="4" t="s">
        <v>1576</v>
      </c>
      <c r="J41" s="4"/>
      <c r="K41" s="4"/>
      <c r="L41" s="4"/>
      <c r="M41" s="4"/>
      <c r="N41" s="5" t="s">
        <v>3150</v>
      </c>
      <c r="O41" s="4">
        <v>0</v>
      </c>
      <c r="P41" s="4">
        <v>3</v>
      </c>
      <c r="Q41" s="4" t="s">
        <v>30</v>
      </c>
      <c r="R41" s="3" t="s">
        <v>4</v>
      </c>
    </row>
    <row r="42" spans="1:19">
      <c r="A42" s="3">
        <v>29</v>
      </c>
      <c r="B42" s="1" t="s">
        <v>2751</v>
      </c>
      <c r="C42" s="1" t="s">
        <v>1611</v>
      </c>
      <c r="D42" s="1">
        <v>2</v>
      </c>
      <c r="E42" s="1" t="s">
        <v>3083</v>
      </c>
      <c r="F42" s="1" t="s">
        <v>3084</v>
      </c>
      <c r="G42" s="1" t="s">
        <v>3066</v>
      </c>
      <c r="I42" s="1" t="s">
        <v>249</v>
      </c>
      <c r="J42" s="1" t="s">
        <v>1577</v>
      </c>
      <c r="N42" s="2" t="s">
        <v>3150</v>
      </c>
      <c r="O42" s="1">
        <v>1</v>
      </c>
      <c r="P42" s="1">
        <v>1</v>
      </c>
      <c r="Q42" s="1" t="s">
        <v>52</v>
      </c>
      <c r="R42" s="1" t="s">
        <v>4</v>
      </c>
      <c r="S42" s="4"/>
    </row>
    <row r="43" spans="1:19">
      <c r="A43" s="6">
        <v>30</v>
      </c>
      <c r="B43" s="6" t="s">
        <v>2752</v>
      </c>
      <c r="C43" s="6" t="s">
        <v>1611</v>
      </c>
      <c r="D43" s="6">
        <v>2</v>
      </c>
      <c r="E43" s="6" t="s">
        <v>3083</v>
      </c>
      <c r="F43" s="6" t="s">
        <v>3084</v>
      </c>
      <c r="G43" s="6" t="s">
        <v>3075</v>
      </c>
      <c r="H43" s="6"/>
      <c r="I43" s="6" t="s">
        <v>1602</v>
      </c>
      <c r="J43" s="6"/>
      <c r="K43" s="6"/>
      <c r="L43" s="6"/>
      <c r="M43" s="6"/>
      <c r="N43" s="7" t="s">
        <v>3456</v>
      </c>
      <c r="O43" s="6">
        <v>2</v>
      </c>
      <c r="P43" s="6">
        <v>2</v>
      </c>
      <c r="Q43" s="6" t="s">
        <v>38</v>
      </c>
      <c r="R43" s="6" t="s">
        <v>4</v>
      </c>
    </row>
    <row r="44" spans="1:19">
      <c r="A44" s="3">
        <v>31</v>
      </c>
      <c r="B44" s="1" t="s">
        <v>2753</v>
      </c>
      <c r="C44" s="1" t="s">
        <v>1611</v>
      </c>
      <c r="D44" s="1">
        <v>2</v>
      </c>
      <c r="E44" s="1" t="s">
        <v>3083</v>
      </c>
      <c r="F44" s="1" t="s">
        <v>3084</v>
      </c>
      <c r="G44" s="1" t="s">
        <v>3055</v>
      </c>
      <c r="I44" s="1" t="s">
        <v>1578</v>
      </c>
      <c r="N44" s="2" t="s">
        <v>3456</v>
      </c>
      <c r="O44" s="1">
        <v>2</v>
      </c>
      <c r="P44" s="1">
        <v>2</v>
      </c>
      <c r="Q44" s="1" t="s">
        <v>29</v>
      </c>
      <c r="R44" s="1" t="s">
        <v>4</v>
      </c>
    </row>
    <row r="45" spans="1:19">
      <c r="A45" s="3">
        <v>32</v>
      </c>
      <c r="B45" s="1" t="s">
        <v>2754</v>
      </c>
      <c r="C45" s="1" t="s">
        <v>1611</v>
      </c>
      <c r="D45" s="1">
        <v>2</v>
      </c>
      <c r="E45" s="1" t="s">
        <v>3083</v>
      </c>
      <c r="F45" s="1" t="s">
        <v>3084</v>
      </c>
      <c r="G45" s="1" t="s">
        <v>3075</v>
      </c>
      <c r="I45" s="1" t="s">
        <v>1579</v>
      </c>
      <c r="N45" s="2" t="s">
        <v>3456</v>
      </c>
      <c r="O45" s="1">
        <v>2</v>
      </c>
      <c r="P45" s="1">
        <v>2</v>
      </c>
      <c r="Q45" s="1" t="s">
        <v>28</v>
      </c>
      <c r="R45" s="1" t="s">
        <v>4</v>
      </c>
    </row>
    <row r="46" spans="1:19">
      <c r="A46" s="6">
        <v>33</v>
      </c>
      <c r="B46" s="6" t="s">
        <v>2755</v>
      </c>
      <c r="C46" s="6" t="s">
        <v>1611</v>
      </c>
      <c r="D46" s="6">
        <v>2</v>
      </c>
      <c r="E46" s="6" t="s">
        <v>3083</v>
      </c>
      <c r="F46" s="6" t="s">
        <v>3084</v>
      </c>
      <c r="G46" s="6" t="s">
        <v>3055</v>
      </c>
      <c r="H46" s="6"/>
      <c r="I46" s="6" t="s">
        <v>1604</v>
      </c>
      <c r="J46" s="6"/>
      <c r="K46" s="6"/>
      <c r="L46" s="6"/>
      <c r="M46" s="6"/>
      <c r="N46" s="7" t="s">
        <v>3456</v>
      </c>
      <c r="O46" s="6">
        <v>2</v>
      </c>
      <c r="P46" s="6">
        <v>2</v>
      </c>
      <c r="Q46" s="6" t="s">
        <v>5</v>
      </c>
      <c r="R46" s="6" t="s">
        <v>4</v>
      </c>
    </row>
    <row r="47" spans="1:19">
      <c r="A47" s="1">
        <v>1003</v>
      </c>
      <c r="B47" s="1" t="s">
        <v>2787</v>
      </c>
      <c r="C47" s="1" t="s">
        <v>1611</v>
      </c>
      <c r="D47" s="1">
        <v>2</v>
      </c>
      <c r="E47" s="1" t="s">
        <v>3083</v>
      </c>
      <c r="F47" s="1" t="s">
        <v>3084</v>
      </c>
      <c r="G47" s="1" t="s">
        <v>3055</v>
      </c>
      <c r="I47" s="1" t="s">
        <v>1626</v>
      </c>
      <c r="N47" s="1" t="s">
        <v>3456</v>
      </c>
      <c r="O47" s="1">
        <v>2</v>
      </c>
      <c r="P47" s="1">
        <v>2</v>
      </c>
      <c r="Q47" s="1" t="s">
        <v>39</v>
      </c>
      <c r="R47" s="1" t="s">
        <v>7</v>
      </c>
    </row>
    <row r="48" spans="1:19">
      <c r="A48" s="4">
        <v>1004</v>
      </c>
      <c r="B48" s="4" t="s">
        <v>2788</v>
      </c>
      <c r="C48" s="4" t="s">
        <v>1611</v>
      </c>
      <c r="D48" s="4">
        <v>2</v>
      </c>
      <c r="E48" s="4" t="s">
        <v>3083</v>
      </c>
      <c r="F48" s="4" t="s">
        <v>3084</v>
      </c>
      <c r="G48" s="4" t="s">
        <v>3075</v>
      </c>
      <c r="H48" s="4" t="s">
        <v>3079</v>
      </c>
      <c r="I48" s="4" t="s">
        <v>1627</v>
      </c>
      <c r="J48" s="4" t="s">
        <v>3957</v>
      </c>
      <c r="K48" s="4"/>
      <c r="L48" s="4"/>
      <c r="M48" s="4" t="s">
        <v>153</v>
      </c>
      <c r="N48" s="4" t="s">
        <v>3456</v>
      </c>
      <c r="O48" s="4">
        <v>3</v>
      </c>
      <c r="P48" s="4">
        <v>3</v>
      </c>
      <c r="Q48" s="4"/>
      <c r="R48" s="4"/>
    </row>
    <row r="49" spans="1:19">
      <c r="A49" s="4">
        <v>1005</v>
      </c>
      <c r="B49" s="4" t="s">
        <v>2789</v>
      </c>
      <c r="C49" s="4" t="s">
        <v>3103</v>
      </c>
      <c r="D49" s="4">
        <v>2</v>
      </c>
      <c r="E49" s="4" t="s">
        <v>3083</v>
      </c>
      <c r="F49" s="4" t="s">
        <v>3079</v>
      </c>
      <c r="G49" s="4"/>
      <c r="H49" s="4"/>
      <c r="I49" s="4" t="s">
        <v>3973</v>
      </c>
      <c r="J49" s="4"/>
      <c r="K49" s="4"/>
      <c r="L49" s="4"/>
      <c r="M49" s="4" t="s">
        <v>153</v>
      </c>
      <c r="N49" s="4" t="s">
        <v>3456</v>
      </c>
      <c r="O49" s="4">
        <v>4</v>
      </c>
      <c r="P49" s="4">
        <v>4</v>
      </c>
      <c r="Q49" s="4" t="s">
        <v>46</v>
      </c>
      <c r="R49" s="4" t="s">
        <v>7</v>
      </c>
    </row>
    <row r="50" spans="1:19">
      <c r="A50" s="1">
        <v>1006</v>
      </c>
      <c r="B50" s="1" t="s">
        <v>2790</v>
      </c>
      <c r="C50" s="1" t="s">
        <v>1611</v>
      </c>
      <c r="D50" s="1">
        <v>2</v>
      </c>
      <c r="E50" s="1" t="s">
        <v>3083</v>
      </c>
      <c r="F50" s="1" t="s">
        <v>3084</v>
      </c>
      <c r="G50" s="1" t="s">
        <v>3055</v>
      </c>
      <c r="I50" s="1" t="s">
        <v>1683</v>
      </c>
      <c r="J50" s="1" t="s">
        <v>3817</v>
      </c>
      <c r="K50" s="1" t="s">
        <v>3818</v>
      </c>
      <c r="N50" s="1" t="s">
        <v>3456</v>
      </c>
      <c r="O50" s="1">
        <v>2</v>
      </c>
      <c r="P50" s="1">
        <v>2</v>
      </c>
      <c r="Q50" s="1" t="s">
        <v>170</v>
      </c>
      <c r="R50" s="1" t="s">
        <v>7</v>
      </c>
      <c r="S50" s="6"/>
    </row>
    <row r="51" spans="1:19">
      <c r="A51" s="6">
        <v>1007</v>
      </c>
      <c r="B51" s="6" t="s">
        <v>2791</v>
      </c>
      <c r="C51" s="6" t="s">
        <v>1611</v>
      </c>
      <c r="D51" s="6">
        <v>2</v>
      </c>
      <c r="E51" s="6" t="s">
        <v>3083</v>
      </c>
      <c r="F51" s="6" t="s">
        <v>3084</v>
      </c>
      <c r="G51" s="6" t="s">
        <v>3079</v>
      </c>
      <c r="H51" s="6"/>
      <c r="I51" s="6" t="s">
        <v>3958</v>
      </c>
      <c r="J51" s="6"/>
      <c r="K51" s="6"/>
      <c r="L51" s="6"/>
      <c r="M51" s="6" t="s">
        <v>153</v>
      </c>
      <c r="N51" s="6" t="s">
        <v>3456</v>
      </c>
      <c r="O51" s="6">
        <v>2</v>
      </c>
      <c r="P51" s="6">
        <v>2</v>
      </c>
      <c r="Q51" s="6"/>
      <c r="R51" s="6"/>
    </row>
    <row r="52" spans="1:19">
      <c r="A52" s="6">
        <v>1008</v>
      </c>
      <c r="B52" s="6" t="s">
        <v>2792</v>
      </c>
      <c r="C52" s="6" t="s">
        <v>3103</v>
      </c>
      <c r="D52" s="6">
        <v>2</v>
      </c>
      <c r="E52" s="6" t="s">
        <v>3083</v>
      </c>
      <c r="F52" s="6" t="s">
        <v>3079</v>
      </c>
      <c r="G52" s="6"/>
      <c r="H52" s="6"/>
      <c r="I52" s="6" t="s">
        <v>1080</v>
      </c>
      <c r="J52" s="6" t="s">
        <v>3987</v>
      </c>
      <c r="K52" s="6"/>
      <c r="L52" s="6"/>
      <c r="M52" s="6" t="s">
        <v>153</v>
      </c>
      <c r="N52" s="6" t="s">
        <v>3456</v>
      </c>
      <c r="O52" s="6">
        <v>3</v>
      </c>
      <c r="P52" s="6">
        <v>3</v>
      </c>
      <c r="Q52" s="6" t="s">
        <v>45</v>
      </c>
      <c r="R52" s="6" t="s">
        <v>7</v>
      </c>
      <c r="S52" s="3"/>
    </row>
    <row r="53" spans="1:19">
      <c r="A53" s="1">
        <v>1009</v>
      </c>
      <c r="B53" s="1" t="s">
        <v>2793</v>
      </c>
      <c r="C53" s="1" t="s">
        <v>1611</v>
      </c>
      <c r="D53" s="1">
        <v>2</v>
      </c>
      <c r="E53" s="1" t="s">
        <v>3083</v>
      </c>
      <c r="F53" s="1" t="s">
        <v>3084</v>
      </c>
      <c r="G53" s="1" t="s">
        <v>3066</v>
      </c>
      <c r="I53" s="1" t="s">
        <v>1628</v>
      </c>
      <c r="J53" s="1" t="s">
        <v>1629</v>
      </c>
      <c r="N53" s="1" t="s">
        <v>3456</v>
      </c>
      <c r="O53" s="1">
        <v>1</v>
      </c>
      <c r="P53" s="1">
        <v>2</v>
      </c>
      <c r="Q53" s="1" t="s">
        <v>11</v>
      </c>
      <c r="R53" s="1" t="s">
        <v>7</v>
      </c>
    </row>
    <row r="54" spans="1:19">
      <c r="A54" s="1">
        <v>1010</v>
      </c>
      <c r="B54" s="1" t="s">
        <v>2794</v>
      </c>
      <c r="C54" s="1" t="s">
        <v>1611</v>
      </c>
      <c r="D54" s="1">
        <v>2</v>
      </c>
      <c r="E54" s="1" t="s">
        <v>3083</v>
      </c>
      <c r="F54" s="1" t="s">
        <v>3084</v>
      </c>
      <c r="G54" s="1" t="s">
        <v>3055</v>
      </c>
      <c r="I54" s="1" t="s">
        <v>1120</v>
      </c>
      <c r="J54" s="1" t="s">
        <v>1630</v>
      </c>
      <c r="N54" s="1" t="s">
        <v>3456</v>
      </c>
      <c r="O54" s="1">
        <v>2</v>
      </c>
      <c r="P54" s="1">
        <v>2</v>
      </c>
      <c r="Q54" s="1" t="s">
        <v>38</v>
      </c>
      <c r="R54" s="1" t="s">
        <v>7</v>
      </c>
    </row>
    <row r="55" spans="1:19">
      <c r="A55" s="1">
        <v>1011</v>
      </c>
      <c r="B55" s="1" t="s">
        <v>2795</v>
      </c>
      <c r="C55" s="1" t="s">
        <v>1611</v>
      </c>
      <c r="D55" s="1">
        <v>2</v>
      </c>
      <c r="E55" s="1" t="s">
        <v>3083</v>
      </c>
      <c r="F55" s="1" t="s">
        <v>3084</v>
      </c>
      <c r="G55" s="1" t="s">
        <v>3066</v>
      </c>
      <c r="I55" s="1" t="s">
        <v>1684</v>
      </c>
      <c r="N55" s="1" t="s">
        <v>3150</v>
      </c>
      <c r="O55" s="1">
        <v>2</v>
      </c>
      <c r="P55" s="1">
        <v>2</v>
      </c>
      <c r="Q55" s="1" t="s">
        <v>35</v>
      </c>
      <c r="R55" s="1" t="s">
        <v>7</v>
      </c>
    </row>
    <row r="56" spans="1:19">
      <c r="A56" s="4">
        <v>1012</v>
      </c>
      <c r="B56" s="4" t="s">
        <v>2796</v>
      </c>
      <c r="C56" s="4" t="s">
        <v>1611</v>
      </c>
      <c r="D56" s="4">
        <v>2</v>
      </c>
      <c r="E56" s="4" t="s">
        <v>3083</v>
      </c>
      <c r="F56" s="4" t="s">
        <v>3084</v>
      </c>
      <c r="G56" s="4" t="s">
        <v>3075</v>
      </c>
      <c r="H56" s="4"/>
      <c r="I56" s="4" t="s">
        <v>1685</v>
      </c>
      <c r="J56" s="4"/>
      <c r="K56" s="4"/>
      <c r="L56" s="4"/>
      <c r="M56" s="4"/>
      <c r="N56" s="4" t="s">
        <v>3456</v>
      </c>
      <c r="O56" s="4">
        <v>2</v>
      </c>
      <c r="P56" s="4">
        <v>1</v>
      </c>
      <c r="Q56" s="4" t="s">
        <v>174</v>
      </c>
      <c r="R56" s="1" t="s">
        <v>7</v>
      </c>
    </row>
    <row r="57" spans="1:19">
      <c r="A57" s="6">
        <v>1013</v>
      </c>
      <c r="B57" s="6" t="s">
        <v>2797</v>
      </c>
      <c r="C57" s="6" t="s">
        <v>1686</v>
      </c>
      <c r="D57" s="6">
        <v>2</v>
      </c>
      <c r="E57" s="6" t="s">
        <v>3083</v>
      </c>
      <c r="F57" s="6" t="s">
        <v>3084</v>
      </c>
      <c r="G57" s="6" t="s">
        <v>3050</v>
      </c>
      <c r="H57" s="6"/>
      <c r="I57" s="6" t="s">
        <v>1631</v>
      </c>
      <c r="J57" s="6" t="s">
        <v>1632</v>
      </c>
      <c r="K57" s="6"/>
      <c r="L57" s="6"/>
      <c r="M57" s="6"/>
      <c r="N57" s="6" t="s">
        <v>3150</v>
      </c>
      <c r="O57" s="6">
        <v>2</v>
      </c>
      <c r="P57" s="6">
        <v>3</v>
      </c>
      <c r="Q57" s="6" t="s">
        <v>32</v>
      </c>
      <c r="R57" s="1" t="s">
        <v>7</v>
      </c>
    </row>
    <row r="58" spans="1:19">
      <c r="A58" s="1">
        <v>1014</v>
      </c>
      <c r="B58" s="1" t="s">
        <v>2798</v>
      </c>
      <c r="C58" s="1" t="s">
        <v>1611</v>
      </c>
      <c r="D58" s="1">
        <v>2</v>
      </c>
      <c r="E58" s="1" t="s">
        <v>3083</v>
      </c>
      <c r="F58" s="1" t="s">
        <v>3084</v>
      </c>
      <c r="G58" s="1" t="s">
        <v>3066</v>
      </c>
      <c r="I58" s="1" t="s">
        <v>1633</v>
      </c>
      <c r="J58" s="1" t="s">
        <v>1634</v>
      </c>
      <c r="N58" s="1" t="s">
        <v>3456</v>
      </c>
      <c r="O58" s="1">
        <v>1</v>
      </c>
      <c r="P58" s="1">
        <v>1</v>
      </c>
      <c r="Q58" s="1" t="s">
        <v>30</v>
      </c>
      <c r="R58" s="1" t="s">
        <v>7</v>
      </c>
    </row>
    <row r="59" spans="1:19">
      <c r="A59" s="1">
        <v>1015</v>
      </c>
      <c r="B59" s="1" t="s">
        <v>2799</v>
      </c>
      <c r="C59" s="1" t="s">
        <v>1611</v>
      </c>
      <c r="D59" s="1">
        <v>2</v>
      </c>
      <c r="E59" s="1" t="s">
        <v>3083</v>
      </c>
      <c r="F59" s="1" t="s">
        <v>3084</v>
      </c>
      <c r="G59" s="1" t="s">
        <v>3051</v>
      </c>
      <c r="I59" s="1" t="s">
        <v>1635</v>
      </c>
      <c r="N59" s="1" t="s">
        <v>3456</v>
      </c>
      <c r="O59" s="1">
        <v>2</v>
      </c>
      <c r="P59" s="1">
        <v>1</v>
      </c>
      <c r="Q59" s="1" t="s">
        <v>169</v>
      </c>
      <c r="R59" s="1" t="s">
        <v>7</v>
      </c>
      <c r="S59" s="4"/>
    </row>
    <row r="60" spans="1:19">
      <c r="A60" s="1">
        <v>1016</v>
      </c>
      <c r="B60" s="1" t="s">
        <v>2800</v>
      </c>
      <c r="C60" s="1" t="s">
        <v>1611</v>
      </c>
      <c r="D60" s="1">
        <v>2</v>
      </c>
      <c r="E60" s="1" t="s">
        <v>3083</v>
      </c>
      <c r="F60" s="1" t="s">
        <v>3084</v>
      </c>
      <c r="G60" s="1" t="s">
        <v>3066</v>
      </c>
      <c r="I60" s="1" t="s">
        <v>1636</v>
      </c>
      <c r="J60" s="1" t="s">
        <v>1637</v>
      </c>
      <c r="N60" s="1" t="s">
        <v>3456</v>
      </c>
      <c r="O60" s="1">
        <v>2</v>
      </c>
      <c r="P60" s="1">
        <v>2</v>
      </c>
      <c r="Q60" s="1" t="s">
        <v>29</v>
      </c>
      <c r="R60" s="1" t="s">
        <v>7</v>
      </c>
      <c r="S60" s="4"/>
    </row>
    <row r="61" spans="1:19">
      <c r="A61" s="1">
        <v>1017</v>
      </c>
      <c r="B61" s="1" t="s">
        <v>2801</v>
      </c>
      <c r="C61" s="1" t="s">
        <v>1686</v>
      </c>
      <c r="D61" s="1">
        <v>2</v>
      </c>
      <c r="E61" s="1" t="s">
        <v>3083</v>
      </c>
      <c r="F61" s="1" t="s">
        <v>3084</v>
      </c>
      <c r="G61" s="1" t="s">
        <v>3061</v>
      </c>
      <c r="I61" s="1" t="s">
        <v>1638</v>
      </c>
      <c r="N61" s="1" t="s">
        <v>3456</v>
      </c>
      <c r="O61" s="1">
        <v>2</v>
      </c>
      <c r="P61" s="1">
        <v>1</v>
      </c>
      <c r="Q61" s="1" t="s">
        <v>27</v>
      </c>
      <c r="R61" s="1" t="s">
        <v>7</v>
      </c>
    </row>
    <row r="62" spans="1:19">
      <c r="A62" s="1">
        <v>1018</v>
      </c>
      <c r="B62" s="1" t="s">
        <v>2802</v>
      </c>
      <c r="C62" s="1" t="s">
        <v>1611</v>
      </c>
      <c r="D62" s="1">
        <v>2</v>
      </c>
      <c r="E62" s="1" t="s">
        <v>3083</v>
      </c>
      <c r="F62" s="1" t="s">
        <v>3084</v>
      </c>
      <c r="G62" s="1" t="s">
        <v>3050</v>
      </c>
      <c r="I62" s="3" t="s">
        <v>1677</v>
      </c>
      <c r="J62" s="3"/>
      <c r="K62" s="3"/>
      <c r="N62" s="1" t="s">
        <v>3456</v>
      </c>
      <c r="O62" s="1">
        <v>2</v>
      </c>
      <c r="P62" s="1">
        <v>2</v>
      </c>
      <c r="Q62" s="1" t="s">
        <v>46</v>
      </c>
      <c r="R62" s="1" t="s">
        <v>7</v>
      </c>
    </row>
    <row r="63" spans="1:19">
      <c r="A63" s="8">
        <v>1019</v>
      </c>
      <c r="B63" s="8" t="s">
        <v>2803</v>
      </c>
      <c r="C63" s="8" t="s">
        <v>1611</v>
      </c>
      <c r="D63" s="8">
        <v>2</v>
      </c>
      <c r="E63" s="8" t="s">
        <v>3083</v>
      </c>
      <c r="F63" s="8" t="s">
        <v>3084</v>
      </c>
      <c r="G63" s="8" t="s">
        <v>3055</v>
      </c>
      <c r="H63" s="8" t="s">
        <v>3079</v>
      </c>
      <c r="I63" s="8" t="s">
        <v>1687</v>
      </c>
      <c r="J63" s="8" t="s">
        <v>3959</v>
      </c>
      <c r="K63" s="8"/>
      <c r="L63" s="8"/>
      <c r="M63" s="8" t="s">
        <v>153</v>
      </c>
      <c r="N63" s="8" t="s">
        <v>3456</v>
      </c>
      <c r="O63" s="8">
        <v>2</v>
      </c>
      <c r="P63" s="8">
        <v>2</v>
      </c>
      <c r="Q63" s="8"/>
      <c r="R63" s="8"/>
    </row>
    <row r="64" spans="1:19">
      <c r="A64" s="8">
        <v>1020</v>
      </c>
      <c r="B64" s="8" t="s">
        <v>2804</v>
      </c>
      <c r="C64" s="8" t="s">
        <v>3103</v>
      </c>
      <c r="D64" s="8">
        <v>2</v>
      </c>
      <c r="E64" s="8" t="s">
        <v>3083</v>
      </c>
      <c r="F64" s="8" t="s">
        <v>3079</v>
      </c>
      <c r="G64" s="8"/>
      <c r="H64" s="8"/>
      <c r="I64" s="8" t="s">
        <v>1639</v>
      </c>
      <c r="J64" s="8" t="s">
        <v>3974</v>
      </c>
      <c r="K64" s="8"/>
      <c r="L64" s="8"/>
      <c r="M64" s="8" t="s">
        <v>153</v>
      </c>
      <c r="N64" s="8" t="s">
        <v>3456</v>
      </c>
      <c r="O64" s="8">
        <v>3</v>
      </c>
      <c r="P64" s="8">
        <v>3</v>
      </c>
      <c r="Q64" s="8" t="s">
        <v>46</v>
      </c>
      <c r="R64" s="8" t="s">
        <v>7</v>
      </c>
    </row>
    <row r="65" spans="1:19">
      <c r="A65" s="1">
        <v>1021</v>
      </c>
      <c r="B65" s="3" t="s">
        <v>2805</v>
      </c>
      <c r="C65" s="3" t="s">
        <v>1611</v>
      </c>
      <c r="D65" s="3">
        <v>2</v>
      </c>
      <c r="E65" s="3" t="s">
        <v>3083</v>
      </c>
      <c r="F65" s="3" t="s">
        <v>3084</v>
      </c>
      <c r="G65" s="3" t="s">
        <v>3071</v>
      </c>
      <c r="H65" s="3"/>
      <c r="I65" s="3" t="s">
        <v>1640</v>
      </c>
      <c r="J65" s="3" t="s">
        <v>1641</v>
      </c>
      <c r="K65" s="3"/>
      <c r="L65" s="3"/>
      <c r="M65" s="3"/>
      <c r="N65" s="3" t="s">
        <v>3150</v>
      </c>
      <c r="O65" s="3">
        <v>1</v>
      </c>
      <c r="P65" s="3">
        <v>1</v>
      </c>
      <c r="Q65" s="3" t="s">
        <v>46</v>
      </c>
      <c r="R65" s="3" t="s">
        <v>7</v>
      </c>
    </row>
    <row r="66" spans="1:19">
      <c r="A66" s="1">
        <v>1022</v>
      </c>
      <c r="B66" s="1" t="s">
        <v>2806</v>
      </c>
      <c r="C66" s="1" t="s">
        <v>1611</v>
      </c>
      <c r="D66" s="1">
        <v>2</v>
      </c>
      <c r="E66" s="1" t="s">
        <v>3083</v>
      </c>
      <c r="F66" s="1" t="s">
        <v>3084</v>
      </c>
      <c r="G66" s="1" t="s">
        <v>3063</v>
      </c>
      <c r="I66" s="1" t="s">
        <v>1642</v>
      </c>
      <c r="N66" s="1" t="s">
        <v>3456</v>
      </c>
      <c r="O66" s="1">
        <v>2</v>
      </c>
      <c r="P66" s="1">
        <v>1</v>
      </c>
      <c r="Q66" s="1" t="s">
        <v>50</v>
      </c>
      <c r="R66" s="1" t="s">
        <v>7</v>
      </c>
    </row>
    <row r="67" spans="1:19">
      <c r="A67" s="1">
        <v>1023</v>
      </c>
      <c r="B67" s="1" t="s">
        <v>2807</v>
      </c>
      <c r="C67" s="1" t="s">
        <v>1611</v>
      </c>
      <c r="D67" s="1">
        <v>2</v>
      </c>
      <c r="E67" s="1" t="s">
        <v>3083</v>
      </c>
      <c r="F67" s="1" t="s">
        <v>3084</v>
      </c>
      <c r="G67" s="1" t="s">
        <v>3055</v>
      </c>
      <c r="I67" s="1" t="s">
        <v>1643</v>
      </c>
      <c r="J67" s="1" t="s">
        <v>1644</v>
      </c>
      <c r="N67" s="1" t="s">
        <v>3150</v>
      </c>
      <c r="O67" s="1">
        <v>4</v>
      </c>
      <c r="P67" s="1">
        <v>4</v>
      </c>
      <c r="Q67" s="1" t="s">
        <v>17</v>
      </c>
      <c r="R67" s="1" t="s">
        <v>7</v>
      </c>
    </row>
    <row r="68" spans="1:19">
      <c r="A68" s="1">
        <v>2010</v>
      </c>
      <c r="B68" s="1" t="s">
        <v>2854</v>
      </c>
      <c r="C68" s="1" t="s">
        <v>1611</v>
      </c>
      <c r="D68" s="1">
        <v>2</v>
      </c>
      <c r="E68" s="1" t="s">
        <v>3087</v>
      </c>
      <c r="F68" s="1" t="s">
        <v>3084</v>
      </c>
      <c r="G68" s="1" t="s">
        <v>3049</v>
      </c>
      <c r="I68" s="1" t="s">
        <v>1700</v>
      </c>
      <c r="J68" s="1" t="s">
        <v>1701</v>
      </c>
      <c r="K68" s="1" t="s">
        <v>1702</v>
      </c>
      <c r="N68" s="1" t="s">
        <v>3456</v>
      </c>
      <c r="O68" s="1">
        <v>2</v>
      </c>
      <c r="P68" s="1">
        <v>2</v>
      </c>
      <c r="Q68" s="1" t="s">
        <v>606</v>
      </c>
      <c r="R68" s="1" t="s">
        <v>9</v>
      </c>
    </row>
    <row r="69" spans="1:19">
      <c r="A69" s="3">
        <v>2011</v>
      </c>
      <c r="B69" s="3" t="s">
        <v>2855</v>
      </c>
      <c r="C69" s="3" t="s">
        <v>1611</v>
      </c>
      <c r="D69" s="3">
        <v>2</v>
      </c>
      <c r="E69" s="3" t="s">
        <v>3083</v>
      </c>
      <c r="F69" s="3" t="s">
        <v>3084</v>
      </c>
      <c r="G69" s="3" t="s">
        <v>3075</v>
      </c>
      <c r="H69" s="3"/>
      <c r="I69" s="3" t="s">
        <v>1753</v>
      </c>
      <c r="J69" s="3" t="s">
        <v>1703</v>
      </c>
      <c r="K69" s="3" t="s">
        <v>1754</v>
      </c>
      <c r="L69" s="3"/>
      <c r="M69" s="3"/>
      <c r="N69" s="3" t="s">
        <v>3456</v>
      </c>
      <c r="O69" s="3">
        <v>2</v>
      </c>
      <c r="P69" s="3">
        <v>1</v>
      </c>
      <c r="Q69" s="3" t="s">
        <v>38</v>
      </c>
      <c r="R69" s="1" t="s">
        <v>9</v>
      </c>
      <c r="S69" s="3"/>
    </row>
    <row r="70" spans="1:19">
      <c r="A70" s="9">
        <v>2012</v>
      </c>
      <c r="B70" s="9" t="s">
        <v>2856</v>
      </c>
      <c r="C70" s="9" t="s">
        <v>1611</v>
      </c>
      <c r="D70" s="9">
        <v>2</v>
      </c>
      <c r="E70" s="9" t="s">
        <v>3083</v>
      </c>
      <c r="F70" s="9" t="s">
        <v>3084</v>
      </c>
      <c r="G70" s="9" t="s">
        <v>3059</v>
      </c>
      <c r="H70" s="9" t="s">
        <v>3079</v>
      </c>
      <c r="I70" s="9" t="s">
        <v>1704</v>
      </c>
      <c r="J70" s="9" t="s">
        <v>3960</v>
      </c>
      <c r="K70" s="9"/>
      <c r="L70" s="9"/>
      <c r="M70" s="9" t="s">
        <v>153</v>
      </c>
      <c r="N70" s="9" t="s">
        <v>3456</v>
      </c>
      <c r="O70" s="9">
        <v>1</v>
      </c>
      <c r="P70" s="9">
        <v>1</v>
      </c>
      <c r="Q70" s="9"/>
      <c r="R70" s="9"/>
    </row>
    <row r="71" spans="1:19">
      <c r="A71" s="9">
        <v>2013</v>
      </c>
      <c r="B71" s="9" t="s">
        <v>2857</v>
      </c>
      <c r="C71" s="9" t="s">
        <v>3103</v>
      </c>
      <c r="D71" s="9">
        <v>2</v>
      </c>
      <c r="E71" s="9" t="s">
        <v>3083</v>
      </c>
      <c r="F71" s="9" t="s">
        <v>3079</v>
      </c>
      <c r="G71" s="9"/>
      <c r="H71" s="9"/>
      <c r="I71" s="9" t="s">
        <v>1705</v>
      </c>
      <c r="J71" s="9" t="s">
        <v>1706</v>
      </c>
      <c r="K71" s="9" t="s">
        <v>3975</v>
      </c>
      <c r="L71" s="9"/>
      <c r="M71" s="9" t="s">
        <v>153</v>
      </c>
      <c r="N71" s="9" t="s">
        <v>3456</v>
      </c>
      <c r="O71" s="9">
        <v>3</v>
      </c>
      <c r="P71" s="9">
        <v>3</v>
      </c>
      <c r="Q71" s="9" t="s">
        <v>45</v>
      </c>
      <c r="R71" s="9" t="s">
        <v>9</v>
      </c>
    </row>
    <row r="72" spans="1:19">
      <c r="A72" s="1">
        <v>2014</v>
      </c>
      <c r="B72" s="1" t="s">
        <v>2858</v>
      </c>
      <c r="C72" s="1" t="s">
        <v>1611</v>
      </c>
      <c r="D72" s="1">
        <v>2</v>
      </c>
      <c r="E72" s="1" t="s">
        <v>3083</v>
      </c>
      <c r="F72" s="1" t="s">
        <v>3084</v>
      </c>
      <c r="G72" s="1" t="s">
        <v>3075</v>
      </c>
      <c r="I72" s="1" t="s">
        <v>1755</v>
      </c>
      <c r="J72" s="1" t="s">
        <v>3911</v>
      </c>
      <c r="K72" s="1" t="s">
        <v>3912</v>
      </c>
      <c r="O72" s="1">
        <v>1</v>
      </c>
      <c r="P72" s="1">
        <v>1</v>
      </c>
      <c r="Q72" s="1" t="s">
        <v>170</v>
      </c>
      <c r="R72" s="1" t="s">
        <v>9</v>
      </c>
    </row>
    <row r="73" spans="1:19">
      <c r="A73" s="1">
        <v>2015</v>
      </c>
      <c r="B73" s="1" t="s">
        <v>2859</v>
      </c>
      <c r="C73" s="1" t="s">
        <v>1686</v>
      </c>
      <c r="D73" s="1">
        <v>2</v>
      </c>
      <c r="E73" s="1" t="s">
        <v>3083</v>
      </c>
      <c r="F73" s="1" t="s">
        <v>3084</v>
      </c>
      <c r="G73" s="1" t="s">
        <v>3051</v>
      </c>
      <c r="I73" s="1" t="s">
        <v>293</v>
      </c>
      <c r="J73" s="1" t="s">
        <v>1707</v>
      </c>
      <c r="N73" s="1" t="s">
        <v>3456</v>
      </c>
      <c r="O73" s="1">
        <v>1</v>
      </c>
      <c r="P73" s="1">
        <v>1</v>
      </c>
      <c r="Q73" s="1" t="s">
        <v>33</v>
      </c>
      <c r="R73" s="1" t="s">
        <v>9</v>
      </c>
    </row>
    <row r="74" spans="1:19">
      <c r="A74" s="1">
        <v>2016</v>
      </c>
      <c r="B74" s="1" t="s">
        <v>2860</v>
      </c>
      <c r="C74" s="1" t="s">
        <v>1611</v>
      </c>
      <c r="D74" s="1">
        <v>2</v>
      </c>
      <c r="E74" s="1" t="s">
        <v>3083</v>
      </c>
      <c r="F74" s="1" t="s">
        <v>3084</v>
      </c>
      <c r="G74" s="1" t="s">
        <v>3058</v>
      </c>
      <c r="I74" s="1" t="s">
        <v>1708</v>
      </c>
      <c r="M74" s="1" t="s">
        <v>491</v>
      </c>
      <c r="O74" s="1">
        <v>2</v>
      </c>
      <c r="P74" s="1">
        <v>1</v>
      </c>
    </row>
    <row r="75" spans="1:19">
      <c r="A75" s="1">
        <v>2017</v>
      </c>
      <c r="B75" s="1" t="s">
        <v>2861</v>
      </c>
      <c r="C75" s="1" t="s">
        <v>1611</v>
      </c>
      <c r="D75" s="1">
        <v>2</v>
      </c>
      <c r="E75" s="1" t="s">
        <v>3087</v>
      </c>
      <c r="F75" s="1" t="s">
        <v>3084</v>
      </c>
      <c r="G75" s="1" t="s">
        <v>3058</v>
      </c>
      <c r="I75" s="1" t="s">
        <v>1756</v>
      </c>
      <c r="M75" s="1" t="s">
        <v>491</v>
      </c>
      <c r="N75" s="1" t="s">
        <v>3456</v>
      </c>
      <c r="O75" s="1">
        <v>3</v>
      </c>
      <c r="P75" s="1">
        <v>3</v>
      </c>
      <c r="Q75" s="1" t="s">
        <v>175</v>
      </c>
      <c r="R75" s="1" t="s">
        <v>9</v>
      </c>
    </row>
    <row r="76" spans="1:19">
      <c r="A76" s="3">
        <v>2018</v>
      </c>
      <c r="B76" s="3" t="s">
        <v>2862</v>
      </c>
      <c r="C76" s="3" t="s">
        <v>1611</v>
      </c>
      <c r="D76" s="3">
        <v>2</v>
      </c>
      <c r="E76" s="3" t="s">
        <v>3083</v>
      </c>
      <c r="F76" s="3" t="s">
        <v>3084</v>
      </c>
      <c r="G76" s="3" t="s">
        <v>3055</v>
      </c>
      <c r="H76" s="3"/>
      <c r="I76" s="3" t="s">
        <v>1709</v>
      </c>
      <c r="J76" s="3" t="s">
        <v>1757</v>
      </c>
      <c r="K76" s="3" t="s">
        <v>1710</v>
      </c>
      <c r="L76" s="3"/>
      <c r="M76" s="3"/>
      <c r="N76" s="3" t="s">
        <v>3456</v>
      </c>
      <c r="O76" s="3">
        <v>2</v>
      </c>
      <c r="P76" s="3">
        <v>1</v>
      </c>
      <c r="Q76" s="3" t="s">
        <v>32</v>
      </c>
      <c r="R76" s="1" t="s">
        <v>9</v>
      </c>
    </row>
    <row r="77" spans="1:19">
      <c r="A77" s="6">
        <v>2019</v>
      </c>
      <c r="B77" s="6" t="s">
        <v>2863</v>
      </c>
      <c r="C77" s="6" t="s">
        <v>1611</v>
      </c>
      <c r="D77" s="6">
        <v>2</v>
      </c>
      <c r="E77" s="6" t="s">
        <v>3083</v>
      </c>
      <c r="F77" s="6" t="s">
        <v>3084</v>
      </c>
      <c r="G77" s="6" t="s">
        <v>3066</v>
      </c>
      <c r="H77" s="6" t="s">
        <v>3060</v>
      </c>
      <c r="I77" s="6" t="s">
        <v>1711</v>
      </c>
      <c r="J77" s="6"/>
      <c r="K77" s="6"/>
      <c r="L77" s="6"/>
      <c r="M77" s="6"/>
      <c r="N77" s="6" t="s">
        <v>3456</v>
      </c>
      <c r="O77" s="6">
        <v>0</v>
      </c>
      <c r="P77" s="6">
        <v>1</v>
      </c>
      <c r="Q77" s="6" t="s">
        <v>604</v>
      </c>
      <c r="R77" s="6" t="s">
        <v>9</v>
      </c>
    </row>
    <row r="78" spans="1:19">
      <c r="A78" s="1">
        <v>2020</v>
      </c>
      <c r="B78" s="1" t="s">
        <v>2864</v>
      </c>
      <c r="C78" s="1" t="s">
        <v>1611</v>
      </c>
      <c r="D78" s="1">
        <v>2</v>
      </c>
      <c r="E78" s="1" t="s">
        <v>3083</v>
      </c>
      <c r="F78" s="1" t="s">
        <v>3084</v>
      </c>
      <c r="G78" s="1" t="s">
        <v>3075</v>
      </c>
      <c r="I78" s="1" t="s">
        <v>1758</v>
      </c>
      <c r="J78" s="1" t="s">
        <v>1712</v>
      </c>
      <c r="K78" s="1" t="s">
        <v>1713</v>
      </c>
      <c r="L78" s="1" t="s">
        <v>1714</v>
      </c>
      <c r="N78" s="1" t="s">
        <v>3456</v>
      </c>
      <c r="O78" s="1">
        <v>1</v>
      </c>
      <c r="P78" s="1">
        <v>1</v>
      </c>
      <c r="Q78" s="1" t="s">
        <v>174</v>
      </c>
      <c r="R78" s="1" t="s">
        <v>9</v>
      </c>
    </row>
    <row r="79" spans="1:19">
      <c r="A79" s="1">
        <v>2021</v>
      </c>
      <c r="B79" s="1" t="s">
        <v>2865</v>
      </c>
      <c r="C79" s="1" t="s">
        <v>1611</v>
      </c>
      <c r="D79" s="1">
        <v>2</v>
      </c>
      <c r="E79" s="1" t="s">
        <v>3083</v>
      </c>
      <c r="F79" s="1" t="s">
        <v>3084</v>
      </c>
      <c r="G79" s="1" t="s">
        <v>3071</v>
      </c>
      <c r="I79" s="1" t="s">
        <v>5179</v>
      </c>
      <c r="N79" s="1" t="s">
        <v>3456</v>
      </c>
      <c r="O79" s="1">
        <v>2</v>
      </c>
      <c r="P79" s="1">
        <v>1</v>
      </c>
      <c r="Q79" s="1" t="s">
        <v>44</v>
      </c>
      <c r="R79" s="1" t="s">
        <v>9</v>
      </c>
      <c r="S79" s="4"/>
    </row>
    <row r="80" spans="1:19">
      <c r="A80" s="1">
        <v>2022</v>
      </c>
      <c r="B80" s="1" t="s">
        <v>2866</v>
      </c>
      <c r="C80" s="1" t="s">
        <v>1611</v>
      </c>
      <c r="D80" s="1">
        <v>2</v>
      </c>
      <c r="E80" s="1" t="s">
        <v>3083</v>
      </c>
      <c r="F80" s="1" t="s">
        <v>3084</v>
      </c>
      <c r="G80" s="1" t="s">
        <v>3066</v>
      </c>
      <c r="I80" s="3" t="s">
        <v>1759</v>
      </c>
      <c r="J80" s="3" t="s">
        <v>1715</v>
      </c>
      <c r="K80" s="3"/>
      <c r="N80" s="1" t="s">
        <v>3456</v>
      </c>
      <c r="O80" s="1">
        <v>2</v>
      </c>
      <c r="P80" s="1">
        <v>1</v>
      </c>
      <c r="Q80" s="1" t="s">
        <v>46</v>
      </c>
      <c r="R80" s="1" t="s">
        <v>9</v>
      </c>
      <c r="S80" s="4"/>
    </row>
    <row r="81" spans="1:18">
      <c r="A81" s="1">
        <v>2023</v>
      </c>
      <c r="B81" s="1" t="s">
        <v>2867</v>
      </c>
      <c r="C81" s="1" t="s">
        <v>1611</v>
      </c>
      <c r="D81" s="1">
        <v>2</v>
      </c>
      <c r="E81" s="1" t="s">
        <v>3083</v>
      </c>
      <c r="F81" s="1" t="s">
        <v>3084</v>
      </c>
      <c r="G81" s="1" t="s">
        <v>3066</v>
      </c>
      <c r="I81" s="1" t="s">
        <v>1716</v>
      </c>
      <c r="J81" s="1" t="s">
        <v>1717</v>
      </c>
      <c r="O81" s="1">
        <v>3</v>
      </c>
      <c r="P81" s="1">
        <v>4</v>
      </c>
      <c r="Q81" s="1" t="s">
        <v>17</v>
      </c>
      <c r="R81" s="1" t="s">
        <v>9</v>
      </c>
    </row>
    <row r="82" spans="1:18">
      <c r="A82" s="4">
        <v>34</v>
      </c>
      <c r="B82" s="4" t="s">
        <v>2756</v>
      </c>
      <c r="C82" s="4" t="s">
        <v>1618</v>
      </c>
      <c r="D82" s="4">
        <v>3</v>
      </c>
      <c r="E82" s="4" t="s">
        <v>3083</v>
      </c>
      <c r="F82" s="4" t="s">
        <v>3084</v>
      </c>
      <c r="G82" s="4" t="s">
        <v>3061</v>
      </c>
      <c r="H82" s="4"/>
      <c r="I82" s="4" t="s">
        <v>1580</v>
      </c>
      <c r="J82" s="4" t="s">
        <v>13</v>
      </c>
      <c r="K82" s="4"/>
      <c r="L82" s="4"/>
      <c r="M82" s="4"/>
      <c r="N82" s="5" t="s">
        <v>3456</v>
      </c>
      <c r="O82" s="4">
        <v>1</v>
      </c>
      <c r="P82" s="4">
        <v>3</v>
      </c>
      <c r="Q82" s="4" t="s">
        <v>15</v>
      </c>
      <c r="R82" s="3" t="s">
        <v>4</v>
      </c>
    </row>
    <row r="83" spans="1:18">
      <c r="A83" s="3">
        <v>35</v>
      </c>
      <c r="B83" s="1" t="s">
        <v>2757</v>
      </c>
      <c r="C83" s="1" t="s">
        <v>1618</v>
      </c>
      <c r="D83" s="1">
        <v>3</v>
      </c>
      <c r="E83" s="1" t="s">
        <v>3083</v>
      </c>
      <c r="F83" s="1" t="s">
        <v>3084</v>
      </c>
      <c r="G83" s="1" t="s">
        <v>3066</v>
      </c>
      <c r="I83" s="1" t="s">
        <v>51</v>
      </c>
      <c r="J83" s="1" t="s">
        <v>1581</v>
      </c>
      <c r="N83" s="2" t="s">
        <v>3456</v>
      </c>
      <c r="O83" s="1">
        <v>0</v>
      </c>
      <c r="P83" s="1">
        <v>3</v>
      </c>
      <c r="Q83" s="1" t="s">
        <v>6</v>
      </c>
      <c r="R83" s="1" t="s">
        <v>4</v>
      </c>
    </row>
    <row r="84" spans="1:18">
      <c r="A84" s="3">
        <v>36</v>
      </c>
      <c r="B84" s="3" t="s">
        <v>2758</v>
      </c>
      <c r="C84" s="3" t="s">
        <v>1618</v>
      </c>
      <c r="D84" s="3">
        <v>3</v>
      </c>
      <c r="E84" s="3" t="s">
        <v>3083</v>
      </c>
      <c r="F84" s="3" t="s">
        <v>3084</v>
      </c>
      <c r="G84" s="3" t="s">
        <v>3049</v>
      </c>
      <c r="H84" s="3"/>
      <c r="I84" s="3" t="s">
        <v>23</v>
      </c>
      <c r="J84" s="3"/>
      <c r="K84" s="3"/>
      <c r="L84" s="3"/>
      <c r="M84" s="3"/>
      <c r="N84" s="14" t="s">
        <v>3456</v>
      </c>
      <c r="O84" s="3">
        <v>3</v>
      </c>
      <c r="P84" s="3">
        <v>2</v>
      </c>
      <c r="Q84" s="3" t="s">
        <v>39</v>
      </c>
      <c r="R84" s="3" t="s">
        <v>4</v>
      </c>
    </row>
    <row r="85" spans="1:18">
      <c r="A85" s="3">
        <v>37</v>
      </c>
      <c r="B85" s="1" t="s">
        <v>2759</v>
      </c>
      <c r="C85" s="1" t="s">
        <v>1618</v>
      </c>
      <c r="D85" s="1">
        <v>3</v>
      </c>
      <c r="E85" s="1" t="s">
        <v>3083</v>
      </c>
      <c r="F85" s="1" t="s">
        <v>3084</v>
      </c>
      <c r="G85" s="1" t="s">
        <v>3075</v>
      </c>
      <c r="I85" s="1" t="s">
        <v>249</v>
      </c>
      <c r="J85" s="1" t="s">
        <v>1582</v>
      </c>
      <c r="N85" s="2" t="s">
        <v>3150</v>
      </c>
      <c r="O85" s="1">
        <v>2</v>
      </c>
      <c r="P85" s="1">
        <v>2</v>
      </c>
      <c r="Q85" s="1" t="s">
        <v>52</v>
      </c>
      <c r="R85" s="1" t="s">
        <v>4</v>
      </c>
    </row>
    <row r="86" spans="1:18">
      <c r="A86" s="3">
        <v>38</v>
      </c>
      <c r="B86" s="1" t="s">
        <v>2760</v>
      </c>
      <c r="C86" s="1" t="s">
        <v>1618</v>
      </c>
      <c r="D86" s="1">
        <v>3</v>
      </c>
      <c r="E86" s="1" t="s">
        <v>3083</v>
      </c>
      <c r="F86" s="1" t="s">
        <v>3084</v>
      </c>
      <c r="G86" s="1" t="s">
        <v>3066</v>
      </c>
      <c r="I86" s="1" t="s">
        <v>1619</v>
      </c>
      <c r="J86" s="1" t="s">
        <v>1583</v>
      </c>
      <c r="N86" s="2" t="s">
        <v>3150</v>
      </c>
      <c r="O86" s="1">
        <v>1</v>
      </c>
      <c r="P86" s="1">
        <v>4</v>
      </c>
      <c r="Q86" s="1" t="s">
        <v>33</v>
      </c>
      <c r="R86" s="1" t="s">
        <v>4</v>
      </c>
    </row>
    <row r="87" spans="1:18">
      <c r="A87" s="6">
        <v>39</v>
      </c>
      <c r="B87" s="6" t="s">
        <v>2761</v>
      </c>
      <c r="C87" s="6" t="s">
        <v>1618</v>
      </c>
      <c r="D87" s="6">
        <v>3</v>
      </c>
      <c r="E87" s="6" t="s">
        <v>3083</v>
      </c>
      <c r="F87" s="6" t="s">
        <v>3084</v>
      </c>
      <c r="G87" s="6" t="s">
        <v>3079</v>
      </c>
      <c r="H87" s="6"/>
      <c r="I87" s="6" t="s">
        <v>3961</v>
      </c>
      <c r="J87" s="6"/>
      <c r="K87" s="6"/>
      <c r="L87" s="6"/>
      <c r="M87" s="6" t="s">
        <v>153</v>
      </c>
      <c r="N87" s="7" t="s">
        <v>3456</v>
      </c>
      <c r="O87" s="6">
        <v>2</v>
      </c>
      <c r="P87" s="6">
        <v>3</v>
      </c>
      <c r="Q87" s="6"/>
      <c r="R87" s="6"/>
    </row>
    <row r="88" spans="1:18">
      <c r="A88" s="6">
        <v>40</v>
      </c>
      <c r="B88" s="6" t="s">
        <v>2762</v>
      </c>
      <c r="C88" s="6" t="s">
        <v>3103</v>
      </c>
      <c r="D88" s="6">
        <v>3</v>
      </c>
      <c r="E88" s="6" t="s">
        <v>3083</v>
      </c>
      <c r="F88" s="6" t="s">
        <v>3079</v>
      </c>
      <c r="G88" s="6"/>
      <c r="H88" s="6"/>
      <c r="I88" s="6" t="s">
        <v>3976</v>
      </c>
      <c r="J88" s="6"/>
      <c r="K88" s="6"/>
      <c r="L88" s="6"/>
      <c r="M88" s="6" t="s">
        <v>153</v>
      </c>
      <c r="N88" s="7" t="s">
        <v>3456</v>
      </c>
      <c r="O88" s="6">
        <v>4</v>
      </c>
      <c r="P88" s="6">
        <v>6</v>
      </c>
      <c r="Q88" s="6" t="s">
        <v>45</v>
      </c>
      <c r="R88" s="6" t="s">
        <v>4</v>
      </c>
    </row>
    <row r="89" spans="1:18">
      <c r="A89" s="3">
        <v>41</v>
      </c>
      <c r="B89" s="1" t="s">
        <v>2763</v>
      </c>
      <c r="C89" s="1" t="s">
        <v>1618</v>
      </c>
      <c r="D89" s="1">
        <v>3</v>
      </c>
      <c r="E89" s="1" t="s">
        <v>3083</v>
      </c>
      <c r="F89" s="1" t="s">
        <v>3084</v>
      </c>
      <c r="G89" s="1" t="s">
        <v>3049</v>
      </c>
      <c r="I89" s="1" t="s">
        <v>1584</v>
      </c>
      <c r="N89" s="2" t="s">
        <v>3456</v>
      </c>
      <c r="O89" s="1">
        <v>3</v>
      </c>
      <c r="P89" s="1">
        <v>2</v>
      </c>
      <c r="Q89" s="1" t="s">
        <v>46</v>
      </c>
      <c r="R89" s="1" t="s">
        <v>4</v>
      </c>
    </row>
    <row r="90" spans="1:18">
      <c r="A90" s="3">
        <v>42</v>
      </c>
      <c r="B90" s="3" t="s">
        <v>2764</v>
      </c>
      <c r="C90" s="3" t="s">
        <v>1618</v>
      </c>
      <c r="D90" s="3">
        <v>3</v>
      </c>
      <c r="E90" s="3" t="s">
        <v>3083</v>
      </c>
      <c r="F90" s="3" t="s">
        <v>3084</v>
      </c>
      <c r="G90" s="3" t="s">
        <v>3049</v>
      </c>
      <c r="H90" s="3"/>
      <c r="I90" s="3" t="s">
        <v>1585</v>
      </c>
      <c r="J90" s="3"/>
      <c r="K90" s="3"/>
      <c r="L90" s="3"/>
      <c r="M90" s="3"/>
      <c r="N90" s="14" t="s">
        <v>3150</v>
      </c>
      <c r="O90" s="3">
        <v>2</v>
      </c>
      <c r="P90" s="3">
        <v>2</v>
      </c>
      <c r="Q90" s="3" t="s">
        <v>52</v>
      </c>
      <c r="R90" s="3" t="s">
        <v>4</v>
      </c>
    </row>
    <row r="91" spans="1:18">
      <c r="A91" s="6">
        <v>43</v>
      </c>
      <c r="B91" s="6" t="s">
        <v>2765</v>
      </c>
      <c r="C91" s="6" t="s">
        <v>1618</v>
      </c>
      <c r="D91" s="6">
        <v>3</v>
      </c>
      <c r="E91" s="6" t="s">
        <v>3083</v>
      </c>
      <c r="F91" s="6" t="s">
        <v>3084</v>
      </c>
      <c r="G91" s="6" t="s">
        <v>3071</v>
      </c>
      <c r="H91" s="6"/>
      <c r="I91" s="6" t="s">
        <v>1603</v>
      </c>
      <c r="J91" s="6"/>
      <c r="K91" s="6"/>
      <c r="L91" s="6"/>
      <c r="M91" s="6"/>
      <c r="N91" s="7" t="s">
        <v>3456</v>
      </c>
      <c r="O91" s="6">
        <v>3</v>
      </c>
      <c r="P91" s="6">
        <v>2</v>
      </c>
      <c r="Q91" s="6" t="s">
        <v>14</v>
      </c>
      <c r="R91" s="6" t="s">
        <v>4</v>
      </c>
    </row>
    <row r="92" spans="1:18">
      <c r="A92" s="3">
        <v>44</v>
      </c>
      <c r="B92" s="1" t="s">
        <v>2766</v>
      </c>
      <c r="C92" s="1" t="s">
        <v>1618</v>
      </c>
      <c r="D92" s="1">
        <v>3</v>
      </c>
      <c r="E92" s="1" t="s">
        <v>3083</v>
      </c>
      <c r="F92" s="1" t="s">
        <v>3084</v>
      </c>
      <c r="G92" s="1" t="s">
        <v>3055</v>
      </c>
      <c r="I92" s="1" t="s">
        <v>1586</v>
      </c>
      <c r="N92" s="2" t="s">
        <v>3456</v>
      </c>
      <c r="O92" s="1" t="s">
        <v>4048</v>
      </c>
      <c r="P92" s="1" t="s">
        <v>4048</v>
      </c>
      <c r="Q92" s="1" t="s">
        <v>18</v>
      </c>
      <c r="R92" s="1" t="s">
        <v>4</v>
      </c>
    </row>
    <row r="93" spans="1:18">
      <c r="A93" s="3">
        <v>45</v>
      </c>
      <c r="B93" s="1" t="s">
        <v>2767</v>
      </c>
      <c r="C93" s="1" t="s">
        <v>1618</v>
      </c>
      <c r="D93" s="1">
        <v>3</v>
      </c>
      <c r="E93" s="1" t="s">
        <v>3083</v>
      </c>
      <c r="F93" s="1" t="s">
        <v>3084</v>
      </c>
      <c r="I93" s="1" t="s">
        <v>1587</v>
      </c>
      <c r="N93" s="2" t="s">
        <v>3150</v>
      </c>
      <c r="O93" s="1">
        <v>2</v>
      </c>
      <c r="P93" s="1">
        <v>3</v>
      </c>
      <c r="Q93" s="1" t="s">
        <v>46</v>
      </c>
      <c r="R93" s="1" t="s">
        <v>4</v>
      </c>
    </row>
    <row r="94" spans="1:18">
      <c r="A94" s="1">
        <v>1024</v>
      </c>
      <c r="B94" s="8" t="s">
        <v>2808</v>
      </c>
      <c r="C94" s="8" t="s">
        <v>1688</v>
      </c>
      <c r="D94" s="8">
        <v>3</v>
      </c>
      <c r="E94" s="8" t="s">
        <v>3083</v>
      </c>
      <c r="F94" s="8" t="s">
        <v>3084</v>
      </c>
      <c r="G94" s="8" t="s">
        <v>3075</v>
      </c>
      <c r="H94" s="8"/>
      <c r="I94" s="8" t="s">
        <v>1645</v>
      </c>
      <c r="J94" s="8"/>
      <c r="K94" s="8"/>
      <c r="L94" s="8"/>
      <c r="M94" s="8"/>
      <c r="N94" s="8" t="s">
        <v>3150</v>
      </c>
      <c r="O94" s="8">
        <v>2</v>
      </c>
      <c r="P94" s="8">
        <v>1</v>
      </c>
      <c r="Q94" s="8" t="s">
        <v>605</v>
      </c>
      <c r="R94" s="8" t="s">
        <v>7</v>
      </c>
    </row>
    <row r="95" spans="1:18">
      <c r="A95" s="1">
        <v>1025</v>
      </c>
      <c r="B95" s="1" t="s">
        <v>2809</v>
      </c>
      <c r="C95" s="1" t="s">
        <v>1618</v>
      </c>
      <c r="D95" s="1">
        <v>3</v>
      </c>
      <c r="E95" s="1" t="s">
        <v>3083</v>
      </c>
      <c r="F95" s="1" t="s">
        <v>3084</v>
      </c>
      <c r="G95" s="1" t="s">
        <v>3051</v>
      </c>
      <c r="I95" s="1" t="s">
        <v>1679</v>
      </c>
      <c r="J95" s="1" t="s">
        <v>1678</v>
      </c>
      <c r="K95" s="1" t="s">
        <v>1680</v>
      </c>
      <c r="N95" s="1" t="s">
        <v>3458</v>
      </c>
      <c r="O95" s="1">
        <v>2</v>
      </c>
      <c r="P95" s="1">
        <v>2</v>
      </c>
      <c r="Q95" s="1" t="s">
        <v>33</v>
      </c>
      <c r="R95" s="1" t="s">
        <v>7</v>
      </c>
    </row>
    <row r="96" spans="1:18">
      <c r="A96" s="3">
        <v>1026</v>
      </c>
      <c r="B96" s="3" t="s">
        <v>2810</v>
      </c>
      <c r="C96" s="3" t="s">
        <v>1618</v>
      </c>
      <c r="D96" s="3">
        <v>3</v>
      </c>
      <c r="E96" s="3" t="s">
        <v>3083</v>
      </c>
      <c r="F96" s="3" t="s">
        <v>3084</v>
      </c>
      <c r="G96" s="3" t="s">
        <v>3055</v>
      </c>
      <c r="H96" s="3"/>
      <c r="I96" s="3" t="s">
        <v>1689</v>
      </c>
      <c r="J96" s="3" t="s">
        <v>1646</v>
      </c>
      <c r="K96" s="3"/>
      <c r="L96" s="3"/>
      <c r="M96" s="3"/>
      <c r="N96" s="3" t="s">
        <v>3456</v>
      </c>
      <c r="O96" s="3">
        <v>2</v>
      </c>
      <c r="P96" s="3">
        <v>3</v>
      </c>
      <c r="Q96" s="3" t="s">
        <v>38</v>
      </c>
      <c r="R96" s="1" t="s">
        <v>7</v>
      </c>
    </row>
    <row r="97" spans="1:19">
      <c r="A97" s="1">
        <v>1027</v>
      </c>
      <c r="B97" s="1" t="s">
        <v>2811</v>
      </c>
      <c r="C97" s="1" t="s">
        <v>1688</v>
      </c>
      <c r="D97" s="1">
        <v>3</v>
      </c>
      <c r="E97" s="1" t="s">
        <v>3083</v>
      </c>
      <c r="F97" s="1" t="s">
        <v>3084</v>
      </c>
      <c r="G97" s="1" t="s">
        <v>3055</v>
      </c>
      <c r="I97" s="1" t="s">
        <v>20</v>
      </c>
      <c r="J97" s="1" t="s">
        <v>1647</v>
      </c>
      <c r="N97" s="1" t="s">
        <v>3150</v>
      </c>
      <c r="O97" s="1">
        <v>3</v>
      </c>
      <c r="P97" s="1">
        <v>3</v>
      </c>
      <c r="Q97" s="1" t="s">
        <v>35</v>
      </c>
      <c r="R97" s="1" t="s">
        <v>7</v>
      </c>
    </row>
    <row r="98" spans="1:19">
      <c r="A98" s="1">
        <v>1028</v>
      </c>
      <c r="B98" s="1" t="s">
        <v>2812</v>
      </c>
      <c r="C98" s="1" t="s">
        <v>1618</v>
      </c>
      <c r="D98" s="1">
        <v>3</v>
      </c>
      <c r="E98" s="1" t="s">
        <v>3083</v>
      </c>
      <c r="F98" s="1" t="s">
        <v>3084</v>
      </c>
      <c r="G98" s="1" t="s">
        <v>3066</v>
      </c>
      <c r="I98" s="1" t="s">
        <v>1593</v>
      </c>
      <c r="N98" s="1" t="s">
        <v>3456</v>
      </c>
      <c r="O98" s="1">
        <v>1</v>
      </c>
      <c r="P98" s="1">
        <v>1</v>
      </c>
      <c r="Q98" s="1" t="s">
        <v>171</v>
      </c>
      <c r="R98" s="1" t="s">
        <v>7</v>
      </c>
    </row>
    <row r="99" spans="1:19">
      <c r="A99" s="1">
        <v>1029</v>
      </c>
      <c r="B99" s="1" t="s">
        <v>2813</v>
      </c>
      <c r="C99" s="1" t="s">
        <v>1618</v>
      </c>
      <c r="D99" s="1">
        <v>3</v>
      </c>
      <c r="E99" s="1" t="s">
        <v>3083</v>
      </c>
      <c r="F99" s="1" t="s">
        <v>3084</v>
      </c>
      <c r="G99" s="1" t="s">
        <v>3058</v>
      </c>
      <c r="I99" s="1" t="s">
        <v>1648</v>
      </c>
      <c r="J99" s="1" t="s">
        <v>1649</v>
      </c>
      <c r="N99" s="1" t="s">
        <v>3456</v>
      </c>
      <c r="O99" s="1">
        <v>1</v>
      </c>
      <c r="P99" s="1">
        <v>3</v>
      </c>
      <c r="Q99" s="1" t="s">
        <v>48</v>
      </c>
      <c r="R99" s="1" t="s">
        <v>7</v>
      </c>
    </row>
    <row r="100" spans="1:19">
      <c r="A100" s="1">
        <v>1030</v>
      </c>
      <c r="B100" s="1" t="s">
        <v>2814</v>
      </c>
      <c r="C100" s="1" t="s">
        <v>1618</v>
      </c>
      <c r="D100" s="1">
        <v>3</v>
      </c>
      <c r="E100" s="1" t="s">
        <v>3083</v>
      </c>
      <c r="F100" s="1" t="s">
        <v>3084</v>
      </c>
      <c r="G100" s="1" t="s">
        <v>3061</v>
      </c>
      <c r="I100" s="1" t="s">
        <v>1440</v>
      </c>
      <c r="J100" s="1" t="s">
        <v>1650</v>
      </c>
      <c r="N100" s="1" t="s">
        <v>3150</v>
      </c>
      <c r="O100" s="1">
        <v>1</v>
      </c>
      <c r="P100" s="1">
        <v>4</v>
      </c>
      <c r="Q100" s="1" t="s">
        <v>30</v>
      </c>
      <c r="R100" s="1" t="s">
        <v>7</v>
      </c>
    </row>
    <row r="101" spans="1:19">
      <c r="A101" s="1">
        <v>1031</v>
      </c>
      <c r="B101" s="1" t="s">
        <v>2815</v>
      </c>
      <c r="C101" s="1" t="s">
        <v>1688</v>
      </c>
      <c r="D101" s="1">
        <v>3</v>
      </c>
      <c r="E101" s="1" t="s">
        <v>3083</v>
      </c>
      <c r="F101" s="1" t="s">
        <v>3084</v>
      </c>
      <c r="G101" s="1" t="s">
        <v>3049</v>
      </c>
      <c r="I101" s="1" t="s">
        <v>1651</v>
      </c>
      <c r="N101" s="1" t="s">
        <v>3150</v>
      </c>
      <c r="O101" s="1">
        <v>2</v>
      </c>
      <c r="P101" s="1">
        <v>1</v>
      </c>
      <c r="Q101" s="1" t="s">
        <v>181</v>
      </c>
      <c r="R101" s="1" t="s">
        <v>7</v>
      </c>
      <c r="S101" s="4"/>
    </row>
    <row r="102" spans="1:19">
      <c r="A102" s="6">
        <v>1032</v>
      </c>
      <c r="B102" s="6" t="s">
        <v>2816</v>
      </c>
      <c r="C102" s="6" t="s">
        <v>1618</v>
      </c>
      <c r="D102" s="6">
        <v>3</v>
      </c>
      <c r="E102" s="6" t="s">
        <v>3083</v>
      </c>
      <c r="F102" s="6" t="s">
        <v>3084</v>
      </c>
      <c r="G102" s="6" t="s">
        <v>3079</v>
      </c>
      <c r="H102" s="6"/>
      <c r="I102" s="6" t="s">
        <v>1652</v>
      </c>
      <c r="J102" s="6" t="s">
        <v>3962</v>
      </c>
      <c r="K102" s="6"/>
      <c r="L102" s="6"/>
      <c r="M102" s="6" t="s">
        <v>153</v>
      </c>
      <c r="N102" s="6" t="s">
        <v>3456</v>
      </c>
      <c r="O102" s="6">
        <v>2</v>
      </c>
      <c r="P102" s="6">
        <v>3</v>
      </c>
      <c r="Q102" s="6"/>
      <c r="R102" s="6"/>
    </row>
    <row r="103" spans="1:19">
      <c r="A103" s="6">
        <v>1033</v>
      </c>
      <c r="B103" s="6" t="s">
        <v>2817</v>
      </c>
      <c r="C103" s="6" t="s">
        <v>3103</v>
      </c>
      <c r="D103" s="6">
        <v>3</v>
      </c>
      <c r="E103" s="6" t="s">
        <v>3083</v>
      </c>
      <c r="F103" s="6" t="s">
        <v>3079</v>
      </c>
      <c r="G103" s="6"/>
      <c r="H103" s="6"/>
      <c r="I103" s="6" t="s">
        <v>1653</v>
      </c>
      <c r="J103" s="6" t="s">
        <v>3977</v>
      </c>
      <c r="K103" s="6"/>
      <c r="L103" s="6"/>
      <c r="M103" s="6" t="s">
        <v>153</v>
      </c>
      <c r="N103" s="6" t="s">
        <v>3456</v>
      </c>
      <c r="O103" s="6">
        <v>3</v>
      </c>
      <c r="P103" s="6">
        <v>5</v>
      </c>
      <c r="Q103" s="6" t="s">
        <v>46</v>
      </c>
      <c r="R103" s="6" t="s">
        <v>7</v>
      </c>
    </row>
    <row r="104" spans="1:19">
      <c r="A104" s="1">
        <v>1034</v>
      </c>
      <c r="B104" s="1" t="s">
        <v>2818</v>
      </c>
      <c r="C104" s="1" t="s">
        <v>1618</v>
      </c>
      <c r="D104" s="1">
        <v>3</v>
      </c>
      <c r="E104" s="1" t="s">
        <v>3083</v>
      </c>
      <c r="F104" s="1" t="s">
        <v>3084</v>
      </c>
      <c r="G104" s="1" t="s">
        <v>3066</v>
      </c>
      <c r="I104" s="1" t="s">
        <v>1654</v>
      </c>
      <c r="N104" s="1" t="s">
        <v>3150</v>
      </c>
      <c r="O104" s="1">
        <v>1</v>
      </c>
      <c r="P104" s="1">
        <v>1</v>
      </c>
      <c r="Q104" s="1" t="s">
        <v>178</v>
      </c>
      <c r="R104" s="1" t="s">
        <v>7</v>
      </c>
    </row>
    <row r="105" spans="1:19">
      <c r="A105" s="1">
        <v>1035</v>
      </c>
      <c r="B105" s="1" t="s">
        <v>2819</v>
      </c>
      <c r="C105" s="1" t="s">
        <v>1618</v>
      </c>
      <c r="D105" s="1">
        <v>3</v>
      </c>
      <c r="E105" s="1" t="s">
        <v>3083</v>
      </c>
      <c r="F105" s="1" t="s">
        <v>3084</v>
      </c>
      <c r="G105" s="1" t="s">
        <v>3066</v>
      </c>
      <c r="I105" s="1" t="s">
        <v>1655</v>
      </c>
      <c r="N105" s="1" t="s">
        <v>3150</v>
      </c>
      <c r="O105" s="1">
        <v>2</v>
      </c>
      <c r="P105" s="1">
        <v>2</v>
      </c>
      <c r="Q105" s="1" t="s">
        <v>169</v>
      </c>
      <c r="R105" s="1" t="s">
        <v>7</v>
      </c>
    </row>
    <row r="106" spans="1:19">
      <c r="A106" s="1">
        <v>1036</v>
      </c>
      <c r="B106" s="1" t="s">
        <v>2820</v>
      </c>
      <c r="C106" s="1" t="s">
        <v>1618</v>
      </c>
      <c r="D106" s="1">
        <v>3</v>
      </c>
      <c r="E106" s="1" t="s">
        <v>3083</v>
      </c>
      <c r="F106" s="1" t="s">
        <v>3084</v>
      </c>
      <c r="G106" s="1" t="s">
        <v>3061</v>
      </c>
      <c r="I106" s="1" t="s">
        <v>1690</v>
      </c>
      <c r="J106" s="1" t="s">
        <v>1656</v>
      </c>
      <c r="N106" s="1" t="s">
        <v>3456</v>
      </c>
      <c r="O106" s="1">
        <v>2</v>
      </c>
      <c r="P106" s="1">
        <v>3</v>
      </c>
      <c r="Q106" s="1" t="s">
        <v>8</v>
      </c>
      <c r="R106" s="1" t="s">
        <v>7</v>
      </c>
    </row>
    <row r="107" spans="1:19">
      <c r="A107" s="1">
        <v>1037</v>
      </c>
      <c r="B107" s="1" t="s">
        <v>2821</v>
      </c>
      <c r="C107" s="1" t="s">
        <v>1618</v>
      </c>
      <c r="D107" s="1">
        <v>3</v>
      </c>
      <c r="E107" s="1" t="s">
        <v>3083</v>
      </c>
      <c r="F107" s="1" t="s">
        <v>3084</v>
      </c>
      <c r="G107" s="1" t="s">
        <v>3058</v>
      </c>
      <c r="I107" s="1" t="s">
        <v>1657</v>
      </c>
      <c r="N107" s="1" t="s">
        <v>3456</v>
      </c>
      <c r="O107" s="1">
        <v>2</v>
      </c>
      <c r="P107" s="1">
        <v>2</v>
      </c>
      <c r="Q107" s="1" t="s">
        <v>15</v>
      </c>
      <c r="R107" s="1" t="s">
        <v>7</v>
      </c>
    </row>
    <row r="108" spans="1:19">
      <c r="A108" s="6">
        <v>1038</v>
      </c>
      <c r="B108" s="6" t="s">
        <v>2822</v>
      </c>
      <c r="C108" s="6" t="s">
        <v>1618</v>
      </c>
      <c r="D108" s="6">
        <v>3</v>
      </c>
      <c r="E108" s="6" t="s">
        <v>3083</v>
      </c>
      <c r="F108" s="6" t="s">
        <v>3084</v>
      </c>
      <c r="G108" s="6" t="s">
        <v>3064</v>
      </c>
      <c r="H108" s="6"/>
      <c r="I108" s="6" t="s">
        <v>1658</v>
      </c>
      <c r="J108" s="6" t="s">
        <v>1659</v>
      </c>
      <c r="K108" s="6"/>
      <c r="L108" s="6"/>
      <c r="M108" s="6"/>
      <c r="N108" s="6" t="s">
        <v>3150</v>
      </c>
      <c r="O108" s="6">
        <v>1</v>
      </c>
      <c r="P108" s="6">
        <v>1</v>
      </c>
      <c r="Q108" s="6" t="s">
        <v>39</v>
      </c>
      <c r="R108" s="6" t="s">
        <v>7</v>
      </c>
      <c r="S108" s="6"/>
    </row>
    <row r="109" spans="1:19">
      <c r="A109" s="1">
        <v>1039</v>
      </c>
      <c r="B109" s="1" t="s">
        <v>2823</v>
      </c>
      <c r="C109" s="1" t="s">
        <v>1618</v>
      </c>
      <c r="D109" s="1">
        <v>3</v>
      </c>
      <c r="E109" s="1" t="s">
        <v>3083</v>
      </c>
      <c r="F109" s="1" t="s">
        <v>3084</v>
      </c>
      <c r="G109" s="1" t="s">
        <v>3050</v>
      </c>
      <c r="I109" s="1" t="s">
        <v>1660</v>
      </c>
      <c r="J109" s="1" t="s">
        <v>1691</v>
      </c>
      <c r="N109" s="1" t="s">
        <v>3150</v>
      </c>
      <c r="O109" s="1">
        <v>1</v>
      </c>
      <c r="P109" s="1">
        <v>1</v>
      </c>
      <c r="Q109" s="1" t="s">
        <v>32</v>
      </c>
      <c r="R109" s="1" t="s">
        <v>7</v>
      </c>
      <c r="S109" s="4"/>
    </row>
    <row r="110" spans="1:19">
      <c r="A110" s="1">
        <v>1040</v>
      </c>
      <c r="B110" s="1" t="s">
        <v>2824</v>
      </c>
      <c r="C110" s="1" t="s">
        <v>1618</v>
      </c>
      <c r="D110" s="1">
        <v>3</v>
      </c>
      <c r="E110" s="1" t="s">
        <v>3083</v>
      </c>
      <c r="F110" s="1" t="s">
        <v>3084</v>
      </c>
      <c r="G110" s="1" t="s">
        <v>3058</v>
      </c>
      <c r="I110" s="1" t="s">
        <v>1661</v>
      </c>
      <c r="N110" s="1" t="s">
        <v>3456</v>
      </c>
      <c r="O110" s="1">
        <v>1</v>
      </c>
      <c r="P110" s="1">
        <v>1</v>
      </c>
      <c r="Q110" s="1" t="s">
        <v>179</v>
      </c>
      <c r="R110" s="1" t="s">
        <v>7</v>
      </c>
      <c r="S110" s="6"/>
    </row>
    <row r="111" spans="1:19">
      <c r="A111" s="4">
        <v>1041</v>
      </c>
      <c r="B111" s="4" t="s">
        <v>2825</v>
      </c>
      <c r="C111" s="4" t="s">
        <v>1618</v>
      </c>
      <c r="D111" s="4">
        <v>3</v>
      </c>
      <c r="E111" s="4" t="s">
        <v>3083</v>
      </c>
      <c r="F111" s="4" t="s">
        <v>3084</v>
      </c>
      <c r="G111" s="4" t="s">
        <v>3079</v>
      </c>
      <c r="H111" s="4"/>
      <c r="I111" s="4" t="s">
        <v>3963</v>
      </c>
      <c r="J111" s="4"/>
      <c r="K111" s="4"/>
      <c r="L111" s="4"/>
      <c r="M111" s="4" t="s">
        <v>153</v>
      </c>
      <c r="N111" s="4" t="s">
        <v>3456</v>
      </c>
      <c r="O111" s="4">
        <v>1</v>
      </c>
      <c r="P111" s="4">
        <v>2</v>
      </c>
      <c r="Q111" s="4"/>
      <c r="R111" s="4"/>
    </row>
    <row r="112" spans="1:19">
      <c r="A112" s="4">
        <v>1042</v>
      </c>
      <c r="B112" s="4" t="s">
        <v>2826</v>
      </c>
      <c r="C112" s="4" t="s">
        <v>3103</v>
      </c>
      <c r="D112" s="4">
        <v>3</v>
      </c>
      <c r="E112" s="4" t="s">
        <v>3083</v>
      </c>
      <c r="F112" s="4" t="s">
        <v>3079</v>
      </c>
      <c r="G112" s="4"/>
      <c r="H112" s="4"/>
      <c r="I112" s="4" t="s">
        <v>1662</v>
      </c>
      <c r="J112" s="4" t="s">
        <v>3971</v>
      </c>
      <c r="K112" s="4"/>
      <c r="L112" s="4"/>
      <c r="M112" s="4" t="s">
        <v>153</v>
      </c>
      <c r="N112" s="4" t="s">
        <v>3456</v>
      </c>
      <c r="O112" s="4">
        <v>4</v>
      </c>
      <c r="P112" s="4">
        <v>5</v>
      </c>
      <c r="Q112" s="4" t="s">
        <v>44</v>
      </c>
      <c r="R112" s="4" t="s">
        <v>7</v>
      </c>
    </row>
    <row r="113" spans="1:18">
      <c r="A113" s="1">
        <v>1043</v>
      </c>
      <c r="B113" s="1" t="s">
        <v>2827</v>
      </c>
      <c r="C113" s="1" t="s">
        <v>1618</v>
      </c>
      <c r="D113" s="1">
        <v>3</v>
      </c>
      <c r="E113" s="1" t="s">
        <v>3083</v>
      </c>
      <c r="F113" s="1" t="s">
        <v>3084</v>
      </c>
      <c r="G113" s="1" t="s">
        <v>3066</v>
      </c>
      <c r="I113" s="1" t="s">
        <v>1692</v>
      </c>
      <c r="N113" s="1" t="s">
        <v>3456</v>
      </c>
      <c r="O113" s="1">
        <v>2</v>
      </c>
      <c r="P113" s="1">
        <v>2</v>
      </c>
      <c r="Q113" s="1" t="s">
        <v>29</v>
      </c>
      <c r="R113" s="1" t="s">
        <v>7</v>
      </c>
    </row>
    <row r="114" spans="1:18">
      <c r="A114" s="6">
        <v>1044</v>
      </c>
      <c r="B114" s="6" t="s">
        <v>2828</v>
      </c>
      <c r="C114" s="6" t="s">
        <v>1688</v>
      </c>
      <c r="D114" s="6">
        <v>3</v>
      </c>
      <c r="E114" s="6" t="s">
        <v>3083</v>
      </c>
      <c r="F114" s="6" t="s">
        <v>3084</v>
      </c>
      <c r="G114" s="6" t="s">
        <v>3058</v>
      </c>
      <c r="H114" s="6"/>
      <c r="I114" s="6" t="s">
        <v>1663</v>
      </c>
      <c r="J114" s="6" t="s">
        <v>1664</v>
      </c>
      <c r="K114" s="6"/>
      <c r="L114" s="6"/>
      <c r="M114" s="6" t="s">
        <v>491</v>
      </c>
      <c r="N114" s="6" t="s">
        <v>3456</v>
      </c>
      <c r="O114" s="6">
        <v>2</v>
      </c>
      <c r="P114" s="6">
        <v>2</v>
      </c>
      <c r="Q114" s="6"/>
      <c r="R114" s="6"/>
    </row>
    <row r="115" spans="1:18">
      <c r="A115" s="6">
        <v>1045</v>
      </c>
      <c r="B115" s="6" t="s">
        <v>2829</v>
      </c>
      <c r="C115" s="6" t="s">
        <v>1688</v>
      </c>
      <c r="D115" s="6">
        <v>3</v>
      </c>
      <c r="E115" s="6" t="s">
        <v>3087</v>
      </c>
      <c r="F115" s="6" t="s">
        <v>3089</v>
      </c>
      <c r="G115" s="6"/>
      <c r="H115" s="6"/>
      <c r="I115" s="6" t="s">
        <v>20</v>
      </c>
      <c r="J115" s="6" t="s">
        <v>1665</v>
      </c>
      <c r="K115" s="6"/>
      <c r="L115" s="6"/>
      <c r="M115" s="6" t="s">
        <v>491</v>
      </c>
      <c r="N115" s="6" t="s">
        <v>3456</v>
      </c>
      <c r="O115" s="6">
        <v>4</v>
      </c>
      <c r="P115" s="6">
        <v>3</v>
      </c>
      <c r="Q115" s="6" t="s">
        <v>183</v>
      </c>
      <c r="R115" s="6" t="s">
        <v>7</v>
      </c>
    </row>
    <row r="116" spans="1:18">
      <c r="A116" s="4">
        <v>1046</v>
      </c>
      <c r="B116" s="4" t="s">
        <v>2830</v>
      </c>
      <c r="C116" s="4" t="s">
        <v>1618</v>
      </c>
      <c r="D116" s="4">
        <v>3</v>
      </c>
      <c r="E116" s="4" t="s">
        <v>3083</v>
      </c>
      <c r="F116" s="4" t="s">
        <v>3084</v>
      </c>
      <c r="G116" s="4" t="s">
        <v>3075</v>
      </c>
      <c r="H116" s="4"/>
      <c r="I116" s="4" t="s">
        <v>1681</v>
      </c>
      <c r="J116" s="4" t="s">
        <v>198</v>
      </c>
      <c r="K116" s="4"/>
      <c r="L116" s="4"/>
      <c r="M116" s="4"/>
      <c r="N116" s="4" t="s">
        <v>3456</v>
      </c>
      <c r="O116" s="4">
        <v>2</v>
      </c>
      <c r="P116" s="4">
        <v>2</v>
      </c>
      <c r="Q116" s="4" t="s">
        <v>15</v>
      </c>
      <c r="R116" s="4" t="s">
        <v>7</v>
      </c>
    </row>
    <row r="117" spans="1:18">
      <c r="A117" s="1">
        <v>1047</v>
      </c>
      <c r="B117" s="1" t="s">
        <v>2831</v>
      </c>
      <c r="C117" s="1" t="s">
        <v>1618</v>
      </c>
      <c r="D117" s="1">
        <v>3</v>
      </c>
      <c r="E117" s="1" t="s">
        <v>3083</v>
      </c>
      <c r="F117" s="1" t="s">
        <v>3084</v>
      </c>
      <c r="G117" s="1" t="s">
        <v>3061</v>
      </c>
      <c r="I117" s="1" t="s">
        <v>1666</v>
      </c>
      <c r="N117" s="1" t="s">
        <v>3456</v>
      </c>
      <c r="O117" s="1">
        <v>2</v>
      </c>
      <c r="P117" s="1">
        <v>2</v>
      </c>
      <c r="Q117" s="1" t="s">
        <v>169</v>
      </c>
      <c r="R117" s="1" t="s">
        <v>7</v>
      </c>
    </row>
    <row r="118" spans="1:18">
      <c r="A118" s="1">
        <v>2024</v>
      </c>
      <c r="B118" s="1" t="s">
        <v>2868</v>
      </c>
      <c r="C118" s="1" t="s">
        <v>1618</v>
      </c>
      <c r="D118" s="1">
        <v>3</v>
      </c>
      <c r="E118" s="1" t="s">
        <v>3087</v>
      </c>
      <c r="F118" s="1" t="s">
        <v>3084</v>
      </c>
      <c r="G118" s="1" t="s">
        <v>3071</v>
      </c>
      <c r="I118" s="1" t="s">
        <v>1760</v>
      </c>
      <c r="O118" s="1">
        <v>2</v>
      </c>
      <c r="P118" s="1">
        <v>3</v>
      </c>
      <c r="Q118" s="1" t="s">
        <v>172</v>
      </c>
      <c r="R118" s="1" t="s">
        <v>9</v>
      </c>
    </row>
    <row r="119" spans="1:18">
      <c r="A119" s="1">
        <v>2025</v>
      </c>
      <c r="B119" s="1" t="s">
        <v>2869</v>
      </c>
      <c r="C119" s="1" t="s">
        <v>1688</v>
      </c>
      <c r="D119" s="1">
        <v>3</v>
      </c>
      <c r="E119" s="1" t="s">
        <v>3087</v>
      </c>
      <c r="F119" s="1" t="s">
        <v>3084</v>
      </c>
      <c r="G119" s="1" t="s">
        <v>3058</v>
      </c>
      <c r="I119" s="1" t="s">
        <v>1718</v>
      </c>
      <c r="N119" s="1" t="s">
        <v>3456</v>
      </c>
      <c r="O119" s="1">
        <v>2</v>
      </c>
      <c r="P119" s="1">
        <v>2</v>
      </c>
      <c r="Q119" s="1" t="s">
        <v>175</v>
      </c>
      <c r="R119" s="1" t="s">
        <v>9</v>
      </c>
    </row>
    <row r="120" spans="1:18">
      <c r="A120" s="1">
        <v>2026</v>
      </c>
      <c r="B120" s="1" t="s">
        <v>2870</v>
      </c>
      <c r="C120" s="1" t="s">
        <v>1618</v>
      </c>
      <c r="D120" s="1">
        <v>3</v>
      </c>
      <c r="E120" s="1" t="s">
        <v>3083</v>
      </c>
      <c r="F120" s="1" t="s">
        <v>3084</v>
      </c>
      <c r="G120" s="1" t="s">
        <v>3066</v>
      </c>
      <c r="I120" s="1" t="s">
        <v>1719</v>
      </c>
      <c r="N120" s="1" t="s">
        <v>3456</v>
      </c>
      <c r="O120" s="1">
        <v>0</v>
      </c>
      <c r="P120" s="1">
        <v>1</v>
      </c>
      <c r="Q120" s="1" t="s">
        <v>52</v>
      </c>
      <c r="R120" s="1" t="s">
        <v>9</v>
      </c>
    </row>
    <row r="121" spans="1:18">
      <c r="A121" s="9">
        <v>2027</v>
      </c>
      <c r="B121" s="9" t="s">
        <v>2871</v>
      </c>
      <c r="C121" s="9" t="s">
        <v>1618</v>
      </c>
      <c r="D121" s="9">
        <v>3</v>
      </c>
      <c r="E121" s="9" t="s">
        <v>3083</v>
      </c>
      <c r="F121" s="9" t="s">
        <v>3084</v>
      </c>
      <c r="G121" s="9" t="s">
        <v>3064</v>
      </c>
      <c r="H121" s="9"/>
      <c r="I121" s="9" t="s">
        <v>1720</v>
      </c>
      <c r="J121" s="9"/>
      <c r="K121" s="9"/>
      <c r="L121" s="9"/>
      <c r="M121" s="9"/>
      <c r="N121" s="9" t="s">
        <v>3456</v>
      </c>
      <c r="O121" s="9">
        <v>3</v>
      </c>
      <c r="P121" s="9">
        <v>2</v>
      </c>
      <c r="Q121" s="9" t="s">
        <v>39</v>
      </c>
      <c r="R121" s="9" t="s">
        <v>9</v>
      </c>
    </row>
    <row r="122" spans="1:18">
      <c r="A122" s="1">
        <v>2028</v>
      </c>
      <c r="B122" s="1" t="s">
        <v>2872</v>
      </c>
      <c r="C122" s="1" t="s">
        <v>1618</v>
      </c>
      <c r="D122" s="1">
        <v>3</v>
      </c>
      <c r="E122" s="1" t="s">
        <v>3083</v>
      </c>
      <c r="F122" s="1" t="s">
        <v>3084</v>
      </c>
      <c r="G122" s="1" t="s">
        <v>3059</v>
      </c>
      <c r="I122" s="1" t="s">
        <v>1761</v>
      </c>
      <c r="N122" s="1" t="s">
        <v>3456</v>
      </c>
      <c r="O122" s="1">
        <v>2</v>
      </c>
      <c r="P122" s="1">
        <v>3</v>
      </c>
      <c r="Q122" s="1" t="s">
        <v>45</v>
      </c>
      <c r="R122" s="1" t="s">
        <v>9</v>
      </c>
    </row>
    <row r="123" spans="1:18">
      <c r="A123" s="1">
        <v>2029</v>
      </c>
      <c r="B123" s="1" t="s">
        <v>2873</v>
      </c>
      <c r="C123" s="1" t="s">
        <v>1688</v>
      </c>
      <c r="D123" s="1">
        <v>3</v>
      </c>
      <c r="E123" s="1" t="s">
        <v>3083</v>
      </c>
      <c r="F123" s="1" t="s">
        <v>3084</v>
      </c>
      <c r="G123" s="1" t="s">
        <v>3055</v>
      </c>
      <c r="I123" s="1" t="s">
        <v>1721</v>
      </c>
      <c r="J123" s="1" t="s">
        <v>1722</v>
      </c>
      <c r="N123" s="1" t="s">
        <v>3150</v>
      </c>
      <c r="O123" s="1">
        <v>1</v>
      </c>
      <c r="P123" s="1">
        <v>1</v>
      </c>
      <c r="Q123" s="1" t="s">
        <v>52</v>
      </c>
      <c r="R123" s="1" t="s">
        <v>9</v>
      </c>
    </row>
    <row r="124" spans="1:18">
      <c r="A124" s="1">
        <v>2030</v>
      </c>
      <c r="B124" s="1" t="s">
        <v>2874</v>
      </c>
      <c r="C124" s="1" t="s">
        <v>1618</v>
      </c>
      <c r="D124" s="1">
        <v>3</v>
      </c>
      <c r="E124" s="1" t="s">
        <v>3083</v>
      </c>
      <c r="F124" s="1" t="s">
        <v>3084</v>
      </c>
      <c r="G124" s="1" t="s">
        <v>3049</v>
      </c>
      <c r="I124" s="1" t="s">
        <v>1723</v>
      </c>
      <c r="J124" s="1" t="s">
        <v>1724</v>
      </c>
      <c r="N124" s="1" t="s">
        <v>3150</v>
      </c>
      <c r="O124" s="1">
        <v>3</v>
      </c>
      <c r="P124" s="1">
        <v>2</v>
      </c>
      <c r="Q124" s="1" t="s">
        <v>46</v>
      </c>
      <c r="R124" s="1" t="s">
        <v>9</v>
      </c>
    </row>
    <row r="125" spans="1:18">
      <c r="A125" s="1">
        <v>2031</v>
      </c>
      <c r="B125" s="1" t="s">
        <v>2875</v>
      </c>
      <c r="C125" s="1" t="s">
        <v>1618</v>
      </c>
      <c r="D125" s="1">
        <v>3</v>
      </c>
      <c r="E125" s="1" t="s">
        <v>3083</v>
      </c>
      <c r="F125" s="1" t="s">
        <v>3084</v>
      </c>
      <c r="G125" s="1" t="s">
        <v>3061</v>
      </c>
      <c r="I125" s="1" t="s">
        <v>1762</v>
      </c>
      <c r="N125" s="1" t="s">
        <v>3150</v>
      </c>
      <c r="O125" s="1">
        <v>1</v>
      </c>
      <c r="P125" s="1">
        <v>1</v>
      </c>
      <c r="Q125" s="1" t="s">
        <v>14</v>
      </c>
      <c r="R125" s="1" t="s">
        <v>9</v>
      </c>
    </row>
    <row r="126" spans="1:18">
      <c r="A126" s="1">
        <v>2032</v>
      </c>
      <c r="B126" s="1" t="s">
        <v>2876</v>
      </c>
      <c r="C126" s="1" t="s">
        <v>1618</v>
      </c>
      <c r="D126" s="1">
        <v>3</v>
      </c>
      <c r="E126" s="1" t="s">
        <v>3087</v>
      </c>
      <c r="F126" s="1" t="s">
        <v>3084</v>
      </c>
      <c r="G126" s="1" t="s">
        <v>3058</v>
      </c>
      <c r="I126" s="1" t="s">
        <v>1725</v>
      </c>
      <c r="N126" s="1" t="s">
        <v>3456</v>
      </c>
      <c r="O126" s="1">
        <v>1</v>
      </c>
      <c r="P126" s="1">
        <v>2</v>
      </c>
      <c r="Q126" s="1" t="s">
        <v>175</v>
      </c>
      <c r="R126" s="1" t="s">
        <v>9</v>
      </c>
    </row>
    <row r="127" spans="1:18">
      <c r="A127" s="8">
        <v>2033</v>
      </c>
      <c r="B127" s="8" t="s">
        <v>2877</v>
      </c>
      <c r="C127" s="8" t="s">
        <v>1618</v>
      </c>
      <c r="D127" s="8">
        <v>3</v>
      </c>
      <c r="E127" s="8" t="s">
        <v>3083</v>
      </c>
      <c r="F127" s="8" t="s">
        <v>3084</v>
      </c>
      <c r="G127" s="8" t="s">
        <v>3061</v>
      </c>
      <c r="H127" s="8" t="s">
        <v>3079</v>
      </c>
      <c r="I127" s="8" t="s">
        <v>1726</v>
      </c>
      <c r="J127" s="8" t="s">
        <v>3964</v>
      </c>
      <c r="K127" s="8"/>
      <c r="L127" s="8"/>
      <c r="M127" s="8" t="s">
        <v>153</v>
      </c>
      <c r="N127" s="8" t="s">
        <v>3456</v>
      </c>
      <c r="O127" s="8">
        <v>2</v>
      </c>
      <c r="P127" s="8">
        <v>2</v>
      </c>
      <c r="Q127" s="8"/>
      <c r="R127" s="8"/>
    </row>
    <row r="128" spans="1:18">
      <c r="A128" s="8">
        <v>2034</v>
      </c>
      <c r="B128" s="8" t="s">
        <v>2878</v>
      </c>
      <c r="C128" s="8" t="s">
        <v>3103</v>
      </c>
      <c r="D128" s="8">
        <v>3</v>
      </c>
      <c r="E128" s="8" t="s">
        <v>3083</v>
      </c>
      <c r="F128" s="8" t="s">
        <v>3079</v>
      </c>
      <c r="G128" s="8"/>
      <c r="H128" s="8"/>
      <c r="I128" s="8" t="s">
        <v>1745</v>
      </c>
      <c r="J128" s="8" t="s">
        <v>3978</v>
      </c>
      <c r="K128" s="8"/>
      <c r="L128" s="8"/>
      <c r="M128" s="8" t="s">
        <v>153</v>
      </c>
      <c r="N128" s="8" t="s">
        <v>3456</v>
      </c>
      <c r="O128" s="8">
        <v>4</v>
      </c>
      <c r="P128" s="8">
        <v>4</v>
      </c>
      <c r="Q128" s="8" t="s">
        <v>45</v>
      </c>
      <c r="R128" s="8" t="s">
        <v>9</v>
      </c>
    </row>
    <row r="129" spans="1:18">
      <c r="A129" s="1">
        <v>2035</v>
      </c>
      <c r="B129" s="9" t="s">
        <v>2879</v>
      </c>
      <c r="C129" s="9" t="s">
        <v>1618</v>
      </c>
      <c r="D129" s="9">
        <v>3</v>
      </c>
      <c r="E129" s="9" t="s">
        <v>3087</v>
      </c>
      <c r="F129" s="9" t="s">
        <v>3084</v>
      </c>
      <c r="G129" s="9" t="s">
        <v>3055</v>
      </c>
      <c r="H129" s="9"/>
      <c r="I129" s="9" t="s">
        <v>20</v>
      </c>
      <c r="J129" s="9" t="s">
        <v>1766</v>
      </c>
      <c r="K129" s="9"/>
      <c r="L129" s="9"/>
      <c r="M129" s="9"/>
      <c r="N129" s="9" t="s">
        <v>3456</v>
      </c>
      <c r="O129" s="9">
        <v>4</v>
      </c>
      <c r="P129" s="9">
        <v>2</v>
      </c>
      <c r="Q129" s="9" t="s">
        <v>53</v>
      </c>
      <c r="R129" s="9" t="s">
        <v>9</v>
      </c>
    </row>
    <row r="130" spans="1:18">
      <c r="A130" s="1">
        <v>2036</v>
      </c>
      <c r="B130" s="1" t="s">
        <v>2880</v>
      </c>
      <c r="C130" s="1" t="s">
        <v>1618</v>
      </c>
      <c r="D130" s="1">
        <v>3</v>
      </c>
      <c r="E130" s="1" t="s">
        <v>3087</v>
      </c>
      <c r="F130" s="1" t="s">
        <v>3084</v>
      </c>
      <c r="G130" s="1" t="s">
        <v>3075</v>
      </c>
      <c r="I130" s="1" t="s">
        <v>1727</v>
      </c>
      <c r="N130" s="1" t="s">
        <v>3456</v>
      </c>
      <c r="O130" s="1">
        <v>1</v>
      </c>
      <c r="P130" s="1">
        <v>2</v>
      </c>
      <c r="Q130" s="1" t="s">
        <v>179</v>
      </c>
      <c r="R130" s="1" t="s">
        <v>9</v>
      </c>
    </row>
    <row r="131" spans="1:18">
      <c r="A131" s="1">
        <v>2037</v>
      </c>
      <c r="B131" s="1" t="s">
        <v>2881</v>
      </c>
      <c r="C131" s="1" t="s">
        <v>1688</v>
      </c>
      <c r="D131" s="1">
        <v>3</v>
      </c>
      <c r="E131" s="1" t="s">
        <v>3083</v>
      </c>
      <c r="F131" s="1" t="s">
        <v>3084</v>
      </c>
      <c r="G131" s="1" t="s">
        <v>3066</v>
      </c>
      <c r="I131" s="1" t="s">
        <v>535</v>
      </c>
      <c r="N131" s="1" t="s">
        <v>3456</v>
      </c>
      <c r="O131" s="1">
        <v>0</v>
      </c>
      <c r="P131" s="1">
        <v>2</v>
      </c>
      <c r="Q131" s="1" t="s">
        <v>171</v>
      </c>
      <c r="R131" s="1" t="s">
        <v>9</v>
      </c>
    </row>
    <row r="132" spans="1:18">
      <c r="A132" s="1">
        <v>2038</v>
      </c>
      <c r="B132" s="1" t="s">
        <v>2882</v>
      </c>
      <c r="C132" s="1" t="s">
        <v>1618</v>
      </c>
      <c r="D132" s="1">
        <v>3</v>
      </c>
      <c r="E132" s="1" t="s">
        <v>3087</v>
      </c>
      <c r="F132" s="1" t="s">
        <v>3084</v>
      </c>
      <c r="G132" s="1" t="s">
        <v>3056</v>
      </c>
      <c r="I132" s="1" t="s">
        <v>1728</v>
      </c>
      <c r="J132" s="1" t="s">
        <v>323</v>
      </c>
      <c r="K132" s="1" t="s">
        <v>1729</v>
      </c>
      <c r="N132" s="1" t="s">
        <v>3456</v>
      </c>
      <c r="O132" s="1">
        <v>2</v>
      </c>
      <c r="P132" s="1">
        <v>1</v>
      </c>
      <c r="Q132" s="1" t="s">
        <v>183</v>
      </c>
      <c r="R132" s="1" t="s">
        <v>9</v>
      </c>
    </row>
    <row r="133" spans="1:18">
      <c r="A133" s="1">
        <v>2039</v>
      </c>
      <c r="B133" s="1" t="s">
        <v>2883</v>
      </c>
      <c r="C133" s="1" t="s">
        <v>1618</v>
      </c>
      <c r="D133" s="1">
        <v>3</v>
      </c>
      <c r="E133" s="1" t="s">
        <v>3083</v>
      </c>
      <c r="F133" s="1" t="s">
        <v>3084</v>
      </c>
      <c r="G133" s="1" t="s">
        <v>3075</v>
      </c>
      <c r="I133" s="1" t="s">
        <v>1730</v>
      </c>
      <c r="N133" s="1" t="s">
        <v>3456</v>
      </c>
      <c r="O133" s="1">
        <v>1</v>
      </c>
      <c r="P133" s="1">
        <v>1</v>
      </c>
      <c r="Q133" s="1" t="s">
        <v>6</v>
      </c>
      <c r="R133" s="1" t="s">
        <v>9</v>
      </c>
    </row>
    <row r="134" spans="1:18">
      <c r="A134" s="1">
        <v>3002</v>
      </c>
      <c r="B134" s="1" t="s">
        <v>2895</v>
      </c>
      <c r="C134" s="1" t="s">
        <v>1618</v>
      </c>
      <c r="D134" s="1">
        <v>3</v>
      </c>
      <c r="E134" s="1" t="s">
        <v>3083</v>
      </c>
      <c r="F134" s="1" t="s">
        <v>3084</v>
      </c>
      <c r="G134" s="1" t="s">
        <v>3075</v>
      </c>
      <c r="I134" s="1" t="s">
        <v>1767</v>
      </c>
      <c r="J134" s="1" t="s">
        <v>1770</v>
      </c>
      <c r="N134" s="1" t="s">
        <v>3456</v>
      </c>
      <c r="O134" s="1">
        <v>2</v>
      </c>
      <c r="P134" s="1">
        <v>3</v>
      </c>
      <c r="Q134" s="1" t="s">
        <v>32</v>
      </c>
      <c r="R134" s="1" t="s">
        <v>41</v>
      </c>
    </row>
    <row r="135" spans="1:18">
      <c r="A135" s="3">
        <v>46</v>
      </c>
      <c r="B135" s="3" t="s">
        <v>2768</v>
      </c>
      <c r="C135" s="3" t="s">
        <v>1620</v>
      </c>
      <c r="D135" s="3">
        <v>4</v>
      </c>
      <c r="E135" s="3" t="s">
        <v>3083</v>
      </c>
      <c r="F135" s="3" t="s">
        <v>3084</v>
      </c>
      <c r="G135" s="3" t="s">
        <v>3058</v>
      </c>
      <c r="H135" s="3"/>
      <c r="I135" s="3"/>
      <c r="J135" s="3"/>
      <c r="K135" s="3"/>
      <c r="L135" s="3"/>
      <c r="M135" s="3"/>
      <c r="N135" s="14" t="s">
        <v>3456</v>
      </c>
      <c r="O135" s="3">
        <v>4</v>
      </c>
      <c r="P135" s="3">
        <v>3</v>
      </c>
      <c r="Q135" s="3" t="s">
        <v>171</v>
      </c>
      <c r="R135" s="3" t="s">
        <v>4</v>
      </c>
    </row>
    <row r="136" spans="1:18">
      <c r="A136" s="3">
        <v>47</v>
      </c>
      <c r="B136" s="1" t="s">
        <v>2769</v>
      </c>
      <c r="C136" s="1" t="s">
        <v>1620</v>
      </c>
      <c r="D136" s="1">
        <v>4</v>
      </c>
      <c r="E136" s="1" t="s">
        <v>3083</v>
      </c>
      <c r="F136" s="1" t="s">
        <v>3084</v>
      </c>
      <c r="G136" s="1" t="s">
        <v>3057</v>
      </c>
      <c r="I136" s="1" t="s">
        <v>1605</v>
      </c>
      <c r="N136" s="2" t="s">
        <v>3150</v>
      </c>
      <c r="O136" s="1">
        <v>3</v>
      </c>
      <c r="P136" s="1">
        <v>2</v>
      </c>
      <c r="Q136" s="1" t="s">
        <v>11</v>
      </c>
      <c r="R136" s="1" t="s">
        <v>4</v>
      </c>
    </row>
    <row r="137" spans="1:18">
      <c r="A137" s="6">
        <v>48</v>
      </c>
      <c r="B137" s="6" t="s">
        <v>2770</v>
      </c>
      <c r="C137" s="6" t="s">
        <v>1620</v>
      </c>
      <c r="D137" s="6">
        <v>4</v>
      </c>
      <c r="E137" s="6" t="s">
        <v>3083</v>
      </c>
      <c r="F137" s="6" t="s">
        <v>3084</v>
      </c>
      <c r="G137" s="6" t="s">
        <v>3054</v>
      </c>
      <c r="H137" s="6"/>
      <c r="I137" s="6" t="s">
        <v>1588</v>
      </c>
      <c r="J137" s="6"/>
      <c r="K137" s="6"/>
      <c r="L137" s="6"/>
      <c r="M137" s="6"/>
      <c r="N137" s="7" t="s">
        <v>3456</v>
      </c>
      <c r="O137" s="6">
        <v>2</v>
      </c>
      <c r="P137" s="6">
        <v>4</v>
      </c>
      <c r="Q137" s="6" t="s">
        <v>36</v>
      </c>
      <c r="R137" s="6" t="s">
        <v>4</v>
      </c>
    </row>
    <row r="138" spans="1:18">
      <c r="A138" s="6">
        <v>49</v>
      </c>
      <c r="B138" s="6" t="s">
        <v>2771</v>
      </c>
      <c r="C138" s="6" t="s">
        <v>1620</v>
      </c>
      <c r="D138" s="6">
        <v>4</v>
      </c>
      <c r="E138" s="6" t="s">
        <v>3083</v>
      </c>
      <c r="F138" s="6" t="s">
        <v>3084</v>
      </c>
      <c r="G138" s="6" t="s">
        <v>3055</v>
      </c>
      <c r="H138" s="6" t="s">
        <v>3079</v>
      </c>
      <c r="I138" s="6" t="s">
        <v>3965</v>
      </c>
      <c r="J138" s="6"/>
      <c r="K138" s="6"/>
      <c r="L138" s="6"/>
      <c r="M138" s="6" t="s">
        <v>153</v>
      </c>
      <c r="N138" s="7" t="s">
        <v>3456</v>
      </c>
      <c r="O138" s="6">
        <v>3</v>
      </c>
      <c r="P138" s="6">
        <v>4</v>
      </c>
      <c r="Q138" s="6"/>
      <c r="R138" s="6"/>
    </row>
    <row r="139" spans="1:18">
      <c r="A139" s="6">
        <v>50</v>
      </c>
      <c r="B139" s="6" t="s">
        <v>2772</v>
      </c>
      <c r="C139" s="6" t="s">
        <v>3103</v>
      </c>
      <c r="D139" s="6">
        <v>4</v>
      </c>
      <c r="E139" s="6" t="s">
        <v>3083</v>
      </c>
      <c r="F139" s="6" t="s">
        <v>3079</v>
      </c>
      <c r="G139" s="6"/>
      <c r="H139" s="6"/>
      <c r="I139" s="6" t="s">
        <v>3979</v>
      </c>
      <c r="J139" s="6"/>
      <c r="K139" s="6"/>
      <c r="L139" s="6"/>
      <c r="M139" s="6" t="s">
        <v>153</v>
      </c>
      <c r="N139" s="7" t="s">
        <v>3456</v>
      </c>
      <c r="O139" s="6">
        <v>5</v>
      </c>
      <c r="P139" s="6">
        <v>6</v>
      </c>
      <c r="Q139" s="6" t="s">
        <v>46</v>
      </c>
      <c r="R139" s="6" t="s">
        <v>4</v>
      </c>
    </row>
    <row r="140" spans="1:18">
      <c r="A140" s="3">
        <v>51</v>
      </c>
      <c r="B140" s="3" t="s">
        <v>2773</v>
      </c>
      <c r="C140" s="3" t="s">
        <v>1620</v>
      </c>
      <c r="D140" s="3">
        <v>4</v>
      </c>
      <c r="E140" s="3" t="s">
        <v>3083</v>
      </c>
      <c r="F140" s="3" t="s">
        <v>3084</v>
      </c>
      <c r="G140" s="3" t="s">
        <v>3049</v>
      </c>
      <c r="H140" s="3"/>
      <c r="I140" s="3" t="s">
        <v>20</v>
      </c>
      <c r="J140" s="3" t="s">
        <v>1589</v>
      </c>
      <c r="K140" s="3"/>
      <c r="L140" s="3"/>
      <c r="M140" s="3"/>
      <c r="N140" s="14" t="s">
        <v>3150</v>
      </c>
      <c r="O140" s="3">
        <v>3</v>
      </c>
      <c r="P140" s="3">
        <v>3</v>
      </c>
      <c r="Q140" s="3" t="s">
        <v>46</v>
      </c>
      <c r="R140" s="3" t="s">
        <v>4</v>
      </c>
    </row>
    <row r="141" spans="1:18">
      <c r="A141" s="6">
        <v>52</v>
      </c>
      <c r="B141" s="6" t="s">
        <v>2774</v>
      </c>
      <c r="C141" s="6" t="s">
        <v>1620</v>
      </c>
      <c r="D141" s="6">
        <v>4</v>
      </c>
      <c r="E141" s="6" t="s">
        <v>3083</v>
      </c>
      <c r="F141" s="6" t="s">
        <v>3084</v>
      </c>
      <c r="G141" s="6" t="s">
        <v>3055</v>
      </c>
      <c r="H141" s="6" t="s">
        <v>3060</v>
      </c>
      <c r="I141" s="6" t="s">
        <v>20</v>
      </c>
      <c r="J141" s="6" t="s">
        <v>1590</v>
      </c>
      <c r="K141" s="6"/>
      <c r="L141" s="6"/>
      <c r="M141" s="6"/>
      <c r="N141" s="7" t="s">
        <v>3150</v>
      </c>
      <c r="O141" s="6">
        <v>2</v>
      </c>
      <c r="P141" s="6">
        <v>2</v>
      </c>
      <c r="Q141" s="6" t="s">
        <v>604</v>
      </c>
      <c r="R141" s="6" t="s">
        <v>4</v>
      </c>
    </row>
    <row r="142" spans="1:18">
      <c r="A142" s="4">
        <v>53</v>
      </c>
      <c r="B142" s="4" t="s">
        <v>2775</v>
      </c>
      <c r="C142" s="4" t="s">
        <v>1620</v>
      </c>
      <c r="D142" s="4">
        <v>4</v>
      </c>
      <c r="E142" s="4" t="s">
        <v>3083</v>
      </c>
      <c r="F142" s="4" t="s">
        <v>3084</v>
      </c>
      <c r="G142" s="4" t="s">
        <v>3055</v>
      </c>
      <c r="H142" s="4"/>
      <c r="I142" s="4" t="s">
        <v>1591</v>
      </c>
      <c r="J142" s="4"/>
      <c r="K142" s="4"/>
      <c r="L142" s="4"/>
      <c r="M142" s="4"/>
      <c r="N142" s="5" t="s">
        <v>3150</v>
      </c>
      <c r="O142" s="4">
        <v>2</v>
      </c>
      <c r="P142" s="4">
        <v>1</v>
      </c>
      <c r="Q142" s="4" t="s">
        <v>40</v>
      </c>
      <c r="R142" s="1" t="s">
        <v>4</v>
      </c>
    </row>
    <row r="143" spans="1:18">
      <c r="A143" s="3">
        <v>54</v>
      </c>
      <c r="B143" s="1" t="s">
        <v>2776</v>
      </c>
      <c r="C143" s="1" t="s">
        <v>1621</v>
      </c>
      <c r="D143" s="1">
        <v>4</v>
      </c>
      <c r="E143" s="1" t="s">
        <v>3083</v>
      </c>
      <c r="F143" s="1" t="s">
        <v>3084</v>
      </c>
      <c r="G143" s="1" t="s">
        <v>3066</v>
      </c>
      <c r="I143" s="1" t="s">
        <v>1592</v>
      </c>
      <c r="J143" s="1" t="s">
        <v>1593</v>
      </c>
      <c r="N143" s="2" t="s">
        <v>3150</v>
      </c>
      <c r="O143" s="1">
        <v>1</v>
      </c>
      <c r="P143" s="1">
        <v>1</v>
      </c>
      <c r="Q143" s="1" t="s">
        <v>8</v>
      </c>
      <c r="R143" s="1" t="s">
        <v>4</v>
      </c>
    </row>
    <row r="144" spans="1:18">
      <c r="A144" s="3">
        <v>55</v>
      </c>
      <c r="B144" s="1" t="s">
        <v>2777</v>
      </c>
      <c r="C144" s="1" t="s">
        <v>1620</v>
      </c>
      <c r="D144" s="1">
        <v>4</v>
      </c>
      <c r="E144" s="1" t="s">
        <v>3083</v>
      </c>
      <c r="F144" s="1" t="s">
        <v>3084</v>
      </c>
      <c r="G144" s="1" t="s">
        <v>3049</v>
      </c>
      <c r="I144" s="1" t="s">
        <v>1594</v>
      </c>
      <c r="N144" s="2" t="s">
        <v>3150</v>
      </c>
      <c r="O144" s="1">
        <v>2</v>
      </c>
      <c r="P144" s="1">
        <v>3</v>
      </c>
      <c r="Q144" s="1" t="s">
        <v>45</v>
      </c>
      <c r="R144" s="1" t="s">
        <v>4</v>
      </c>
    </row>
    <row r="145" spans="1:19">
      <c r="A145" s="3">
        <v>56</v>
      </c>
      <c r="B145" s="1" t="s">
        <v>2778</v>
      </c>
      <c r="C145" s="1" t="s">
        <v>1620</v>
      </c>
      <c r="D145" s="1">
        <v>4</v>
      </c>
      <c r="E145" s="1" t="s">
        <v>3083</v>
      </c>
      <c r="F145" s="1" t="s">
        <v>3084</v>
      </c>
      <c r="G145" s="1" t="s">
        <v>3055</v>
      </c>
      <c r="I145" s="1" t="s">
        <v>1595</v>
      </c>
      <c r="N145" s="2" t="s">
        <v>3456</v>
      </c>
      <c r="O145" s="1">
        <v>2</v>
      </c>
      <c r="P145" s="1">
        <v>2</v>
      </c>
      <c r="Q145" s="1" t="s">
        <v>14</v>
      </c>
      <c r="R145" s="1" t="s">
        <v>4</v>
      </c>
    </row>
    <row r="146" spans="1:19">
      <c r="A146" s="3">
        <v>57</v>
      </c>
      <c r="B146" s="1" t="s">
        <v>2779</v>
      </c>
      <c r="C146" s="1" t="s">
        <v>1620</v>
      </c>
      <c r="D146" s="1">
        <v>4</v>
      </c>
      <c r="E146" s="1" t="s">
        <v>3083</v>
      </c>
      <c r="F146" s="1" t="s">
        <v>3084</v>
      </c>
      <c r="G146" s="1" t="s">
        <v>3055</v>
      </c>
      <c r="I146" s="1" t="s">
        <v>1596</v>
      </c>
      <c r="N146" s="2" t="s">
        <v>3456</v>
      </c>
      <c r="O146" s="1">
        <v>4</v>
      </c>
      <c r="P146" s="1">
        <v>3</v>
      </c>
      <c r="Q146" s="1" t="s">
        <v>39</v>
      </c>
      <c r="R146" s="1" t="s">
        <v>4</v>
      </c>
    </row>
    <row r="147" spans="1:19">
      <c r="A147" s="4">
        <v>1048</v>
      </c>
      <c r="B147" s="4" t="s">
        <v>2832</v>
      </c>
      <c r="C147" s="4" t="s">
        <v>1620</v>
      </c>
      <c r="D147" s="4">
        <v>4</v>
      </c>
      <c r="E147" s="4" t="s">
        <v>3083</v>
      </c>
      <c r="F147" s="4" t="s">
        <v>3084</v>
      </c>
      <c r="G147" s="4" t="s">
        <v>3055</v>
      </c>
      <c r="H147" s="4"/>
      <c r="I147" s="4" t="s">
        <v>1693</v>
      </c>
      <c r="J147" s="4"/>
      <c r="K147" s="4"/>
      <c r="L147" s="4"/>
      <c r="M147" s="4"/>
      <c r="N147" s="4"/>
      <c r="O147" s="4">
        <v>3</v>
      </c>
      <c r="P147" s="4">
        <v>3</v>
      </c>
      <c r="Q147" s="4" t="s">
        <v>28</v>
      </c>
      <c r="R147" s="1" t="s">
        <v>7</v>
      </c>
    </row>
    <row r="148" spans="1:19">
      <c r="A148" s="1">
        <v>1049</v>
      </c>
      <c r="B148" s="1" t="s">
        <v>2833</v>
      </c>
      <c r="C148" s="1" t="s">
        <v>1620</v>
      </c>
      <c r="D148" s="1">
        <v>4</v>
      </c>
      <c r="E148" s="1" t="s">
        <v>3083</v>
      </c>
      <c r="F148" s="1" t="s">
        <v>3084</v>
      </c>
      <c r="G148" s="1" t="s">
        <v>3055</v>
      </c>
      <c r="I148" s="1" t="s">
        <v>1667</v>
      </c>
      <c r="J148" s="1" t="s">
        <v>1668</v>
      </c>
      <c r="N148" s="1" t="s">
        <v>3150</v>
      </c>
      <c r="O148" s="1">
        <v>3</v>
      </c>
      <c r="P148" s="1">
        <v>3</v>
      </c>
      <c r="Q148" s="1" t="s">
        <v>46</v>
      </c>
      <c r="R148" s="1" t="s">
        <v>7</v>
      </c>
    </row>
    <row r="149" spans="1:19">
      <c r="A149" s="1">
        <v>1050</v>
      </c>
      <c r="B149" s="1" t="s">
        <v>2834</v>
      </c>
      <c r="C149" s="1" t="s">
        <v>1620</v>
      </c>
      <c r="D149" s="1">
        <v>4</v>
      </c>
      <c r="E149" s="1" t="s">
        <v>3083</v>
      </c>
      <c r="F149" s="1" t="s">
        <v>3084</v>
      </c>
      <c r="G149" s="1" t="s">
        <v>3066</v>
      </c>
      <c r="I149" s="1" t="s">
        <v>1669</v>
      </c>
      <c r="J149" s="1" t="s">
        <v>1694</v>
      </c>
      <c r="N149" s="1" t="s">
        <v>3456</v>
      </c>
      <c r="O149" s="1">
        <v>2</v>
      </c>
      <c r="P149" s="1">
        <v>2</v>
      </c>
      <c r="Q149" s="1" t="s">
        <v>172</v>
      </c>
      <c r="R149" s="1" t="s">
        <v>7</v>
      </c>
      <c r="S149" s="4"/>
    </row>
    <row r="150" spans="1:19">
      <c r="A150" s="8">
        <v>1051</v>
      </c>
      <c r="B150" s="8" t="s">
        <v>2835</v>
      </c>
      <c r="C150" s="8" t="s">
        <v>1620</v>
      </c>
      <c r="D150" s="8">
        <v>4</v>
      </c>
      <c r="E150" s="8" t="s">
        <v>3083</v>
      </c>
      <c r="F150" s="8" t="s">
        <v>3084</v>
      </c>
      <c r="G150" s="8" t="s">
        <v>3063</v>
      </c>
      <c r="H150" s="8"/>
      <c r="I150" s="8" t="s">
        <v>3819</v>
      </c>
      <c r="J150" s="8" t="s">
        <v>1670</v>
      </c>
      <c r="K150" s="8"/>
      <c r="L150" s="8"/>
      <c r="M150" s="8"/>
      <c r="N150" s="8" t="s">
        <v>3150</v>
      </c>
      <c r="O150" s="8">
        <v>1</v>
      </c>
      <c r="P150" s="8">
        <v>1</v>
      </c>
      <c r="Q150" s="8" t="s">
        <v>606</v>
      </c>
      <c r="R150" s="1" t="s">
        <v>7</v>
      </c>
    </row>
    <row r="151" spans="1:19">
      <c r="A151" s="1">
        <v>1052</v>
      </c>
      <c r="B151" s="1" t="s">
        <v>2836</v>
      </c>
      <c r="C151" s="1" t="s">
        <v>1620</v>
      </c>
      <c r="D151" s="1">
        <v>4</v>
      </c>
      <c r="E151" s="1" t="s">
        <v>3083</v>
      </c>
      <c r="F151" s="1" t="s">
        <v>3084</v>
      </c>
      <c r="G151" s="1" t="s">
        <v>3066</v>
      </c>
      <c r="H151" s="1" t="s">
        <v>3055</v>
      </c>
      <c r="I151" s="1" t="s">
        <v>1671</v>
      </c>
      <c r="J151" s="1" t="s">
        <v>293</v>
      </c>
      <c r="N151" s="1" t="s">
        <v>3456</v>
      </c>
      <c r="O151" s="1">
        <v>2</v>
      </c>
      <c r="P151" s="1">
        <v>2</v>
      </c>
      <c r="Q151" s="1" t="s">
        <v>15</v>
      </c>
      <c r="R151" s="1" t="s">
        <v>7</v>
      </c>
    </row>
    <row r="152" spans="1:19">
      <c r="A152" s="1">
        <v>1053</v>
      </c>
      <c r="B152" s="1" t="s">
        <v>2837</v>
      </c>
      <c r="C152" s="1" t="s">
        <v>1621</v>
      </c>
      <c r="D152" s="1">
        <v>4</v>
      </c>
      <c r="E152" s="1" t="s">
        <v>3083</v>
      </c>
      <c r="F152" s="1" t="s">
        <v>3084</v>
      </c>
      <c r="G152" s="1" t="s">
        <v>3075</v>
      </c>
      <c r="I152" s="1" t="s">
        <v>23</v>
      </c>
      <c r="J152" s="1" t="s">
        <v>1672</v>
      </c>
      <c r="N152" s="1" t="s">
        <v>3456</v>
      </c>
      <c r="O152" s="1">
        <v>2</v>
      </c>
      <c r="P152" s="1">
        <v>4</v>
      </c>
      <c r="Q152" s="1" t="s">
        <v>32</v>
      </c>
      <c r="R152" s="1" t="s">
        <v>7</v>
      </c>
    </row>
    <row r="153" spans="1:19">
      <c r="A153" s="6">
        <v>1054</v>
      </c>
      <c r="B153" s="6" t="s">
        <v>2838</v>
      </c>
      <c r="C153" s="6" t="s">
        <v>1621</v>
      </c>
      <c r="D153" s="6">
        <v>4</v>
      </c>
      <c r="E153" s="6" t="s">
        <v>3083</v>
      </c>
      <c r="F153" s="6" t="s">
        <v>3084</v>
      </c>
      <c r="G153" s="6" t="s">
        <v>3075</v>
      </c>
      <c r="H153" s="6" t="s">
        <v>3079</v>
      </c>
      <c r="I153" s="6" t="s">
        <v>3966</v>
      </c>
      <c r="J153" s="6"/>
      <c r="K153" s="6"/>
      <c r="L153" s="6"/>
      <c r="M153" s="6" t="s">
        <v>153</v>
      </c>
      <c r="N153" s="6" t="s">
        <v>3456</v>
      </c>
      <c r="O153" s="6">
        <v>3</v>
      </c>
      <c r="P153" s="6">
        <v>3</v>
      </c>
      <c r="Q153" s="6"/>
      <c r="R153" s="6"/>
    </row>
    <row r="154" spans="1:19">
      <c r="A154" s="6">
        <v>1055</v>
      </c>
      <c r="B154" s="6" t="s">
        <v>2839</v>
      </c>
      <c r="C154" s="6" t="s">
        <v>3103</v>
      </c>
      <c r="D154" s="6">
        <v>4</v>
      </c>
      <c r="E154" s="6" t="s">
        <v>3083</v>
      </c>
      <c r="F154" s="6" t="s">
        <v>3079</v>
      </c>
      <c r="G154" s="6"/>
      <c r="H154" s="6"/>
      <c r="I154" s="6" t="s">
        <v>1695</v>
      </c>
      <c r="J154" s="6" t="s">
        <v>3980</v>
      </c>
      <c r="K154" s="6"/>
      <c r="L154" s="6"/>
      <c r="M154" s="6" t="s">
        <v>153</v>
      </c>
      <c r="N154" s="6" t="s">
        <v>3456</v>
      </c>
      <c r="O154" s="6">
        <v>5</v>
      </c>
      <c r="P154" s="6">
        <v>5</v>
      </c>
      <c r="Q154" s="6" t="s">
        <v>45</v>
      </c>
      <c r="R154" s="6" t="s">
        <v>7</v>
      </c>
    </row>
    <row r="155" spans="1:19">
      <c r="A155" s="1">
        <v>1056</v>
      </c>
      <c r="B155" s="1" t="s">
        <v>2840</v>
      </c>
      <c r="C155" s="1" t="s">
        <v>1620</v>
      </c>
      <c r="D155" s="1">
        <v>4</v>
      </c>
      <c r="E155" s="1" t="s">
        <v>3083</v>
      </c>
      <c r="F155" s="1" t="s">
        <v>3084</v>
      </c>
      <c r="G155" s="1" t="s">
        <v>3066</v>
      </c>
      <c r="I155" s="1" t="s">
        <v>1696</v>
      </c>
      <c r="N155" s="1" t="s">
        <v>3456</v>
      </c>
      <c r="O155" s="1">
        <v>1</v>
      </c>
      <c r="P155" s="1">
        <v>4</v>
      </c>
      <c r="Q155" s="1" t="s">
        <v>14</v>
      </c>
      <c r="R155" s="1" t="s">
        <v>7</v>
      </c>
    </row>
    <row r="156" spans="1:19">
      <c r="A156" s="1">
        <v>1057</v>
      </c>
      <c r="B156" s="1" t="s">
        <v>2841</v>
      </c>
      <c r="C156" s="1" t="s">
        <v>1620</v>
      </c>
      <c r="D156" s="1">
        <v>4</v>
      </c>
      <c r="E156" s="1" t="s">
        <v>3083</v>
      </c>
      <c r="F156" s="1" t="s">
        <v>3084</v>
      </c>
      <c r="G156" s="1" t="s">
        <v>3055</v>
      </c>
      <c r="I156" s="1" t="s">
        <v>1673</v>
      </c>
      <c r="N156" s="1" t="s">
        <v>3456</v>
      </c>
      <c r="O156" s="1">
        <v>3</v>
      </c>
      <c r="P156" s="1">
        <v>3</v>
      </c>
      <c r="Q156" s="1" t="s">
        <v>53</v>
      </c>
      <c r="R156" s="1" t="s">
        <v>7</v>
      </c>
    </row>
    <row r="157" spans="1:19">
      <c r="A157" s="1">
        <v>2040</v>
      </c>
      <c r="B157" s="1" t="s">
        <v>2884</v>
      </c>
      <c r="C157" s="1" t="s">
        <v>1621</v>
      </c>
      <c r="D157" s="1">
        <v>4</v>
      </c>
      <c r="E157" s="1" t="s">
        <v>3087</v>
      </c>
      <c r="F157" s="1" t="s">
        <v>3084</v>
      </c>
      <c r="G157" s="1" t="s">
        <v>3058</v>
      </c>
      <c r="I157" s="1" t="s">
        <v>20</v>
      </c>
      <c r="J157" s="1" t="s">
        <v>1731</v>
      </c>
      <c r="N157" s="1" t="s">
        <v>3150</v>
      </c>
      <c r="O157" s="1">
        <v>5</v>
      </c>
      <c r="P157" s="1">
        <v>5</v>
      </c>
      <c r="Q157" s="1" t="s">
        <v>183</v>
      </c>
      <c r="R157" s="1" t="s">
        <v>9</v>
      </c>
    </row>
    <row r="158" spans="1:19">
      <c r="A158" s="1">
        <v>2041</v>
      </c>
      <c r="B158" s="1" t="s">
        <v>2885</v>
      </c>
      <c r="C158" s="1" t="s">
        <v>1621</v>
      </c>
      <c r="D158" s="1">
        <v>4</v>
      </c>
      <c r="E158" s="1" t="s">
        <v>3087</v>
      </c>
      <c r="F158" s="1" t="s">
        <v>3084</v>
      </c>
      <c r="G158" s="1" t="s">
        <v>3055</v>
      </c>
      <c r="I158" s="1" t="s">
        <v>1732</v>
      </c>
      <c r="N158" s="1" t="s">
        <v>3456</v>
      </c>
      <c r="O158" s="1">
        <v>5</v>
      </c>
      <c r="P158" s="1">
        <v>4</v>
      </c>
      <c r="Q158" s="1" t="s">
        <v>32</v>
      </c>
      <c r="R158" s="1" t="s">
        <v>9</v>
      </c>
    </row>
    <row r="159" spans="1:19">
      <c r="A159" s="1">
        <v>2042</v>
      </c>
      <c r="B159" s="1" t="s">
        <v>2886</v>
      </c>
      <c r="C159" s="1" t="s">
        <v>1620</v>
      </c>
      <c r="D159" s="1">
        <v>4</v>
      </c>
      <c r="E159" s="1" t="s">
        <v>3083</v>
      </c>
      <c r="F159" s="1" t="s">
        <v>3084</v>
      </c>
      <c r="G159" s="1" t="s">
        <v>3049</v>
      </c>
      <c r="I159" s="1" t="s">
        <v>1733</v>
      </c>
      <c r="N159" s="1" t="s">
        <v>3456</v>
      </c>
      <c r="O159" s="1">
        <v>4</v>
      </c>
      <c r="P159" s="1">
        <v>3</v>
      </c>
      <c r="Q159" s="1" t="s">
        <v>30</v>
      </c>
      <c r="R159" s="1" t="s">
        <v>9</v>
      </c>
    </row>
    <row r="160" spans="1:19">
      <c r="A160" s="1">
        <v>3003</v>
      </c>
      <c r="B160" s="1" t="s">
        <v>2896</v>
      </c>
      <c r="C160" s="1" t="s">
        <v>1621</v>
      </c>
      <c r="D160" s="1">
        <v>4</v>
      </c>
      <c r="E160" s="1" t="s">
        <v>3083</v>
      </c>
      <c r="F160" s="1" t="s">
        <v>3084</v>
      </c>
      <c r="G160" s="1" t="s">
        <v>3075</v>
      </c>
      <c r="I160" s="1" t="s">
        <v>1768</v>
      </c>
      <c r="J160" s="1" t="s">
        <v>1769</v>
      </c>
      <c r="N160" s="1" t="s">
        <v>3456</v>
      </c>
      <c r="O160" s="1">
        <v>3</v>
      </c>
      <c r="P160" s="1">
        <v>3</v>
      </c>
      <c r="Q160" s="1" t="s">
        <v>173</v>
      </c>
      <c r="R160" s="1" t="s">
        <v>41</v>
      </c>
      <c r="S160" s="4"/>
    </row>
    <row r="161" spans="1:19">
      <c r="A161" s="3">
        <v>58</v>
      </c>
      <c r="B161" s="1" t="s">
        <v>2780</v>
      </c>
      <c r="C161" s="1" t="s">
        <v>1622</v>
      </c>
      <c r="D161" s="1">
        <v>5</v>
      </c>
      <c r="E161" s="1" t="s">
        <v>3083</v>
      </c>
      <c r="F161" s="1" t="s">
        <v>3084</v>
      </c>
      <c r="G161" s="1" t="s">
        <v>3058</v>
      </c>
      <c r="I161" s="1" t="s">
        <v>1597</v>
      </c>
      <c r="N161" s="2" t="s">
        <v>3456</v>
      </c>
      <c r="O161" s="1">
        <v>4</v>
      </c>
      <c r="P161" s="1">
        <v>3</v>
      </c>
      <c r="Q161" s="1" t="s">
        <v>179</v>
      </c>
      <c r="R161" s="1" t="s">
        <v>4</v>
      </c>
    </row>
    <row r="162" spans="1:19">
      <c r="A162" s="6">
        <v>59</v>
      </c>
      <c r="B162" s="6" t="s">
        <v>2781</v>
      </c>
      <c r="C162" s="6" t="s">
        <v>1622</v>
      </c>
      <c r="D162" s="6">
        <v>5</v>
      </c>
      <c r="E162" s="6" t="s">
        <v>3083</v>
      </c>
      <c r="F162" s="6" t="s">
        <v>3084</v>
      </c>
      <c r="G162" s="6" t="s">
        <v>3079</v>
      </c>
      <c r="H162" s="6"/>
      <c r="I162" s="6" t="s">
        <v>3967</v>
      </c>
      <c r="J162" s="6"/>
      <c r="K162" s="6"/>
      <c r="L162" s="6"/>
      <c r="M162" s="6" t="s">
        <v>153</v>
      </c>
      <c r="N162" s="7" t="s">
        <v>3456</v>
      </c>
      <c r="O162" s="6">
        <v>4</v>
      </c>
      <c r="P162" s="6">
        <v>4</v>
      </c>
      <c r="Q162" s="6"/>
      <c r="R162" s="6"/>
      <c r="S162" s="3"/>
    </row>
    <row r="163" spans="1:19">
      <c r="A163" s="6">
        <v>60</v>
      </c>
      <c r="B163" s="6" t="s">
        <v>2782</v>
      </c>
      <c r="C163" s="6" t="s">
        <v>3103</v>
      </c>
      <c r="D163" s="6">
        <v>5</v>
      </c>
      <c r="E163" s="6" t="s">
        <v>3083</v>
      </c>
      <c r="F163" s="6" t="s">
        <v>3079</v>
      </c>
      <c r="G163" s="6"/>
      <c r="H163" s="6"/>
      <c r="I163" s="6" t="s">
        <v>3981</v>
      </c>
      <c r="J163" s="6"/>
      <c r="K163" s="6"/>
      <c r="L163" s="6"/>
      <c r="M163" s="6" t="s">
        <v>153</v>
      </c>
      <c r="N163" s="7" t="s">
        <v>3456</v>
      </c>
      <c r="O163" s="6">
        <v>7</v>
      </c>
      <c r="P163" s="6">
        <v>7</v>
      </c>
      <c r="Q163" s="6" t="s">
        <v>45</v>
      </c>
      <c r="R163" s="6" t="s">
        <v>4</v>
      </c>
      <c r="S163" s="3"/>
    </row>
    <row r="164" spans="1:19">
      <c r="A164" s="4">
        <v>61</v>
      </c>
      <c r="B164" s="4" t="s">
        <v>2783</v>
      </c>
      <c r="C164" s="4" t="s">
        <v>1622</v>
      </c>
      <c r="D164" s="4">
        <v>5</v>
      </c>
      <c r="E164" s="4" t="s">
        <v>3083</v>
      </c>
      <c r="F164" s="4" t="s">
        <v>3084</v>
      </c>
      <c r="G164" s="4" t="s">
        <v>3055</v>
      </c>
      <c r="H164" s="4"/>
      <c r="I164" s="4" t="s">
        <v>249</v>
      </c>
      <c r="J164" s="4" t="s">
        <v>1598</v>
      </c>
      <c r="K164" s="4"/>
      <c r="L164" s="4"/>
      <c r="M164" s="4"/>
      <c r="N164" s="5" t="s">
        <v>3150</v>
      </c>
      <c r="O164" s="4">
        <v>3</v>
      </c>
      <c r="P164" s="4">
        <v>5</v>
      </c>
      <c r="Q164" s="4" t="s">
        <v>52</v>
      </c>
      <c r="R164" s="3" t="s">
        <v>4</v>
      </c>
    </row>
    <row r="165" spans="1:19">
      <c r="A165" s="1">
        <v>1058</v>
      </c>
      <c r="B165" s="1" t="s">
        <v>2842</v>
      </c>
      <c r="C165" s="1" t="s">
        <v>1622</v>
      </c>
      <c r="D165" s="1">
        <v>5</v>
      </c>
      <c r="E165" s="1" t="s">
        <v>3083</v>
      </c>
      <c r="F165" s="1" t="s">
        <v>3084</v>
      </c>
      <c r="I165" s="1" t="s">
        <v>23</v>
      </c>
      <c r="J165" s="1" t="s">
        <v>1674</v>
      </c>
      <c r="N165" s="1" t="s">
        <v>3456</v>
      </c>
      <c r="O165" s="1">
        <v>4</v>
      </c>
      <c r="P165" s="1">
        <v>5</v>
      </c>
      <c r="Q165" s="1" t="s">
        <v>44</v>
      </c>
      <c r="R165" s="1" t="s">
        <v>7</v>
      </c>
    </row>
    <row r="166" spans="1:19">
      <c r="A166" s="8">
        <v>1059</v>
      </c>
      <c r="B166" s="8" t="s">
        <v>2843</v>
      </c>
      <c r="C166" s="8" t="s">
        <v>1622</v>
      </c>
      <c r="D166" s="8">
        <v>5</v>
      </c>
      <c r="E166" s="8" t="s">
        <v>3083</v>
      </c>
      <c r="F166" s="8" t="s">
        <v>3084</v>
      </c>
      <c r="G166" s="8" t="s">
        <v>3075</v>
      </c>
      <c r="H166" s="8"/>
      <c r="I166" s="8" t="s">
        <v>1675</v>
      </c>
      <c r="J166" s="8"/>
      <c r="K166" s="8"/>
      <c r="L166" s="8"/>
      <c r="M166" s="8"/>
      <c r="N166" s="8" t="s">
        <v>3456</v>
      </c>
      <c r="O166" s="8">
        <v>5</v>
      </c>
      <c r="P166" s="8">
        <v>4</v>
      </c>
      <c r="Q166" s="8" t="s">
        <v>46</v>
      </c>
      <c r="R166" s="8" t="s">
        <v>7</v>
      </c>
    </row>
    <row r="167" spans="1:19">
      <c r="A167" s="1">
        <v>1060</v>
      </c>
      <c r="B167" s="1" t="s">
        <v>2844</v>
      </c>
      <c r="C167" s="1" t="s">
        <v>1622</v>
      </c>
      <c r="D167" s="1">
        <v>5</v>
      </c>
      <c r="E167" s="1" t="s">
        <v>3083</v>
      </c>
      <c r="F167" s="1" t="s">
        <v>3084</v>
      </c>
      <c r="G167" s="1" t="s">
        <v>3055</v>
      </c>
      <c r="I167" s="1" t="s">
        <v>1676</v>
      </c>
      <c r="N167" s="1" t="s">
        <v>3456</v>
      </c>
      <c r="O167" s="1">
        <v>4</v>
      </c>
      <c r="P167" s="1">
        <v>4</v>
      </c>
      <c r="Q167" s="1" t="s">
        <v>176</v>
      </c>
      <c r="R167" s="1" t="s">
        <v>7</v>
      </c>
    </row>
    <row r="168" spans="1:19">
      <c r="A168" s="1">
        <v>2043</v>
      </c>
      <c r="B168" s="1" t="s">
        <v>2887</v>
      </c>
      <c r="C168" s="1" t="s">
        <v>1622</v>
      </c>
      <c r="D168" s="1">
        <v>5</v>
      </c>
      <c r="E168" s="1" t="s">
        <v>3083</v>
      </c>
      <c r="F168" s="1" t="s">
        <v>3084</v>
      </c>
      <c r="G168" s="1" t="s">
        <v>3071</v>
      </c>
      <c r="I168" s="1" t="s">
        <v>1734</v>
      </c>
      <c r="N168" s="1" t="s">
        <v>3456</v>
      </c>
      <c r="O168" s="1">
        <v>3</v>
      </c>
      <c r="P168" s="1">
        <v>4</v>
      </c>
      <c r="Q168" s="1" t="s">
        <v>45</v>
      </c>
      <c r="R168" s="1" t="s">
        <v>9</v>
      </c>
    </row>
    <row r="169" spans="1:19">
      <c r="A169" s="9">
        <v>2044</v>
      </c>
      <c r="B169" s="9" t="s">
        <v>2888</v>
      </c>
      <c r="C169" s="9" t="s">
        <v>1622</v>
      </c>
      <c r="D169" s="9">
        <v>5</v>
      </c>
      <c r="E169" s="9" t="s">
        <v>3083</v>
      </c>
      <c r="F169" s="9" t="s">
        <v>3084</v>
      </c>
      <c r="G169" s="9" t="s">
        <v>3075</v>
      </c>
      <c r="H169" s="9" t="s">
        <v>3079</v>
      </c>
      <c r="I169" s="9" t="s">
        <v>1735</v>
      </c>
      <c r="J169" s="9" t="s">
        <v>1736</v>
      </c>
      <c r="K169" s="9" t="s">
        <v>3968</v>
      </c>
      <c r="L169" s="9"/>
      <c r="M169" s="9" t="s">
        <v>153</v>
      </c>
      <c r="N169" s="9" t="s">
        <v>3150</v>
      </c>
      <c r="O169" s="9" t="s">
        <v>4048</v>
      </c>
      <c r="P169" s="9" t="s">
        <v>4048</v>
      </c>
      <c r="Q169" s="9"/>
      <c r="R169" s="9"/>
    </row>
    <row r="170" spans="1:19">
      <c r="A170" s="9">
        <v>2045</v>
      </c>
      <c r="B170" s="9" t="s">
        <v>2889</v>
      </c>
      <c r="C170" s="9" t="s">
        <v>3103</v>
      </c>
      <c r="D170" s="9">
        <v>5</v>
      </c>
      <c r="E170" s="9" t="s">
        <v>3083</v>
      </c>
      <c r="F170" s="9" t="s">
        <v>3079</v>
      </c>
      <c r="G170" s="9"/>
      <c r="H170" s="9"/>
      <c r="I170" s="9" t="s">
        <v>1737</v>
      </c>
      <c r="J170" s="9" t="s">
        <v>1738</v>
      </c>
      <c r="K170" s="9" t="s">
        <v>3982</v>
      </c>
      <c r="L170" s="9"/>
      <c r="M170" s="9" t="s">
        <v>153</v>
      </c>
      <c r="N170" s="9" t="s">
        <v>3456</v>
      </c>
      <c r="O170" s="9" t="s">
        <v>4048</v>
      </c>
      <c r="P170" s="9" t="s">
        <v>4048</v>
      </c>
      <c r="Q170" s="9" t="s">
        <v>46</v>
      </c>
      <c r="R170" s="9" t="s">
        <v>9</v>
      </c>
    </row>
    <row r="171" spans="1:19">
      <c r="A171" s="6">
        <v>2046</v>
      </c>
      <c r="B171" s="6" t="s">
        <v>2890</v>
      </c>
      <c r="C171" s="6" t="s">
        <v>1763</v>
      </c>
      <c r="D171" s="6">
        <v>5</v>
      </c>
      <c r="E171" s="6" t="s">
        <v>3087</v>
      </c>
      <c r="F171" s="6" t="s">
        <v>3084</v>
      </c>
      <c r="G171" s="6" t="s">
        <v>3055</v>
      </c>
      <c r="H171" s="6"/>
      <c r="I171" s="6" t="s">
        <v>1739</v>
      </c>
      <c r="J171" s="6"/>
      <c r="K171" s="6"/>
      <c r="L171" s="6"/>
      <c r="M171" s="6"/>
      <c r="N171" s="6" t="s">
        <v>3456</v>
      </c>
      <c r="O171" s="6">
        <v>4</v>
      </c>
      <c r="P171" s="6">
        <v>5</v>
      </c>
      <c r="Q171" s="6" t="s">
        <v>14</v>
      </c>
      <c r="R171" s="1" t="s">
        <v>9</v>
      </c>
    </row>
    <row r="172" spans="1:19">
      <c r="A172" s="6">
        <v>2047</v>
      </c>
      <c r="B172" s="6" t="s">
        <v>2891</v>
      </c>
      <c r="C172" s="6" t="s">
        <v>1763</v>
      </c>
      <c r="D172" s="6">
        <v>5</v>
      </c>
      <c r="E172" s="6" t="s">
        <v>3087</v>
      </c>
      <c r="F172" s="6" t="s">
        <v>3084</v>
      </c>
      <c r="G172" s="6" t="s">
        <v>3066</v>
      </c>
      <c r="H172" s="6"/>
      <c r="I172" s="6" t="s">
        <v>1740</v>
      </c>
      <c r="J172" s="6" t="s">
        <v>1741</v>
      </c>
      <c r="K172" s="6"/>
      <c r="L172" s="6"/>
      <c r="M172" s="6"/>
      <c r="N172" s="6" t="s">
        <v>3150</v>
      </c>
      <c r="O172" s="6">
        <v>4</v>
      </c>
      <c r="P172" s="6">
        <v>4</v>
      </c>
      <c r="Q172" s="6" t="s">
        <v>34</v>
      </c>
      <c r="R172" s="1" t="s">
        <v>9</v>
      </c>
    </row>
    <row r="173" spans="1:19">
      <c r="A173" s="8">
        <v>2048</v>
      </c>
      <c r="B173" s="8" t="s">
        <v>2892</v>
      </c>
      <c r="C173" s="8" t="s">
        <v>1764</v>
      </c>
      <c r="D173" s="8">
        <v>6</v>
      </c>
      <c r="E173" s="8" t="s">
        <v>3083</v>
      </c>
      <c r="F173" s="8" t="s">
        <v>3084</v>
      </c>
      <c r="G173" s="8" t="s">
        <v>3075</v>
      </c>
      <c r="H173" s="8"/>
      <c r="I173" s="8" t="s">
        <v>1742</v>
      </c>
      <c r="J173" s="8" t="s">
        <v>1743</v>
      </c>
      <c r="K173" s="8"/>
      <c r="L173" s="8"/>
      <c r="M173" s="8"/>
      <c r="N173" s="8" t="s">
        <v>3150</v>
      </c>
      <c r="O173" s="8">
        <v>4</v>
      </c>
      <c r="P173" s="8">
        <v>5</v>
      </c>
      <c r="Q173" s="8" t="s">
        <v>53</v>
      </c>
      <c r="R173" s="8" t="s">
        <v>9</v>
      </c>
    </row>
    <row r="174" spans="1:19">
      <c r="A174" s="4">
        <v>62</v>
      </c>
      <c r="B174" s="4" t="s">
        <v>2784</v>
      </c>
      <c r="C174" s="4" t="s">
        <v>1623</v>
      </c>
      <c r="D174" s="4">
        <v>7</v>
      </c>
      <c r="E174" s="4" t="s">
        <v>3083</v>
      </c>
      <c r="F174" s="4" t="s">
        <v>3084</v>
      </c>
      <c r="G174" s="4" t="s">
        <v>3063</v>
      </c>
      <c r="H174" s="4"/>
      <c r="I174" s="4" t="s">
        <v>1599</v>
      </c>
      <c r="J174" s="4" t="s">
        <v>1600</v>
      </c>
      <c r="K174" s="4"/>
      <c r="L174" s="4"/>
      <c r="M174" s="4"/>
      <c r="N174" s="5" t="s">
        <v>3150</v>
      </c>
      <c r="O174" s="4">
        <v>1</v>
      </c>
      <c r="P174" s="4">
        <v>1</v>
      </c>
      <c r="Q174" s="4" t="s">
        <v>606</v>
      </c>
      <c r="R174" s="3" t="s">
        <v>4</v>
      </c>
    </row>
    <row r="175" spans="1:19">
      <c r="A175" s="1">
        <v>2049</v>
      </c>
      <c r="B175" s="9" t="s">
        <v>2893</v>
      </c>
      <c r="C175" s="9" t="s">
        <v>1765</v>
      </c>
      <c r="D175" s="9">
        <v>8</v>
      </c>
      <c r="E175" s="9" t="s">
        <v>3083</v>
      </c>
      <c r="F175" s="9" t="s">
        <v>3084</v>
      </c>
      <c r="G175" s="9" t="s">
        <v>3075</v>
      </c>
      <c r="H175" s="9"/>
      <c r="I175" s="9" t="s">
        <v>1744</v>
      </c>
      <c r="J175" s="9"/>
      <c r="K175" s="9"/>
      <c r="L175" s="9"/>
      <c r="M175" s="9"/>
      <c r="N175" s="9" t="s">
        <v>3456</v>
      </c>
      <c r="O175" s="9">
        <v>1</v>
      </c>
      <c r="P175" s="9">
        <v>1</v>
      </c>
      <c r="Q175" s="9" t="s">
        <v>170</v>
      </c>
      <c r="R175" s="9" t="s">
        <v>9</v>
      </c>
      <c r="S175" s="4"/>
    </row>
  </sheetData>
  <autoFilter ref="A1:S176">
    <sortState ref="A2:S176">
      <sortCondition descending="1" ref="B1:B176"/>
    </sortState>
  </autoFilter>
  <sortState ref="A2:R175">
    <sortCondition ref="D2:D175"/>
    <sortCondition ref="A2:A175"/>
  </sortState>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283"/>
  <sheetViews>
    <sheetView zoomScale="70" zoomScaleNormal="70" workbookViewId="0">
      <selection sqref="A1:XFD1048576"/>
    </sheetView>
  </sheetViews>
  <sheetFormatPr defaultRowHeight="13.5"/>
  <cols>
    <col min="1" max="3" width="9" style="3"/>
    <col min="4" max="4" width="12.25" style="3" customWidth="1"/>
    <col min="5" max="15" width="9" style="3"/>
    <col min="16" max="16" width="6.25" style="3" bestFit="1" customWidth="1"/>
    <col min="17" max="17" width="6" style="3" bestFit="1" customWidth="1"/>
    <col min="18" max="16384" width="9" style="3"/>
  </cols>
  <sheetData>
    <row r="1" spans="1:24" s="1" customFormat="1">
      <c r="C1" s="1" t="s">
        <v>3151</v>
      </c>
      <c r="D1" s="1" t="s">
        <v>3152</v>
      </c>
      <c r="E1" s="1" t="s">
        <v>3160</v>
      </c>
      <c r="F1" s="1" t="s">
        <v>3153</v>
      </c>
      <c r="G1" s="1" t="s">
        <v>3154</v>
      </c>
      <c r="H1" s="1" t="s">
        <v>3155</v>
      </c>
      <c r="I1" s="1" t="s">
        <v>3156</v>
      </c>
      <c r="J1" s="1" t="s">
        <v>3157</v>
      </c>
      <c r="P1" s="64" t="s">
        <v>4051</v>
      </c>
      <c r="Q1" s="64" t="s">
        <v>4052</v>
      </c>
      <c r="R1" s="1" t="s">
        <v>3159</v>
      </c>
      <c r="U1" s="4" t="s">
        <v>3881</v>
      </c>
      <c r="V1" s="8" t="s">
        <v>3882</v>
      </c>
      <c r="W1" s="9" t="s">
        <v>3906</v>
      </c>
      <c r="X1" s="10" t="s">
        <v>3907</v>
      </c>
    </row>
    <row r="2" spans="1:24" ht="13.5" customHeight="1">
      <c r="A2" s="3">
        <v>11</v>
      </c>
      <c r="B2" s="14">
        <v>1</v>
      </c>
      <c r="C2" s="14" t="s">
        <v>2897</v>
      </c>
      <c r="D2" s="14" t="s">
        <v>1777</v>
      </c>
      <c r="E2" s="14">
        <v>2</v>
      </c>
      <c r="F2" s="14" t="s">
        <v>3083</v>
      </c>
      <c r="G2" s="14" t="s">
        <v>3084</v>
      </c>
      <c r="H2" s="14" t="s">
        <v>3051</v>
      </c>
      <c r="I2" s="14"/>
      <c r="J2" s="14" t="s">
        <v>12</v>
      </c>
      <c r="K2" s="14" t="s">
        <v>1774</v>
      </c>
      <c r="L2" s="14"/>
      <c r="M2" s="14"/>
      <c r="N2" s="14"/>
      <c r="O2" s="14"/>
      <c r="P2" s="14">
        <v>2</v>
      </c>
      <c r="Q2" s="70" t="s">
        <v>3569</v>
      </c>
      <c r="R2" s="14" t="s">
        <v>16</v>
      </c>
      <c r="S2" s="14" t="s">
        <v>4</v>
      </c>
    </row>
    <row r="3" spans="1:24" ht="13.5" customHeight="1">
      <c r="A3" s="3">
        <v>11</v>
      </c>
      <c r="B3" s="14">
        <v>2</v>
      </c>
      <c r="C3" s="14" t="s">
        <v>2898</v>
      </c>
      <c r="D3" s="14" t="s">
        <v>1777</v>
      </c>
      <c r="E3" s="14">
        <v>2</v>
      </c>
      <c r="F3" s="3" t="s">
        <v>3085</v>
      </c>
      <c r="G3" s="3" t="s">
        <v>3084</v>
      </c>
      <c r="H3" s="3" t="s">
        <v>3054</v>
      </c>
      <c r="J3" s="3" t="s">
        <v>13</v>
      </c>
      <c r="P3" s="3">
        <v>1</v>
      </c>
      <c r="Q3" s="60" t="s">
        <v>3527</v>
      </c>
      <c r="R3" s="3" t="s">
        <v>1776</v>
      </c>
      <c r="S3" s="3" t="s">
        <v>4</v>
      </c>
    </row>
    <row r="4" spans="1:24" ht="13.5" customHeight="1">
      <c r="A4" s="3">
        <v>11</v>
      </c>
      <c r="B4" s="14">
        <v>3</v>
      </c>
      <c r="C4" s="3" t="s">
        <v>2899</v>
      </c>
      <c r="D4" s="3" t="s">
        <v>1777</v>
      </c>
      <c r="E4" s="3">
        <v>2</v>
      </c>
      <c r="F4" s="3" t="s">
        <v>3083</v>
      </c>
      <c r="G4" s="3" t="s">
        <v>3084</v>
      </c>
      <c r="H4" s="3" t="s">
        <v>3071</v>
      </c>
      <c r="J4" s="3" t="s">
        <v>0</v>
      </c>
      <c r="K4" s="3" t="s">
        <v>871</v>
      </c>
      <c r="P4" s="3">
        <v>2</v>
      </c>
      <c r="Q4" s="60" t="s">
        <v>3533</v>
      </c>
      <c r="R4" s="3" t="s">
        <v>15</v>
      </c>
      <c r="S4" s="3" t="s">
        <v>4</v>
      </c>
    </row>
    <row r="5" spans="1:24" ht="13.5" customHeight="1">
      <c r="A5" s="4">
        <v>11</v>
      </c>
      <c r="B5" s="5">
        <v>4</v>
      </c>
      <c r="C5" s="4" t="s">
        <v>2900</v>
      </c>
      <c r="D5" s="4" t="s">
        <v>1779</v>
      </c>
      <c r="E5" s="4">
        <v>3</v>
      </c>
      <c r="F5" s="4" t="s">
        <v>3083</v>
      </c>
      <c r="G5" s="4" t="s">
        <v>3084</v>
      </c>
      <c r="H5" s="4" t="s">
        <v>3059</v>
      </c>
      <c r="I5" s="4"/>
      <c r="J5" s="4" t="s">
        <v>1780</v>
      </c>
      <c r="K5" s="4" t="s">
        <v>1775</v>
      </c>
      <c r="L5" s="4"/>
      <c r="M5" s="4"/>
      <c r="N5" s="4"/>
      <c r="O5" s="4"/>
      <c r="P5" s="4">
        <v>1</v>
      </c>
      <c r="Q5" s="19" t="s">
        <v>3533</v>
      </c>
      <c r="R5" s="3" t="s">
        <v>10</v>
      </c>
      <c r="S5" s="3" t="s">
        <v>4</v>
      </c>
    </row>
    <row r="6" spans="1:24" ht="13.5" customHeight="1">
      <c r="A6" s="3">
        <v>11</v>
      </c>
      <c r="B6" s="14">
        <v>5</v>
      </c>
      <c r="C6" s="3" t="s">
        <v>2901</v>
      </c>
      <c r="D6" s="3" t="s">
        <v>1778</v>
      </c>
      <c r="E6" s="3">
        <v>4</v>
      </c>
      <c r="F6" s="3" t="s">
        <v>3083</v>
      </c>
      <c r="G6" s="3" t="s">
        <v>3084</v>
      </c>
      <c r="H6" s="3" t="s">
        <v>3054</v>
      </c>
      <c r="J6" s="3" t="s">
        <v>3400</v>
      </c>
      <c r="K6" s="3" t="s">
        <v>23</v>
      </c>
      <c r="P6" s="3">
        <v>2</v>
      </c>
      <c r="Q6" s="60" t="s">
        <v>3522</v>
      </c>
      <c r="R6" s="3" t="s">
        <v>6</v>
      </c>
      <c r="S6" s="3" t="s">
        <v>4</v>
      </c>
    </row>
    <row r="7" spans="1:24" ht="13.5" customHeight="1">
      <c r="A7" s="6">
        <v>11</v>
      </c>
      <c r="B7" s="6">
        <v>18</v>
      </c>
      <c r="C7" s="6" t="s">
        <v>4102</v>
      </c>
      <c r="D7" s="6" t="s">
        <v>1777</v>
      </c>
      <c r="E7" s="6"/>
      <c r="F7" s="6" t="s">
        <v>3403</v>
      </c>
      <c r="G7" s="6"/>
      <c r="H7" s="6"/>
      <c r="I7" s="6"/>
      <c r="J7" s="6" t="s">
        <v>4103</v>
      </c>
      <c r="K7" s="6" t="s">
        <v>3768</v>
      </c>
      <c r="L7" s="6"/>
      <c r="M7" s="6"/>
      <c r="N7" s="6"/>
      <c r="O7" s="6"/>
      <c r="P7" s="6"/>
      <c r="Q7" s="6"/>
      <c r="R7" s="3" t="s">
        <v>15</v>
      </c>
      <c r="S7" s="3" t="s">
        <v>4</v>
      </c>
    </row>
    <row r="8" spans="1:24" ht="13.5" customHeight="1">
      <c r="A8" s="3">
        <v>11</v>
      </c>
      <c r="B8" s="3">
        <v>19</v>
      </c>
      <c r="C8" s="3" t="s">
        <v>4104</v>
      </c>
      <c r="D8" s="3" t="s">
        <v>1777</v>
      </c>
      <c r="F8" s="3" t="s">
        <v>3403</v>
      </c>
      <c r="J8" s="3" t="s">
        <v>4105</v>
      </c>
      <c r="R8" s="3" t="s">
        <v>6</v>
      </c>
      <c r="S8" s="3" t="s">
        <v>4</v>
      </c>
    </row>
    <row r="9" spans="1:24" ht="13.5" customHeight="1">
      <c r="A9" s="3">
        <v>11</v>
      </c>
      <c r="B9" s="3">
        <v>20</v>
      </c>
      <c r="C9" s="3" t="s">
        <v>4106</v>
      </c>
      <c r="D9" s="3" t="s">
        <v>4107</v>
      </c>
      <c r="F9" s="3" t="s">
        <v>3403</v>
      </c>
      <c r="J9" s="3" t="s">
        <v>4108</v>
      </c>
      <c r="R9" s="3" t="s">
        <v>10</v>
      </c>
      <c r="S9" s="3" t="s">
        <v>4</v>
      </c>
    </row>
    <row r="10" spans="1:24" ht="13.5" customHeight="1">
      <c r="A10" s="3">
        <v>11</v>
      </c>
      <c r="B10" s="3">
        <v>21</v>
      </c>
      <c r="C10" s="3" t="s">
        <v>4117</v>
      </c>
      <c r="D10" s="3" t="s">
        <v>4118</v>
      </c>
      <c r="F10" s="3" t="s">
        <v>3403</v>
      </c>
      <c r="J10" s="3" t="s">
        <v>4119</v>
      </c>
      <c r="R10" s="3" t="s">
        <v>3747</v>
      </c>
      <c r="S10" s="3" t="s">
        <v>4</v>
      </c>
    </row>
    <row r="11" spans="1:24" ht="13.5" customHeight="1">
      <c r="A11" s="3">
        <v>11</v>
      </c>
      <c r="B11" s="3">
        <v>22</v>
      </c>
      <c r="C11" s="3" t="s">
        <v>4120</v>
      </c>
      <c r="D11" s="3" t="s">
        <v>1777</v>
      </c>
      <c r="F11" s="3" t="s">
        <v>3399</v>
      </c>
      <c r="J11" s="3" t="s">
        <v>4121</v>
      </c>
      <c r="R11" s="3" t="s">
        <v>6</v>
      </c>
      <c r="S11" s="3" t="s">
        <v>4</v>
      </c>
    </row>
    <row r="12" spans="1:24" ht="13.5" customHeight="1">
      <c r="A12" s="3">
        <v>11</v>
      </c>
      <c r="B12" s="3">
        <v>23</v>
      </c>
      <c r="C12" s="3" t="s">
        <v>4122</v>
      </c>
      <c r="D12" s="3" t="s">
        <v>4118</v>
      </c>
      <c r="F12" s="3" t="s">
        <v>4123</v>
      </c>
      <c r="J12" s="3" t="s">
        <v>3401</v>
      </c>
      <c r="K12" s="3" t="s">
        <v>4124</v>
      </c>
      <c r="R12" s="3" t="s">
        <v>3747</v>
      </c>
      <c r="S12" s="3" t="s">
        <v>4</v>
      </c>
    </row>
    <row r="13" spans="1:24" ht="13.5" customHeight="1">
      <c r="A13" s="3">
        <v>11</v>
      </c>
      <c r="B13" s="3">
        <v>24</v>
      </c>
      <c r="C13" s="3" t="s">
        <v>4138</v>
      </c>
      <c r="D13" s="3" t="s">
        <v>1788</v>
      </c>
      <c r="F13" s="3" t="s">
        <v>3413</v>
      </c>
      <c r="J13" s="3" t="s">
        <v>4139</v>
      </c>
      <c r="K13" s="3" t="s">
        <v>4140</v>
      </c>
      <c r="L13" s="3" t="s">
        <v>4141</v>
      </c>
      <c r="R13" s="3" t="s">
        <v>1776</v>
      </c>
      <c r="S13" s="3" t="s">
        <v>4</v>
      </c>
    </row>
    <row r="14" spans="1:24" ht="13.5" customHeight="1">
      <c r="A14" s="3">
        <v>11</v>
      </c>
      <c r="B14" s="3">
        <v>25</v>
      </c>
      <c r="C14" s="3" t="s">
        <v>4144</v>
      </c>
      <c r="D14" s="3" t="s">
        <v>1788</v>
      </c>
      <c r="F14" s="3" t="s">
        <v>4123</v>
      </c>
      <c r="J14" s="3" t="s">
        <v>3401</v>
      </c>
      <c r="K14" s="3" t="s">
        <v>4145</v>
      </c>
      <c r="L14" s="3" t="s">
        <v>4146</v>
      </c>
      <c r="R14" s="3" t="s">
        <v>10</v>
      </c>
      <c r="S14" s="3" t="s">
        <v>4</v>
      </c>
    </row>
    <row r="15" spans="1:24" ht="13.5" customHeight="1">
      <c r="A15" s="3">
        <v>11</v>
      </c>
      <c r="B15" s="3">
        <v>26</v>
      </c>
      <c r="C15" s="3" t="s">
        <v>4154</v>
      </c>
      <c r="D15" s="3" t="s">
        <v>1779</v>
      </c>
      <c r="F15" s="3" t="s">
        <v>4123</v>
      </c>
      <c r="J15" s="3" t="s">
        <v>3401</v>
      </c>
      <c r="K15" s="3" t="s">
        <v>4155</v>
      </c>
      <c r="L15" s="3" t="s">
        <v>4156</v>
      </c>
      <c r="R15" s="3" t="s">
        <v>3747</v>
      </c>
      <c r="S15" s="3" t="s">
        <v>4</v>
      </c>
    </row>
    <row r="16" spans="1:24" ht="13.5" customHeight="1">
      <c r="A16" s="3">
        <v>11</v>
      </c>
      <c r="B16" s="3">
        <v>27</v>
      </c>
      <c r="C16" s="3" t="s">
        <v>4159</v>
      </c>
      <c r="D16" s="3" t="s">
        <v>1778</v>
      </c>
      <c r="F16" s="3" t="s">
        <v>3434</v>
      </c>
      <c r="J16" s="3" t="s">
        <v>4160</v>
      </c>
      <c r="K16" s="3" t="s">
        <v>4148</v>
      </c>
      <c r="R16" s="3" t="s">
        <v>1776</v>
      </c>
      <c r="S16" s="3" t="s">
        <v>4</v>
      </c>
    </row>
    <row r="17" spans="1:19" ht="13.5" customHeight="1">
      <c r="A17" s="3">
        <v>11</v>
      </c>
      <c r="B17" s="3">
        <v>28</v>
      </c>
      <c r="C17" s="3" t="s">
        <v>4184</v>
      </c>
      <c r="D17" s="3" t="s">
        <v>1778</v>
      </c>
      <c r="F17" s="3" t="s">
        <v>3403</v>
      </c>
      <c r="J17" s="3" t="s">
        <v>4185</v>
      </c>
      <c r="R17" s="3" t="s">
        <v>1776</v>
      </c>
      <c r="S17" s="3" t="s">
        <v>4</v>
      </c>
    </row>
    <row r="18" spans="1:19" ht="13.5" customHeight="1">
      <c r="A18" s="3">
        <v>11</v>
      </c>
      <c r="B18" s="3">
        <v>29</v>
      </c>
      <c r="C18" s="3" t="s">
        <v>4193</v>
      </c>
      <c r="D18" s="3" t="s">
        <v>4167</v>
      </c>
      <c r="F18" s="3" t="s">
        <v>3403</v>
      </c>
      <c r="J18" s="3" t="s">
        <v>4194</v>
      </c>
      <c r="K18" s="3" t="s">
        <v>4195</v>
      </c>
      <c r="R18" s="3" t="s">
        <v>3747</v>
      </c>
      <c r="S18" s="3" t="s">
        <v>4</v>
      </c>
    </row>
    <row r="19" spans="1:19">
      <c r="A19" s="3">
        <v>11</v>
      </c>
      <c r="B19" s="3">
        <v>1001</v>
      </c>
      <c r="C19" s="3" t="s">
        <v>2925</v>
      </c>
      <c r="D19" s="3" t="s">
        <v>1777</v>
      </c>
      <c r="E19" s="3">
        <v>2</v>
      </c>
      <c r="F19" s="3" t="s">
        <v>3083</v>
      </c>
      <c r="G19" s="3" t="s">
        <v>3084</v>
      </c>
      <c r="H19" s="3" t="s">
        <v>3050</v>
      </c>
      <c r="J19" s="3" t="s">
        <v>3913</v>
      </c>
      <c r="P19" s="3">
        <v>2</v>
      </c>
      <c r="Q19" s="60" t="s">
        <v>3569</v>
      </c>
      <c r="R19" s="3" t="s">
        <v>14</v>
      </c>
      <c r="S19" s="3" t="s">
        <v>7</v>
      </c>
    </row>
    <row r="20" spans="1:19">
      <c r="A20" s="3">
        <v>11</v>
      </c>
      <c r="B20" s="3">
        <v>1002</v>
      </c>
      <c r="C20" s="3" t="s">
        <v>2926</v>
      </c>
      <c r="D20" s="3" t="s">
        <v>1777</v>
      </c>
      <c r="E20" s="3">
        <v>2</v>
      </c>
      <c r="F20" s="3" t="s">
        <v>3083</v>
      </c>
      <c r="G20" s="3" t="s">
        <v>3084</v>
      </c>
      <c r="H20" s="3" t="s">
        <v>3051</v>
      </c>
      <c r="J20" s="3" t="s">
        <v>1790</v>
      </c>
      <c r="K20" s="3" t="s">
        <v>3914</v>
      </c>
      <c r="P20" s="3">
        <v>2</v>
      </c>
      <c r="Q20" s="60" t="s">
        <v>3569</v>
      </c>
      <c r="R20" s="3" t="s">
        <v>6</v>
      </c>
      <c r="S20" s="3" t="s">
        <v>7</v>
      </c>
    </row>
    <row r="21" spans="1:19">
      <c r="A21" s="3">
        <v>11</v>
      </c>
      <c r="B21" s="3">
        <v>1003</v>
      </c>
      <c r="C21" s="3" t="s">
        <v>2898</v>
      </c>
      <c r="D21" s="3" t="s">
        <v>1777</v>
      </c>
      <c r="E21" s="3">
        <v>2</v>
      </c>
      <c r="F21" s="3" t="s">
        <v>3085</v>
      </c>
      <c r="G21" s="3" t="s">
        <v>3084</v>
      </c>
      <c r="H21" s="3" t="s">
        <v>3054</v>
      </c>
      <c r="J21" s="3" t="s">
        <v>3734</v>
      </c>
      <c r="P21" s="3">
        <v>1</v>
      </c>
      <c r="Q21" s="60" t="s">
        <v>3527</v>
      </c>
      <c r="R21" s="3" t="s">
        <v>184</v>
      </c>
      <c r="S21" s="3" t="s">
        <v>7</v>
      </c>
    </row>
    <row r="22" spans="1:19">
      <c r="A22" s="3">
        <v>11</v>
      </c>
      <c r="B22" s="3">
        <v>1004</v>
      </c>
      <c r="C22" s="3" t="s">
        <v>2927</v>
      </c>
      <c r="D22" s="3" t="s">
        <v>1788</v>
      </c>
      <c r="E22" s="3">
        <v>3</v>
      </c>
      <c r="F22" s="3" t="s">
        <v>3083</v>
      </c>
      <c r="G22" s="3" t="s">
        <v>3084</v>
      </c>
      <c r="H22" s="3" t="s">
        <v>3053</v>
      </c>
      <c r="J22" s="3" t="s">
        <v>43</v>
      </c>
      <c r="K22" s="3" t="s">
        <v>1781</v>
      </c>
      <c r="P22" s="3">
        <v>1</v>
      </c>
      <c r="Q22" s="60" t="s">
        <v>3533</v>
      </c>
      <c r="R22" s="3" t="s">
        <v>18</v>
      </c>
      <c r="S22" s="3" t="s">
        <v>7</v>
      </c>
    </row>
    <row r="23" spans="1:19">
      <c r="A23" s="3">
        <v>11</v>
      </c>
      <c r="B23" s="3">
        <v>1005</v>
      </c>
      <c r="C23" s="3" t="s">
        <v>2928</v>
      </c>
      <c r="D23" s="3" t="s">
        <v>1788</v>
      </c>
      <c r="E23" s="3">
        <v>3</v>
      </c>
      <c r="F23" s="3" t="s">
        <v>3083</v>
      </c>
      <c r="G23" s="3" t="s">
        <v>3084</v>
      </c>
      <c r="H23" s="3" t="s">
        <v>3051</v>
      </c>
      <c r="J23" s="3" t="s">
        <v>1782</v>
      </c>
      <c r="P23" s="3">
        <v>2</v>
      </c>
      <c r="Q23" s="60" t="s">
        <v>3527</v>
      </c>
      <c r="R23" s="3" t="s">
        <v>37</v>
      </c>
      <c r="S23" s="3" t="s">
        <v>7</v>
      </c>
    </row>
    <row r="24" spans="1:19">
      <c r="A24" s="3">
        <v>11</v>
      </c>
      <c r="B24" s="3">
        <v>1006</v>
      </c>
      <c r="C24" s="3" t="s">
        <v>2929</v>
      </c>
      <c r="D24" s="3" t="s">
        <v>1788</v>
      </c>
      <c r="E24" s="3">
        <v>3</v>
      </c>
      <c r="F24" s="3" t="s">
        <v>3083</v>
      </c>
      <c r="G24" s="3" t="s">
        <v>3084</v>
      </c>
      <c r="H24" s="3" t="s">
        <v>3051</v>
      </c>
      <c r="J24" s="3" t="s">
        <v>1783</v>
      </c>
      <c r="P24" s="3">
        <v>1</v>
      </c>
      <c r="Q24" s="60" t="s">
        <v>3533</v>
      </c>
      <c r="R24" s="3" t="s">
        <v>10</v>
      </c>
      <c r="S24" s="3" t="s">
        <v>7</v>
      </c>
    </row>
    <row r="25" spans="1:19">
      <c r="A25" s="3">
        <v>11</v>
      </c>
      <c r="B25" s="3">
        <v>1007</v>
      </c>
      <c r="C25" s="3" t="s">
        <v>2930</v>
      </c>
      <c r="D25" s="3" t="s">
        <v>1788</v>
      </c>
      <c r="E25" s="3">
        <v>3</v>
      </c>
      <c r="F25" s="3" t="s">
        <v>3083</v>
      </c>
      <c r="G25" s="3" t="s">
        <v>3084</v>
      </c>
      <c r="H25" s="3" t="s">
        <v>3054</v>
      </c>
      <c r="J25" s="3" t="s">
        <v>1</v>
      </c>
      <c r="K25" s="3" t="s">
        <v>3915</v>
      </c>
      <c r="P25" s="3">
        <v>3</v>
      </c>
      <c r="Q25" s="60" t="s">
        <v>3533</v>
      </c>
      <c r="R25" s="3" t="s">
        <v>6</v>
      </c>
      <c r="S25" s="3" t="s">
        <v>7</v>
      </c>
    </row>
    <row r="26" spans="1:19">
      <c r="A26" s="3">
        <v>11</v>
      </c>
      <c r="B26" s="3">
        <v>1008</v>
      </c>
      <c r="C26" s="3" t="s">
        <v>2931</v>
      </c>
      <c r="D26" s="3" t="s">
        <v>1778</v>
      </c>
      <c r="E26" s="3">
        <v>4</v>
      </c>
      <c r="F26" s="3" t="s">
        <v>3083</v>
      </c>
      <c r="G26" s="3" t="s">
        <v>3084</v>
      </c>
      <c r="H26" s="3" t="s">
        <v>3050</v>
      </c>
      <c r="J26" s="3" t="s">
        <v>1</v>
      </c>
      <c r="K26" s="3" t="s">
        <v>1784</v>
      </c>
      <c r="P26" s="3">
        <v>3</v>
      </c>
      <c r="Q26" s="60" t="s">
        <v>3569</v>
      </c>
      <c r="R26" s="3" t="s">
        <v>35</v>
      </c>
      <c r="S26" s="3" t="s">
        <v>7</v>
      </c>
    </row>
    <row r="27" spans="1:19">
      <c r="A27" s="3">
        <v>11</v>
      </c>
      <c r="B27" s="3">
        <v>1009</v>
      </c>
      <c r="C27" s="3" t="s">
        <v>2932</v>
      </c>
      <c r="D27" s="3" t="s">
        <v>1789</v>
      </c>
      <c r="E27" s="3">
        <v>5</v>
      </c>
      <c r="F27" s="3" t="s">
        <v>3083</v>
      </c>
      <c r="G27" s="3" t="s">
        <v>3084</v>
      </c>
      <c r="H27" s="3" t="s">
        <v>3054</v>
      </c>
      <c r="J27" s="3" t="s">
        <v>1</v>
      </c>
      <c r="K27" s="3" t="s">
        <v>1785</v>
      </c>
      <c r="L27" s="3" t="s">
        <v>1786</v>
      </c>
      <c r="P27" s="3">
        <v>4</v>
      </c>
      <c r="Q27" s="60" t="s">
        <v>3527</v>
      </c>
      <c r="R27" s="3" t="s">
        <v>10</v>
      </c>
      <c r="S27" s="3" t="s">
        <v>7</v>
      </c>
    </row>
    <row r="28" spans="1:19">
      <c r="A28" s="3">
        <v>11</v>
      </c>
      <c r="B28" s="8">
        <v>1010</v>
      </c>
      <c r="C28" s="8" t="s">
        <v>2933</v>
      </c>
      <c r="D28" s="8" t="s">
        <v>1789</v>
      </c>
      <c r="E28" s="8">
        <v>5</v>
      </c>
      <c r="F28" s="8" t="s">
        <v>3083</v>
      </c>
      <c r="G28" s="8" t="s">
        <v>3084</v>
      </c>
      <c r="H28" s="8" t="s">
        <v>3049</v>
      </c>
      <c r="I28" s="8"/>
      <c r="J28" s="8" t="s">
        <v>1</v>
      </c>
      <c r="K28" s="8" t="s">
        <v>1787</v>
      </c>
      <c r="L28" s="8"/>
      <c r="M28" s="8"/>
      <c r="N28" s="8"/>
      <c r="O28" s="8"/>
      <c r="P28" s="8">
        <v>2</v>
      </c>
      <c r="Q28" s="62" t="s">
        <v>3569</v>
      </c>
      <c r="R28" s="8" t="s">
        <v>26</v>
      </c>
      <c r="S28" s="8" t="s">
        <v>7</v>
      </c>
    </row>
    <row r="29" spans="1:19">
      <c r="A29" s="3">
        <v>11</v>
      </c>
      <c r="B29" s="3">
        <v>1033</v>
      </c>
      <c r="C29" s="3" t="s">
        <v>4109</v>
      </c>
      <c r="D29" s="3" t="s">
        <v>1777</v>
      </c>
      <c r="E29" s="3">
        <v>2</v>
      </c>
      <c r="F29" s="3" t="s">
        <v>4066</v>
      </c>
      <c r="J29" s="3" t="s">
        <v>4110</v>
      </c>
      <c r="K29" s="3" t="s">
        <v>4111</v>
      </c>
      <c r="L29" s="3" t="s">
        <v>3409</v>
      </c>
      <c r="R29" s="3" t="s">
        <v>1776</v>
      </c>
      <c r="S29" s="3" t="s">
        <v>7</v>
      </c>
    </row>
    <row r="30" spans="1:19">
      <c r="A30" s="3">
        <v>11</v>
      </c>
      <c r="B30" s="3">
        <v>1034</v>
      </c>
      <c r="C30" s="3" t="s">
        <v>4112</v>
      </c>
      <c r="D30" s="3" t="s">
        <v>1777</v>
      </c>
      <c r="E30" s="3">
        <v>2</v>
      </c>
      <c r="F30" s="3" t="s">
        <v>3403</v>
      </c>
      <c r="J30" s="3" t="s">
        <v>4113</v>
      </c>
      <c r="K30" s="3" t="s">
        <v>4114</v>
      </c>
      <c r="L30" s="3" t="s">
        <v>4115</v>
      </c>
      <c r="M30" s="3" t="s">
        <v>4116</v>
      </c>
      <c r="R30" s="3" t="s">
        <v>6</v>
      </c>
      <c r="S30" s="3" t="s">
        <v>7</v>
      </c>
    </row>
    <row r="31" spans="1:19">
      <c r="A31" s="3">
        <v>11</v>
      </c>
      <c r="B31" s="3">
        <v>1035</v>
      </c>
      <c r="C31" s="3" t="s">
        <v>4134</v>
      </c>
      <c r="D31" s="3" t="s">
        <v>1788</v>
      </c>
      <c r="E31" s="3">
        <v>3</v>
      </c>
      <c r="F31" s="3" t="s">
        <v>4123</v>
      </c>
      <c r="J31" s="3" t="s">
        <v>3401</v>
      </c>
      <c r="K31" s="3" t="s">
        <v>4135</v>
      </c>
      <c r="L31" s="3" t="s">
        <v>4136</v>
      </c>
      <c r="M31" s="3" t="s">
        <v>4137</v>
      </c>
      <c r="R31" s="3" t="s">
        <v>40</v>
      </c>
      <c r="S31" s="3" t="s">
        <v>7</v>
      </c>
    </row>
    <row r="32" spans="1:19">
      <c r="A32" s="3">
        <v>11</v>
      </c>
      <c r="B32" s="3">
        <v>1036</v>
      </c>
      <c r="C32" s="3" t="s">
        <v>4147</v>
      </c>
      <c r="D32" s="3" t="s">
        <v>1788</v>
      </c>
      <c r="E32" s="3">
        <v>3</v>
      </c>
      <c r="F32" s="3" t="s">
        <v>3434</v>
      </c>
      <c r="J32" s="3" t="s">
        <v>13</v>
      </c>
      <c r="K32" s="3" t="s">
        <v>4148</v>
      </c>
      <c r="R32" s="3" t="s">
        <v>1776</v>
      </c>
      <c r="S32" s="3" t="s">
        <v>7</v>
      </c>
    </row>
    <row r="33" spans="1:19">
      <c r="A33" s="3">
        <v>11</v>
      </c>
      <c r="B33" s="3">
        <v>1037</v>
      </c>
      <c r="C33" s="3" t="s">
        <v>4149</v>
      </c>
      <c r="D33" s="3" t="s">
        <v>1788</v>
      </c>
      <c r="E33" s="3">
        <v>3</v>
      </c>
      <c r="F33" s="3" t="s">
        <v>3403</v>
      </c>
      <c r="J33" s="3" t="s">
        <v>4150</v>
      </c>
      <c r="R33" s="3" t="s">
        <v>16</v>
      </c>
      <c r="S33" s="3" t="s">
        <v>7</v>
      </c>
    </row>
    <row r="34" spans="1:19">
      <c r="A34" s="3">
        <v>11</v>
      </c>
      <c r="B34" s="8">
        <v>1038</v>
      </c>
      <c r="C34" s="8" t="s">
        <v>4151</v>
      </c>
      <c r="D34" s="8" t="s">
        <v>1788</v>
      </c>
      <c r="E34" s="8">
        <v>3</v>
      </c>
      <c r="F34" s="8" t="s">
        <v>3399</v>
      </c>
      <c r="G34" s="8"/>
      <c r="H34" s="8"/>
      <c r="I34" s="8"/>
      <c r="J34" s="8" t="s">
        <v>4152</v>
      </c>
      <c r="K34" s="8" t="s">
        <v>4153</v>
      </c>
      <c r="L34" s="8"/>
      <c r="M34" s="8"/>
      <c r="N34" s="8"/>
      <c r="O34" s="8"/>
      <c r="P34" s="8"/>
      <c r="Q34" s="8"/>
      <c r="R34" s="8" t="s">
        <v>28</v>
      </c>
      <c r="S34" s="8" t="s">
        <v>7</v>
      </c>
    </row>
    <row r="35" spans="1:19">
      <c r="A35" s="3">
        <v>11</v>
      </c>
      <c r="B35" s="3">
        <v>1039</v>
      </c>
      <c r="C35" s="3" t="s">
        <v>4157</v>
      </c>
      <c r="D35" s="3" t="s">
        <v>1778</v>
      </c>
      <c r="E35" s="3">
        <v>4</v>
      </c>
      <c r="F35" s="3" t="s">
        <v>3403</v>
      </c>
      <c r="J35" s="3" t="s">
        <v>4158</v>
      </c>
      <c r="R35" s="3" t="s">
        <v>49</v>
      </c>
      <c r="S35" s="3" t="s">
        <v>7</v>
      </c>
    </row>
    <row r="36" spans="1:19" ht="13.5" customHeight="1">
      <c r="A36" s="3">
        <v>11</v>
      </c>
      <c r="B36" s="3">
        <v>1040</v>
      </c>
      <c r="C36" s="3" t="s">
        <v>4166</v>
      </c>
      <c r="D36" s="3" t="s">
        <v>4167</v>
      </c>
      <c r="E36" s="3">
        <v>4</v>
      </c>
      <c r="F36" s="3" t="s">
        <v>3403</v>
      </c>
      <c r="J36" s="3" t="s">
        <v>4168</v>
      </c>
      <c r="R36" s="3" t="s">
        <v>3747</v>
      </c>
      <c r="S36" s="3" t="s">
        <v>7</v>
      </c>
    </row>
    <row r="37" spans="1:19">
      <c r="A37" s="3">
        <v>11</v>
      </c>
      <c r="B37" s="3">
        <v>1041</v>
      </c>
      <c r="C37" s="3" t="s">
        <v>4181</v>
      </c>
      <c r="D37" s="3" t="s">
        <v>4170</v>
      </c>
      <c r="E37" s="3">
        <v>4</v>
      </c>
      <c r="F37" s="3" t="s">
        <v>3403</v>
      </c>
      <c r="J37" s="3" t="s">
        <v>4182</v>
      </c>
      <c r="K37" s="3" t="s">
        <v>4183</v>
      </c>
      <c r="R37" s="3" t="s">
        <v>10</v>
      </c>
      <c r="S37" s="3" t="s">
        <v>7</v>
      </c>
    </row>
    <row r="38" spans="1:19">
      <c r="A38" s="3">
        <v>11</v>
      </c>
      <c r="B38" s="3">
        <v>1042</v>
      </c>
      <c r="C38" s="3" t="s">
        <v>4196</v>
      </c>
      <c r="D38" s="3" t="s">
        <v>1778</v>
      </c>
      <c r="E38" s="3">
        <v>4</v>
      </c>
      <c r="F38" s="3" t="s">
        <v>3413</v>
      </c>
      <c r="J38" s="3" t="s">
        <v>899</v>
      </c>
      <c r="R38" s="3" t="s">
        <v>1776</v>
      </c>
      <c r="S38" s="3" t="s">
        <v>7</v>
      </c>
    </row>
    <row r="39" spans="1:19">
      <c r="A39" s="3">
        <v>11</v>
      </c>
      <c r="B39" s="3">
        <v>1043</v>
      </c>
      <c r="C39" s="3" t="s">
        <v>4197</v>
      </c>
      <c r="D39" s="3" t="s">
        <v>1789</v>
      </c>
      <c r="E39" s="3">
        <v>5</v>
      </c>
      <c r="F39" s="3" t="s">
        <v>3434</v>
      </c>
      <c r="J39" s="3" t="s">
        <v>4198</v>
      </c>
      <c r="K39" s="3" t="s">
        <v>4199</v>
      </c>
      <c r="R39" s="3" t="s">
        <v>10</v>
      </c>
      <c r="S39" s="3" t="s">
        <v>7</v>
      </c>
    </row>
    <row r="40" spans="1:19">
      <c r="A40" s="4">
        <v>11</v>
      </c>
      <c r="B40" s="4">
        <v>1044</v>
      </c>
      <c r="C40" s="4" t="s">
        <v>4216</v>
      </c>
      <c r="D40" s="4" t="s">
        <v>1789</v>
      </c>
      <c r="E40" s="4">
        <v>5</v>
      </c>
      <c r="F40" s="4" t="s">
        <v>3403</v>
      </c>
      <c r="G40" s="4"/>
      <c r="H40" s="4"/>
      <c r="I40" s="4"/>
      <c r="J40" s="4" t="s">
        <v>4217</v>
      </c>
      <c r="K40" s="4"/>
      <c r="L40" s="4"/>
      <c r="M40" s="4"/>
      <c r="N40" s="4"/>
      <c r="O40" s="4"/>
      <c r="P40" s="4"/>
      <c r="Q40" s="4"/>
      <c r="R40" s="3" t="s">
        <v>6</v>
      </c>
      <c r="S40" s="3" t="s">
        <v>7</v>
      </c>
    </row>
    <row r="41" spans="1:19">
      <c r="A41" s="3">
        <v>11</v>
      </c>
      <c r="B41" s="3">
        <v>1045</v>
      </c>
      <c r="C41" s="3" t="s">
        <v>4218</v>
      </c>
      <c r="D41" s="3" t="s">
        <v>4219</v>
      </c>
      <c r="E41" s="3">
        <v>6</v>
      </c>
      <c r="F41" s="3" t="s">
        <v>3399</v>
      </c>
      <c r="J41" s="3" t="s">
        <v>4220</v>
      </c>
      <c r="R41" s="3" t="s">
        <v>15</v>
      </c>
      <c r="S41" s="3" t="s">
        <v>7</v>
      </c>
    </row>
    <row r="42" spans="1:19" ht="13.5" customHeight="1">
      <c r="A42" s="8">
        <v>11</v>
      </c>
      <c r="B42" s="8">
        <v>1046</v>
      </c>
      <c r="C42" s="8" t="s">
        <v>4225</v>
      </c>
      <c r="D42" s="8" t="s">
        <v>4226</v>
      </c>
      <c r="E42" s="8">
        <v>6</v>
      </c>
      <c r="F42" s="8" t="s">
        <v>3403</v>
      </c>
      <c r="G42" s="8"/>
      <c r="H42" s="8"/>
      <c r="I42" s="8"/>
      <c r="J42" s="8" t="s">
        <v>4227</v>
      </c>
      <c r="K42" s="8"/>
      <c r="L42" s="8"/>
      <c r="M42" s="8"/>
      <c r="N42" s="8"/>
      <c r="O42" s="8"/>
      <c r="P42" s="8"/>
      <c r="Q42" s="8"/>
      <c r="R42" s="8" t="s">
        <v>3747</v>
      </c>
      <c r="S42" s="8" t="s">
        <v>7</v>
      </c>
    </row>
    <row r="43" spans="1:19" ht="13.5" customHeight="1">
      <c r="A43" s="3">
        <v>11</v>
      </c>
      <c r="B43" s="3">
        <v>2001</v>
      </c>
      <c r="C43" s="3" t="s">
        <v>2989</v>
      </c>
      <c r="D43" s="3" t="s">
        <v>1777</v>
      </c>
      <c r="E43" s="3">
        <v>2</v>
      </c>
      <c r="F43" s="3" t="s">
        <v>3087</v>
      </c>
      <c r="G43" s="3" t="s">
        <v>3084</v>
      </c>
      <c r="H43" s="3" t="s">
        <v>3053</v>
      </c>
      <c r="J43" s="3" t="s">
        <v>1791</v>
      </c>
      <c r="K43" s="3" t="s">
        <v>1806</v>
      </c>
      <c r="P43" s="3" t="s">
        <v>4045</v>
      </c>
      <c r="Q43" s="60" t="s">
        <v>3569</v>
      </c>
      <c r="R43" s="3" t="s">
        <v>17</v>
      </c>
      <c r="S43" s="3" t="s">
        <v>9</v>
      </c>
    </row>
    <row r="44" spans="1:19">
      <c r="A44" s="3">
        <v>11</v>
      </c>
      <c r="B44" s="3">
        <v>2002</v>
      </c>
      <c r="C44" s="3" t="s">
        <v>2990</v>
      </c>
      <c r="D44" s="3" t="s">
        <v>1777</v>
      </c>
      <c r="E44" s="3">
        <v>2</v>
      </c>
      <c r="F44" s="3" t="s">
        <v>3083</v>
      </c>
      <c r="G44" s="3" t="s">
        <v>3084</v>
      </c>
      <c r="H44" s="3" t="s">
        <v>3051</v>
      </c>
      <c r="J44" s="3" t="s">
        <v>1792</v>
      </c>
      <c r="K44" s="3" t="s">
        <v>1793</v>
      </c>
      <c r="P44" s="3" t="s">
        <v>4045</v>
      </c>
      <c r="Q44" s="60" t="s">
        <v>3569</v>
      </c>
      <c r="R44" s="3" t="s">
        <v>1776</v>
      </c>
      <c r="S44" s="3" t="s">
        <v>9</v>
      </c>
    </row>
    <row r="45" spans="1:19" ht="13.5" customHeight="1">
      <c r="A45" s="3">
        <v>11</v>
      </c>
      <c r="B45" s="3">
        <v>2003</v>
      </c>
      <c r="C45" s="3" t="s">
        <v>2991</v>
      </c>
      <c r="D45" s="3" t="s">
        <v>1788</v>
      </c>
      <c r="E45" s="3">
        <v>3</v>
      </c>
      <c r="F45" s="3" t="s">
        <v>3087</v>
      </c>
      <c r="G45" s="3" t="s">
        <v>3084</v>
      </c>
      <c r="H45" s="3" t="s">
        <v>3071</v>
      </c>
      <c r="J45" s="3" t="s">
        <v>1805</v>
      </c>
      <c r="K45" s="3" t="s">
        <v>1794</v>
      </c>
      <c r="P45" s="3" t="s">
        <v>4045</v>
      </c>
      <c r="Q45" s="60" t="s">
        <v>3569</v>
      </c>
      <c r="R45" s="3" t="s">
        <v>18</v>
      </c>
      <c r="S45" s="3" t="s">
        <v>9</v>
      </c>
    </row>
    <row r="46" spans="1:19" ht="13.5" customHeight="1">
      <c r="A46" s="3">
        <v>11</v>
      </c>
      <c r="B46" s="3">
        <v>2004</v>
      </c>
      <c r="C46" s="3" t="s">
        <v>2992</v>
      </c>
      <c r="D46" s="3" t="s">
        <v>1788</v>
      </c>
      <c r="E46" s="3">
        <v>3</v>
      </c>
      <c r="F46" s="3" t="s">
        <v>3087</v>
      </c>
      <c r="G46" s="3" t="s">
        <v>3084</v>
      </c>
      <c r="H46" s="3" t="s">
        <v>3050</v>
      </c>
      <c r="J46" s="3" t="s">
        <v>1795</v>
      </c>
      <c r="K46" s="3" t="s">
        <v>1796</v>
      </c>
      <c r="P46" s="3" t="s">
        <v>4045</v>
      </c>
      <c r="Q46" s="60" t="s">
        <v>3569</v>
      </c>
      <c r="R46" s="3" t="s">
        <v>14</v>
      </c>
      <c r="S46" s="3" t="s">
        <v>9</v>
      </c>
    </row>
    <row r="47" spans="1:19" ht="13.5" customHeight="1">
      <c r="A47" s="3">
        <v>11</v>
      </c>
      <c r="B47" s="3">
        <v>2005</v>
      </c>
      <c r="C47" s="3" t="s">
        <v>2993</v>
      </c>
      <c r="D47" s="3" t="s">
        <v>1778</v>
      </c>
      <c r="E47" s="3">
        <v>4</v>
      </c>
      <c r="F47" s="3" t="s">
        <v>3087</v>
      </c>
      <c r="G47" s="3" t="s">
        <v>3084</v>
      </c>
      <c r="H47" s="3" t="s">
        <v>3059</v>
      </c>
      <c r="J47" s="3" t="s">
        <v>1797</v>
      </c>
      <c r="K47" s="3" t="s">
        <v>1798</v>
      </c>
      <c r="L47" s="3" t="s">
        <v>1799</v>
      </c>
      <c r="P47" s="3" t="s">
        <v>4045</v>
      </c>
      <c r="Q47" s="60" t="s">
        <v>3527</v>
      </c>
      <c r="R47" s="3" t="s">
        <v>10</v>
      </c>
      <c r="S47" s="3" t="s">
        <v>9</v>
      </c>
    </row>
    <row r="48" spans="1:19" ht="13.5" customHeight="1">
      <c r="A48" s="3">
        <v>11</v>
      </c>
      <c r="B48" s="3">
        <v>2006</v>
      </c>
      <c r="C48" s="3" t="s">
        <v>2994</v>
      </c>
      <c r="D48" s="3" t="s">
        <v>1789</v>
      </c>
      <c r="E48" s="3">
        <v>5</v>
      </c>
      <c r="F48" s="3" t="s">
        <v>3087</v>
      </c>
      <c r="G48" s="3" t="s">
        <v>3084</v>
      </c>
      <c r="H48" s="3" t="s">
        <v>3050</v>
      </c>
      <c r="J48" s="3" t="s">
        <v>1422</v>
      </c>
      <c r="K48" s="3" t="s">
        <v>1800</v>
      </c>
      <c r="P48" s="3" t="s">
        <v>4046</v>
      </c>
      <c r="Q48" s="60" t="s">
        <v>3522</v>
      </c>
      <c r="R48" s="3" t="s">
        <v>16</v>
      </c>
      <c r="S48" s="3" t="s">
        <v>9</v>
      </c>
    </row>
    <row r="49" spans="1:19" ht="13.5" customHeight="1">
      <c r="A49" s="3">
        <v>11</v>
      </c>
      <c r="B49" s="3">
        <v>2007</v>
      </c>
      <c r="C49" s="3" t="s">
        <v>2995</v>
      </c>
      <c r="D49" s="3" t="s">
        <v>1808</v>
      </c>
      <c r="E49" s="3">
        <v>5</v>
      </c>
      <c r="F49" s="3" t="s">
        <v>3083</v>
      </c>
      <c r="G49" s="3" t="s">
        <v>3084</v>
      </c>
      <c r="H49" s="3" t="s">
        <v>3059</v>
      </c>
      <c r="J49" s="3" t="s">
        <v>1801</v>
      </c>
      <c r="K49" s="3" t="s">
        <v>1802</v>
      </c>
      <c r="P49" s="3" t="s">
        <v>4044</v>
      </c>
      <c r="Q49" s="60" t="s">
        <v>3530</v>
      </c>
      <c r="R49" s="3" t="s">
        <v>6</v>
      </c>
      <c r="S49" s="3" t="s">
        <v>9</v>
      </c>
    </row>
    <row r="50" spans="1:19" ht="13.5" customHeight="1">
      <c r="A50" s="3">
        <v>11</v>
      </c>
      <c r="B50" s="3">
        <v>2008</v>
      </c>
      <c r="C50" s="3" t="s">
        <v>2996</v>
      </c>
      <c r="D50" s="3" t="s">
        <v>1804</v>
      </c>
      <c r="E50" s="3">
        <v>7</v>
      </c>
      <c r="F50" s="3" t="s">
        <v>3087</v>
      </c>
      <c r="G50" s="3" t="s">
        <v>3084</v>
      </c>
      <c r="H50" s="3" t="s">
        <v>3051</v>
      </c>
      <c r="J50" s="3" t="s">
        <v>23</v>
      </c>
      <c r="K50" s="3" t="s">
        <v>1803</v>
      </c>
      <c r="L50" s="3" t="s">
        <v>1807</v>
      </c>
      <c r="P50" s="3" t="s">
        <v>4044</v>
      </c>
      <c r="Q50" s="60" t="s">
        <v>3530</v>
      </c>
      <c r="R50" s="3" t="s">
        <v>31</v>
      </c>
      <c r="S50" s="3" t="s">
        <v>9</v>
      </c>
    </row>
    <row r="51" spans="1:19">
      <c r="A51" s="3">
        <v>11</v>
      </c>
      <c r="B51" s="3">
        <v>2024</v>
      </c>
      <c r="C51" s="3" t="s">
        <v>4125</v>
      </c>
      <c r="D51" s="3" t="s">
        <v>4126</v>
      </c>
      <c r="E51" s="3">
        <v>3</v>
      </c>
      <c r="F51" s="3" t="s">
        <v>3403</v>
      </c>
      <c r="J51" s="3" t="s">
        <v>4127</v>
      </c>
      <c r="R51" s="3" t="s">
        <v>16</v>
      </c>
      <c r="S51" s="3" t="s">
        <v>9</v>
      </c>
    </row>
    <row r="52" spans="1:19">
      <c r="A52" s="3">
        <v>11</v>
      </c>
      <c r="B52" s="3">
        <v>2025</v>
      </c>
      <c r="C52" s="3" t="s">
        <v>4128</v>
      </c>
      <c r="D52" s="3" t="s">
        <v>1788</v>
      </c>
      <c r="E52" s="3">
        <v>3</v>
      </c>
      <c r="F52" s="3" t="s">
        <v>3434</v>
      </c>
      <c r="J52" s="3" t="s">
        <v>4129</v>
      </c>
      <c r="K52" s="3" t="s">
        <v>4130</v>
      </c>
      <c r="R52" s="3" t="s">
        <v>6</v>
      </c>
      <c r="S52" s="3" t="s">
        <v>9</v>
      </c>
    </row>
    <row r="53" spans="1:19">
      <c r="A53" s="3">
        <v>11</v>
      </c>
      <c r="B53" s="9">
        <v>2026</v>
      </c>
      <c r="C53" s="9" t="s">
        <v>4142</v>
      </c>
      <c r="D53" s="9" t="s">
        <v>1788</v>
      </c>
      <c r="E53" s="9">
        <v>3</v>
      </c>
      <c r="F53" s="9" t="s">
        <v>4123</v>
      </c>
      <c r="G53" s="9"/>
      <c r="H53" s="9"/>
      <c r="I53" s="9"/>
      <c r="J53" s="9" t="s">
        <v>3401</v>
      </c>
      <c r="K53" s="9" t="s">
        <v>4143</v>
      </c>
      <c r="L53" s="9"/>
      <c r="M53" s="9"/>
      <c r="N53" s="9"/>
      <c r="O53" s="9"/>
      <c r="P53" s="9"/>
      <c r="Q53" s="9"/>
      <c r="R53" s="9" t="s">
        <v>46</v>
      </c>
      <c r="S53" s="9" t="s">
        <v>9</v>
      </c>
    </row>
    <row r="54" spans="1:19">
      <c r="A54" s="3">
        <v>11</v>
      </c>
      <c r="B54" s="3">
        <v>2027</v>
      </c>
      <c r="C54" s="3" t="s">
        <v>4161</v>
      </c>
      <c r="D54" s="3" t="s">
        <v>1778</v>
      </c>
      <c r="E54" s="3">
        <v>4</v>
      </c>
      <c r="F54" s="3" t="s">
        <v>3403</v>
      </c>
      <c r="J54" s="3" t="s">
        <v>4162</v>
      </c>
      <c r="K54" s="3" t="s">
        <v>4163</v>
      </c>
      <c r="L54" s="3" t="s">
        <v>4164</v>
      </c>
      <c r="M54" s="3" t="s">
        <v>4165</v>
      </c>
      <c r="O54" s="3" t="s">
        <v>4115</v>
      </c>
      <c r="R54" s="3" t="s">
        <v>32</v>
      </c>
      <c r="S54" s="3" t="s">
        <v>9</v>
      </c>
    </row>
    <row r="55" spans="1:19">
      <c r="A55" s="3">
        <v>11</v>
      </c>
      <c r="B55" s="9">
        <v>2028</v>
      </c>
      <c r="C55" s="9" t="s">
        <v>4169</v>
      </c>
      <c r="D55" s="9" t="s">
        <v>4170</v>
      </c>
      <c r="E55" s="9">
        <v>4</v>
      </c>
      <c r="F55" s="9" t="s">
        <v>3399</v>
      </c>
      <c r="G55" s="9"/>
      <c r="H55" s="9"/>
      <c r="I55" s="9"/>
      <c r="J55" s="9" t="s">
        <v>4171</v>
      </c>
      <c r="K55" s="9" t="s">
        <v>4172</v>
      </c>
      <c r="L55" s="9"/>
      <c r="M55" s="9"/>
      <c r="N55" s="9"/>
      <c r="O55" s="9"/>
      <c r="P55" s="9"/>
      <c r="Q55" s="9"/>
      <c r="R55" s="9" t="s">
        <v>6</v>
      </c>
      <c r="S55" s="9" t="s">
        <v>9</v>
      </c>
    </row>
    <row r="56" spans="1:19" ht="13.5" customHeight="1">
      <c r="A56" s="3">
        <v>11</v>
      </c>
      <c r="B56" s="3">
        <v>2029</v>
      </c>
      <c r="C56" s="3" t="s">
        <v>4178</v>
      </c>
      <c r="D56" s="3" t="s">
        <v>4179</v>
      </c>
      <c r="E56" s="3">
        <v>4</v>
      </c>
      <c r="F56" s="3" t="s">
        <v>3403</v>
      </c>
      <c r="J56" s="3" t="s">
        <v>4180</v>
      </c>
      <c r="R56" s="3" t="s">
        <v>3747</v>
      </c>
      <c r="S56" s="3" t="s">
        <v>9</v>
      </c>
    </row>
    <row r="57" spans="1:19">
      <c r="A57" s="3">
        <v>11</v>
      </c>
      <c r="B57" s="3">
        <v>2030</v>
      </c>
      <c r="C57" s="3" t="s">
        <v>4191</v>
      </c>
      <c r="D57" s="3" t="s">
        <v>1778</v>
      </c>
      <c r="E57" s="3">
        <v>4</v>
      </c>
      <c r="F57" s="3" t="s">
        <v>3403</v>
      </c>
      <c r="J57" s="3" t="s">
        <v>4192</v>
      </c>
      <c r="R57" s="3" t="s">
        <v>10</v>
      </c>
      <c r="S57" s="3" t="s">
        <v>9</v>
      </c>
    </row>
    <row r="58" spans="1:19">
      <c r="A58" s="3">
        <v>11</v>
      </c>
      <c r="B58" s="3">
        <v>2031</v>
      </c>
      <c r="C58" s="3" t="s">
        <v>4200</v>
      </c>
      <c r="D58" s="3" t="s">
        <v>4201</v>
      </c>
      <c r="E58" s="3">
        <v>5</v>
      </c>
      <c r="F58" s="3" t="s">
        <v>3403</v>
      </c>
      <c r="J58" s="3" t="s">
        <v>4202</v>
      </c>
      <c r="R58" s="3" t="s">
        <v>10</v>
      </c>
      <c r="S58" s="3" t="s">
        <v>9</v>
      </c>
    </row>
    <row r="59" spans="1:19" ht="13.5" customHeight="1">
      <c r="A59" s="6">
        <v>11</v>
      </c>
      <c r="B59" s="6">
        <v>2032</v>
      </c>
      <c r="C59" s="6" t="s">
        <v>4203</v>
      </c>
      <c r="D59" s="6" t="s">
        <v>1808</v>
      </c>
      <c r="E59" s="6">
        <v>5</v>
      </c>
      <c r="F59" s="6" t="s">
        <v>3434</v>
      </c>
      <c r="G59" s="6"/>
      <c r="H59" s="6"/>
      <c r="I59" s="6"/>
      <c r="J59" s="6" t="s">
        <v>4204</v>
      </c>
      <c r="K59" s="6"/>
      <c r="L59" s="6"/>
      <c r="M59" s="6"/>
      <c r="N59" s="6"/>
      <c r="O59" s="6"/>
      <c r="P59" s="6"/>
      <c r="Q59" s="6"/>
      <c r="R59" s="3" t="s">
        <v>3747</v>
      </c>
      <c r="S59" s="3" t="s">
        <v>9</v>
      </c>
    </row>
    <row r="60" spans="1:19">
      <c r="A60" s="3">
        <v>11</v>
      </c>
      <c r="B60" s="3">
        <v>2033</v>
      </c>
      <c r="C60" s="3" t="s">
        <v>4210</v>
      </c>
      <c r="D60" s="3" t="s">
        <v>1789</v>
      </c>
      <c r="E60" s="3">
        <v>5</v>
      </c>
      <c r="F60" s="3" t="s">
        <v>4123</v>
      </c>
      <c r="J60" s="3" t="s">
        <v>3401</v>
      </c>
      <c r="K60" s="3" t="s">
        <v>4211</v>
      </c>
      <c r="L60" s="3" t="s">
        <v>4212</v>
      </c>
      <c r="R60" s="3" t="s">
        <v>6</v>
      </c>
      <c r="S60" s="3" t="s">
        <v>9</v>
      </c>
    </row>
    <row r="61" spans="1:19" ht="13.5" customHeight="1">
      <c r="A61" s="3">
        <v>11</v>
      </c>
      <c r="B61" s="3">
        <v>2034</v>
      </c>
      <c r="C61" s="3" t="s">
        <v>4221</v>
      </c>
      <c r="D61" s="3" t="s">
        <v>4222</v>
      </c>
      <c r="E61" s="3">
        <v>6</v>
      </c>
      <c r="F61" s="3" t="s">
        <v>3434</v>
      </c>
      <c r="J61" s="3" t="s">
        <v>4223</v>
      </c>
      <c r="K61" s="3" t="s">
        <v>4224</v>
      </c>
      <c r="R61" s="3" t="s">
        <v>10</v>
      </c>
      <c r="S61" s="3" t="s">
        <v>9</v>
      </c>
    </row>
    <row r="62" spans="1:19" ht="13.5" customHeight="1">
      <c r="A62" s="3">
        <v>11</v>
      </c>
      <c r="B62" s="3">
        <v>2035</v>
      </c>
      <c r="C62" s="3" t="s">
        <v>4228</v>
      </c>
      <c r="D62" s="3" t="s">
        <v>4229</v>
      </c>
      <c r="E62" s="3">
        <v>7</v>
      </c>
      <c r="F62" s="3" t="s">
        <v>3399</v>
      </c>
      <c r="J62" s="3" t="s">
        <v>4230</v>
      </c>
      <c r="R62" s="3" t="s">
        <v>3747</v>
      </c>
      <c r="S62" s="3" t="s">
        <v>9</v>
      </c>
    </row>
    <row r="63" spans="1:19" ht="13.5" customHeight="1">
      <c r="A63" s="3">
        <v>11</v>
      </c>
      <c r="B63" s="3">
        <v>3001</v>
      </c>
      <c r="C63" s="3" t="s">
        <v>3034</v>
      </c>
      <c r="D63" s="3" t="s">
        <v>1778</v>
      </c>
      <c r="E63" s="3">
        <v>4</v>
      </c>
      <c r="F63" s="3" t="s">
        <v>3083</v>
      </c>
      <c r="G63" s="3" t="s">
        <v>3084</v>
      </c>
      <c r="H63" s="3" t="s">
        <v>3059</v>
      </c>
      <c r="J63" s="3" t="s">
        <v>1809</v>
      </c>
      <c r="K63" s="3" t="s">
        <v>1810</v>
      </c>
      <c r="L63" s="3" t="s">
        <v>1811</v>
      </c>
      <c r="P63" s="3" t="s">
        <v>4045</v>
      </c>
      <c r="Q63" s="60" t="s">
        <v>3522</v>
      </c>
      <c r="R63" s="3" t="s">
        <v>16</v>
      </c>
      <c r="S63" s="3" t="s">
        <v>41</v>
      </c>
    </row>
    <row r="64" spans="1:19" ht="13.5" customHeight="1">
      <c r="A64" s="3">
        <v>11</v>
      </c>
      <c r="B64" s="10">
        <v>3008</v>
      </c>
      <c r="C64" s="10" t="s">
        <v>4131</v>
      </c>
      <c r="D64" s="10" t="s">
        <v>4132</v>
      </c>
      <c r="E64" s="10"/>
      <c r="F64" s="10" t="s">
        <v>3403</v>
      </c>
      <c r="G64" s="10"/>
      <c r="H64" s="10"/>
      <c r="I64" s="10"/>
      <c r="J64" s="10" t="s">
        <v>4133</v>
      </c>
      <c r="K64" s="10"/>
      <c r="L64" s="10"/>
      <c r="M64" s="10"/>
      <c r="N64" s="10"/>
      <c r="O64" s="10"/>
      <c r="P64" s="10"/>
      <c r="Q64" s="10"/>
      <c r="R64" s="10" t="s">
        <v>6</v>
      </c>
      <c r="S64" s="10" t="s">
        <v>41</v>
      </c>
    </row>
    <row r="65" spans="1:19" ht="13.5" customHeight="1">
      <c r="A65" s="3">
        <v>11</v>
      </c>
      <c r="B65" s="3">
        <v>3009</v>
      </c>
      <c r="C65" s="3" t="s">
        <v>4173</v>
      </c>
      <c r="D65" s="3" t="s">
        <v>1778</v>
      </c>
      <c r="F65" s="3" t="s">
        <v>4174</v>
      </c>
      <c r="J65" s="3" t="s">
        <v>4175</v>
      </c>
      <c r="K65" s="3" t="s">
        <v>4176</v>
      </c>
      <c r="L65" s="3" t="s">
        <v>4177</v>
      </c>
      <c r="P65" s="3">
        <v>6</v>
      </c>
      <c r="R65" s="3" t="s">
        <v>32</v>
      </c>
      <c r="S65" s="3" t="s">
        <v>41</v>
      </c>
    </row>
    <row r="66" spans="1:19" ht="13.5" customHeight="1">
      <c r="A66" s="3">
        <v>11</v>
      </c>
      <c r="B66" s="3">
        <v>3010</v>
      </c>
      <c r="C66" s="3" t="s">
        <v>4186</v>
      </c>
      <c r="D66" s="3" t="s">
        <v>1778</v>
      </c>
      <c r="F66" s="3" t="s">
        <v>4187</v>
      </c>
      <c r="J66" s="3" t="s">
        <v>4188</v>
      </c>
      <c r="K66" s="3" t="s">
        <v>4189</v>
      </c>
      <c r="L66" s="3" t="s">
        <v>4190</v>
      </c>
      <c r="P66" s="3">
        <v>3</v>
      </c>
      <c r="R66" s="3" t="s">
        <v>26</v>
      </c>
      <c r="S66" s="3" t="s">
        <v>41</v>
      </c>
    </row>
    <row r="67" spans="1:19" ht="13.5" customHeight="1">
      <c r="A67" s="3">
        <v>11</v>
      </c>
      <c r="B67" s="3">
        <v>3011</v>
      </c>
      <c r="C67" s="3" t="s">
        <v>4205</v>
      </c>
      <c r="D67" s="3" t="s">
        <v>1789</v>
      </c>
      <c r="F67" s="3" t="s">
        <v>4206</v>
      </c>
      <c r="J67" s="3" t="s">
        <v>4207</v>
      </c>
      <c r="K67" s="3" t="s">
        <v>4208</v>
      </c>
      <c r="L67" s="3" t="s">
        <v>4209</v>
      </c>
      <c r="P67" s="3">
        <v>3</v>
      </c>
      <c r="R67" s="3" t="s">
        <v>50</v>
      </c>
      <c r="S67" s="3" t="s">
        <v>41</v>
      </c>
    </row>
    <row r="68" spans="1:19" ht="13.5" customHeight="1">
      <c r="A68" s="3">
        <v>11</v>
      </c>
      <c r="B68" s="3">
        <v>20100</v>
      </c>
      <c r="C68" s="3" t="s">
        <v>4213</v>
      </c>
      <c r="D68" s="3" t="s">
        <v>1789</v>
      </c>
      <c r="F68" s="3" t="s">
        <v>3434</v>
      </c>
      <c r="J68" s="3" t="s">
        <v>4214</v>
      </c>
      <c r="K68" s="3" t="s">
        <v>4215</v>
      </c>
      <c r="R68" s="3" t="s">
        <v>3999</v>
      </c>
      <c r="S68" s="3" t="s">
        <v>4000</v>
      </c>
    </row>
    <row r="69" spans="1:19" ht="13.5" customHeight="1">
      <c r="A69" s="4">
        <v>12</v>
      </c>
      <c r="B69" s="5">
        <v>6</v>
      </c>
      <c r="C69" s="5" t="s">
        <v>2902</v>
      </c>
      <c r="D69" s="5" t="s">
        <v>1818</v>
      </c>
      <c r="E69" s="5">
        <v>2</v>
      </c>
      <c r="F69" s="5" t="s">
        <v>3083</v>
      </c>
      <c r="G69" s="5" t="s">
        <v>3084</v>
      </c>
      <c r="H69" s="5" t="s">
        <v>3071</v>
      </c>
      <c r="I69" s="5"/>
      <c r="J69" s="5" t="s">
        <v>1820</v>
      </c>
      <c r="K69" s="5" t="s">
        <v>1812</v>
      </c>
      <c r="L69" s="5"/>
      <c r="M69" s="5"/>
      <c r="N69" s="5"/>
      <c r="O69" s="5"/>
      <c r="P69" s="5">
        <v>1</v>
      </c>
      <c r="Q69" s="72" t="s">
        <v>3569</v>
      </c>
      <c r="R69" s="14" t="s">
        <v>8</v>
      </c>
      <c r="S69" s="14" t="s">
        <v>4</v>
      </c>
    </row>
    <row r="70" spans="1:19" ht="13.5" customHeight="1">
      <c r="A70" s="3">
        <v>12</v>
      </c>
      <c r="B70" s="14">
        <v>7</v>
      </c>
      <c r="C70" s="14" t="s">
        <v>2903</v>
      </c>
      <c r="D70" s="14" t="s">
        <v>1819</v>
      </c>
      <c r="E70" s="14">
        <v>3</v>
      </c>
      <c r="F70" s="14" t="s">
        <v>3083</v>
      </c>
      <c r="G70" s="14" t="s">
        <v>3084</v>
      </c>
      <c r="H70" s="14" t="s">
        <v>3071</v>
      </c>
      <c r="I70" s="14"/>
      <c r="J70" s="14" t="s">
        <v>1813</v>
      </c>
      <c r="K70" s="14"/>
      <c r="L70" s="14"/>
      <c r="M70" s="14"/>
      <c r="N70" s="14"/>
      <c r="O70" s="14"/>
      <c r="P70" s="3">
        <v>2</v>
      </c>
      <c r="Q70" s="60" t="s">
        <v>3569</v>
      </c>
      <c r="R70" s="3" t="s">
        <v>5</v>
      </c>
      <c r="S70" s="3" t="s">
        <v>4</v>
      </c>
    </row>
    <row r="71" spans="1:19" ht="13.5" customHeight="1">
      <c r="A71" s="3">
        <v>12</v>
      </c>
      <c r="B71" s="14">
        <v>8</v>
      </c>
      <c r="C71" s="3" t="s">
        <v>2904</v>
      </c>
      <c r="D71" s="3" t="s">
        <v>1815</v>
      </c>
      <c r="E71" s="3">
        <v>4</v>
      </c>
      <c r="F71" s="3" t="s">
        <v>3085</v>
      </c>
      <c r="G71" s="3" t="s">
        <v>3084</v>
      </c>
      <c r="H71" s="3" t="s">
        <v>3051</v>
      </c>
      <c r="J71" s="3" t="s">
        <v>1814</v>
      </c>
      <c r="K71" s="3" t="s">
        <v>1821</v>
      </c>
      <c r="P71" s="3">
        <v>3</v>
      </c>
      <c r="Q71" s="60" t="s">
        <v>3527</v>
      </c>
      <c r="R71" s="3" t="s">
        <v>1776</v>
      </c>
      <c r="S71" s="3" t="s">
        <v>4</v>
      </c>
    </row>
    <row r="72" spans="1:19" ht="13.5" customHeight="1">
      <c r="A72" s="3">
        <v>12</v>
      </c>
      <c r="B72" s="14">
        <v>9</v>
      </c>
      <c r="C72" s="3" t="s">
        <v>2905</v>
      </c>
      <c r="D72" s="3" t="s">
        <v>1816</v>
      </c>
      <c r="E72" s="3">
        <v>5</v>
      </c>
      <c r="F72" s="3" t="s">
        <v>3085</v>
      </c>
      <c r="G72" s="3" t="s">
        <v>3084</v>
      </c>
      <c r="H72" s="3" t="s">
        <v>3071</v>
      </c>
      <c r="J72" s="3" t="s">
        <v>1817</v>
      </c>
      <c r="P72" s="3">
        <v>4</v>
      </c>
      <c r="Q72" s="60" t="s">
        <v>3527</v>
      </c>
      <c r="R72" s="3" t="s">
        <v>18</v>
      </c>
      <c r="S72" s="3" t="s">
        <v>4</v>
      </c>
    </row>
    <row r="73" spans="1:19" ht="13.5" customHeight="1">
      <c r="A73" s="3">
        <v>12</v>
      </c>
      <c r="B73" s="3">
        <v>30</v>
      </c>
      <c r="C73" s="3" t="s">
        <v>4234</v>
      </c>
      <c r="D73" s="3" t="s">
        <v>4232</v>
      </c>
      <c r="F73" s="3" t="s">
        <v>3399</v>
      </c>
      <c r="J73" s="3" t="s">
        <v>4235</v>
      </c>
      <c r="K73" s="3" t="s">
        <v>4195</v>
      </c>
      <c r="R73" s="3" t="s">
        <v>3747</v>
      </c>
      <c r="S73" s="3" t="s">
        <v>4</v>
      </c>
    </row>
    <row r="74" spans="1:19" ht="13.5" customHeight="1">
      <c r="A74" s="3">
        <v>12</v>
      </c>
      <c r="B74" s="3">
        <v>31</v>
      </c>
      <c r="C74" s="3" t="s">
        <v>4238</v>
      </c>
      <c r="D74" s="3" t="s">
        <v>1818</v>
      </c>
      <c r="F74" s="3" t="s">
        <v>3399</v>
      </c>
      <c r="J74" s="3" t="s">
        <v>4239</v>
      </c>
      <c r="K74" s="3" t="s">
        <v>4240</v>
      </c>
      <c r="R74" s="3" t="s">
        <v>3747</v>
      </c>
      <c r="S74" s="3" t="s">
        <v>4</v>
      </c>
    </row>
    <row r="75" spans="1:19" ht="13.5" customHeight="1">
      <c r="A75" s="3">
        <v>12</v>
      </c>
      <c r="B75" s="3">
        <v>32</v>
      </c>
      <c r="C75" s="3" t="s">
        <v>4241</v>
      </c>
      <c r="D75" s="3" t="s">
        <v>1829</v>
      </c>
      <c r="F75" s="3" t="s">
        <v>3399</v>
      </c>
      <c r="J75" s="3" t="s">
        <v>4242</v>
      </c>
      <c r="K75" s="3" t="s">
        <v>4243</v>
      </c>
      <c r="R75" s="3" t="s">
        <v>5</v>
      </c>
      <c r="S75" s="3" t="s">
        <v>4</v>
      </c>
    </row>
    <row r="76" spans="1:19" ht="13.5" customHeight="1">
      <c r="A76" s="3">
        <v>12</v>
      </c>
      <c r="B76" s="3">
        <v>33</v>
      </c>
      <c r="C76" s="3" t="s">
        <v>4257</v>
      </c>
      <c r="D76" s="3" t="s">
        <v>1829</v>
      </c>
      <c r="F76" s="3" t="s">
        <v>3403</v>
      </c>
      <c r="J76" s="3" t="s">
        <v>4258</v>
      </c>
      <c r="K76" s="3" t="s">
        <v>4259</v>
      </c>
      <c r="R76" s="3" t="s">
        <v>15</v>
      </c>
      <c r="S76" s="3" t="s">
        <v>4</v>
      </c>
    </row>
    <row r="77" spans="1:19" ht="13.5" customHeight="1">
      <c r="A77" s="3">
        <v>12</v>
      </c>
      <c r="B77" s="3">
        <v>34</v>
      </c>
      <c r="C77" s="3" t="s">
        <v>4265</v>
      </c>
      <c r="D77" s="3" t="s">
        <v>1818</v>
      </c>
      <c r="F77" s="3" t="s">
        <v>3403</v>
      </c>
      <c r="J77" s="3" t="s">
        <v>4266</v>
      </c>
      <c r="R77" s="3" t="s">
        <v>3747</v>
      </c>
      <c r="S77" s="3" t="s">
        <v>4</v>
      </c>
    </row>
    <row r="78" spans="1:19" ht="13.5" customHeight="1">
      <c r="A78" s="6">
        <v>12</v>
      </c>
      <c r="B78" s="6">
        <v>35</v>
      </c>
      <c r="C78" s="6" t="s">
        <v>4269</v>
      </c>
      <c r="D78" s="6" t="s">
        <v>1830</v>
      </c>
      <c r="E78" s="6"/>
      <c r="F78" s="6" t="s">
        <v>3403</v>
      </c>
      <c r="G78" s="6"/>
      <c r="H78" s="6"/>
      <c r="I78" s="6"/>
      <c r="J78" s="6" t="s">
        <v>4270</v>
      </c>
      <c r="K78" s="6" t="s">
        <v>4271</v>
      </c>
      <c r="L78" s="6"/>
      <c r="M78" s="6"/>
      <c r="N78" s="6"/>
      <c r="O78" s="6"/>
      <c r="P78" s="6"/>
      <c r="Q78" s="6"/>
      <c r="R78" s="3" t="s">
        <v>8</v>
      </c>
      <c r="S78" s="3" t="s">
        <v>4</v>
      </c>
    </row>
    <row r="79" spans="1:19" ht="13.5" customHeight="1">
      <c r="A79" s="3">
        <v>12</v>
      </c>
      <c r="B79" s="3">
        <v>36</v>
      </c>
      <c r="C79" s="3" t="s">
        <v>4276</v>
      </c>
      <c r="D79" s="3" t="s">
        <v>1830</v>
      </c>
      <c r="F79" s="3" t="s">
        <v>3403</v>
      </c>
      <c r="J79" s="3" t="s">
        <v>4277</v>
      </c>
      <c r="K79" s="3" t="s">
        <v>4165</v>
      </c>
      <c r="L79" s="3" t="s">
        <v>4278</v>
      </c>
      <c r="R79" s="3" t="s">
        <v>1776</v>
      </c>
      <c r="S79" s="3" t="s">
        <v>4</v>
      </c>
    </row>
    <row r="80" spans="1:19" ht="13.5" customHeight="1">
      <c r="A80" s="3">
        <v>12</v>
      </c>
      <c r="B80" s="3">
        <v>37</v>
      </c>
      <c r="C80" s="3" t="s">
        <v>4284</v>
      </c>
      <c r="D80" s="3" t="s">
        <v>1830</v>
      </c>
      <c r="F80" s="3" t="s">
        <v>3413</v>
      </c>
      <c r="J80" s="3" t="s">
        <v>4285</v>
      </c>
      <c r="K80" s="3" t="s">
        <v>4286</v>
      </c>
      <c r="L80" s="3" t="s">
        <v>4287</v>
      </c>
      <c r="R80" s="3" t="s">
        <v>1776</v>
      </c>
      <c r="S80" s="3" t="s">
        <v>4</v>
      </c>
    </row>
    <row r="81" spans="1:19" ht="13.5" customHeight="1">
      <c r="A81" s="3">
        <v>12</v>
      </c>
      <c r="B81" s="3">
        <v>38</v>
      </c>
      <c r="C81" s="3" t="s">
        <v>4288</v>
      </c>
      <c r="D81" s="3" t="s">
        <v>1830</v>
      </c>
      <c r="F81" s="3" t="s">
        <v>3399</v>
      </c>
      <c r="J81" s="3" t="s">
        <v>4113</v>
      </c>
      <c r="K81" s="3" t="s">
        <v>4289</v>
      </c>
      <c r="L81" s="3" t="s">
        <v>4290</v>
      </c>
      <c r="R81" s="3" t="s">
        <v>8</v>
      </c>
      <c r="S81" s="3" t="s">
        <v>4</v>
      </c>
    </row>
    <row r="82" spans="1:19" ht="13.5" customHeight="1">
      <c r="A82" s="3">
        <v>12</v>
      </c>
      <c r="B82" s="3">
        <v>39</v>
      </c>
      <c r="C82" s="3" t="s">
        <v>4293</v>
      </c>
      <c r="D82" s="3" t="s">
        <v>4294</v>
      </c>
      <c r="F82" s="3" t="s">
        <v>4123</v>
      </c>
      <c r="J82" s="3" t="s">
        <v>3</v>
      </c>
      <c r="K82" s="3" t="s">
        <v>3401</v>
      </c>
      <c r="L82" s="3" t="s">
        <v>4295</v>
      </c>
      <c r="R82" s="3" t="s">
        <v>3747</v>
      </c>
      <c r="S82" s="3" t="s">
        <v>4</v>
      </c>
    </row>
    <row r="83" spans="1:19" ht="13.5" customHeight="1">
      <c r="A83" s="3">
        <v>12</v>
      </c>
      <c r="B83" s="3">
        <v>40</v>
      </c>
      <c r="C83" s="3" t="s">
        <v>4296</v>
      </c>
      <c r="D83" s="3" t="s">
        <v>1830</v>
      </c>
      <c r="F83" s="3" t="s">
        <v>3403</v>
      </c>
      <c r="J83" s="3" t="s">
        <v>4297</v>
      </c>
      <c r="R83" s="3" t="s">
        <v>5</v>
      </c>
      <c r="S83" s="3" t="s">
        <v>4</v>
      </c>
    </row>
    <row r="84" spans="1:19" ht="13.5" customHeight="1">
      <c r="A84" s="3">
        <v>12</v>
      </c>
      <c r="B84" s="3">
        <v>41</v>
      </c>
      <c r="C84" s="3" t="s">
        <v>4298</v>
      </c>
      <c r="D84" s="3" t="s">
        <v>1830</v>
      </c>
      <c r="F84" s="3" t="s">
        <v>3399</v>
      </c>
      <c r="J84" s="3" t="s">
        <v>4299</v>
      </c>
      <c r="R84" s="3" t="s">
        <v>16</v>
      </c>
      <c r="S84" s="3" t="s">
        <v>4</v>
      </c>
    </row>
    <row r="85" spans="1:19" ht="13.5" customHeight="1">
      <c r="A85" s="3">
        <v>12</v>
      </c>
      <c r="B85" s="3">
        <v>42</v>
      </c>
      <c r="C85" s="3" t="s">
        <v>4303</v>
      </c>
      <c r="D85" s="3" t="s">
        <v>1815</v>
      </c>
      <c r="F85" s="3" t="s">
        <v>3399</v>
      </c>
      <c r="J85" s="3" t="s">
        <v>4304</v>
      </c>
      <c r="K85" s="3" t="s">
        <v>3768</v>
      </c>
      <c r="R85" s="3" t="s">
        <v>1776</v>
      </c>
      <c r="S85" s="3" t="s">
        <v>4</v>
      </c>
    </row>
    <row r="86" spans="1:19" ht="13.5" customHeight="1">
      <c r="A86" s="3">
        <v>12</v>
      </c>
      <c r="B86" s="3">
        <v>43</v>
      </c>
      <c r="C86" s="3" t="s">
        <v>4318</v>
      </c>
      <c r="D86" s="3" t="s">
        <v>4301</v>
      </c>
      <c r="F86" s="3" t="s">
        <v>4123</v>
      </c>
      <c r="J86" s="3" t="s">
        <v>3401</v>
      </c>
      <c r="K86" s="3" t="s">
        <v>4319</v>
      </c>
      <c r="L86" s="3" t="s">
        <v>4320</v>
      </c>
      <c r="R86" s="3" t="s">
        <v>3747</v>
      </c>
      <c r="S86" s="3" t="s">
        <v>4</v>
      </c>
    </row>
    <row r="87" spans="1:19" ht="13.5" customHeight="1">
      <c r="A87" s="3">
        <v>12</v>
      </c>
      <c r="B87" s="3">
        <v>44</v>
      </c>
      <c r="C87" s="3" t="s">
        <v>4333</v>
      </c>
      <c r="D87" s="3" t="s">
        <v>1816</v>
      </c>
      <c r="F87" s="3" t="s">
        <v>3399</v>
      </c>
      <c r="J87" s="3" t="s">
        <v>4148</v>
      </c>
      <c r="K87" s="3" t="s">
        <v>4334</v>
      </c>
      <c r="R87" s="3" t="s">
        <v>1776</v>
      </c>
      <c r="S87" s="3" t="s">
        <v>4</v>
      </c>
    </row>
    <row r="88" spans="1:19" ht="13.5" customHeight="1">
      <c r="A88" s="3">
        <v>12</v>
      </c>
      <c r="B88" s="3">
        <v>1011</v>
      </c>
      <c r="C88" s="3" t="s">
        <v>2934</v>
      </c>
      <c r="D88" s="3" t="s">
        <v>1837</v>
      </c>
      <c r="E88" s="3">
        <v>2</v>
      </c>
      <c r="F88" s="3" t="s">
        <v>3083</v>
      </c>
      <c r="G88" s="3" t="s">
        <v>3084</v>
      </c>
      <c r="H88" s="3" t="s">
        <v>3051</v>
      </c>
      <c r="J88" s="3" t="s">
        <v>1820</v>
      </c>
      <c r="K88" s="3" t="s">
        <v>1828</v>
      </c>
      <c r="L88" s="3" t="s">
        <v>1835</v>
      </c>
      <c r="P88" s="3">
        <v>2</v>
      </c>
      <c r="Q88" s="60" t="s">
        <v>3569</v>
      </c>
      <c r="R88" s="3" t="s">
        <v>8</v>
      </c>
      <c r="S88" s="3" t="s">
        <v>7</v>
      </c>
    </row>
    <row r="89" spans="1:19" ht="13.5" customHeight="1">
      <c r="A89" s="3">
        <v>12</v>
      </c>
      <c r="B89" s="3">
        <v>1012</v>
      </c>
      <c r="C89" s="3" t="s">
        <v>2935</v>
      </c>
      <c r="D89" s="3" t="s">
        <v>1829</v>
      </c>
      <c r="E89" s="3">
        <v>2</v>
      </c>
      <c r="F89" s="3" t="s">
        <v>3083</v>
      </c>
      <c r="G89" s="3" t="s">
        <v>3084</v>
      </c>
      <c r="H89" s="3" t="s">
        <v>3053</v>
      </c>
      <c r="J89" s="3" t="s">
        <v>1</v>
      </c>
      <c r="K89" s="3" t="s">
        <v>1822</v>
      </c>
      <c r="P89" s="3">
        <v>1</v>
      </c>
      <c r="Q89" s="60" t="s">
        <v>3527</v>
      </c>
      <c r="R89" s="3" t="s">
        <v>17</v>
      </c>
      <c r="S89" s="3" t="s">
        <v>7</v>
      </c>
    </row>
    <row r="90" spans="1:19" ht="13.5" customHeight="1">
      <c r="A90" s="3">
        <v>12</v>
      </c>
      <c r="B90" s="3">
        <v>1013</v>
      </c>
      <c r="C90" s="3" t="s">
        <v>2936</v>
      </c>
      <c r="D90" s="3" t="s">
        <v>1829</v>
      </c>
      <c r="E90" s="3">
        <v>2</v>
      </c>
      <c r="F90" s="3" t="s">
        <v>3083</v>
      </c>
      <c r="G90" s="3" t="s">
        <v>3084</v>
      </c>
      <c r="H90" s="3" t="s">
        <v>3071</v>
      </c>
      <c r="J90" s="3" t="s">
        <v>1823</v>
      </c>
      <c r="P90" s="3">
        <v>1</v>
      </c>
      <c r="Q90" s="60" t="s">
        <v>3527</v>
      </c>
      <c r="R90" s="3" t="s">
        <v>27</v>
      </c>
      <c r="S90" s="3" t="s">
        <v>7</v>
      </c>
    </row>
    <row r="91" spans="1:19" ht="13.5" customHeight="1">
      <c r="A91" s="3">
        <v>12</v>
      </c>
      <c r="B91" s="3">
        <v>1014</v>
      </c>
      <c r="C91" s="3" t="s">
        <v>2937</v>
      </c>
      <c r="D91" s="3" t="s">
        <v>1829</v>
      </c>
      <c r="E91" s="3">
        <v>2</v>
      </c>
      <c r="F91" s="3" t="s">
        <v>3083</v>
      </c>
      <c r="G91" s="3" t="s">
        <v>3084</v>
      </c>
      <c r="H91" s="3" t="s">
        <v>3051</v>
      </c>
      <c r="J91" s="3" t="s">
        <v>1831</v>
      </c>
      <c r="K91" s="3" t="s">
        <v>1833</v>
      </c>
      <c r="P91" s="3">
        <v>2</v>
      </c>
      <c r="Q91" s="60" t="s">
        <v>3569</v>
      </c>
      <c r="R91" s="3" t="s">
        <v>5</v>
      </c>
      <c r="S91" s="3" t="s">
        <v>7</v>
      </c>
    </row>
    <row r="92" spans="1:19" ht="13.5" customHeight="1">
      <c r="A92" s="3">
        <v>12</v>
      </c>
      <c r="B92" s="3">
        <v>1015</v>
      </c>
      <c r="C92" s="3" t="s">
        <v>2938</v>
      </c>
      <c r="D92" s="3" t="s">
        <v>1829</v>
      </c>
      <c r="E92" s="3">
        <v>2</v>
      </c>
      <c r="F92" s="3" t="s">
        <v>3085</v>
      </c>
      <c r="G92" s="3" t="s">
        <v>3084</v>
      </c>
      <c r="H92" s="3" t="s">
        <v>3071</v>
      </c>
      <c r="J92" s="3" t="s">
        <v>1832</v>
      </c>
      <c r="P92" s="3">
        <v>1</v>
      </c>
      <c r="Q92" s="60" t="s">
        <v>3533</v>
      </c>
      <c r="R92" s="3" t="s">
        <v>15</v>
      </c>
      <c r="S92" s="3" t="s">
        <v>7</v>
      </c>
    </row>
    <row r="93" spans="1:19" ht="13.5" customHeight="1">
      <c r="A93" s="8">
        <v>12</v>
      </c>
      <c r="B93" s="8">
        <v>1016</v>
      </c>
      <c r="C93" s="8" t="s">
        <v>2939</v>
      </c>
      <c r="D93" s="8" t="s">
        <v>1830</v>
      </c>
      <c r="E93" s="8">
        <v>3</v>
      </c>
      <c r="F93" s="8" t="s">
        <v>3083</v>
      </c>
      <c r="G93" s="8" t="s">
        <v>3084</v>
      </c>
      <c r="H93" s="8" t="s">
        <v>3071</v>
      </c>
      <c r="I93" s="8"/>
      <c r="J93" s="8" t="s">
        <v>1824</v>
      </c>
      <c r="K93" s="8" t="s">
        <v>1825</v>
      </c>
      <c r="L93" s="8" t="s">
        <v>1836</v>
      </c>
      <c r="M93" s="8"/>
      <c r="N93" s="8"/>
      <c r="O93" s="8"/>
      <c r="P93" s="8">
        <v>0</v>
      </c>
      <c r="Q93" s="62" t="s">
        <v>3527</v>
      </c>
      <c r="R93" s="8" t="s">
        <v>5</v>
      </c>
      <c r="S93" s="8" t="s">
        <v>7</v>
      </c>
    </row>
    <row r="94" spans="1:19" ht="13.5" customHeight="1">
      <c r="A94" s="3">
        <v>12</v>
      </c>
      <c r="B94" s="3">
        <v>1017</v>
      </c>
      <c r="C94" s="3" t="s">
        <v>2940</v>
      </c>
      <c r="D94" s="3" t="s">
        <v>1815</v>
      </c>
      <c r="E94" s="3">
        <v>4</v>
      </c>
      <c r="F94" s="3" t="s">
        <v>3083</v>
      </c>
      <c r="G94" s="3" t="s">
        <v>3084</v>
      </c>
      <c r="H94" s="3" t="s">
        <v>3070</v>
      </c>
      <c r="J94" s="3" t="s">
        <v>1120</v>
      </c>
      <c r="K94" s="3" t="s">
        <v>3916</v>
      </c>
      <c r="L94" s="3" t="s">
        <v>1826</v>
      </c>
      <c r="P94" s="3">
        <v>2</v>
      </c>
      <c r="Q94" s="60" t="s">
        <v>3522</v>
      </c>
      <c r="R94" s="3" t="s">
        <v>36</v>
      </c>
      <c r="S94" s="3" t="s">
        <v>7</v>
      </c>
    </row>
    <row r="95" spans="1:19" ht="13.5" customHeight="1">
      <c r="A95" s="3">
        <v>12</v>
      </c>
      <c r="B95" s="3">
        <v>1018</v>
      </c>
      <c r="C95" s="3" t="s">
        <v>2941</v>
      </c>
      <c r="D95" s="3" t="s">
        <v>1816</v>
      </c>
      <c r="E95" s="3">
        <v>5</v>
      </c>
      <c r="F95" s="3" t="s">
        <v>3083</v>
      </c>
      <c r="G95" s="3" t="s">
        <v>3084</v>
      </c>
      <c r="H95" s="3" t="s">
        <v>3070</v>
      </c>
      <c r="J95" s="3" t="s">
        <v>1827</v>
      </c>
      <c r="K95" s="3" t="s">
        <v>1834</v>
      </c>
      <c r="P95" s="3">
        <v>3</v>
      </c>
      <c r="Q95" s="60" t="s">
        <v>3527</v>
      </c>
      <c r="R95" s="3" t="s">
        <v>30</v>
      </c>
      <c r="S95" s="3" t="s">
        <v>7</v>
      </c>
    </row>
    <row r="96" spans="1:19" ht="13.5" customHeight="1">
      <c r="A96" s="3">
        <v>12</v>
      </c>
      <c r="B96" s="3">
        <v>1047</v>
      </c>
      <c r="C96" s="3" t="s">
        <v>4231</v>
      </c>
      <c r="D96" s="3" t="s">
        <v>4232</v>
      </c>
      <c r="F96" s="3" t="s">
        <v>3403</v>
      </c>
      <c r="J96" s="3" t="s">
        <v>4233</v>
      </c>
      <c r="R96" s="3" t="s">
        <v>3747</v>
      </c>
      <c r="S96" s="3" t="s">
        <v>7</v>
      </c>
    </row>
    <row r="97" spans="1:19" ht="13.5" customHeight="1">
      <c r="A97" s="3">
        <v>12</v>
      </c>
      <c r="B97" s="3">
        <v>1048</v>
      </c>
      <c r="C97" s="3" t="s">
        <v>4249</v>
      </c>
      <c r="D97" s="3" t="s">
        <v>1829</v>
      </c>
      <c r="F97" s="3" t="s">
        <v>3403</v>
      </c>
      <c r="J97" s="3" t="s">
        <v>4113</v>
      </c>
      <c r="K97" s="3" t="s">
        <v>4250</v>
      </c>
      <c r="L97" s="3" t="s">
        <v>4251</v>
      </c>
      <c r="M97" s="3" t="s">
        <v>4252</v>
      </c>
      <c r="R97" s="3" t="s">
        <v>5</v>
      </c>
      <c r="S97" s="3" t="s">
        <v>7</v>
      </c>
    </row>
    <row r="98" spans="1:19" ht="13.5" customHeight="1">
      <c r="A98" s="3">
        <v>12</v>
      </c>
      <c r="B98" s="3">
        <v>1049</v>
      </c>
      <c r="C98" s="3" t="s">
        <v>4253</v>
      </c>
      <c r="D98" s="3" t="s">
        <v>1829</v>
      </c>
      <c r="F98" s="3" t="s">
        <v>3403</v>
      </c>
      <c r="J98" s="3" t="s">
        <v>4254</v>
      </c>
      <c r="R98" s="3" t="s">
        <v>18</v>
      </c>
      <c r="S98" s="3" t="s">
        <v>7</v>
      </c>
    </row>
    <row r="99" spans="1:19" ht="13.5" customHeight="1">
      <c r="A99" s="3">
        <v>12</v>
      </c>
      <c r="B99" s="3">
        <v>1050</v>
      </c>
      <c r="C99" s="3" t="s">
        <v>4255</v>
      </c>
      <c r="D99" s="3" t="s">
        <v>1829</v>
      </c>
      <c r="F99" s="3" t="s">
        <v>3403</v>
      </c>
      <c r="J99" s="3" t="s">
        <v>4256</v>
      </c>
      <c r="R99" s="3" t="s">
        <v>16</v>
      </c>
      <c r="S99" s="3" t="s">
        <v>7</v>
      </c>
    </row>
    <row r="100" spans="1:19" ht="13.5" customHeight="1">
      <c r="A100" s="3">
        <v>12</v>
      </c>
      <c r="B100" s="3">
        <v>1051</v>
      </c>
      <c r="C100" s="3" t="s">
        <v>4260</v>
      </c>
      <c r="D100" s="3" t="s">
        <v>4245</v>
      </c>
      <c r="F100" s="3" t="s">
        <v>3399</v>
      </c>
      <c r="J100" s="3" t="s">
        <v>4261</v>
      </c>
      <c r="R100" s="3" t="s">
        <v>8</v>
      </c>
      <c r="S100" s="3" t="s">
        <v>7</v>
      </c>
    </row>
    <row r="101" spans="1:19" ht="13.5" customHeight="1">
      <c r="A101" s="3">
        <v>12</v>
      </c>
      <c r="B101" s="3">
        <v>1052</v>
      </c>
      <c r="C101" s="3" t="s">
        <v>4262</v>
      </c>
      <c r="D101" s="3" t="s">
        <v>1829</v>
      </c>
      <c r="F101" s="3" t="s">
        <v>4066</v>
      </c>
      <c r="J101" s="3" t="s">
        <v>4263</v>
      </c>
      <c r="K101" s="3" t="s">
        <v>4264</v>
      </c>
      <c r="L101" s="3" t="s">
        <v>3409</v>
      </c>
      <c r="R101" s="3" t="s">
        <v>1776</v>
      </c>
      <c r="S101" s="3" t="s">
        <v>7</v>
      </c>
    </row>
    <row r="102" spans="1:19" ht="13.5" customHeight="1">
      <c r="A102" s="3">
        <v>12</v>
      </c>
      <c r="B102" s="3">
        <v>1053</v>
      </c>
      <c r="C102" s="3" t="s">
        <v>4272</v>
      </c>
      <c r="D102" s="3" t="s">
        <v>1830</v>
      </c>
      <c r="F102" s="3" t="s">
        <v>4123</v>
      </c>
      <c r="J102" s="3" t="s">
        <v>4273</v>
      </c>
      <c r="K102" s="3" t="s">
        <v>4274</v>
      </c>
      <c r="L102" s="3" t="s">
        <v>4275</v>
      </c>
      <c r="R102" s="3" t="s">
        <v>35</v>
      </c>
      <c r="S102" s="3" t="s">
        <v>7</v>
      </c>
    </row>
    <row r="103" spans="1:19" ht="13.5" customHeight="1">
      <c r="A103" s="3">
        <v>12</v>
      </c>
      <c r="B103" s="3">
        <v>1054</v>
      </c>
      <c r="C103" s="3" t="s">
        <v>4291</v>
      </c>
      <c r="D103" s="3" t="s">
        <v>1830</v>
      </c>
      <c r="F103" s="3" t="s">
        <v>3399</v>
      </c>
      <c r="J103" s="3" t="s">
        <v>4292</v>
      </c>
      <c r="R103" s="3" t="s">
        <v>1776</v>
      </c>
      <c r="S103" s="3" t="s">
        <v>7</v>
      </c>
    </row>
    <row r="104" spans="1:19" ht="13.5" customHeight="1">
      <c r="A104" s="3">
        <v>12</v>
      </c>
      <c r="B104" s="3">
        <v>1055</v>
      </c>
      <c r="C104" s="3" t="s">
        <v>4300</v>
      </c>
      <c r="D104" s="3" t="s">
        <v>4301</v>
      </c>
      <c r="F104" s="3" t="s">
        <v>3399</v>
      </c>
      <c r="J104" s="3" t="s">
        <v>4302</v>
      </c>
      <c r="R104" s="3" t="s">
        <v>3747</v>
      </c>
      <c r="S104" s="3" t="s">
        <v>7</v>
      </c>
    </row>
    <row r="105" spans="1:19" ht="13.5" customHeight="1">
      <c r="A105" s="4">
        <v>12</v>
      </c>
      <c r="B105" s="4">
        <v>1056</v>
      </c>
      <c r="C105" s="4" t="s">
        <v>4310</v>
      </c>
      <c r="D105" s="4" t="s">
        <v>1815</v>
      </c>
      <c r="E105" s="4">
        <v>4</v>
      </c>
      <c r="F105" s="4" t="s">
        <v>3399</v>
      </c>
      <c r="G105" s="4"/>
      <c r="H105" s="4"/>
      <c r="I105" s="4"/>
      <c r="J105" s="4" t="s">
        <v>4311</v>
      </c>
      <c r="K105" s="4" t="s">
        <v>4243</v>
      </c>
      <c r="L105" s="4"/>
      <c r="M105" s="4"/>
      <c r="N105" s="4"/>
      <c r="O105" s="4"/>
      <c r="P105" s="4"/>
      <c r="Q105" s="4"/>
      <c r="R105" s="3" t="s">
        <v>5</v>
      </c>
      <c r="S105" s="3" t="s">
        <v>7</v>
      </c>
    </row>
    <row r="106" spans="1:19" ht="13.5" customHeight="1">
      <c r="A106" s="3">
        <v>12</v>
      </c>
      <c r="B106" s="3">
        <v>1057</v>
      </c>
      <c r="C106" s="3" t="s">
        <v>4330</v>
      </c>
      <c r="D106" s="3" t="s">
        <v>4331</v>
      </c>
      <c r="F106" s="3" t="s">
        <v>3403</v>
      </c>
      <c r="J106" s="3" t="s">
        <v>4332</v>
      </c>
      <c r="K106" s="3" t="s">
        <v>4271</v>
      </c>
      <c r="R106" s="3" t="s">
        <v>8</v>
      </c>
      <c r="S106" s="3" t="s">
        <v>7</v>
      </c>
    </row>
    <row r="107" spans="1:19" ht="13.5" customHeight="1">
      <c r="A107" s="3">
        <v>12</v>
      </c>
      <c r="B107" s="8">
        <v>1058</v>
      </c>
      <c r="C107" s="8" t="s">
        <v>4337</v>
      </c>
      <c r="D107" s="8" t="s">
        <v>4338</v>
      </c>
      <c r="E107" s="8"/>
      <c r="F107" s="8" t="s">
        <v>3399</v>
      </c>
      <c r="G107" s="8"/>
      <c r="H107" s="8"/>
      <c r="I107" s="8"/>
      <c r="J107" s="8" t="s">
        <v>4339</v>
      </c>
      <c r="K107" s="8"/>
      <c r="L107" s="8"/>
      <c r="M107" s="8"/>
      <c r="N107" s="8"/>
      <c r="O107" s="8"/>
      <c r="P107" s="8"/>
      <c r="Q107" s="8"/>
      <c r="R107" s="8" t="s">
        <v>5</v>
      </c>
      <c r="S107" s="8" t="s">
        <v>7</v>
      </c>
    </row>
    <row r="108" spans="1:19" ht="13.5" customHeight="1">
      <c r="A108" s="3">
        <v>12</v>
      </c>
      <c r="B108" s="3">
        <v>1059</v>
      </c>
      <c r="C108" s="3" t="s">
        <v>4351</v>
      </c>
      <c r="D108" s="3" t="s">
        <v>4352</v>
      </c>
      <c r="F108" s="3" t="s">
        <v>3399</v>
      </c>
      <c r="J108" s="3" t="s">
        <v>4353</v>
      </c>
      <c r="R108" s="3" t="s">
        <v>8</v>
      </c>
      <c r="S108" s="3" t="s">
        <v>7</v>
      </c>
    </row>
    <row r="109" spans="1:19" ht="13.5" customHeight="1">
      <c r="A109" s="3">
        <v>12</v>
      </c>
      <c r="B109" s="3">
        <v>2009</v>
      </c>
      <c r="C109" s="3" t="s">
        <v>2997</v>
      </c>
      <c r="D109" s="3" t="s">
        <v>1830</v>
      </c>
      <c r="E109" s="3">
        <v>3</v>
      </c>
      <c r="F109" s="3" t="s">
        <v>3083</v>
      </c>
      <c r="G109" s="3" t="s">
        <v>3084</v>
      </c>
      <c r="H109" s="3" t="s">
        <v>3051</v>
      </c>
      <c r="J109" s="3" t="s">
        <v>1838</v>
      </c>
      <c r="K109" s="3" t="s">
        <v>1839</v>
      </c>
      <c r="P109" s="3" t="s">
        <v>4043</v>
      </c>
      <c r="Q109" s="60" t="s">
        <v>3527</v>
      </c>
      <c r="R109" s="3" t="s">
        <v>1845</v>
      </c>
      <c r="S109" s="3" t="s">
        <v>9</v>
      </c>
    </row>
    <row r="110" spans="1:19" ht="13.5" customHeight="1">
      <c r="A110" s="3">
        <v>12</v>
      </c>
      <c r="B110" s="3">
        <v>2010</v>
      </c>
      <c r="C110" s="9" t="s">
        <v>2998</v>
      </c>
      <c r="D110" s="9" t="s">
        <v>1815</v>
      </c>
      <c r="E110" s="9">
        <v>4</v>
      </c>
      <c r="F110" s="9" t="s">
        <v>3083</v>
      </c>
      <c r="G110" s="9" t="s">
        <v>3084</v>
      </c>
      <c r="H110" s="9" t="s">
        <v>3070</v>
      </c>
      <c r="I110" s="9"/>
      <c r="J110" s="9" t="s">
        <v>1840</v>
      </c>
      <c r="K110" s="9"/>
      <c r="L110" s="9"/>
      <c r="M110" s="9"/>
      <c r="N110" s="9"/>
      <c r="O110" s="9"/>
      <c r="P110" s="9" t="s">
        <v>4045</v>
      </c>
      <c r="Q110" s="63" t="s">
        <v>3527</v>
      </c>
      <c r="R110" s="9" t="s">
        <v>30</v>
      </c>
      <c r="S110" s="9" t="s">
        <v>9</v>
      </c>
    </row>
    <row r="111" spans="1:19" ht="13.5" customHeight="1">
      <c r="A111" s="3">
        <v>12</v>
      </c>
      <c r="B111" s="3">
        <v>2011</v>
      </c>
      <c r="C111" s="3" t="s">
        <v>2999</v>
      </c>
      <c r="D111" s="3" t="s">
        <v>1815</v>
      </c>
      <c r="E111" s="3">
        <v>4</v>
      </c>
      <c r="F111" s="3" t="s">
        <v>3083</v>
      </c>
      <c r="G111" s="3" t="s">
        <v>3084</v>
      </c>
      <c r="H111" s="3" t="s">
        <v>3071</v>
      </c>
      <c r="J111" s="3" t="s">
        <v>3</v>
      </c>
      <c r="K111" s="3" t="s">
        <v>1841</v>
      </c>
      <c r="P111" s="3" t="s">
        <v>4044</v>
      </c>
      <c r="Q111" s="60" t="s">
        <v>3533</v>
      </c>
      <c r="R111" s="3" t="s">
        <v>16</v>
      </c>
      <c r="S111" s="3" t="s">
        <v>9</v>
      </c>
    </row>
    <row r="112" spans="1:19" ht="13.5" customHeight="1">
      <c r="A112" s="3">
        <v>12</v>
      </c>
      <c r="B112" s="3">
        <v>2012</v>
      </c>
      <c r="C112" s="3" t="s">
        <v>3000</v>
      </c>
      <c r="D112" s="3" t="s">
        <v>1815</v>
      </c>
      <c r="E112" s="3">
        <v>4</v>
      </c>
      <c r="F112" s="3" t="s">
        <v>3087</v>
      </c>
      <c r="G112" s="3" t="s">
        <v>3084</v>
      </c>
      <c r="H112" s="3" t="s">
        <v>3051</v>
      </c>
      <c r="J112" s="3" t="s">
        <v>1842</v>
      </c>
      <c r="K112" s="3" t="s">
        <v>1843</v>
      </c>
      <c r="L112" s="3" t="s">
        <v>1844</v>
      </c>
      <c r="P112" s="3" t="s">
        <v>4045</v>
      </c>
      <c r="Q112" s="60" t="s">
        <v>3527</v>
      </c>
      <c r="R112" s="3" t="s">
        <v>8</v>
      </c>
      <c r="S112" s="3" t="s">
        <v>9</v>
      </c>
    </row>
    <row r="113" spans="1:19" ht="13.5" customHeight="1">
      <c r="A113" s="3">
        <v>12</v>
      </c>
      <c r="B113" s="3">
        <v>2036</v>
      </c>
      <c r="C113" s="10" t="s">
        <v>4236</v>
      </c>
      <c r="D113" s="10" t="s">
        <v>1829</v>
      </c>
      <c r="E113" s="10"/>
      <c r="F113" s="10" t="s">
        <v>3399</v>
      </c>
      <c r="G113" s="10"/>
      <c r="H113" s="10"/>
      <c r="I113" s="10"/>
      <c r="J113" s="10" t="s">
        <v>4237</v>
      </c>
      <c r="K113" s="10"/>
      <c r="L113" s="10"/>
      <c r="M113" s="10"/>
      <c r="N113" s="10"/>
      <c r="O113" s="10"/>
      <c r="P113" s="10"/>
      <c r="Q113" s="10"/>
      <c r="R113" s="10" t="s">
        <v>8</v>
      </c>
      <c r="S113" s="10" t="s">
        <v>9</v>
      </c>
    </row>
    <row r="114" spans="1:19" ht="13.5" customHeight="1">
      <c r="A114" s="3">
        <v>12</v>
      </c>
      <c r="B114" s="3">
        <v>2037</v>
      </c>
      <c r="C114" s="3" t="s">
        <v>4244</v>
      </c>
      <c r="D114" s="3" t="s">
        <v>4245</v>
      </c>
      <c r="F114" s="3" t="s">
        <v>3399</v>
      </c>
      <c r="J114" s="3" t="s">
        <v>4246</v>
      </c>
      <c r="R114" s="3" t="s">
        <v>5</v>
      </c>
      <c r="S114" s="3" t="s">
        <v>9</v>
      </c>
    </row>
    <row r="115" spans="1:19" ht="13.5" customHeight="1">
      <c r="A115" s="3">
        <v>12</v>
      </c>
      <c r="B115" s="3">
        <v>2038</v>
      </c>
      <c r="C115" s="3" t="s">
        <v>4247</v>
      </c>
      <c r="D115" s="3" t="s">
        <v>1837</v>
      </c>
      <c r="F115" s="3" t="s">
        <v>3403</v>
      </c>
      <c r="J115" s="3" t="s">
        <v>1820</v>
      </c>
      <c r="K115" s="3" t="s">
        <v>4248</v>
      </c>
      <c r="L115" s="3" t="s">
        <v>3768</v>
      </c>
      <c r="R115" s="3" t="s">
        <v>8</v>
      </c>
      <c r="S115" s="3" t="s">
        <v>9</v>
      </c>
    </row>
    <row r="116" spans="1:19" ht="13.5" customHeight="1">
      <c r="A116" s="3">
        <v>12</v>
      </c>
      <c r="B116" s="3">
        <v>2039</v>
      </c>
      <c r="C116" s="3" t="s">
        <v>4267</v>
      </c>
      <c r="D116" s="3" t="s">
        <v>1829</v>
      </c>
      <c r="F116" s="3" t="s">
        <v>3413</v>
      </c>
      <c r="J116" s="3" t="s">
        <v>4268</v>
      </c>
      <c r="R116" s="3" t="s">
        <v>1776</v>
      </c>
      <c r="S116" s="3" t="s">
        <v>9</v>
      </c>
    </row>
    <row r="117" spans="1:19" ht="13.5" customHeight="1">
      <c r="A117" s="3">
        <v>12</v>
      </c>
      <c r="B117" s="3">
        <v>2040</v>
      </c>
      <c r="C117" s="3" t="s">
        <v>4305</v>
      </c>
      <c r="D117" s="3" t="s">
        <v>1815</v>
      </c>
      <c r="F117" s="3" t="s">
        <v>3399</v>
      </c>
      <c r="J117" s="3" t="s">
        <v>4306</v>
      </c>
      <c r="K117" s="3" t="s">
        <v>4243</v>
      </c>
      <c r="R117" s="3" t="s">
        <v>5</v>
      </c>
      <c r="S117" s="3" t="s">
        <v>9</v>
      </c>
    </row>
    <row r="118" spans="1:19" ht="13.5" customHeight="1">
      <c r="A118" s="3">
        <v>12</v>
      </c>
      <c r="B118" s="3">
        <v>2041</v>
      </c>
      <c r="C118" s="3" t="s">
        <v>4307</v>
      </c>
      <c r="D118" s="3" t="s">
        <v>4308</v>
      </c>
      <c r="F118" s="3" t="s">
        <v>3403</v>
      </c>
      <c r="J118" s="3" t="s">
        <v>4309</v>
      </c>
      <c r="R118" s="3" t="s">
        <v>3747</v>
      </c>
      <c r="S118" s="3" t="s">
        <v>9</v>
      </c>
    </row>
    <row r="119" spans="1:19" ht="13.5" customHeight="1">
      <c r="A119" s="3">
        <v>12</v>
      </c>
      <c r="B119" s="3">
        <v>2042</v>
      </c>
      <c r="C119" s="8" t="s">
        <v>4312</v>
      </c>
      <c r="D119" s="8" t="s">
        <v>1815</v>
      </c>
      <c r="E119" s="8"/>
      <c r="F119" s="8" t="s">
        <v>4123</v>
      </c>
      <c r="G119" s="8"/>
      <c r="H119" s="8"/>
      <c r="I119" s="8"/>
      <c r="J119" s="8" t="s">
        <v>3401</v>
      </c>
      <c r="K119" s="8" t="s">
        <v>4313</v>
      </c>
      <c r="L119" s="8" t="s">
        <v>4314</v>
      </c>
      <c r="M119" s="8"/>
      <c r="N119" s="8"/>
      <c r="O119" s="8"/>
      <c r="P119" s="8"/>
      <c r="Q119" s="8"/>
      <c r="R119" s="8" t="s">
        <v>5</v>
      </c>
      <c r="S119" s="8" t="s">
        <v>9</v>
      </c>
    </row>
    <row r="120" spans="1:19" ht="13.5" customHeight="1">
      <c r="A120" s="3">
        <v>12</v>
      </c>
      <c r="B120" s="3">
        <v>2043</v>
      </c>
      <c r="C120" s="3" t="s">
        <v>4335</v>
      </c>
      <c r="D120" s="3" t="s">
        <v>1816</v>
      </c>
      <c r="F120" s="3" t="s">
        <v>3399</v>
      </c>
      <c r="J120" s="3" t="s">
        <v>4336</v>
      </c>
      <c r="R120" s="3" t="s">
        <v>14</v>
      </c>
      <c r="S120" s="3" t="s">
        <v>9</v>
      </c>
    </row>
    <row r="121" spans="1:19" ht="13.5" customHeight="1">
      <c r="A121" s="3">
        <v>12</v>
      </c>
      <c r="B121" s="3">
        <v>2044</v>
      </c>
      <c r="C121" s="3" t="s">
        <v>4340</v>
      </c>
      <c r="D121" s="3" t="s">
        <v>4341</v>
      </c>
      <c r="F121" s="3" t="s">
        <v>3434</v>
      </c>
      <c r="J121" s="3" t="s">
        <v>4342</v>
      </c>
      <c r="K121" s="3" t="s">
        <v>4343</v>
      </c>
      <c r="R121" s="3" t="s">
        <v>3747</v>
      </c>
      <c r="S121" s="3" t="s">
        <v>9</v>
      </c>
    </row>
    <row r="122" spans="1:19" ht="13.5" customHeight="1">
      <c r="A122" s="3">
        <v>12</v>
      </c>
      <c r="B122" s="3">
        <v>2045</v>
      </c>
      <c r="C122" s="3" t="s">
        <v>4344</v>
      </c>
      <c r="D122" s="3" t="s">
        <v>1816</v>
      </c>
      <c r="F122" s="3" t="s">
        <v>3399</v>
      </c>
      <c r="J122" s="3" t="s">
        <v>4345</v>
      </c>
      <c r="R122" s="3" t="s">
        <v>35</v>
      </c>
      <c r="S122" s="3" t="s">
        <v>9</v>
      </c>
    </row>
    <row r="123" spans="1:19" ht="13.5" customHeight="1">
      <c r="A123" s="3">
        <v>12</v>
      </c>
      <c r="B123" s="3">
        <v>2046</v>
      </c>
      <c r="C123" s="9" t="s">
        <v>4346</v>
      </c>
      <c r="D123" s="9" t="s">
        <v>1816</v>
      </c>
      <c r="E123" s="9"/>
      <c r="F123" s="9" t="s">
        <v>3403</v>
      </c>
      <c r="G123" s="9"/>
      <c r="H123" s="9"/>
      <c r="I123" s="9"/>
      <c r="J123" s="9" t="s">
        <v>4162</v>
      </c>
      <c r="K123" s="9" t="s">
        <v>4347</v>
      </c>
      <c r="L123" s="9" t="s">
        <v>4348</v>
      </c>
      <c r="M123" s="9" t="s">
        <v>4349</v>
      </c>
      <c r="N123" s="9"/>
      <c r="O123" s="9" t="s">
        <v>4350</v>
      </c>
      <c r="P123" s="9"/>
      <c r="Q123" s="9"/>
      <c r="R123" s="9" t="s">
        <v>32</v>
      </c>
      <c r="S123" s="9" t="s">
        <v>9</v>
      </c>
    </row>
    <row r="124" spans="1:19" ht="13.5" customHeight="1">
      <c r="A124" s="3">
        <v>12</v>
      </c>
      <c r="B124" s="3">
        <v>2047</v>
      </c>
      <c r="C124" s="3" t="s">
        <v>4358</v>
      </c>
      <c r="D124" s="3" t="s">
        <v>4359</v>
      </c>
      <c r="F124" s="3" t="s">
        <v>3399</v>
      </c>
      <c r="J124" s="3" t="s">
        <v>4360</v>
      </c>
      <c r="R124" s="3" t="s">
        <v>1776</v>
      </c>
      <c r="S124" s="3" t="s">
        <v>9</v>
      </c>
    </row>
    <row r="125" spans="1:19" ht="13.5" customHeight="1">
      <c r="A125" s="3">
        <v>12</v>
      </c>
      <c r="B125" s="3">
        <v>3002</v>
      </c>
      <c r="C125" s="3" t="s">
        <v>3035</v>
      </c>
      <c r="D125" s="3" t="s">
        <v>1815</v>
      </c>
      <c r="E125" s="3">
        <v>4</v>
      </c>
      <c r="F125" s="3" t="s">
        <v>3087</v>
      </c>
      <c r="G125" s="3" t="s">
        <v>3084</v>
      </c>
      <c r="H125" s="3" t="s">
        <v>3051</v>
      </c>
      <c r="J125" s="3" t="s">
        <v>1846</v>
      </c>
      <c r="K125" s="3" t="s">
        <v>1847</v>
      </c>
      <c r="P125" s="3" t="s">
        <v>4046</v>
      </c>
      <c r="Q125" s="60" t="s">
        <v>3522</v>
      </c>
      <c r="R125" s="3" t="s">
        <v>39</v>
      </c>
      <c r="S125" s="3" t="s">
        <v>41</v>
      </c>
    </row>
    <row r="126" spans="1:19" ht="13.5" customHeight="1">
      <c r="A126" s="3">
        <v>12</v>
      </c>
      <c r="B126" s="3">
        <v>3012</v>
      </c>
      <c r="C126" s="3" t="s">
        <v>4279</v>
      </c>
      <c r="D126" s="3" t="s">
        <v>1830</v>
      </c>
      <c r="F126" s="3" t="s">
        <v>4280</v>
      </c>
      <c r="J126" s="3" t="s">
        <v>4281</v>
      </c>
      <c r="K126" s="3" t="s">
        <v>4282</v>
      </c>
      <c r="L126" s="3" t="s">
        <v>4283</v>
      </c>
      <c r="P126" s="3">
        <v>3</v>
      </c>
      <c r="R126" s="3" t="s">
        <v>14</v>
      </c>
      <c r="S126" s="3" t="s">
        <v>41</v>
      </c>
    </row>
    <row r="127" spans="1:19" ht="13.5" customHeight="1">
      <c r="A127" s="3">
        <v>12</v>
      </c>
      <c r="B127" s="3">
        <v>3013</v>
      </c>
      <c r="C127" s="3" t="s">
        <v>4315</v>
      </c>
      <c r="D127" s="3" t="s">
        <v>4316</v>
      </c>
      <c r="F127" s="3" t="s">
        <v>3399</v>
      </c>
      <c r="J127" s="3" t="s">
        <v>4317</v>
      </c>
      <c r="R127" s="3" t="s">
        <v>16</v>
      </c>
      <c r="S127" s="3" t="s">
        <v>41</v>
      </c>
    </row>
    <row r="128" spans="1:19" ht="13.5" customHeight="1">
      <c r="A128" s="3">
        <v>12</v>
      </c>
      <c r="B128" s="3">
        <v>3014</v>
      </c>
      <c r="C128" s="3" t="s">
        <v>4321</v>
      </c>
      <c r="D128" s="3" t="s">
        <v>1815</v>
      </c>
      <c r="F128" s="3" t="s">
        <v>4322</v>
      </c>
      <c r="J128" s="3" t="s">
        <v>4323</v>
      </c>
      <c r="K128" s="3" t="s">
        <v>4324</v>
      </c>
      <c r="L128" s="3" t="s">
        <v>4325</v>
      </c>
      <c r="P128" s="3">
        <v>3</v>
      </c>
      <c r="R128" s="3" t="s">
        <v>176</v>
      </c>
      <c r="S128" s="3" t="s">
        <v>41</v>
      </c>
    </row>
    <row r="129" spans="1:19" ht="13.5" customHeight="1">
      <c r="A129" s="3">
        <v>12</v>
      </c>
      <c r="B129" s="3">
        <v>3015</v>
      </c>
      <c r="C129" s="3" t="s">
        <v>4326</v>
      </c>
      <c r="D129" s="3" t="s">
        <v>1815</v>
      </c>
      <c r="F129" s="3" t="s">
        <v>4322</v>
      </c>
      <c r="J129" s="3" t="s">
        <v>4327</v>
      </c>
      <c r="K129" s="3" t="s">
        <v>4328</v>
      </c>
      <c r="L129" s="3" t="s">
        <v>4329</v>
      </c>
      <c r="P129" s="3">
        <v>5</v>
      </c>
      <c r="R129" s="3" t="s">
        <v>35</v>
      </c>
      <c r="S129" s="3" t="s">
        <v>41</v>
      </c>
    </row>
    <row r="130" spans="1:19" ht="13.5" customHeight="1">
      <c r="A130" s="3">
        <v>12</v>
      </c>
      <c r="B130" s="3">
        <v>3016</v>
      </c>
      <c r="C130" s="3" t="s">
        <v>4354</v>
      </c>
      <c r="D130" s="3" t="s">
        <v>4352</v>
      </c>
      <c r="F130" s="3" t="s">
        <v>4322</v>
      </c>
      <c r="J130" s="3" t="s">
        <v>4355</v>
      </c>
      <c r="K130" s="3" t="s">
        <v>4356</v>
      </c>
      <c r="L130" s="3" t="s">
        <v>4357</v>
      </c>
      <c r="P130" s="3">
        <v>5</v>
      </c>
      <c r="R130" s="3" t="s">
        <v>35</v>
      </c>
      <c r="S130" s="3" t="s">
        <v>41</v>
      </c>
    </row>
    <row r="131" spans="1:19" ht="13.5" customHeight="1">
      <c r="A131" s="4">
        <v>13</v>
      </c>
      <c r="B131" s="5">
        <v>10</v>
      </c>
      <c r="C131" s="5" t="s">
        <v>2906</v>
      </c>
      <c r="D131" s="5" t="s">
        <v>1848</v>
      </c>
      <c r="E131" s="5">
        <v>2</v>
      </c>
      <c r="F131" s="5" t="s">
        <v>3083</v>
      </c>
      <c r="G131" s="5" t="s">
        <v>3084</v>
      </c>
      <c r="H131" s="5" t="s">
        <v>3057</v>
      </c>
      <c r="I131" s="5"/>
      <c r="J131" s="5" t="s">
        <v>1094</v>
      </c>
      <c r="K131" s="5"/>
      <c r="L131" s="5"/>
      <c r="M131" s="5"/>
      <c r="N131" s="5"/>
      <c r="O131" s="5"/>
      <c r="P131" s="5">
        <v>2</v>
      </c>
      <c r="Q131" s="72" t="s">
        <v>3533</v>
      </c>
      <c r="R131" s="14" t="s">
        <v>6</v>
      </c>
      <c r="S131" s="14" t="s">
        <v>4</v>
      </c>
    </row>
    <row r="132" spans="1:19" ht="13.5" customHeight="1">
      <c r="A132" s="3">
        <v>13</v>
      </c>
      <c r="B132" s="3">
        <v>45</v>
      </c>
      <c r="C132" s="3" t="s">
        <v>4361</v>
      </c>
      <c r="D132" s="3" t="s">
        <v>4362</v>
      </c>
      <c r="F132" s="3" t="s">
        <v>3403</v>
      </c>
      <c r="J132" s="3" t="s">
        <v>4363</v>
      </c>
      <c r="R132" s="3" t="s">
        <v>3747</v>
      </c>
      <c r="S132" s="3" t="s">
        <v>4</v>
      </c>
    </row>
    <row r="133" spans="1:19" ht="13.5" customHeight="1">
      <c r="A133" s="3">
        <v>13</v>
      </c>
      <c r="B133" s="3">
        <v>46</v>
      </c>
      <c r="C133" s="3" t="s">
        <v>4364</v>
      </c>
      <c r="D133" s="3" t="s">
        <v>4362</v>
      </c>
      <c r="F133" s="3" t="s">
        <v>4123</v>
      </c>
      <c r="J133" s="3" t="s">
        <v>4365</v>
      </c>
      <c r="K133" s="3" t="s">
        <v>3401</v>
      </c>
      <c r="L133" s="3" t="s">
        <v>4366</v>
      </c>
      <c r="R133" s="3" t="s">
        <v>10</v>
      </c>
      <c r="S133" s="3" t="s">
        <v>4</v>
      </c>
    </row>
    <row r="134" spans="1:19" ht="13.5" customHeight="1">
      <c r="A134" s="3">
        <v>13</v>
      </c>
      <c r="B134" s="3">
        <v>47</v>
      </c>
      <c r="C134" s="3" t="s">
        <v>4375</v>
      </c>
      <c r="D134" s="3" t="s">
        <v>4376</v>
      </c>
      <c r="F134" s="3" t="s">
        <v>4123</v>
      </c>
      <c r="J134" s="3" t="s">
        <v>3401</v>
      </c>
      <c r="K134" s="3" t="s">
        <v>4377</v>
      </c>
      <c r="L134" s="3" t="s">
        <v>4378</v>
      </c>
      <c r="R134" s="3" t="s">
        <v>3747</v>
      </c>
      <c r="S134" s="3" t="s">
        <v>4</v>
      </c>
    </row>
    <row r="135" spans="1:19" ht="13.5" customHeight="1">
      <c r="A135" s="3">
        <v>13</v>
      </c>
      <c r="B135" s="3">
        <v>48</v>
      </c>
      <c r="C135" s="3" t="s">
        <v>4381</v>
      </c>
      <c r="D135" s="3" t="s">
        <v>1852</v>
      </c>
      <c r="F135" s="3" t="s">
        <v>3403</v>
      </c>
      <c r="J135" s="3" t="s">
        <v>4382</v>
      </c>
      <c r="R135" s="3" t="s">
        <v>1776</v>
      </c>
      <c r="S135" s="3" t="s">
        <v>4</v>
      </c>
    </row>
    <row r="136" spans="1:19" ht="13.5" customHeight="1">
      <c r="A136" s="3">
        <v>13</v>
      </c>
      <c r="B136" s="3">
        <v>49</v>
      </c>
      <c r="C136" s="3" t="s">
        <v>4386</v>
      </c>
      <c r="D136" s="3" t="s">
        <v>1853</v>
      </c>
      <c r="F136" s="3" t="s">
        <v>3413</v>
      </c>
      <c r="J136" s="3" t="s">
        <v>4387</v>
      </c>
      <c r="K136" s="3" t="s">
        <v>4388</v>
      </c>
      <c r="L136" s="3" t="s">
        <v>4389</v>
      </c>
      <c r="R136" s="3" t="s">
        <v>1776</v>
      </c>
      <c r="S136" s="3" t="s">
        <v>4</v>
      </c>
    </row>
    <row r="137" spans="1:19" ht="13.5" customHeight="1">
      <c r="A137" s="3">
        <v>13</v>
      </c>
      <c r="B137" s="3">
        <v>50</v>
      </c>
      <c r="C137" s="3" t="s">
        <v>4394</v>
      </c>
      <c r="D137" s="3" t="s">
        <v>1853</v>
      </c>
      <c r="E137" s="3">
        <v>3</v>
      </c>
      <c r="F137" s="3" t="s">
        <v>3399</v>
      </c>
      <c r="J137" s="3" t="s">
        <v>4395</v>
      </c>
      <c r="R137" s="3" t="s">
        <v>15</v>
      </c>
      <c r="S137" s="3" t="s">
        <v>4</v>
      </c>
    </row>
    <row r="138" spans="1:19" ht="13.5" customHeight="1">
      <c r="A138" s="3">
        <v>13</v>
      </c>
      <c r="B138" s="3">
        <v>51</v>
      </c>
      <c r="C138" s="3" t="s">
        <v>4396</v>
      </c>
      <c r="D138" s="3" t="s">
        <v>1853</v>
      </c>
      <c r="F138" s="3" t="s">
        <v>3399</v>
      </c>
      <c r="J138" s="3" t="s">
        <v>4148</v>
      </c>
      <c r="K138" s="3" t="s">
        <v>4397</v>
      </c>
      <c r="R138" s="3" t="s">
        <v>1776</v>
      </c>
      <c r="S138" s="3" t="s">
        <v>4</v>
      </c>
    </row>
    <row r="139" spans="1:19" ht="13.5" customHeight="1">
      <c r="A139" s="3">
        <v>13</v>
      </c>
      <c r="B139" s="3">
        <v>52</v>
      </c>
      <c r="C139" s="3" t="s">
        <v>4400</v>
      </c>
      <c r="D139" s="3" t="s">
        <v>1853</v>
      </c>
      <c r="F139" s="3" t="s">
        <v>3403</v>
      </c>
      <c r="J139" s="3" t="s">
        <v>4401</v>
      </c>
      <c r="R139" s="3" t="s">
        <v>6</v>
      </c>
      <c r="S139" s="3" t="s">
        <v>4</v>
      </c>
    </row>
    <row r="140" spans="1:19" ht="13.5" customHeight="1">
      <c r="A140" s="3">
        <v>13</v>
      </c>
      <c r="B140" s="3">
        <v>53</v>
      </c>
      <c r="C140" s="3" t="s">
        <v>4416</v>
      </c>
      <c r="D140" s="3" t="s">
        <v>4411</v>
      </c>
      <c r="F140" s="3" t="s">
        <v>3399</v>
      </c>
      <c r="J140" s="3" t="s">
        <v>4417</v>
      </c>
      <c r="R140" s="3" t="s">
        <v>3747</v>
      </c>
      <c r="S140" s="3" t="s">
        <v>4</v>
      </c>
    </row>
    <row r="141" spans="1:19" ht="13.5" customHeight="1">
      <c r="A141" s="3">
        <v>13</v>
      </c>
      <c r="B141" s="3">
        <v>54</v>
      </c>
      <c r="C141" s="3" t="s">
        <v>4418</v>
      </c>
      <c r="D141" s="3" t="s">
        <v>1861</v>
      </c>
      <c r="F141" s="3" t="s">
        <v>3403</v>
      </c>
      <c r="J141" s="3" t="s">
        <v>4419</v>
      </c>
      <c r="R141" s="3" t="s">
        <v>10</v>
      </c>
      <c r="S141" s="3" t="s">
        <v>4</v>
      </c>
    </row>
    <row r="142" spans="1:19" ht="13.5" customHeight="1">
      <c r="A142" s="3">
        <v>13</v>
      </c>
      <c r="B142" s="3">
        <v>55</v>
      </c>
      <c r="C142" s="3" t="s">
        <v>4423</v>
      </c>
      <c r="D142" s="3" t="s">
        <v>4424</v>
      </c>
      <c r="F142" s="3" t="s">
        <v>3434</v>
      </c>
      <c r="J142" s="3" t="s">
        <v>4425</v>
      </c>
      <c r="R142" s="3" t="s">
        <v>18</v>
      </c>
      <c r="S142" s="3" t="s">
        <v>4</v>
      </c>
    </row>
    <row r="143" spans="1:19" ht="13.5" customHeight="1">
      <c r="A143" s="3">
        <v>13</v>
      </c>
      <c r="B143" s="3">
        <v>56</v>
      </c>
      <c r="C143" s="3" t="s">
        <v>4445</v>
      </c>
      <c r="D143" s="3" t="s">
        <v>4446</v>
      </c>
      <c r="F143" s="3" t="s">
        <v>3399</v>
      </c>
      <c r="J143" s="3" t="s">
        <v>4447</v>
      </c>
      <c r="K143" s="3" t="s">
        <v>4195</v>
      </c>
      <c r="R143" s="3" t="s">
        <v>3747</v>
      </c>
      <c r="S143" s="3" t="s">
        <v>4</v>
      </c>
    </row>
    <row r="144" spans="1:19" ht="13.5" customHeight="1">
      <c r="A144" s="3">
        <v>13</v>
      </c>
      <c r="B144" s="3">
        <v>57</v>
      </c>
      <c r="C144" s="3" t="s">
        <v>4448</v>
      </c>
      <c r="D144" s="3" t="s">
        <v>4424</v>
      </c>
      <c r="F144" s="3" t="s">
        <v>3399</v>
      </c>
      <c r="J144" s="3" t="s">
        <v>4449</v>
      </c>
      <c r="R144" s="3" t="s">
        <v>6</v>
      </c>
      <c r="S144" s="3" t="s">
        <v>4</v>
      </c>
    </row>
    <row r="145" spans="1:19" ht="13.5" customHeight="1">
      <c r="A145" s="3">
        <v>13</v>
      </c>
      <c r="B145" s="3">
        <v>58</v>
      </c>
      <c r="C145" s="3" t="s">
        <v>4450</v>
      </c>
      <c r="D145" s="3" t="s">
        <v>4424</v>
      </c>
      <c r="F145" s="3" t="s">
        <v>3403</v>
      </c>
      <c r="J145" s="3" t="s">
        <v>4451</v>
      </c>
      <c r="R145" s="3" t="s">
        <v>1776</v>
      </c>
      <c r="S145" s="3" t="s">
        <v>4</v>
      </c>
    </row>
    <row r="146" spans="1:19" ht="13.5" customHeight="1">
      <c r="A146" s="3">
        <v>13</v>
      </c>
      <c r="B146" s="3">
        <v>59</v>
      </c>
      <c r="C146" s="3" t="s">
        <v>4468</v>
      </c>
      <c r="D146" s="3" t="s">
        <v>4462</v>
      </c>
      <c r="F146" s="3" t="s">
        <v>3399</v>
      </c>
      <c r="J146" s="3" t="s">
        <v>4469</v>
      </c>
      <c r="R146" s="3" t="s">
        <v>16</v>
      </c>
      <c r="S146" s="3" t="s">
        <v>4</v>
      </c>
    </row>
    <row r="147" spans="1:19" ht="13.5" customHeight="1">
      <c r="A147" s="3">
        <v>13</v>
      </c>
      <c r="B147" s="3">
        <v>1019</v>
      </c>
      <c r="C147" s="3" t="s">
        <v>2942</v>
      </c>
      <c r="D147" s="3" t="s">
        <v>1852</v>
      </c>
      <c r="E147" s="3">
        <v>2</v>
      </c>
      <c r="F147" s="3" t="s">
        <v>3083</v>
      </c>
      <c r="G147" s="3" t="s">
        <v>3084</v>
      </c>
      <c r="H147" s="3" t="s">
        <v>3075</v>
      </c>
      <c r="J147" s="3" t="s">
        <v>1854</v>
      </c>
      <c r="K147" s="3" t="s">
        <v>1855</v>
      </c>
      <c r="P147" s="3">
        <v>2</v>
      </c>
      <c r="Q147" s="60" t="s">
        <v>3569</v>
      </c>
      <c r="R147" s="3" t="s">
        <v>6</v>
      </c>
      <c r="S147" s="3" t="s">
        <v>7</v>
      </c>
    </row>
    <row r="148" spans="1:19" ht="13.5" customHeight="1">
      <c r="A148" s="3">
        <v>13</v>
      </c>
      <c r="B148" s="3">
        <v>1020</v>
      </c>
      <c r="C148" s="3" t="s">
        <v>2943</v>
      </c>
      <c r="D148" s="3" t="s">
        <v>1853</v>
      </c>
      <c r="E148" s="3">
        <v>3</v>
      </c>
      <c r="F148" s="3" t="s">
        <v>3083</v>
      </c>
      <c r="G148" s="3" t="s">
        <v>3084</v>
      </c>
      <c r="H148" s="3" t="s">
        <v>3051</v>
      </c>
      <c r="J148" s="3" t="s">
        <v>1849</v>
      </c>
      <c r="K148" s="3" t="s">
        <v>1850</v>
      </c>
      <c r="P148" s="3">
        <v>1</v>
      </c>
      <c r="Q148" s="60" t="s">
        <v>3533</v>
      </c>
      <c r="R148" s="3" t="s">
        <v>15</v>
      </c>
      <c r="S148" s="3" t="s">
        <v>7</v>
      </c>
    </row>
    <row r="149" spans="1:19" ht="13.5" customHeight="1">
      <c r="A149" s="3">
        <v>13</v>
      </c>
      <c r="B149" s="3">
        <v>1021</v>
      </c>
      <c r="C149" s="3" t="s">
        <v>2944</v>
      </c>
      <c r="D149" s="3" t="s">
        <v>1853</v>
      </c>
      <c r="E149" s="3">
        <v>3</v>
      </c>
      <c r="F149" s="3" t="s">
        <v>3083</v>
      </c>
      <c r="G149" s="3" t="s">
        <v>3084</v>
      </c>
      <c r="H149" s="3" t="s">
        <v>3063</v>
      </c>
      <c r="J149" s="3" t="s">
        <v>1851</v>
      </c>
      <c r="P149" s="3">
        <v>3</v>
      </c>
      <c r="Q149" s="60" t="s">
        <v>3527</v>
      </c>
      <c r="R149" s="3" t="s">
        <v>35</v>
      </c>
      <c r="S149" s="3" t="s">
        <v>7</v>
      </c>
    </row>
    <row r="150" spans="1:19" ht="13.5" customHeight="1">
      <c r="A150" s="3">
        <v>13</v>
      </c>
      <c r="B150" s="3">
        <v>1060</v>
      </c>
      <c r="C150" s="3" t="s">
        <v>4367</v>
      </c>
      <c r="D150" s="3" t="s">
        <v>1852</v>
      </c>
      <c r="F150" s="3" t="s">
        <v>3403</v>
      </c>
      <c r="J150" s="3" t="s">
        <v>4113</v>
      </c>
      <c r="K150" s="3" t="s">
        <v>4368</v>
      </c>
      <c r="L150" s="3" t="s">
        <v>4369</v>
      </c>
      <c r="M150" s="3" t="s">
        <v>4370</v>
      </c>
      <c r="R150" s="3" t="s">
        <v>6</v>
      </c>
      <c r="S150" s="3" t="s">
        <v>7</v>
      </c>
    </row>
    <row r="151" spans="1:19" ht="13.5" customHeight="1">
      <c r="A151" s="3">
        <v>13</v>
      </c>
      <c r="B151" s="3">
        <v>1061</v>
      </c>
      <c r="C151" s="3" t="s">
        <v>4371</v>
      </c>
      <c r="D151" s="3" t="s">
        <v>1852</v>
      </c>
      <c r="F151" s="3" t="s">
        <v>4066</v>
      </c>
      <c r="J151" s="3" t="s">
        <v>4372</v>
      </c>
      <c r="K151" s="3" t="s">
        <v>3423</v>
      </c>
      <c r="R151" s="3" t="s">
        <v>1776</v>
      </c>
      <c r="S151" s="3" t="s">
        <v>7</v>
      </c>
    </row>
    <row r="152" spans="1:19" ht="13.5" customHeight="1">
      <c r="A152" s="3">
        <v>13</v>
      </c>
      <c r="B152" s="3">
        <v>1062</v>
      </c>
      <c r="C152" s="3" t="s">
        <v>4390</v>
      </c>
      <c r="D152" s="3" t="s">
        <v>1853</v>
      </c>
      <c r="F152" s="3" t="s">
        <v>3434</v>
      </c>
      <c r="J152" s="3" t="s">
        <v>4391</v>
      </c>
      <c r="R152" s="3" t="s">
        <v>10</v>
      </c>
      <c r="S152" s="3" t="s">
        <v>7</v>
      </c>
    </row>
    <row r="153" spans="1:19" ht="13.5" customHeight="1">
      <c r="A153" s="3">
        <v>13</v>
      </c>
      <c r="B153" s="3">
        <v>1063</v>
      </c>
      <c r="C153" s="3" t="s">
        <v>4392</v>
      </c>
      <c r="D153" s="3" t="s">
        <v>1853</v>
      </c>
      <c r="F153" s="3" t="s">
        <v>3403</v>
      </c>
      <c r="J153" s="3" t="s">
        <v>4393</v>
      </c>
      <c r="R153" s="3" t="s">
        <v>16</v>
      </c>
      <c r="S153" s="3" t="s">
        <v>7</v>
      </c>
    </row>
    <row r="154" spans="1:19" ht="13.5" customHeight="1">
      <c r="A154" s="3">
        <v>13</v>
      </c>
      <c r="B154" s="3">
        <v>1064</v>
      </c>
      <c r="C154" s="3" t="s">
        <v>4398</v>
      </c>
      <c r="D154" s="3" t="s">
        <v>1853</v>
      </c>
      <c r="F154" s="3" t="s">
        <v>3403</v>
      </c>
      <c r="J154" s="3" t="s">
        <v>4399</v>
      </c>
      <c r="R154" s="3" t="s">
        <v>26</v>
      </c>
      <c r="S154" s="3" t="s">
        <v>7</v>
      </c>
    </row>
    <row r="155" spans="1:19" ht="13.5" customHeight="1">
      <c r="A155" s="4">
        <v>13</v>
      </c>
      <c r="B155" s="4">
        <v>1065</v>
      </c>
      <c r="C155" s="4" t="s">
        <v>4426</v>
      </c>
      <c r="D155" s="4" t="s">
        <v>4424</v>
      </c>
      <c r="E155" s="4"/>
      <c r="F155" s="4" t="s">
        <v>3403</v>
      </c>
      <c r="G155" s="4"/>
      <c r="H155" s="4"/>
      <c r="I155" s="4"/>
      <c r="J155" s="4" t="s">
        <v>4427</v>
      </c>
      <c r="K155" s="4" t="s">
        <v>4428</v>
      </c>
      <c r="L155" s="4"/>
      <c r="M155" s="4"/>
      <c r="N155" s="4"/>
      <c r="O155" s="4"/>
      <c r="P155" s="4"/>
      <c r="Q155" s="4"/>
      <c r="R155" s="3" t="s">
        <v>10</v>
      </c>
      <c r="S155" s="3" t="s">
        <v>7</v>
      </c>
    </row>
    <row r="156" spans="1:19" ht="13.5" customHeight="1">
      <c r="A156" s="3">
        <v>13</v>
      </c>
      <c r="B156" s="3">
        <v>1066</v>
      </c>
      <c r="C156" s="3" t="s">
        <v>4457</v>
      </c>
      <c r="D156" s="3" t="s">
        <v>4446</v>
      </c>
      <c r="F156" s="3" t="s">
        <v>3399</v>
      </c>
      <c r="J156" s="3" t="s">
        <v>4458</v>
      </c>
      <c r="R156" s="3" t="s">
        <v>3747</v>
      </c>
      <c r="S156" s="3" t="s">
        <v>7</v>
      </c>
    </row>
    <row r="157" spans="1:19" ht="13.5" customHeight="1">
      <c r="A157" s="3">
        <v>13</v>
      </c>
      <c r="B157" s="3">
        <v>1067</v>
      </c>
      <c r="C157" s="8" t="s">
        <v>4459</v>
      </c>
      <c r="D157" s="8" t="s">
        <v>4424</v>
      </c>
      <c r="E157" s="8"/>
      <c r="F157" s="8" t="s">
        <v>3403</v>
      </c>
      <c r="G157" s="8"/>
      <c r="H157" s="8"/>
      <c r="I157" s="8"/>
      <c r="J157" s="8" t="s">
        <v>4148</v>
      </c>
      <c r="K157" s="8" t="s">
        <v>4460</v>
      </c>
      <c r="L157" s="8"/>
      <c r="M157" s="8"/>
      <c r="N157" s="8"/>
      <c r="O157" s="8"/>
      <c r="P157" s="8"/>
      <c r="Q157" s="8"/>
      <c r="R157" s="8" t="s">
        <v>1776</v>
      </c>
      <c r="S157" s="8" t="s">
        <v>7</v>
      </c>
    </row>
    <row r="158" spans="1:19" ht="13.5" customHeight="1">
      <c r="A158" s="3">
        <v>13</v>
      </c>
      <c r="B158" s="3">
        <v>2013</v>
      </c>
      <c r="C158" s="3" t="s">
        <v>3001</v>
      </c>
      <c r="D158" s="3" t="s">
        <v>1853</v>
      </c>
      <c r="E158" s="3">
        <v>3</v>
      </c>
      <c r="F158" s="3" t="s">
        <v>3087</v>
      </c>
      <c r="G158" s="3" t="s">
        <v>3084</v>
      </c>
      <c r="H158" s="3" t="s">
        <v>3053</v>
      </c>
      <c r="J158" s="3" t="s">
        <v>4788</v>
      </c>
      <c r="P158" s="3" t="s">
        <v>4044</v>
      </c>
      <c r="Q158" s="60" t="s">
        <v>3533</v>
      </c>
      <c r="R158" s="3" t="s">
        <v>10</v>
      </c>
      <c r="S158" s="3" t="s">
        <v>9</v>
      </c>
    </row>
    <row r="159" spans="1:19" ht="13.5" customHeight="1">
      <c r="A159" s="3">
        <v>13</v>
      </c>
      <c r="B159" s="3">
        <v>2014</v>
      </c>
      <c r="C159" s="8" t="s">
        <v>3002</v>
      </c>
      <c r="D159" s="8" t="s">
        <v>1860</v>
      </c>
      <c r="E159" s="8">
        <v>3</v>
      </c>
      <c r="F159" s="8" t="s">
        <v>3083</v>
      </c>
      <c r="G159" s="8" t="s">
        <v>3084</v>
      </c>
      <c r="H159" s="8" t="s">
        <v>3051</v>
      </c>
      <c r="I159" s="8"/>
      <c r="J159" s="8" t="s">
        <v>0</v>
      </c>
      <c r="K159" s="8" t="s">
        <v>1857</v>
      </c>
      <c r="L159" s="8"/>
      <c r="M159" s="8"/>
      <c r="N159" s="8"/>
      <c r="O159" s="8"/>
      <c r="P159" s="8" t="s">
        <v>4044</v>
      </c>
      <c r="Q159" s="62" t="s">
        <v>3569</v>
      </c>
      <c r="R159" s="8" t="s">
        <v>10</v>
      </c>
      <c r="S159" s="8" t="s">
        <v>9</v>
      </c>
    </row>
    <row r="160" spans="1:19" ht="13.5" customHeight="1">
      <c r="A160" s="3">
        <v>13</v>
      </c>
      <c r="B160" s="3">
        <v>2015</v>
      </c>
      <c r="C160" s="9" t="s">
        <v>3003</v>
      </c>
      <c r="D160" s="9" t="s">
        <v>1861</v>
      </c>
      <c r="E160" s="9">
        <v>4</v>
      </c>
      <c r="F160" s="9" t="s">
        <v>3087</v>
      </c>
      <c r="G160" s="9" t="s">
        <v>3084</v>
      </c>
      <c r="H160" s="9" t="s">
        <v>3053</v>
      </c>
      <c r="I160" s="9"/>
      <c r="J160" s="9" t="s">
        <v>1487</v>
      </c>
      <c r="K160" s="9" t="s">
        <v>1139</v>
      </c>
      <c r="L160" s="9" t="s">
        <v>1858</v>
      </c>
      <c r="M160" s="9"/>
      <c r="N160" s="9"/>
      <c r="O160" s="9"/>
      <c r="P160" s="9" t="s">
        <v>4044</v>
      </c>
      <c r="Q160" s="63" t="s">
        <v>3527</v>
      </c>
      <c r="R160" s="9" t="s">
        <v>16</v>
      </c>
      <c r="S160" s="9" t="s">
        <v>9</v>
      </c>
    </row>
    <row r="161" spans="1:19" ht="13.5" customHeight="1">
      <c r="A161" s="3">
        <v>13</v>
      </c>
      <c r="B161" s="3">
        <v>2016</v>
      </c>
      <c r="C161" s="3" t="s">
        <v>3004</v>
      </c>
      <c r="D161" s="3" t="s">
        <v>1862</v>
      </c>
      <c r="E161" s="3">
        <v>7</v>
      </c>
      <c r="F161" s="3" t="s">
        <v>3087</v>
      </c>
      <c r="G161" s="3" t="s">
        <v>3084</v>
      </c>
      <c r="H161" s="3" t="s">
        <v>3075</v>
      </c>
      <c r="J161" s="3" t="s">
        <v>1859</v>
      </c>
      <c r="P161" s="3" t="s">
        <v>4049</v>
      </c>
      <c r="Q161" s="60" t="s">
        <v>3522</v>
      </c>
      <c r="R161" s="3" t="s">
        <v>31</v>
      </c>
      <c r="S161" s="3" t="s">
        <v>9</v>
      </c>
    </row>
    <row r="162" spans="1:19" ht="13.5" customHeight="1">
      <c r="A162" s="3">
        <v>13</v>
      </c>
      <c r="B162" s="3">
        <v>2048</v>
      </c>
      <c r="C162" s="3" t="s">
        <v>4373</v>
      </c>
      <c r="D162" s="3" t="s">
        <v>1852</v>
      </c>
      <c r="F162" s="3" t="s">
        <v>3399</v>
      </c>
      <c r="J162" s="3" t="s">
        <v>4374</v>
      </c>
      <c r="R162" s="3" t="s">
        <v>6</v>
      </c>
      <c r="S162" s="3" t="s">
        <v>9</v>
      </c>
    </row>
    <row r="163" spans="1:19" ht="13.5" customHeight="1">
      <c r="A163" s="3">
        <v>13</v>
      </c>
      <c r="B163" s="3">
        <v>2049</v>
      </c>
      <c r="C163" s="3" t="s">
        <v>4379</v>
      </c>
      <c r="D163" s="3" t="s">
        <v>1852</v>
      </c>
      <c r="F163" s="3" t="s">
        <v>3434</v>
      </c>
      <c r="J163" s="3" t="s">
        <v>4380</v>
      </c>
      <c r="R163" s="3" t="s">
        <v>10</v>
      </c>
      <c r="S163" s="3" t="s">
        <v>9</v>
      </c>
    </row>
    <row r="164" spans="1:19" ht="13.5" customHeight="1">
      <c r="A164" s="3">
        <v>13</v>
      </c>
      <c r="B164" s="3">
        <v>2050</v>
      </c>
      <c r="C164" s="3" t="s">
        <v>4402</v>
      </c>
      <c r="D164" s="3" t="s">
        <v>1853</v>
      </c>
      <c r="F164" s="3" t="s">
        <v>3403</v>
      </c>
      <c r="J164" s="3" t="s">
        <v>4162</v>
      </c>
      <c r="K164" s="3" t="s">
        <v>4278</v>
      </c>
      <c r="L164" s="3" t="s">
        <v>4403</v>
      </c>
      <c r="M164" s="3" t="s">
        <v>4369</v>
      </c>
      <c r="O164" s="3" t="s">
        <v>4404</v>
      </c>
      <c r="R164" s="3" t="s">
        <v>32</v>
      </c>
      <c r="S164" s="3" t="s">
        <v>9</v>
      </c>
    </row>
    <row r="165" spans="1:19" ht="13.5" customHeight="1">
      <c r="A165" s="3">
        <v>13</v>
      </c>
      <c r="B165" s="3">
        <v>2051</v>
      </c>
      <c r="C165" s="3" t="s">
        <v>4405</v>
      </c>
      <c r="D165" s="3" t="s">
        <v>4406</v>
      </c>
      <c r="F165" s="3" t="s">
        <v>3434</v>
      </c>
      <c r="J165" s="3" t="s">
        <v>4407</v>
      </c>
      <c r="K165" s="3" t="s">
        <v>4408</v>
      </c>
      <c r="L165" s="3" t="s">
        <v>4409</v>
      </c>
      <c r="R165" s="3" t="s">
        <v>3747</v>
      </c>
      <c r="S165" s="3" t="s">
        <v>9</v>
      </c>
    </row>
    <row r="166" spans="1:19" ht="13.5" customHeight="1">
      <c r="A166" s="3">
        <v>13</v>
      </c>
      <c r="B166" s="3">
        <v>2052</v>
      </c>
      <c r="C166" s="3" t="s">
        <v>4410</v>
      </c>
      <c r="D166" s="3" t="s">
        <v>4411</v>
      </c>
      <c r="F166" s="3" t="s">
        <v>3434</v>
      </c>
      <c r="J166" s="3" t="s">
        <v>4412</v>
      </c>
      <c r="K166" s="3" t="s">
        <v>4413</v>
      </c>
      <c r="R166" s="3" t="s">
        <v>3747</v>
      </c>
      <c r="S166" s="3" t="s">
        <v>9</v>
      </c>
    </row>
    <row r="167" spans="1:19" ht="13.5" customHeight="1">
      <c r="A167" s="3">
        <v>13</v>
      </c>
      <c r="B167" s="3">
        <v>2053</v>
      </c>
      <c r="C167" s="3" t="s">
        <v>4414</v>
      </c>
      <c r="D167" s="3" t="s">
        <v>1861</v>
      </c>
      <c r="F167" s="3" t="s">
        <v>3399</v>
      </c>
      <c r="J167" s="3" t="s">
        <v>4415</v>
      </c>
      <c r="R167" s="3" t="s">
        <v>1776</v>
      </c>
      <c r="S167" s="3" t="s">
        <v>9</v>
      </c>
    </row>
    <row r="168" spans="1:19" ht="13.5" customHeight="1">
      <c r="A168" s="3">
        <v>13</v>
      </c>
      <c r="B168" s="3">
        <v>2054</v>
      </c>
      <c r="C168" s="3" t="s">
        <v>4420</v>
      </c>
      <c r="D168" s="3" t="s">
        <v>1861</v>
      </c>
      <c r="F168" s="3" t="s">
        <v>3399</v>
      </c>
      <c r="J168" s="3" t="s">
        <v>4421</v>
      </c>
      <c r="K168" s="3" t="s">
        <v>4422</v>
      </c>
      <c r="R168" s="3" t="s">
        <v>6</v>
      </c>
      <c r="S168" s="3" t="s">
        <v>9</v>
      </c>
    </row>
    <row r="169" spans="1:19" ht="13.5" customHeight="1">
      <c r="A169" s="3">
        <v>13</v>
      </c>
      <c r="B169" s="3">
        <v>2055</v>
      </c>
      <c r="C169" s="3" t="s">
        <v>4434</v>
      </c>
      <c r="D169" s="3" t="s">
        <v>4435</v>
      </c>
      <c r="F169" s="3" t="s">
        <v>3434</v>
      </c>
      <c r="J169" s="3" t="s">
        <v>4436</v>
      </c>
      <c r="K169" s="3" t="s">
        <v>4437</v>
      </c>
      <c r="R169" s="3" t="s">
        <v>10</v>
      </c>
      <c r="S169" s="3" t="s">
        <v>9</v>
      </c>
    </row>
    <row r="170" spans="1:19" ht="13.5" customHeight="1">
      <c r="A170" s="3">
        <v>13</v>
      </c>
      <c r="B170" s="3">
        <v>2056</v>
      </c>
      <c r="C170" s="3" t="s">
        <v>4438</v>
      </c>
      <c r="D170" s="3" t="s">
        <v>4424</v>
      </c>
      <c r="F170" s="3" t="s">
        <v>3399</v>
      </c>
      <c r="J170" s="3" t="s">
        <v>4439</v>
      </c>
      <c r="R170" s="3" t="s">
        <v>36</v>
      </c>
      <c r="S170" s="3" t="s">
        <v>9</v>
      </c>
    </row>
    <row r="171" spans="1:19" ht="13.5" customHeight="1">
      <c r="A171" s="3">
        <v>13</v>
      </c>
      <c r="B171" s="3">
        <v>2057</v>
      </c>
      <c r="C171" s="3" t="s">
        <v>4440</v>
      </c>
      <c r="D171" s="3" t="s">
        <v>4441</v>
      </c>
      <c r="F171" s="3" t="s">
        <v>3399</v>
      </c>
      <c r="J171" s="3" t="s">
        <v>4442</v>
      </c>
      <c r="R171" s="3" t="s">
        <v>3747</v>
      </c>
      <c r="S171" s="3" t="s">
        <v>9</v>
      </c>
    </row>
    <row r="172" spans="1:19" ht="13.5" customHeight="1">
      <c r="A172" s="3">
        <v>13</v>
      </c>
      <c r="B172" s="3">
        <v>2058</v>
      </c>
      <c r="C172" s="9" t="s">
        <v>4466</v>
      </c>
      <c r="D172" s="9" t="s">
        <v>4462</v>
      </c>
      <c r="E172" s="9"/>
      <c r="F172" s="9" t="s">
        <v>3434</v>
      </c>
      <c r="G172" s="9"/>
      <c r="H172" s="9"/>
      <c r="I172" s="9"/>
      <c r="J172" s="9" t="s">
        <v>4407</v>
      </c>
      <c r="K172" s="9" t="s">
        <v>4467</v>
      </c>
      <c r="L172" s="9"/>
      <c r="M172" s="9"/>
      <c r="N172" s="9"/>
      <c r="O172" s="9"/>
      <c r="P172" s="9"/>
      <c r="Q172" s="9"/>
      <c r="R172" s="9" t="s">
        <v>6</v>
      </c>
      <c r="S172" s="9" t="s">
        <v>9</v>
      </c>
    </row>
    <row r="173" spans="1:19" ht="13.5" customHeight="1">
      <c r="A173" s="3">
        <v>13</v>
      </c>
      <c r="B173" s="3">
        <v>2059</v>
      </c>
      <c r="C173" s="3" t="s">
        <v>4470</v>
      </c>
      <c r="D173" s="3" t="s">
        <v>4471</v>
      </c>
      <c r="F173" s="3" t="s">
        <v>3399</v>
      </c>
      <c r="J173" s="3" t="s">
        <v>4787</v>
      </c>
      <c r="R173" s="3" t="s">
        <v>3747</v>
      </c>
      <c r="S173" s="3" t="s">
        <v>9</v>
      </c>
    </row>
    <row r="174" spans="1:19" ht="13.5" customHeight="1">
      <c r="A174" s="3">
        <v>13</v>
      </c>
      <c r="B174" s="3">
        <v>3017</v>
      </c>
      <c r="C174" s="10" t="s">
        <v>4383</v>
      </c>
      <c r="D174" s="10" t="s">
        <v>4384</v>
      </c>
      <c r="E174" s="10"/>
      <c r="F174" s="10" t="s">
        <v>3399</v>
      </c>
      <c r="G174" s="10"/>
      <c r="H174" s="10"/>
      <c r="I174" s="10"/>
      <c r="J174" s="10" t="s">
        <v>4385</v>
      </c>
      <c r="K174" s="10"/>
      <c r="L174" s="10"/>
      <c r="M174" s="10"/>
      <c r="N174" s="10"/>
      <c r="O174" s="10"/>
      <c r="P174" s="10"/>
      <c r="Q174" s="10"/>
      <c r="R174" s="10" t="s">
        <v>6</v>
      </c>
      <c r="S174" s="10" t="s">
        <v>41</v>
      </c>
    </row>
    <row r="175" spans="1:19" ht="13.5" customHeight="1">
      <c r="A175" s="3">
        <v>13</v>
      </c>
      <c r="B175" s="3">
        <v>3018</v>
      </c>
      <c r="C175" s="3" t="s">
        <v>4429</v>
      </c>
      <c r="D175" s="3" t="s">
        <v>4424</v>
      </c>
      <c r="F175" s="3" t="s">
        <v>4430</v>
      </c>
      <c r="J175" s="3" t="s">
        <v>4431</v>
      </c>
      <c r="K175" s="3" t="s">
        <v>4432</v>
      </c>
      <c r="L175" s="3" t="s">
        <v>4433</v>
      </c>
      <c r="P175" s="3">
        <v>4</v>
      </c>
      <c r="R175" s="3" t="s">
        <v>36</v>
      </c>
      <c r="S175" s="3" t="s">
        <v>41</v>
      </c>
    </row>
    <row r="176" spans="1:19" ht="13.5" customHeight="1">
      <c r="A176" s="3">
        <v>13</v>
      </c>
      <c r="B176" s="3">
        <v>3019</v>
      </c>
      <c r="C176" s="3" t="s">
        <v>4452</v>
      </c>
      <c r="D176" s="3" t="s">
        <v>4424</v>
      </c>
      <c r="F176" s="3" t="s">
        <v>4453</v>
      </c>
      <c r="J176" s="3" t="s">
        <v>4454</v>
      </c>
      <c r="K176" s="3" t="s">
        <v>4455</v>
      </c>
      <c r="L176" s="3" t="s">
        <v>4456</v>
      </c>
      <c r="P176" s="3">
        <v>7</v>
      </c>
      <c r="R176" s="3" t="s">
        <v>170</v>
      </c>
      <c r="S176" s="3" t="s">
        <v>41</v>
      </c>
    </row>
    <row r="177" spans="1:19" ht="13.5" customHeight="1">
      <c r="A177" s="3">
        <v>13</v>
      </c>
      <c r="B177" s="3">
        <v>3020</v>
      </c>
      <c r="C177" s="3" t="s">
        <v>4461</v>
      </c>
      <c r="D177" s="3" t="s">
        <v>4462</v>
      </c>
      <c r="F177" s="3" t="s">
        <v>4430</v>
      </c>
      <c r="J177" s="3" t="s">
        <v>4463</v>
      </c>
      <c r="K177" s="3" t="s">
        <v>4464</v>
      </c>
      <c r="L177" s="3" t="s">
        <v>4465</v>
      </c>
      <c r="P177" s="3">
        <v>5</v>
      </c>
      <c r="R177" s="3" t="s">
        <v>36</v>
      </c>
      <c r="S177" s="3" t="s">
        <v>41</v>
      </c>
    </row>
    <row r="178" spans="1:19" ht="13.5" customHeight="1">
      <c r="A178" s="3">
        <v>13</v>
      </c>
      <c r="B178" s="3">
        <v>20101</v>
      </c>
      <c r="C178" s="3" t="s">
        <v>4443</v>
      </c>
      <c r="D178" s="3" t="s">
        <v>4424</v>
      </c>
      <c r="F178" s="3" t="s">
        <v>3399</v>
      </c>
      <c r="J178" s="3" t="s">
        <v>4444</v>
      </c>
      <c r="R178" s="3" t="s">
        <v>3999</v>
      </c>
      <c r="S178" s="3" t="s">
        <v>4000</v>
      </c>
    </row>
    <row r="179" spans="1:19" ht="13.5" customHeight="1">
      <c r="A179" s="3">
        <v>14</v>
      </c>
      <c r="B179" s="14">
        <v>11</v>
      </c>
      <c r="C179" s="14" t="s">
        <v>2907</v>
      </c>
      <c r="D179" s="14" t="s">
        <v>1867</v>
      </c>
      <c r="E179" s="14">
        <v>1</v>
      </c>
      <c r="F179" s="14" t="s">
        <v>3083</v>
      </c>
      <c r="G179" s="14" t="s">
        <v>3084</v>
      </c>
      <c r="H179" s="14" t="s">
        <v>3066</v>
      </c>
      <c r="I179" s="14"/>
      <c r="J179" s="14" t="s">
        <v>1869</v>
      </c>
      <c r="K179" s="14" t="s">
        <v>1863</v>
      </c>
      <c r="L179" s="14"/>
      <c r="M179" s="14"/>
      <c r="N179" s="14"/>
      <c r="O179" s="14"/>
      <c r="P179" s="14">
        <v>1</v>
      </c>
      <c r="Q179" s="70" t="s">
        <v>3533</v>
      </c>
      <c r="R179" s="14" t="s">
        <v>11</v>
      </c>
      <c r="S179" s="14" t="s">
        <v>4</v>
      </c>
    </row>
    <row r="180" spans="1:19" ht="13.5" customHeight="1">
      <c r="A180" s="3">
        <v>14</v>
      </c>
      <c r="B180" s="14">
        <v>12</v>
      </c>
      <c r="C180" s="14" t="s">
        <v>2908</v>
      </c>
      <c r="D180" s="14" t="s">
        <v>1865</v>
      </c>
      <c r="E180" s="14">
        <v>2</v>
      </c>
      <c r="F180" s="3" t="s">
        <v>3083</v>
      </c>
      <c r="G180" s="3" t="s">
        <v>3084</v>
      </c>
      <c r="H180" s="3" t="s">
        <v>3066</v>
      </c>
      <c r="J180" s="3" t="s">
        <v>1612</v>
      </c>
      <c r="K180" s="3" t="s">
        <v>1864</v>
      </c>
      <c r="P180" s="3">
        <v>1</v>
      </c>
      <c r="Q180" s="60" t="s">
        <v>3533</v>
      </c>
      <c r="R180" s="3" t="s">
        <v>16</v>
      </c>
      <c r="S180" s="3" t="s">
        <v>4</v>
      </c>
    </row>
    <row r="181" spans="1:19" ht="13.5" customHeight="1">
      <c r="A181" s="4">
        <v>14</v>
      </c>
      <c r="B181" s="5">
        <v>13</v>
      </c>
      <c r="C181" s="4" t="s">
        <v>2909</v>
      </c>
      <c r="D181" s="4" t="s">
        <v>1868</v>
      </c>
      <c r="E181" s="4">
        <v>2</v>
      </c>
      <c r="F181" s="4" t="s">
        <v>3083</v>
      </c>
      <c r="G181" s="4" t="s">
        <v>3084</v>
      </c>
      <c r="H181" s="4" t="s">
        <v>3075</v>
      </c>
      <c r="I181" s="4"/>
      <c r="J181" s="4" t="s">
        <v>1866</v>
      </c>
      <c r="K181" s="4"/>
      <c r="L181" s="4"/>
      <c r="M181" s="4"/>
      <c r="N181" s="4"/>
      <c r="O181" s="4"/>
      <c r="P181" s="4">
        <v>2</v>
      </c>
      <c r="Q181" s="19" t="s">
        <v>3569</v>
      </c>
      <c r="R181" s="3" t="s">
        <v>844</v>
      </c>
      <c r="S181" s="3" t="s">
        <v>4</v>
      </c>
    </row>
    <row r="182" spans="1:19" ht="13.5" customHeight="1">
      <c r="A182" s="3">
        <v>14</v>
      </c>
      <c r="B182" s="14">
        <v>14</v>
      </c>
      <c r="C182" s="3" t="s">
        <v>2910</v>
      </c>
      <c r="D182" s="3" t="s">
        <v>1865</v>
      </c>
      <c r="E182" s="3">
        <v>2</v>
      </c>
      <c r="F182" s="3" t="s">
        <v>3083</v>
      </c>
      <c r="G182" s="3" t="s">
        <v>3084</v>
      </c>
      <c r="H182" s="3" t="s">
        <v>3055</v>
      </c>
      <c r="J182" s="3" t="s">
        <v>1094</v>
      </c>
      <c r="P182" s="3">
        <v>2</v>
      </c>
      <c r="Q182" s="60" t="s">
        <v>3569</v>
      </c>
      <c r="R182" s="3" t="s">
        <v>15</v>
      </c>
      <c r="S182" s="3" t="s">
        <v>4</v>
      </c>
    </row>
    <row r="183" spans="1:19" ht="13.5" customHeight="1">
      <c r="A183" s="3">
        <v>14</v>
      </c>
      <c r="B183" s="14">
        <v>15</v>
      </c>
      <c r="C183" s="3" t="s">
        <v>2911</v>
      </c>
      <c r="D183" s="3" t="s">
        <v>1865</v>
      </c>
      <c r="E183" s="3">
        <v>2</v>
      </c>
      <c r="F183" s="3" t="s">
        <v>3083</v>
      </c>
      <c r="G183" s="3" t="s">
        <v>3084</v>
      </c>
      <c r="H183" s="3" t="s">
        <v>3145</v>
      </c>
      <c r="J183" s="3" t="s">
        <v>1394</v>
      </c>
      <c r="K183" s="3" t="s">
        <v>20</v>
      </c>
      <c r="P183" s="3">
        <v>1</v>
      </c>
      <c r="Q183" s="60" t="s">
        <v>3533</v>
      </c>
      <c r="R183" s="3" t="s">
        <v>11</v>
      </c>
      <c r="S183" s="3" t="s">
        <v>4</v>
      </c>
    </row>
    <row r="184" spans="1:19" ht="13.5" customHeight="1">
      <c r="A184" s="3">
        <v>14</v>
      </c>
      <c r="B184" s="3">
        <v>60</v>
      </c>
      <c r="C184" s="3" t="s">
        <v>4486</v>
      </c>
      <c r="D184" s="3" t="s">
        <v>4487</v>
      </c>
      <c r="E184" s="3">
        <v>2</v>
      </c>
      <c r="F184" s="3" t="s">
        <v>3403</v>
      </c>
      <c r="J184" s="3" t="s">
        <v>4488</v>
      </c>
      <c r="R184" s="3" t="s">
        <v>5</v>
      </c>
      <c r="S184" s="3" t="s">
        <v>4</v>
      </c>
    </row>
    <row r="185" spans="1:19" ht="13.5" customHeight="1">
      <c r="A185" s="3">
        <v>14</v>
      </c>
      <c r="B185" s="3">
        <v>61</v>
      </c>
      <c r="C185" s="3" t="s">
        <v>4497</v>
      </c>
      <c r="D185" s="3" t="s">
        <v>1865</v>
      </c>
      <c r="E185" s="3">
        <v>2</v>
      </c>
      <c r="F185" s="3" t="s">
        <v>3403</v>
      </c>
      <c r="J185" s="3" t="s">
        <v>4498</v>
      </c>
      <c r="R185" s="3" t="s">
        <v>1776</v>
      </c>
      <c r="S185" s="3" t="s">
        <v>4</v>
      </c>
    </row>
    <row r="186" spans="1:19" ht="13.5" customHeight="1">
      <c r="A186" s="3">
        <v>14</v>
      </c>
      <c r="B186" s="3">
        <v>62</v>
      </c>
      <c r="C186" s="3" t="s">
        <v>4499</v>
      </c>
      <c r="D186" s="3" t="s">
        <v>4487</v>
      </c>
      <c r="E186" s="3">
        <v>2</v>
      </c>
      <c r="F186" s="3" t="s">
        <v>3403</v>
      </c>
      <c r="J186" s="3" t="s">
        <v>4500</v>
      </c>
      <c r="K186" s="3" t="s">
        <v>3768</v>
      </c>
      <c r="R186" s="3" t="s">
        <v>3747</v>
      </c>
      <c r="S186" s="3" t="s">
        <v>4</v>
      </c>
    </row>
    <row r="187" spans="1:19" ht="13.5" customHeight="1">
      <c r="A187" s="3">
        <v>14</v>
      </c>
      <c r="B187" s="3">
        <v>63</v>
      </c>
      <c r="C187" s="3" t="s">
        <v>4516</v>
      </c>
      <c r="D187" s="3" t="s">
        <v>1874</v>
      </c>
      <c r="E187" s="3">
        <v>3</v>
      </c>
      <c r="F187" s="3" t="s">
        <v>3413</v>
      </c>
      <c r="J187" s="3" t="s">
        <v>4517</v>
      </c>
      <c r="K187" s="3" t="s">
        <v>4518</v>
      </c>
      <c r="L187" s="3" t="s">
        <v>4519</v>
      </c>
      <c r="R187" s="3" t="s">
        <v>1776</v>
      </c>
      <c r="S187" s="3" t="s">
        <v>4</v>
      </c>
    </row>
    <row r="188" spans="1:19" ht="13.5" customHeight="1">
      <c r="A188" s="3">
        <v>14</v>
      </c>
      <c r="B188" s="3">
        <v>64</v>
      </c>
      <c r="C188" s="3" t="s">
        <v>4525</v>
      </c>
      <c r="D188" s="3" t="s">
        <v>1874</v>
      </c>
      <c r="E188" s="3">
        <v>3</v>
      </c>
      <c r="F188" s="3" t="s">
        <v>3403</v>
      </c>
      <c r="J188" s="3" t="s">
        <v>4148</v>
      </c>
      <c r="K188" s="3" t="s">
        <v>4526</v>
      </c>
      <c r="R188" s="3" t="s">
        <v>1776</v>
      </c>
      <c r="S188" s="3" t="s">
        <v>4</v>
      </c>
    </row>
    <row r="189" spans="1:19" ht="13.5" customHeight="1">
      <c r="A189" s="3">
        <v>14</v>
      </c>
      <c r="B189" s="3">
        <v>65</v>
      </c>
      <c r="C189" s="3" t="s">
        <v>4527</v>
      </c>
      <c r="D189" s="3" t="s">
        <v>1874</v>
      </c>
      <c r="E189" s="3">
        <v>3</v>
      </c>
      <c r="F189" s="3" t="s">
        <v>3403</v>
      </c>
      <c r="J189" s="3" t="s">
        <v>4277</v>
      </c>
      <c r="K189" s="3" t="s">
        <v>4528</v>
      </c>
      <c r="L189" s="3" t="s">
        <v>4529</v>
      </c>
      <c r="R189" s="3" t="s">
        <v>15</v>
      </c>
      <c r="S189" s="3" t="s">
        <v>4</v>
      </c>
    </row>
    <row r="190" spans="1:19" ht="13.5" customHeight="1">
      <c r="A190" s="3">
        <v>14</v>
      </c>
      <c r="B190" s="3">
        <v>66</v>
      </c>
      <c r="C190" s="3" t="s">
        <v>4532</v>
      </c>
      <c r="D190" s="3" t="s">
        <v>4523</v>
      </c>
      <c r="E190" s="3">
        <v>3</v>
      </c>
      <c r="F190" s="3" t="s">
        <v>3399</v>
      </c>
      <c r="J190" s="3" t="s">
        <v>4533</v>
      </c>
      <c r="K190" s="3" t="s">
        <v>4534</v>
      </c>
      <c r="R190" s="3" t="s">
        <v>3747</v>
      </c>
      <c r="S190" s="3" t="s">
        <v>4</v>
      </c>
    </row>
    <row r="191" spans="1:19" ht="13.5" customHeight="1">
      <c r="A191" s="3">
        <v>14</v>
      </c>
      <c r="B191" s="3">
        <v>67</v>
      </c>
      <c r="C191" s="3" t="s">
        <v>4551</v>
      </c>
      <c r="D191" s="3" t="s">
        <v>1892</v>
      </c>
      <c r="E191" s="3">
        <v>3</v>
      </c>
      <c r="F191" s="3" t="s">
        <v>3399</v>
      </c>
      <c r="J191" s="3" t="s">
        <v>4552</v>
      </c>
      <c r="R191" s="3" t="s">
        <v>18</v>
      </c>
      <c r="S191" s="3" t="s">
        <v>4</v>
      </c>
    </row>
    <row r="192" spans="1:19" ht="13.5" customHeight="1">
      <c r="A192" s="3">
        <v>14</v>
      </c>
      <c r="B192" s="3">
        <v>68</v>
      </c>
      <c r="C192" s="3" t="s">
        <v>4563</v>
      </c>
      <c r="D192" s="3" t="s">
        <v>4564</v>
      </c>
      <c r="E192" s="3">
        <v>5</v>
      </c>
      <c r="F192" s="3" t="s">
        <v>4123</v>
      </c>
      <c r="J192" s="3" t="s">
        <v>3401</v>
      </c>
      <c r="K192" s="3" t="s">
        <v>4565</v>
      </c>
      <c r="L192" s="3" t="s">
        <v>4566</v>
      </c>
      <c r="R192" s="3" t="s">
        <v>3747</v>
      </c>
      <c r="S192" s="3" t="s">
        <v>4</v>
      </c>
    </row>
    <row r="193" spans="1:19" ht="13.5" customHeight="1">
      <c r="A193" s="3">
        <v>14</v>
      </c>
      <c r="B193" s="3">
        <v>69</v>
      </c>
      <c r="C193" s="3" t="s">
        <v>4567</v>
      </c>
      <c r="D193" s="3" t="s">
        <v>1893</v>
      </c>
      <c r="E193" s="3">
        <v>5</v>
      </c>
      <c r="F193" s="3" t="s">
        <v>4123</v>
      </c>
      <c r="J193" s="3" t="s">
        <v>3401</v>
      </c>
      <c r="K193" s="3" t="s">
        <v>4568</v>
      </c>
      <c r="R193" s="3" t="s">
        <v>5</v>
      </c>
      <c r="S193" s="3" t="s">
        <v>4</v>
      </c>
    </row>
    <row r="194" spans="1:19" ht="13.5" customHeight="1">
      <c r="A194" s="3">
        <v>14</v>
      </c>
      <c r="B194" s="3">
        <v>1022</v>
      </c>
      <c r="C194" s="3" t="s">
        <v>2945</v>
      </c>
      <c r="D194" s="3" t="s">
        <v>1868</v>
      </c>
      <c r="E194" s="3">
        <v>2</v>
      </c>
      <c r="F194" s="3" t="s">
        <v>3083</v>
      </c>
      <c r="G194" s="3" t="s">
        <v>3084</v>
      </c>
      <c r="H194" s="3" t="s">
        <v>3075</v>
      </c>
      <c r="J194" s="3" t="s">
        <v>1869</v>
      </c>
      <c r="K194" s="3" t="s">
        <v>1873</v>
      </c>
      <c r="L194" s="3" t="s">
        <v>1878</v>
      </c>
      <c r="P194" s="3">
        <v>2</v>
      </c>
      <c r="Q194" s="60" t="s">
        <v>3569</v>
      </c>
      <c r="R194" s="3" t="s">
        <v>11</v>
      </c>
      <c r="S194" s="3" t="s">
        <v>7</v>
      </c>
    </row>
    <row r="195" spans="1:19" ht="13.5" customHeight="1">
      <c r="A195" s="3">
        <v>14</v>
      </c>
      <c r="B195" s="3">
        <v>1023</v>
      </c>
      <c r="C195" s="3" t="s">
        <v>2946</v>
      </c>
      <c r="D195" s="3" t="s">
        <v>1865</v>
      </c>
      <c r="E195" s="3">
        <v>2</v>
      </c>
      <c r="F195" s="3" t="s">
        <v>3083</v>
      </c>
      <c r="G195" s="3" t="s">
        <v>3084</v>
      </c>
      <c r="H195" s="3" t="s">
        <v>3055</v>
      </c>
      <c r="J195" s="3" t="s">
        <v>1870</v>
      </c>
      <c r="K195" s="3" t="s">
        <v>1871</v>
      </c>
      <c r="P195" s="3">
        <v>3</v>
      </c>
      <c r="Q195" s="60" t="s">
        <v>3569</v>
      </c>
      <c r="R195" s="3" t="s">
        <v>26</v>
      </c>
      <c r="S195" s="3" t="s">
        <v>7</v>
      </c>
    </row>
    <row r="196" spans="1:19" ht="13.5" customHeight="1">
      <c r="A196" s="3">
        <v>14</v>
      </c>
      <c r="B196" s="3">
        <v>1025</v>
      </c>
      <c r="C196" s="3" t="s">
        <v>2947</v>
      </c>
      <c r="D196" s="3" t="s">
        <v>1865</v>
      </c>
      <c r="E196" s="3">
        <v>2</v>
      </c>
      <c r="F196" s="3" t="s">
        <v>3083</v>
      </c>
      <c r="G196" s="3" t="s">
        <v>3084</v>
      </c>
      <c r="H196" s="3" t="s">
        <v>3075</v>
      </c>
      <c r="J196" s="3" t="s">
        <v>1875</v>
      </c>
      <c r="K196" s="3" t="s">
        <v>1877</v>
      </c>
      <c r="P196" s="3">
        <v>2</v>
      </c>
      <c r="Q196" s="60" t="s">
        <v>3569</v>
      </c>
      <c r="R196" s="3" t="s">
        <v>5</v>
      </c>
      <c r="S196" s="3" t="s">
        <v>7</v>
      </c>
    </row>
    <row r="197" spans="1:19" ht="13.5" customHeight="1">
      <c r="A197" s="3">
        <v>14</v>
      </c>
      <c r="B197" s="3">
        <v>1026</v>
      </c>
      <c r="C197" s="8" t="s">
        <v>2948</v>
      </c>
      <c r="D197" s="8" t="s">
        <v>1874</v>
      </c>
      <c r="E197" s="8">
        <v>3</v>
      </c>
      <c r="F197" s="8" t="s">
        <v>3083</v>
      </c>
      <c r="G197" s="8" t="s">
        <v>3084</v>
      </c>
      <c r="H197" s="8" t="s">
        <v>3075</v>
      </c>
      <c r="I197" s="8"/>
      <c r="J197" s="8" t="s">
        <v>1872</v>
      </c>
      <c r="K197" s="8"/>
      <c r="L197" s="8"/>
      <c r="M197" s="8"/>
      <c r="N197" s="8"/>
      <c r="O197" s="8"/>
      <c r="P197" s="8">
        <v>3</v>
      </c>
      <c r="Q197" s="62" t="s">
        <v>3569</v>
      </c>
      <c r="R197" s="8" t="s">
        <v>1776</v>
      </c>
      <c r="S197" s="8" t="s">
        <v>7</v>
      </c>
    </row>
    <row r="198" spans="1:19" ht="13.5" customHeight="1">
      <c r="A198" s="3">
        <v>14</v>
      </c>
      <c r="B198" s="3">
        <v>1027</v>
      </c>
      <c r="C198" s="3" t="s">
        <v>2949</v>
      </c>
      <c r="D198" s="3" t="s">
        <v>1874</v>
      </c>
      <c r="E198" s="3">
        <v>3</v>
      </c>
      <c r="F198" s="3" t="s">
        <v>3083</v>
      </c>
      <c r="G198" s="3" t="s">
        <v>3084</v>
      </c>
      <c r="H198" s="3" t="s">
        <v>3055</v>
      </c>
      <c r="J198" s="3" t="s">
        <v>1876</v>
      </c>
      <c r="P198" s="3">
        <v>3</v>
      </c>
      <c r="Q198" s="60" t="s">
        <v>3527</v>
      </c>
      <c r="R198" s="3" t="s">
        <v>37</v>
      </c>
      <c r="S198" s="3" t="s">
        <v>7</v>
      </c>
    </row>
    <row r="199" spans="1:19" ht="13.5" customHeight="1">
      <c r="A199" s="3">
        <v>14</v>
      </c>
      <c r="B199" s="3">
        <v>1068</v>
      </c>
      <c r="C199" s="3" t="s">
        <v>4482</v>
      </c>
      <c r="D199" s="3" t="s">
        <v>1867</v>
      </c>
      <c r="E199" s="3">
        <v>1</v>
      </c>
      <c r="F199" s="3" t="s">
        <v>3399</v>
      </c>
      <c r="J199" s="3" t="s">
        <v>4483</v>
      </c>
      <c r="R199" s="3" t="s">
        <v>3747</v>
      </c>
      <c r="S199" s="3" t="s">
        <v>7</v>
      </c>
    </row>
    <row r="200" spans="1:19" ht="13.5" customHeight="1">
      <c r="A200" s="3">
        <v>14</v>
      </c>
      <c r="B200" s="3">
        <v>1069</v>
      </c>
      <c r="C200" s="3" t="s">
        <v>4484</v>
      </c>
      <c r="D200" s="3" t="s">
        <v>1867</v>
      </c>
      <c r="E200" s="3">
        <v>1</v>
      </c>
      <c r="F200" s="3" t="s">
        <v>3403</v>
      </c>
      <c r="J200" s="3" t="s">
        <v>4485</v>
      </c>
      <c r="R200" s="3" t="s">
        <v>3747</v>
      </c>
      <c r="S200" s="3" t="s">
        <v>7</v>
      </c>
    </row>
    <row r="201" spans="1:19" ht="13.5" customHeight="1">
      <c r="A201" s="3">
        <v>14</v>
      </c>
      <c r="B201" s="3">
        <v>1070</v>
      </c>
      <c r="C201" s="3" t="s">
        <v>4501</v>
      </c>
      <c r="D201" s="3" t="s">
        <v>4490</v>
      </c>
      <c r="E201" s="3">
        <v>2</v>
      </c>
      <c r="F201" s="3" t="s">
        <v>3399</v>
      </c>
      <c r="J201" s="3" t="s">
        <v>4502</v>
      </c>
      <c r="R201" s="3" t="s">
        <v>11</v>
      </c>
      <c r="S201" s="3" t="s">
        <v>7</v>
      </c>
    </row>
    <row r="202" spans="1:19" ht="13.5" customHeight="1">
      <c r="A202" s="3">
        <v>14</v>
      </c>
      <c r="B202" s="3">
        <v>1071</v>
      </c>
      <c r="C202" s="3" t="s">
        <v>4503</v>
      </c>
      <c r="D202" s="3" t="s">
        <v>1865</v>
      </c>
      <c r="E202" s="3">
        <v>2</v>
      </c>
      <c r="F202" s="3" t="s">
        <v>3403</v>
      </c>
      <c r="J202" s="3" t="s">
        <v>4504</v>
      </c>
      <c r="R202" s="3" t="s">
        <v>14</v>
      </c>
      <c r="S202" s="3" t="s">
        <v>7</v>
      </c>
    </row>
    <row r="203" spans="1:19" ht="13.5" customHeight="1">
      <c r="A203" s="3">
        <v>14</v>
      </c>
      <c r="B203" s="3">
        <v>1072</v>
      </c>
      <c r="C203" s="3" t="s">
        <v>4505</v>
      </c>
      <c r="D203" s="3" t="s">
        <v>1865</v>
      </c>
      <c r="E203" s="3">
        <v>2</v>
      </c>
      <c r="F203" s="3" t="s">
        <v>3403</v>
      </c>
      <c r="J203" s="3" t="s">
        <v>4113</v>
      </c>
      <c r="K203" s="3" t="s">
        <v>4506</v>
      </c>
      <c r="L203" s="3" t="s">
        <v>4507</v>
      </c>
      <c r="M203" s="3" t="s">
        <v>4508</v>
      </c>
      <c r="R203" s="3" t="s">
        <v>5</v>
      </c>
      <c r="S203" s="3" t="s">
        <v>7</v>
      </c>
    </row>
    <row r="204" spans="1:19" ht="13.5" customHeight="1">
      <c r="A204" s="3">
        <v>14</v>
      </c>
      <c r="B204" s="3">
        <v>1073</v>
      </c>
      <c r="C204" s="3" t="s">
        <v>4509</v>
      </c>
      <c r="D204" s="3" t="s">
        <v>1865</v>
      </c>
      <c r="E204" s="3">
        <v>2</v>
      </c>
      <c r="F204" s="3" t="s">
        <v>3399</v>
      </c>
      <c r="J204" s="3" t="s">
        <v>4510</v>
      </c>
      <c r="R204" s="3" t="s">
        <v>5</v>
      </c>
      <c r="S204" s="3" t="s">
        <v>7</v>
      </c>
    </row>
    <row r="205" spans="1:19" ht="13.5" customHeight="1">
      <c r="A205" s="3">
        <v>14</v>
      </c>
      <c r="B205" s="3">
        <v>1074</v>
      </c>
      <c r="C205" s="3" t="s">
        <v>4522</v>
      </c>
      <c r="D205" s="3" t="s">
        <v>4523</v>
      </c>
      <c r="E205" s="3">
        <v>3</v>
      </c>
      <c r="F205" s="3" t="s">
        <v>3399</v>
      </c>
      <c r="J205" s="3" t="s">
        <v>4524</v>
      </c>
      <c r="R205" s="3" t="s">
        <v>3747</v>
      </c>
      <c r="S205" s="3" t="s">
        <v>7</v>
      </c>
    </row>
    <row r="206" spans="1:19" ht="13.5" customHeight="1">
      <c r="A206" s="3">
        <v>14</v>
      </c>
      <c r="B206" s="3">
        <v>1075</v>
      </c>
      <c r="C206" s="3" t="s">
        <v>4530</v>
      </c>
      <c r="D206" s="3" t="s">
        <v>1874</v>
      </c>
      <c r="E206" s="3">
        <v>3</v>
      </c>
      <c r="F206" s="3" t="s">
        <v>4066</v>
      </c>
      <c r="J206" s="3" t="s">
        <v>4531</v>
      </c>
      <c r="K206" s="3" t="s">
        <v>3118</v>
      </c>
      <c r="R206" s="3" t="s">
        <v>1776</v>
      </c>
      <c r="S206" s="3" t="s">
        <v>7</v>
      </c>
    </row>
    <row r="207" spans="1:19" ht="13.5" customHeight="1">
      <c r="A207" s="3">
        <v>14</v>
      </c>
      <c r="B207" s="3">
        <v>1076</v>
      </c>
      <c r="C207" s="3" t="s">
        <v>4544</v>
      </c>
      <c r="D207" s="3" t="s">
        <v>1892</v>
      </c>
      <c r="E207" s="3">
        <v>4</v>
      </c>
      <c r="F207" s="3" t="s">
        <v>3399</v>
      </c>
      <c r="J207" s="3" t="s">
        <v>4545</v>
      </c>
      <c r="K207" s="3" t="s">
        <v>3749</v>
      </c>
      <c r="R207" s="3" t="s">
        <v>11</v>
      </c>
      <c r="S207" s="3" t="s">
        <v>7</v>
      </c>
    </row>
    <row r="208" spans="1:19" ht="13.5" customHeight="1">
      <c r="A208" s="3">
        <v>14</v>
      </c>
      <c r="B208" s="3">
        <v>1077</v>
      </c>
      <c r="C208" s="3" t="s">
        <v>4561</v>
      </c>
      <c r="D208" s="3" t="s">
        <v>1892</v>
      </c>
      <c r="E208" s="3">
        <v>4</v>
      </c>
      <c r="F208" s="3" t="s">
        <v>3434</v>
      </c>
      <c r="J208" s="3" t="s">
        <v>4562</v>
      </c>
      <c r="R208" s="3" t="s">
        <v>16</v>
      </c>
      <c r="S208" s="3" t="s">
        <v>7</v>
      </c>
    </row>
    <row r="209" spans="1:19" ht="13.5" customHeight="1">
      <c r="A209" s="4">
        <v>14</v>
      </c>
      <c r="B209" s="4">
        <v>1078</v>
      </c>
      <c r="C209" s="4" t="s">
        <v>4569</v>
      </c>
      <c r="D209" s="4" t="s">
        <v>1893</v>
      </c>
      <c r="E209" s="4">
        <v>5</v>
      </c>
      <c r="F209" s="4" t="s">
        <v>3399</v>
      </c>
      <c r="G209" s="4"/>
      <c r="H209" s="4"/>
      <c r="I209" s="4"/>
      <c r="J209" s="4" t="s">
        <v>4570</v>
      </c>
      <c r="K209" s="4"/>
      <c r="L209" s="4"/>
      <c r="M209" s="4"/>
      <c r="N209" s="4"/>
      <c r="O209" s="4"/>
      <c r="P209" s="4"/>
      <c r="Q209" s="4"/>
      <c r="R209" s="3" t="s">
        <v>5</v>
      </c>
      <c r="S209" s="3" t="s">
        <v>7</v>
      </c>
    </row>
    <row r="210" spans="1:19" ht="13.5" customHeight="1">
      <c r="A210" s="3">
        <v>14</v>
      </c>
      <c r="B210" s="3">
        <v>1079</v>
      </c>
      <c r="C210" s="3" t="s">
        <v>4573</v>
      </c>
      <c r="D210" s="3" t="s">
        <v>4574</v>
      </c>
      <c r="E210" s="3">
        <v>6</v>
      </c>
      <c r="F210" s="3" t="s">
        <v>3399</v>
      </c>
      <c r="J210" s="3" t="s">
        <v>4575</v>
      </c>
      <c r="K210" s="3" t="s">
        <v>4576</v>
      </c>
      <c r="R210" s="3" t="s">
        <v>1776</v>
      </c>
      <c r="S210" s="3" t="s">
        <v>7</v>
      </c>
    </row>
    <row r="211" spans="1:19" ht="13.5" customHeight="1">
      <c r="A211" s="3">
        <v>14</v>
      </c>
      <c r="B211" s="3">
        <v>1080</v>
      </c>
      <c r="C211" s="3" t="s">
        <v>4577</v>
      </c>
      <c r="D211" s="3" t="s">
        <v>4574</v>
      </c>
      <c r="E211" s="3">
        <v>6</v>
      </c>
      <c r="F211" s="3" t="s">
        <v>3399</v>
      </c>
      <c r="J211" s="3" t="s">
        <v>4578</v>
      </c>
      <c r="R211" s="3" t="s">
        <v>15</v>
      </c>
      <c r="S211" s="3" t="s">
        <v>7</v>
      </c>
    </row>
    <row r="212" spans="1:19" ht="13.5" customHeight="1">
      <c r="A212" s="3">
        <v>14</v>
      </c>
      <c r="B212" s="3">
        <v>2017</v>
      </c>
      <c r="C212" s="9" t="s">
        <v>3005</v>
      </c>
      <c r="D212" s="9" t="s">
        <v>1880</v>
      </c>
      <c r="E212" s="9">
        <v>4</v>
      </c>
      <c r="F212" s="9" t="s">
        <v>3083</v>
      </c>
      <c r="G212" s="9" t="s">
        <v>3084</v>
      </c>
      <c r="H212" s="9" t="s">
        <v>3055</v>
      </c>
      <c r="I212" s="9"/>
      <c r="J212" s="9" t="s">
        <v>1879</v>
      </c>
      <c r="K212" s="9"/>
      <c r="L212" s="9"/>
      <c r="M212" s="9"/>
      <c r="N212" s="9"/>
      <c r="O212" s="9"/>
      <c r="P212" s="9" t="s">
        <v>4044</v>
      </c>
      <c r="Q212" s="63" t="s">
        <v>3527</v>
      </c>
      <c r="R212" s="9" t="s">
        <v>5</v>
      </c>
      <c r="S212" s="9" t="s">
        <v>9</v>
      </c>
    </row>
    <row r="213" spans="1:19" ht="13.5" customHeight="1">
      <c r="A213" s="3">
        <v>14</v>
      </c>
      <c r="B213" s="3">
        <v>2060</v>
      </c>
      <c r="C213" s="8" t="s">
        <v>4489</v>
      </c>
      <c r="D213" s="8" t="s">
        <v>4490</v>
      </c>
      <c r="E213" s="8"/>
      <c r="F213" s="8" t="s">
        <v>3399</v>
      </c>
      <c r="G213" s="8"/>
      <c r="H213" s="8"/>
      <c r="I213" s="8"/>
      <c r="J213" s="8" t="s">
        <v>4491</v>
      </c>
      <c r="K213" s="8" t="s">
        <v>4492</v>
      </c>
      <c r="L213" s="8" t="s">
        <v>4493</v>
      </c>
      <c r="M213" s="8" t="s">
        <v>4494</v>
      </c>
      <c r="N213" s="8"/>
      <c r="O213" s="8"/>
      <c r="P213" s="8"/>
      <c r="Q213" s="8"/>
      <c r="R213" s="8" t="s">
        <v>5</v>
      </c>
      <c r="S213" s="8" t="s">
        <v>9</v>
      </c>
    </row>
    <row r="214" spans="1:19" ht="13.5" customHeight="1">
      <c r="A214" s="3">
        <v>14</v>
      </c>
      <c r="B214" s="3">
        <v>2061</v>
      </c>
      <c r="C214" s="3" t="s">
        <v>4495</v>
      </c>
      <c r="D214" s="3" t="s">
        <v>1865</v>
      </c>
      <c r="F214" s="3" t="s">
        <v>3403</v>
      </c>
      <c r="J214" s="3" t="s">
        <v>4496</v>
      </c>
      <c r="R214" s="3" t="s">
        <v>5</v>
      </c>
      <c r="S214" s="3" t="s">
        <v>9</v>
      </c>
    </row>
    <row r="215" spans="1:19" ht="13.5" customHeight="1">
      <c r="A215" s="3">
        <v>14</v>
      </c>
      <c r="B215" s="3">
        <v>2062</v>
      </c>
      <c r="C215" s="3" t="s">
        <v>4511</v>
      </c>
      <c r="D215" s="3" t="s">
        <v>1865</v>
      </c>
      <c r="F215" s="3" t="s">
        <v>3403</v>
      </c>
      <c r="J215" s="3" t="s">
        <v>4162</v>
      </c>
      <c r="K215" s="3" t="s">
        <v>4512</v>
      </c>
      <c r="L215" s="3" t="s">
        <v>4513</v>
      </c>
      <c r="M215" s="3" t="s">
        <v>4514</v>
      </c>
      <c r="O215" s="3" t="s">
        <v>4515</v>
      </c>
      <c r="R215" s="3" t="s">
        <v>32</v>
      </c>
      <c r="S215" s="3" t="s">
        <v>9</v>
      </c>
    </row>
    <row r="216" spans="1:19" ht="13.5" customHeight="1">
      <c r="A216" s="3">
        <v>14</v>
      </c>
      <c r="B216" s="3">
        <v>2063</v>
      </c>
      <c r="C216" s="3" t="s">
        <v>4558</v>
      </c>
      <c r="D216" s="3" t="s">
        <v>4559</v>
      </c>
      <c r="F216" s="3" t="s">
        <v>3434</v>
      </c>
      <c r="J216" s="3" t="s">
        <v>4560</v>
      </c>
      <c r="R216" s="3" t="s">
        <v>3747</v>
      </c>
      <c r="S216" s="3" t="s">
        <v>9</v>
      </c>
    </row>
    <row r="217" spans="1:19" ht="13.5" customHeight="1">
      <c r="A217" s="3">
        <v>14</v>
      </c>
      <c r="B217" s="3">
        <v>2064</v>
      </c>
      <c r="C217" s="9" t="s">
        <v>4571</v>
      </c>
      <c r="D217" s="9" t="s">
        <v>1893</v>
      </c>
      <c r="E217" s="9"/>
      <c r="F217" s="9" t="s">
        <v>3434</v>
      </c>
      <c r="G217" s="9"/>
      <c r="H217" s="9"/>
      <c r="I217" s="9"/>
      <c r="J217" s="9" t="s">
        <v>4572</v>
      </c>
      <c r="K217" s="9"/>
      <c r="L217" s="9"/>
      <c r="M217" s="9"/>
      <c r="N217" s="9"/>
      <c r="O217" s="9"/>
      <c r="P217" s="9"/>
      <c r="Q217" s="9"/>
      <c r="R217" s="9" t="s">
        <v>1776</v>
      </c>
      <c r="S217" s="9" t="s">
        <v>9</v>
      </c>
    </row>
    <row r="218" spans="1:19" ht="13.5" customHeight="1">
      <c r="A218" s="3">
        <v>14</v>
      </c>
      <c r="B218" s="3">
        <v>2065</v>
      </c>
      <c r="C218" s="3" t="s">
        <v>4579</v>
      </c>
      <c r="D218" s="3" t="s">
        <v>4574</v>
      </c>
      <c r="F218" s="3" t="s">
        <v>3434</v>
      </c>
      <c r="J218" s="3" t="s">
        <v>4580</v>
      </c>
      <c r="R218" s="3" t="s">
        <v>11</v>
      </c>
      <c r="S218" s="3" t="s">
        <v>9</v>
      </c>
    </row>
    <row r="219" spans="1:19" ht="13.5" customHeight="1">
      <c r="A219" s="3">
        <v>14</v>
      </c>
      <c r="B219" s="3">
        <v>2066</v>
      </c>
      <c r="C219" s="3" t="s">
        <v>4581</v>
      </c>
      <c r="D219" s="3" t="s">
        <v>4582</v>
      </c>
      <c r="F219" s="3" t="s">
        <v>3399</v>
      </c>
      <c r="J219" s="3" t="s">
        <v>4583</v>
      </c>
      <c r="R219" s="3" t="s">
        <v>27</v>
      </c>
      <c r="S219" s="3" t="s">
        <v>9</v>
      </c>
    </row>
    <row r="220" spans="1:19" ht="13.5" customHeight="1">
      <c r="A220" s="3">
        <v>14</v>
      </c>
      <c r="B220" s="3">
        <v>3003</v>
      </c>
      <c r="C220" s="10" t="s">
        <v>4789</v>
      </c>
      <c r="D220" s="10" t="s">
        <v>1892</v>
      </c>
      <c r="E220" s="10">
        <v>4</v>
      </c>
      <c r="F220" s="10" t="s">
        <v>3083</v>
      </c>
      <c r="G220" s="10" t="s">
        <v>3084</v>
      </c>
      <c r="H220" s="10" t="s">
        <v>3079</v>
      </c>
      <c r="I220" s="10"/>
      <c r="J220" s="10" t="s">
        <v>1881</v>
      </c>
      <c r="K220" s="10" t="s">
        <v>1882</v>
      </c>
      <c r="L220" s="10"/>
      <c r="M220" s="10"/>
      <c r="N220" s="10"/>
      <c r="O220" s="10" t="s">
        <v>153</v>
      </c>
      <c r="P220" s="10" t="s">
        <v>4045</v>
      </c>
      <c r="Q220" s="61" t="s">
        <v>3569</v>
      </c>
      <c r="R220" s="10"/>
      <c r="S220" s="10"/>
    </row>
    <row r="221" spans="1:19" ht="13.5" customHeight="1">
      <c r="A221" s="3">
        <v>14</v>
      </c>
      <c r="B221" s="3">
        <v>3004</v>
      </c>
      <c r="C221" s="10" t="s">
        <v>3037</v>
      </c>
      <c r="D221" s="10" t="s">
        <v>3921</v>
      </c>
      <c r="E221" s="10">
        <v>4</v>
      </c>
      <c r="F221" s="10" t="s">
        <v>3083</v>
      </c>
      <c r="G221" s="10" t="s">
        <v>3079</v>
      </c>
      <c r="H221" s="10"/>
      <c r="I221" s="10"/>
      <c r="J221" s="10" t="s">
        <v>20</v>
      </c>
      <c r="K221" s="10" t="s">
        <v>1883</v>
      </c>
      <c r="L221" s="10" t="s">
        <v>1884</v>
      </c>
      <c r="M221" s="10"/>
      <c r="N221" s="10"/>
      <c r="O221" s="10" t="s">
        <v>153</v>
      </c>
      <c r="P221" s="10" t="s">
        <v>4046</v>
      </c>
      <c r="Q221" s="61" t="s">
        <v>3522</v>
      </c>
      <c r="R221" s="10" t="s">
        <v>44</v>
      </c>
      <c r="S221" s="10" t="s">
        <v>41</v>
      </c>
    </row>
    <row r="222" spans="1:19" ht="13.5" customHeight="1">
      <c r="A222" s="3">
        <v>14</v>
      </c>
      <c r="B222" s="3">
        <v>3005</v>
      </c>
      <c r="C222" s="3" t="s">
        <v>3038</v>
      </c>
      <c r="D222" s="3" t="s">
        <v>1893</v>
      </c>
      <c r="E222" s="3">
        <v>5</v>
      </c>
      <c r="F222" s="3" t="s">
        <v>3087</v>
      </c>
      <c r="G222" s="3" t="s">
        <v>3084</v>
      </c>
      <c r="H222" s="3" t="s">
        <v>3055</v>
      </c>
      <c r="J222" s="3" t="s">
        <v>3</v>
      </c>
      <c r="K222" s="3" t="s">
        <v>1885</v>
      </c>
      <c r="L222" s="3" t="s">
        <v>1886</v>
      </c>
      <c r="M222" s="3" t="s">
        <v>1891</v>
      </c>
      <c r="P222" s="3" t="s">
        <v>4044</v>
      </c>
      <c r="Q222" s="60" t="s">
        <v>3522</v>
      </c>
      <c r="R222" s="3" t="s">
        <v>17</v>
      </c>
      <c r="S222" s="3" t="s">
        <v>41</v>
      </c>
    </row>
    <row r="223" spans="1:19" ht="13.5" customHeight="1">
      <c r="A223" s="3">
        <v>14</v>
      </c>
      <c r="B223" s="3">
        <v>3006</v>
      </c>
      <c r="C223" s="3" t="s">
        <v>3039</v>
      </c>
      <c r="D223" s="3" t="s">
        <v>1893</v>
      </c>
      <c r="E223" s="3">
        <v>5</v>
      </c>
      <c r="F223" s="3" t="s">
        <v>3087</v>
      </c>
      <c r="G223" s="3" t="s">
        <v>3084</v>
      </c>
      <c r="H223" s="3" t="s">
        <v>3079</v>
      </c>
      <c r="J223" s="3" t="s">
        <v>1887</v>
      </c>
      <c r="K223" s="3" t="s">
        <v>1888</v>
      </c>
      <c r="O223" s="3" t="s">
        <v>153</v>
      </c>
      <c r="P223" s="3" t="s">
        <v>4046</v>
      </c>
      <c r="Q223" s="60" t="s">
        <v>3522</v>
      </c>
    </row>
    <row r="224" spans="1:19" ht="13.5" customHeight="1">
      <c r="A224" s="3">
        <v>14</v>
      </c>
      <c r="B224" s="3">
        <v>3007</v>
      </c>
      <c r="C224" s="3" t="s">
        <v>3040</v>
      </c>
      <c r="D224" s="3" t="s">
        <v>3921</v>
      </c>
      <c r="E224" s="3">
        <v>5</v>
      </c>
      <c r="F224" s="3" t="s">
        <v>3087</v>
      </c>
      <c r="G224" s="3" t="s">
        <v>3079</v>
      </c>
      <c r="J224" s="3" t="s">
        <v>1889</v>
      </c>
      <c r="K224" s="3" t="s">
        <v>1890</v>
      </c>
      <c r="O224" s="3" t="s">
        <v>153</v>
      </c>
      <c r="P224" s="3" t="s">
        <v>4054</v>
      </c>
      <c r="Q224" s="60" t="s">
        <v>3611</v>
      </c>
      <c r="R224" s="3" t="s">
        <v>39</v>
      </c>
      <c r="S224" s="3" t="s">
        <v>41</v>
      </c>
    </row>
    <row r="225" spans="1:19" ht="13.5" customHeight="1">
      <c r="A225" s="3">
        <v>14</v>
      </c>
      <c r="B225" s="3">
        <v>3021</v>
      </c>
      <c r="C225" s="3" t="s">
        <v>4477</v>
      </c>
      <c r="F225" s="3" t="s">
        <v>4478</v>
      </c>
      <c r="J225" s="3" t="s">
        <v>4474</v>
      </c>
      <c r="K225" s="3" t="s">
        <v>4479</v>
      </c>
      <c r="L225" s="3" t="s">
        <v>4480</v>
      </c>
      <c r="M225" s="3" t="s">
        <v>4481</v>
      </c>
      <c r="R225" s="3" t="s">
        <v>46</v>
      </c>
      <c r="S225" s="3" t="s">
        <v>41</v>
      </c>
    </row>
    <row r="226" spans="1:19" ht="13.5" customHeight="1">
      <c r="A226" s="3">
        <v>14</v>
      </c>
      <c r="B226" s="3">
        <v>3022</v>
      </c>
      <c r="C226" s="3" t="s">
        <v>4535</v>
      </c>
      <c r="D226" s="3" t="s">
        <v>1874</v>
      </c>
      <c r="F226" s="3" t="s">
        <v>4536</v>
      </c>
      <c r="J226" s="3" t="s">
        <v>4537</v>
      </c>
      <c r="K226" s="3" t="s">
        <v>4538</v>
      </c>
      <c r="L226" s="3" t="s">
        <v>4539</v>
      </c>
      <c r="P226" s="3">
        <v>3</v>
      </c>
      <c r="R226" s="3" t="s">
        <v>5</v>
      </c>
      <c r="S226" s="3" t="s">
        <v>41</v>
      </c>
    </row>
    <row r="227" spans="1:19" ht="13.5" customHeight="1">
      <c r="A227" s="3">
        <v>14</v>
      </c>
      <c r="B227" s="3">
        <v>3023</v>
      </c>
      <c r="C227" s="3" t="s">
        <v>4540</v>
      </c>
      <c r="D227" s="3" t="s">
        <v>1892</v>
      </c>
      <c r="F227" s="3" t="s">
        <v>4453</v>
      </c>
      <c r="J227" s="3" t="s">
        <v>4541</v>
      </c>
      <c r="K227" s="3" t="s">
        <v>4542</v>
      </c>
      <c r="L227" s="3" t="s">
        <v>4543</v>
      </c>
      <c r="P227" s="3">
        <v>4</v>
      </c>
      <c r="R227" s="3" t="s">
        <v>15</v>
      </c>
      <c r="S227" s="3" t="s">
        <v>41</v>
      </c>
    </row>
    <row r="228" spans="1:19" ht="13.5" customHeight="1">
      <c r="A228" s="3">
        <v>14</v>
      </c>
      <c r="B228" s="3">
        <v>3024</v>
      </c>
      <c r="C228" s="3" t="s">
        <v>4546</v>
      </c>
      <c r="D228" s="3" t="s">
        <v>1892</v>
      </c>
      <c r="F228" s="3" t="s">
        <v>4547</v>
      </c>
      <c r="J228" s="3" t="s">
        <v>4548</v>
      </c>
      <c r="K228" s="3" t="s">
        <v>4549</v>
      </c>
      <c r="L228" s="3" t="s">
        <v>4550</v>
      </c>
      <c r="P228" s="3">
        <v>3</v>
      </c>
      <c r="R228" s="3" t="s">
        <v>14</v>
      </c>
      <c r="S228" s="3" t="s">
        <v>41</v>
      </c>
    </row>
    <row r="229" spans="1:19" ht="13.5" customHeight="1">
      <c r="A229" s="3">
        <v>14</v>
      </c>
      <c r="B229" s="3">
        <v>3025</v>
      </c>
      <c r="C229" s="3" t="s">
        <v>4553</v>
      </c>
      <c r="D229" s="3" t="s">
        <v>1892</v>
      </c>
      <c r="F229" s="3" t="s">
        <v>4554</v>
      </c>
      <c r="J229" s="3" t="s">
        <v>4555</v>
      </c>
      <c r="K229" s="3" t="s">
        <v>4556</v>
      </c>
      <c r="L229" s="3" t="s">
        <v>4557</v>
      </c>
      <c r="P229" s="3">
        <v>4</v>
      </c>
      <c r="R229" s="3" t="s">
        <v>29</v>
      </c>
      <c r="S229" s="3" t="s">
        <v>41</v>
      </c>
    </row>
    <row r="230" spans="1:19" ht="13.5" customHeight="1">
      <c r="A230" s="3">
        <v>14</v>
      </c>
      <c r="B230" s="3">
        <v>20102</v>
      </c>
      <c r="C230" s="3" t="s">
        <v>4520</v>
      </c>
      <c r="D230" s="3" t="s">
        <v>1874</v>
      </c>
      <c r="F230" s="3" t="s">
        <v>3434</v>
      </c>
      <c r="J230" s="3" t="s">
        <v>4521</v>
      </c>
      <c r="R230" s="3" t="s">
        <v>3999</v>
      </c>
      <c r="S230" s="3" t="s">
        <v>4000</v>
      </c>
    </row>
    <row r="231" spans="1:19" ht="13.5" customHeight="1">
      <c r="A231" s="3">
        <v>14</v>
      </c>
      <c r="C231" s="3" t="s">
        <v>4473</v>
      </c>
      <c r="D231" s="3" t="s">
        <v>1892</v>
      </c>
      <c r="F231" s="3" t="s">
        <v>4474</v>
      </c>
      <c r="J231" s="3" t="s">
        <v>4475</v>
      </c>
      <c r="K231" s="3" t="s">
        <v>4476</v>
      </c>
      <c r="P231" s="3">
        <v>3</v>
      </c>
    </row>
    <row r="232" spans="1:19" ht="13.5" customHeight="1">
      <c r="A232" s="3">
        <v>15</v>
      </c>
      <c r="B232" s="14">
        <v>16</v>
      </c>
      <c r="C232" s="14" t="s">
        <v>2912</v>
      </c>
      <c r="D232" s="14" t="s">
        <v>1894</v>
      </c>
      <c r="E232" s="14">
        <v>2</v>
      </c>
      <c r="F232" s="14" t="s">
        <v>3083</v>
      </c>
      <c r="G232" s="14" t="s">
        <v>3084</v>
      </c>
      <c r="H232" s="14" t="s">
        <v>3049</v>
      </c>
      <c r="I232" s="14"/>
      <c r="J232" s="14" t="s">
        <v>22</v>
      </c>
      <c r="K232" s="14"/>
      <c r="L232" s="14"/>
      <c r="M232" s="14"/>
      <c r="N232" s="14"/>
      <c r="O232" s="14"/>
      <c r="P232" s="14">
        <v>2</v>
      </c>
      <c r="Q232" s="70" t="s">
        <v>3569</v>
      </c>
      <c r="R232" s="14" t="s">
        <v>18</v>
      </c>
      <c r="S232" s="14" t="s">
        <v>4</v>
      </c>
    </row>
    <row r="233" spans="1:19" ht="13.5" customHeight="1">
      <c r="A233" s="3">
        <v>15</v>
      </c>
      <c r="B233" s="14">
        <v>17</v>
      </c>
      <c r="C233" s="14" t="s">
        <v>2913</v>
      </c>
      <c r="D233" s="14" t="s">
        <v>1894</v>
      </c>
      <c r="E233" s="14">
        <v>2</v>
      </c>
      <c r="F233" s="14" t="s">
        <v>3083</v>
      </c>
      <c r="G233" s="14" t="s">
        <v>3084</v>
      </c>
      <c r="H233" s="14" t="s">
        <v>3066</v>
      </c>
      <c r="I233" s="14" t="s">
        <v>3054</v>
      </c>
      <c r="J233" s="14" t="s">
        <v>23</v>
      </c>
      <c r="K233" s="14" t="s">
        <v>1612</v>
      </c>
      <c r="L233" s="14"/>
      <c r="M233" s="14"/>
      <c r="N233" s="14"/>
      <c r="O233" s="14"/>
      <c r="P233" s="14">
        <v>2</v>
      </c>
      <c r="Q233" s="70" t="s">
        <v>3569</v>
      </c>
      <c r="R233" s="14" t="s">
        <v>15</v>
      </c>
      <c r="S233" s="14" t="s">
        <v>4</v>
      </c>
    </row>
    <row r="234" spans="1:19" ht="13.5" customHeight="1">
      <c r="A234" s="3">
        <v>15</v>
      </c>
      <c r="B234" s="3">
        <v>70</v>
      </c>
      <c r="C234" s="3" t="s">
        <v>4587</v>
      </c>
      <c r="D234" s="3" t="s">
        <v>4588</v>
      </c>
      <c r="E234" s="3">
        <v>1</v>
      </c>
      <c r="F234" s="3" t="s">
        <v>3403</v>
      </c>
      <c r="J234" s="3" t="s">
        <v>4589</v>
      </c>
      <c r="K234" s="3" t="s">
        <v>4195</v>
      </c>
      <c r="R234" s="3" t="s">
        <v>3747</v>
      </c>
      <c r="S234" s="3" t="s">
        <v>4</v>
      </c>
    </row>
    <row r="235" spans="1:19" ht="13.5" customHeight="1">
      <c r="A235" s="3">
        <v>15</v>
      </c>
      <c r="B235" s="3">
        <v>71</v>
      </c>
      <c r="C235" s="3" t="s">
        <v>4590</v>
      </c>
      <c r="D235" s="3" t="s">
        <v>4588</v>
      </c>
      <c r="E235" s="3">
        <v>1</v>
      </c>
      <c r="F235" s="3" t="s">
        <v>3399</v>
      </c>
      <c r="J235" s="3" t="s">
        <v>4591</v>
      </c>
      <c r="R235" s="3" t="s">
        <v>3747</v>
      </c>
      <c r="S235" s="3" t="s">
        <v>4</v>
      </c>
    </row>
    <row r="236" spans="1:19" ht="13.5" customHeight="1">
      <c r="A236" s="4">
        <v>15</v>
      </c>
      <c r="B236" s="4">
        <v>72</v>
      </c>
      <c r="C236" s="4" t="s">
        <v>4085</v>
      </c>
      <c r="D236" s="4" t="s">
        <v>4086</v>
      </c>
      <c r="E236" s="4">
        <v>2</v>
      </c>
      <c r="F236" s="4" t="s">
        <v>3403</v>
      </c>
      <c r="G236" s="4"/>
      <c r="H236" s="4"/>
      <c r="I236" s="4"/>
      <c r="J236" s="4" t="s">
        <v>4087</v>
      </c>
      <c r="K236" s="4"/>
      <c r="L236" s="4"/>
      <c r="M236" s="4"/>
      <c r="N236" s="4"/>
      <c r="O236" s="4"/>
      <c r="P236" s="4"/>
      <c r="Q236" s="4"/>
      <c r="R236" s="3" t="s">
        <v>6</v>
      </c>
      <c r="S236" s="3" t="s">
        <v>4</v>
      </c>
    </row>
    <row r="237" spans="1:19" ht="13.5" customHeight="1">
      <c r="A237" s="3">
        <v>15</v>
      </c>
      <c r="B237" s="3">
        <v>73</v>
      </c>
      <c r="C237" s="3" t="s">
        <v>4606</v>
      </c>
      <c r="D237" s="3" t="s">
        <v>1894</v>
      </c>
      <c r="E237" s="3">
        <v>2</v>
      </c>
      <c r="F237" s="3" t="s">
        <v>3403</v>
      </c>
      <c r="J237" s="3" t="s">
        <v>4607</v>
      </c>
      <c r="R237" s="3" t="s">
        <v>15</v>
      </c>
      <c r="S237" s="3" t="s">
        <v>4</v>
      </c>
    </row>
    <row r="238" spans="1:19" ht="13.5" customHeight="1">
      <c r="A238" s="3">
        <v>15</v>
      </c>
      <c r="B238" s="3">
        <v>74</v>
      </c>
      <c r="C238" s="3" t="s">
        <v>4614</v>
      </c>
      <c r="D238" s="3" t="s">
        <v>1894</v>
      </c>
      <c r="E238" s="3">
        <v>2</v>
      </c>
      <c r="F238" s="3" t="s">
        <v>3403</v>
      </c>
      <c r="J238" s="3" t="s">
        <v>4615</v>
      </c>
      <c r="K238" s="3" t="s">
        <v>4615</v>
      </c>
      <c r="L238" s="3" t="s">
        <v>4615</v>
      </c>
      <c r="R238" s="3" t="s">
        <v>8</v>
      </c>
      <c r="S238" s="3" t="s">
        <v>4</v>
      </c>
    </row>
    <row r="239" spans="1:19" ht="13.5" customHeight="1">
      <c r="A239" s="3">
        <v>15</v>
      </c>
      <c r="B239" s="3">
        <v>75</v>
      </c>
      <c r="C239" s="3" t="s">
        <v>4628</v>
      </c>
      <c r="D239" s="3" t="s">
        <v>1898</v>
      </c>
      <c r="E239" s="3">
        <v>3</v>
      </c>
      <c r="F239" s="3" t="s">
        <v>3413</v>
      </c>
      <c r="J239" s="3" t="s">
        <v>4629</v>
      </c>
      <c r="K239" s="3" t="s">
        <v>4630</v>
      </c>
      <c r="L239" s="3" t="s">
        <v>4631</v>
      </c>
      <c r="R239" s="3" t="s">
        <v>1776</v>
      </c>
      <c r="S239" s="3" t="s">
        <v>4</v>
      </c>
    </row>
    <row r="240" spans="1:19" ht="13.5" customHeight="1">
      <c r="A240" s="3">
        <v>15</v>
      </c>
      <c r="B240" s="3">
        <v>76</v>
      </c>
      <c r="C240" s="3" t="s">
        <v>4632</v>
      </c>
      <c r="D240" s="3" t="s">
        <v>1898</v>
      </c>
      <c r="E240" s="3">
        <v>3</v>
      </c>
      <c r="F240" s="3" t="s">
        <v>4123</v>
      </c>
      <c r="J240" s="3" t="s">
        <v>3401</v>
      </c>
      <c r="K240" s="3" t="s">
        <v>3437</v>
      </c>
      <c r="L240" s="3" t="s">
        <v>4633</v>
      </c>
      <c r="R240" s="3" t="s">
        <v>1776</v>
      </c>
      <c r="S240" s="3" t="s">
        <v>4</v>
      </c>
    </row>
    <row r="241" spans="1:19" ht="13.5" customHeight="1">
      <c r="A241" s="3">
        <v>15</v>
      </c>
      <c r="B241" s="3">
        <v>77</v>
      </c>
      <c r="C241" s="3" t="s">
        <v>4634</v>
      </c>
      <c r="D241" s="3" t="s">
        <v>4624</v>
      </c>
      <c r="E241" s="3">
        <v>3</v>
      </c>
      <c r="F241" s="3" t="s">
        <v>4123</v>
      </c>
      <c r="J241" s="3" t="s">
        <v>3401</v>
      </c>
      <c r="K241" s="3" t="s">
        <v>4635</v>
      </c>
      <c r="L241" s="3" t="s">
        <v>4636</v>
      </c>
      <c r="R241" s="3" t="s">
        <v>3747</v>
      </c>
      <c r="S241" s="3" t="s">
        <v>4</v>
      </c>
    </row>
    <row r="242" spans="1:19" ht="13.5" customHeight="1">
      <c r="A242" s="3">
        <v>15</v>
      </c>
      <c r="B242" s="3">
        <v>78</v>
      </c>
      <c r="C242" s="3" t="s">
        <v>4642</v>
      </c>
      <c r="D242" s="3" t="s">
        <v>1898</v>
      </c>
      <c r="E242" s="3">
        <v>3</v>
      </c>
      <c r="F242" s="3" t="s">
        <v>3403</v>
      </c>
      <c r="J242" s="3" t="s">
        <v>4643</v>
      </c>
      <c r="K242" s="3" t="s">
        <v>4644</v>
      </c>
      <c r="R242" s="3" t="s">
        <v>6</v>
      </c>
      <c r="S242" s="3" t="s">
        <v>4</v>
      </c>
    </row>
    <row r="243" spans="1:19" ht="13.5" customHeight="1">
      <c r="A243" s="3">
        <v>15</v>
      </c>
      <c r="B243" s="3">
        <v>79</v>
      </c>
      <c r="C243" s="3" t="s">
        <v>4658</v>
      </c>
      <c r="D243" s="3" t="s">
        <v>1899</v>
      </c>
      <c r="E243" s="3">
        <v>4</v>
      </c>
      <c r="F243" s="3" t="s">
        <v>3399</v>
      </c>
      <c r="J243" s="3" t="s">
        <v>4148</v>
      </c>
      <c r="K243" s="3" t="s">
        <v>4659</v>
      </c>
      <c r="R243" s="3" t="s">
        <v>1776</v>
      </c>
      <c r="S243" s="3" t="s">
        <v>4</v>
      </c>
    </row>
    <row r="244" spans="1:19" ht="13.5" customHeight="1">
      <c r="A244" s="3">
        <v>15</v>
      </c>
      <c r="B244" s="3">
        <v>80</v>
      </c>
      <c r="C244" s="3" t="s">
        <v>4096</v>
      </c>
      <c r="D244" s="3" t="s">
        <v>4097</v>
      </c>
      <c r="E244" s="3">
        <v>6</v>
      </c>
      <c r="F244" s="3" t="s">
        <v>3399</v>
      </c>
      <c r="J244" s="3" t="s">
        <v>4098</v>
      </c>
      <c r="R244" s="3" t="s">
        <v>6</v>
      </c>
      <c r="S244" s="3" t="s">
        <v>4</v>
      </c>
    </row>
    <row r="245" spans="1:19" ht="13.5" customHeight="1">
      <c r="A245" s="3">
        <v>15</v>
      </c>
      <c r="B245" s="3">
        <v>1028</v>
      </c>
      <c r="C245" s="3" t="s">
        <v>2950</v>
      </c>
      <c r="D245" s="3" t="s">
        <v>1898</v>
      </c>
      <c r="E245" s="3">
        <v>3</v>
      </c>
      <c r="F245" s="3" t="s">
        <v>3083</v>
      </c>
      <c r="G245" s="3" t="s">
        <v>3084</v>
      </c>
      <c r="H245" s="3" t="s">
        <v>3054</v>
      </c>
      <c r="J245" s="3" t="s">
        <v>23</v>
      </c>
      <c r="K245" s="3" t="s">
        <v>3917</v>
      </c>
      <c r="P245" s="3">
        <v>2</v>
      </c>
      <c r="Q245" s="60" t="s">
        <v>3527</v>
      </c>
      <c r="R245" s="3" t="s">
        <v>48</v>
      </c>
      <c r="S245" s="3" t="s">
        <v>7</v>
      </c>
    </row>
    <row r="246" spans="1:19" ht="13.5" customHeight="1">
      <c r="A246" s="6">
        <v>15</v>
      </c>
      <c r="B246" s="6">
        <v>1029</v>
      </c>
      <c r="C246" s="6" t="s">
        <v>2951</v>
      </c>
      <c r="D246" s="6" t="s">
        <v>1898</v>
      </c>
      <c r="E246" s="6">
        <v>3</v>
      </c>
      <c r="F246" s="6" t="s">
        <v>3083</v>
      </c>
      <c r="G246" s="6" t="s">
        <v>3084</v>
      </c>
      <c r="H246" s="6" t="s">
        <v>3066</v>
      </c>
      <c r="I246" s="6"/>
      <c r="J246" s="6" t="s">
        <v>1634</v>
      </c>
      <c r="K246" s="6" t="s">
        <v>1895</v>
      </c>
      <c r="L246" s="6"/>
      <c r="M246" s="6"/>
      <c r="N246" s="6"/>
      <c r="O246" s="6"/>
      <c r="P246" s="6">
        <v>2</v>
      </c>
      <c r="Q246" s="18" t="s">
        <v>3527</v>
      </c>
      <c r="R246" s="3" t="s">
        <v>36</v>
      </c>
      <c r="S246" s="3" t="s">
        <v>7</v>
      </c>
    </row>
    <row r="247" spans="1:19" ht="13.5" customHeight="1">
      <c r="A247" s="3">
        <v>15</v>
      </c>
      <c r="B247" s="3">
        <v>1030</v>
      </c>
      <c r="C247" s="3" t="s">
        <v>2952</v>
      </c>
      <c r="D247" s="3" t="s">
        <v>1898</v>
      </c>
      <c r="E247" s="3">
        <v>3</v>
      </c>
      <c r="F247" s="3" t="s">
        <v>3083</v>
      </c>
      <c r="G247" s="3" t="s">
        <v>3084</v>
      </c>
      <c r="H247" s="3" t="s">
        <v>3055</v>
      </c>
      <c r="J247" s="3" t="s">
        <v>1896</v>
      </c>
      <c r="P247" s="3">
        <v>3</v>
      </c>
      <c r="Q247" s="60" t="s">
        <v>3569</v>
      </c>
      <c r="R247" s="3" t="s">
        <v>35</v>
      </c>
      <c r="S247" s="3" t="s">
        <v>7</v>
      </c>
    </row>
    <row r="248" spans="1:19" ht="13.5" customHeight="1">
      <c r="A248" s="4">
        <v>15</v>
      </c>
      <c r="B248" s="4">
        <v>1031</v>
      </c>
      <c r="C248" s="4" t="s">
        <v>2953</v>
      </c>
      <c r="D248" s="4" t="s">
        <v>1899</v>
      </c>
      <c r="E248" s="4">
        <v>4</v>
      </c>
      <c r="F248" s="4" t="s">
        <v>3083</v>
      </c>
      <c r="G248" s="4" t="s">
        <v>3084</v>
      </c>
      <c r="H248" s="4" t="s">
        <v>3055</v>
      </c>
      <c r="I248" s="4"/>
      <c r="J248" s="4" t="s">
        <v>3918</v>
      </c>
      <c r="K248" s="4"/>
      <c r="L248" s="4"/>
      <c r="M248" s="4"/>
      <c r="N248" s="4"/>
      <c r="O248" s="4"/>
      <c r="P248" s="4">
        <v>4</v>
      </c>
      <c r="Q248" s="19" t="s">
        <v>3522</v>
      </c>
      <c r="R248" s="3" t="s">
        <v>17</v>
      </c>
      <c r="S248" s="3" t="s">
        <v>7</v>
      </c>
    </row>
    <row r="249" spans="1:19" ht="13.5" customHeight="1">
      <c r="A249" s="3">
        <v>15</v>
      </c>
      <c r="B249" s="8">
        <v>1032</v>
      </c>
      <c r="C249" s="8" t="s">
        <v>2954</v>
      </c>
      <c r="D249" s="8" t="s">
        <v>1900</v>
      </c>
      <c r="E249" s="8">
        <v>5</v>
      </c>
      <c r="F249" s="8" t="s">
        <v>3083</v>
      </c>
      <c r="G249" s="8" t="s">
        <v>3084</v>
      </c>
      <c r="H249" s="8" t="s">
        <v>3054</v>
      </c>
      <c r="I249" s="8"/>
      <c r="J249" s="8" t="s">
        <v>1897</v>
      </c>
      <c r="K249" s="8"/>
      <c r="L249" s="8"/>
      <c r="M249" s="8"/>
      <c r="N249" s="8"/>
      <c r="O249" s="8"/>
      <c r="P249" s="8">
        <v>2</v>
      </c>
      <c r="Q249" s="62" t="s">
        <v>3522</v>
      </c>
      <c r="R249" s="8" t="s">
        <v>49</v>
      </c>
      <c r="S249" s="8" t="s">
        <v>7</v>
      </c>
    </row>
    <row r="250" spans="1:19" ht="13.5" customHeight="1">
      <c r="A250" s="3">
        <v>15</v>
      </c>
      <c r="B250" s="3">
        <v>1081</v>
      </c>
      <c r="C250" s="3" t="s">
        <v>4584</v>
      </c>
      <c r="D250" s="3" t="s">
        <v>4585</v>
      </c>
      <c r="E250" s="3">
        <v>1</v>
      </c>
      <c r="F250" s="3" t="s">
        <v>3399</v>
      </c>
      <c r="J250" s="3" t="s">
        <v>4586</v>
      </c>
      <c r="R250" s="3" t="s">
        <v>3747</v>
      </c>
      <c r="S250" s="3" t="s">
        <v>7</v>
      </c>
    </row>
    <row r="251" spans="1:19" ht="13.5" customHeight="1">
      <c r="A251" s="3">
        <v>15</v>
      </c>
      <c r="B251" s="3">
        <v>1082</v>
      </c>
      <c r="C251" s="3" t="s">
        <v>4597</v>
      </c>
      <c r="D251" s="3" t="s">
        <v>4598</v>
      </c>
      <c r="E251" s="3">
        <v>2</v>
      </c>
      <c r="F251" s="3" t="s">
        <v>3403</v>
      </c>
      <c r="J251" s="3" t="s">
        <v>4599</v>
      </c>
      <c r="R251" s="3" t="s">
        <v>3747</v>
      </c>
      <c r="S251" s="3" t="s">
        <v>7</v>
      </c>
    </row>
    <row r="252" spans="1:19" ht="13.5" customHeight="1">
      <c r="A252" s="3">
        <v>15</v>
      </c>
      <c r="B252" s="3">
        <v>1083</v>
      </c>
      <c r="C252" s="3" t="s">
        <v>4600</v>
      </c>
      <c r="D252" s="3" t="s">
        <v>1894</v>
      </c>
      <c r="E252" s="3">
        <v>2</v>
      </c>
      <c r="F252" s="3" t="s">
        <v>3399</v>
      </c>
      <c r="J252" s="3" t="s">
        <v>4601</v>
      </c>
      <c r="R252" s="3" t="s">
        <v>6</v>
      </c>
      <c r="S252" s="3" t="s">
        <v>7</v>
      </c>
    </row>
    <row r="253" spans="1:19" ht="13.5" customHeight="1">
      <c r="A253" s="3">
        <v>15</v>
      </c>
      <c r="B253" s="3">
        <v>1084</v>
      </c>
      <c r="C253" s="3" t="s">
        <v>4602</v>
      </c>
      <c r="D253" s="3" t="s">
        <v>1894</v>
      </c>
      <c r="E253" s="3">
        <v>2</v>
      </c>
      <c r="F253" s="3" t="s">
        <v>3403</v>
      </c>
      <c r="J253" s="3" t="s">
        <v>4113</v>
      </c>
      <c r="K253" s="3" t="s">
        <v>4603</v>
      </c>
      <c r="L253" s="3" t="s">
        <v>4604</v>
      </c>
      <c r="M253" s="3" t="s">
        <v>4605</v>
      </c>
      <c r="R253" s="3" t="s">
        <v>6</v>
      </c>
      <c r="S253" s="3" t="s">
        <v>7</v>
      </c>
    </row>
    <row r="254" spans="1:19" ht="13.5" customHeight="1">
      <c r="A254" s="3">
        <v>15</v>
      </c>
      <c r="B254" s="3">
        <v>1085</v>
      </c>
      <c r="C254" s="3" t="s">
        <v>4608</v>
      </c>
      <c r="D254" s="3" t="s">
        <v>1894</v>
      </c>
      <c r="E254" s="3">
        <v>2</v>
      </c>
      <c r="F254" s="3" t="s">
        <v>3403</v>
      </c>
      <c r="J254" s="3" t="s">
        <v>4609</v>
      </c>
      <c r="R254" s="3" t="s">
        <v>6</v>
      </c>
      <c r="S254" s="3" t="s">
        <v>7</v>
      </c>
    </row>
    <row r="255" spans="1:19" ht="13.5" customHeight="1">
      <c r="A255" s="3">
        <v>15</v>
      </c>
      <c r="B255" s="3">
        <v>1086</v>
      </c>
      <c r="C255" s="3" t="s">
        <v>4612</v>
      </c>
      <c r="D255" s="3" t="s">
        <v>1894</v>
      </c>
      <c r="E255" s="3">
        <v>2</v>
      </c>
      <c r="F255" s="3" t="s">
        <v>3399</v>
      </c>
      <c r="J255" s="3" t="s">
        <v>4613</v>
      </c>
      <c r="R255" s="3" t="s">
        <v>1776</v>
      </c>
      <c r="S255" s="3" t="s">
        <v>7</v>
      </c>
    </row>
    <row r="256" spans="1:19" ht="13.5" customHeight="1">
      <c r="A256" s="3">
        <v>15</v>
      </c>
      <c r="B256" s="3">
        <v>1087</v>
      </c>
      <c r="C256" s="3" t="s">
        <v>4621</v>
      </c>
      <c r="D256" s="3" t="s">
        <v>1898</v>
      </c>
      <c r="E256" s="3">
        <v>3</v>
      </c>
      <c r="F256" s="3" t="s">
        <v>4066</v>
      </c>
      <c r="J256" s="3" t="s">
        <v>4622</v>
      </c>
      <c r="K256" s="3" t="s">
        <v>3118</v>
      </c>
      <c r="R256" s="3" t="s">
        <v>1776</v>
      </c>
      <c r="S256" s="3" t="s">
        <v>7</v>
      </c>
    </row>
    <row r="257" spans="1:19" ht="13.5" customHeight="1">
      <c r="A257" s="3">
        <v>15</v>
      </c>
      <c r="B257" s="3">
        <v>1088</v>
      </c>
      <c r="C257" s="3" t="s">
        <v>4623</v>
      </c>
      <c r="D257" s="3" t="s">
        <v>4624</v>
      </c>
      <c r="E257" s="3">
        <v>3</v>
      </c>
      <c r="F257" s="3" t="s">
        <v>3403</v>
      </c>
      <c r="J257" s="3" t="s">
        <v>4625</v>
      </c>
      <c r="R257" s="3" t="s">
        <v>3747</v>
      </c>
      <c r="S257" s="3" t="s">
        <v>7</v>
      </c>
    </row>
    <row r="258" spans="1:19" ht="13.5" customHeight="1">
      <c r="A258" s="3">
        <v>15</v>
      </c>
      <c r="B258" s="3">
        <v>1089</v>
      </c>
      <c r="C258" s="3" t="s">
        <v>4626</v>
      </c>
      <c r="D258" s="3" t="s">
        <v>1898</v>
      </c>
      <c r="E258" s="3">
        <v>3</v>
      </c>
      <c r="F258" s="3" t="s">
        <v>3403</v>
      </c>
      <c r="J258" s="3" t="s">
        <v>4627</v>
      </c>
      <c r="R258" s="3" t="s">
        <v>40</v>
      </c>
      <c r="S258" s="3" t="s">
        <v>7</v>
      </c>
    </row>
    <row r="259" spans="1:19" ht="13.5" customHeight="1">
      <c r="A259" s="3">
        <v>15</v>
      </c>
      <c r="B259" s="3">
        <v>1090</v>
      </c>
      <c r="C259" s="3" t="s">
        <v>4637</v>
      </c>
      <c r="D259" s="3" t="s">
        <v>1898</v>
      </c>
      <c r="E259" s="3">
        <v>3</v>
      </c>
      <c r="F259" s="3" t="s">
        <v>4123</v>
      </c>
      <c r="J259" s="3" t="s">
        <v>3401</v>
      </c>
      <c r="K259" s="3" t="s">
        <v>4638</v>
      </c>
      <c r="R259" s="3" t="s">
        <v>16</v>
      </c>
      <c r="S259" s="3" t="s">
        <v>7</v>
      </c>
    </row>
    <row r="260" spans="1:19" ht="13.5" customHeight="1">
      <c r="A260" s="3">
        <v>15</v>
      </c>
      <c r="B260" s="3">
        <v>1091</v>
      </c>
      <c r="C260" s="3" t="s">
        <v>4639</v>
      </c>
      <c r="D260" s="3" t="s">
        <v>4640</v>
      </c>
      <c r="E260" s="3">
        <v>3</v>
      </c>
      <c r="F260" s="3" t="s">
        <v>3403</v>
      </c>
      <c r="J260" s="3" t="s">
        <v>4641</v>
      </c>
      <c r="R260" s="3" t="s">
        <v>8</v>
      </c>
      <c r="S260" s="3" t="s">
        <v>7</v>
      </c>
    </row>
    <row r="261" spans="1:19" ht="13.5" customHeight="1">
      <c r="A261" s="3">
        <v>15</v>
      </c>
      <c r="B261" s="3">
        <v>1092</v>
      </c>
      <c r="C261" s="3" t="s">
        <v>4671</v>
      </c>
      <c r="D261" s="3" t="s">
        <v>1900</v>
      </c>
      <c r="E261" s="3">
        <v>5</v>
      </c>
      <c r="F261" s="3" t="s">
        <v>3399</v>
      </c>
      <c r="J261" s="3" t="s">
        <v>4113</v>
      </c>
      <c r="K261" s="3" t="s">
        <v>4672</v>
      </c>
      <c r="L261" s="3" t="s">
        <v>4673</v>
      </c>
      <c r="R261" s="3" t="s">
        <v>26</v>
      </c>
      <c r="S261" s="3" t="s">
        <v>7</v>
      </c>
    </row>
    <row r="262" spans="1:19" ht="13.5" customHeight="1">
      <c r="A262" s="3">
        <v>15</v>
      </c>
      <c r="B262" s="8">
        <v>1093</v>
      </c>
      <c r="C262" s="8" t="s">
        <v>4677</v>
      </c>
      <c r="D262" s="8" t="s">
        <v>4097</v>
      </c>
      <c r="E262" s="8">
        <v>6</v>
      </c>
      <c r="F262" s="8" t="s">
        <v>4123</v>
      </c>
      <c r="G262" s="8"/>
      <c r="H262" s="8"/>
      <c r="I262" s="8"/>
      <c r="J262" s="8" t="s">
        <v>3401</v>
      </c>
      <c r="K262" s="8" t="s">
        <v>4136</v>
      </c>
      <c r="L262" s="8" t="s">
        <v>4678</v>
      </c>
      <c r="M262" s="8"/>
      <c r="N262" s="8"/>
      <c r="O262" s="8"/>
      <c r="P262" s="8"/>
      <c r="Q262" s="8"/>
      <c r="R262" s="8" t="s">
        <v>8</v>
      </c>
      <c r="S262" s="8" t="s">
        <v>7</v>
      </c>
    </row>
    <row r="263" spans="1:19" ht="13.5" customHeight="1">
      <c r="A263" s="3">
        <v>15</v>
      </c>
      <c r="B263" s="3">
        <v>2018</v>
      </c>
      <c r="C263" s="3" t="s">
        <v>3006</v>
      </c>
      <c r="D263" s="3" t="s">
        <v>1894</v>
      </c>
      <c r="E263" s="3">
        <v>2</v>
      </c>
      <c r="F263" s="3" t="s">
        <v>3087</v>
      </c>
      <c r="G263" s="3" t="s">
        <v>3084</v>
      </c>
      <c r="H263" s="3" t="s">
        <v>3049</v>
      </c>
      <c r="J263" s="3" t="s">
        <v>1901</v>
      </c>
      <c r="P263" s="3" t="s">
        <v>4045</v>
      </c>
      <c r="Q263" s="60" t="s">
        <v>3569</v>
      </c>
      <c r="R263" s="3" t="s">
        <v>31</v>
      </c>
      <c r="S263" s="3" t="s">
        <v>9</v>
      </c>
    </row>
    <row r="264" spans="1:19" ht="13.5" customHeight="1">
      <c r="A264" s="3">
        <v>15</v>
      </c>
      <c r="B264" s="3">
        <v>2019</v>
      </c>
      <c r="C264" s="3" t="s">
        <v>3007</v>
      </c>
      <c r="D264" s="3" t="s">
        <v>1894</v>
      </c>
      <c r="E264" s="3">
        <v>2</v>
      </c>
      <c r="F264" s="3" t="s">
        <v>3083</v>
      </c>
      <c r="G264" s="3" t="s">
        <v>3084</v>
      </c>
      <c r="H264" s="3" t="s">
        <v>3054</v>
      </c>
      <c r="J264" s="3" t="s">
        <v>1902</v>
      </c>
      <c r="P264" s="3" t="s">
        <v>4045</v>
      </c>
      <c r="Q264" s="60" t="s">
        <v>3569</v>
      </c>
      <c r="R264" s="3" t="s">
        <v>1776</v>
      </c>
      <c r="S264" s="3" t="s">
        <v>9</v>
      </c>
    </row>
    <row r="265" spans="1:19" ht="13.5" customHeight="1">
      <c r="A265" s="3">
        <v>15</v>
      </c>
      <c r="B265" s="3">
        <v>2020</v>
      </c>
      <c r="C265" s="3" t="s">
        <v>3008</v>
      </c>
      <c r="D265" s="3" t="s">
        <v>1898</v>
      </c>
      <c r="E265" s="3">
        <v>3</v>
      </c>
      <c r="F265" s="3" t="s">
        <v>3083</v>
      </c>
      <c r="G265" s="3" t="s">
        <v>3084</v>
      </c>
      <c r="H265" s="3" t="s">
        <v>3054</v>
      </c>
      <c r="J265" s="3" t="s">
        <v>1903</v>
      </c>
      <c r="K265" s="3" t="s">
        <v>1904</v>
      </c>
      <c r="P265" s="3" t="s">
        <v>4045</v>
      </c>
      <c r="Q265" s="60" t="s">
        <v>3569</v>
      </c>
      <c r="R265" s="3" t="s">
        <v>18</v>
      </c>
      <c r="S265" s="3" t="s">
        <v>9</v>
      </c>
    </row>
    <row r="266" spans="1:19" ht="13.5" customHeight="1">
      <c r="A266" s="6">
        <v>15</v>
      </c>
      <c r="B266" s="6">
        <v>2021</v>
      </c>
      <c r="C266" s="6" t="s">
        <v>3009</v>
      </c>
      <c r="D266" s="6" t="s">
        <v>1898</v>
      </c>
      <c r="E266" s="6">
        <v>3</v>
      </c>
      <c r="F266" s="6" t="s">
        <v>3083</v>
      </c>
      <c r="G266" s="6" t="s">
        <v>3084</v>
      </c>
      <c r="H266" s="6" t="s">
        <v>3050</v>
      </c>
      <c r="I266" s="6" t="s">
        <v>3060</v>
      </c>
      <c r="J266" s="6" t="s">
        <v>1905</v>
      </c>
      <c r="K266" s="6" t="s">
        <v>1906</v>
      </c>
      <c r="L266" s="6"/>
      <c r="M266" s="6"/>
      <c r="N266" s="6"/>
      <c r="O266" s="6"/>
      <c r="P266" s="6" t="s">
        <v>4047</v>
      </c>
      <c r="Q266" s="18" t="s">
        <v>4048</v>
      </c>
      <c r="R266" s="6" t="s">
        <v>28</v>
      </c>
      <c r="S266" s="3" t="s">
        <v>9</v>
      </c>
    </row>
    <row r="267" spans="1:19" ht="13.5" customHeight="1">
      <c r="A267" s="3">
        <v>15</v>
      </c>
      <c r="B267" s="3">
        <v>2022</v>
      </c>
      <c r="C267" s="9" t="s">
        <v>3010</v>
      </c>
      <c r="D267" s="9" t="s">
        <v>1899</v>
      </c>
      <c r="E267" s="9">
        <v>4</v>
      </c>
      <c r="F267" s="9" t="s">
        <v>3083</v>
      </c>
      <c r="G267" s="9" t="s">
        <v>3084</v>
      </c>
      <c r="H267" s="9" t="s">
        <v>3054</v>
      </c>
      <c r="I267" s="9"/>
      <c r="J267" s="9" t="s">
        <v>3</v>
      </c>
      <c r="K267" s="9" t="s">
        <v>19</v>
      </c>
      <c r="L267" s="9" t="s">
        <v>1907</v>
      </c>
      <c r="M267" s="9"/>
      <c r="N267" s="9"/>
      <c r="O267" s="9"/>
      <c r="P267" s="9" t="s">
        <v>4044</v>
      </c>
      <c r="Q267" s="63" t="s">
        <v>3527</v>
      </c>
      <c r="R267" s="9" t="s">
        <v>39</v>
      </c>
      <c r="S267" s="9" t="s">
        <v>9</v>
      </c>
    </row>
    <row r="268" spans="1:19" ht="13.5" customHeight="1">
      <c r="A268" s="6">
        <v>15</v>
      </c>
      <c r="B268" s="6">
        <v>2023</v>
      </c>
      <c r="C268" s="6" t="s">
        <v>3011</v>
      </c>
      <c r="D268" s="6" t="s">
        <v>1899</v>
      </c>
      <c r="E268" s="6">
        <v>4</v>
      </c>
      <c r="F268" s="6" t="s">
        <v>3083</v>
      </c>
      <c r="G268" s="6" t="s">
        <v>3084</v>
      </c>
      <c r="H268" s="6" t="s">
        <v>3054</v>
      </c>
      <c r="I268" s="6"/>
      <c r="J268" s="6" t="s">
        <v>1908</v>
      </c>
      <c r="K268" s="6"/>
      <c r="L268" s="6"/>
      <c r="M268" s="6"/>
      <c r="N268" s="6"/>
      <c r="O268" s="6"/>
      <c r="P268" s="6" t="s">
        <v>4045</v>
      </c>
      <c r="Q268" s="18" t="s">
        <v>3569</v>
      </c>
      <c r="R268" s="3" t="s">
        <v>1776</v>
      </c>
      <c r="S268" s="3" t="s">
        <v>9</v>
      </c>
    </row>
    <row r="269" spans="1:19" ht="13.5" customHeight="1">
      <c r="A269" s="3">
        <v>15</v>
      </c>
      <c r="B269" s="3">
        <v>2067</v>
      </c>
      <c r="C269" s="3" t="s">
        <v>4592</v>
      </c>
      <c r="D269" s="3" t="s">
        <v>1894</v>
      </c>
      <c r="F269" s="3" t="s">
        <v>3399</v>
      </c>
      <c r="J269" s="3" t="s">
        <v>4593</v>
      </c>
      <c r="R269" s="3" t="s">
        <v>34</v>
      </c>
      <c r="S269" s="3" t="s">
        <v>9</v>
      </c>
    </row>
    <row r="270" spans="1:19" ht="13.5" customHeight="1">
      <c r="A270" s="3">
        <v>15</v>
      </c>
      <c r="B270" s="3">
        <v>2068</v>
      </c>
      <c r="C270" s="3" t="s">
        <v>4594</v>
      </c>
      <c r="D270" s="3" t="s">
        <v>1894</v>
      </c>
      <c r="F270" s="3" t="s">
        <v>1526</v>
      </c>
      <c r="J270" s="3" t="s">
        <v>4595</v>
      </c>
      <c r="K270" s="3" t="s">
        <v>4596</v>
      </c>
      <c r="R270" s="3" t="s">
        <v>35</v>
      </c>
      <c r="S270" s="3" t="s">
        <v>9</v>
      </c>
    </row>
    <row r="271" spans="1:19" ht="13.5" customHeight="1">
      <c r="A271" s="3">
        <v>15</v>
      </c>
      <c r="B271" s="3">
        <v>2069</v>
      </c>
      <c r="C271" s="3" t="s">
        <v>4610</v>
      </c>
      <c r="D271" s="3" t="s">
        <v>4086</v>
      </c>
      <c r="F271" s="3" t="s">
        <v>4123</v>
      </c>
      <c r="J271" s="3" t="s">
        <v>1168</v>
      </c>
      <c r="K271" s="3" t="s">
        <v>4611</v>
      </c>
      <c r="R271" s="3" t="s">
        <v>3747</v>
      </c>
      <c r="S271" s="3" t="s">
        <v>9</v>
      </c>
    </row>
    <row r="272" spans="1:19" ht="13.5" customHeight="1">
      <c r="A272" s="3">
        <v>15</v>
      </c>
      <c r="B272" s="3">
        <v>2070</v>
      </c>
      <c r="C272" s="3" t="s">
        <v>4616</v>
      </c>
      <c r="D272" s="3" t="s">
        <v>1894</v>
      </c>
      <c r="F272" s="3" t="s">
        <v>3403</v>
      </c>
      <c r="J272" s="3" t="s">
        <v>4162</v>
      </c>
      <c r="K272" s="3" t="s">
        <v>4617</v>
      </c>
      <c r="L272" s="3" t="s">
        <v>4618</v>
      </c>
      <c r="M272" s="3" t="s">
        <v>4619</v>
      </c>
      <c r="O272" s="3" t="s">
        <v>4620</v>
      </c>
      <c r="R272" s="3" t="s">
        <v>32</v>
      </c>
      <c r="S272" s="3" t="s">
        <v>9</v>
      </c>
    </row>
    <row r="273" spans="1:19" ht="13.5" customHeight="1">
      <c r="A273" s="3">
        <v>15</v>
      </c>
      <c r="B273" s="3">
        <v>2071</v>
      </c>
      <c r="C273" s="9" t="s">
        <v>4089</v>
      </c>
      <c r="D273" s="9" t="s">
        <v>4090</v>
      </c>
      <c r="E273" s="9"/>
      <c r="F273" s="9" t="s">
        <v>3434</v>
      </c>
      <c r="G273" s="9"/>
      <c r="H273" s="9"/>
      <c r="I273" s="9"/>
      <c r="J273" s="9" t="s">
        <v>4091</v>
      </c>
      <c r="K273" s="9"/>
      <c r="L273" s="9"/>
      <c r="M273" s="9"/>
      <c r="N273" s="9"/>
      <c r="O273" s="9"/>
      <c r="P273" s="9"/>
      <c r="Q273" s="9"/>
      <c r="R273" s="9" t="s">
        <v>6</v>
      </c>
      <c r="S273" s="9" t="s">
        <v>9</v>
      </c>
    </row>
    <row r="274" spans="1:19" ht="13.5" customHeight="1">
      <c r="A274" s="3">
        <v>15</v>
      </c>
      <c r="B274" s="3">
        <v>2072</v>
      </c>
      <c r="C274" s="3" t="s">
        <v>4645</v>
      </c>
      <c r="D274" s="3" t="s">
        <v>4646</v>
      </c>
      <c r="F274" s="3" t="s">
        <v>3403</v>
      </c>
      <c r="J274" s="3" t="s">
        <v>4647</v>
      </c>
      <c r="R274" s="3" t="s">
        <v>16</v>
      </c>
      <c r="S274" s="3" t="s">
        <v>9</v>
      </c>
    </row>
    <row r="275" spans="1:19" ht="13.5" customHeight="1">
      <c r="A275" s="3">
        <v>15</v>
      </c>
      <c r="B275" s="3">
        <v>2073</v>
      </c>
      <c r="C275" s="3" t="s">
        <v>4648</v>
      </c>
      <c r="D275" s="3" t="s">
        <v>1899</v>
      </c>
      <c r="F275" s="3" t="s">
        <v>3434</v>
      </c>
      <c r="J275" s="3" t="s">
        <v>4649</v>
      </c>
      <c r="R275" s="3" t="s">
        <v>8</v>
      </c>
      <c r="S275" s="3" t="s">
        <v>9</v>
      </c>
    </row>
    <row r="276" spans="1:19" ht="13.5" customHeight="1">
      <c r="A276" s="3">
        <v>15</v>
      </c>
      <c r="B276" s="3">
        <v>2074</v>
      </c>
      <c r="C276" s="3" t="s">
        <v>4650</v>
      </c>
      <c r="D276" s="3" t="s">
        <v>1899</v>
      </c>
      <c r="F276" s="3" t="s">
        <v>3434</v>
      </c>
      <c r="J276" s="3" t="s">
        <v>4651</v>
      </c>
      <c r="K276" s="3" t="s">
        <v>4652</v>
      </c>
      <c r="R276" s="3" t="s">
        <v>35</v>
      </c>
      <c r="S276" s="3" t="s">
        <v>9</v>
      </c>
    </row>
    <row r="277" spans="1:19" ht="13.5" customHeight="1">
      <c r="A277" s="3">
        <v>15</v>
      </c>
      <c r="B277" s="3">
        <v>2075</v>
      </c>
      <c r="C277" s="3" t="s">
        <v>4665</v>
      </c>
      <c r="D277" s="3" t="s">
        <v>4666</v>
      </c>
      <c r="F277" s="3" t="s">
        <v>3434</v>
      </c>
      <c r="J277" s="3" t="s">
        <v>4667</v>
      </c>
      <c r="K277" s="3" t="s">
        <v>4668</v>
      </c>
      <c r="R277" s="3" t="s">
        <v>8</v>
      </c>
      <c r="S277" s="3" t="s">
        <v>9</v>
      </c>
    </row>
    <row r="278" spans="1:19" ht="13.5" customHeight="1">
      <c r="A278" s="3">
        <v>15</v>
      </c>
      <c r="B278" s="3">
        <v>2076</v>
      </c>
      <c r="C278" s="3" t="s">
        <v>4669</v>
      </c>
      <c r="D278" s="3" t="s">
        <v>4666</v>
      </c>
      <c r="F278" s="3" t="s">
        <v>3403</v>
      </c>
      <c r="J278" s="3" t="s">
        <v>4670</v>
      </c>
      <c r="R278" s="3" t="s">
        <v>3747</v>
      </c>
      <c r="S278" s="3" t="s">
        <v>9</v>
      </c>
    </row>
    <row r="279" spans="1:19" ht="13.5" customHeight="1">
      <c r="A279" s="3">
        <v>15</v>
      </c>
      <c r="B279" s="3">
        <v>2077</v>
      </c>
      <c r="C279" s="10" t="s">
        <v>4674</v>
      </c>
      <c r="D279" s="10" t="s">
        <v>4675</v>
      </c>
      <c r="E279" s="10"/>
      <c r="F279" s="10" t="s">
        <v>3434</v>
      </c>
      <c r="G279" s="10"/>
      <c r="H279" s="10"/>
      <c r="I279" s="10"/>
      <c r="J279" s="10" t="s">
        <v>4676</v>
      </c>
      <c r="K279" s="10"/>
      <c r="L279" s="10"/>
      <c r="M279" s="10"/>
      <c r="N279" s="10"/>
      <c r="O279" s="10"/>
      <c r="P279" s="10"/>
      <c r="Q279" s="10"/>
      <c r="R279" s="10" t="s">
        <v>6</v>
      </c>
      <c r="S279" s="10" t="s">
        <v>9</v>
      </c>
    </row>
    <row r="280" spans="1:19" ht="13.5" customHeight="1">
      <c r="A280" s="3">
        <v>15</v>
      </c>
      <c r="B280" s="3">
        <v>3026</v>
      </c>
      <c r="C280" s="3" t="s">
        <v>4653</v>
      </c>
      <c r="D280" s="3" t="s">
        <v>1899</v>
      </c>
      <c r="F280" s="3" t="s">
        <v>4654</v>
      </c>
      <c r="J280" s="3" t="s">
        <v>4655</v>
      </c>
      <c r="K280" s="3" t="s">
        <v>4656</v>
      </c>
      <c r="L280" s="3" t="s">
        <v>4657</v>
      </c>
      <c r="P280" s="3">
        <v>3</v>
      </c>
      <c r="R280" s="3" t="s">
        <v>36</v>
      </c>
      <c r="S280" s="3" t="s">
        <v>41</v>
      </c>
    </row>
    <row r="281" spans="1:19" ht="13.5" customHeight="1">
      <c r="A281" s="3">
        <v>15</v>
      </c>
      <c r="B281" s="3">
        <v>3027</v>
      </c>
      <c r="C281" s="3" t="s">
        <v>4660</v>
      </c>
      <c r="D281" s="3" t="s">
        <v>1900</v>
      </c>
      <c r="F281" s="3" t="s">
        <v>4661</v>
      </c>
      <c r="J281" s="3" t="s">
        <v>4662</v>
      </c>
      <c r="K281" s="3" t="s">
        <v>4663</v>
      </c>
      <c r="L281" s="3" t="s">
        <v>4664</v>
      </c>
      <c r="P281" s="3">
        <v>4</v>
      </c>
      <c r="R281" s="3" t="s">
        <v>27</v>
      </c>
      <c r="S281" s="3" t="s">
        <v>41</v>
      </c>
    </row>
    <row r="282" spans="1:19" ht="13.5" customHeight="1">
      <c r="A282" s="3">
        <v>15</v>
      </c>
      <c r="B282" s="3">
        <v>3028</v>
      </c>
      <c r="C282" s="3" t="s">
        <v>4679</v>
      </c>
      <c r="D282" s="3" t="s">
        <v>4097</v>
      </c>
      <c r="F282" s="3" t="s">
        <v>4661</v>
      </c>
      <c r="J282" s="3" t="s">
        <v>4680</v>
      </c>
      <c r="K282" s="3" t="s">
        <v>4681</v>
      </c>
      <c r="L282" s="3" t="s">
        <v>4682</v>
      </c>
      <c r="P282" s="3">
        <v>4</v>
      </c>
      <c r="R282" s="3" t="s">
        <v>35</v>
      </c>
      <c r="S282" s="3" t="s">
        <v>41</v>
      </c>
    </row>
    <row r="283" spans="1:19" ht="13.5" customHeight="1">
      <c r="A283" s="3">
        <v>15</v>
      </c>
      <c r="B283" s="3">
        <v>3029</v>
      </c>
      <c r="C283" s="3" t="s">
        <v>4683</v>
      </c>
      <c r="D283" s="3" t="s">
        <v>4097</v>
      </c>
      <c r="F283" s="3" t="s">
        <v>4661</v>
      </c>
      <c r="J283" s="3" t="s">
        <v>4684</v>
      </c>
      <c r="K283" s="3" t="s">
        <v>4685</v>
      </c>
      <c r="L283" s="3" t="s">
        <v>4686</v>
      </c>
      <c r="P283" s="3">
        <v>4</v>
      </c>
      <c r="R283" s="3" t="s">
        <v>35</v>
      </c>
      <c r="S283" s="3" t="s">
        <v>41</v>
      </c>
    </row>
  </sheetData>
  <autoFilter ref="A1:S283">
    <sortState ref="A2:S283">
      <sortCondition ref="A2:A283"/>
      <sortCondition ref="B2:B283"/>
    </sortState>
  </autoFilter>
  <sortState ref="A2:Z79">
    <sortCondition ref="A2:A79"/>
    <sortCondition ref="J2:J79"/>
    <sortCondition ref="C2:C79"/>
  </sortState>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881"/>
  <sheetViews>
    <sheetView workbookViewId="0">
      <pane ySplit="1" topLeftCell="A323" activePane="bottomLeft" state="frozen"/>
      <selection pane="bottomLeft" activeCell="K330" sqref="K330"/>
    </sheetView>
  </sheetViews>
  <sheetFormatPr defaultRowHeight="13.5"/>
  <sheetData>
    <row r="1" spans="1:23">
      <c r="B1" t="s">
        <v>13314</v>
      </c>
      <c r="C1" t="s">
        <v>3152</v>
      </c>
      <c r="D1" t="s">
        <v>3160</v>
      </c>
      <c r="E1" t="s">
        <v>3153</v>
      </c>
      <c r="F1" t="s">
        <v>3154</v>
      </c>
      <c r="G1" t="s">
        <v>3155</v>
      </c>
      <c r="H1" t="s">
        <v>3156</v>
      </c>
      <c r="I1" t="s">
        <v>13315</v>
      </c>
      <c r="O1" t="s">
        <v>4769</v>
      </c>
      <c r="P1" t="s">
        <v>4770</v>
      </c>
      <c r="Q1" t="s">
        <v>3159</v>
      </c>
      <c r="T1" t="s">
        <v>4</v>
      </c>
      <c r="U1" t="s">
        <v>7</v>
      </c>
      <c r="V1" t="s">
        <v>9</v>
      </c>
      <c r="W1" t="s">
        <v>13489</v>
      </c>
    </row>
    <row r="2" spans="1:23">
      <c r="A2">
        <v>1</v>
      </c>
      <c r="B2" t="s">
        <v>13490</v>
      </c>
      <c r="C2">
        <v>0</v>
      </c>
      <c r="E2" t="s">
        <v>3413</v>
      </c>
      <c r="F2" t="s">
        <v>3412</v>
      </c>
      <c r="I2" t="s">
        <v>13491</v>
      </c>
      <c r="J2" t="s">
        <v>4705</v>
      </c>
      <c r="Q2" t="s">
        <v>32</v>
      </c>
      <c r="R2" t="s">
        <v>4</v>
      </c>
    </row>
    <row r="3" spans="1:23">
      <c r="A3">
        <v>2</v>
      </c>
      <c r="B3" t="s">
        <v>13492</v>
      </c>
      <c r="C3">
        <v>0</v>
      </c>
      <c r="E3" t="s">
        <v>3413</v>
      </c>
      <c r="F3" t="s">
        <v>3412</v>
      </c>
      <c r="I3" t="s">
        <v>13493</v>
      </c>
      <c r="J3" t="s">
        <v>13494</v>
      </c>
      <c r="Q3" t="s">
        <v>37</v>
      </c>
      <c r="R3" t="s">
        <v>4</v>
      </c>
    </row>
    <row r="4" spans="1:23">
      <c r="A4">
        <v>3</v>
      </c>
      <c r="B4" t="s">
        <v>13495</v>
      </c>
      <c r="C4">
        <v>0</v>
      </c>
      <c r="E4" t="s">
        <v>3413</v>
      </c>
      <c r="F4" t="s">
        <v>3412</v>
      </c>
      <c r="I4" t="s">
        <v>13496</v>
      </c>
      <c r="J4" t="s">
        <v>13497</v>
      </c>
      <c r="Q4" t="s">
        <v>39</v>
      </c>
      <c r="R4" t="s">
        <v>4</v>
      </c>
    </row>
    <row r="5" spans="1:23">
      <c r="A5">
        <v>4</v>
      </c>
      <c r="B5" t="s">
        <v>13498</v>
      </c>
      <c r="C5">
        <v>0</v>
      </c>
      <c r="E5" t="s">
        <v>3413</v>
      </c>
      <c r="I5" t="s">
        <v>13499</v>
      </c>
      <c r="Q5" t="s">
        <v>5281</v>
      </c>
      <c r="R5" t="s">
        <v>4</v>
      </c>
    </row>
    <row r="6" spans="1:23">
      <c r="A6">
        <v>5</v>
      </c>
      <c r="B6" t="s">
        <v>13500</v>
      </c>
      <c r="C6">
        <v>0</v>
      </c>
      <c r="E6" t="s">
        <v>3413</v>
      </c>
      <c r="I6" t="s">
        <v>13501</v>
      </c>
      <c r="Q6" t="s">
        <v>168</v>
      </c>
      <c r="R6" t="s">
        <v>4</v>
      </c>
    </row>
    <row r="7" spans="1:23">
      <c r="A7">
        <v>6</v>
      </c>
      <c r="B7" t="s">
        <v>13502</v>
      </c>
      <c r="C7">
        <v>0</v>
      </c>
      <c r="E7" t="s">
        <v>3413</v>
      </c>
      <c r="F7" t="s">
        <v>3412</v>
      </c>
      <c r="I7" t="s">
        <v>13503</v>
      </c>
      <c r="J7" t="s">
        <v>13497</v>
      </c>
      <c r="Q7" t="s">
        <v>50</v>
      </c>
      <c r="R7" t="s">
        <v>4</v>
      </c>
    </row>
    <row r="8" spans="1:23">
      <c r="A8">
        <v>7</v>
      </c>
      <c r="B8" t="s">
        <v>13504</v>
      </c>
      <c r="C8">
        <v>1</v>
      </c>
      <c r="E8" t="s">
        <v>3413</v>
      </c>
      <c r="I8" t="s">
        <v>13505</v>
      </c>
      <c r="Q8" t="s">
        <v>5719</v>
      </c>
      <c r="R8" t="s">
        <v>4</v>
      </c>
    </row>
    <row r="9" spans="1:23">
      <c r="A9">
        <v>8</v>
      </c>
      <c r="B9" t="s">
        <v>13506</v>
      </c>
      <c r="C9">
        <v>1</v>
      </c>
      <c r="E9" t="s">
        <v>3413</v>
      </c>
      <c r="F9" t="s">
        <v>3412</v>
      </c>
      <c r="I9" t="s">
        <v>13507</v>
      </c>
      <c r="J9" t="s">
        <v>13494</v>
      </c>
      <c r="Q9" t="s">
        <v>607</v>
      </c>
      <c r="R9" t="s">
        <v>4</v>
      </c>
    </row>
    <row r="10" spans="1:23">
      <c r="A10">
        <v>9</v>
      </c>
      <c r="B10" t="s">
        <v>13508</v>
      </c>
      <c r="C10">
        <v>1</v>
      </c>
      <c r="E10" t="s">
        <v>3413</v>
      </c>
      <c r="F10" t="s">
        <v>3412</v>
      </c>
      <c r="I10" t="s">
        <v>13493</v>
      </c>
      <c r="J10" t="s">
        <v>13509</v>
      </c>
      <c r="K10" t="s">
        <v>3423</v>
      </c>
      <c r="Q10" t="s">
        <v>50</v>
      </c>
      <c r="R10" t="s">
        <v>4</v>
      </c>
    </row>
    <row r="11" spans="1:23">
      <c r="A11">
        <v>10</v>
      </c>
      <c r="B11" t="s">
        <v>13510</v>
      </c>
      <c r="C11">
        <v>1</v>
      </c>
      <c r="E11" t="s">
        <v>3413</v>
      </c>
      <c r="F11" t="s">
        <v>3412</v>
      </c>
      <c r="I11" t="s">
        <v>4728</v>
      </c>
      <c r="J11" t="s">
        <v>3423</v>
      </c>
      <c r="Q11" t="s">
        <v>168</v>
      </c>
      <c r="R11" t="s">
        <v>4</v>
      </c>
    </row>
    <row r="12" spans="1:23">
      <c r="A12">
        <v>11</v>
      </c>
      <c r="B12" t="s">
        <v>13511</v>
      </c>
      <c r="C12">
        <v>1</v>
      </c>
      <c r="E12" t="s">
        <v>3413</v>
      </c>
      <c r="I12" t="s">
        <v>13512</v>
      </c>
      <c r="Q12" t="s">
        <v>5685</v>
      </c>
      <c r="R12" t="s">
        <v>4</v>
      </c>
    </row>
    <row r="13" spans="1:23">
      <c r="A13">
        <v>12</v>
      </c>
      <c r="B13" t="s">
        <v>13513</v>
      </c>
      <c r="C13">
        <v>1</v>
      </c>
      <c r="E13" t="s">
        <v>3413</v>
      </c>
      <c r="I13" t="s">
        <v>13514</v>
      </c>
      <c r="J13" t="s">
        <v>13515</v>
      </c>
      <c r="Q13" t="s">
        <v>35</v>
      </c>
      <c r="R13" t="s">
        <v>4</v>
      </c>
    </row>
    <row r="14" spans="1:23">
      <c r="A14">
        <v>13</v>
      </c>
      <c r="B14" t="s">
        <v>13516</v>
      </c>
      <c r="C14">
        <v>1</v>
      </c>
      <c r="E14" t="s">
        <v>3413</v>
      </c>
      <c r="I14" t="s">
        <v>13517</v>
      </c>
      <c r="Q14" t="s">
        <v>605</v>
      </c>
      <c r="R14" t="s">
        <v>4</v>
      </c>
    </row>
    <row r="15" spans="1:23">
      <c r="A15">
        <v>14</v>
      </c>
      <c r="B15" t="s">
        <v>13518</v>
      </c>
      <c r="C15">
        <v>1</v>
      </c>
      <c r="E15" t="s">
        <v>3413</v>
      </c>
      <c r="I15" t="s">
        <v>13519</v>
      </c>
      <c r="Q15" t="s">
        <v>5281</v>
      </c>
      <c r="R15" t="s">
        <v>4</v>
      </c>
    </row>
    <row r="16" spans="1:23">
      <c r="A16">
        <v>15</v>
      </c>
      <c r="B16" t="s">
        <v>13520</v>
      </c>
      <c r="C16">
        <v>1</v>
      </c>
      <c r="E16" t="s">
        <v>3413</v>
      </c>
      <c r="I16" t="s">
        <v>13521</v>
      </c>
      <c r="J16" t="s">
        <v>13522</v>
      </c>
      <c r="Q16" t="s">
        <v>50</v>
      </c>
      <c r="R16" t="s">
        <v>4</v>
      </c>
    </row>
    <row r="17" spans="1:18">
      <c r="A17">
        <v>16</v>
      </c>
      <c r="B17" t="s">
        <v>13523</v>
      </c>
      <c r="C17">
        <v>1</v>
      </c>
      <c r="E17" t="s">
        <v>3413</v>
      </c>
      <c r="I17" t="s">
        <v>13524</v>
      </c>
      <c r="J17" t="s">
        <v>13525</v>
      </c>
      <c r="Q17" t="s">
        <v>176</v>
      </c>
      <c r="R17" t="s">
        <v>4</v>
      </c>
    </row>
    <row r="18" spans="1:18">
      <c r="A18">
        <v>17</v>
      </c>
      <c r="B18" t="s">
        <v>13526</v>
      </c>
      <c r="C18">
        <v>1</v>
      </c>
      <c r="E18" t="s">
        <v>3413</v>
      </c>
      <c r="I18" t="s">
        <v>13527</v>
      </c>
      <c r="Q18" t="s">
        <v>18</v>
      </c>
      <c r="R18" t="s">
        <v>4</v>
      </c>
    </row>
    <row r="19" spans="1:18">
      <c r="A19">
        <v>18</v>
      </c>
      <c r="B19" t="s">
        <v>13528</v>
      </c>
      <c r="C19">
        <v>1</v>
      </c>
      <c r="E19" t="s">
        <v>3413</v>
      </c>
      <c r="F19" t="s">
        <v>3412</v>
      </c>
      <c r="I19" t="s">
        <v>13529</v>
      </c>
      <c r="J19" t="s">
        <v>13530</v>
      </c>
      <c r="Q19" t="s">
        <v>177</v>
      </c>
      <c r="R19" t="s">
        <v>4</v>
      </c>
    </row>
    <row r="20" spans="1:18">
      <c r="A20">
        <v>19</v>
      </c>
      <c r="B20" t="s">
        <v>13531</v>
      </c>
      <c r="C20" t="s">
        <v>186</v>
      </c>
      <c r="E20" t="s">
        <v>3413</v>
      </c>
      <c r="I20" t="s">
        <v>13532</v>
      </c>
      <c r="Q20" t="s">
        <v>15</v>
      </c>
      <c r="R20" t="s">
        <v>4</v>
      </c>
    </row>
    <row r="21" spans="1:18">
      <c r="A21">
        <v>20</v>
      </c>
      <c r="B21" t="s">
        <v>13533</v>
      </c>
      <c r="C21">
        <v>1</v>
      </c>
      <c r="E21" t="s">
        <v>3413</v>
      </c>
      <c r="F21" t="s">
        <v>3412</v>
      </c>
      <c r="I21" t="s">
        <v>13534</v>
      </c>
      <c r="J21" t="s">
        <v>13535</v>
      </c>
      <c r="Q21" t="s">
        <v>168</v>
      </c>
      <c r="R21" t="s">
        <v>4</v>
      </c>
    </row>
    <row r="22" spans="1:18">
      <c r="A22">
        <v>21</v>
      </c>
      <c r="B22" t="s">
        <v>13536</v>
      </c>
      <c r="C22">
        <v>1</v>
      </c>
      <c r="E22" t="s">
        <v>3413</v>
      </c>
      <c r="F22" t="s">
        <v>3412</v>
      </c>
      <c r="I22" t="s">
        <v>3408</v>
      </c>
      <c r="J22" t="s">
        <v>13537</v>
      </c>
      <c r="Q22" t="s">
        <v>17</v>
      </c>
      <c r="R22" t="s">
        <v>4</v>
      </c>
    </row>
    <row r="23" spans="1:18">
      <c r="A23">
        <v>22</v>
      </c>
      <c r="B23" t="s">
        <v>13538</v>
      </c>
      <c r="C23">
        <v>1</v>
      </c>
      <c r="E23" t="s">
        <v>3413</v>
      </c>
      <c r="I23" t="s">
        <v>13539</v>
      </c>
      <c r="J23" t="s">
        <v>13540</v>
      </c>
      <c r="Q23" t="s">
        <v>31</v>
      </c>
      <c r="R23" t="s">
        <v>4</v>
      </c>
    </row>
    <row r="24" spans="1:18">
      <c r="A24">
        <v>23</v>
      </c>
      <c r="B24" t="s">
        <v>13541</v>
      </c>
      <c r="C24">
        <v>1</v>
      </c>
      <c r="E24" t="s">
        <v>3413</v>
      </c>
      <c r="I24" t="s">
        <v>13542</v>
      </c>
      <c r="J24" t="s">
        <v>13543</v>
      </c>
      <c r="Q24" t="s">
        <v>168</v>
      </c>
      <c r="R24" t="s">
        <v>4</v>
      </c>
    </row>
    <row r="25" spans="1:18">
      <c r="A25">
        <v>24</v>
      </c>
      <c r="B25" t="s">
        <v>13544</v>
      </c>
      <c r="C25">
        <v>1</v>
      </c>
      <c r="E25" t="s">
        <v>3413</v>
      </c>
      <c r="F25" t="s">
        <v>3412</v>
      </c>
      <c r="I25" t="s">
        <v>3408</v>
      </c>
      <c r="J25" t="s">
        <v>13545</v>
      </c>
      <c r="Q25" t="s">
        <v>5719</v>
      </c>
      <c r="R25" t="s">
        <v>4</v>
      </c>
    </row>
    <row r="26" spans="1:18">
      <c r="A26">
        <v>25</v>
      </c>
      <c r="B26" t="s">
        <v>13546</v>
      </c>
      <c r="C26">
        <v>1</v>
      </c>
      <c r="E26" t="s">
        <v>3413</v>
      </c>
      <c r="I26" t="s">
        <v>13547</v>
      </c>
      <c r="Q26" t="s">
        <v>5281</v>
      </c>
      <c r="R26" t="s">
        <v>4</v>
      </c>
    </row>
    <row r="27" spans="1:18">
      <c r="A27">
        <v>26</v>
      </c>
      <c r="B27" t="s">
        <v>13548</v>
      </c>
      <c r="C27">
        <v>1</v>
      </c>
      <c r="E27" t="s">
        <v>3413</v>
      </c>
      <c r="I27" t="s">
        <v>13549</v>
      </c>
      <c r="Q27" t="s">
        <v>52</v>
      </c>
      <c r="R27" t="s">
        <v>4</v>
      </c>
    </row>
    <row r="28" spans="1:18">
      <c r="A28">
        <v>27</v>
      </c>
      <c r="B28" t="s">
        <v>13550</v>
      </c>
      <c r="C28">
        <v>1</v>
      </c>
      <c r="E28" t="s">
        <v>3413</v>
      </c>
      <c r="I28" t="s">
        <v>13551</v>
      </c>
      <c r="J28" t="s">
        <v>13552</v>
      </c>
      <c r="Q28" t="s">
        <v>168</v>
      </c>
      <c r="R28" t="s">
        <v>4</v>
      </c>
    </row>
    <row r="29" spans="1:18">
      <c r="A29">
        <v>28</v>
      </c>
      <c r="B29" t="s">
        <v>13553</v>
      </c>
      <c r="C29" t="s">
        <v>1099</v>
      </c>
      <c r="E29" t="s">
        <v>3413</v>
      </c>
      <c r="I29" t="s">
        <v>13554</v>
      </c>
      <c r="Q29" t="s">
        <v>15</v>
      </c>
      <c r="R29" t="s">
        <v>4</v>
      </c>
    </row>
    <row r="30" spans="1:18">
      <c r="A30">
        <v>29</v>
      </c>
      <c r="B30" t="s">
        <v>13555</v>
      </c>
      <c r="C30">
        <v>1</v>
      </c>
      <c r="E30" t="s">
        <v>3413</v>
      </c>
      <c r="I30" t="s">
        <v>13556</v>
      </c>
      <c r="J30" t="s">
        <v>13557</v>
      </c>
      <c r="Q30" t="s">
        <v>50</v>
      </c>
      <c r="R30" t="s">
        <v>4</v>
      </c>
    </row>
    <row r="31" spans="1:18">
      <c r="A31">
        <v>30</v>
      </c>
      <c r="B31" t="s">
        <v>13558</v>
      </c>
      <c r="C31">
        <v>1</v>
      </c>
      <c r="E31" t="s">
        <v>3413</v>
      </c>
      <c r="F31" t="s">
        <v>3412</v>
      </c>
      <c r="I31" t="s">
        <v>13559</v>
      </c>
      <c r="J31" t="s">
        <v>13560</v>
      </c>
      <c r="K31" t="s">
        <v>4705</v>
      </c>
      <c r="Q31" t="s">
        <v>26</v>
      </c>
      <c r="R31" t="s">
        <v>4</v>
      </c>
    </row>
    <row r="32" spans="1:18">
      <c r="A32">
        <v>31</v>
      </c>
      <c r="B32" t="s">
        <v>13561</v>
      </c>
      <c r="C32">
        <v>1</v>
      </c>
      <c r="E32" t="s">
        <v>3413</v>
      </c>
      <c r="I32" t="s">
        <v>13562</v>
      </c>
      <c r="Q32" t="s">
        <v>35</v>
      </c>
      <c r="R32" t="s">
        <v>4</v>
      </c>
    </row>
    <row r="33" spans="1:18">
      <c r="A33">
        <v>32</v>
      </c>
      <c r="B33" t="s">
        <v>13563</v>
      </c>
      <c r="C33">
        <v>1</v>
      </c>
      <c r="E33" t="s">
        <v>3413</v>
      </c>
      <c r="F33" t="s">
        <v>3412</v>
      </c>
      <c r="I33" t="s">
        <v>13564</v>
      </c>
      <c r="J33" t="s">
        <v>13494</v>
      </c>
      <c r="Q33" t="s">
        <v>607</v>
      </c>
      <c r="R33" t="s">
        <v>4</v>
      </c>
    </row>
    <row r="34" spans="1:18">
      <c r="A34">
        <v>33</v>
      </c>
      <c r="B34" t="s">
        <v>13565</v>
      </c>
      <c r="C34">
        <v>1</v>
      </c>
      <c r="E34" t="s">
        <v>3413</v>
      </c>
      <c r="I34" t="s">
        <v>13566</v>
      </c>
      <c r="Q34" t="s">
        <v>36</v>
      </c>
      <c r="R34" t="s">
        <v>4</v>
      </c>
    </row>
    <row r="35" spans="1:18">
      <c r="A35">
        <v>34</v>
      </c>
      <c r="B35" t="s">
        <v>13567</v>
      </c>
      <c r="C35">
        <v>1</v>
      </c>
      <c r="E35" t="s">
        <v>3413</v>
      </c>
      <c r="F35" t="s">
        <v>3412</v>
      </c>
      <c r="I35" t="s">
        <v>3408</v>
      </c>
      <c r="J35" t="s">
        <v>13568</v>
      </c>
      <c r="K35" t="s">
        <v>13569</v>
      </c>
      <c r="Q35" t="s">
        <v>28</v>
      </c>
      <c r="R35" t="s">
        <v>4</v>
      </c>
    </row>
    <row r="36" spans="1:18">
      <c r="A36">
        <v>35</v>
      </c>
      <c r="B36" t="s">
        <v>13570</v>
      </c>
      <c r="C36">
        <v>1</v>
      </c>
      <c r="E36" t="s">
        <v>3413</v>
      </c>
      <c r="F36" t="s">
        <v>3412</v>
      </c>
      <c r="I36" t="s">
        <v>13571</v>
      </c>
      <c r="J36" t="s">
        <v>13572</v>
      </c>
      <c r="Q36" t="s">
        <v>168</v>
      </c>
      <c r="R36" t="s">
        <v>4</v>
      </c>
    </row>
    <row r="37" spans="1:18">
      <c r="A37">
        <v>36</v>
      </c>
      <c r="B37" t="s">
        <v>13573</v>
      </c>
      <c r="C37">
        <v>1</v>
      </c>
      <c r="E37" t="s">
        <v>3413</v>
      </c>
      <c r="F37" t="s">
        <v>3412</v>
      </c>
      <c r="I37" t="s">
        <v>13493</v>
      </c>
      <c r="J37" t="s">
        <v>13574</v>
      </c>
      <c r="K37" t="s">
        <v>4705</v>
      </c>
      <c r="Q37" t="s">
        <v>30</v>
      </c>
      <c r="R37" t="s">
        <v>4</v>
      </c>
    </row>
    <row r="38" spans="1:18">
      <c r="A38">
        <v>37</v>
      </c>
      <c r="B38" t="s">
        <v>13575</v>
      </c>
      <c r="C38">
        <v>1</v>
      </c>
      <c r="E38" t="s">
        <v>3413</v>
      </c>
      <c r="F38" t="s">
        <v>3412</v>
      </c>
      <c r="I38" t="s">
        <v>13576</v>
      </c>
      <c r="J38" t="s">
        <v>3409</v>
      </c>
      <c r="Q38" t="s">
        <v>5281</v>
      </c>
      <c r="R38" t="s">
        <v>4</v>
      </c>
    </row>
    <row r="39" spans="1:18">
      <c r="A39">
        <v>38</v>
      </c>
      <c r="B39" t="s">
        <v>4064</v>
      </c>
      <c r="C39">
        <v>1</v>
      </c>
      <c r="E39" t="s">
        <v>3413</v>
      </c>
      <c r="F39" t="s">
        <v>3412</v>
      </c>
      <c r="I39" t="s">
        <v>13577</v>
      </c>
      <c r="J39" t="s">
        <v>3408</v>
      </c>
      <c r="K39" t="s">
        <v>3409</v>
      </c>
      <c r="Q39" t="s">
        <v>176</v>
      </c>
      <c r="R39" t="s">
        <v>4</v>
      </c>
    </row>
    <row r="40" spans="1:18">
      <c r="A40">
        <v>39</v>
      </c>
      <c r="B40" t="s">
        <v>13578</v>
      </c>
      <c r="C40">
        <v>1</v>
      </c>
      <c r="E40" t="s">
        <v>3413</v>
      </c>
      <c r="I40" t="s">
        <v>13579</v>
      </c>
      <c r="Q40" t="s">
        <v>52</v>
      </c>
      <c r="R40" t="s">
        <v>4</v>
      </c>
    </row>
    <row r="41" spans="1:18">
      <c r="A41">
        <v>40</v>
      </c>
      <c r="B41" t="s">
        <v>13580</v>
      </c>
      <c r="C41">
        <v>1</v>
      </c>
      <c r="E41" t="s">
        <v>3413</v>
      </c>
      <c r="F41" t="s">
        <v>3412</v>
      </c>
      <c r="I41" t="s">
        <v>3408</v>
      </c>
      <c r="J41" t="s">
        <v>13494</v>
      </c>
      <c r="Q41" t="s">
        <v>168</v>
      </c>
      <c r="R41" t="s">
        <v>4</v>
      </c>
    </row>
    <row r="42" spans="1:18">
      <c r="A42">
        <v>41</v>
      </c>
      <c r="B42" t="s">
        <v>13581</v>
      </c>
      <c r="C42">
        <v>1</v>
      </c>
      <c r="E42" t="s">
        <v>3413</v>
      </c>
      <c r="I42" t="s">
        <v>13582</v>
      </c>
      <c r="J42" t="s">
        <v>13583</v>
      </c>
      <c r="Q42" t="s">
        <v>35</v>
      </c>
      <c r="R42" t="s">
        <v>4</v>
      </c>
    </row>
    <row r="43" spans="1:18">
      <c r="A43">
        <v>42</v>
      </c>
      <c r="B43" t="s">
        <v>13584</v>
      </c>
      <c r="C43">
        <v>1</v>
      </c>
      <c r="E43" t="s">
        <v>3413</v>
      </c>
      <c r="I43" t="s">
        <v>13585</v>
      </c>
      <c r="J43" t="s">
        <v>13586</v>
      </c>
      <c r="K43" t="s">
        <v>13587</v>
      </c>
      <c r="Q43" t="s">
        <v>39</v>
      </c>
      <c r="R43" t="s">
        <v>4</v>
      </c>
    </row>
    <row r="44" spans="1:18">
      <c r="A44">
        <v>43</v>
      </c>
      <c r="B44" t="s">
        <v>13588</v>
      </c>
      <c r="C44">
        <v>1</v>
      </c>
      <c r="E44" t="s">
        <v>3413</v>
      </c>
      <c r="F44" t="s">
        <v>3412</v>
      </c>
      <c r="I44" t="s">
        <v>13589</v>
      </c>
      <c r="J44" t="s">
        <v>13497</v>
      </c>
      <c r="Q44" t="s">
        <v>5</v>
      </c>
      <c r="R44" t="s">
        <v>4</v>
      </c>
    </row>
    <row r="45" spans="1:18">
      <c r="A45">
        <v>44</v>
      </c>
      <c r="B45" t="s">
        <v>13590</v>
      </c>
      <c r="C45">
        <v>1</v>
      </c>
      <c r="E45" t="s">
        <v>3413</v>
      </c>
      <c r="I45" t="s">
        <v>13591</v>
      </c>
      <c r="J45" t="s">
        <v>13592</v>
      </c>
      <c r="Q45" t="s">
        <v>168</v>
      </c>
      <c r="R45" t="s">
        <v>4</v>
      </c>
    </row>
    <row r="46" spans="1:18">
      <c r="A46">
        <v>45</v>
      </c>
      <c r="B46" t="s">
        <v>13593</v>
      </c>
      <c r="C46">
        <v>1</v>
      </c>
      <c r="E46" t="s">
        <v>3413</v>
      </c>
      <c r="I46" t="s">
        <v>13594</v>
      </c>
      <c r="J46" t="s">
        <v>13595</v>
      </c>
      <c r="Q46" t="s">
        <v>35</v>
      </c>
      <c r="R46" t="s">
        <v>4</v>
      </c>
    </row>
    <row r="47" spans="1:18">
      <c r="A47">
        <v>46</v>
      </c>
      <c r="B47" t="s">
        <v>13596</v>
      </c>
      <c r="C47">
        <v>1</v>
      </c>
      <c r="E47" t="s">
        <v>3413</v>
      </c>
      <c r="I47" t="s">
        <v>13597</v>
      </c>
      <c r="Q47" t="s">
        <v>607</v>
      </c>
      <c r="R47" t="s">
        <v>4</v>
      </c>
    </row>
    <row r="48" spans="1:18">
      <c r="A48">
        <v>47</v>
      </c>
      <c r="B48" t="s">
        <v>13598</v>
      </c>
      <c r="C48">
        <v>1</v>
      </c>
      <c r="E48" t="s">
        <v>3413</v>
      </c>
      <c r="I48" t="s">
        <v>13599</v>
      </c>
      <c r="J48" t="s">
        <v>13600</v>
      </c>
      <c r="Q48" t="s">
        <v>50</v>
      </c>
      <c r="R48" t="s">
        <v>4</v>
      </c>
    </row>
    <row r="49" spans="1:18">
      <c r="A49">
        <v>48</v>
      </c>
      <c r="B49" t="s">
        <v>13601</v>
      </c>
      <c r="C49">
        <v>1</v>
      </c>
      <c r="E49" t="s">
        <v>3413</v>
      </c>
      <c r="I49" t="s">
        <v>13602</v>
      </c>
      <c r="Q49" t="s">
        <v>45</v>
      </c>
      <c r="R49" t="s">
        <v>4</v>
      </c>
    </row>
    <row r="50" spans="1:18">
      <c r="A50">
        <v>49</v>
      </c>
      <c r="B50" t="s">
        <v>13603</v>
      </c>
      <c r="C50">
        <v>1</v>
      </c>
      <c r="E50" t="s">
        <v>3413</v>
      </c>
      <c r="I50" t="s">
        <v>13604</v>
      </c>
      <c r="J50" t="s">
        <v>13605</v>
      </c>
      <c r="Q50" t="s">
        <v>5719</v>
      </c>
      <c r="R50" t="s">
        <v>4</v>
      </c>
    </row>
    <row r="51" spans="1:18">
      <c r="A51">
        <v>50</v>
      </c>
      <c r="B51" t="s">
        <v>13606</v>
      </c>
      <c r="C51">
        <v>1</v>
      </c>
      <c r="E51" t="s">
        <v>3413</v>
      </c>
      <c r="I51" t="s">
        <v>13607</v>
      </c>
      <c r="J51" t="s">
        <v>13608</v>
      </c>
      <c r="Q51" t="s">
        <v>15</v>
      </c>
      <c r="R51" t="s">
        <v>4</v>
      </c>
    </row>
    <row r="52" spans="1:18">
      <c r="A52">
        <v>51</v>
      </c>
      <c r="B52" t="s">
        <v>13609</v>
      </c>
      <c r="C52">
        <v>1</v>
      </c>
      <c r="E52" t="s">
        <v>3413</v>
      </c>
      <c r="F52" t="s">
        <v>3412</v>
      </c>
      <c r="I52" t="s">
        <v>13610</v>
      </c>
      <c r="J52" t="s">
        <v>13497</v>
      </c>
      <c r="Q52" t="s">
        <v>176</v>
      </c>
      <c r="R52" t="s">
        <v>4</v>
      </c>
    </row>
    <row r="53" spans="1:18">
      <c r="A53">
        <v>52</v>
      </c>
      <c r="B53" t="s">
        <v>4703</v>
      </c>
      <c r="C53">
        <v>1</v>
      </c>
      <c r="E53" t="s">
        <v>3413</v>
      </c>
      <c r="F53" t="s">
        <v>3412</v>
      </c>
      <c r="I53" t="s">
        <v>3408</v>
      </c>
      <c r="J53" t="s">
        <v>4704</v>
      </c>
      <c r="K53" t="s">
        <v>4705</v>
      </c>
      <c r="Q53" t="s">
        <v>52</v>
      </c>
      <c r="R53" t="s">
        <v>4</v>
      </c>
    </row>
    <row r="54" spans="1:18">
      <c r="A54">
        <v>53</v>
      </c>
      <c r="B54" t="s">
        <v>13611</v>
      </c>
      <c r="C54">
        <v>1</v>
      </c>
      <c r="E54" t="s">
        <v>3413</v>
      </c>
      <c r="I54" t="s">
        <v>13612</v>
      </c>
      <c r="J54" t="s">
        <v>13613</v>
      </c>
      <c r="Q54" t="s">
        <v>35</v>
      </c>
      <c r="R54" t="s">
        <v>4</v>
      </c>
    </row>
    <row r="55" spans="1:18">
      <c r="A55">
        <v>54</v>
      </c>
      <c r="B55" t="s">
        <v>13614</v>
      </c>
      <c r="C55">
        <v>1</v>
      </c>
      <c r="E55" t="s">
        <v>3413</v>
      </c>
      <c r="I55" t="s">
        <v>13615</v>
      </c>
      <c r="J55" t="s">
        <v>13616</v>
      </c>
      <c r="Q55" t="s">
        <v>50</v>
      </c>
      <c r="R55" t="s">
        <v>4</v>
      </c>
    </row>
    <row r="56" spans="1:18">
      <c r="A56">
        <v>55</v>
      </c>
      <c r="B56" t="s">
        <v>13617</v>
      </c>
      <c r="C56">
        <v>1</v>
      </c>
      <c r="E56" t="s">
        <v>3413</v>
      </c>
      <c r="I56" t="s">
        <v>13618</v>
      </c>
      <c r="J56" t="s">
        <v>13619</v>
      </c>
      <c r="Q56" t="s">
        <v>606</v>
      </c>
      <c r="R56" t="s">
        <v>4</v>
      </c>
    </row>
    <row r="57" spans="1:18">
      <c r="A57">
        <v>56</v>
      </c>
      <c r="B57" t="s">
        <v>13620</v>
      </c>
      <c r="C57">
        <v>1</v>
      </c>
      <c r="E57" t="s">
        <v>3413</v>
      </c>
      <c r="I57" t="s">
        <v>13621</v>
      </c>
      <c r="Q57" t="s">
        <v>38</v>
      </c>
      <c r="R57" t="s">
        <v>4</v>
      </c>
    </row>
    <row r="58" spans="1:18">
      <c r="A58">
        <v>57</v>
      </c>
      <c r="B58" t="s">
        <v>13622</v>
      </c>
      <c r="C58">
        <v>1</v>
      </c>
      <c r="E58" t="s">
        <v>3413</v>
      </c>
      <c r="F58" t="s">
        <v>3412</v>
      </c>
      <c r="I58" t="s">
        <v>13623</v>
      </c>
      <c r="J58" t="s">
        <v>3409</v>
      </c>
      <c r="Q58" t="s">
        <v>168</v>
      </c>
      <c r="R58" t="s">
        <v>4</v>
      </c>
    </row>
    <row r="59" spans="1:18">
      <c r="A59">
        <v>58</v>
      </c>
      <c r="B59" t="s">
        <v>13624</v>
      </c>
      <c r="C59">
        <v>1</v>
      </c>
      <c r="E59" t="s">
        <v>3413</v>
      </c>
      <c r="F59" t="s">
        <v>3412</v>
      </c>
      <c r="I59" t="s">
        <v>13625</v>
      </c>
      <c r="J59" t="s">
        <v>13626</v>
      </c>
      <c r="K59" t="s">
        <v>13494</v>
      </c>
      <c r="Q59" t="s">
        <v>45</v>
      </c>
      <c r="R59" t="s">
        <v>4</v>
      </c>
    </row>
    <row r="60" spans="1:18">
      <c r="A60">
        <v>59</v>
      </c>
      <c r="B60" t="s">
        <v>13627</v>
      </c>
      <c r="C60">
        <v>1</v>
      </c>
      <c r="E60" t="s">
        <v>3413</v>
      </c>
      <c r="I60" t="s">
        <v>13628</v>
      </c>
      <c r="J60" t="s">
        <v>13629</v>
      </c>
      <c r="Q60" t="s">
        <v>50</v>
      </c>
      <c r="R60" t="s">
        <v>4</v>
      </c>
    </row>
    <row r="61" spans="1:18">
      <c r="A61">
        <v>60</v>
      </c>
      <c r="B61" t="s">
        <v>13630</v>
      </c>
      <c r="C61">
        <v>1</v>
      </c>
      <c r="E61" t="s">
        <v>3413</v>
      </c>
      <c r="I61" t="s">
        <v>13631</v>
      </c>
      <c r="Q61" t="s">
        <v>168</v>
      </c>
      <c r="R61" t="s">
        <v>4</v>
      </c>
    </row>
    <row r="62" spans="1:18">
      <c r="A62">
        <v>61</v>
      </c>
      <c r="B62" t="s">
        <v>13632</v>
      </c>
      <c r="C62">
        <v>1</v>
      </c>
      <c r="E62" t="s">
        <v>3413</v>
      </c>
      <c r="I62" t="s">
        <v>13633</v>
      </c>
      <c r="Q62" t="s">
        <v>168</v>
      </c>
      <c r="R62" t="s">
        <v>4</v>
      </c>
    </row>
    <row r="63" spans="1:18">
      <c r="A63">
        <v>62</v>
      </c>
      <c r="B63" t="s">
        <v>13634</v>
      </c>
      <c r="C63">
        <v>1</v>
      </c>
      <c r="E63" t="s">
        <v>3413</v>
      </c>
      <c r="F63" t="s">
        <v>3412</v>
      </c>
      <c r="I63" t="s">
        <v>13493</v>
      </c>
      <c r="J63" t="s">
        <v>13635</v>
      </c>
      <c r="K63" t="s">
        <v>13494</v>
      </c>
      <c r="Q63" t="s">
        <v>46</v>
      </c>
      <c r="R63" t="s">
        <v>4</v>
      </c>
    </row>
    <row r="64" spans="1:18">
      <c r="A64">
        <v>63</v>
      </c>
      <c r="B64" t="s">
        <v>13636</v>
      </c>
      <c r="C64">
        <v>1</v>
      </c>
      <c r="E64" t="s">
        <v>3413</v>
      </c>
      <c r="I64" t="s">
        <v>13637</v>
      </c>
      <c r="Q64" t="s">
        <v>605</v>
      </c>
      <c r="R64" t="s">
        <v>4</v>
      </c>
    </row>
    <row r="65" spans="1:18">
      <c r="A65">
        <v>64</v>
      </c>
      <c r="B65" t="s">
        <v>13638</v>
      </c>
      <c r="C65">
        <v>1</v>
      </c>
      <c r="E65" t="s">
        <v>3413</v>
      </c>
      <c r="I65" t="s">
        <v>13639</v>
      </c>
      <c r="J65" t="s">
        <v>13640</v>
      </c>
      <c r="Q65" t="s">
        <v>168</v>
      </c>
      <c r="R65" t="s">
        <v>4</v>
      </c>
    </row>
    <row r="66" spans="1:18">
      <c r="A66">
        <v>65</v>
      </c>
      <c r="B66" t="s">
        <v>13641</v>
      </c>
      <c r="C66">
        <v>1</v>
      </c>
      <c r="E66" t="s">
        <v>3413</v>
      </c>
      <c r="I66" t="s">
        <v>13642</v>
      </c>
      <c r="J66" t="s">
        <v>13643</v>
      </c>
      <c r="Q66" t="s">
        <v>50</v>
      </c>
      <c r="R66" t="s">
        <v>4</v>
      </c>
    </row>
    <row r="67" spans="1:18">
      <c r="A67">
        <v>66</v>
      </c>
      <c r="B67" t="s">
        <v>13644</v>
      </c>
      <c r="C67">
        <v>1</v>
      </c>
      <c r="E67" t="s">
        <v>3413</v>
      </c>
      <c r="I67" t="s">
        <v>13645</v>
      </c>
      <c r="J67" t="s">
        <v>13646</v>
      </c>
      <c r="Q67" t="s">
        <v>168</v>
      </c>
      <c r="R67" t="s">
        <v>4</v>
      </c>
    </row>
    <row r="68" spans="1:18">
      <c r="A68">
        <v>67</v>
      </c>
      <c r="B68" t="s">
        <v>13647</v>
      </c>
      <c r="C68">
        <v>2</v>
      </c>
      <c r="E68" t="s">
        <v>3413</v>
      </c>
      <c r="I68" t="s">
        <v>5684</v>
      </c>
      <c r="J68" t="s">
        <v>13527</v>
      </c>
      <c r="Q68" t="s">
        <v>31</v>
      </c>
      <c r="R68" t="s">
        <v>4</v>
      </c>
    </row>
    <row r="69" spans="1:18">
      <c r="A69">
        <v>68</v>
      </c>
      <c r="B69" t="s">
        <v>13648</v>
      </c>
      <c r="C69">
        <v>2</v>
      </c>
      <c r="E69" t="s">
        <v>3413</v>
      </c>
      <c r="F69" t="s">
        <v>3412</v>
      </c>
      <c r="I69" t="s">
        <v>13649</v>
      </c>
      <c r="J69" t="s">
        <v>4705</v>
      </c>
      <c r="Q69" t="s">
        <v>44</v>
      </c>
      <c r="R69" t="s">
        <v>4</v>
      </c>
    </row>
    <row r="70" spans="1:18">
      <c r="A70">
        <v>69</v>
      </c>
      <c r="B70" t="s">
        <v>13650</v>
      </c>
      <c r="C70">
        <v>2</v>
      </c>
      <c r="E70" t="s">
        <v>3413</v>
      </c>
      <c r="F70" t="s">
        <v>3412</v>
      </c>
      <c r="I70" t="s">
        <v>13651</v>
      </c>
      <c r="J70" t="s">
        <v>13572</v>
      </c>
      <c r="Q70" t="s">
        <v>168</v>
      </c>
      <c r="R70" t="s">
        <v>4</v>
      </c>
    </row>
    <row r="71" spans="1:18">
      <c r="A71">
        <v>70</v>
      </c>
      <c r="B71" t="s">
        <v>13652</v>
      </c>
      <c r="C71">
        <v>2</v>
      </c>
      <c r="E71" t="s">
        <v>3413</v>
      </c>
      <c r="I71" t="s">
        <v>13653</v>
      </c>
      <c r="Q71" t="s">
        <v>8</v>
      </c>
      <c r="R71" t="s">
        <v>4</v>
      </c>
    </row>
    <row r="72" spans="1:18">
      <c r="A72">
        <v>71</v>
      </c>
      <c r="B72" t="s">
        <v>13654</v>
      </c>
      <c r="C72">
        <v>2</v>
      </c>
      <c r="E72" t="s">
        <v>3413</v>
      </c>
      <c r="F72" t="s">
        <v>3412</v>
      </c>
      <c r="I72" t="s">
        <v>4728</v>
      </c>
      <c r="J72" t="s">
        <v>13655</v>
      </c>
      <c r="Q72" t="s">
        <v>5685</v>
      </c>
      <c r="R72" t="s">
        <v>4</v>
      </c>
    </row>
    <row r="73" spans="1:18">
      <c r="A73">
        <v>72</v>
      </c>
      <c r="B73" t="s">
        <v>13656</v>
      </c>
      <c r="C73">
        <v>2</v>
      </c>
      <c r="E73" t="s">
        <v>3413</v>
      </c>
      <c r="I73" t="s">
        <v>13657</v>
      </c>
      <c r="J73" t="s">
        <v>13658</v>
      </c>
      <c r="Q73" t="s">
        <v>18</v>
      </c>
      <c r="R73" t="s">
        <v>4</v>
      </c>
    </row>
    <row r="74" spans="1:18">
      <c r="A74">
        <v>73</v>
      </c>
      <c r="B74" t="s">
        <v>13659</v>
      </c>
      <c r="C74">
        <v>2</v>
      </c>
      <c r="E74" t="s">
        <v>3413</v>
      </c>
      <c r="F74" t="s">
        <v>3412</v>
      </c>
      <c r="I74" t="s">
        <v>13660</v>
      </c>
      <c r="J74" t="s">
        <v>13497</v>
      </c>
      <c r="Q74" t="s">
        <v>52</v>
      </c>
      <c r="R74" t="s">
        <v>4</v>
      </c>
    </row>
    <row r="75" spans="1:18">
      <c r="A75">
        <v>74</v>
      </c>
      <c r="B75" t="s">
        <v>13661</v>
      </c>
      <c r="C75">
        <v>2</v>
      </c>
      <c r="E75" t="s">
        <v>3413</v>
      </c>
      <c r="I75" t="s">
        <v>13662</v>
      </c>
      <c r="J75" t="s">
        <v>13663</v>
      </c>
      <c r="Q75" t="s">
        <v>26</v>
      </c>
      <c r="R75" t="s">
        <v>4</v>
      </c>
    </row>
    <row r="76" spans="1:18">
      <c r="A76">
        <v>75</v>
      </c>
      <c r="B76" t="s">
        <v>13664</v>
      </c>
      <c r="C76">
        <v>2</v>
      </c>
      <c r="E76" t="s">
        <v>3413</v>
      </c>
      <c r="I76" t="s">
        <v>13665</v>
      </c>
      <c r="Q76" t="s">
        <v>11</v>
      </c>
      <c r="R76" t="s">
        <v>4</v>
      </c>
    </row>
    <row r="77" spans="1:18">
      <c r="A77">
        <v>76</v>
      </c>
      <c r="B77" t="s">
        <v>13666</v>
      </c>
      <c r="C77">
        <v>2</v>
      </c>
      <c r="E77" t="s">
        <v>3413</v>
      </c>
      <c r="I77" t="s">
        <v>13667</v>
      </c>
      <c r="J77" t="s">
        <v>13668</v>
      </c>
      <c r="Q77" t="s">
        <v>26</v>
      </c>
      <c r="R77" t="s">
        <v>4</v>
      </c>
    </row>
    <row r="78" spans="1:18">
      <c r="A78">
        <v>77</v>
      </c>
      <c r="B78" t="s">
        <v>13669</v>
      </c>
      <c r="C78">
        <v>2</v>
      </c>
      <c r="E78" t="s">
        <v>3413</v>
      </c>
      <c r="I78" t="s">
        <v>13670</v>
      </c>
      <c r="J78" t="s">
        <v>13671</v>
      </c>
      <c r="Q78" t="s">
        <v>605</v>
      </c>
      <c r="R78" t="s">
        <v>4</v>
      </c>
    </row>
    <row r="79" spans="1:18">
      <c r="A79">
        <v>78</v>
      </c>
      <c r="B79" t="s">
        <v>13672</v>
      </c>
      <c r="C79">
        <v>2</v>
      </c>
      <c r="E79" t="s">
        <v>3413</v>
      </c>
      <c r="F79" t="s">
        <v>3412</v>
      </c>
      <c r="I79" t="s">
        <v>13493</v>
      </c>
      <c r="J79" t="s">
        <v>13673</v>
      </c>
      <c r="K79" t="s">
        <v>13494</v>
      </c>
      <c r="Q79" t="s">
        <v>45</v>
      </c>
      <c r="R79" t="s">
        <v>4</v>
      </c>
    </row>
    <row r="80" spans="1:18">
      <c r="A80">
        <v>79</v>
      </c>
      <c r="B80" t="s">
        <v>13674</v>
      </c>
      <c r="C80">
        <v>2</v>
      </c>
      <c r="E80" t="s">
        <v>3413</v>
      </c>
      <c r="F80" t="s">
        <v>3412</v>
      </c>
      <c r="I80" t="s">
        <v>13675</v>
      </c>
      <c r="J80" t="s">
        <v>13530</v>
      </c>
      <c r="Q80" t="s">
        <v>168</v>
      </c>
      <c r="R80" t="s">
        <v>4</v>
      </c>
    </row>
    <row r="81" spans="1:18">
      <c r="A81">
        <v>80</v>
      </c>
      <c r="B81" t="s">
        <v>13676</v>
      </c>
      <c r="C81">
        <v>2</v>
      </c>
      <c r="E81" t="s">
        <v>3413</v>
      </c>
      <c r="I81" t="s">
        <v>13677</v>
      </c>
      <c r="Q81" t="s">
        <v>8</v>
      </c>
      <c r="R81" t="s">
        <v>4</v>
      </c>
    </row>
    <row r="82" spans="1:18">
      <c r="A82">
        <v>81</v>
      </c>
      <c r="B82" t="s">
        <v>13678</v>
      </c>
      <c r="C82">
        <v>2</v>
      </c>
      <c r="E82" t="s">
        <v>3413</v>
      </c>
      <c r="F82" t="s">
        <v>3412</v>
      </c>
      <c r="I82" t="s">
        <v>13679</v>
      </c>
      <c r="J82" t="s">
        <v>3423</v>
      </c>
      <c r="Q82" t="s">
        <v>50</v>
      </c>
      <c r="R82" t="s">
        <v>4</v>
      </c>
    </row>
    <row r="83" spans="1:18">
      <c r="A83">
        <v>82</v>
      </c>
      <c r="B83" t="s">
        <v>13680</v>
      </c>
      <c r="C83">
        <v>2</v>
      </c>
      <c r="E83" t="s">
        <v>3413</v>
      </c>
      <c r="I83" t="s">
        <v>13681</v>
      </c>
      <c r="Q83" t="s">
        <v>176</v>
      </c>
      <c r="R83" t="s">
        <v>4</v>
      </c>
    </row>
    <row r="84" spans="1:18">
      <c r="A84">
        <v>83</v>
      </c>
      <c r="B84" t="s">
        <v>13682</v>
      </c>
      <c r="C84">
        <v>2</v>
      </c>
      <c r="E84" t="s">
        <v>3413</v>
      </c>
      <c r="I84" t="s">
        <v>13683</v>
      </c>
      <c r="Q84" t="s">
        <v>172</v>
      </c>
      <c r="R84" t="s">
        <v>4</v>
      </c>
    </row>
    <row r="85" spans="1:18">
      <c r="A85">
        <v>84</v>
      </c>
      <c r="B85" t="s">
        <v>13684</v>
      </c>
      <c r="C85">
        <v>2</v>
      </c>
      <c r="E85" t="s">
        <v>3413</v>
      </c>
      <c r="I85" t="s">
        <v>13685</v>
      </c>
      <c r="J85" t="s">
        <v>13686</v>
      </c>
      <c r="Q85" t="s">
        <v>35</v>
      </c>
      <c r="R85" t="s">
        <v>4</v>
      </c>
    </row>
    <row r="86" spans="1:18">
      <c r="A86">
        <v>85</v>
      </c>
      <c r="B86" t="s">
        <v>13687</v>
      </c>
      <c r="C86">
        <v>2</v>
      </c>
      <c r="E86" t="s">
        <v>3413</v>
      </c>
      <c r="I86" t="s">
        <v>13688</v>
      </c>
      <c r="Q86" t="s">
        <v>11</v>
      </c>
      <c r="R86" t="s">
        <v>4</v>
      </c>
    </row>
    <row r="87" spans="1:18">
      <c r="A87">
        <v>86</v>
      </c>
      <c r="B87" t="s">
        <v>13689</v>
      </c>
      <c r="C87">
        <v>2</v>
      </c>
      <c r="E87" t="s">
        <v>3413</v>
      </c>
      <c r="F87" t="s">
        <v>3412</v>
      </c>
      <c r="I87" t="s">
        <v>13690</v>
      </c>
      <c r="J87" t="s">
        <v>13691</v>
      </c>
      <c r="K87" t="s">
        <v>3423</v>
      </c>
      <c r="Q87" t="s">
        <v>605</v>
      </c>
      <c r="R87" t="s">
        <v>4</v>
      </c>
    </row>
    <row r="88" spans="1:18">
      <c r="A88">
        <v>87</v>
      </c>
      <c r="B88" t="s">
        <v>13692</v>
      </c>
      <c r="C88">
        <v>2</v>
      </c>
      <c r="E88" t="s">
        <v>3413</v>
      </c>
      <c r="I88" t="s">
        <v>13693</v>
      </c>
      <c r="Q88" t="s">
        <v>10</v>
      </c>
      <c r="R88" t="s">
        <v>4</v>
      </c>
    </row>
    <row r="89" spans="1:18">
      <c r="A89">
        <v>88</v>
      </c>
      <c r="B89" t="s">
        <v>13694</v>
      </c>
      <c r="C89">
        <v>2</v>
      </c>
      <c r="E89" t="s">
        <v>3413</v>
      </c>
      <c r="I89" t="s">
        <v>13695</v>
      </c>
      <c r="J89" t="s">
        <v>13696</v>
      </c>
      <c r="Q89" t="s">
        <v>26</v>
      </c>
      <c r="R89" t="s">
        <v>4</v>
      </c>
    </row>
    <row r="90" spans="1:18">
      <c r="A90">
        <v>89</v>
      </c>
      <c r="B90" t="s">
        <v>13697</v>
      </c>
      <c r="C90">
        <v>2</v>
      </c>
      <c r="E90" t="s">
        <v>3413</v>
      </c>
      <c r="F90" t="s">
        <v>3412</v>
      </c>
      <c r="I90" t="s">
        <v>3421</v>
      </c>
      <c r="J90" t="s">
        <v>13698</v>
      </c>
      <c r="K90" t="s">
        <v>3423</v>
      </c>
      <c r="Q90" t="s">
        <v>605</v>
      </c>
      <c r="R90" t="s">
        <v>4</v>
      </c>
    </row>
    <row r="91" spans="1:18">
      <c r="A91">
        <v>90</v>
      </c>
      <c r="B91" t="s">
        <v>3742</v>
      </c>
      <c r="C91">
        <v>2</v>
      </c>
      <c r="E91" t="s">
        <v>3413</v>
      </c>
      <c r="I91" t="s">
        <v>3743</v>
      </c>
      <c r="Q91" t="s">
        <v>18</v>
      </c>
      <c r="R91" t="s">
        <v>4</v>
      </c>
    </row>
    <row r="92" spans="1:18">
      <c r="A92">
        <v>91</v>
      </c>
      <c r="B92" t="s">
        <v>13699</v>
      </c>
      <c r="C92">
        <v>2</v>
      </c>
      <c r="E92" t="s">
        <v>3413</v>
      </c>
      <c r="F92" t="s">
        <v>3412</v>
      </c>
      <c r="I92" t="s">
        <v>13700</v>
      </c>
      <c r="J92" t="s">
        <v>3409</v>
      </c>
      <c r="Q92" t="s">
        <v>50</v>
      </c>
      <c r="R92" t="s">
        <v>4</v>
      </c>
    </row>
    <row r="93" spans="1:18">
      <c r="A93">
        <v>92</v>
      </c>
      <c r="B93" t="s">
        <v>13701</v>
      </c>
      <c r="C93">
        <v>2</v>
      </c>
      <c r="E93" t="s">
        <v>3413</v>
      </c>
      <c r="F93" t="s">
        <v>3412</v>
      </c>
      <c r="I93" t="s">
        <v>13702</v>
      </c>
      <c r="J93" t="s">
        <v>4705</v>
      </c>
      <c r="Q93" t="s">
        <v>14</v>
      </c>
      <c r="R93" t="s">
        <v>4</v>
      </c>
    </row>
    <row r="94" spans="1:18">
      <c r="A94">
        <v>93</v>
      </c>
      <c r="B94" t="s">
        <v>13703</v>
      </c>
      <c r="C94">
        <v>2</v>
      </c>
      <c r="E94" t="s">
        <v>3413</v>
      </c>
      <c r="F94" t="s">
        <v>3412</v>
      </c>
      <c r="I94" t="s">
        <v>13704</v>
      </c>
      <c r="J94" t="s">
        <v>13497</v>
      </c>
      <c r="Q94" t="s">
        <v>39</v>
      </c>
      <c r="R94" t="s">
        <v>4</v>
      </c>
    </row>
    <row r="95" spans="1:18">
      <c r="A95">
        <v>94</v>
      </c>
      <c r="B95" t="s">
        <v>13705</v>
      </c>
      <c r="C95" t="s">
        <v>846</v>
      </c>
      <c r="E95" t="s">
        <v>3413</v>
      </c>
      <c r="I95" t="s">
        <v>13706</v>
      </c>
      <c r="Q95" t="s">
        <v>15</v>
      </c>
      <c r="R95" t="s">
        <v>4</v>
      </c>
    </row>
    <row r="96" spans="1:18">
      <c r="A96">
        <v>95</v>
      </c>
      <c r="B96" t="s">
        <v>13707</v>
      </c>
      <c r="C96">
        <v>2</v>
      </c>
      <c r="E96" t="s">
        <v>3413</v>
      </c>
      <c r="I96" t="s">
        <v>13708</v>
      </c>
      <c r="Q96" t="s">
        <v>606</v>
      </c>
      <c r="R96" t="s">
        <v>4</v>
      </c>
    </row>
    <row r="97" spans="1:18">
      <c r="A97">
        <v>96</v>
      </c>
      <c r="B97" t="s">
        <v>13709</v>
      </c>
      <c r="C97">
        <v>2</v>
      </c>
      <c r="E97" t="s">
        <v>3413</v>
      </c>
      <c r="I97" t="s">
        <v>13710</v>
      </c>
      <c r="J97" t="s">
        <v>13711</v>
      </c>
      <c r="Q97" t="s">
        <v>26</v>
      </c>
      <c r="R97" t="s">
        <v>4</v>
      </c>
    </row>
    <row r="98" spans="1:18">
      <c r="A98">
        <v>97</v>
      </c>
      <c r="B98" t="s">
        <v>13712</v>
      </c>
      <c r="C98">
        <v>2</v>
      </c>
      <c r="E98" t="s">
        <v>3413</v>
      </c>
      <c r="F98" t="s">
        <v>3412</v>
      </c>
      <c r="I98" t="s">
        <v>13704</v>
      </c>
      <c r="J98" t="s">
        <v>3409</v>
      </c>
      <c r="Q98" t="s">
        <v>177</v>
      </c>
      <c r="R98" t="s">
        <v>4</v>
      </c>
    </row>
    <row r="99" spans="1:18">
      <c r="A99">
        <v>98</v>
      </c>
      <c r="B99" t="s">
        <v>13713</v>
      </c>
      <c r="C99">
        <v>2</v>
      </c>
      <c r="E99" t="s">
        <v>3413</v>
      </c>
      <c r="I99" t="s">
        <v>13714</v>
      </c>
      <c r="Q99" t="s">
        <v>10</v>
      </c>
      <c r="R99" t="s">
        <v>4</v>
      </c>
    </row>
    <row r="100" spans="1:18">
      <c r="A100">
        <v>99</v>
      </c>
      <c r="B100" t="s">
        <v>13715</v>
      </c>
      <c r="C100">
        <v>2</v>
      </c>
      <c r="E100" t="s">
        <v>3413</v>
      </c>
      <c r="F100" t="s">
        <v>3412</v>
      </c>
      <c r="I100" t="s">
        <v>3408</v>
      </c>
      <c r="J100" t="s">
        <v>13494</v>
      </c>
      <c r="Q100" t="s">
        <v>48</v>
      </c>
      <c r="R100" t="s">
        <v>4</v>
      </c>
    </row>
    <row r="101" spans="1:18">
      <c r="A101">
        <v>100</v>
      </c>
      <c r="B101" t="s">
        <v>13716</v>
      </c>
      <c r="C101">
        <v>2</v>
      </c>
      <c r="E101" t="s">
        <v>3413</v>
      </c>
      <c r="F101" t="s">
        <v>3412</v>
      </c>
      <c r="I101" t="s">
        <v>4728</v>
      </c>
      <c r="J101" t="s">
        <v>4705</v>
      </c>
      <c r="Q101" t="s">
        <v>26</v>
      </c>
      <c r="R101" t="s">
        <v>4</v>
      </c>
    </row>
    <row r="102" spans="1:18">
      <c r="A102">
        <v>101</v>
      </c>
      <c r="B102" t="s">
        <v>13717</v>
      </c>
      <c r="C102">
        <v>2</v>
      </c>
      <c r="E102" t="s">
        <v>3413</v>
      </c>
      <c r="F102" t="s">
        <v>3412</v>
      </c>
      <c r="I102" t="s">
        <v>13718</v>
      </c>
      <c r="J102" t="s">
        <v>13719</v>
      </c>
      <c r="K102" t="s">
        <v>13494</v>
      </c>
      <c r="Q102" t="s">
        <v>605</v>
      </c>
      <c r="R102" t="s">
        <v>4</v>
      </c>
    </row>
    <row r="103" spans="1:18">
      <c r="A103">
        <v>102</v>
      </c>
      <c r="B103" t="s">
        <v>13720</v>
      </c>
      <c r="C103">
        <v>2</v>
      </c>
      <c r="E103" t="s">
        <v>3413</v>
      </c>
      <c r="I103" t="s">
        <v>13721</v>
      </c>
      <c r="J103" t="s">
        <v>13527</v>
      </c>
      <c r="Q103" t="s">
        <v>26</v>
      </c>
      <c r="R103" t="s">
        <v>4</v>
      </c>
    </row>
    <row r="104" spans="1:18">
      <c r="A104">
        <v>103</v>
      </c>
      <c r="B104" t="s">
        <v>13722</v>
      </c>
      <c r="C104">
        <v>2</v>
      </c>
      <c r="E104" t="s">
        <v>3413</v>
      </c>
      <c r="I104" t="s">
        <v>3</v>
      </c>
      <c r="J104" t="s">
        <v>13723</v>
      </c>
      <c r="Q104" t="s">
        <v>168</v>
      </c>
      <c r="R104" t="s">
        <v>4</v>
      </c>
    </row>
    <row r="105" spans="1:18">
      <c r="A105">
        <v>104</v>
      </c>
      <c r="B105" t="s">
        <v>4706</v>
      </c>
      <c r="C105">
        <v>2</v>
      </c>
      <c r="E105" t="s">
        <v>3413</v>
      </c>
      <c r="F105" t="s">
        <v>3412</v>
      </c>
      <c r="I105" t="s">
        <v>4707</v>
      </c>
      <c r="J105" t="s">
        <v>4708</v>
      </c>
      <c r="K105" t="s">
        <v>4705</v>
      </c>
      <c r="Q105" t="s">
        <v>46</v>
      </c>
      <c r="R105" t="s">
        <v>4</v>
      </c>
    </row>
    <row r="106" spans="1:18">
      <c r="A106">
        <v>105</v>
      </c>
      <c r="B106" t="s">
        <v>13724</v>
      </c>
      <c r="C106">
        <v>2</v>
      </c>
      <c r="E106" t="s">
        <v>3413</v>
      </c>
      <c r="I106" t="s">
        <v>13725</v>
      </c>
      <c r="Q106" t="s">
        <v>8</v>
      </c>
      <c r="R106" t="s">
        <v>4</v>
      </c>
    </row>
    <row r="107" spans="1:18">
      <c r="A107">
        <v>106</v>
      </c>
      <c r="B107" t="s">
        <v>13726</v>
      </c>
      <c r="C107">
        <v>2</v>
      </c>
      <c r="E107" t="s">
        <v>3413</v>
      </c>
      <c r="I107" t="s">
        <v>13727</v>
      </c>
      <c r="J107" t="s">
        <v>13728</v>
      </c>
      <c r="Q107" t="s">
        <v>3747</v>
      </c>
      <c r="R107" t="s">
        <v>4</v>
      </c>
    </row>
    <row r="108" spans="1:18">
      <c r="A108">
        <v>107</v>
      </c>
      <c r="B108" t="s">
        <v>13729</v>
      </c>
      <c r="C108">
        <v>2</v>
      </c>
      <c r="E108" t="s">
        <v>3413</v>
      </c>
      <c r="F108" t="s">
        <v>3412</v>
      </c>
      <c r="I108" t="s">
        <v>13559</v>
      </c>
      <c r="J108" t="s">
        <v>4705</v>
      </c>
      <c r="Q108" t="s">
        <v>5</v>
      </c>
      <c r="R108" t="s">
        <v>4</v>
      </c>
    </row>
    <row r="109" spans="1:18">
      <c r="A109">
        <v>108</v>
      </c>
      <c r="B109" t="s">
        <v>13730</v>
      </c>
      <c r="C109">
        <v>2</v>
      </c>
      <c r="E109" t="s">
        <v>3413</v>
      </c>
      <c r="I109" t="s">
        <v>13731</v>
      </c>
      <c r="J109" t="s">
        <v>13732</v>
      </c>
      <c r="Q109" t="s">
        <v>26</v>
      </c>
      <c r="R109" t="s">
        <v>4</v>
      </c>
    </row>
    <row r="110" spans="1:18">
      <c r="A110">
        <v>109</v>
      </c>
      <c r="B110" t="s">
        <v>13733</v>
      </c>
      <c r="C110">
        <v>2</v>
      </c>
      <c r="E110" t="s">
        <v>3413</v>
      </c>
      <c r="I110" t="s">
        <v>13734</v>
      </c>
      <c r="J110" t="s">
        <v>13735</v>
      </c>
      <c r="Q110" t="s">
        <v>5685</v>
      </c>
      <c r="R110" t="s">
        <v>4</v>
      </c>
    </row>
    <row r="111" spans="1:18">
      <c r="A111">
        <v>110</v>
      </c>
      <c r="B111" t="s">
        <v>13736</v>
      </c>
      <c r="C111">
        <v>2</v>
      </c>
      <c r="E111" t="s">
        <v>3413</v>
      </c>
      <c r="I111" t="s">
        <v>13737</v>
      </c>
      <c r="Q111" t="s">
        <v>10</v>
      </c>
      <c r="R111" t="s">
        <v>4</v>
      </c>
    </row>
    <row r="112" spans="1:18">
      <c r="A112">
        <v>111</v>
      </c>
      <c r="B112" t="s">
        <v>13738</v>
      </c>
      <c r="C112">
        <v>2</v>
      </c>
      <c r="E112" t="s">
        <v>3413</v>
      </c>
      <c r="F112" t="s">
        <v>3412</v>
      </c>
      <c r="I112" t="s">
        <v>13623</v>
      </c>
      <c r="J112" t="s">
        <v>13494</v>
      </c>
      <c r="Q112" t="s">
        <v>30</v>
      </c>
      <c r="R112" t="s">
        <v>4</v>
      </c>
    </row>
    <row r="113" spans="1:18">
      <c r="A113">
        <v>112</v>
      </c>
      <c r="B113" t="s">
        <v>13739</v>
      </c>
      <c r="C113">
        <v>2</v>
      </c>
      <c r="E113" t="s">
        <v>3413</v>
      </c>
      <c r="I113" t="s">
        <v>13740</v>
      </c>
      <c r="J113" t="s">
        <v>13741</v>
      </c>
      <c r="Q113" t="s">
        <v>48</v>
      </c>
      <c r="R113" t="s">
        <v>4</v>
      </c>
    </row>
    <row r="114" spans="1:18">
      <c r="A114">
        <v>113</v>
      </c>
      <c r="B114" t="s">
        <v>3820</v>
      </c>
      <c r="C114">
        <v>2</v>
      </c>
      <c r="E114" t="s">
        <v>3413</v>
      </c>
      <c r="F114" t="s">
        <v>3867</v>
      </c>
      <c r="I114" t="s">
        <v>1</v>
      </c>
      <c r="J114" t="s">
        <v>13742</v>
      </c>
      <c r="Q114" t="s">
        <v>26</v>
      </c>
      <c r="R114" t="s">
        <v>4</v>
      </c>
    </row>
    <row r="115" spans="1:18">
      <c r="A115">
        <v>114</v>
      </c>
      <c r="B115" t="s">
        <v>13743</v>
      </c>
      <c r="C115">
        <v>2</v>
      </c>
      <c r="E115" t="s">
        <v>3413</v>
      </c>
      <c r="F115" t="s">
        <v>3412</v>
      </c>
      <c r="I115" t="s">
        <v>13744</v>
      </c>
      <c r="J115" t="s">
        <v>13745</v>
      </c>
      <c r="K115" t="s">
        <v>3423</v>
      </c>
      <c r="Q115" t="s">
        <v>605</v>
      </c>
      <c r="R115" t="s">
        <v>4</v>
      </c>
    </row>
    <row r="116" spans="1:18">
      <c r="A116">
        <v>115</v>
      </c>
      <c r="B116" t="s">
        <v>13746</v>
      </c>
      <c r="C116">
        <v>2</v>
      </c>
      <c r="E116" t="s">
        <v>3413</v>
      </c>
      <c r="F116" t="s">
        <v>3412</v>
      </c>
      <c r="I116" t="s">
        <v>4728</v>
      </c>
      <c r="J116" t="s">
        <v>13747</v>
      </c>
      <c r="K116" t="s">
        <v>13748</v>
      </c>
      <c r="Q116" t="s">
        <v>5719</v>
      </c>
      <c r="R116" t="s">
        <v>4</v>
      </c>
    </row>
    <row r="117" spans="1:18">
      <c r="A117">
        <v>116</v>
      </c>
      <c r="B117" t="s">
        <v>13749</v>
      </c>
      <c r="C117">
        <v>2</v>
      </c>
      <c r="E117" t="s">
        <v>3413</v>
      </c>
      <c r="F117" t="s">
        <v>3412</v>
      </c>
      <c r="I117" t="s">
        <v>13750</v>
      </c>
      <c r="J117" t="s">
        <v>4705</v>
      </c>
      <c r="Q117" t="s">
        <v>604</v>
      </c>
      <c r="R117" t="s">
        <v>4</v>
      </c>
    </row>
    <row r="118" spans="1:18">
      <c r="A118">
        <v>117</v>
      </c>
      <c r="B118" t="s">
        <v>13751</v>
      </c>
      <c r="C118">
        <v>2</v>
      </c>
      <c r="E118" t="s">
        <v>3413</v>
      </c>
      <c r="I118" t="s">
        <v>13752</v>
      </c>
      <c r="Q118" t="s">
        <v>8</v>
      </c>
      <c r="R118" t="s">
        <v>4</v>
      </c>
    </row>
    <row r="119" spans="1:18">
      <c r="A119">
        <v>118</v>
      </c>
      <c r="B119" t="s">
        <v>13753</v>
      </c>
      <c r="C119">
        <v>2</v>
      </c>
      <c r="E119" t="s">
        <v>3413</v>
      </c>
      <c r="F119" t="s">
        <v>3412</v>
      </c>
      <c r="I119" t="s">
        <v>13754</v>
      </c>
      <c r="J119" t="s">
        <v>3409</v>
      </c>
      <c r="Q119" t="s">
        <v>3747</v>
      </c>
      <c r="R119" t="s">
        <v>4</v>
      </c>
    </row>
    <row r="120" spans="1:18">
      <c r="A120">
        <v>119</v>
      </c>
      <c r="B120" t="s">
        <v>13755</v>
      </c>
      <c r="C120">
        <v>2</v>
      </c>
      <c r="E120" t="s">
        <v>3413</v>
      </c>
      <c r="I120" t="s">
        <v>13756</v>
      </c>
      <c r="J120" t="s">
        <v>13757</v>
      </c>
      <c r="Q120" t="s">
        <v>50</v>
      </c>
      <c r="R120" t="s">
        <v>4</v>
      </c>
    </row>
    <row r="121" spans="1:18">
      <c r="A121">
        <v>120</v>
      </c>
      <c r="B121" t="s">
        <v>13758</v>
      </c>
      <c r="C121">
        <v>2</v>
      </c>
      <c r="E121" t="s">
        <v>3413</v>
      </c>
      <c r="I121" t="s">
        <v>13759</v>
      </c>
      <c r="J121" t="s">
        <v>13760</v>
      </c>
      <c r="Q121" t="s">
        <v>184</v>
      </c>
      <c r="R121" t="s">
        <v>4</v>
      </c>
    </row>
    <row r="122" spans="1:18">
      <c r="A122">
        <v>121</v>
      </c>
      <c r="B122" t="s">
        <v>13761</v>
      </c>
      <c r="C122">
        <v>2</v>
      </c>
      <c r="E122" t="s">
        <v>3413</v>
      </c>
      <c r="I122" t="s">
        <v>13762</v>
      </c>
      <c r="Q122" t="s">
        <v>5</v>
      </c>
      <c r="R122" t="s">
        <v>4</v>
      </c>
    </row>
    <row r="123" spans="1:18">
      <c r="A123">
        <v>122</v>
      </c>
      <c r="B123" t="s">
        <v>13763</v>
      </c>
      <c r="C123">
        <v>2</v>
      </c>
      <c r="E123" t="s">
        <v>3413</v>
      </c>
      <c r="I123" t="s">
        <v>13764</v>
      </c>
      <c r="J123" t="s">
        <v>13765</v>
      </c>
      <c r="Q123" t="s">
        <v>177</v>
      </c>
      <c r="R123" t="s">
        <v>4</v>
      </c>
    </row>
    <row r="124" spans="1:18">
      <c r="A124">
        <v>123</v>
      </c>
      <c r="B124" t="s">
        <v>13766</v>
      </c>
      <c r="C124">
        <v>2</v>
      </c>
      <c r="E124" t="s">
        <v>3413</v>
      </c>
      <c r="I124" t="s">
        <v>13767</v>
      </c>
      <c r="Q124" t="s">
        <v>11</v>
      </c>
      <c r="R124" t="s">
        <v>4</v>
      </c>
    </row>
    <row r="125" spans="1:18">
      <c r="A125">
        <v>124</v>
      </c>
      <c r="B125" t="s">
        <v>13768</v>
      </c>
      <c r="C125">
        <v>2</v>
      </c>
      <c r="E125" t="s">
        <v>3413</v>
      </c>
      <c r="I125" t="s">
        <v>13769</v>
      </c>
      <c r="Q125" t="s">
        <v>32</v>
      </c>
      <c r="R125" t="s">
        <v>4</v>
      </c>
    </row>
    <row r="126" spans="1:18">
      <c r="A126">
        <v>125</v>
      </c>
      <c r="B126" t="s">
        <v>13770</v>
      </c>
      <c r="C126">
        <v>2</v>
      </c>
      <c r="E126" t="s">
        <v>3413</v>
      </c>
      <c r="F126" t="s">
        <v>3412</v>
      </c>
      <c r="I126" t="s">
        <v>13771</v>
      </c>
      <c r="J126" t="s">
        <v>13772</v>
      </c>
      <c r="K126" t="s">
        <v>3423</v>
      </c>
      <c r="Q126" t="s">
        <v>605</v>
      </c>
      <c r="R126" t="s">
        <v>4</v>
      </c>
    </row>
    <row r="127" spans="1:18">
      <c r="A127">
        <v>126</v>
      </c>
      <c r="B127" t="s">
        <v>13773</v>
      </c>
      <c r="C127">
        <v>3</v>
      </c>
      <c r="E127" t="s">
        <v>3413</v>
      </c>
      <c r="I127" t="s">
        <v>6060</v>
      </c>
      <c r="Q127" t="s">
        <v>15</v>
      </c>
      <c r="R127" t="s">
        <v>4</v>
      </c>
    </row>
    <row r="128" spans="1:18">
      <c r="A128">
        <v>127</v>
      </c>
      <c r="B128" t="s">
        <v>13774</v>
      </c>
      <c r="C128">
        <v>3</v>
      </c>
      <c r="E128" t="s">
        <v>3413</v>
      </c>
      <c r="I128" t="s">
        <v>5897</v>
      </c>
      <c r="J128" t="s">
        <v>13775</v>
      </c>
      <c r="Q128" t="s">
        <v>16</v>
      </c>
      <c r="R128" t="s">
        <v>4</v>
      </c>
    </row>
    <row r="129" spans="1:18">
      <c r="A129">
        <v>128</v>
      </c>
      <c r="B129" t="s">
        <v>13776</v>
      </c>
      <c r="C129">
        <v>3</v>
      </c>
      <c r="E129" t="s">
        <v>3413</v>
      </c>
      <c r="I129" t="s">
        <v>6043</v>
      </c>
      <c r="J129" t="s">
        <v>13777</v>
      </c>
      <c r="Q129" t="s">
        <v>38</v>
      </c>
      <c r="R129" t="s">
        <v>4</v>
      </c>
    </row>
    <row r="130" spans="1:18">
      <c r="A130">
        <v>129</v>
      </c>
      <c r="B130" t="s">
        <v>4628</v>
      </c>
      <c r="C130" t="s">
        <v>1898</v>
      </c>
      <c r="E130" t="s">
        <v>3413</v>
      </c>
      <c r="I130" t="s">
        <v>4629</v>
      </c>
      <c r="J130" t="s">
        <v>4630</v>
      </c>
      <c r="K130" t="s">
        <v>4631</v>
      </c>
      <c r="Q130" t="s">
        <v>1776</v>
      </c>
      <c r="R130" t="s">
        <v>4</v>
      </c>
    </row>
    <row r="131" spans="1:18">
      <c r="A131">
        <v>130</v>
      </c>
      <c r="B131" t="s">
        <v>13778</v>
      </c>
      <c r="C131">
        <v>3</v>
      </c>
      <c r="E131" t="s">
        <v>3413</v>
      </c>
      <c r="I131" t="s">
        <v>13779</v>
      </c>
      <c r="J131" t="s">
        <v>13780</v>
      </c>
      <c r="Q131" t="s">
        <v>50</v>
      </c>
      <c r="R131" t="s">
        <v>4</v>
      </c>
    </row>
    <row r="132" spans="1:18">
      <c r="A132">
        <v>131</v>
      </c>
      <c r="B132" t="s">
        <v>3411</v>
      </c>
      <c r="C132">
        <v>3</v>
      </c>
      <c r="E132" t="s">
        <v>3413</v>
      </c>
      <c r="F132" t="s">
        <v>3412</v>
      </c>
      <c r="I132" t="s">
        <v>13577</v>
      </c>
      <c r="J132" t="s">
        <v>13704</v>
      </c>
      <c r="K132" t="s">
        <v>3410</v>
      </c>
      <c r="Q132" t="s">
        <v>184</v>
      </c>
      <c r="R132" t="s">
        <v>4</v>
      </c>
    </row>
    <row r="133" spans="1:18">
      <c r="A133">
        <v>132</v>
      </c>
      <c r="B133" t="s">
        <v>13781</v>
      </c>
      <c r="C133">
        <v>3</v>
      </c>
      <c r="E133" t="s">
        <v>3413</v>
      </c>
      <c r="I133" t="s">
        <v>5840</v>
      </c>
      <c r="J133" t="s">
        <v>13782</v>
      </c>
      <c r="Q133" t="s">
        <v>16</v>
      </c>
      <c r="R133" t="s">
        <v>4</v>
      </c>
    </row>
    <row r="134" spans="1:18">
      <c r="A134">
        <v>133</v>
      </c>
      <c r="B134" t="s">
        <v>13783</v>
      </c>
      <c r="C134">
        <v>3</v>
      </c>
      <c r="E134" t="s">
        <v>3413</v>
      </c>
      <c r="I134" t="s">
        <v>1753</v>
      </c>
      <c r="J134" t="s">
        <v>13784</v>
      </c>
      <c r="Q134" t="s">
        <v>38</v>
      </c>
      <c r="R134" t="s">
        <v>4</v>
      </c>
    </row>
    <row r="135" spans="1:18">
      <c r="A135">
        <v>134</v>
      </c>
      <c r="B135" t="s">
        <v>13785</v>
      </c>
      <c r="C135">
        <v>3</v>
      </c>
      <c r="E135" t="s">
        <v>3413</v>
      </c>
      <c r="I135" t="s">
        <v>5999</v>
      </c>
      <c r="Q135" t="s">
        <v>15</v>
      </c>
      <c r="R135" t="s">
        <v>4</v>
      </c>
    </row>
    <row r="136" spans="1:18">
      <c r="A136">
        <v>135</v>
      </c>
      <c r="B136" t="s">
        <v>13786</v>
      </c>
      <c r="C136">
        <v>3</v>
      </c>
      <c r="E136" t="s">
        <v>3413</v>
      </c>
      <c r="F136" t="s">
        <v>3412</v>
      </c>
      <c r="I136" t="s">
        <v>13787</v>
      </c>
      <c r="J136" t="s">
        <v>3423</v>
      </c>
      <c r="Q136" t="s">
        <v>36</v>
      </c>
      <c r="R136" t="s">
        <v>4</v>
      </c>
    </row>
    <row r="137" spans="1:18">
      <c r="A137">
        <v>136</v>
      </c>
      <c r="B137" t="s">
        <v>13788</v>
      </c>
      <c r="C137">
        <v>3</v>
      </c>
      <c r="E137" t="s">
        <v>3413</v>
      </c>
      <c r="I137" t="s">
        <v>5962</v>
      </c>
      <c r="J137" t="s">
        <v>13789</v>
      </c>
      <c r="Q137" t="s">
        <v>16</v>
      </c>
      <c r="R137" t="s">
        <v>4</v>
      </c>
    </row>
    <row r="138" spans="1:18">
      <c r="A138">
        <v>137</v>
      </c>
      <c r="B138" t="s">
        <v>13790</v>
      </c>
      <c r="C138">
        <v>3</v>
      </c>
      <c r="E138" t="s">
        <v>3413</v>
      </c>
      <c r="I138" t="s">
        <v>13791</v>
      </c>
      <c r="J138" t="s">
        <v>13792</v>
      </c>
      <c r="Q138" t="s">
        <v>37</v>
      </c>
      <c r="R138" t="s">
        <v>4</v>
      </c>
    </row>
    <row r="139" spans="1:18">
      <c r="A139">
        <v>138</v>
      </c>
      <c r="B139" t="s">
        <v>13793</v>
      </c>
      <c r="C139">
        <v>3</v>
      </c>
      <c r="E139" t="s">
        <v>3413</v>
      </c>
      <c r="I139" t="s">
        <v>13794</v>
      </c>
      <c r="J139" t="s">
        <v>13795</v>
      </c>
      <c r="Q139" t="s">
        <v>35</v>
      </c>
      <c r="R139" t="s">
        <v>4</v>
      </c>
    </row>
    <row r="140" spans="1:18">
      <c r="A140">
        <v>139</v>
      </c>
      <c r="B140" t="s">
        <v>13796</v>
      </c>
      <c r="C140">
        <v>3</v>
      </c>
      <c r="E140" t="s">
        <v>3413</v>
      </c>
      <c r="I140" t="s">
        <v>902</v>
      </c>
      <c r="J140" t="s">
        <v>5684</v>
      </c>
      <c r="K140" t="s">
        <v>13797</v>
      </c>
      <c r="Q140" t="s">
        <v>36</v>
      </c>
      <c r="R140" t="s">
        <v>4</v>
      </c>
    </row>
    <row r="141" spans="1:18">
      <c r="A141">
        <v>140</v>
      </c>
      <c r="B141" t="s">
        <v>4386</v>
      </c>
      <c r="C141" t="s">
        <v>1853</v>
      </c>
      <c r="E141" t="s">
        <v>3413</v>
      </c>
      <c r="I141" t="s">
        <v>4387</v>
      </c>
      <c r="J141" t="s">
        <v>4388</v>
      </c>
      <c r="K141" t="s">
        <v>4389</v>
      </c>
      <c r="Q141" t="s">
        <v>1776</v>
      </c>
      <c r="R141" t="s">
        <v>4</v>
      </c>
    </row>
    <row r="142" spans="1:18">
      <c r="A142">
        <v>141</v>
      </c>
      <c r="B142" t="s">
        <v>13798</v>
      </c>
      <c r="C142">
        <v>3</v>
      </c>
      <c r="E142" t="s">
        <v>3413</v>
      </c>
      <c r="I142" t="s">
        <v>13799</v>
      </c>
      <c r="Q142" t="s">
        <v>606</v>
      </c>
      <c r="R142" t="s">
        <v>4</v>
      </c>
    </row>
    <row r="143" spans="1:18">
      <c r="A143">
        <v>142</v>
      </c>
      <c r="B143" t="s">
        <v>13800</v>
      </c>
      <c r="C143">
        <v>3</v>
      </c>
      <c r="E143" t="s">
        <v>3413</v>
      </c>
      <c r="I143" t="s">
        <v>5902</v>
      </c>
      <c r="J143" t="s">
        <v>13801</v>
      </c>
      <c r="Q143" t="s">
        <v>16</v>
      </c>
      <c r="R143" t="s">
        <v>4</v>
      </c>
    </row>
    <row r="144" spans="1:18">
      <c r="A144">
        <v>143</v>
      </c>
      <c r="B144" t="s">
        <v>13802</v>
      </c>
      <c r="C144">
        <v>3</v>
      </c>
      <c r="E144" t="s">
        <v>3413</v>
      </c>
      <c r="I144" t="s">
        <v>13803</v>
      </c>
      <c r="J144" t="s">
        <v>13804</v>
      </c>
      <c r="Q144" t="s">
        <v>38</v>
      </c>
      <c r="R144" t="s">
        <v>4</v>
      </c>
    </row>
    <row r="145" spans="1:18">
      <c r="A145">
        <v>144</v>
      </c>
      <c r="B145" t="s">
        <v>13805</v>
      </c>
      <c r="C145">
        <v>3</v>
      </c>
      <c r="E145" t="s">
        <v>3413</v>
      </c>
      <c r="I145" t="s">
        <v>3</v>
      </c>
      <c r="J145" t="s">
        <v>5044</v>
      </c>
      <c r="K145" t="s">
        <v>13806</v>
      </c>
      <c r="Q145" t="s">
        <v>168</v>
      </c>
      <c r="R145" t="s">
        <v>4</v>
      </c>
    </row>
    <row r="146" spans="1:18">
      <c r="A146">
        <v>145</v>
      </c>
      <c r="B146" t="s">
        <v>13807</v>
      </c>
      <c r="C146">
        <v>3</v>
      </c>
      <c r="E146" t="s">
        <v>3413</v>
      </c>
      <c r="I146" t="s">
        <v>5733</v>
      </c>
      <c r="Q146" t="s">
        <v>15</v>
      </c>
      <c r="R146" t="s">
        <v>4</v>
      </c>
    </row>
    <row r="147" spans="1:18">
      <c r="A147">
        <v>146</v>
      </c>
      <c r="B147" t="s">
        <v>13808</v>
      </c>
      <c r="C147">
        <v>3</v>
      </c>
      <c r="E147" t="s">
        <v>3413</v>
      </c>
      <c r="I147" t="s">
        <v>5828</v>
      </c>
      <c r="J147" t="s">
        <v>13809</v>
      </c>
      <c r="Q147" t="s">
        <v>16</v>
      </c>
      <c r="R147" t="s">
        <v>4</v>
      </c>
    </row>
    <row r="148" spans="1:18">
      <c r="A148">
        <v>147</v>
      </c>
      <c r="B148" t="s">
        <v>13810</v>
      </c>
      <c r="C148">
        <v>3</v>
      </c>
      <c r="E148" t="s">
        <v>3413</v>
      </c>
      <c r="I148" t="s">
        <v>13811</v>
      </c>
      <c r="Q148" t="s">
        <v>5719</v>
      </c>
      <c r="R148" t="s">
        <v>4</v>
      </c>
    </row>
    <row r="149" spans="1:18">
      <c r="A149">
        <v>148</v>
      </c>
      <c r="B149" t="s">
        <v>13812</v>
      </c>
      <c r="C149">
        <v>3</v>
      </c>
      <c r="E149" t="s">
        <v>3413</v>
      </c>
      <c r="F149" t="s">
        <v>3412</v>
      </c>
      <c r="I149" t="s">
        <v>13813</v>
      </c>
      <c r="J149" t="s">
        <v>3409</v>
      </c>
      <c r="Q149" t="s">
        <v>177</v>
      </c>
      <c r="R149" t="s">
        <v>4</v>
      </c>
    </row>
    <row r="150" spans="1:18">
      <c r="A150">
        <v>149</v>
      </c>
      <c r="B150" t="s">
        <v>4284</v>
      </c>
      <c r="C150" t="s">
        <v>1830</v>
      </c>
      <c r="E150" t="s">
        <v>3413</v>
      </c>
      <c r="I150" t="s">
        <v>13814</v>
      </c>
      <c r="J150" t="s">
        <v>4286</v>
      </c>
      <c r="K150" t="s">
        <v>5750</v>
      </c>
      <c r="Q150" t="s">
        <v>1776</v>
      </c>
      <c r="R150" t="s">
        <v>4</v>
      </c>
    </row>
    <row r="151" spans="1:18">
      <c r="A151">
        <v>150</v>
      </c>
      <c r="B151" t="s">
        <v>4697</v>
      </c>
      <c r="C151">
        <v>3</v>
      </c>
      <c r="E151" t="s">
        <v>3413</v>
      </c>
      <c r="I151" t="s">
        <v>4698</v>
      </c>
      <c r="J151" t="s">
        <v>4699</v>
      </c>
      <c r="Q151" t="s">
        <v>50</v>
      </c>
      <c r="R151" t="s">
        <v>4</v>
      </c>
    </row>
    <row r="152" spans="1:18">
      <c r="A152">
        <v>151</v>
      </c>
      <c r="B152" t="s">
        <v>13815</v>
      </c>
      <c r="C152">
        <v>3</v>
      </c>
      <c r="E152" t="s">
        <v>3413</v>
      </c>
      <c r="I152" t="s">
        <v>6045</v>
      </c>
      <c r="J152" t="s">
        <v>13816</v>
      </c>
      <c r="Q152" t="s">
        <v>38</v>
      </c>
      <c r="R152" t="s">
        <v>4</v>
      </c>
    </row>
    <row r="153" spans="1:18">
      <c r="A153">
        <v>152</v>
      </c>
      <c r="B153" t="s">
        <v>13817</v>
      </c>
      <c r="C153">
        <v>3</v>
      </c>
      <c r="E153" t="s">
        <v>3413</v>
      </c>
      <c r="I153" t="s">
        <v>6059</v>
      </c>
      <c r="Q153" t="s">
        <v>15</v>
      </c>
      <c r="R153" t="s">
        <v>4</v>
      </c>
    </row>
    <row r="154" spans="1:18">
      <c r="A154">
        <v>153</v>
      </c>
      <c r="B154" t="s">
        <v>13818</v>
      </c>
      <c r="C154">
        <v>3</v>
      </c>
      <c r="E154" t="s">
        <v>3413</v>
      </c>
      <c r="I154" t="s">
        <v>5775</v>
      </c>
      <c r="J154" t="s">
        <v>13819</v>
      </c>
      <c r="Q154" t="s">
        <v>16</v>
      </c>
      <c r="R154" t="s">
        <v>4</v>
      </c>
    </row>
    <row r="155" spans="1:18">
      <c r="A155">
        <v>154</v>
      </c>
      <c r="B155" t="s">
        <v>13820</v>
      </c>
      <c r="C155">
        <v>3</v>
      </c>
      <c r="E155" t="s">
        <v>3413</v>
      </c>
      <c r="I155" t="s">
        <v>3</v>
      </c>
      <c r="J155" t="s">
        <v>5044</v>
      </c>
      <c r="K155" t="s">
        <v>13821</v>
      </c>
      <c r="Q155" t="s">
        <v>168</v>
      </c>
      <c r="R155" t="s">
        <v>4</v>
      </c>
    </row>
    <row r="156" spans="1:18">
      <c r="A156">
        <v>155</v>
      </c>
      <c r="B156" t="s">
        <v>13822</v>
      </c>
      <c r="C156">
        <v>3</v>
      </c>
      <c r="E156" t="s">
        <v>3413</v>
      </c>
      <c r="F156" t="s">
        <v>3412</v>
      </c>
      <c r="I156" t="s">
        <v>13823</v>
      </c>
      <c r="J156" t="s">
        <v>13824</v>
      </c>
      <c r="K156" t="s">
        <v>4705</v>
      </c>
      <c r="Q156" t="s">
        <v>30</v>
      </c>
      <c r="R156" t="s">
        <v>4</v>
      </c>
    </row>
    <row r="157" spans="1:18">
      <c r="A157">
        <v>156</v>
      </c>
      <c r="B157" t="s">
        <v>13825</v>
      </c>
      <c r="C157">
        <v>3</v>
      </c>
      <c r="E157" t="s">
        <v>3413</v>
      </c>
      <c r="I157" t="s">
        <v>13826</v>
      </c>
      <c r="Q157" t="s">
        <v>5281</v>
      </c>
      <c r="R157" t="s">
        <v>4</v>
      </c>
    </row>
    <row r="158" spans="1:18">
      <c r="A158">
        <v>157</v>
      </c>
      <c r="B158" t="s">
        <v>13827</v>
      </c>
      <c r="C158">
        <v>3</v>
      </c>
      <c r="E158" t="s">
        <v>3413</v>
      </c>
      <c r="I158" t="s">
        <v>13828</v>
      </c>
      <c r="J158" t="s">
        <v>13829</v>
      </c>
      <c r="Q158" t="s">
        <v>16</v>
      </c>
      <c r="R158" t="s">
        <v>4</v>
      </c>
    </row>
    <row r="159" spans="1:18">
      <c r="A159">
        <v>158</v>
      </c>
      <c r="B159" t="s">
        <v>13830</v>
      </c>
      <c r="C159">
        <v>3</v>
      </c>
      <c r="E159" t="s">
        <v>3413</v>
      </c>
      <c r="I159" t="s">
        <v>1989</v>
      </c>
      <c r="J159" t="s">
        <v>13831</v>
      </c>
      <c r="Q159" t="s">
        <v>177</v>
      </c>
      <c r="R159" t="s">
        <v>4</v>
      </c>
    </row>
    <row r="160" spans="1:18">
      <c r="A160">
        <v>159</v>
      </c>
      <c r="B160" t="s">
        <v>13832</v>
      </c>
      <c r="C160">
        <v>3</v>
      </c>
      <c r="E160" t="s">
        <v>3413</v>
      </c>
      <c r="I160" t="s">
        <v>3</v>
      </c>
      <c r="J160" t="s">
        <v>13670</v>
      </c>
      <c r="K160" t="s">
        <v>13833</v>
      </c>
      <c r="Q160" t="s">
        <v>605</v>
      </c>
      <c r="R160" t="s">
        <v>4</v>
      </c>
    </row>
    <row r="161" spans="1:18">
      <c r="A161">
        <v>160</v>
      </c>
      <c r="B161" t="s">
        <v>4516</v>
      </c>
      <c r="C161" t="s">
        <v>1874</v>
      </c>
      <c r="E161" t="s">
        <v>3413</v>
      </c>
      <c r="I161" t="s">
        <v>13814</v>
      </c>
      <c r="J161" t="s">
        <v>4518</v>
      </c>
      <c r="K161" t="s">
        <v>5679</v>
      </c>
      <c r="Q161" t="s">
        <v>1776</v>
      </c>
      <c r="R161" t="s">
        <v>4</v>
      </c>
    </row>
    <row r="162" spans="1:18">
      <c r="A162">
        <v>161</v>
      </c>
      <c r="B162" t="s">
        <v>13834</v>
      </c>
      <c r="C162" t="s">
        <v>1101</v>
      </c>
      <c r="E162" t="s">
        <v>3413</v>
      </c>
      <c r="I162" t="s">
        <v>1065</v>
      </c>
      <c r="Q162" t="s">
        <v>15</v>
      </c>
      <c r="R162" t="s">
        <v>4</v>
      </c>
    </row>
    <row r="163" spans="1:18">
      <c r="A163">
        <v>162</v>
      </c>
      <c r="B163" t="s">
        <v>13835</v>
      </c>
      <c r="C163">
        <v>3</v>
      </c>
      <c r="E163" t="s">
        <v>3413</v>
      </c>
      <c r="I163" t="s">
        <v>5750</v>
      </c>
      <c r="J163" t="s">
        <v>13836</v>
      </c>
      <c r="Q163" t="s">
        <v>16</v>
      </c>
      <c r="R163" t="s">
        <v>4</v>
      </c>
    </row>
    <row r="164" spans="1:18">
      <c r="A164">
        <v>163</v>
      </c>
      <c r="B164" t="s">
        <v>13837</v>
      </c>
      <c r="C164">
        <v>3</v>
      </c>
      <c r="E164" t="s">
        <v>3413</v>
      </c>
      <c r="I164" t="s">
        <v>13838</v>
      </c>
      <c r="J164" t="s">
        <v>5684</v>
      </c>
      <c r="Q164" t="s">
        <v>30</v>
      </c>
      <c r="R164" t="s">
        <v>4</v>
      </c>
    </row>
    <row r="165" spans="1:18">
      <c r="A165">
        <v>164</v>
      </c>
      <c r="B165" t="s">
        <v>13839</v>
      </c>
      <c r="C165">
        <v>3</v>
      </c>
      <c r="E165" t="s">
        <v>3413</v>
      </c>
      <c r="I165" t="s">
        <v>5937</v>
      </c>
      <c r="Q165" t="s">
        <v>15</v>
      </c>
      <c r="R165" t="s">
        <v>4</v>
      </c>
    </row>
    <row r="166" spans="1:18">
      <c r="A166">
        <v>165</v>
      </c>
      <c r="B166" t="s">
        <v>13840</v>
      </c>
      <c r="C166">
        <v>3</v>
      </c>
      <c r="E166" t="s">
        <v>3413</v>
      </c>
      <c r="I166" t="s">
        <v>13841</v>
      </c>
      <c r="J166" t="s">
        <v>13842</v>
      </c>
      <c r="Q166" t="s">
        <v>50</v>
      </c>
      <c r="R166" t="s">
        <v>4</v>
      </c>
    </row>
    <row r="167" spans="1:18">
      <c r="A167">
        <v>166</v>
      </c>
      <c r="B167" t="s">
        <v>4716</v>
      </c>
      <c r="C167">
        <v>3</v>
      </c>
      <c r="E167" t="s">
        <v>3413</v>
      </c>
      <c r="F167" t="s">
        <v>3412</v>
      </c>
      <c r="I167" t="s">
        <v>3408</v>
      </c>
      <c r="J167" t="s">
        <v>4717</v>
      </c>
      <c r="K167" t="s">
        <v>4705</v>
      </c>
      <c r="Q167" t="s">
        <v>44</v>
      </c>
      <c r="R167" t="s">
        <v>4</v>
      </c>
    </row>
    <row r="168" spans="1:18">
      <c r="A168">
        <v>167</v>
      </c>
      <c r="B168" t="s">
        <v>13843</v>
      </c>
      <c r="C168">
        <v>3</v>
      </c>
      <c r="E168" t="s">
        <v>3413</v>
      </c>
      <c r="I168" t="s">
        <v>4631</v>
      </c>
      <c r="J168" t="s">
        <v>13844</v>
      </c>
      <c r="Q168" t="s">
        <v>16</v>
      </c>
      <c r="R168" t="s">
        <v>4</v>
      </c>
    </row>
    <row r="169" spans="1:18">
      <c r="A169">
        <v>168</v>
      </c>
      <c r="B169" t="s">
        <v>13845</v>
      </c>
      <c r="C169">
        <v>3</v>
      </c>
      <c r="E169" t="s">
        <v>3413</v>
      </c>
      <c r="I169" t="s">
        <v>13846</v>
      </c>
      <c r="J169" t="s">
        <v>13847</v>
      </c>
      <c r="Q169" t="s">
        <v>35</v>
      </c>
      <c r="R169" t="s">
        <v>4</v>
      </c>
    </row>
    <row r="170" spans="1:18">
      <c r="A170">
        <v>169</v>
      </c>
      <c r="B170" t="s">
        <v>4138</v>
      </c>
      <c r="C170" t="s">
        <v>1788</v>
      </c>
      <c r="E170" t="s">
        <v>3413</v>
      </c>
      <c r="I170" t="s">
        <v>13814</v>
      </c>
      <c r="J170" t="s">
        <v>4140</v>
      </c>
      <c r="K170" t="s">
        <v>5828</v>
      </c>
      <c r="Q170" t="s">
        <v>1776</v>
      </c>
      <c r="R170" t="s">
        <v>4</v>
      </c>
    </row>
    <row r="171" spans="1:18">
      <c r="A171">
        <v>170</v>
      </c>
      <c r="B171" t="s">
        <v>13848</v>
      </c>
      <c r="C171">
        <v>3</v>
      </c>
      <c r="E171" t="s">
        <v>3413</v>
      </c>
      <c r="I171" t="s">
        <v>6044</v>
      </c>
      <c r="J171" t="s">
        <v>13849</v>
      </c>
      <c r="Q171" t="s">
        <v>38</v>
      </c>
      <c r="R171" t="s">
        <v>4</v>
      </c>
    </row>
    <row r="172" spans="1:18">
      <c r="A172">
        <v>171</v>
      </c>
      <c r="B172" t="s">
        <v>3823</v>
      </c>
      <c r="C172">
        <v>3</v>
      </c>
      <c r="E172" t="s">
        <v>3413</v>
      </c>
      <c r="F172" t="s">
        <v>3867</v>
      </c>
      <c r="I172" t="s">
        <v>3824</v>
      </c>
      <c r="J172" t="s">
        <v>13850</v>
      </c>
      <c r="Q172" t="s">
        <v>35</v>
      </c>
      <c r="R172" t="s">
        <v>4</v>
      </c>
    </row>
    <row r="173" spans="1:18">
      <c r="A173">
        <v>172</v>
      </c>
      <c r="B173" t="s">
        <v>13851</v>
      </c>
      <c r="C173" t="s">
        <v>204</v>
      </c>
      <c r="E173" t="s">
        <v>3413</v>
      </c>
      <c r="I173" t="s">
        <v>67</v>
      </c>
      <c r="Q173" t="s">
        <v>15</v>
      </c>
      <c r="R173" t="s">
        <v>4</v>
      </c>
    </row>
    <row r="174" spans="1:18">
      <c r="A174">
        <v>173</v>
      </c>
      <c r="B174" t="s">
        <v>3744</v>
      </c>
      <c r="C174">
        <v>3</v>
      </c>
      <c r="E174" t="s">
        <v>3413</v>
      </c>
      <c r="I174" t="s">
        <v>13831</v>
      </c>
      <c r="Q174" t="s">
        <v>5685</v>
      </c>
      <c r="R174" t="s">
        <v>4</v>
      </c>
    </row>
    <row r="175" spans="1:18">
      <c r="A175">
        <v>174</v>
      </c>
      <c r="B175" t="s">
        <v>13852</v>
      </c>
      <c r="C175">
        <v>3</v>
      </c>
      <c r="E175" t="s">
        <v>3413</v>
      </c>
      <c r="I175" t="s">
        <v>5679</v>
      </c>
      <c r="J175" t="s">
        <v>13853</v>
      </c>
      <c r="Q175" t="s">
        <v>16</v>
      </c>
      <c r="R175" t="s">
        <v>4</v>
      </c>
    </row>
    <row r="176" spans="1:18">
      <c r="A176">
        <v>175</v>
      </c>
      <c r="B176" t="s">
        <v>3821</v>
      </c>
      <c r="C176">
        <v>3</v>
      </c>
      <c r="E176" t="s">
        <v>3413</v>
      </c>
      <c r="F176" t="s">
        <v>3867</v>
      </c>
      <c r="I176" t="s">
        <v>3822</v>
      </c>
      <c r="J176" t="s">
        <v>13850</v>
      </c>
      <c r="Q176" t="s">
        <v>26</v>
      </c>
      <c r="R176" t="s">
        <v>4</v>
      </c>
    </row>
    <row r="177" spans="1:18">
      <c r="A177">
        <v>176</v>
      </c>
      <c r="B177" t="s">
        <v>13854</v>
      </c>
      <c r="C177">
        <v>3</v>
      </c>
      <c r="E177" t="s">
        <v>3413</v>
      </c>
      <c r="I177" t="s">
        <v>13855</v>
      </c>
      <c r="J177" t="s">
        <v>13856</v>
      </c>
      <c r="Q177" t="s">
        <v>17</v>
      </c>
      <c r="R177" t="s">
        <v>4</v>
      </c>
    </row>
    <row r="178" spans="1:18">
      <c r="A178">
        <v>177</v>
      </c>
      <c r="B178" t="s">
        <v>3825</v>
      </c>
      <c r="C178">
        <v>4</v>
      </c>
      <c r="E178" t="s">
        <v>3413</v>
      </c>
      <c r="F178" t="s">
        <v>3867</v>
      </c>
      <c r="I178" t="s">
        <v>13857</v>
      </c>
      <c r="Q178" t="s">
        <v>35</v>
      </c>
      <c r="R178" t="s">
        <v>4</v>
      </c>
    </row>
    <row r="179" spans="1:18">
      <c r="A179">
        <v>178</v>
      </c>
      <c r="B179" t="s">
        <v>13858</v>
      </c>
      <c r="C179">
        <v>4</v>
      </c>
      <c r="E179" t="s">
        <v>3413</v>
      </c>
      <c r="I179" t="s">
        <v>13859</v>
      </c>
      <c r="Q179" t="s">
        <v>177</v>
      </c>
      <c r="R179" t="s">
        <v>4</v>
      </c>
    </row>
    <row r="180" spans="1:18">
      <c r="A180">
        <v>179</v>
      </c>
      <c r="B180" t="s">
        <v>13860</v>
      </c>
      <c r="C180">
        <v>4</v>
      </c>
      <c r="E180" t="s">
        <v>3413</v>
      </c>
      <c r="I180" t="s">
        <v>13861</v>
      </c>
      <c r="Q180" t="s">
        <v>184</v>
      </c>
      <c r="R180" t="s">
        <v>4</v>
      </c>
    </row>
    <row r="181" spans="1:18">
      <c r="A181">
        <v>180</v>
      </c>
      <c r="B181" t="s">
        <v>13862</v>
      </c>
      <c r="C181">
        <v>4</v>
      </c>
      <c r="E181" t="s">
        <v>3413</v>
      </c>
      <c r="F181" t="s">
        <v>3412</v>
      </c>
      <c r="I181" t="s">
        <v>13670</v>
      </c>
      <c r="J181" t="s">
        <v>13863</v>
      </c>
      <c r="K181" t="s">
        <v>3409</v>
      </c>
      <c r="Q181" t="s">
        <v>605</v>
      </c>
      <c r="R181" t="s">
        <v>4</v>
      </c>
    </row>
    <row r="182" spans="1:18">
      <c r="A182">
        <v>181</v>
      </c>
      <c r="B182" t="s">
        <v>13864</v>
      </c>
      <c r="C182">
        <v>4</v>
      </c>
      <c r="E182" t="s">
        <v>3413</v>
      </c>
      <c r="I182" t="s">
        <v>13865</v>
      </c>
      <c r="J182" t="s">
        <v>13866</v>
      </c>
      <c r="Q182" t="s">
        <v>177</v>
      </c>
      <c r="R182" t="s">
        <v>4</v>
      </c>
    </row>
    <row r="183" spans="1:18">
      <c r="A183">
        <v>182</v>
      </c>
      <c r="B183" t="s">
        <v>13867</v>
      </c>
      <c r="C183">
        <v>5</v>
      </c>
      <c r="E183" t="s">
        <v>3413</v>
      </c>
      <c r="I183" t="s">
        <v>13670</v>
      </c>
      <c r="J183" t="s">
        <v>13868</v>
      </c>
      <c r="Q183" t="s">
        <v>605</v>
      </c>
      <c r="R183" t="s">
        <v>4</v>
      </c>
    </row>
    <row r="184" spans="1:18">
      <c r="A184">
        <v>183</v>
      </c>
      <c r="B184" t="s">
        <v>3782</v>
      </c>
      <c r="C184">
        <v>5</v>
      </c>
      <c r="E184" t="s">
        <v>3413</v>
      </c>
      <c r="F184" t="s">
        <v>3867</v>
      </c>
      <c r="I184" t="s">
        <v>1086</v>
      </c>
      <c r="J184" t="s">
        <v>13869</v>
      </c>
      <c r="Q184" t="s">
        <v>26</v>
      </c>
      <c r="R184" t="s">
        <v>4</v>
      </c>
    </row>
    <row r="185" spans="1:18">
      <c r="A185">
        <v>1001</v>
      </c>
      <c r="B185" t="s">
        <v>13870</v>
      </c>
      <c r="C185">
        <v>1</v>
      </c>
      <c r="E185" t="s">
        <v>3413</v>
      </c>
      <c r="F185" t="s">
        <v>3412</v>
      </c>
      <c r="I185" t="s">
        <v>3408</v>
      </c>
      <c r="J185" t="s">
        <v>13871</v>
      </c>
      <c r="K185" t="s">
        <v>3423</v>
      </c>
      <c r="O185" t="s">
        <v>153</v>
      </c>
      <c r="Q185" t="s">
        <v>46</v>
      </c>
      <c r="R185" t="s">
        <v>7</v>
      </c>
    </row>
    <row r="186" spans="1:18">
      <c r="A186">
        <v>1002</v>
      </c>
      <c r="B186" t="s">
        <v>13872</v>
      </c>
      <c r="C186">
        <v>0</v>
      </c>
      <c r="E186" t="s">
        <v>3413</v>
      </c>
      <c r="F186" t="s">
        <v>3412</v>
      </c>
      <c r="I186" t="s">
        <v>13873</v>
      </c>
      <c r="J186" t="s">
        <v>3118</v>
      </c>
      <c r="O186" t="s">
        <v>153</v>
      </c>
      <c r="Q186" t="s">
        <v>46</v>
      </c>
      <c r="R186" t="s">
        <v>7</v>
      </c>
    </row>
    <row r="187" spans="1:18">
      <c r="A187">
        <v>1003</v>
      </c>
      <c r="B187" t="s">
        <v>13874</v>
      </c>
      <c r="C187">
        <v>0</v>
      </c>
      <c r="E187" t="s">
        <v>3413</v>
      </c>
      <c r="I187" t="s">
        <v>13764</v>
      </c>
      <c r="Q187" t="s">
        <v>606</v>
      </c>
      <c r="R187" t="s">
        <v>7</v>
      </c>
    </row>
    <row r="188" spans="1:18">
      <c r="A188">
        <v>1004</v>
      </c>
      <c r="B188" t="s">
        <v>13875</v>
      </c>
      <c r="C188">
        <v>0</v>
      </c>
      <c r="E188" t="s">
        <v>3413</v>
      </c>
      <c r="I188" t="s">
        <v>13876</v>
      </c>
      <c r="J188" t="s">
        <v>13877</v>
      </c>
      <c r="K188" t="s">
        <v>13878</v>
      </c>
      <c r="Q188" t="s">
        <v>604</v>
      </c>
      <c r="R188" t="s">
        <v>7</v>
      </c>
    </row>
    <row r="189" spans="1:18">
      <c r="A189">
        <v>1005</v>
      </c>
      <c r="B189" t="s">
        <v>13879</v>
      </c>
      <c r="C189">
        <v>0</v>
      </c>
      <c r="E189" t="s">
        <v>3413</v>
      </c>
      <c r="I189" t="s">
        <v>13880</v>
      </c>
      <c r="Q189" t="s">
        <v>173</v>
      </c>
      <c r="R189" t="s">
        <v>7</v>
      </c>
    </row>
    <row r="190" spans="1:18">
      <c r="A190">
        <v>1006</v>
      </c>
      <c r="B190" t="s">
        <v>13881</v>
      </c>
      <c r="C190">
        <v>0</v>
      </c>
      <c r="E190" t="s">
        <v>3413</v>
      </c>
      <c r="I190" t="s">
        <v>13882</v>
      </c>
      <c r="Q190" t="s">
        <v>172</v>
      </c>
      <c r="R190" t="s">
        <v>7</v>
      </c>
    </row>
    <row r="191" spans="1:18">
      <c r="A191">
        <v>1007</v>
      </c>
      <c r="B191" t="s">
        <v>4723</v>
      </c>
      <c r="C191">
        <v>3</v>
      </c>
      <c r="E191" t="s">
        <v>3085</v>
      </c>
      <c r="F191" t="s">
        <v>13883</v>
      </c>
      <c r="I191" t="s">
        <v>4724</v>
      </c>
      <c r="O191" t="s">
        <v>153</v>
      </c>
      <c r="P191" t="s">
        <v>154</v>
      </c>
      <c r="Q191" t="s">
        <v>46</v>
      </c>
      <c r="R191" t="s">
        <v>7</v>
      </c>
    </row>
    <row r="192" spans="1:18">
      <c r="A192">
        <v>1008</v>
      </c>
      <c r="B192" t="s">
        <v>4725</v>
      </c>
      <c r="C192">
        <v>0</v>
      </c>
      <c r="E192" t="s">
        <v>3413</v>
      </c>
      <c r="F192" t="s">
        <v>3412</v>
      </c>
      <c r="I192" t="s">
        <v>3408</v>
      </c>
      <c r="J192" t="s">
        <v>4726</v>
      </c>
      <c r="K192" t="s">
        <v>3409</v>
      </c>
      <c r="O192" t="s">
        <v>153</v>
      </c>
      <c r="Q192" t="s">
        <v>46</v>
      </c>
      <c r="R192" t="s">
        <v>7</v>
      </c>
    </row>
    <row r="193" spans="1:18">
      <c r="A193">
        <v>1009</v>
      </c>
      <c r="B193" t="s">
        <v>13884</v>
      </c>
      <c r="C193">
        <v>0</v>
      </c>
      <c r="E193" t="s">
        <v>3413</v>
      </c>
      <c r="I193" t="s">
        <v>13885</v>
      </c>
      <c r="Q193" t="s">
        <v>169</v>
      </c>
      <c r="R193" t="s">
        <v>7</v>
      </c>
    </row>
    <row r="194" spans="1:18">
      <c r="A194">
        <v>1010</v>
      </c>
      <c r="B194" t="s">
        <v>13886</v>
      </c>
      <c r="C194">
        <v>0</v>
      </c>
      <c r="E194" t="s">
        <v>3413</v>
      </c>
      <c r="F194" t="s">
        <v>3412</v>
      </c>
      <c r="I194" t="s">
        <v>13887</v>
      </c>
      <c r="J194" t="s">
        <v>13497</v>
      </c>
      <c r="Q194" t="s">
        <v>174</v>
      </c>
      <c r="R194" t="s">
        <v>7</v>
      </c>
    </row>
    <row r="195" spans="1:18">
      <c r="A195">
        <v>1011</v>
      </c>
      <c r="B195" t="s">
        <v>13888</v>
      </c>
      <c r="C195">
        <v>0</v>
      </c>
      <c r="E195" t="s">
        <v>3413</v>
      </c>
      <c r="F195" t="s">
        <v>3412</v>
      </c>
      <c r="I195" t="s">
        <v>13889</v>
      </c>
      <c r="J195" t="s">
        <v>3423</v>
      </c>
      <c r="Q195" t="s">
        <v>605</v>
      </c>
      <c r="R195" t="s">
        <v>7</v>
      </c>
    </row>
    <row r="196" spans="1:18">
      <c r="A196">
        <v>1012</v>
      </c>
      <c r="B196" t="s">
        <v>13890</v>
      </c>
      <c r="C196" t="s">
        <v>13891</v>
      </c>
      <c r="E196" t="s">
        <v>3413</v>
      </c>
      <c r="I196" t="s">
        <v>13892</v>
      </c>
      <c r="J196" t="s">
        <v>13893</v>
      </c>
      <c r="Q196" t="s">
        <v>38</v>
      </c>
      <c r="R196" t="s">
        <v>7</v>
      </c>
    </row>
    <row r="197" spans="1:18">
      <c r="A197">
        <v>1013</v>
      </c>
      <c r="B197" t="s">
        <v>13502</v>
      </c>
      <c r="C197">
        <v>0</v>
      </c>
      <c r="E197" t="s">
        <v>3413</v>
      </c>
      <c r="F197" t="s">
        <v>3412</v>
      </c>
      <c r="I197" t="s">
        <v>13503</v>
      </c>
      <c r="J197" t="s">
        <v>13497</v>
      </c>
      <c r="Q197" t="s">
        <v>180</v>
      </c>
      <c r="R197" t="s">
        <v>7</v>
      </c>
    </row>
    <row r="198" spans="1:18">
      <c r="A198">
        <v>1014</v>
      </c>
      <c r="B198" t="s">
        <v>13894</v>
      </c>
      <c r="C198">
        <v>0</v>
      </c>
      <c r="E198" t="s">
        <v>3413</v>
      </c>
      <c r="I198" t="s">
        <v>13895</v>
      </c>
      <c r="Q198" t="s">
        <v>49</v>
      </c>
      <c r="R198" t="s">
        <v>7</v>
      </c>
    </row>
    <row r="199" spans="1:18">
      <c r="A199">
        <v>1015</v>
      </c>
      <c r="B199" t="s">
        <v>13896</v>
      </c>
      <c r="C199">
        <v>3</v>
      </c>
      <c r="E199" t="s">
        <v>3413</v>
      </c>
      <c r="I199" t="s">
        <v>13897</v>
      </c>
      <c r="O199" t="s">
        <v>153</v>
      </c>
      <c r="Q199" t="s">
        <v>44</v>
      </c>
      <c r="R199" t="s">
        <v>7</v>
      </c>
    </row>
    <row r="200" spans="1:18">
      <c r="A200">
        <v>1016</v>
      </c>
      <c r="B200" t="s">
        <v>13898</v>
      </c>
      <c r="C200">
        <v>0</v>
      </c>
      <c r="E200" t="s">
        <v>3413</v>
      </c>
      <c r="I200" t="s">
        <v>13899</v>
      </c>
      <c r="O200" t="s">
        <v>153</v>
      </c>
      <c r="Q200" t="s">
        <v>44</v>
      </c>
      <c r="R200" t="s">
        <v>7</v>
      </c>
    </row>
    <row r="201" spans="1:18">
      <c r="A201">
        <v>1017</v>
      </c>
      <c r="B201" t="s">
        <v>13596</v>
      </c>
      <c r="C201">
        <v>1</v>
      </c>
      <c r="E201" t="s">
        <v>3413</v>
      </c>
      <c r="I201" t="s">
        <v>13597</v>
      </c>
      <c r="Q201" t="s">
        <v>184</v>
      </c>
      <c r="R201" t="s">
        <v>7</v>
      </c>
    </row>
    <row r="202" spans="1:18">
      <c r="A202">
        <v>1018</v>
      </c>
      <c r="B202" t="s">
        <v>13900</v>
      </c>
      <c r="C202">
        <v>1</v>
      </c>
      <c r="E202" t="s">
        <v>3413</v>
      </c>
      <c r="F202" t="s">
        <v>3412</v>
      </c>
      <c r="I202" t="s">
        <v>13901</v>
      </c>
      <c r="J202" t="s">
        <v>13902</v>
      </c>
      <c r="K202" t="s">
        <v>13497</v>
      </c>
      <c r="Q202" t="s">
        <v>172</v>
      </c>
      <c r="R202" t="s">
        <v>7</v>
      </c>
    </row>
    <row r="203" spans="1:18">
      <c r="A203">
        <v>1019</v>
      </c>
      <c r="B203" t="s">
        <v>13903</v>
      </c>
      <c r="C203">
        <v>1</v>
      </c>
      <c r="E203" t="s">
        <v>3413</v>
      </c>
      <c r="F203" t="s">
        <v>3412</v>
      </c>
      <c r="I203" t="s">
        <v>13904</v>
      </c>
      <c r="J203" t="s">
        <v>13905</v>
      </c>
      <c r="Q203" t="s">
        <v>168</v>
      </c>
      <c r="R203" t="s">
        <v>7</v>
      </c>
    </row>
    <row r="204" spans="1:18">
      <c r="A204">
        <v>1020</v>
      </c>
      <c r="B204" t="s">
        <v>13606</v>
      </c>
      <c r="C204">
        <v>1</v>
      </c>
      <c r="E204" t="s">
        <v>3413</v>
      </c>
      <c r="I204" t="s">
        <v>13607</v>
      </c>
      <c r="J204" t="s">
        <v>13608</v>
      </c>
      <c r="Q204" t="s">
        <v>768</v>
      </c>
      <c r="R204" t="s">
        <v>7</v>
      </c>
    </row>
    <row r="205" spans="1:18">
      <c r="A205">
        <v>1021</v>
      </c>
      <c r="B205" t="s">
        <v>13906</v>
      </c>
      <c r="C205">
        <v>1</v>
      </c>
      <c r="E205" t="s">
        <v>3413</v>
      </c>
      <c r="F205" t="s">
        <v>3412</v>
      </c>
      <c r="I205" t="s">
        <v>13907</v>
      </c>
      <c r="J205" t="s">
        <v>13908</v>
      </c>
      <c r="Q205" t="s">
        <v>168</v>
      </c>
      <c r="R205" t="s">
        <v>7</v>
      </c>
    </row>
    <row r="206" spans="1:18">
      <c r="A206">
        <v>1022</v>
      </c>
      <c r="B206" t="s">
        <v>13909</v>
      </c>
      <c r="C206">
        <v>1</v>
      </c>
      <c r="E206" t="s">
        <v>3413</v>
      </c>
      <c r="I206" t="s">
        <v>13910</v>
      </c>
      <c r="Q206" t="s">
        <v>178</v>
      </c>
      <c r="R206" t="s">
        <v>7</v>
      </c>
    </row>
    <row r="207" spans="1:18">
      <c r="A207">
        <v>1023</v>
      </c>
      <c r="B207" t="s">
        <v>13911</v>
      </c>
      <c r="C207">
        <v>1</v>
      </c>
      <c r="E207" t="s">
        <v>3413</v>
      </c>
      <c r="F207" t="s">
        <v>3412</v>
      </c>
      <c r="I207" t="s">
        <v>13912</v>
      </c>
      <c r="J207" t="s">
        <v>13913</v>
      </c>
      <c r="K207" t="s">
        <v>13914</v>
      </c>
      <c r="Q207" t="s">
        <v>177</v>
      </c>
      <c r="R207" t="s">
        <v>7</v>
      </c>
    </row>
    <row r="208" spans="1:18">
      <c r="A208">
        <v>1024</v>
      </c>
      <c r="B208" t="s">
        <v>13915</v>
      </c>
      <c r="C208">
        <v>1</v>
      </c>
      <c r="E208" t="s">
        <v>3413</v>
      </c>
      <c r="I208" t="s">
        <v>13916</v>
      </c>
      <c r="J208" t="s">
        <v>13917</v>
      </c>
      <c r="Q208" t="s">
        <v>606</v>
      </c>
      <c r="R208" t="s">
        <v>7</v>
      </c>
    </row>
    <row r="209" spans="1:18">
      <c r="A209">
        <v>1025</v>
      </c>
      <c r="B209" t="s">
        <v>4729</v>
      </c>
      <c r="C209">
        <v>1</v>
      </c>
      <c r="E209" t="s">
        <v>3413</v>
      </c>
      <c r="F209" t="s">
        <v>3412</v>
      </c>
      <c r="I209" t="s">
        <v>4730</v>
      </c>
      <c r="J209" t="s">
        <v>3426</v>
      </c>
      <c r="K209" t="s">
        <v>3409</v>
      </c>
      <c r="Q209" t="s">
        <v>44</v>
      </c>
      <c r="R209" t="s">
        <v>7</v>
      </c>
    </row>
    <row r="210" spans="1:18">
      <c r="A210">
        <v>1026</v>
      </c>
      <c r="B210" t="s">
        <v>13918</v>
      </c>
      <c r="C210">
        <v>1</v>
      </c>
      <c r="E210" t="s">
        <v>3413</v>
      </c>
      <c r="I210" t="s">
        <v>13919</v>
      </c>
      <c r="J210" t="s">
        <v>13920</v>
      </c>
      <c r="Q210" t="s">
        <v>6</v>
      </c>
      <c r="R210" t="s">
        <v>7</v>
      </c>
    </row>
    <row r="211" spans="1:18">
      <c r="A211">
        <v>1027</v>
      </c>
      <c r="B211" t="s">
        <v>13921</v>
      </c>
      <c r="C211">
        <v>1</v>
      </c>
      <c r="E211" t="s">
        <v>3413</v>
      </c>
      <c r="I211" t="s">
        <v>13922</v>
      </c>
      <c r="J211" t="s">
        <v>13923</v>
      </c>
      <c r="Q211" t="s">
        <v>175</v>
      </c>
      <c r="R211" t="s">
        <v>7</v>
      </c>
    </row>
    <row r="212" spans="1:18">
      <c r="A212">
        <v>1028</v>
      </c>
      <c r="B212" t="s">
        <v>13924</v>
      </c>
      <c r="C212">
        <v>1</v>
      </c>
      <c r="E212" t="s">
        <v>3413</v>
      </c>
      <c r="F212" t="s">
        <v>3412</v>
      </c>
      <c r="I212" t="s">
        <v>13925</v>
      </c>
      <c r="J212" t="s">
        <v>13926</v>
      </c>
      <c r="K212" t="s">
        <v>3409</v>
      </c>
      <c r="Q212" t="s">
        <v>179</v>
      </c>
      <c r="R212" t="s">
        <v>7</v>
      </c>
    </row>
    <row r="213" spans="1:18">
      <c r="A213">
        <v>1029</v>
      </c>
      <c r="B213" t="s">
        <v>13927</v>
      </c>
      <c r="C213">
        <v>1</v>
      </c>
      <c r="E213" t="s">
        <v>3413</v>
      </c>
      <c r="F213" t="s">
        <v>3412</v>
      </c>
      <c r="I213" t="s">
        <v>13928</v>
      </c>
      <c r="J213" t="s">
        <v>3409</v>
      </c>
      <c r="Q213" t="s">
        <v>40</v>
      </c>
      <c r="R213" t="s">
        <v>7</v>
      </c>
    </row>
    <row r="214" spans="1:18">
      <c r="A214">
        <v>1030</v>
      </c>
      <c r="B214" t="s">
        <v>13929</v>
      </c>
      <c r="C214">
        <v>1</v>
      </c>
      <c r="E214" t="s">
        <v>3413</v>
      </c>
      <c r="F214" t="s">
        <v>3412</v>
      </c>
      <c r="I214" t="s">
        <v>13930</v>
      </c>
      <c r="J214" t="s">
        <v>13931</v>
      </c>
      <c r="K214" t="s">
        <v>3409</v>
      </c>
      <c r="Q214" t="s">
        <v>46</v>
      </c>
      <c r="R214" t="s">
        <v>7</v>
      </c>
    </row>
    <row r="215" spans="1:18">
      <c r="A215">
        <v>1031</v>
      </c>
      <c r="B215" t="s">
        <v>13932</v>
      </c>
      <c r="C215">
        <v>1</v>
      </c>
      <c r="E215" t="s">
        <v>3413</v>
      </c>
      <c r="F215" t="s">
        <v>3412</v>
      </c>
      <c r="I215" t="s">
        <v>13933</v>
      </c>
      <c r="J215" t="s">
        <v>3409</v>
      </c>
      <c r="Q215" t="s">
        <v>8</v>
      </c>
      <c r="R215" t="s">
        <v>7</v>
      </c>
    </row>
    <row r="216" spans="1:18">
      <c r="A216">
        <v>1032</v>
      </c>
      <c r="B216" t="s">
        <v>13538</v>
      </c>
      <c r="C216">
        <v>1</v>
      </c>
      <c r="E216" t="s">
        <v>3413</v>
      </c>
      <c r="I216" t="s">
        <v>13539</v>
      </c>
      <c r="J216" t="s">
        <v>13540</v>
      </c>
      <c r="Q216" t="s">
        <v>169</v>
      </c>
      <c r="R216" t="s">
        <v>7</v>
      </c>
    </row>
    <row r="217" spans="1:18">
      <c r="A217">
        <v>1033</v>
      </c>
      <c r="B217" t="s">
        <v>13934</v>
      </c>
      <c r="C217">
        <v>1</v>
      </c>
      <c r="E217" t="s">
        <v>3413</v>
      </c>
      <c r="I217" t="s">
        <v>13935</v>
      </c>
      <c r="J217" t="s">
        <v>13936</v>
      </c>
      <c r="Q217" t="s">
        <v>5685</v>
      </c>
      <c r="R217" t="s">
        <v>7</v>
      </c>
    </row>
    <row r="218" spans="1:18">
      <c r="A218">
        <v>1034</v>
      </c>
      <c r="B218" t="s">
        <v>13937</v>
      </c>
      <c r="C218">
        <v>1</v>
      </c>
      <c r="E218" t="s">
        <v>3413</v>
      </c>
      <c r="F218" t="s">
        <v>3412</v>
      </c>
      <c r="I218" t="s">
        <v>13938</v>
      </c>
      <c r="J218" t="s">
        <v>4705</v>
      </c>
      <c r="Q218" t="s">
        <v>183</v>
      </c>
      <c r="R218" t="s">
        <v>7</v>
      </c>
    </row>
    <row r="219" spans="1:18">
      <c r="A219">
        <v>1035</v>
      </c>
      <c r="B219" t="s">
        <v>13939</v>
      </c>
      <c r="C219">
        <v>1</v>
      </c>
      <c r="E219" t="s">
        <v>3413</v>
      </c>
      <c r="F219" t="s">
        <v>3412</v>
      </c>
      <c r="I219" t="s">
        <v>13940</v>
      </c>
      <c r="J219" t="s">
        <v>3423</v>
      </c>
      <c r="Q219" t="s">
        <v>6</v>
      </c>
      <c r="R219" t="s">
        <v>7</v>
      </c>
    </row>
    <row r="220" spans="1:18">
      <c r="A220">
        <v>1036</v>
      </c>
      <c r="B220" t="s">
        <v>13941</v>
      </c>
      <c r="C220">
        <v>1</v>
      </c>
      <c r="E220" t="s">
        <v>3413</v>
      </c>
      <c r="F220" t="s">
        <v>3412</v>
      </c>
      <c r="I220" t="s">
        <v>13942</v>
      </c>
      <c r="J220" t="s">
        <v>3423</v>
      </c>
      <c r="Q220" t="s">
        <v>14</v>
      </c>
      <c r="R220" t="s">
        <v>7</v>
      </c>
    </row>
    <row r="221" spans="1:18">
      <c r="A221">
        <v>1037</v>
      </c>
      <c r="B221" t="s">
        <v>13624</v>
      </c>
      <c r="C221">
        <v>1</v>
      </c>
      <c r="E221" t="s">
        <v>3413</v>
      </c>
      <c r="F221" t="s">
        <v>3412</v>
      </c>
      <c r="I221" t="s">
        <v>13625</v>
      </c>
      <c r="J221" t="s">
        <v>13626</v>
      </c>
      <c r="K221" t="s">
        <v>13494</v>
      </c>
      <c r="Q221" t="s">
        <v>607</v>
      </c>
      <c r="R221" t="s">
        <v>7</v>
      </c>
    </row>
    <row r="222" spans="1:18">
      <c r="A222">
        <v>1038</v>
      </c>
      <c r="B222" t="s">
        <v>13943</v>
      </c>
      <c r="C222">
        <v>1</v>
      </c>
      <c r="E222" t="s">
        <v>3413</v>
      </c>
      <c r="I222" t="s">
        <v>13944</v>
      </c>
      <c r="Q222" t="s">
        <v>182</v>
      </c>
      <c r="R222" t="s">
        <v>7</v>
      </c>
    </row>
    <row r="223" spans="1:18">
      <c r="A223">
        <v>1039</v>
      </c>
      <c r="B223" t="s">
        <v>13945</v>
      </c>
      <c r="C223">
        <v>1</v>
      </c>
      <c r="E223" t="s">
        <v>3413</v>
      </c>
      <c r="I223" t="s">
        <v>13946</v>
      </c>
      <c r="J223" t="s">
        <v>13947</v>
      </c>
      <c r="Q223" t="s">
        <v>30</v>
      </c>
      <c r="R223" t="s">
        <v>7</v>
      </c>
    </row>
    <row r="224" spans="1:18">
      <c r="A224">
        <v>1040</v>
      </c>
      <c r="B224" t="s">
        <v>13948</v>
      </c>
      <c r="C224">
        <v>1</v>
      </c>
      <c r="E224" t="s">
        <v>3413</v>
      </c>
      <c r="I224" t="s">
        <v>13949</v>
      </c>
      <c r="Q224" t="s">
        <v>605</v>
      </c>
      <c r="R224" t="s">
        <v>7</v>
      </c>
    </row>
    <row r="225" spans="1:18">
      <c r="A225">
        <v>1041</v>
      </c>
      <c r="B225" t="s">
        <v>13950</v>
      </c>
      <c r="C225">
        <v>1</v>
      </c>
      <c r="E225" t="s">
        <v>3413</v>
      </c>
      <c r="F225" t="s">
        <v>3412</v>
      </c>
      <c r="I225" t="s">
        <v>13951</v>
      </c>
      <c r="J225" t="s">
        <v>13952</v>
      </c>
      <c r="Q225" t="s">
        <v>175</v>
      </c>
      <c r="R225" t="s">
        <v>7</v>
      </c>
    </row>
    <row r="226" spans="1:18">
      <c r="A226">
        <v>1042</v>
      </c>
      <c r="B226" t="s">
        <v>13953</v>
      </c>
      <c r="C226">
        <v>1</v>
      </c>
      <c r="E226" t="s">
        <v>3413</v>
      </c>
      <c r="F226" t="s">
        <v>3412</v>
      </c>
      <c r="I226" t="s">
        <v>13824</v>
      </c>
      <c r="J226" t="s">
        <v>3409</v>
      </c>
      <c r="Q226" t="s">
        <v>607</v>
      </c>
      <c r="R226" t="s">
        <v>7</v>
      </c>
    </row>
    <row r="227" spans="1:18">
      <c r="A227">
        <v>1043</v>
      </c>
      <c r="B227" t="s">
        <v>13954</v>
      </c>
      <c r="C227">
        <v>1</v>
      </c>
      <c r="E227" t="s">
        <v>3413</v>
      </c>
      <c r="I227" t="s">
        <v>13955</v>
      </c>
      <c r="Q227" t="s">
        <v>168</v>
      </c>
      <c r="R227" t="s">
        <v>7</v>
      </c>
    </row>
    <row r="228" spans="1:18">
      <c r="A228">
        <v>1044</v>
      </c>
      <c r="B228" t="s">
        <v>13956</v>
      </c>
      <c r="C228">
        <v>1</v>
      </c>
      <c r="E228" t="s">
        <v>3413</v>
      </c>
      <c r="F228" t="s">
        <v>3412</v>
      </c>
      <c r="I228" t="s">
        <v>13764</v>
      </c>
      <c r="J228" t="s">
        <v>4728</v>
      </c>
      <c r="K228" t="s">
        <v>3409</v>
      </c>
      <c r="Q228" t="s">
        <v>50</v>
      </c>
      <c r="R228" t="s">
        <v>7</v>
      </c>
    </row>
    <row r="229" spans="1:18">
      <c r="A229">
        <v>1045</v>
      </c>
      <c r="B229" t="s">
        <v>13957</v>
      </c>
      <c r="C229">
        <v>1</v>
      </c>
      <c r="E229" t="s">
        <v>3413</v>
      </c>
      <c r="F229" t="s">
        <v>3412</v>
      </c>
      <c r="I229" t="s">
        <v>13958</v>
      </c>
      <c r="J229" t="s">
        <v>4705</v>
      </c>
      <c r="Q229" t="s">
        <v>183</v>
      </c>
      <c r="R229" t="s">
        <v>7</v>
      </c>
    </row>
    <row r="230" spans="1:18">
      <c r="A230">
        <v>1046</v>
      </c>
      <c r="B230" t="s">
        <v>13959</v>
      </c>
      <c r="C230">
        <v>1</v>
      </c>
      <c r="E230" t="s">
        <v>3413</v>
      </c>
      <c r="I230" t="s">
        <v>13960</v>
      </c>
      <c r="Q230" t="s">
        <v>8</v>
      </c>
      <c r="R230" t="s">
        <v>7</v>
      </c>
    </row>
    <row r="231" spans="1:18">
      <c r="A231">
        <v>1047</v>
      </c>
      <c r="B231" t="s">
        <v>13961</v>
      </c>
      <c r="C231">
        <v>1</v>
      </c>
      <c r="E231" t="s">
        <v>3413</v>
      </c>
      <c r="F231" t="s">
        <v>3412</v>
      </c>
      <c r="I231" t="s">
        <v>13962</v>
      </c>
      <c r="J231" t="s">
        <v>4070</v>
      </c>
      <c r="Q231" t="s">
        <v>44</v>
      </c>
      <c r="R231" t="s">
        <v>7</v>
      </c>
    </row>
    <row r="232" spans="1:18">
      <c r="A232">
        <v>1048</v>
      </c>
      <c r="B232" t="s">
        <v>13963</v>
      </c>
      <c r="C232">
        <v>1</v>
      </c>
      <c r="E232" t="s">
        <v>3413</v>
      </c>
      <c r="I232" t="s">
        <v>13964</v>
      </c>
      <c r="Q232" t="s">
        <v>180</v>
      </c>
      <c r="R232" t="s">
        <v>7</v>
      </c>
    </row>
    <row r="233" spans="1:18">
      <c r="A233">
        <v>1049</v>
      </c>
      <c r="B233" t="s">
        <v>13965</v>
      </c>
      <c r="C233">
        <v>1</v>
      </c>
      <c r="E233" t="s">
        <v>3413</v>
      </c>
      <c r="I233" t="s">
        <v>13966</v>
      </c>
      <c r="Q233" t="s">
        <v>35</v>
      </c>
      <c r="R233" t="s">
        <v>7</v>
      </c>
    </row>
    <row r="234" spans="1:18">
      <c r="A234">
        <v>1050</v>
      </c>
      <c r="B234" t="s">
        <v>13967</v>
      </c>
      <c r="C234">
        <v>1</v>
      </c>
      <c r="E234" t="s">
        <v>3413</v>
      </c>
      <c r="I234" t="s">
        <v>13968</v>
      </c>
      <c r="Q234" t="s">
        <v>182</v>
      </c>
      <c r="R234" t="s">
        <v>7</v>
      </c>
    </row>
    <row r="235" spans="1:18">
      <c r="A235">
        <v>1051</v>
      </c>
      <c r="B235" t="s">
        <v>13969</v>
      </c>
      <c r="C235">
        <v>1</v>
      </c>
      <c r="E235" t="s">
        <v>3413</v>
      </c>
      <c r="I235" t="s">
        <v>13970</v>
      </c>
      <c r="J235" t="s">
        <v>13971</v>
      </c>
      <c r="Q235" t="s">
        <v>177</v>
      </c>
      <c r="R235" t="s">
        <v>7</v>
      </c>
    </row>
    <row r="236" spans="1:18">
      <c r="A236">
        <v>1052</v>
      </c>
      <c r="B236" t="s">
        <v>13553</v>
      </c>
      <c r="C236" t="s">
        <v>1099</v>
      </c>
      <c r="E236" t="s">
        <v>3413</v>
      </c>
      <c r="I236" t="s">
        <v>13554</v>
      </c>
      <c r="Q236" t="s">
        <v>768</v>
      </c>
      <c r="R236" t="s">
        <v>7</v>
      </c>
    </row>
    <row r="237" spans="1:18">
      <c r="A237">
        <v>1053</v>
      </c>
      <c r="B237" t="s">
        <v>13972</v>
      </c>
      <c r="C237">
        <v>1</v>
      </c>
      <c r="E237" t="s">
        <v>3413</v>
      </c>
      <c r="I237" t="s">
        <v>13973</v>
      </c>
      <c r="J237" t="s">
        <v>13974</v>
      </c>
      <c r="Q237" t="s">
        <v>48</v>
      </c>
      <c r="R237" t="s">
        <v>7</v>
      </c>
    </row>
    <row r="238" spans="1:18">
      <c r="A238">
        <v>1054</v>
      </c>
      <c r="B238" t="s">
        <v>13630</v>
      </c>
      <c r="C238">
        <v>1</v>
      </c>
      <c r="E238" t="s">
        <v>3413</v>
      </c>
      <c r="I238" t="s">
        <v>13631</v>
      </c>
      <c r="Q238" t="s">
        <v>171</v>
      </c>
      <c r="R238" t="s">
        <v>7</v>
      </c>
    </row>
    <row r="239" spans="1:18">
      <c r="A239">
        <v>1055</v>
      </c>
      <c r="B239" t="s">
        <v>13975</v>
      </c>
      <c r="C239">
        <v>1</v>
      </c>
      <c r="E239" t="s">
        <v>3413</v>
      </c>
      <c r="I239" t="s">
        <v>13976</v>
      </c>
      <c r="Q239" t="s">
        <v>182</v>
      </c>
      <c r="R239" t="s">
        <v>7</v>
      </c>
    </row>
    <row r="240" spans="1:18">
      <c r="A240">
        <v>1056</v>
      </c>
      <c r="B240" t="s">
        <v>13977</v>
      </c>
      <c r="C240">
        <v>1</v>
      </c>
      <c r="E240" t="s">
        <v>3413</v>
      </c>
      <c r="F240" t="s">
        <v>3412</v>
      </c>
      <c r="I240" t="s">
        <v>13978</v>
      </c>
      <c r="J240" t="s">
        <v>3118</v>
      </c>
      <c r="Q240" t="s">
        <v>5719</v>
      </c>
      <c r="R240" t="s">
        <v>7</v>
      </c>
    </row>
    <row r="241" spans="1:18">
      <c r="A241">
        <v>1057</v>
      </c>
      <c r="B241" t="s">
        <v>4727</v>
      </c>
      <c r="C241">
        <v>1</v>
      </c>
      <c r="E241" t="s">
        <v>3413</v>
      </c>
      <c r="F241" t="s">
        <v>3412</v>
      </c>
      <c r="I241" t="s">
        <v>4728</v>
      </c>
      <c r="J241" t="s">
        <v>4708</v>
      </c>
      <c r="K241" t="s">
        <v>3409</v>
      </c>
      <c r="Q241" t="s">
        <v>45</v>
      </c>
      <c r="R241" t="s">
        <v>7</v>
      </c>
    </row>
    <row r="242" spans="1:18">
      <c r="A242">
        <v>1058</v>
      </c>
      <c r="B242" t="s">
        <v>13979</v>
      </c>
      <c r="C242">
        <v>1</v>
      </c>
      <c r="E242" t="s">
        <v>3413</v>
      </c>
      <c r="F242" t="s">
        <v>3412</v>
      </c>
      <c r="I242" t="s">
        <v>13493</v>
      </c>
      <c r="J242" t="s">
        <v>13980</v>
      </c>
      <c r="Q242" t="s">
        <v>183</v>
      </c>
      <c r="R242" t="s">
        <v>7</v>
      </c>
    </row>
    <row r="243" spans="1:18">
      <c r="A243">
        <v>1059</v>
      </c>
      <c r="B243" t="s">
        <v>13981</v>
      </c>
      <c r="C243">
        <v>1</v>
      </c>
      <c r="E243" t="s">
        <v>3413</v>
      </c>
      <c r="I243" t="s">
        <v>13982</v>
      </c>
      <c r="Q243" t="s">
        <v>172</v>
      </c>
      <c r="R243" t="s">
        <v>7</v>
      </c>
    </row>
    <row r="244" spans="1:18">
      <c r="A244">
        <v>1060</v>
      </c>
      <c r="B244" t="s">
        <v>13983</v>
      </c>
      <c r="C244">
        <v>1</v>
      </c>
      <c r="E244" t="s">
        <v>3413</v>
      </c>
      <c r="F244" t="s">
        <v>3412</v>
      </c>
      <c r="I244" t="s">
        <v>13984</v>
      </c>
      <c r="J244" t="s">
        <v>3409</v>
      </c>
      <c r="Q244" t="s">
        <v>28</v>
      </c>
      <c r="R244" t="s">
        <v>7</v>
      </c>
    </row>
    <row r="245" spans="1:18">
      <c r="A245">
        <v>1061</v>
      </c>
      <c r="B245" t="s">
        <v>13985</v>
      </c>
      <c r="C245">
        <v>1</v>
      </c>
      <c r="E245" t="s">
        <v>3413</v>
      </c>
      <c r="F245" t="s">
        <v>3412</v>
      </c>
      <c r="I245" t="s">
        <v>13986</v>
      </c>
      <c r="J245" t="s">
        <v>3423</v>
      </c>
      <c r="Q245" t="s">
        <v>50</v>
      </c>
      <c r="R245" t="s">
        <v>7</v>
      </c>
    </row>
    <row r="246" spans="1:18">
      <c r="A246">
        <v>1062</v>
      </c>
      <c r="B246" t="s">
        <v>13987</v>
      </c>
      <c r="C246">
        <v>1</v>
      </c>
      <c r="E246" t="s">
        <v>3413</v>
      </c>
      <c r="I246" t="s">
        <v>13988</v>
      </c>
      <c r="J246" t="s">
        <v>13989</v>
      </c>
      <c r="Q246" t="s">
        <v>605</v>
      </c>
      <c r="R246" t="s">
        <v>7</v>
      </c>
    </row>
    <row r="247" spans="1:18">
      <c r="A247">
        <v>1063</v>
      </c>
      <c r="B247" t="s">
        <v>13990</v>
      </c>
      <c r="C247">
        <v>1</v>
      </c>
      <c r="E247" t="s">
        <v>3413</v>
      </c>
      <c r="I247" t="s">
        <v>13991</v>
      </c>
      <c r="Q247" t="s">
        <v>14</v>
      </c>
      <c r="R247" t="s">
        <v>7</v>
      </c>
    </row>
    <row r="248" spans="1:18">
      <c r="A248">
        <v>1064</v>
      </c>
      <c r="B248" t="s">
        <v>13546</v>
      </c>
      <c r="C248">
        <v>1</v>
      </c>
      <c r="E248" t="s">
        <v>3413</v>
      </c>
      <c r="I248" t="s">
        <v>13547</v>
      </c>
      <c r="Q248" t="s">
        <v>40</v>
      </c>
      <c r="R248" t="s">
        <v>7</v>
      </c>
    </row>
    <row r="249" spans="1:18">
      <c r="A249">
        <v>1065</v>
      </c>
      <c r="B249" t="s">
        <v>13992</v>
      </c>
      <c r="C249">
        <v>1</v>
      </c>
      <c r="E249" t="s">
        <v>3413</v>
      </c>
      <c r="I249" t="s">
        <v>13993</v>
      </c>
      <c r="J249" t="s">
        <v>13994</v>
      </c>
      <c r="Q249" t="s">
        <v>168</v>
      </c>
      <c r="R249" t="s">
        <v>7</v>
      </c>
    </row>
    <row r="250" spans="1:18">
      <c r="A250">
        <v>1066</v>
      </c>
      <c r="B250" t="s">
        <v>13995</v>
      </c>
      <c r="C250">
        <v>1</v>
      </c>
      <c r="E250" t="s">
        <v>3413</v>
      </c>
      <c r="I250" t="s">
        <v>13996</v>
      </c>
      <c r="Q250" t="s">
        <v>182</v>
      </c>
      <c r="R250" t="s">
        <v>7</v>
      </c>
    </row>
    <row r="251" spans="1:18">
      <c r="A251">
        <v>1067</v>
      </c>
      <c r="B251" t="s">
        <v>13997</v>
      </c>
      <c r="C251">
        <v>1</v>
      </c>
      <c r="E251" t="s">
        <v>3413</v>
      </c>
      <c r="I251" t="s">
        <v>13998</v>
      </c>
      <c r="Q251" t="s">
        <v>182</v>
      </c>
      <c r="R251" t="s">
        <v>7</v>
      </c>
    </row>
    <row r="252" spans="1:18">
      <c r="A252">
        <v>1068</v>
      </c>
      <c r="B252" t="s">
        <v>13999</v>
      </c>
      <c r="C252">
        <v>1</v>
      </c>
      <c r="E252" t="s">
        <v>3413</v>
      </c>
      <c r="I252" t="s">
        <v>14000</v>
      </c>
      <c r="Q252" t="s">
        <v>31</v>
      </c>
      <c r="R252" t="s">
        <v>7</v>
      </c>
    </row>
    <row r="253" spans="1:18">
      <c r="A253">
        <v>1069</v>
      </c>
      <c r="B253" t="s">
        <v>14001</v>
      </c>
      <c r="C253">
        <v>1</v>
      </c>
      <c r="E253" t="s">
        <v>3413</v>
      </c>
      <c r="I253" t="s">
        <v>14002</v>
      </c>
      <c r="J253" t="s">
        <v>14003</v>
      </c>
      <c r="Q253" t="s">
        <v>168</v>
      </c>
      <c r="R253" t="s">
        <v>7</v>
      </c>
    </row>
    <row r="254" spans="1:18">
      <c r="A254">
        <v>1070</v>
      </c>
      <c r="B254" t="s">
        <v>14004</v>
      </c>
      <c r="C254">
        <v>1</v>
      </c>
      <c r="E254" t="s">
        <v>3413</v>
      </c>
      <c r="I254" t="s">
        <v>14005</v>
      </c>
      <c r="Q254" t="s">
        <v>605</v>
      </c>
      <c r="R254" t="s">
        <v>7</v>
      </c>
    </row>
    <row r="255" spans="1:18">
      <c r="A255">
        <v>1071</v>
      </c>
      <c r="B255" t="s">
        <v>14006</v>
      </c>
      <c r="C255">
        <v>1</v>
      </c>
      <c r="E255" t="s">
        <v>3413</v>
      </c>
      <c r="I255" t="s">
        <v>14007</v>
      </c>
      <c r="Q255" t="s">
        <v>180</v>
      </c>
      <c r="R255" t="s">
        <v>7</v>
      </c>
    </row>
    <row r="256" spans="1:18">
      <c r="A256">
        <v>1072</v>
      </c>
      <c r="B256" t="s">
        <v>13580</v>
      </c>
      <c r="C256">
        <v>1</v>
      </c>
      <c r="E256" t="s">
        <v>3413</v>
      </c>
      <c r="F256" t="s">
        <v>3412</v>
      </c>
      <c r="I256" t="s">
        <v>3408</v>
      </c>
      <c r="J256" t="s">
        <v>13494</v>
      </c>
      <c r="Q256" t="s">
        <v>169</v>
      </c>
      <c r="R256" t="s">
        <v>7</v>
      </c>
    </row>
    <row r="257" spans="1:18">
      <c r="A257">
        <v>1073</v>
      </c>
      <c r="B257" t="s">
        <v>3826</v>
      </c>
      <c r="C257">
        <v>1</v>
      </c>
      <c r="E257" t="s">
        <v>3413</v>
      </c>
      <c r="F257" t="s">
        <v>3867</v>
      </c>
      <c r="I257" t="s">
        <v>14008</v>
      </c>
      <c r="Q257" t="s">
        <v>35</v>
      </c>
      <c r="R257" t="s">
        <v>7</v>
      </c>
    </row>
    <row r="258" spans="1:18">
      <c r="A258">
        <v>1074</v>
      </c>
      <c r="B258" t="s">
        <v>14009</v>
      </c>
      <c r="C258">
        <v>2</v>
      </c>
      <c r="E258" t="s">
        <v>3413</v>
      </c>
      <c r="F258" t="s">
        <v>3412</v>
      </c>
      <c r="I258" t="s">
        <v>3408</v>
      </c>
      <c r="J258" t="s">
        <v>14010</v>
      </c>
      <c r="K258" t="s">
        <v>3409</v>
      </c>
      <c r="Q258" t="s">
        <v>32</v>
      </c>
      <c r="R258" t="s">
        <v>7</v>
      </c>
    </row>
    <row r="259" spans="1:18">
      <c r="A259">
        <v>1075</v>
      </c>
      <c r="B259" t="s">
        <v>14011</v>
      </c>
      <c r="C259">
        <v>2</v>
      </c>
      <c r="E259" t="s">
        <v>3413</v>
      </c>
      <c r="I259" t="s">
        <v>293</v>
      </c>
      <c r="J259" t="s">
        <v>14012</v>
      </c>
      <c r="Q259" t="s">
        <v>168</v>
      </c>
      <c r="R259" t="s">
        <v>7</v>
      </c>
    </row>
    <row r="260" spans="1:18">
      <c r="A260">
        <v>1076</v>
      </c>
      <c r="B260" t="s">
        <v>14013</v>
      </c>
      <c r="C260">
        <v>2</v>
      </c>
      <c r="E260" t="s">
        <v>3413</v>
      </c>
      <c r="I260" t="s">
        <v>14014</v>
      </c>
      <c r="J260" t="s">
        <v>14015</v>
      </c>
      <c r="Q260" t="s">
        <v>17</v>
      </c>
      <c r="R260" t="s">
        <v>7</v>
      </c>
    </row>
    <row r="261" spans="1:18">
      <c r="A261">
        <v>1077</v>
      </c>
      <c r="B261" t="s">
        <v>14016</v>
      </c>
      <c r="C261">
        <v>2</v>
      </c>
      <c r="E261" t="s">
        <v>3413</v>
      </c>
      <c r="I261" t="s">
        <v>14017</v>
      </c>
      <c r="J261" t="s">
        <v>14018</v>
      </c>
      <c r="Q261" t="s">
        <v>5719</v>
      </c>
      <c r="R261" t="s">
        <v>7</v>
      </c>
    </row>
    <row r="262" spans="1:18">
      <c r="A262">
        <v>1078</v>
      </c>
      <c r="B262" t="s">
        <v>14019</v>
      </c>
      <c r="C262">
        <v>2</v>
      </c>
      <c r="E262" t="s">
        <v>3413</v>
      </c>
      <c r="I262" t="s">
        <v>14020</v>
      </c>
      <c r="Q262" t="s">
        <v>174</v>
      </c>
      <c r="R262" t="s">
        <v>7</v>
      </c>
    </row>
    <row r="263" spans="1:18">
      <c r="A263">
        <v>1079</v>
      </c>
      <c r="B263" t="s">
        <v>14021</v>
      </c>
      <c r="C263">
        <v>2</v>
      </c>
      <c r="E263" t="s">
        <v>3413</v>
      </c>
      <c r="I263" t="s">
        <v>14022</v>
      </c>
      <c r="J263" t="s">
        <v>14023</v>
      </c>
      <c r="Q263" t="s">
        <v>606</v>
      </c>
      <c r="R263" t="s">
        <v>7</v>
      </c>
    </row>
    <row r="264" spans="1:18">
      <c r="A264">
        <v>1080</v>
      </c>
      <c r="B264" t="s">
        <v>14024</v>
      </c>
      <c r="C264">
        <v>2</v>
      </c>
      <c r="E264" t="s">
        <v>3413</v>
      </c>
      <c r="F264" t="s">
        <v>3412</v>
      </c>
      <c r="I264" t="s">
        <v>14025</v>
      </c>
      <c r="J264" t="s">
        <v>3118</v>
      </c>
      <c r="Q264" t="s">
        <v>45</v>
      </c>
      <c r="R264" t="s">
        <v>7</v>
      </c>
    </row>
    <row r="265" spans="1:18">
      <c r="A265">
        <v>1081</v>
      </c>
      <c r="B265" t="s">
        <v>14026</v>
      </c>
      <c r="C265">
        <v>2</v>
      </c>
      <c r="E265" t="s">
        <v>3413</v>
      </c>
      <c r="F265" t="s">
        <v>3412</v>
      </c>
      <c r="I265" t="s">
        <v>14027</v>
      </c>
      <c r="J265" t="s">
        <v>14028</v>
      </c>
      <c r="K265" t="s">
        <v>13494</v>
      </c>
      <c r="Q265" t="s">
        <v>181</v>
      </c>
      <c r="R265" t="s">
        <v>7</v>
      </c>
    </row>
    <row r="266" spans="1:18">
      <c r="A266">
        <v>1082</v>
      </c>
      <c r="B266" t="s">
        <v>14029</v>
      </c>
      <c r="C266">
        <v>2</v>
      </c>
      <c r="E266" t="s">
        <v>3413</v>
      </c>
      <c r="I266" t="s">
        <v>14030</v>
      </c>
      <c r="J266" t="s">
        <v>14031</v>
      </c>
      <c r="Q266" t="s">
        <v>180</v>
      </c>
      <c r="R266" t="s">
        <v>7</v>
      </c>
    </row>
    <row r="267" spans="1:18">
      <c r="A267">
        <v>1083</v>
      </c>
      <c r="B267" t="s">
        <v>14032</v>
      </c>
      <c r="C267">
        <v>2</v>
      </c>
      <c r="E267" t="s">
        <v>3413</v>
      </c>
      <c r="I267" t="s">
        <v>14033</v>
      </c>
      <c r="J267" t="s">
        <v>14034</v>
      </c>
      <c r="K267" t="s">
        <v>14035</v>
      </c>
      <c r="Q267" t="s">
        <v>168</v>
      </c>
      <c r="R267" t="s">
        <v>7</v>
      </c>
    </row>
    <row r="268" spans="1:18">
      <c r="A268">
        <v>1084</v>
      </c>
      <c r="B268" t="s">
        <v>14036</v>
      </c>
      <c r="C268">
        <v>2</v>
      </c>
      <c r="E268" t="s">
        <v>3413</v>
      </c>
      <c r="F268" t="s">
        <v>3412</v>
      </c>
      <c r="I268" t="s">
        <v>4728</v>
      </c>
      <c r="J268" t="s">
        <v>14037</v>
      </c>
      <c r="K268" t="s">
        <v>3409</v>
      </c>
      <c r="Q268" t="s">
        <v>604</v>
      </c>
      <c r="R268" t="s">
        <v>7</v>
      </c>
    </row>
    <row r="269" spans="1:18">
      <c r="A269">
        <v>1085</v>
      </c>
      <c r="B269" t="s">
        <v>14038</v>
      </c>
      <c r="C269">
        <v>2</v>
      </c>
      <c r="E269" t="s">
        <v>3413</v>
      </c>
      <c r="I269" t="s">
        <v>14039</v>
      </c>
      <c r="J269" t="s">
        <v>14040</v>
      </c>
      <c r="Q269" t="s">
        <v>26</v>
      </c>
      <c r="R269" t="s">
        <v>7</v>
      </c>
    </row>
    <row r="270" spans="1:18">
      <c r="A270">
        <v>1086</v>
      </c>
      <c r="B270" t="s">
        <v>13664</v>
      </c>
      <c r="C270">
        <v>2</v>
      </c>
      <c r="E270" t="s">
        <v>3413</v>
      </c>
      <c r="I270" t="s">
        <v>13665</v>
      </c>
      <c r="Q270" t="s">
        <v>844</v>
      </c>
      <c r="R270" t="s">
        <v>7</v>
      </c>
    </row>
    <row r="271" spans="1:18">
      <c r="A271">
        <v>1087</v>
      </c>
      <c r="B271" t="s">
        <v>14041</v>
      </c>
      <c r="C271">
        <v>2</v>
      </c>
      <c r="E271" t="s">
        <v>3413</v>
      </c>
      <c r="F271" t="s">
        <v>3412</v>
      </c>
      <c r="I271" t="s">
        <v>14042</v>
      </c>
      <c r="J271" t="s">
        <v>3423</v>
      </c>
      <c r="Q271" t="s">
        <v>38</v>
      </c>
      <c r="R271" t="s">
        <v>7</v>
      </c>
    </row>
    <row r="272" spans="1:18">
      <c r="A272">
        <v>1088</v>
      </c>
      <c r="B272" t="s">
        <v>14043</v>
      </c>
      <c r="C272" t="s">
        <v>14044</v>
      </c>
      <c r="E272" t="s">
        <v>3413</v>
      </c>
      <c r="I272" t="s">
        <v>14045</v>
      </c>
      <c r="Q272" t="s">
        <v>1776</v>
      </c>
      <c r="R272" t="s">
        <v>7</v>
      </c>
    </row>
    <row r="273" spans="1:18">
      <c r="A273">
        <v>1089</v>
      </c>
      <c r="B273" t="s">
        <v>14046</v>
      </c>
      <c r="C273">
        <v>2</v>
      </c>
      <c r="E273" t="s">
        <v>3413</v>
      </c>
      <c r="I273" t="s">
        <v>14047</v>
      </c>
      <c r="J273" t="s">
        <v>14048</v>
      </c>
      <c r="Q273" t="s">
        <v>182</v>
      </c>
      <c r="R273" t="s">
        <v>7</v>
      </c>
    </row>
    <row r="274" spans="1:18">
      <c r="A274">
        <v>1090</v>
      </c>
      <c r="B274" t="s">
        <v>14049</v>
      </c>
      <c r="C274">
        <v>2</v>
      </c>
      <c r="E274" t="s">
        <v>3413</v>
      </c>
      <c r="I274" t="s">
        <v>14050</v>
      </c>
      <c r="Q274" t="s">
        <v>605</v>
      </c>
      <c r="R274" t="s">
        <v>7</v>
      </c>
    </row>
    <row r="275" spans="1:18">
      <c r="A275">
        <v>1091</v>
      </c>
      <c r="B275" t="s">
        <v>14051</v>
      </c>
      <c r="C275">
        <v>2</v>
      </c>
      <c r="E275" t="s">
        <v>3413</v>
      </c>
      <c r="I275" t="s">
        <v>14052</v>
      </c>
      <c r="J275" t="s">
        <v>14053</v>
      </c>
      <c r="K275" t="s">
        <v>14054</v>
      </c>
      <c r="Q275" t="s">
        <v>29</v>
      </c>
      <c r="R275" t="s">
        <v>7</v>
      </c>
    </row>
    <row r="276" spans="1:18">
      <c r="A276">
        <v>1092</v>
      </c>
      <c r="B276" t="s">
        <v>14055</v>
      </c>
      <c r="C276">
        <v>2</v>
      </c>
      <c r="E276" t="s">
        <v>3413</v>
      </c>
      <c r="I276" t="s">
        <v>14056</v>
      </c>
      <c r="J276" t="s">
        <v>5684</v>
      </c>
      <c r="K276" t="s">
        <v>14057</v>
      </c>
      <c r="Q276" t="s">
        <v>605</v>
      </c>
      <c r="R276" t="s">
        <v>7</v>
      </c>
    </row>
    <row r="277" spans="1:18">
      <c r="A277">
        <v>1093</v>
      </c>
      <c r="B277" t="s">
        <v>14058</v>
      </c>
      <c r="C277">
        <v>2</v>
      </c>
      <c r="E277" t="s">
        <v>3413</v>
      </c>
      <c r="I277" t="s">
        <v>14059</v>
      </c>
      <c r="Q277" t="s">
        <v>174</v>
      </c>
      <c r="R277" t="s">
        <v>7</v>
      </c>
    </row>
    <row r="278" spans="1:18">
      <c r="A278">
        <v>1094</v>
      </c>
      <c r="B278" t="s">
        <v>14060</v>
      </c>
      <c r="C278">
        <v>2</v>
      </c>
      <c r="E278" t="s">
        <v>3413</v>
      </c>
      <c r="I278" t="s">
        <v>14061</v>
      </c>
      <c r="J278" t="s">
        <v>14062</v>
      </c>
      <c r="Q278" t="s">
        <v>6</v>
      </c>
      <c r="R278" t="s">
        <v>7</v>
      </c>
    </row>
    <row r="279" spans="1:18">
      <c r="A279">
        <v>1095</v>
      </c>
      <c r="B279" t="s">
        <v>13692</v>
      </c>
      <c r="C279">
        <v>2</v>
      </c>
      <c r="E279" t="s">
        <v>3413</v>
      </c>
      <c r="I279" t="s">
        <v>13693</v>
      </c>
      <c r="Q279" t="s">
        <v>844</v>
      </c>
      <c r="R279" t="s">
        <v>7</v>
      </c>
    </row>
    <row r="280" spans="1:18">
      <c r="A280">
        <v>1096</v>
      </c>
      <c r="B280" t="s">
        <v>14063</v>
      </c>
      <c r="C280">
        <v>2</v>
      </c>
      <c r="E280" t="s">
        <v>3413</v>
      </c>
      <c r="I280" t="s">
        <v>14064</v>
      </c>
      <c r="Q280" t="s">
        <v>3747</v>
      </c>
      <c r="R280" t="s">
        <v>7</v>
      </c>
    </row>
    <row r="281" spans="1:18">
      <c r="A281">
        <v>1097</v>
      </c>
      <c r="B281" t="s">
        <v>14065</v>
      </c>
      <c r="C281">
        <v>2</v>
      </c>
      <c r="E281" t="s">
        <v>3413</v>
      </c>
      <c r="I281" t="s">
        <v>5684</v>
      </c>
      <c r="J281" t="s">
        <v>14066</v>
      </c>
      <c r="Q281" t="s">
        <v>169</v>
      </c>
      <c r="R281" t="s">
        <v>7</v>
      </c>
    </row>
    <row r="282" spans="1:18">
      <c r="A282">
        <v>1098</v>
      </c>
      <c r="B282" t="s">
        <v>14067</v>
      </c>
      <c r="C282">
        <v>2</v>
      </c>
      <c r="E282" t="s">
        <v>3413</v>
      </c>
      <c r="I282" t="s">
        <v>14068</v>
      </c>
      <c r="Q282" t="s">
        <v>607</v>
      </c>
      <c r="R282" t="s">
        <v>7</v>
      </c>
    </row>
    <row r="283" spans="1:18">
      <c r="A283">
        <v>1099</v>
      </c>
      <c r="B283" t="s">
        <v>14069</v>
      </c>
      <c r="C283">
        <v>2</v>
      </c>
      <c r="E283" t="s">
        <v>3413</v>
      </c>
      <c r="I283" t="s">
        <v>293</v>
      </c>
      <c r="J283" t="s">
        <v>14070</v>
      </c>
      <c r="Q283" t="s">
        <v>168</v>
      </c>
      <c r="R283" t="s">
        <v>7</v>
      </c>
    </row>
    <row r="284" spans="1:18">
      <c r="A284">
        <v>1100</v>
      </c>
      <c r="B284" t="s">
        <v>14071</v>
      </c>
      <c r="C284">
        <v>2</v>
      </c>
      <c r="E284" t="s">
        <v>3413</v>
      </c>
      <c r="I284" t="s">
        <v>14072</v>
      </c>
      <c r="J284" t="s">
        <v>14073</v>
      </c>
      <c r="K284" t="s">
        <v>14074</v>
      </c>
      <c r="Q284" t="s">
        <v>50</v>
      </c>
      <c r="R284" t="s">
        <v>7</v>
      </c>
    </row>
    <row r="285" spans="1:18">
      <c r="A285">
        <v>1101</v>
      </c>
      <c r="B285" t="s">
        <v>14075</v>
      </c>
      <c r="C285">
        <v>2</v>
      </c>
      <c r="E285" t="s">
        <v>3413</v>
      </c>
      <c r="I285" t="s">
        <v>12403</v>
      </c>
      <c r="J285" t="s">
        <v>14076</v>
      </c>
      <c r="K285" t="s">
        <v>14077</v>
      </c>
      <c r="Q285" t="s">
        <v>605</v>
      </c>
      <c r="R285" t="s">
        <v>7</v>
      </c>
    </row>
    <row r="286" spans="1:18">
      <c r="A286">
        <v>1102</v>
      </c>
      <c r="B286" t="s">
        <v>14078</v>
      </c>
      <c r="C286">
        <v>2</v>
      </c>
      <c r="E286" t="s">
        <v>3413</v>
      </c>
      <c r="F286" t="s">
        <v>3412</v>
      </c>
      <c r="I286" t="s">
        <v>14079</v>
      </c>
      <c r="J286" t="s">
        <v>14080</v>
      </c>
      <c r="K286" t="s">
        <v>3409</v>
      </c>
      <c r="Q286" t="s">
        <v>45</v>
      </c>
      <c r="R286" t="s">
        <v>7</v>
      </c>
    </row>
    <row r="287" spans="1:18">
      <c r="A287">
        <v>1103</v>
      </c>
      <c r="B287" t="s">
        <v>14081</v>
      </c>
      <c r="C287">
        <v>2</v>
      </c>
      <c r="E287" t="s">
        <v>3413</v>
      </c>
      <c r="I287" t="s">
        <v>14082</v>
      </c>
      <c r="Q287" t="s">
        <v>175</v>
      </c>
      <c r="R287" t="s">
        <v>7</v>
      </c>
    </row>
    <row r="288" spans="1:18">
      <c r="A288">
        <v>1104</v>
      </c>
      <c r="B288" t="s">
        <v>14083</v>
      </c>
      <c r="C288">
        <v>2</v>
      </c>
      <c r="E288" t="s">
        <v>3413</v>
      </c>
      <c r="F288" t="s">
        <v>3412</v>
      </c>
      <c r="I288" t="s">
        <v>14084</v>
      </c>
      <c r="J288" t="s">
        <v>14085</v>
      </c>
      <c r="K288" t="s">
        <v>13494</v>
      </c>
      <c r="Q288" t="s">
        <v>181</v>
      </c>
      <c r="R288" t="s">
        <v>7</v>
      </c>
    </row>
    <row r="289" spans="1:18">
      <c r="A289">
        <v>1105</v>
      </c>
      <c r="B289" t="s">
        <v>4371</v>
      </c>
      <c r="C289" t="s">
        <v>1852</v>
      </c>
      <c r="E289" t="s">
        <v>3413</v>
      </c>
      <c r="F289" t="s">
        <v>3412</v>
      </c>
      <c r="I289" t="s">
        <v>4372</v>
      </c>
      <c r="J289" t="s">
        <v>3423</v>
      </c>
      <c r="Q289" t="s">
        <v>1776</v>
      </c>
      <c r="R289" t="s">
        <v>7</v>
      </c>
    </row>
    <row r="290" spans="1:18">
      <c r="A290">
        <v>1106</v>
      </c>
      <c r="B290" t="s">
        <v>14086</v>
      </c>
      <c r="C290">
        <v>2</v>
      </c>
      <c r="E290" t="s">
        <v>3413</v>
      </c>
      <c r="F290" t="s">
        <v>3412</v>
      </c>
      <c r="I290" t="s">
        <v>4728</v>
      </c>
      <c r="J290" t="s">
        <v>14087</v>
      </c>
      <c r="K290" t="s">
        <v>4705</v>
      </c>
      <c r="Q290" t="s">
        <v>48</v>
      </c>
      <c r="R290" t="s">
        <v>7</v>
      </c>
    </row>
    <row r="291" spans="1:18">
      <c r="A291">
        <v>1107</v>
      </c>
      <c r="B291" t="s">
        <v>14088</v>
      </c>
      <c r="C291">
        <v>2</v>
      </c>
      <c r="E291" t="s">
        <v>3413</v>
      </c>
      <c r="I291" t="s">
        <v>14089</v>
      </c>
      <c r="Q291" t="s">
        <v>50</v>
      </c>
      <c r="R291" t="s">
        <v>7</v>
      </c>
    </row>
    <row r="292" spans="1:18">
      <c r="A292">
        <v>1108</v>
      </c>
      <c r="B292" t="s">
        <v>14090</v>
      </c>
      <c r="C292">
        <v>2</v>
      </c>
      <c r="E292" t="s">
        <v>3413</v>
      </c>
      <c r="F292" t="s">
        <v>3412</v>
      </c>
      <c r="I292" t="s">
        <v>14091</v>
      </c>
      <c r="J292" t="s">
        <v>14092</v>
      </c>
      <c r="Q292" t="s">
        <v>177</v>
      </c>
      <c r="R292" t="s">
        <v>7</v>
      </c>
    </row>
    <row r="293" spans="1:18">
      <c r="A293">
        <v>1109</v>
      </c>
      <c r="B293" t="s">
        <v>14093</v>
      </c>
      <c r="C293">
        <v>2</v>
      </c>
      <c r="E293" t="s">
        <v>3413</v>
      </c>
      <c r="F293" t="s">
        <v>3412</v>
      </c>
      <c r="I293" t="s">
        <v>14094</v>
      </c>
      <c r="J293" t="s">
        <v>3409</v>
      </c>
      <c r="Q293" t="s">
        <v>176</v>
      </c>
      <c r="R293" t="s">
        <v>7</v>
      </c>
    </row>
    <row r="294" spans="1:18">
      <c r="A294">
        <v>1110</v>
      </c>
      <c r="B294" t="s">
        <v>14095</v>
      </c>
      <c r="C294">
        <v>2</v>
      </c>
      <c r="E294" t="s">
        <v>3413</v>
      </c>
      <c r="I294" t="s">
        <v>14096</v>
      </c>
      <c r="Q294" t="s">
        <v>174</v>
      </c>
      <c r="R294" t="s">
        <v>7</v>
      </c>
    </row>
    <row r="295" spans="1:18">
      <c r="A295">
        <v>1111</v>
      </c>
      <c r="B295" t="s">
        <v>13687</v>
      </c>
      <c r="C295">
        <v>2</v>
      </c>
      <c r="E295" t="s">
        <v>3413</v>
      </c>
      <c r="I295" t="s">
        <v>13688</v>
      </c>
      <c r="Q295" t="s">
        <v>844</v>
      </c>
      <c r="R295" t="s">
        <v>7</v>
      </c>
    </row>
    <row r="296" spans="1:18">
      <c r="A296">
        <v>1112</v>
      </c>
      <c r="B296" t="s">
        <v>14097</v>
      </c>
      <c r="C296">
        <v>2</v>
      </c>
      <c r="E296" t="s">
        <v>3413</v>
      </c>
      <c r="I296" t="s">
        <v>14098</v>
      </c>
      <c r="Q296" t="s">
        <v>172</v>
      </c>
      <c r="R296" t="s">
        <v>7</v>
      </c>
    </row>
    <row r="297" spans="1:18">
      <c r="A297">
        <v>1113</v>
      </c>
      <c r="B297" t="s">
        <v>14099</v>
      </c>
      <c r="C297">
        <v>2</v>
      </c>
      <c r="E297" t="s">
        <v>3413</v>
      </c>
      <c r="I297" t="s">
        <v>14100</v>
      </c>
      <c r="J297" t="s">
        <v>14101</v>
      </c>
      <c r="Q297" t="s">
        <v>168</v>
      </c>
      <c r="R297" t="s">
        <v>7</v>
      </c>
    </row>
    <row r="298" spans="1:18">
      <c r="A298">
        <v>1114</v>
      </c>
      <c r="B298" t="s">
        <v>14102</v>
      </c>
      <c r="C298">
        <v>2</v>
      </c>
      <c r="E298" t="s">
        <v>3413</v>
      </c>
      <c r="F298" t="s">
        <v>3412</v>
      </c>
      <c r="I298" t="s">
        <v>14103</v>
      </c>
      <c r="J298" t="s">
        <v>4070</v>
      </c>
      <c r="Q298" t="s">
        <v>170</v>
      </c>
      <c r="R298" t="s">
        <v>7</v>
      </c>
    </row>
    <row r="299" spans="1:18">
      <c r="A299">
        <v>1115</v>
      </c>
      <c r="B299" t="s">
        <v>14104</v>
      </c>
      <c r="C299">
        <v>2</v>
      </c>
      <c r="E299" t="s">
        <v>3413</v>
      </c>
      <c r="I299" t="s">
        <v>14105</v>
      </c>
      <c r="J299" t="s">
        <v>14106</v>
      </c>
      <c r="Q299" t="s">
        <v>26</v>
      </c>
      <c r="R299" t="s">
        <v>7</v>
      </c>
    </row>
    <row r="300" spans="1:18">
      <c r="A300">
        <v>1116</v>
      </c>
      <c r="B300" t="s">
        <v>14107</v>
      </c>
      <c r="C300">
        <v>2</v>
      </c>
      <c r="E300" t="s">
        <v>3413</v>
      </c>
      <c r="I300" t="s">
        <v>14108</v>
      </c>
      <c r="J300" t="s">
        <v>14109</v>
      </c>
      <c r="Q300" t="s">
        <v>29</v>
      </c>
      <c r="R300" t="s">
        <v>7</v>
      </c>
    </row>
    <row r="301" spans="1:18">
      <c r="A301">
        <v>1117</v>
      </c>
      <c r="B301" t="s">
        <v>14110</v>
      </c>
      <c r="C301">
        <v>2</v>
      </c>
      <c r="E301" t="s">
        <v>3413</v>
      </c>
      <c r="I301" t="s">
        <v>14111</v>
      </c>
      <c r="J301" t="s">
        <v>14112</v>
      </c>
      <c r="Q301" t="s">
        <v>177</v>
      </c>
      <c r="R301" t="s">
        <v>7</v>
      </c>
    </row>
    <row r="302" spans="1:18">
      <c r="A302">
        <v>1118</v>
      </c>
      <c r="B302" t="s">
        <v>13689</v>
      </c>
      <c r="C302">
        <v>2</v>
      </c>
      <c r="E302" t="s">
        <v>3413</v>
      </c>
      <c r="F302" t="s">
        <v>3412</v>
      </c>
      <c r="I302" t="s">
        <v>13690</v>
      </c>
      <c r="J302" t="s">
        <v>13691</v>
      </c>
      <c r="K302" t="s">
        <v>3423</v>
      </c>
      <c r="Q302" t="s">
        <v>184</v>
      </c>
      <c r="R302" t="s">
        <v>7</v>
      </c>
    </row>
    <row r="303" spans="1:18">
      <c r="A303">
        <v>1119</v>
      </c>
      <c r="B303" t="s">
        <v>14113</v>
      </c>
      <c r="C303">
        <v>2</v>
      </c>
      <c r="E303" t="s">
        <v>3413</v>
      </c>
      <c r="F303" t="s">
        <v>3412</v>
      </c>
      <c r="I303" t="s">
        <v>14114</v>
      </c>
      <c r="J303" t="s">
        <v>3423</v>
      </c>
      <c r="Q303" t="s">
        <v>179</v>
      </c>
      <c r="R303" t="s">
        <v>7</v>
      </c>
    </row>
    <row r="304" spans="1:18">
      <c r="A304">
        <v>1120</v>
      </c>
      <c r="B304" t="s">
        <v>13713</v>
      </c>
      <c r="C304">
        <v>2</v>
      </c>
      <c r="E304" t="s">
        <v>3413</v>
      </c>
      <c r="I304" t="s">
        <v>13714</v>
      </c>
      <c r="Q304" t="s">
        <v>844</v>
      </c>
      <c r="R304" t="s">
        <v>7</v>
      </c>
    </row>
    <row r="305" spans="1:18">
      <c r="A305">
        <v>1121</v>
      </c>
      <c r="B305" t="s">
        <v>14115</v>
      </c>
      <c r="C305">
        <v>2</v>
      </c>
      <c r="E305" t="s">
        <v>3413</v>
      </c>
      <c r="F305" t="s">
        <v>3412</v>
      </c>
      <c r="I305" t="s">
        <v>14116</v>
      </c>
      <c r="J305" t="s">
        <v>14117</v>
      </c>
      <c r="K305" t="s">
        <v>3410</v>
      </c>
      <c r="Q305" t="s">
        <v>53</v>
      </c>
      <c r="R305" t="s">
        <v>7</v>
      </c>
    </row>
    <row r="306" spans="1:18">
      <c r="A306">
        <v>1122</v>
      </c>
      <c r="B306" t="s">
        <v>14118</v>
      </c>
      <c r="C306">
        <v>2</v>
      </c>
      <c r="E306" t="s">
        <v>3413</v>
      </c>
      <c r="F306" t="s">
        <v>3412</v>
      </c>
      <c r="I306" t="s">
        <v>14119</v>
      </c>
      <c r="J306" t="s">
        <v>3423</v>
      </c>
      <c r="Q306" t="s">
        <v>168</v>
      </c>
      <c r="R306" t="s">
        <v>7</v>
      </c>
    </row>
    <row r="307" spans="1:18">
      <c r="A307">
        <v>1123</v>
      </c>
      <c r="B307" t="s">
        <v>14120</v>
      </c>
      <c r="C307">
        <v>2</v>
      </c>
      <c r="E307" t="s">
        <v>3413</v>
      </c>
      <c r="I307" t="s">
        <v>293</v>
      </c>
      <c r="J307" t="s">
        <v>14121</v>
      </c>
      <c r="Q307" t="s">
        <v>168</v>
      </c>
      <c r="R307" t="s">
        <v>7</v>
      </c>
    </row>
    <row r="308" spans="1:18">
      <c r="A308">
        <v>1124</v>
      </c>
      <c r="B308" t="s">
        <v>14122</v>
      </c>
      <c r="C308">
        <v>2</v>
      </c>
      <c r="E308" t="s">
        <v>3413</v>
      </c>
      <c r="I308" t="s">
        <v>14123</v>
      </c>
      <c r="Q308" t="s">
        <v>35</v>
      </c>
      <c r="R308" t="s">
        <v>7</v>
      </c>
    </row>
    <row r="309" spans="1:18">
      <c r="A309">
        <v>1125</v>
      </c>
      <c r="B309" t="s">
        <v>14124</v>
      </c>
      <c r="C309">
        <v>2</v>
      </c>
      <c r="E309" t="s">
        <v>3413</v>
      </c>
      <c r="I309" t="s">
        <v>14125</v>
      </c>
      <c r="J309" t="s">
        <v>14126</v>
      </c>
      <c r="K309" t="s">
        <v>14127</v>
      </c>
      <c r="Q309" t="s">
        <v>50</v>
      </c>
      <c r="R309" t="s">
        <v>7</v>
      </c>
    </row>
    <row r="310" spans="1:18">
      <c r="A310">
        <v>1126</v>
      </c>
      <c r="B310" t="s">
        <v>14128</v>
      </c>
      <c r="C310">
        <v>2</v>
      </c>
      <c r="E310" t="s">
        <v>3413</v>
      </c>
      <c r="I310" t="s">
        <v>14129</v>
      </c>
      <c r="Q310" t="s">
        <v>45</v>
      </c>
      <c r="R310" t="s">
        <v>7</v>
      </c>
    </row>
    <row r="311" spans="1:18">
      <c r="A311">
        <v>1127</v>
      </c>
      <c r="B311" t="s">
        <v>14130</v>
      </c>
      <c r="C311">
        <v>2</v>
      </c>
      <c r="E311" t="s">
        <v>3413</v>
      </c>
      <c r="F311" t="s">
        <v>3412</v>
      </c>
      <c r="I311" t="s">
        <v>14131</v>
      </c>
      <c r="J311" t="s">
        <v>14132</v>
      </c>
      <c r="K311" t="s">
        <v>13494</v>
      </c>
      <c r="Q311" t="s">
        <v>181</v>
      </c>
      <c r="R311" t="s">
        <v>7</v>
      </c>
    </row>
    <row r="312" spans="1:18">
      <c r="A312">
        <v>1128</v>
      </c>
      <c r="B312" t="s">
        <v>13724</v>
      </c>
      <c r="C312">
        <v>2</v>
      </c>
      <c r="E312" t="s">
        <v>3413</v>
      </c>
      <c r="I312" t="s">
        <v>13725</v>
      </c>
      <c r="Q312" t="s">
        <v>844</v>
      </c>
      <c r="R312" t="s">
        <v>7</v>
      </c>
    </row>
    <row r="313" spans="1:18">
      <c r="A313">
        <v>1129</v>
      </c>
      <c r="B313" t="s">
        <v>14133</v>
      </c>
      <c r="C313">
        <v>2</v>
      </c>
      <c r="E313" t="s">
        <v>3413</v>
      </c>
      <c r="F313" t="s">
        <v>3412</v>
      </c>
      <c r="I313" t="s">
        <v>14134</v>
      </c>
      <c r="J313" t="s">
        <v>3409</v>
      </c>
      <c r="Q313" t="s">
        <v>27</v>
      </c>
      <c r="R313" t="s">
        <v>7</v>
      </c>
    </row>
    <row r="314" spans="1:18">
      <c r="A314">
        <v>1130</v>
      </c>
      <c r="B314" t="s">
        <v>14135</v>
      </c>
      <c r="C314">
        <v>2</v>
      </c>
      <c r="E314" t="s">
        <v>3413</v>
      </c>
      <c r="F314" t="s">
        <v>3412</v>
      </c>
      <c r="I314" t="s">
        <v>14136</v>
      </c>
      <c r="J314" t="s">
        <v>14137</v>
      </c>
      <c r="K314" t="s">
        <v>13908</v>
      </c>
      <c r="Q314" t="s">
        <v>168</v>
      </c>
      <c r="R314" t="s">
        <v>7</v>
      </c>
    </row>
    <row r="315" spans="1:18">
      <c r="A315">
        <v>1131</v>
      </c>
      <c r="B315" t="s">
        <v>14138</v>
      </c>
      <c r="C315">
        <v>2</v>
      </c>
      <c r="E315" t="s">
        <v>3413</v>
      </c>
      <c r="F315" t="s">
        <v>3412</v>
      </c>
      <c r="I315" t="s">
        <v>14139</v>
      </c>
      <c r="J315" t="s">
        <v>13494</v>
      </c>
      <c r="Q315" t="s">
        <v>48</v>
      </c>
      <c r="R315" t="s">
        <v>7</v>
      </c>
    </row>
    <row r="316" spans="1:18">
      <c r="A316">
        <v>1132</v>
      </c>
      <c r="B316" t="s">
        <v>14140</v>
      </c>
      <c r="C316">
        <v>2</v>
      </c>
      <c r="E316" t="s">
        <v>3413</v>
      </c>
      <c r="I316" t="s">
        <v>14141</v>
      </c>
      <c r="Q316" t="s">
        <v>5719</v>
      </c>
      <c r="R316" t="s">
        <v>7</v>
      </c>
    </row>
    <row r="317" spans="1:18">
      <c r="A317">
        <v>1133</v>
      </c>
      <c r="B317" t="s">
        <v>14142</v>
      </c>
      <c r="C317">
        <v>2</v>
      </c>
      <c r="E317" t="s">
        <v>3413</v>
      </c>
      <c r="I317" t="s">
        <v>14143</v>
      </c>
      <c r="Q317" t="s">
        <v>174</v>
      </c>
      <c r="R317" t="s">
        <v>7</v>
      </c>
    </row>
    <row r="318" spans="1:18">
      <c r="A318">
        <v>1134</v>
      </c>
      <c r="B318" t="s">
        <v>14144</v>
      </c>
      <c r="C318">
        <v>2</v>
      </c>
      <c r="E318" t="s">
        <v>3413</v>
      </c>
      <c r="I318" t="s">
        <v>14145</v>
      </c>
      <c r="J318" t="s">
        <v>14146</v>
      </c>
      <c r="Q318" t="s">
        <v>606</v>
      </c>
      <c r="R318" t="s">
        <v>7</v>
      </c>
    </row>
    <row r="319" spans="1:18">
      <c r="A319">
        <v>1135</v>
      </c>
      <c r="B319" t="s">
        <v>14147</v>
      </c>
      <c r="C319">
        <v>2</v>
      </c>
      <c r="E319" t="s">
        <v>3413</v>
      </c>
      <c r="I319" t="s">
        <v>14148</v>
      </c>
      <c r="J319" t="s">
        <v>14149</v>
      </c>
      <c r="Q319" t="s">
        <v>605</v>
      </c>
      <c r="R319" t="s">
        <v>7</v>
      </c>
    </row>
    <row r="320" spans="1:18">
      <c r="A320">
        <v>1136</v>
      </c>
      <c r="B320" t="s">
        <v>14150</v>
      </c>
      <c r="C320">
        <v>2</v>
      </c>
      <c r="E320" t="s">
        <v>3413</v>
      </c>
      <c r="F320" t="s">
        <v>3412</v>
      </c>
      <c r="I320" t="s">
        <v>4264</v>
      </c>
      <c r="J320" t="s">
        <v>4705</v>
      </c>
      <c r="Q320" t="s">
        <v>5685</v>
      </c>
      <c r="R320" t="s">
        <v>7</v>
      </c>
    </row>
    <row r="321" spans="1:18">
      <c r="A321">
        <v>1137</v>
      </c>
      <c r="B321" t="s">
        <v>4109</v>
      </c>
      <c r="C321" t="s">
        <v>1777</v>
      </c>
      <c r="E321" t="s">
        <v>3413</v>
      </c>
      <c r="F321" t="s">
        <v>3412</v>
      </c>
      <c r="I321" t="s">
        <v>4110</v>
      </c>
      <c r="J321" t="s">
        <v>4111</v>
      </c>
      <c r="K321" t="s">
        <v>3409</v>
      </c>
      <c r="Q321" t="s">
        <v>1776</v>
      </c>
      <c r="R321" t="s">
        <v>7</v>
      </c>
    </row>
    <row r="322" spans="1:18">
      <c r="A322">
        <v>1138</v>
      </c>
      <c r="B322" t="s">
        <v>14151</v>
      </c>
      <c r="C322">
        <v>2</v>
      </c>
      <c r="E322" t="s">
        <v>3413</v>
      </c>
      <c r="F322" t="s">
        <v>3412</v>
      </c>
      <c r="I322" t="s">
        <v>14152</v>
      </c>
      <c r="J322" t="s">
        <v>3409</v>
      </c>
      <c r="Q322" t="s">
        <v>28</v>
      </c>
      <c r="R322" t="s">
        <v>7</v>
      </c>
    </row>
    <row r="323" spans="1:18">
      <c r="A323">
        <v>1139</v>
      </c>
      <c r="B323" t="s">
        <v>14153</v>
      </c>
      <c r="C323">
        <v>2</v>
      </c>
      <c r="E323" t="s">
        <v>3413</v>
      </c>
      <c r="I323" t="s">
        <v>14154</v>
      </c>
      <c r="Q323" t="s">
        <v>50</v>
      </c>
      <c r="R323" t="s">
        <v>7</v>
      </c>
    </row>
    <row r="324" spans="1:18">
      <c r="A324">
        <v>1140</v>
      </c>
      <c r="B324" t="s">
        <v>14155</v>
      </c>
      <c r="C324">
        <v>2</v>
      </c>
      <c r="E324" t="s">
        <v>3413</v>
      </c>
      <c r="F324" t="s">
        <v>3412</v>
      </c>
      <c r="I324" t="s">
        <v>14156</v>
      </c>
      <c r="J324" t="s">
        <v>14157</v>
      </c>
      <c r="Q324" t="s">
        <v>29</v>
      </c>
      <c r="R324" t="s">
        <v>7</v>
      </c>
    </row>
    <row r="325" spans="1:18">
      <c r="A325">
        <v>1141</v>
      </c>
      <c r="B325" t="s">
        <v>14158</v>
      </c>
      <c r="C325">
        <v>2</v>
      </c>
      <c r="E325" t="s">
        <v>3413</v>
      </c>
      <c r="F325" t="s">
        <v>3412</v>
      </c>
      <c r="I325" t="s">
        <v>13493</v>
      </c>
      <c r="J325" t="s">
        <v>14159</v>
      </c>
      <c r="K325" t="s">
        <v>13530</v>
      </c>
      <c r="Q325" t="s">
        <v>177</v>
      </c>
      <c r="R325" t="s">
        <v>7</v>
      </c>
    </row>
    <row r="326" spans="1:18">
      <c r="A326">
        <v>1142</v>
      </c>
      <c r="B326" t="s">
        <v>14160</v>
      </c>
      <c r="C326">
        <v>2</v>
      </c>
      <c r="E326" t="s">
        <v>3413</v>
      </c>
      <c r="F326" t="s">
        <v>3412</v>
      </c>
      <c r="I326" t="s">
        <v>14161</v>
      </c>
      <c r="J326" t="s">
        <v>3423</v>
      </c>
      <c r="Q326" t="s">
        <v>176</v>
      </c>
      <c r="R326" t="s">
        <v>7</v>
      </c>
    </row>
    <row r="327" spans="1:18">
      <c r="A327">
        <v>1143</v>
      </c>
      <c r="B327" t="s">
        <v>14162</v>
      </c>
      <c r="C327">
        <v>2</v>
      </c>
      <c r="E327" t="s">
        <v>3413</v>
      </c>
      <c r="I327" t="s">
        <v>14163</v>
      </c>
      <c r="Q327" t="s">
        <v>174</v>
      </c>
      <c r="R327" t="s">
        <v>7</v>
      </c>
    </row>
    <row r="328" spans="1:18">
      <c r="A328">
        <v>1144</v>
      </c>
      <c r="B328" t="s">
        <v>14164</v>
      </c>
      <c r="C328">
        <v>2</v>
      </c>
      <c r="E328" t="s">
        <v>3413</v>
      </c>
      <c r="I328" t="s">
        <v>14165</v>
      </c>
      <c r="Q328" t="s">
        <v>179</v>
      </c>
      <c r="R328" t="s">
        <v>7</v>
      </c>
    </row>
    <row r="329" spans="1:18">
      <c r="A329">
        <v>1145</v>
      </c>
      <c r="B329" t="s">
        <v>13736</v>
      </c>
      <c r="C329">
        <v>2</v>
      </c>
      <c r="E329" t="s">
        <v>3413</v>
      </c>
      <c r="I329" t="s">
        <v>13737</v>
      </c>
      <c r="Q329" t="s">
        <v>844</v>
      </c>
      <c r="R329" t="s">
        <v>7</v>
      </c>
    </row>
    <row r="330" spans="1:18">
      <c r="A330">
        <v>1146</v>
      </c>
      <c r="B330" t="s">
        <v>14166</v>
      </c>
      <c r="C330">
        <v>2</v>
      </c>
      <c r="E330" t="s">
        <v>3413</v>
      </c>
      <c r="F330" t="s">
        <v>3412</v>
      </c>
      <c r="I330" t="s">
        <v>14167</v>
      </c>
      <c r="J330" t="s">
        <v>3409</v>
      </c>
      <c r="Q330" t="s">
        <v>14</v>
      </c>
      <c r="R330" t="s">
        <v>7</v>
      </c>
    </row>
    <row r="331" spans="1:18">
      <c r="A331">
        <v>1147</v>
      </c>
      <c r="B331" t="s">
        <v>14168</v>
      </c>
      <c r="C331">
        <v>2</v>
      </c>
      <c r="E331" t="s">
        <v>3413</v>
      </c>
      <c r="F331" t="s">
        <v>3412</v>
      </c>
      <c r="I331" t="s">
        <v>14169</v>
      </c>
      <c r="J331" t="s">
        <v>4705</v>
      </c>
      <c r="Q331" t="s">
        <v>173</v>
      </c>
      <c r="R331" t="s">
        <v>7</v>
      </c>
    </row>
    <row r="332" spans="1:18">
      <c r="A332">
        <v>1148</v>
      </c>
      <c r="B332" t="s">
        <v>14170</v>
      </c>
      <c r="C332">
        <v>2</v>
      </c>
      <c r="E332" t="s">
        <v>3413</v>
      </c>
      <c r="I332" t="s">
        <v>293</v>
      </c>
      <c r="J332" t="s">
        <v>14171</v>
      </c>
      <c r="Q332" t="s">
        <v>168</v>
      </c>
      <c r="R332" t="s">
        <v>7</v>
      </c>
    </row>
    <row r="333" spans="1:18">
      <c r="A333">
        <v>1149</v>
      </c>
      <c r="B333" t="s">
        <v>14172</v>
      </c>
      <c r="C333">
        <v>2</v>
      </c>
      <c r="E333" t="s">
        <v>3413</v>
      </c>
      <c r="I333" t="s">
        <v>14173</v>
      </c>
      <c r="J333" t="s">
        <v>6041</v>
      </c>
      <c r="Q333" t="s">
        <v>30</v>
      </c>
      <c r="R333" t="s">
        <v>7</v>
      </c>
    </row>
    <row r="334" spans="1:18">
      <c r="A334">
        <v>1150</v>
      </c>
      <c r="B334" t="s">
        <v>13751</v>
      </c>
      <c r="C334">
        <v>2</v>
      </c>
      <c r="E334" t="s">
        <v>3413</v>
      </c>
      <c r="I334" t="s">
        <v>13752</v>
      </c>
      <c r="Q334" t="s">
        <v>844</v>
      </c>
      <c r="R334" t="s">
        <v>7</v>
      </c>
    </row>
    <row r="335" spans="1:18">
      <c r="A335">
        <v>1151</v>
      </c>
      <c r="B335" t="s">
        <v>14174</v>
      </c>
      <c r="C335">
        <v>2</v>
      </c>
      <c r="E335" t="s">
        <v>14175</v>
      </c>
      <c r="I335" t="s">
        <v>14176</v>
      </c>
      <c r="J335" t="s">
        <v>14177</v>
      </c>
      <c r="K335" t="s">
        <v>14178</v>
      </c>
      <c r="Q335" t="s">
        <v>49</v>
      </c>
      <c r="R335" t="s">
        <v>7</v>
      </c>
    </row>
    <row r="336" spans="1:18">
      <c r="A336">
        <v>1152</v>
      </c>
      <c r="B336" t="s">
        <v>14179</v>
      </c>
      <c r="C336">
        <v>2</v>
      </c>
      <c r="E336" t="s">
        <v>3413</v>
      </c>
      <c r="F336" t="s">
        <v>3412</v>
      </c>
      <c r="I336" t="s">
        <v>14180</v>
      </c>
      <c r="J336" t="s">
        <v>3409</v>
      </c>
      <c r="Q336" t="s">
        <v>607</v>
      </c>
      <c r="R336" t="s">
        <v>7</v>
      </c>
    </row>
    <row r="337" spans="1:18">
      <c r="A337">
        <v>1153</v>
      </c>
      <c r="B337" t="s">
        <v>14181</v>
      </c>
      <c r="C337">
        <v>2</v>
      </c>
      <c r="E337" t="s">
        <v>3413</v>
      </c>
      <c r="I337" t="s">
        <v>14182</v>
      </c>
      <c r="J337" t="s">
        <v>14183</v>
      </c>
      <c r="Q337" t="s">
        <v>50</v>
      </c>
      <c r="R337" t="s">
        <v>7</v>
      </c>
    </row>
    <row r="338" spans="1:18">
      <c r="A338">
        <v>1154</v>
      </c>
      <c r="B338" t="s">
        <v>4073</v>
      </c>
      <c r="C338">
        <v>2</v>
      </c>
      <c r="E338" t="s">
        <v>3413</v>
      </c>
      <c r="F338" t="s">
        <v>3412</v>
      </c>
      <c r="I338" t="s">
        <v>13577</v>
      </c>
      <c r="J338" t="s">
        <v>14184</v>
      </c>
      <c r="K338" t="s">
        <v>3409</v>
      </c>
      <c r="Q338" t="s">
        <v>176</v>
      </c>
      <c r="R338" t="s">
        <v>7</v>
      </c>
    </row>
    <row r="339" spans="1:18">
      <c r="A339">
        <v>1155</v>
      </c>
      <c r="B339" t="s">
        <v>14185</v>
      </c>
      <c r="C339">
        <v>2</v>
      </c>
      <c r="E339" t="s">
        <v>3413</v>
      </c>
      <c r="I339" t="s">
        <v>14186</v>
      </c>
      <c r="J339" t="s">
        <v>14187</v>
      </c>
      <c r="Q339" t="s">
        <v>606</v>
      </c>
      <c r="R339" t="s">
        <v>7</v>
      </c>
    </row>
    <row r="340" spans="1:18">
      <c r="A340">
        <v>1156</v>
      </c>
      <c r="B340" t="s">
        <v>14188</v>
      </c>
      <c r="C340">
        <v>2</v>
      </c>
      <c r="E340" t="s">
        <v>3413</v>
      </c>
      <c r="F340" t="s">
        <v>3412</v>
      </c>
      <c r="I340" t="s">
        <v>14189</v>
      </c>
      <c r="J340" t="s">
        <v>14190</v>
      </c>
      <c r="K340" t="s">
        <v>13494</v>
      </c>
      <c r="Q340" t="s">
        <v>181</v>
      </c>
      <c r="R340" t="s">
        <v>7</v>
      </c>
    </row>
    <row r="341" spans="1:18">
      <c r="A341">
        <v>1157</v>
      </c>
      <c r="B341" t="s">
        <v>4262</v>
      </c>
      <c r="C341" t="s">
        <v>1829</v>
      </c>
      <c r="E341" t="s">
        <v>3413</v>
      </c>
      <c r="F341" t="s">
        <v>3412</v>
      </c>
      <c r="I341" t="s">
        <v>4263</v>
      </c>
      <c r="J341" t="s">
        <v>4264</v>
      </c>
      <c r="K341" t="s">
        <v>3409</v>
      </c>
      <c r="Q341" t="s">
        <v>1776</v>
      </c>
      <c r="R341" t="s">
        <v>7</v>
      </c>
    </row>
    <row r="342" spans="1:18">
      <c r="A342">
        <v>1158</v>
      </c>
      <c r="B342" t="s">
        <v>14191</v>
      </c>
      <c r="C342">
        <v>2</v>
      </c>
      <c r="E342" t="s">
        <v>3413</v>
      </c>
      <c r="I342" t="s">
        <v>14192</v>
      </c>
      <c r="Q342" t="s">
        <v>171</v>
      </c>
      <c r="R342" t="s">
        <v>7</v>
      </c>
    </row>
    <row r="343" spans="1:18">
      <c r="A343">
        <v>1159</v>
      </c>
      <c r="B343" t="s">
        <v>14193</v>
      </c>
      <c r="C343">
        <v>2</v>
      </c>
      <c r="E343" t="s">
        <v>3413</v>
      </c>
      <c r="I343" t="s">
        <v>14194</v>
      </c>
      <c r="Q343" t="s">
        <v>177</v>
      </c>
      <c r="R343" t="s">
        <v>7</v>
      </c>
    </row>
    <row r="344" spans="1:18">
      <c r="A344">
        <v>1160</v>
      </c>
      <c r="B344" t="s">
        <v>14195</v>
      </c>
      <c r="C344">
        <v>2</v>
      </c>
      <c r="E344" t="s">
        <v>3413</v>
      </c>
      <c r="I344" t="s">
        <v>14196</v>
      </c>
      <c r="Q344" t="s">
        <v>179</v>
      </c>
      <c r="R344" t="s">
        <v>7</v>
      </c>
    </row>
    <row r="345" spans="1:18">
      <c r="A345">
        <v>1161</v>
      </c>
      <c r="B345" t="s">
        <v>14197</v>
      </c>
      <c r="C345">
        <v>2</v>
      </c>
      <c r="E345" t="s">
        <v>3413</v>
      </c>
      <c r="I345" t="s">
        <v>14198</v>
      </c>
      <c r="Q345" t="s">
        <v>10</v>
      </c>
      <c r="R345" t="s">
        <v>7</v>
      </c>
    </row>
    <row r="346" spans="1:18">
      <c r="A346">
        <v>1162</v>
      </c>
      <c r="B346" t="s">
        <v>14199</v>
      </c>
      <c r="C346">
        <v>2</v>
      </c>
      <c r="E346" t="s">
        <v>3413</v>
      </c>
      <c r="F346" t="s">
        <v>3412</v>
      </c>
      <c r="I346" t="s">
        <v>14200</v>
      </c>
      <c r="J346" t="s">
        <v>14201</v>
      </c>
      <c r="Q346" t="s">
        <v>168</v>
      </c>
      <c r="R346" t="s">
        <v>7</v>
      </c>
    </row>
    <row r="347" spans="1:18">
      <c r="A347">
        <v>1163</v>
      </c>
      <c r="B347" t="s">
        <v>14202</v>
      </c>
      <c r="C347">
        <v>2</v>
      </c>
      <c r="E347" t="s">
        <v>3413</v>
      </c>
      <c r="I347" t="s">
        <v>14203</v>
      </c>
      <c r="Q347" t="s">
        <v>606</v>
      </c>
      <c r="R347" t="s">
        <v>7</v>
      </c>
    </row>
    <row r="348" spans="1:18">
      <c r="A348">
        <v>1164</v>
      </c>
      <c r="B348" t="s">
        <v>14204</v>
      </c>
      <c r="C348">
        <v>2</v>
      </c>
      <c r="E348" t="s">
        <v>3413</v>
      </c>
      <c r="I348" t="s">
        <v>14205</v>
      </c>
      <c r="Q348" t="s">
        <v>45</v>
      </c>
      <c r="R348" t="s">
        <v>7</v>
      </c>
    </row>
    <row r="349" spans="1:18">
      <c r="A349">
        <v>1165</v>
      </c>
      <c r="B349" t="s">
        <v>13652</v>
      </c>
      <c r="C349">
        <v>2</v>
      </c>
      <c r="E349" t="s">
        <v>3413</v>
      </c>
      <c r="I349" t="s">
        <v>13653</v>
      </c>
      <c r="Q349" t="s">
        <v>844</v>
      </c>
      <c r="R349" t="s">
        <v>7</v>
      </c>
    </row>
    <row r="350" spans="1:18">
      <c r="A350">
        <v>1166</v>
      </c>
      <c r="B350" t="s">
        <v>14206</v>
      </c>
      <c r="C350">
        <v>2</v>
      </c>
      <c r="E350" t="s">
        <v>3413</v>
      </c>
      <c r="I350" t="s">
        <v>14207</v>
      </c>
      <c r="J350" t="s">
        <v>14208</v>
      </c>
      <c r="Q350" t="s">
        <v>27</v>
      </c>
      <c r="R350" t="s">
        <v>7</v>
      </c>
    </row>
    <row r="351" spans="1:18">
      <c r="A351">
        <v>1167</v>
      </c>
      <c r="B351" t="s">
        <v>14209</v>
      </c>
      <c r="C351">
        <v>2</v>
      </c>
      <c r="E351" t="s">
        <v>3413</v>
      </c>
      <c r="I351" t="s">
        <v>293</v>
      </c>
      <c r="J351" t="s">
        <v>14210</v>
      </c>
      <c r="Q351" t="s">
        <v>168</v>
      </c>
      <c r="R351" t="s">
        <v>7</v>
      </c>
    </row>
    <row r="352" spans="1:18">
      <c r="A352">
        <v>1168</v>
      </c>
      <c r="B352" t="s">
        <v>14211</v>
      </c>
      <c r="C352">
        <v>2</v>
      </c>
      <c r="E352" t="s">
        <v>3413</v>
      </c>
      <c r="I352" t="s">
        <v>14212</v>
      </c>
      <c r="J352" t="s">
        <v>14213</v>
      </c>
      <c r="Q352" t="s">
        <v>50</v>
      </c>
      <c r="R352" t="s">
        <v>7</v>
      </c>
    </row>
    <row r="353" spans="1:18">
      <c r="A353">
        <v>1169</v>
      </c>
      <c r="B353" t="s">
        <v>14214</v>
      </c>
      <c r="C353">
        <v>2</v>
      </c>
      <c r="E353" t="s">
        <v>3413</v>
      </c>
      <c r="F353" t="s">
        <v>3412</v>
      </c>
      <c r="I353" t="s">
        <v>14215</v>
      </c>
      <c r="J353" t="s">
        <v>3423</v>
      </c>
      <c r="Q353" t="s">
        <v>5719</v>
      </c>
      <c r="R353" t="s">
        <v>7</v>
      </c>
    </row>
    <row r="354" spans="1:18">
      <c r="A354">
        <v>1170</v>
      </c>
      <c r="B354" t="s">
        <v>13712</v>
      </c>
      <c r="C354">
        <v>2</v>
      </c>
      <c r="E354" t="s">
        <v>3413</v>
      </c>
      <c r="F354" t="s">
        <v>3412</v>
      </c>
      <c r="I354" t="s">
        <v>13704</v>
      </c>
      <c r="J354" t="s">
        <v>3409</v>
      </c>
      <c r="Q354" t="s">
        <v>171</v>
      </c>
      <c r="R354" t="s">
        <v>7</v>
      </c>
    </row>
    <row r="355" spans="1:18">
      <c r="A355">
        <v>1171</v>
      </c>
      <c r="B355" t="s">
        <v>4731</v>
      </c>
      <c r="C355">
        <v>2</v>
      </c>
      <c r="E355" t="s">
        <v>3413</v>
      </c>
      <c r="F355" t="s">
        <v>3412</v>
      </c>
      <c r="I355" t="s">
        <v>3421</v>
      </c>
      <c r="J355" t="s">
        <v>3422</v>
      </c>
      <c r="K355" t="s">
        <v>3423</v>
      </c>
      <c r="Q355" t="s">
        <v>45</v>
      </c>
      <c r="R355" t="s">
        <v>7</v>
      </c>
    </row>
    <row r="356" spans="1:18">
      <c r="A356">
        <v>1172</v>
      </c>
      <c r="B356" t="s">
        <v>14216</v>
      </c>
      <c r="C356">
        <v>2</v>
      </c>
      <c r="E356" t="s">
        <v>3413</v>
      </c>
      <c r="F356" t="s">
        <v>3412</v>
      </c>
      <c r="I356" t="s">
        <v>14217</v>
      </c>
      <c r="J356" t="s">
        <v>14218</v>
      </c>
      <c r="K356" t="s">
        <v>13494</v>
      </c>
      <c r="Q356" t="s">
        <v>181</v>
      </c>
      <c r="R356" t="s">
        <v>7</v>
      </c>
    </row>
    <row r="357" spans="1:18">
      <c r="A357">
        <v>1173</v>
      </c>
      <c r="B357" t="s">
        <v>14219</v>
      </c>
      <c r="C357">
        <v>2</v>
      </c>
      <c r="E357" t="s">
        <v>3413</v>
      </c>
      <c r="I357" t="s">
        <v>14220</v>
      </c>
      <c r="Q357" t="s">
        <v>8</v>
      </c>
      <c r="R357" t="s">
        <v>7</v>
      </c>
    </row>
    <row r="358" spans="1:18">
      <c r="A358">
        <v>1174</v>
      </c>
      <c r="B358" t="s">
        <v>13749</v>
      </c>
      <c r="C358">
        <v>2</v>
      </c>
      <c r="E358" t="s">
        <v>3413</v>
      </c>
      <c r="F358" t="s">
        <v>3412</v>
      </c>
      <c r="I358" t="s">
        <v>13750</v>
      </c>
      <c r="J358" t="s">
        <v>4705</v>
      </c>
      <c r="Q358" t="s">
        <v>181</v>
      </c>
      <c r="R358" t="s">
        <v>7</v>
      </c>
    </row>
    <row r="359" spans="1:18">
      <c r="A359">
        <v>1175</v>
      </c>
      <c r="B359" t="s">
        <v>14221</v>
      </c>
      <c r="C359">
        <v>2</v>
      </c>
      <c r="E359" t="s">
        <v>3413</v>
      </c>
      <c r="I359" t="s">
        <v>14222</v>
      </c>
      <c r="Q359" t="s">
        <v>174</v>
      </c>
      <c r="R359" t="s">
        <v>7</v>
      </c>
    </row>
    <row r="360" spans="1:18">
      <c r="A360">
        <v>1176</v>
      </c>
      <c r="B360" t="s">
        <v>13758</v>
      </c>
      <c r="C360">
        <v>2</v>
      </c>
      <c r="E360" t="s">
        <v>3413</v>
      </c>
      <c r="I360" t="s">
        <v>13759</v>
      </c>
      <c r="J360" t="s">
        <v>13760</v>
      </c>
      <c r="Q360" t="s">
        <v>176</v>
      </c>
      <c r="R360" t="s">
        <v>7</v>
      </c>
    </row>
    <row r="361" spans="1:18">
      <c r="A361">
        <v>1177</v>
      </c>
      <c r="B361" t="s">
        <v>14223</v>
      </c>
      <c r="C361">
        <v>2</v>
      </c>
      <c r="E361" t="s">
        <v>3413</v>
      </c>
      <c r="F361" t="s">
        <v>3412</v>
      </c>
      <c r="I361" t="s">
        <v>14224</v>
      </c>
      <c r="J361" t="s">
        <v>3423</v>
      </c>
      <c r="Q361" t="s">
        <v>174</v>
      </c>
      <c r="R361" t="s">
        <v>7</v>
      </c>
    </row>
    <row r="362" spans="1:18">
      <c r="A362">
        <v>1178</v>
      </c>
      <c r="B362" t="s">
        <v>13766</v>
      </c>
      <c r="C362">
        <v>2</v>
      </c>
      <c r="E362" t="s">
        <v>3413</v>
      </c>
      <c r="I362" t="s">
        <v>13767</v>
      </c>
      <c r="Q362" t="s">
        <v>844</v>
      </c>
      <c r="R362" t="s">
        <v>7</v>
      </c>
    </row>
    <row r="363" spans="1:18">
      <c r="A363">
        <v>1179</v>
      </c>
      <c r="B363" t="s">
        <v>14225</v>
      </c>
      <c r="C363">
        <v>2</v>
      </c>
      <c r="E363" t="s">
        <v>3413</v>
      </c>
      <c r="F363" t="s">
        <v>3412</v>
      </c>
      <c r="I363" t="s">
        <v>13559</v>
      </c>
      <c r="J363" t="s">
        <v>3409</v>
      </c>
      <c r="K363" t="s">
        <v>14226</v>
      </c>
      <c r="Q363" t="s">
        <v>34</v>
      </c>
      <c r="R363" t="s">
        <v>7</v>
      </c>
    </row>
    <row r="364" spans="1:18">
      <c r="A364">
        <v>1180</v>
      </c>
      <c r="B364" t="s">
        <v>14227</v>
      </c>
      <c r="C364">
        <v>2</v>
      </c>
      <c r="E364" t="s">
        <v>3413</v>
      </c>
      <c r="I364" t="s">
        <v>14228</v>
      </c>
      <c r="Q364" t="s">
        <v>38</v>
      </c>
      <c r="R364" t="s">
        <v>7</v>
      </c>
    </row>
    <row r="365" spans="1:18">
      <c r="A365">
        <v>1181</v>
      </c>
      <c r="B365" t="s">
        <v>14229</v>
      </c>
      <c r="C365">
        <v>2</v>
      </c>
      <c r="E365" t="s">
        <v>3413</v>
      </c>
      <c r="I365" t="s">
        <v>14230</v>
      </c>
      <c r="J365" t="s">
        <v>14231</v>
      </c>
      <c r="Q365" t="s">
        <v>168</v>
      </c>
      <c r="R365" t="s">
        <v>7</v>
      </c>
    </row>
    <row r="366" spans="1:18">
      <c r="A366">
        <v>1182</v>
      </c>
      <c r="B366" t="s">
        <v>14232</v>
      </c>
      <c r="C366">
        <v>2</v>
      </c>
      <c r="E366" t="s">
        <v>3413</v>
      </c>
      <c r="F366" t="s">
        <v>3412</v>
      </c>
      <c r="I366" t="s">
        <v>13704</v>
      </c>
      <c r="J366" t="s">
        <v>14233</v>
      </c>
      <c r="K366" t="s">
        <v>13497</v>
      </c>
      <c r="Q366" t="s">
        <v>170</v>
      </c>
      <c r="R366" t="s">
        <v>7</v>
      </c>
    </row>
    <row r="367" spans="1:18">
      <c r="A367">
        <v>1183</v>
      </c>
      <c r="B367" t="s">
        <v>14234</v>
      </c>
      <c r="C367">
        <v>2</v>
      </c>
      <c r="E367" t="s">
        <v>3413</v>
      </c>
      <c r="I367" t="s">
        <v>14235</v>
      </c>
      <c r="Q367" t="s">
        <v>5685</v>
      </c>
      <c r="R367" t="s">
        <v>7</v>
      </c>
    </row>
    <row r="368" spans="1:18">
      <c r="A368">
        <v>1184</v>
      </c>
      <c r="B368" t="s">
        <v>14236</v>
      </c>
      <c r="C368">
        <v>2</v>
      </c>
      <c r="E368" t="s">
        <v>3413</v>
      </c>
      <c r="I368" t="s">
        <v>14237</v>
      </c>
      <c r="Q368" t="s">
        <v>50</v>
      </c>
      <c r="R368" t="s">
        <v>7</v>
      </c>
    </row>
    <row r="369" spans="1:18">
      <c r="A369">
        <v>1185</v>
      </c>
      <c r="B369" t="s">
        <v>14238</v>
      </c>
      <c r="C369">
        <v>2</v>
      </c>
      <c r="E369" t="s">
        <v>3413</v>
      </c>
      <c r="I369" t="s">
        <v>14239</v>
      </c>
      <c r="J369" t="s">
        <v>14240</v>
      </c>
      <c r="K369" t="s">
        <v>14241</v>
      </c>
      <c r="Q369" t="s">
        <v>30</v>
      </c>
      <c r="R369" t="s">
        <v>7</v>
      </c>
    </row>
    <row r="370" spans="1:18">
      <c r="A370">
        <v>1186</v>
      </c>
      <c r="B370" t="s">
        <v>14242</v>
      </c>
      <c r="C370">
        <v>2</v>
      </c>
      <c r="E370" t="s">
        <v>3413</v>
      </c>
      <c r="I370" t="s">
        <v>13764</v>
      </c>
      <c r="J370" t="s">
        <v>14243</v>
      </c>
      <c r="Q370" t="s">
        <v>177</v>
      </c>
      <c r="R370" t="s">
        <v>7</v>
      </c>
    </row>
    <row r="371" spans="1:18">
      <c r="A371">
        <v>1187</v>
      </c>
      <c r="B371" t="s">
        <v>14244</v>
      </c>
      <c r="C371">
        <v>2</v>
      </c>
      <c r="E371" t="s">
        <v>3413</v>
      </c>
      <c r="F371" t="s">
        <v>3412</v>
      </c>
      <c r="I371" t="s">
        <v>14245</v>
      </c>
      <c r="J371" t="s">
        <v>3118</v>
      </c>
      <c r="Q371" t="s">
        <v>175</v>
      </c>
      <c r="R371" t="s">
        <v>7</v>
      </c>
    </row>
    <row r="372" spans="1:18">
      <c r="A372">
        <v>1188</v>
      </c>
      <c r="B372" t="s">
        <v>14246</v>
      </c>
      <c r="C372">
        <v>2</v>
      </c>
      <c r="E372" t="s">
        <v>3413</v>
      </c>
      <c r="F372" t="s">
        <v>3412</v>
      </c>
      <c r="I372" t="s">
        <v>14247</v>
      </c>
      <c r="J372" t="s">
        <v>3118</v>
      </c>
      <c r="Q372" t="s">
        <v>52</v>
      </c>
      <c r="R372" t="s">
        <v>7</v>
      </c>
    </row>
    <row r="373" spans="1:18">
      <c r="A373">
        <v>1189</v>
      </c>
      <c r="B373" t="s">
        <v>13676</v>
      </c>
      <c r="C373">
        <v>2</v>
      </c>
      <c r="E373" t="s">
        <v>3413</v>
      </c>
      <c r="I373" t="s">
        <v>13677</v>
      </c>
      <c r="Q373" t="s">
        <v>844</v>
      </c>
      <c r="R373" t="s">
        <v>7</v>
      </c>
    </row>
    <row r="374" spans="1:18">
      <c r="A374">
        <v>1190</v>
      </c>
      <c r="B374" t="s">
        <v>14248</v>
      </c>
      <c r="C374">
        <v>2</v>
      </c>
      <c r="E374" t="s">
        <v>3413</v>
      </c>
      <c r="F374" t="s">
        <v>3412</v>
      </c>
      <c r="I374" t="s">
        <v>14249</v>
      </c>
      <c r="J374" t="s">
        <v>3409</v>
      </c>
      <c r="Q374" t="s">
        <v>40</v>
      </c>
      <c r="R374" t="s">
        <v>7</v>
      </c>
    </row>
    <row r="375" spans="1:18">
      <c r="A375">
        <v>1191</v>
      </c>
      <c r="B375" t="s">
        <v>14250</v>
      </c>
      <c r="C375">
        <v>2</v>
      </c>
      <c r="E375" t="s">
        <v>3413</v>
      </c>
      <c r="I375" t="s">
        <v>14251</v>
      </c>
      <c r="Q375" t="s">
        <v>3747</v>
      </c>
      <c r="R375" t="s">
        <v>7</v>
      </c>
    </row>
    <row r="376" spans="1:18">
      <c r="A376">
        <v>1192</v>
      </c>
      <c r="B376" t="s">
        <v>14252</v>
      </c>
      <c r="C376">
        <v>3</v>
      </c>
      <c r="E376" t="s">
        <v>3413</v>
      </c>
      <c r="I376" t="s">
        <v>14253</v>
      </c>
      <c r="Q376" t="s">
        <v>168</v>
      </c>
      <c r="R376" t="s">
        <v>7</v>
      </c>
    </row>
    <row r="377" spans="1:18">
      <c r="A377">
        <v>1193</v>
      </c>
      <c r="B377" t="s">
        <v>14254</v>
      </c>
      <c r="C377">
        <v>3</v>
      </c>
      <c r="E377" t="s">
        <v>3413</v>
      </c>
      <c r="I377" t="s">
        <v>14255</v>
      </c>
      <c r="J377" t="s">
        <v>14256</v>
      </c>
      <c r="K377" t="s">
        <v>14257</v>
      </c>
      <c r="O377" t="s">
        <v>153</v>
      </c>
      <c r="Q377" t="s">
        <v>39</v>
      </c>
      <c r="R377" t="s">
        <v>7</v>
      </c>
    </row>
    <row r="378" spans="1:18">
      <c r="A378">
        <v>1194</v>
      </c>
      <c r="B378" t="s">
        <v>14258</v>
      </c>
      <c r="C378">
        <v>0</v>
      </c>
      <c r="E378" t="s">
        <v>3083</v>
      </c>
      <c r="F378" t="s">
        <v>14259</v>
      </c>
      <c r="I378" t="s">
        <v>14260</v>
      </c>
      <c r="J378" t="s">
        <v>14261</v>
      </c>
      <c r="O378" t="s">
        <v>153</v>
      </c>
      <c r="P378" t="s">
        <v>163</v>
      </c>
      <c r="Q378" t="s">
        <v>39</v>
      </c>
      <c r="R378" t="s">
        <v>7</v>
      </c>
    </row>
    <row r="379" spans="1:18">
      <c r="A379">
        <v>1195</v>
      </c>
      <c r="B379" t="s">
        <v>14262</v>
      </c>
      <c r="C379">
        <v>3</v>
      </c>
      <c r="E379" t="s">
        <v>3413</v>
      </c>
      <c r="F379" t="s">
        <v>3412</v>
      </c>
      <c r="I379" t="s">
        <v>14263</v>
      </c>
      <c r="J379" t="s">
        <v>3409</v>
      </c>
      <c r="Q379" t="s">
        <v>50</v>
      </c>
      <c r="R379" t="s">
        <v>7</v>
      </c>
    </row>
    <row r="380" spans="1:18">
      <c r="A380">
        <v>1196</v>
      </c>
      <c r="B380" t="s">
        <v>14264</v>
      </c>
      <c r="C380">
        <v>3</v>
      </c>
      <c r="E380" t="s">
        <v>14265</v>
      </c>
      <c r="F380" t="s">
        <v>3412</v>
      </c>
      <c r="I380" t="s">
        <v>14266</v>
      </c>
      <c r="J380" t="s">
        <v>3423</v>
      </c>
      <c r="Q380" t="s">
        <v>175</v>
      </c>
      <c r="R380" t="s">
        <v>7</v>
      </c>
    </row>
    <row r="381" spans="1:18">
      <c r="A381">
        <v>1197</v>
      </c>
      <c r="B381" t="s">
        <v>14267</v>
      </c>
      <c r="C381">
        <v>3</v>
      </c>
      <c r="E381" t="s">
        <v>3413</v>
      </c>
      <c r="I381" t="s">
        <v>14268</v>
      </c>
      <c r="Q381" t="s">
        <v>8</v>
      </c>
      <c r="R381" t="s">
        <v>7</v>
      </c>
    </row>
    <row r="382" spans="1:18">
      <c r="A382">
        <v>1198</v>
      </c>
      <c r="B382" t="s">
        <v>14269</v>
      </c>
      <c r="C382">
        <v>3</v>
      </c>
      <c r="E382" t="s">
        <v>3413</v>
      </c>
      <c r="I382" t="s">
        <v>5722</v>
      </c>
      <c r="J382" t="s">
        <v>14270</v>
      </c>
      <c r="K382" t="s">
        <v>14271</v>
      </c>
      <c r="Q382" t="s">
        <v>31</v>
      </c>
      <c r="R382" t="s">
        <v>7</v>
      </c>
    </row>
    <row r="383" spans="1:18">
      <c r="A383">
        <v>1199</v>
      </c>
      <c r="B383" t="s">
        <v>14272</v>
      </c>
      <c r="C383">
        <v>3</v>
      </c>
      <c r="E383" t="s">
        <v>3413</v>
      </c>
      <c r="I383" t="s">
        <v>1504</v>
      </c>
      <c r="Q383" t="s">
        <v>48</v>
      </c>
      <c r="R383" t="s">
        <v>7</v>
      </c>
    </row>
    <row r="384" spans="1:18">
      <c r="A384">
        <v>1200</v>
      </c>
      <c r="B384" t="s">
        <v>14273</v>
      </c>
      <c r="C384">
        <v>3</v>
      </c>
      <c r="E384" t="s">
        <v>14265</v>
      </c>
      <c r="I384" t="s">
        <v>14274</v>
      </c>
      <c r="J384" t="s">
        <v>14275</v>
      </c>
      <c r="Q384" t="s">
        <v>17</v>
      </c>
      <c r="R384" t="s">
        <v>7</v>
      </c>
    </row>
    <row r="385" spans="1:18">
      <c r="A385">
        <v>1201</v>
      </c>
      <c r="B385" t="s">
        <v>14276</v>
      </c>
      <c r="C385">
        <v>3</v>
      </c>
      <c r="E385" t="s">
        <v>3413</v>
      </c>
      <c r="I385" t="s">
        <v>14277</v>
      </c>
      <c r="Q385" t="s">
        <v>5685</v>
      </c>
      <c r="R385" t="s">
        <v>7</v>
      </c>
    </row>
    <row r="386" spans="1:18">
      <c r="A386">
        <v>1202</v>
      </c>
      <c r="B386" t="s">
        <v>14278</v>
      </c>
      <c r="C386">
        <v>3</v>
      </c>
      <c r="E386" t="s">
        <v>3413</v>
      </c>
      <c r="F386" t="s">
        <v>3412</v>
      </c>
      <c r="I386" t="s">
        <v>13824</v>
      </c>
      <c r="J386" t="s">
        <v>14279</v>
      </c>
      <c r="K386" t="s">
        <v>4070</v>
      </c>
      <c r="Q386" t="s">
        <v>183</v>
      </c>
      <c r="R386" t="s">
        <v>7</v>
      </c>
    </row>
    <row r="387" spans="1:18">
      <c r="A387">
        <v>1203</v>
      </c>
      <c r="B387" t="s">
        <v>14280</v>
      </c>
      <c r="C387">
        <v>3</v>
      </c>
      <c r="E387" t="s">
        <v>3413</v>
      </c>
      <c r="I387" t="s">
        <v>14281</v>
      </c>
      <c r="Q387" t="s">
        <v>172</v>
      </c>
      <c r="R387" t="s">
        <v>7</v>
      </c>
    </row>
    <row r="388" spans="1:18">
      <c r="A388">
        <v>1204</v>
      </c>
      <c r="B388" t="s">
        <v>14282</v>
      </c>
      <c r="C388">
        <v>3</v>
      </c>
      <c r="E388" t="s">
        <v>3413</v>
      </c>
      <c r="I388" t="s">
        <v>1612</v>
      </c>
      <c r="J388" t="s">
        <v>14283</v>
      </c>
      <c r="K388" t="s">
        <v>14284</v>
      </c>
      <c r="Q388" t="s">
        <v>31</v>
      </c>
      <c r="R388" t="s">
        <v>7</v>
      </c>
    </row>
    <row r="389" spans="1:18">
      <c r="A389">
        <v>1205</v>
      </c>
      <c r="B389" t="s">
        <v>14285</v>
      </c>
      <c r="C389">
        <v>3</v>
      </c>
      <c r="E389" t="s">
        <v>3413</v>
      </c>
      <c r="I389" t="s">
        <v>12</v>
      </c>
      <c r="J389" t="s">
        <v>14286</v>
      </c>
      <c r="Q389" t="s">
        <v>168</v>
      </c>
      <c r="R389" t="s">
        <v>7</v>
      </c>
    </row>
    <row r="390" spans="1:18">
      <c r="A390">
        <v>1206</v>
      </c>
      <c r="B390" t="s">
        <v>14287</v>
      </c>
      <c r="C390">
        <v>3</v>
      </c>
      <c r="E390" t="s">
        <v>3413</v>
      </c>
      <c r="F390" t="s">
        <v>3412</v>
      </c>
      <c r="I390" t="s">
        <v>14288</v>
      </c>
      <c r="J390" t="s">
        <v>3410</v>
      </c>
      <c r="Q390" t="s">
        <v>170</v>
      </c>
      <c r="R390" t="s">
        <v>7</v>
      </c>
    </row>
    <row r="391" spans="1:18">
      <c r="A391">
        <v>1207</v>
      </c>
      <c r="B391" t="s">
        <v>14289</v>
      </c>
      <c r="C391">
        <v>3</v>
      </c>
      <c r="E391" t="s">
        <v>3413</v>
      </c>
      <c r="I391" t="s">
        <v>14290</v>
      </c>
      <c r="Q391" t="s">
        <v>26</v>
      </c>
      <c r="R391" t="s">
        <v>7</v>
      </c>
    </row>
    <row r="392" spans="1:18">
      <c r="A392">
        <v>1208</v>
      </c>
      <c r="B392" t="s">
        <v>13786</v>
      </c>
      <c r="C392">
        <v>3</v>
      </c>
      <c r="E392" t="s">
        <v>3413</v>
      </c>
      <c r="F392" t="s">
        <v>3412</v>
      </c>
      <c r="I392" t="s">
        <v>13787</v>
      </c>
      <c r="J392" t="s">
        <v>3423</v>
      </c>
      <c r="Q392" t="s">
        <v>37</v>
      </c>
      <c r="R392" t="s">
        <v>7</v>
      </c>
    </row>
    <row r="393" spans="1:18">
      <c r="A393">
        <v>1209</v>
      </c>
      <c r="B393" t="s">
        <v>14291</v>
      </c>
      <c r="C393">
        <v>3</v>
      </c>
      <c r="E393" t="s">
        <v>3413</v>
      </c>
      <c r="I393" t="s">
        <v>14292</v>
      </c>
      <c r="J393" t="s">
        <v>14293</v>
      </c>
      <c r="Q393" t="s">
        <v>177</v>
      </c>
      <c r="R393" t="s">
        <v>7</v>
      </c>
    </row>
    <row r="394" spans="1:18">
      <c r="A394">
        <v>1210</v>
      </c>
      <c r="B394" t="s">
        <v>14294</v>
      </c>
      <c r="C394">
        <v>3</v>
      </c>
      <c r="E394" t="s">
        <v>3413</v>
      </c>
      <c r="I394" t="s">
        <v>14295</v>
      </c>
      <c r="Q394" t="s">
        <v>48</v>
      </c>
      <c r="R394" t="s">
        <v>7</v>
      </c>
    </row>
    <row r="395" spans="1:18">
      <c r="A395">
        <v>1211</v>
      </c>
      <c r="B395" t="s">
        <v>14296</v>
      </c>
      <c r="C395">
        <v>3</v>
      </c>
      <c r="E395" t="s">
        <v>3413</v>
      </c>
      <c r="I395" t="s">
        <v>5691</v>
      </c>
      <c r="J395" t="s">
        <v>14297</v>
      </c>
      <c r="Q395" t="s">
        <v>32</v>
      </c>
      <c r="R395" t="s">
        <v>7</v>
      </c>
    </row>
    <row r="396" spans="1:18">
      <c r="A396">
        <v>1212</v>
      </c>
      <c r="B396" t="s">
        <v>14298</v>
      </c>
      <c r="C396">
        <v>3</v>
      </c>
      <c r="E396" t="s">
        <v>3413</v>
      </c>
      <c r="I396" t="s">
        <v>4287</v>
      </c>
      <c r="J396" t="s">
        <v>14299</v>
      </c>
      <c r="Q396" t="s">
        <v>32</v>
      </c>
      <c r="R396" t="s">
        <v>7</v>
      </c>
    </row>
    <row r="397" spans="1:18">
      <c r="A397">
        <v>1213</v>
      </c>
      <c r="B397" t="s">
        <v>14300</v>
      </c>
      <c r="C397">
        <v>3</v>
      </c>
      <c r="E397" t="s">
        <v>3413</v>
      </c>
      <c r="F397" t="s">
        <v>3412</v>
      </c>
      <c r="I397" t="s">
        <v>14301</v>
      </c>
      <c r="J397" t="s">
        <v>13952</v>
      </c>
      <c r="Q397" t="s">
        <v>178</v>
      </c>
      <c r="R397" t="s">
        <v>7</v>
      </c>
    </row>
    <row r="398" spans="1:18">
      <c r="A398">
        <v>1214</v>
      </c>
      <c r="B398" t="s">
        <v>3827</v>
      </c>
      <c r="C398">
        <v>3</v>
      </c>
      <c r="E398" t="s">
        <v>3413</v>
      </c>
      <c r="F398" t="s">
        <v>3867</v>
      </c>
      <c r="I398" t="s">
        <v>13742</v>
      </c>
      <c r="Q398" t="s">
        <v>30</v>
      </c>
      <c r="R398" t="s">
        <v>7</v>
      </c>
    </row>
    <row r="399" spans="1:18">
      <c r="A399">
        <v>1215</v>
      </c>
      <c r="B399" t="s">
        <v>14302</v>
      </c>
      <c r="C399">
        <v>3</v>
      </c>
      <c r="E399" t="s">
        <v>3413</v>
      </c>
      <c r="I399" t="s">
        <v>14303</v>
      </c>
      <c r="J399" t="s">
        <v>14304</v>
      </c>
      <c r="Q399" t="s">
        <v>606</v>
      </c>
      <c r="R399" t="s">
        <v>7</v>
      </c>
    </row>
    <row r="400" spans="1:18">
      <c r="A400">
        <v>1216</v>
      </c>
      <c r="B400" t="s">
        <v>14305</v>
      </c>
      <c r="C400">
        <v>3</v>
      </c>
      <c r="E400" t="s">
        <v>3413</v>
      </c>
      <c r="I400" t="s">
        <v>13828</v>
      </c>
      <c r="J400" t="s">
        <v>14306</v>
      </c>
      <c r="Q400" t="s">
        <v>5</v>
      </c>
      <c r="R400" t="s">
        <v>7</v>
      </c>
    </row>
    <row r="401" spans="1:18">
      <c r="A401">
        <v>1217</v>
      </c>
      <c r="B401" t="s">
        <v>14307</v>
      </c>
      <c r="C401">
        <v>3</v>
      </c>
      <c r="E401" t="s">
        <v>3413</v>
      </c>
      <c r="F401" t="s">
        <v>3412</v>
      </c>
      <c r="I401" t="s">
        <v>14308</v>
      </c>
      <c r="J401" t="s">
        <v>13952</v>
      </c>
      <c r="Q401" t="s">
        <v>48</v>
      </c>
      <c r="R401" t="s">
        <v>7</v>
      </c>
    </row>
    <row r="402" spans="1:18">
      <c r="A402">
        <v>1218</v>
      </c>
      <c r="B402" t="s">
        <v>14309</v>
      </c>
      <c r="C402">
        <v>3</v>
      </c>
      <c r="E402" t="s">
        <v>3413</v>
      </c>
      <c r="I402" t="s">
        <v>14310</v>
      </c>
      <c r="Q402" t="s">
        <v>168</v>
      </c>
      <c r="R402" t="s">
        <v>7</v>
      </c>
    </row>
    <row r="403" spans="1:18">
      <c r="A403">
        <v>1219</v>
      </c>
      <c r="B403" t="s">
        <v>14311</v>
      </c>
      <c r="C403" t="s">
        <v>847</v>
      </c>
      <c r="E403" t="s">
        <v>3413</v>
      </c>
      <c r="I403" t="s">
        <v>14312</v>
      </c>
      <c r="Q403" t="s">
        <v>15</v>
      </c>
      <c r="R403" t="s">
        <v>7</v>
      </c>
    </row>
    <row r="404" spans="1:18">
      <c r="A404">
        <v>1220</v>
      </c>
      <c r="B404" t="s">
        <v>14313</v>
      </c>
      <c r="C404">
        <v>3</v>
      </c>
      <c r="E404" t="s">
        <v>3413</v>
      </c>
      <c r="I404" t="s">
        <v>14314</v>
      </c>
      <c r="Q404" t="s">
        <v>169</v>
      </c>
      <c r="R404" t="s">
        <v>7</v>
      </c>
    </row>
    <row r="405" spans="1:18">
      <c r="A405">
        <v>1221</v>
      </c>
      <c r="B405" t="s">
        <v>14315</v>
      </c>
      <c r="C405">
        <v>3</v>
      </c>
      <c r="E405" t="s">
        <v>14265</v>
      </c>
      <c r="I405" t="s">
        <v>14316</v>
      </c>
      <c r="J405" t="s">
        <v>14317</v>
      </c>
      <c r="Q405" t="s">
        <v>17</v>
      </c>
      <c r="R405" t="s">
        <v>7</v>
      </c>
    </row>
    <row r="406" spans="1:18">
      <c r="A406">
        <v>1222</v>
      </c>
      <c r="B406" t="s">
        <v>3411</v>
      </c>
      <c r="C406">
        <v>3</v>
      </c>
      <c r="E406" t="s">
        <v>3413</v>
      </c>
      <c r="F406" t="s">
        <v>3412</v>
      </c>
      <c r="I406" t="s">
        <v>13577</v>
      </c>
      <c r="J406" t="s">
        <v>13704</v>
      </c>
      <c r="K406" t="s">
        <v>3410</v>
      </c>
      <c r="Q406" t="s">
        <v>606</v>
      </c>
      <c r="R406" t="s">
        <v>7</v>
      </c>
    </row>
    <row r="407" spans="1:18">
      <c r="A407">
        <v>1223</v>
      </c>
      <c r="B407" t="s">
        <v>14318</v>
      </c>
      <c r="C407">
        <v>3</v>
      </c>
      <c r="E407" t="s">
        <v>3413</v>
      </c>
      <c r="I407" t="s">
        <v>14319</v>
      </c>
      <c r="J407" t="s">
        <v>14320</v>
      </c>
      <c r="Q407" t="s">
        <v>44</v>
      </c>
      <c r="R407" t="s">
        <v>7</v>
      </c>
    </row>
    <row r="408" spans="1:18">
      <c r="A408">
        <v>1224</v>
      </c>
      <c r="B408" t="s">
        <v>14321</v>
      </c>
      <c r="C408">
        <v>3</v>
      </c>
      <c r="E408" t="s">
        <v>3413</v>
      </c>
      <c r="I408" t="s">
        <v>14322</v>
      </c>
      <c r="Q408" t="s">
        <v>172</v>
      </c>
      <c r="R408" t="s">
        <v>7</v>
      </c>
    </row>
    <row r="409" spans="1:18">
      <c r="A409">
        <v>1225</v>
      </c>
      <c r="B409" t="s">
        <v>14323</v>
      </c>
      <c r="C409">
        <v>3</v>
      </c>
      <c r="E409" t="s">
        <v>3413</v>
      </c>
      <c r="I409" t="s">
        <v>1601</v>
      </c>
      <c r="J409" t="s">
        <v>14324</v>
      </c>
      <c r="Q409" t="s">
        <v>31</v>
      </c>
      <c r="R409" t="s">
        <v>7</v>
      </c>
    </row>
    <row r="410" spans="1:18">
      <c r="A410">
        <v>1226</v>
      </c>
      <c r="B410" t="s">
        <v>14325</v>
      </c>
      <c r="C410" t="s">
        <v>1910</v>
      </c>
      <c r="E410" t="s">
        <v>3413</v>
      </c>
      <c r="I410" t="s">
        <v>14326</v>
      </c>
      <c r="Q410" t="s">
        <v>1776</v>
      </c>
      <c r="R410" t="s">
        <v>7</v>
      </c>
    </row>
    <row r="411" spans="1:18">
      <c r="A411">
        <v>1227</v>
      </c>
      <c r="B411" t="s">
        <v>14327</v>
      </c>
      <c r="C411">
        <v>3</v>
      </c>
      <c r="E411" t="s">
        <v>3413</v>
      </c>
      <c r="F411" t="s">
        <v>3412</v>
      </c>
      <c r="I411" t="s">
        <v>14328</v>
      </c>
      <c r="J411" t="s">
        <v>3118</v>
      </c>
      <c r="Q411" t="s">
        <v>37</v>
      </c>
      <c r="R411" t="s">
        <v>7</v>
      </c>
    </row>
    <row r="412" spans="1:18">
      <c r="A412">
        <v>1228</v>
      </c>
      <c r="B412" t="s">
        <v>14329</v>
      </c>
      <c r="C412">
        <v>3</v>
      </c>
      <c r="E412" t="s">
        <v>3413</v>
      </c>
      <c r="I412" t="s">
        <v>14330</v>
      </c>
      <c r="J412" t="s">
        <v>14331</v>
      </c>
      <c r="Q412" t="s">
        <v>606</v>
      </c>
      <c r="R412" t="s">
        <v>7</v>
      </c>
    </row>
    <row r="413" spans="1:18">
      <c r="A413">
        <v>1229</v>
      </c>
      <c r="B413" t="s">
        <v>14332</v>
      </c>
      <c r="C413">
        <v>3</v>
      </c>
      <c r="E413" t="s">
        <v>3413</v>
      </c>
      <c r="F413" t="s">
        <v>3412</v>
      </c>
      <c r="I413" t="s">
        <v>4735</v>
      </c>
      <c r="J413" t="s">
        <v>13497</v>
      </c>
      <c r="Q413" t="s">
        <v>174</v>
      </c>
      <c r="R413" t="s">
        <v>7</v>
      </c>
    </row>
    <row r="414" spans="1:18">
      <c r="A414">
        <v>1230</v>
      </c>
      <c r="B414" t="s">
        <v>14333</v>
      </c>
      <c r="C414">
        <v>3</v>
      </c>
      <c r="E414" t="s">
        <v>3413</v>
      </c>
      <c r="I414" t="s">
        <v>14334</v>
      </c>
      <c r="J414" t="s">
        <v>14335</v>
      </c>
      <c r="Q414" t="s">
        <v>605</v>
      </c>
      <c r="R414" t="s">
        <v>7</v>
      </c>
    </row>
    <row r="415" spans="1:18">
      <c r="A415">
        <v>1231</v>
      </c>
      <c r="B415" t="s">
        <v>14336</v>
      </c>
      <c r="C415">
        <v>3</v>
      </c>
      <c r="E415" t="s">
        <v>3413</v>
      </c>
      <c r="F415" t="s">
        <v>3412</v>
      </c>
      <c r="I415" t="s">
        <v>14337</v>
      </c>
      <c r="J415" t="s">
        <v>3410</v>
      </c>
      <c r="Q415" t="s">
        <v>52</v>
      </c>
      <c r="R415" t="s">
        <v>7</v>
      </c>
    </row>
    <row r="416" spans="1:18">
      <c r="A416">
        <v>1232</v>
      </c>
      <c r="B416" t="s">
        <v>14338</v>
      </c>
      <c r="C416">
        <v>3</v>
      </c>
      <c r="E416" t="s">
        <v>3413</v>
      </c>
      <c r="I416" t="s">
        <v>4631</v>
      </c>
      <c r="J416" t="s">
        <v>14339</v>
      </c>
      <c r="Q416" t="s">
        <v>6</v>
      </c>
      <c r="R416" t="s">
        <v>7</v>
      </c>
    </row>
    <row r="417" spans="1:18">
      <c r="A417">
        <v>1233</v>
      </c>
      <c r="B417" t="s">
        <v>14340</v>
      </c>
      <c r="C417">
        <v>3</v>
      </c>
      <c r="E417" t="s">
        <v>3413</v>
      </c>
      <c r="F417" t="s">
        <v>3412</v>
      </c>
      <c r="I417" t="s">
        <v>14341</v>
      </c>
      <c r="J417" t="s">
        <v>13572</v>
      </c>
      <c r="Q417" t="s">
        <v>177</v>
      </c>
      <c r="R417" t="s">
        <v>7</v>
      </c>
    </row>
    <row r="418" spans="1:18">
      <c r="A418">
        <v>1234</v>
      </c>
      <c r="B418" t="s">
        <v>14342</v>
      </c>
      <c r="C418">
        <v>3</v>
      </c>
      <c r="E418" t="s">
        <v>3413</v>
      </c>
      <c r="I418" t="s">
        <v>5962</v>
      </c>
      <c r="J418" t="s">
        <v>14343</v>
      </c>
      <c r="Q418" t="s">
        <v>5</v>
      </c>
      <c r="R418" t="s">
        <v>7</v>
      </c>
    </row>
    <row r="419" spans="1:18">
      <c r="A419">
        <v>1235</v>
      </c>
      <c r="B419" t="s">
        <v>14344</v>
      </c>
      <c r="C419">
        <v>3</v>
      </c>
      <c r="E419" t="s">
        <v>3413</v>
      </c>
      <c r="I419" t="s">
        <v>5778</v>
      </c>
      <c r="J419" t="s">
        <v>14345</v>
      </c>
      <c r="K419" t="s">
        <v>14346</v>
      </c>
      <c r="Q419" t="s">
        <v>31</v>
      </c>
      <c r="R419" t="s">
        <v>7</v>
      </c>
    </row>
    <row r="420" spans="1:18">
      <c r="A420">
        <v>1236</v>
      </c>
      <c r="B420" t="s">
        <v>14347</v>
      </c>
      <c r="C420" t="s">
        <v>847</v>
      </c>
      <c r="E420" t="s">
        <v>3413</v>
      </c>
      <c r="I420" t="s">
        <v>3</v>
      </c>
      <c r="J420" t="s">
        <v>14348</v>
      </c>
      <c r="Q420" t="s">
        <v>15</v>
      </c>
      <c r="R420" t="s">
        <v>7</v>
      </c>
    </row>
    <row r="421" spans="1:18">
      <c r="A421">
        <v>1237</v>
      </c>
      <c r="B421" t="s">
        <v>14349</v>
      </c>
      <c r="C421">
        <v>3</v>
      </c>
      <c r="E421" t="s">
        <v>3413</v>
      </c>
      <c r="I421" t="s">
        <v>5828</v>
      </c>
      <c r="J421" t="s">
        <v>14350</v>
      </c>
      <c r="Q421" t="s">
        <v>32</v>
      </c>
      <c r="R421" t="s">
        <v>7</v>
      </c>
    </row>
    <row r="422" spans="1:18">
      <c r="A422">
        <v>1238</v>
      </c>
      <c r="B422" t="s">
        <v>4621</v>
      </c>
      <c r="C422" t="s">
        <v>1898</v>
      </c>
      <c r="E422" t="s">
        <v>3413</v>
      </c>
      <c r="F422" t="s">
        <v>3412</v>
      </c>
      <c r="I422" t="s">
        <v>4622</v>
      </c>
      <c r="J422" t="s">
        <v>3118</v>
      </c>
      <c r="Q422" t="s">
        <v>1776</v>
      </c>
      <c r="R422" t="s">
        <v>7</v>
      </c>
    </row>
    <row r="423" spans="1:18">
      <c r="A423">
        <v>1239</v>
      </c>
      <c r="B423" t="s">
        <v>14351</v>
      </c>
      <c r="C423">
        <v>3</v>
      </c>
      <c r="E423" t="s">
        <v>3413</v>
      </c>
      <c r="I423" t="s">
        <v>14352</v>
      </c>
      <c r="Q423" t="s">
        <v>168</v>
      </c>
      <c r="R423" t="s">
        <v>7</v>
      </c>
    </row>
    <row r="424" spans="1:18">
      <c r="A424">
        <v>1240</v>
      </c>
      <c r="B424" t="s">
        <v>14353</v>
      </c>
      <c r="C424">
        <v>3</v>
      </c>
      <c r="E424" t="s">
        <v>3413</v>
      </c>
      <c r="I424" t="s">
        <v>14354</v>
      </c>
      <c r="J424" t="s">
        <v>14355</v>
      </c>
      <c r="Q424" t="s">
        <v>17</v>
      </c>
      <c r="R424" t="s">
        <v>7</v>
      </c>
    </row>
    <row r="425" spans="1:18">
      <c r="A425">
        <v>1241</v>
      </c>
      <c r="B425" t="s">
        <v>13830</v>
      </c>
      <c r="C425">
        <v>3</v>
      </c>
      <c r="E425" t="s">
        <v>3413</v>
      </c>
      <c r="I425" t="s">
        <v>1989</v>
      </c>
      <c r="J425" t="s">
        <v>13831</v>
      </c>
      <c r="Q425" t="s">
        <v>180</v>
      </c>
      <c r="R425" t="s">
        <v>7</v>
      </c>
    </row>
    <row r="426" spans="1:18">
      <c r="A426">
        <v>1242</v>
      </c>
      <c r="B426" t="s">
        <v>14356</v>
      </c>
      <c r="C426">
        <v>3</v>
      </c>
      <c r="E426" t="s">
        <v>3413</v>
      </c>
      <c r="F426" t="s">
        <v>3412</v>
      </c>
      <c r="I426" t="s">
        <v>14357</v>
      </c>
      <c r="J426" t="s">
        <v>14301</v>
      </c>
      <c r="K426" t="s">
        <v>14358</v>
      </c>
      <c r="Q426" t="s">
        <v>176</v>
      </c>
      <c r="R426" t="s">
        <v>7</v>
      </c>
    </row>
    <row r="427" spans="1:18">
      <c r="A427">
        <v>1243</v>
      </c>
      <c r="B427" t="s">
        <v>14359</v>
      </c>
      <c r="C427">
        <v>3</v>
      </c>
      <c r="E427" t="s">
        <v>3413</v>
      </c>
      <c r="F427" t="s">
        <v>3412</v>
      </c>
      <c r="I427" t="s">
        <v>14360</v>
      </c>
      <c r="J427" t="s">
        <v>3409</v>
      </c>
      <c r="Q427" t="s">
        <v>45</v>
      </c>
      <c r="R427" t="s">
        <v>7</v>
      </c>
    </row>
    <row r="428" spans="1:18">
      <c r="A428">
        <v>1244</v>
      </c>
      <c r="B428" t="s">
        <v>14361</v>
      </c>
      <c r="C428">
        <v>3</v>
      </c>
      <c r="E428" t="s">
        <v>3413</v>
      </c>
      <c r="I428" t="s">
        <v>5828</v>
      </c>
      <c r="J428" t="s">
        <v>14362</v>
      </c>
      <c r="Q428" t="s">
        <v>6</v>
      </c>
      <c r="R428" t="s">
        <v>7</v>
      </c>
    </row>
    <row r="429" spans="1:18">
      <c r="A429">
        <v>1245</v>
      </c>
      <c r="B429" t="s">
        <v>14363</v>
      </c>
      <c r="C429">
        <v>3</v>
      </c>
      <c r="E429" t="s">
        <v>3413</v>
      </c>
      <c r="I429" t="s">
        <v>14364</v>
      </c>
      <c r="Q429" t="s">
        <v>172</v>
      </c>
      <c r="R429" t="s">
        <v>7</v>
      </c>
    </row>
    <row r="430" spans="1:18">
      <c r="A430">
        <v>1246</v>
      </c>
      <c r="B430" t="s">
        <v>14365</v>
      </c>
      <c r="C430">
        <v>3</v>
      </c>
      <c r="E430" t="s">
        <v>3413</v>
      </c>
      <c r="I430" t="s">
        <v>5790</v>
      </c>
      <c r="J430" t="s">
        <v>14366</v>
      </c>
      <c r="K430" t="s">
        <v>14367</v>
      </c>
      <c r="Q430" t="s">
        <v>31</v>
      </c>
      <c r="R430" t="s">
        <v>7</v>
      </c>
    </row>
    <row r="431" spans="1:18">
      <c r="A431">
        <v>1247</v>
      </c>
      <c r="B431" t="s">
        <v>14368</v>
      </c>
      <c r="C431">
        <v>3</v>
      </c>
      <c r="E431" t="s">
        <v>3413</v>
      </c>
      <c r="F431" t="s">
        <v>3412</v>
      </c>
      <c r="I431" t="s">
        <v>14369</v>
      </c>
      <c r="J431" t="s">
        <v>4705</v>
      </c>
      <c r="Q431" t="s">
        <v>180</v>
      </c>
      <c r="R431" t="s">
        <v>7</v>
      </c>
    </row>
    <row r="432" spans="1:18">
      <c r="A432">
        <v>1248</v>
      </c>
      <c r="B432" t="s">
        <v>14370</v>
      </c>
      <c r="C432">
        <v>3</v>
      </c>
      <c r="E432" t="s">
        <v>3413</v>
      </c>
      <c r="I432" t="s">
        <v>14371</v>
      </c>
      <c r="Q432" t="s">
        <v>168</v>
      </c>
      <c r="R432" t="s">
        <v>7</v>
      </c>
    </row>
    <row r="433" spans="1:18">
      <c r="A433">
        <v>1249</v>
      </c>
      <c r="B433" t="s">
        <v>14372</v>
      </c>
      <c r="C433">
        <v>3</v>
      </c>
      <c r="E433" t="s">
        <v>3413</v>
      </c>
      <c r="I433" t="s">
        <v>5897</v>
      </c>
      <c r="J433" t="s">
        <v>14373</v>
      </c>
      <c r="Q433" t="s">
        <v>6</v>
      </c>
      <c r="R433" t="s">
        <v>7</v>
      </c>
    </row>
    <row r="434" spans="1:18">
      <c r="A434">
        <v>1250</v>
      </c>
      <c r="B434" t="s">
        <v>14374</v>
      </c>
      <c r="C434">
        <v>3</v>
      </c>
      <c r="E434" t="s">
        <v>3413</v>
      </c>
      <c r="F434" t="s">
        <v>3412</v>
      </c>
      <c r="I434" t="s">
        <v>14375</v>
      </c>
      <c r="J434" t="s">
        <v>3118</v>
      </c>
      <c r="Q434" t="s">
        <v>168</v>
      </c>
      <c r="R434" t="s">
        <v>7</v>
      </c>
    </row>
    <row r="435" spans="1:18">
      <c r="A435">
        <v>1251</v>
      </c>
      <c r="B435" t="s">
        <v>14376</v>
      </c>
      <c r="C435">
        <v>3</v>
      </c>
      <c r="E435" t="s">
        <v>3413</v>
      </c>
      <c r="F435" t="s">
        <v>3412</v>
      </c>
      <c r="I435" t="s">
        <v>14116</v>
      </c>
      <c r="J435" t="s">
        <v>14377</v>
      </c>
      <c r="K435" t="s">
        <v>13980</v>
      </c>
      <c r="Q435" t="s">
        <v>605</v>
      </c>
      <c r="R435" t="s">
        <v>7</v>
      </c>
    </row>
    <row r="436" spans="1:18">
      <c r="A436">
        <v>1252</v>
      </c>
      <c r="B436" t="s">
        <v>14378</v>
      </c>
      <c r="C436">
        <v>3</v>
      </c>
      <c r="E436" t="s">
        <v>3413</v>
      </c>
      <c r="I436" t="s">
        <v>14379</v>
      </c>
      <c r="Q436" t="s">
        <v>181</v>
      </c>
      <c r="R436" t="s">
        <v>7</v>
      </c>
    </row>
    <row r="437" spans="1:18">
      <c r="A437">
        <v>1253</v>
      </c>
      <c r="B437" t="s">
        <v>14380</v>
      </c>
      <c r="C437">
        <v>3</v>
      </c>
      <c r="E437" t="s">
        <v>3413</v>
      </c>
      <c r="I437" t="s">
        <v>5679</v>
      </c>
      <c r="J437" t="s">
        <v>14381</v>
      </c>
      <c r="Q437" t="s">
        <v>5</v>
      </c>
      <c r="R437" t="s">
        <v>7</v>
      </c>
    </row>
    <row r="438" spans="1:18">
      <c r="A438">
        <v>1254</v>
      </c>
      <c r="B438" t="s">
        <v>14382</v>
      </c>
      <c r="C438">
        <v>3</v>
      </c>
      <c r="E438" t="s">
        <v>3413</v>
      </c>
      <c r="F438" t="s">
        <v>3412</v>
      </c>
      <c r="I438" t="s">
        <v>14383</v>
      </c>
      <c r="J438" t="s">
        <v>3423</v>
      </c>
      <c r="Q438" t="s">
        <v>27</v>
      </c>
      <c r="R438" t="s">
        <v>7</v>
      </c>
    </row>
    <row r="439" spans="1:18">
      <c r="A439">
        <v>1255</v>
      </c>
      <c r="B439" t="s">
        <v>14384</v>
      </c>
      <c r="C439">
        <v>3</v>
      </c>
      <c r="E439" t="s">
        <v>3413</v>
      </c>
      <c r="I439" t="s">
        <v>5897</v>
      </c>
      <c r="J439" t="s">
        <v>14385</v>
      </c>
      <c r="Q439" t="s">
        <v>32</v>
      </c>
      <c r="R439" t="s">
        <v>7</v>
      </c>
    </row>
    <row r="440" spans="1:18">
      <c r="A440">
        <v>1256</v>
      </c>
      <c r="B440" t="s">
        <v>14386</v>
      </c>
      <c r="C440">
        <v>3</v>
      </c>
      <c r="E440" t="s">
        <v>3413</v>
      </c>
      <c r="I440" t="s">
        <v>14387</v>
      </c>
      <c r="Q440" t="s">
        <v>168</v>
      </c>
      <c r="R440" t="s">
        <v>7</v>
      </c>
    </row>
    <row r="441" spans="1:18">
      <c r="A441">
        <v>1257</v>
      </c>
      <c r="B441" t="s">
        <v>14388</v>
      </c>
      <c r="C441">
        <v>3</v>
      </c>
      <c r="E441" t="s">
        <v>3413</v>
      </c>
      <c r="F441" t="s">
        <v>3412</v>
      </c>
      <c r="I441" t="s">
        <v>14389</v>
      </c>
      <c r="J441" t="s">
        <v>14390</v>
      </c>
      <c r="K441" t="s">
        <v>3409</v>
      </c>
      <c r="Q441" t="s">
        <v>39</v>
      </c>
      <c r="R441" t="s">
        <v>7</v>
      </c>
    </row>
    <row r="442" spans="1:18">
      <c r="A442">
        <v>1258</v>
      </c>
      <c r="B442" t="s">
        <v>14391</v>
      </c>
      <c r="C442">
        <v>3</v>
      </c>
      <c r="E442" t="s">
        <v>14265</v>
      </c>
      <c r="I442" t="s">
        <v>14392</v>
      </c>
      <c r="J442" t="s">
        <v>14393</v>
      </c>
      <c r="Q442" t="s">
        <v>17</v>
      </c>
      <c r="R442" t="s">
        <v>7</v>
      </c>
    </row>
    <row r="443" spans="1:18">
      <c r="A443">
        <v>1259</v>
      </c>
      <c r="B443" t="s">
        <v>14394</v>
      </c>
      <c r="C443">
        <v>3</v>
      </c>
      <c r="E443" t="s">
        <v>3413</v>
      </c>
      <c r="I443" t="s">
        <v>14395</v>
      </c>
      <c r="J443" t="s">
        <v>14396</v>
      </c>
      <c r="Q443" t="s">
        <v>177</v>
      </c>
      <c r="R443" t="s">
        <v>7</v>
      </c>
    </row>
    <row r="444" spans="1:18">
      <c r="A444">
        <v>1260</v>
      </c>
      <c r="B444" t="s">
        <v>14397</v>
      </c>
      <c r="C444">
        <v>3</v>
      </c>
      <c r="E444" t="s">
        <v>3413</v>
      </c>
      <c r="F444" t="s">
        <v>3412</v>
      </c>
      <c r="I444" t="s">
        <v>3</v>
      </c>
      <c r="J444" t="s">
        <v>14398</v>
      </c>
      <c r="K444" t="s">
        <v>3408</v>
      </c>
      <c r="L444" t="s">
        <v>3423</v>
      </c>
      <c r="Q444" t="s">
        <v>8</v>
      </c>
      <c r="R444" t="s">
        <v>7</v>
      </c>
    </row>
    <row r="445" spans="1:18">
      <c r="A445">
        <v>1261</v>
      </c>
      <c r="B445" t="s">
        <v>14399</v>
      </c>
      <c r="C445">
        <v>3</v>
      </c>
      <c r="E445" t="s">
        <v>3413</v>
      </c>
      <c r="I445" t="s">
        <v>14400</v>
      </c>
      <c r="Q445" t="s">
        <v>172</v>
      </c>
      <c r="R445" t="s">
        <v>7</v>
      </c>
    </row>
    <row r="446" spans="1:18">
      <c r="A446">
        <v>1262</v>
      </c>
      <c r="B446" t="s">
        <v>14401</v>
      </c>
      <c r="C446">
        <v>3</v>
      </c>
      <c r="E446" t="s">
        <v>3413</v>
      </c>
      <c r="I446" t="s">
        <v>14402</v>
      </c>
      <c r="Q446" t="s">
        <v>168</v>
      </c>
      <c r="R446" t="s">
        <v>7</v>
      </c>
    </row>
    <row r="447" spans="1:18">
      <c r="A447">
        <v>1263</v>
      </c>
      <c r="B447" t="s">
        <v>14403</v>
      </c>
      <c r="C447">
        <v>3</v>
      </c>
      <c r="E447" t="s">
        <v>3413</v>
      </c>
      <c r="I447" t="s">
        <v>14404</v>
      </c>
      <c r="J447" t="s">
        <v>14405</v>
      </c>
      <c r="Q447" t="s">
        <v>168</v>
      </c>
      <c r="R447" t="s">
        <v>7</v>
      </c>
    </row>
    <row r="448" spans="1:18">
      <c r="A448">
        <v>1264</v>
      </c>
      <c r="B448" t="s">
        <v>14406</v>
      </c>
      <c r="C448">
        <v>3</v>
      </c>
      <c r="E448" t="s">
        <v>3413</v>
      </c>
      <c r="F448" t="s">
        <v>3412</v>
      </c>
      <c r="I448" t="s">
        <v>14407</v>
      </c>
      <c r="J448" t="s">
        <v>3409</v>
      </c>
      <c r="Q448" t="s">
        <v>604</v>
      </c>
      <c r="R448" t="s">
        <v>7</v>
      </c>
    </row>
    <row r="449" spans="1:18">
      <c r="A449">
        <v>1265</v>
      </c>
      <c r="B449" t="s">
        <v>14408</v>
      </c>
      <c r="C449">
        <v>3</v>
      </c>
      <c r="E449" t="s">
        <v>3413</v>
      </c>
      <c r="I449" t="s">
        <v>14409</v>
      </c>
      <c r="J449" t="s">
        <v>14410</v>
      </c>
      <c r="Q449" t="s">
        <v>26</v>
      </c>
      <c r="R449" t="s">
        <v>7</v>
      </c>
    </row>
    <row r="450" spans="1:18">
      <c r="A450">
        <v>1266</v>
      </c>
      <c r="B450" t="s">
        <v>14411</v>
      </c>
      <c r="C450">
        <v>3</v>
      </c>
      <c r="E450" t="s">
        <v>14265</v>
      </c>
      <c r="I450" t="s">
        <v>14412</v>
      </c>
      <c r="J450" t="s">
        <v>14413</v>
      </c>
      <c r="Q450" t="s">
        <v>17</v>
      </c>
      <c r="R450" t="s">
        <v>7</v>
      </c>
    </row>
    <row r="451" spans="1:18">
      <c r="A451">
        <v>1267</v>
      </c>
      <c r="B451" t="s">
        <v>14414</v>
      </c>
      <c r="C451">
        <v>3</v>
      </c>
      <c r="E451" t="s">
        <v>3413</v>
      </c>
      <c r="I451" t="s">
        <v>14415</v>
      </c>
      <c r="Q451" t="s">
        <v>177</v>
      </c>
      <c r="R451" t="s">
        <v>7</v>
      </c>
    </row>
    <row r="452" spans="1:18">
      <c r="A452">
        <v>1268</v>
      </c>
      <c r="B452" t="s">
        <v>14416</v>
      </c>
      <c r="C452">
        <v>3</v>
      </c>
      <c r="E452" t="s">
        <v>3413</v>
      </c>
      <c r="I452" t="s">
        <v>14417</v>
      </c>
      <c r="Q452" t="s">
        <v>174</v>
      </c>
      <c r="R452" t="s">
        <v>7</v>
      </c>
    </row>
    <row r="453" spans="1:18">
      <c r="A453">
        <v>1269</v>
      </c>
      <c r="B453" t="s">
        <v>14418</v>
      </c>
      <c r="C453">
        <v>3</v>
      </c>
      <c r="E453" t="s">
        <v>3413</v>
      </c>
      <c r="I453" t="s">
        <v>14419</v>
      </c>
      <c r="J453" t="s">
        <v>293</v>
      </c>
      <c r="K453" t="s">
        <v>14420</v>
      </c>
      <c r="Q453" t="s">
        <v>44</v>
      </c>
      <c r="R453" t="s">
        <v>7</v>
      </c>
    </row>
    <row r="454" spans="1:18">
      <c r="A454">
        <v>1270</v>
      </c>
      <c r="B454" t="s">
        <v>14421</v>
      </c>
      <c r="C454">
        <v>3</v>
      </c>
      <c r="E454" t="s">
        <v>3413</v>
      </c>
      <c r="I454" t="s">
        <v>5840</v>
      </c>
      <c r="J454" t="s">
        <v>14422</v>
      </c>
      <c r="K454" t="s">
        <v>14423</v>
      </c>
      <c r="Q454" t="s">
        <v>6</v>
      </c>
      <c r="R454" t="s">
        <v>7</v>
      </c>
    </row>
    <row r="455" spans="1:18">
      <c r="A455">
        <v>1271</v>
      </c>
      <c r="B455" t="s">
        <v>14424</v>
      </c>
      <c r="C455">
        <v>3</v>
      </c>
      <c r="E455" t="s">
        <v>3413</v>
      </c>
      <c r="I455" t="s">
        <v>5684</v>
      </c>
      <c r="J455" t="s">
        <v>14425</v>
      </c>
      <c r="Q455" t="s">
        <v>46</v>
      </c>
      <c r="R455" t="s">
        <v>7</v>
      </c>
    </row>
    <row r="456" spans="1:18">
      <c r="A456">
        <v>1272</v>
      </c>
      <c r="B456" t="s">
        <v>14426</v>
      </c>
      <c r="C456">
        <v>3</v>
      </c>
      <c r="E456" t="s">
        <v>3413</v>
      </c>
      <c r="I456" t="s">
        <v>14427</v>
      </c>
      <c r="Q456" t="s">
        <v>178</v>
      </c>
      <c r="R456" t="s">
        <v>7</v>
      </c>
    </row>
    <row r="457" spans="1:18">
      <c r="A457">
        <v>1273</v>
      </c>
      <c r="B457" t="s">
        <v>3828</v>
      </c>
      <c r="C457">
        <v>3</v>
      </c>
      <c r="E457" t="s">
        <v>3413</v>
      </c>
      <c r="F457" t="s">
        <v>3867</v>
      </c>
      <c r="I457" t="s">
        <v>3829</v>
      </c>
      <c r="J457" t="s">
        <v>13850</v>
      </c>
      <c r="Q457" t="s">
        <v>35</v>
      </c>
      <c r="R457" t="s">
        <v>7</v>
      </c>
    </row>
    <row r="458" spans="1:18">
      <c r="A458">
        <v>1274</v>
      </c>
      <c r="B458" t="s">
        <v>13812</v>
      </c>
      <c r="C458">
        <v>3</v>
      </c>
      <c r="E458" t="s">
        <v>3413</v>
      </c>
      <c r="F458" t="s">
        <v>3412</v>
      </c>
      <c r="I458" t="s">
        <v>13813</v>
      </c>
      <c r="J458" t="s">
        <v>3409</v>
      </c>
      <c r="Q458" t="s">
        <v>178</v>
      </c>
      <c r="R458" t="s">
        <v>7</v>
      </c>
    </row>
    <row r="459" spans="1:18">
      <c r="A459">
        <v>1275</v>
      </c>
      <c r="B459" t="s">
        <v>14428</v>
      </c>
      <c r="C459">
        <v>3</v>
      </c>
      <c r="E459" t="s">
        <v>3413</v>
      </c>
      <c r="I459" t="s">
        <v>14429</v>
      </c>
      <c r="Q459" t="s">
        <v>175</v>
      </c>
      <c r="R459" t="s">
        <v>7</v>
      </c>
    </row>
    <row r="460" spans="1:18">
      <c r="A460">
        <v>1276</v>
      </c>
      <c r="B460" t="s">
        <v>14430</v>
      </c>
      <c r="C460">
        <v>3</v>
      </c>
      <c r="E460" t="s">
        <v>3413</v>
      </c>
      <c r="I460" t="s">
        <v>14431</v>
      </c>
      <c r="J460" t="s">
        <v>1634</v>
      </c>
      <c r="Q460" t="s">
        <v>52</v>
      </c>
      <c r="R460" t="s">
        <v>7</v>
      </c>
    </row>
    <row r="461" spans="1:18">
      <c r="A461">
        <v>1277</v>
      </c>
      <c r="B461" t="s">
        <v>14432</v>
      </c>
      <c r="C461">
        <v>3</v>
      </c>
      <c r="E461" t="s">
        <v>3413</v>
      </c>
      <c r="I461" t="s">
        <v>5750</v>
      </c>
      <c r="J461" t="s">
        <v>14433</v>
      </c>
      <c r="Q461" t="s">
        <v>5</v>
      </c>
      <c r="R461" t="s">
        <v>7</v>
      </c>
    </row>
    <row r="462" spans="1:18">
      <c r="A462">
        <v>1278</v>
      </c>
      <c r="B462" t="s">
        <v>14434</v>
      </c>
      <c r="C462">
        <v>3</v>
      </c>
      <c r="E462" t="s">
        <v>3413</v>
      </c>
      <c r="F462" t="s">
        <v>3412</v>
      </c>
      <c r="I462" t="s">
        <v>14435</v>
      </c>
      <c r="J462" t="s">
        <v>13980</v>
      </c>
      <c r="Q462" t="s">
        <v>3747</v>
      </c>
      <c r="R462" t="s">
        <v>7</v>
      </c>
    </row>
    <row r="463" spans="1:18">
      <c r="A463">
        <v>1279</v>
      </c>
      <c r="B463" t="s">
        <v>14436</v>
      </c>
      <c r="C463">
        <v>3</v>
      </c>
      <c r="E463" t="s">
        <v>3413</v>
      </c>
      <c r="F463" t="s">
        <v>3412</v>
      </c>
      <c r="I463" t="s">
        <v>14437</v>
      </c>
      <c r="J463" t="s">
        <v>13926</v>
      </c>
      <c r="K463" t="s">
        <v>3118</v>
      </c>
      <c r="Q463" t="s">
        <v>32</v>
      </c>
      <c r="R463" t="s">
        <v>7</v>
      </c>
    </row>
    <row r="464" spans="1:18">
      <c r="A464">
        <v>1280</v>
      </c>
      <c r="B464" t="s">
        <v>14438</v>
      </c>
      <c r="C464">
        <v>3</v>
      </c>
      <c r="E464" t="s">
        <v>3413</v>
      </c>
      <c r="F464" t="s">
        <v>3412</v>
      </c>
      <c r="I464" t="s">
        <v>14439</v>
      </c>
      <c r="J464" t="s">
        <v>3410</v>
      </c>
      <c r="Q464" t="s">
        <v>39</v>
      </c>
      <c r="R464" t="s">
        <v>7</v>
      </c>
    </row>
    <row r="465" spans="1:18">
      <c r="A465">
        <v>1281</v>
      </c>
      <c r="B465" t="s">
        <v>14440</v>
      </c>
      <c r="C465">
        <v>3</v>
      </c>
      <c r="E465" t="s">
        <v>3413</v>
      </c>
      <c r="I465" t="s">
        <v>14441</v>
      </c>
      <c r="J465" t="s">
        <v>14442</v>
      </c>
      <c r="Q465" t="s">
        <v>17</v>
      </c>
      <c r="R465" t="s">
        <v>7</v>
      </c>
    </row>
    <row r="466" spans="1:18">
      <c r="A466">
        <v>1282</v>
      </c>
      <c r="B466" t="s">
        <v>13840</v>
      </c>
      <c r="C466">
        <v>3</v>
      </c>
      <c r="E466" t="s">
        <v>3413</v>
      </c>
      <c r="I466" t="s">
        <v>13841</v>
      </c>
      <c r="J466" t="s">
        <v>13842</v>
      </c>
      <c r="Q466" t="s">
        <v>184</v>
      </c>
      <c r="R466" t="s">
        <v>7</v>
      </c>
    </row>
    <row r="467" spans="1:18">
      <c r="A467">
        <v>1283</v>
      </c>
      <c r="B467" t="s">
        <v>14443</v>
      </c>
      <c r="C467">
        <v>3</v>
      </c>
      <c r="E467" t="s">
        <v>3413</v>
      </c>
      <c r="I467" t="s">
        <v>14444</v>
      </c>
      <c r="J467" t="s">
        <v>14445</v>
      </c>
      <c r="Q467" t="s">
        <v>606</v>
      </c>
      <c r="R467" t="s">
        <v>7</v>
      </c>
    </row>
    <row r="468" spans="1:18">
      <c r="A468">
        <v>1284</v>
      </c>
      <c r="B468" t="s">
        <v>14446</v>
      </c>
      <c r="C468">
        <v>3</v>
      </c>
      <c r="E468" t="s">
        <v>3413</v>
      </c>
      <c r="I468" t="s">
        <v>5684</v>
      </c>
      <c r="J468" t="s">
        <v>14447</v>
      </c>
      <c r="Q468" t="s">
        <v>175</v>
      </c>
      <c r="R468" t="s">
        <v>7</v>
      </c>
    </row>
    <row r="469" spans="1:18">
      <c r="A469">
        <v>1285</v>
      </c>
      <c r="B469" t="s">
        <v>14448</v>
      </c>
      <c r="C469">
        <v>3</v>
      </c>
      <c r="E469" t="s">
        <v>3413</v>
      </c>
      <c r="I469" t="s">
        <v>14449</v>
      </c>
      <c r="Q469" t="s">
        <v>172</v>
      </c>
      <c r="R469" t="s">
        <v>7</v>
      </c>
    </row>
    <row r="470" spans="1:18">
      <c r="A470">
        <v>1286</v>
      </c>
      <c r="B470" t="s">
        <v>14450</v>
      </c>
      <c r="C470">
        <v>3</v>
      </c>
      <c r="E470" t="s">
        <v>3413</v>
      </c>
      <c r="I470" t="s">
        <v>14451</v>
      </c>
      <c r="Q470" t="s">
        <v>168</v>
      </c>
      <c r="R470" t="s">
        <v>7</v>
      </c>
    </row>
    <row r="471" spans="1:18">
      <c r="A471">
        <v>1287</v>
      </c>
      <c r="B471" t="s">
        <v>14452</v>
      </c>
      <c r="C471">
        <v>3</v>
      </c>
      <c r="E471" t="s">
        <v>3413</v>
      </c>
      <c r="I471" t="s">
        <v>14453</v>
      </c>
      <c r="Q471" t="s">
        <v>168</v>
      </c>
      <c r="R471" t="s">
        <v>7</v>
      </c>
    </row>
    <row r="472" spans="1:18">
      <c r="A472">
        <v>1288</v>
      </c>
      <c r="B472" t="s">
        <v>4530</v>
      </c>
      <c r="C472" t="s">
        <v>1874</v>
      </c>
      <c r="E472" t="s">
        <v>3413</v>
      </c>
      <c r="F472" t="s">
        <v>3412</v>
      </c>
      <c r="I472" t="s">
        <v>14454</v>
      </c>
      <c r="J472" t="s">
        <v>3118</v>
      </c>
      <c r="Q472" t="s">
        <v>1776</v>
      </c>
      <c r="R472" t="s">
        <v>7</v>
      </c>
    </row>
    <row r="473" spans="1:18">
      <c r="A473">
        <v>1289</v>
      </c>
      <c r="B473" t="s">
        <v>14455</v>
      </c>
      <c r="C473">
        <v>3</v>
      </c>
      <c r="E473" t="s">
        <v>3413</v>
      </c>
      <c r="F473" t="s">
        <v>3412</v>
      </c>
      <c r="I473" t="s">
        <v>14456</v>
      </c>
      <c r="J473" t="s">
        <v>13572</v>
      </c>
      <c r="Q473" t="s">
        <v>168</v>
      </c>
      <c r="R473" t="s">
        <v>7</v>
      </c>
    </row>
    <row r="474" spans="1:18">
      <c r="A474">
        <v>1290</v>
      </c>
      <c r="B474" t="s">
        <v>14457</v>
      </c>
      <c r="C474">
        <v>3</v>
      </c>
      <c r="E474" t="s">
        <v>3413</v>
      </c>
      <c r="F474" t="s">
        <v>3412</v>
      </c>
      <c r="I474" t="s">
        <v>14458</v>
      </c>
      <c r="J474" t="s">
        <v>14459</v>
      </c>
      <c r="K474" t="s">
        <v>3410</v>
      </c>
      <c r="Q474" t="s">
        <v>50</v>
      </c>
      <c r="R474" t="s">
        <v>7</v>
      </c>
    </row>
    <row r="475" spans="1:18">
      <c r="A475">
        <v>1291</v>
      </c>
      <c r="B475" t="s">
        <v>14460</v>
      </c>
      <c r="C475">
        <v>3</v>
      </c>
      <c r="E475" t="s">
        <v>14265</v>
      </c>
      <c r="I475" t="s">
        <v>14461</v>
      </c>
      <c r="J475" t="s">
        <v>14462</v>
      </c>
      <c r="Q475" t="s">
        <v>17</v>
      </c>
      <c r="R475" t="s">
        <v>7</v>
      </c>
    </row>
    <row r="476" spans="1:18">
      <c r="A476">
        <v>1292</v>
      </c>
      <c r="B476" t="s">
        <v>14463</v>
      </c>
      <c r="C476">
        <v>3</v>
      </c>
      <c r="E476" t="s">
        <v>3413</v>
      </c>
      <c r="I476" t="s">
        <v>5902</v>
      </c>
      <c r="J476" t="s">
        <v>14464</v>
      </c>
      <c r="Q476" t="s">
        <v>6</v>
      </c>
      <c r="R476" t="s">
        <v>7</v>
      </c>
    </row>
    <row r="477" spans="1:18">
      <c r="A477">
        <v>1293</v>
      </c>
      <c r="B477" t="s">
        <v>14465</v>
      </c>
      <c r="C477">
        <v>3</v>
      </c>
      <c r="E477" t="s">
        <v>3413</v>
      </c>
      <c r="F477" t="s">
        <v>3412</v>
      </c>
      <c r="I477" t="s">
        <v>14466</v>
      </c>
      <c r="J477" t="s">
        <v>3423</v>
      </c>
      <c r="Q477" t="s">
        <v>46</v>
      </c>
      <c r="R477" t="s">
        <v>7</v>
      </c>
    </row>
    <row r="478" spans="1:18">
      <c r="A478">
        <v>1294</v>
      </c>
      <c r="B478" t="s">
        <v>14467</v>
      </c>
      <c r="C478">
        <v>3</v>
      </c>
      <c r="E478" t="s">
        <v>3413</v>
      </c>
      <c r="F478" t="s">
        <v>3412</v>
      </c>
      <c r="I478" t="s">
        <v>14468</v>
      </c>
      <c r="J478" t="s">
        <v>14469</v>
      </c>
      <c r="K478" t="s">
        <v>4705</v>
      </c>
      <c r="Q478" t="s">
        <v>605</v>
      </c>
      <c r="R478" t="s">
        <v>7</v>
      </c>
    </row>
    <row r="479" spans="1:18">
      <c r="A479">
        <v>1295</v>
      </c>
      <c r="B479" t="s">
        <v>4734</v>
      </c>
      <c r="C479">
        <v>3</v>
      </c>
      <c r="E479" t="s">
        <v>3413</v>
      </c>
      <c r="F479" t="s">
        <v>3412</v>
      </c>
      <c r="I479" t="s">
        <v>4735</v>
      </c>
      <c r="J479" t="s">
        <v>4736</v>
      </c>
      <c r="K479" t="s">
        <v>3118</v>
      </c>
      <c r="Q479" t="s">
        <v>45</v>
      </c>
      <c r="R479" t="s">
        <v>7</v>
      </c>
    </row>
    <row r="480" spans="1:18">
      <c r="A480">
        <v>1296</v>
      </c>
      <c r="B480" t="s">
        <v>14470</v>
      </c>
      <c r="C480">
        <v>3</v>
      </c>
      <c r="E480" t="s">
        <v>3413</v>
      </c>
      <c r="I480" t="s">
        <v>5775</v>
      </c>
      <c r="J480" t="s">
        <v>14471</v>
      </c>
      <c r="Q480" t="s">
        <v>5</v>
      </c>
      <c r="R480" t="s">
        <v>7</v>
      </c>
    </row>
    <row r="481" spans="1:18">
      <c r="A481">
        <v>1297</v>
      </c>
      <c r="B481" t="s">
        <v>14472</v>
      </c>
      <c r="C481">
        <v>3</v>
      </c>
      <c r="E481" t="s">
        <v>3413</v>
      </c>
      <c r="I481" t="s">
        <v>5679</v>
      </c>
      <c r="J481" t="s">
        <v>14473</v>
      </c>
      <c r="Q481" t="s">
        <v>32</v>
      </c>
      <c r="R481" t="s">
        <v>7</v>
      </c>
    </row>
    <row r="482" spans="1:18">
      <c r="A482">
        <v>1298</v>
      </c>
      <c r="B482" t="s">
        <v>14474</v>
      </c>
      <c r="C482">
        <v>4</v>
      </c>
      <c r="E482" t="s">
        <v>3413</v>
      </c>
      <c r="I482" t="s">
        <v>14475</v>
      </c>
      <c r="Q482" t="s">
        <v>180</v>
      </c>
      <c r="R482" t="s">
        <v>7</v>
      </c>
    </row>
    <row r="483" spans="1:18">
      <c r="A483">
        <v>1299</v>
      </c>
      <c r="B483" t="s">
        <v>14476</v>
      </c>
      <c r="C483">
        <v>4</v>
      </c>
      <c r="E483" t="s">
        <v>3413</v>
      </c>
      <c r="I483" t="s">
        <v>14477</v>
      </c>
      <c r="J483" t="s">
        <v>14478</v>
      </c>
      <c r="Q483" t="s">
        <v>605</v>
      </c>
      <c r="R483" t="s">
        <v>7</v>
      </c>
    </row>
    <row r="484" spans="1:18">
      <c r="A484">
        <v>1300</v>
      </c>
      <c r="B484" t="s">
        <v>14479</v>
      </c>
      <c r="C484" t="s">
        <v>2009</v>
      </c>
      <c r="E484" t="s">
        <v>3413</v>
      </c>
      <c r="I484" t="s">
        <v>12403</v>
      </c>
      <c r="J484" t="s">
        <v>12405</v>
      </c>
      <c r="K484" t="s">
        <v>14480</v>
      </c>
      <c r="L484" t="s">
        <v>14481</v>
      </c>
      <c r="Q484" t="s">
        <v>1776</v>
      </c>
      <c r="R484" t="s">
        <v>7</v>
      </c>
    </row>
    <row r="485" spans="1:18">
      <c r="A485">
        <v>1301</v>
      </c>
      <c r="B485" t="s">
        <v>14482</v>
      </c>
      <c r="C485">
        <v>4</v>
      </c>
      <c r="E485" t="s">
        <v>3413</v>
      </c>
      <c r="F485" t="s">
        <v>3412</v>
      </c>
      <c r="I485" t="s">
        <v>14483</v>
      </c>
      <c r="J485" t="s">
        <v>14484</v>
      </c>
      <c r="K485" t="s">
        <v>3409</v>
      </c>
      <c r="Q485" t="s">
        <v>50</v>
      </c>
      <c r="R485" t="s">
        <v>7</v>
      </c>
    </row>
    <row r="486" spans="1:18">
      <c r="A486">
        <v>1302</v>
      </c>
      <c r="B486" t="s">
        <v>4076</v>
      </c>
      <c r="C486">
        <v>4</v>
      </c>
      <c r="E486" t="s">
        <v>3413</v>
      </c>
      <c r="F486" t="s">
        <v>3412</v>
      </c>
      <c r="I486" t="s">
        <v>13577</v>
      </c>
      <c r="J486" t="s">
        <v>14485</v>
      </c>
      <c r="K486" t="s">
        <v>4068</v>
      </c>
      <c r="Q486" t="s">
        <v>176</v>
      </c>
      <c r="R486" t="s">
        <v>7</v>
      </c>
    </row>
    <row r="487" spans="1:18">
      <c r="A487">
        <v>1303</v>
      </c>
      <c r="B487" t="s">
        <v>14486</v>
      </c>
      <c r="C487">
        <v>4</v>
      </c>
      <c r="E487" t="s">
        <v>3413</v>
      </c>
      <c r="I487" t="s">
        <v>14487</v>
      </c>
      <c r="Q487" t="s">
        <v>177</v>
      </c>
      <c r="R487" t="s">
        <v>7</v>
      </c>
    </row>
    <row r="488" spans="1:18">
      <c r="A488">
        <v>1304</v>
      </c>
      <c r="B488" t="s">
        <v>14488</v>
      </c>
      <c r="C488">
        <v>4</v>
      </c>
      <c r="E488" t="s">
        <v>3413</v>
      </c>
      <c r="I488" t="s">
        <v>14489</v>
      </c>
      <c r="Q488" t="s">
        <v>605</v>
      </c>
      <c r="R488" t="s">
        <v>7</v>
      </c>
    </row>
    <row r="489" spans="1:18">
      <c r="A489">
        <v>1305</v>
      </c>
      <c r="B489" t="s">
        <v>3830</v>
      </c>
      <c r="C489">
        <v>4</v>
      </c>
      <c r="E489" t="s">
        <v>3413</v>
      </c>
      <c r="F489" t="s">
        <v>3867</v>
      </c>
      <c r="I489" t="s">
        <v>20</v>
      </c>
      <c r="J489" t="s">
        <v>3831</v>
      </c>
      <c r="K489" t="s">
        <v>13742</v>
      </c>
      <c r="Q489" t="s">
        <v>35</v>
      </c>
      <c r="R489" t="s">
        <v>7</v>
      </c>
    </row>
    <row r="490" spans="1:18">
      <c r="A490">
        <v>1306</v>
      </c>
      <c r="B490" t="s">
        <v>14490</v>
      </c>
      <c r="C490">
        <v>4</v>
      </c>
      <c r="E490" t="s">
        <v>3413</v>
      </c>
      <c r="I490" t="s">
        <v>14491</v>
      </c>
      <c r="Q490" t="s">
        <v>48</v>
      </c>
      <c r="R490" t="s">
        <v>7</v>
      </c>
    </row>
    <row r="491" spans="1:18">
      <c r="A491">
        <v>1307</v>
      </c>
      <c r="B491" t="s">
        <v>13858</v>
      </c>
      <c r="C491">
        <v>4</v>
      </c>
      <c r="E491" t="s">
        <v>3413</v>
      </c>
      <c r="I491" t="s">
        <v>13859</v>
      </c>
      <c r="Q491" t="s">
        <v>171</v>
      </c>
      <c r="R491" t="s">
        <v>7</v>
      </c>
    </row>
    <row r="492" spans="1:18">
      <c r="A492">
        <v>1308</v>
      </c>
      <c r="B492" t="s">
        <v>14492</v>
      </c>
      <c r="C492">
        <v>4</v>
      </c>
      <c r="E492" t="s">
        <v>3413</v>
      </c>
      <c r="I492" t="s">
        <v>14493</v>
      </c>
      <c r="Q492" t="s">
        <v>182</v>
      </c>
      <c r="R492" t="s">
        <v>7</v>
      </c>
    </row>
    <row r="493" spans="1:18">
      <c r="A493">
        <v>1309</v>
      </c>
      <c r="B493" t="s">
        <v>14494</v>
      </c>
      <c r="C493">
        <v>4</v>
      </c>
      <c r="E493" t="s">
        <v>3413</v>
      </c>
      <c r="I493" t="s">
        <v>14495</v>
      </c>
      <c r="Q493" t="s">
        <v>181</v>
      </c>
      <c r="R493" t="s">
        <v>7</v>
      </c>
    </row>
    <row r="494" spans="1:18">
      <c r="A494">
        <v>1310</v>
      </c>
      <c r="B494" t="s">
        <v>13860</v>
      </c>
      <c r="C494">
        <v>4</v>
      </c>
      <c r="E494" t="s">
        <v>3413</v>
      </c>
      <c r="I494" t="s">
        <v>13861</v>
      </c>
      <c r="Q494" t="s">
        <v>50</v>
      </c>
      <c r="R494" t="s">
        <v>7</v>
      </c>
    </row>
    <row r="495" spans="1:18">
      <c r="A495">
        <v>1311</v>
      </c>
      <c r="B495" t="s">
        <v>14496</v>
      </c>
      <c r="C495">
        <v>4</v>
      </c>
      <c r="E495" t="s">
        <v>3413</v>
      </c>
      <c r="I495" t="s">
        <v>14497</v>
      </c>
      <c r="Q495" t="s">
        <v>178</v>
      </c>
      <c r="R495" t="s">
        <v>7</v>
      </c>
    </row>
    <row r="496" spans="1:18">
      <c r="A496">
        <v>1312</v>
      </c>
      <c r="B496" t="s">
        <v>3832</v>
      </c>
      <c r="C496">
        <v>4</v>
      </c>
      <c r="E496" t="s">
        <v>3413</v>
      </c>
      <c r="F496" t="s">
        <v>3867</v>
      </c>
      <c r="I496" t="s">
        <v>3833</v>
      </c>
      <c r="J496" t="s">
        <v>13857</v>
      </c>
      <c r="Q496" t="s">
        <v>26</v>
      </c>
      <c r="R496" t="s">
        <v>7</v>
      </c>
    </row>
    <row r="497" spans="1:18">
      <c r="A497">
        <v>1313</v>
      </c>
      <c r="B497" t="s">
        <v>14498</v>
      </c>
      <c r="C497">
        <v>4</v>
      </c>
      <c r="E497" t="s">
        <v>3413</v>
      </c>
      <c r="I497" t="s">
        <v>14499</v>
      </c>
      <c r="Q497" t="s">
        <v>5719</v>
      </c>
      <c r="R497" t="s">
        <v>7</v>
      </c>
    </row>
    <row r="498" spans="1:18">
      <c r="A498">
        <v>1314</v>
      </c>
      <c r="B498" t="s">
        <v>3834</v>
      </c>
      <c r="C498">
        <v>4</v>
      </c>
      <c r="E498" t="s">
        <v>3413</v>
      </c>
      <c r="F498" t="s">
        <v>3867</v>
      </c>
      <c r="I498" t="s">
        <v>1502</v>
      </c>
      <c r="J498" t="s">
        <v>13742</v>
      </c>
      <c r="Q498" t="s">
        <v>26</v>
      </c>
      <c r="R498" t="s">
        <v>7</v>
      </c>
    </row>
    <row r="499" spans="1:18">
      <c r="A499">
        <v>1315</v>
      </c>
      <c r="B499" t="s">
        <v>14500</v>
      </c>
      <c r="C499">
        <v>4</v>
      </c>
      <c r="E499" t="s">
        <v>3413</v>
      </c>
      <c r="I499" t="s">
        <v>14501</v>
      </c>
      <c r="Q499" t="s">
        <v>605</v>
      </c>
      <c r="R499" t="s">
        <v>7</v>
      </c>
    </row>
    <row r="500" spans="1:18">
      <c r="A500">
        <v>1316</v>
      </c>
      <c r="B500" t="s">
        <v>14502</v>
      </c>
      <c r="C500">
        <v>4</v>
      </c>
      <c r="E500" t="s">
        <v>3413</v>
      </c>
      <c r="I500" t="s">
        <v>14503</v>
      </c>
      <c r="Q500" t="s">
        <v>3747</v>
      </c>
      <c r="R500" t="s">
        <v>7</v>
      </c>
    </row>
    <row r="501" spans="1:18">
      <c r="A501">
        <v>1317</v>
      </c>
      <c r="B501" t="s">
        <v>14504</v>
      </c>
      <c r="C501">
        <v>4</v>
      </c>
      <c r="E501" t="s">
        <v>3413</v>
      </c>
      <c r="I501" t="s">
        <v>14505</v>
      </c>
      <c r="J501" t="s">
        <v>14506</v>
      </c>
      <c r="Q501" t="s">
        <v>53</v>
      </c>
      <c r="R501" t="s">
        <v>7</v>
      </c>
    </row>
    <row r="502" spans="1:18">
      <c r="A502">
        <v>1318</v>
      </c>
      <c r="B502" t="s">
        <v>14507</v>
      </c>
      <c r="C502">
        <v>4</v>
      </c>
      <c r="E502" t="s">
        <v>3413</v>
      </c>
      <c r="F502" t="s">
        <v>3412</v>
      </c>
      <c r="I502" t="s">
        <v>13704</v>
      </c>
      <c r="J502" t="s">
        <v>14508</v>
      </c>
      <c r="Q502" t="s">
        <v>46</v>
      </c>
      <c r="R502" t="s">
        <v>7</v>
      </c>
    </row>
    <row r="503" spans="1:18">
      <c r="A503">
        <v>1319</v>
      </c>
      <c r="B503" t="s">
        <v>14509</v>
      </c>
      <c r="C503">
        <v>4</v>
      </c>
      <c r="E503" t="s">
        <v>3413</v>
      </c>
      <c r="I503" t="s">
        <v>14510</v>
      </c>
      <c r="J503" t="s">
        <v>14511</v>
      </c>
      <c r="K503" t="s">
        <v>14512</v>
      </c>
      <c r="Q503" t="s">
        <v>50</v>
      </c>
      <c r="R503" t="s">
        <v>7</v>
      </c>
    </row>
    <row r="504" spans="1:18">
      <c r="A504">
        <v>1320</v>
      </c>
      <c r="B504" t="s">
        <v>14513</v>
      </c>
      <c r="C504">
        <v>4</v>
      </c>
      <c r="E504" t="s">
        <v>3413</v>
      </c>
      <c r="F504" t="s">
        <v>3412</v>
      </c>
      <c r="I504" t="s">
        <v>3425</v>
      </c>
      <c r="J504" t="s">
        <v>14514</v>
      </c>
      <c r="Q504" t="s">
        <v>45</v>
      </c>
      <c r="R504" t="s">
        <v>7</v>
      </c>
    </row>
    <row r="505" spans="1:18">
      <c r="A505">
        <v>1321</v>
      </c>
      <c r="B505" t="s">
        <v>14515</v>
      </c>
      <c r="C505">
        <v>4</v>
      </c>
      <c r="E505" t="s">
        <v>3413</v>
      </c>
      <c r="I505" t="s">
        <v>14516</v>
      </c>
      <c r="Q505" t="s">
        <v>175</v>
      </c>
      <c r="R505" t="s">
        <v>7</v>
      </c>
    </row>
    <row r="506" spans="1:18">
      <c r="A506">
        <v>1322</v>
      </c>
      <c r="B506" t="s">
        <v>14517</v>
      </c>
      <c r="C506">
        <v>4</v>
      </c>
      <c r="E506" t="s">
        <v>3413</v>
      </c>
      <c r="F506" t="s">
        <v>3412</v>
      </c>
      <c r="I506" t="s">
        <v>14518</v>
      </c>
      <c r="J506" t="s">
        <v>3118</v>
      </c>
      <c r="Q506" t="s">
        <v>18</v>
      </c>
      <c r="R506" t="s">
        <v>7</v>
      </c>
    </row>
    <row r="507" spans="1:18">
      <c r="A507">
        <v>1323</v>
      </c>
      <c r="B507" t="s">
        <v>14519</v>
      </c>
      <c r="C507">
        <v>4</v>
      </c>
      <c r="E507" t="s">
        <v>3413</v>
      </c>
      <c r="I507" t="s">
        <v>14520</v>
      </c>
      <c r="J507" t="s">
        <v>14521</v>
      </c>
      <c r="K507" t="s">
        <v>14178</v>
      </c>
      <c r="Q507" t="s">
        <v>31</v>
      </c>
      <c r="R507" t="s">
        <v>7</v>
      </c>
    </row>
    <row r="508" spans="1:18">
      <c r="A508">
        <v>1324</v>
      </c>
      <c r="B508" t="s">
        <v>14522</v>
      </c>
      <c r="C508">
        <v>4</v>
      </c>
      <c r="E508" t="s">
        <v>3413</v>
      </c>
      <c r="I508" t="s">
        <v>14523</v>
      </c>
      <c r="J508" t="s">
        <v>14524</v>
      </c>
      <c r="K508" t="s">
        <v>14525</v>
      </c>
      <c r="Q508" t="s">
        <v>50</v>
      </c>
      <c r="R508" t="s">
        <v>7</v>
      </c>
    </row>
    <row r="509" spans="1:18">
      <c r="A509">
        <v>1325</v>
      </c>
      <c r="B509" t="s">
        <v>14526</v>
      </c>
      <c r="C509">
        <v>4</v>
      </c>
      <c r="E509" t="s">
        <v>3413</v>
      </c>
      <c r="I509" t="s">
        <v>13670</v>
      </c>
      <c r="J509" t="s">
        <v>14527</v>
      </c>
      <c r="Q509" t="s">
        <v>605</v>
      </c>
      <c r="R509" t="s">
        <v>7</v>
      </c>
    </row>
    <row r="510" spans="1:18">
      <c r="A510">
        <v>1326</v>
      </c>
      <c r="B510" t="s">
        <v>14528</v>
      </c>
      <c r="C510">
        <v>4</v>
      </c>
      <c r="E510" t="s">
        <v>3413</v>
      </c>
      <c r="I510" t="s">
        <v>14529</v>
      </c>
      <c r="Q510" t="s">
        <v>32</v>
      </c>
      <c r="R510" t="s">
        <v>7</v>
      </c>
    </row>
    <row r="511" spans="1:18">
      <c r="A511">
        <v>1327</v>
      </c>
      <c r="B511" t="s">
        <v>14530</v>
      </c>
      <c r="C511">
        <v>4</v>
      </c>
      <c r="E511" t="s">
        <v>3413</v>
      </c>
      <c r="I511" t="s">
        <v>14531</v>
      </c>
      <c r="J511" t="s">
        <v>14532</v>
      </c>
      <c r="Q511" t="s">
        <v>168</v>
      </c>
      <c r="R511" t="s">
        <v>7</v>
      </c>
    </row>
    <row r="512" spans="1:18">
      <c r="A512">
        <v>1328</v>
      </c>
      <c r="B512" t="s">
        <v>14533</v>
      </c>
      <c r="C512">
        <v>4</v>
      </c>
      <c r="E512" t="s">
        <v>3413</v>
      </c>
      <c r="I512" t="s">
        <v>14534</v>
      </c>
      <c r="J512" t="s">
        <v>14535</v>
      </c>
      <c r="Q512" t="s">
        <v>607</v>
      </c>
      <c r="R512" t="s">
        <v>7</v>
      </c>
    </row>
    <row r="513" spans="1:18">
      <c r="A513">
        <v>1329</v>
      </c>
      <c r="B513" t="s">
        <v>14536</v>
      </c>
      <c r="C513">
        <v>4</v>
      </c>
      <c r="E513" t="s">
        <v>3413</v>
      </c>
      <c r="I513" t="s">
        <v>14537</v>
      </c>
      <c r="Q513" t="s">
        <v>605</v>
      </c>
      <c r="R513" t="s">
        <v>7</v>
      </c>
    </row>
    <row r="514" spans="1:18">
      <c r="A514">
        <v>1330</v>
      </c>
      <c r="B514" t="s">
        <v>14538</v>
      </c>
      <c r="C514" t="s">
        <v>849</v>
      </c>
      <c r="E514" t="s">
        <v>3413</v>
      </c>
      <c r="I514" t="s">
        <v>7924</v>
      </c>
      <c r="Q514" t="s">
        <v>18</v>
      </c>
      <c r="R514" t="s">
        <v>7</v>
      </c>
    </row>
    <row r="515" spans="1:18">
      <c r="A515">
        <v>1331</v>
      </c>
      <c r="B515" t="s">
        <v>14539</v>
      </c>
      <c r="C515">
        <v>4</v>
      </c>
      <c r="E515" t="s">
        <v>3413</v>
      </c>
      <c r="I515" t="s">
        <v>14540</v>
      </c>
      <c r="J515" t="s">
        <v>14541</v>
      </c>
      <c r="Q515" t="s">
        <v>28</v>
      </c>
      <c r="R515" t="s">
        <v>7</v>
      </c>
    </row>
    <row r="516" spans="1:18">
      <c r="A516">
        <v>1332</v>
      </c>
      <c r="B516" t="s">
        <v>14542</v>
      </c>
      <c r="C516">
        <v>4</v>
      </c>
      <c r="E516" t="s">
        <v>3413</v>
      </c>
      <c r="I516" t="s">
        <v>14543</v>
      </c>
      <c r="J516" t="s">
        <v>14544</v>
      </c>
      <c r="Q516" t="s">
        <v>177</v>
      </c>
      <c r="R516" t="s">
        <v>7</v>
      </c>
    </row>
    <row r="517" spans="1:18">
      <c r="A517">
        <v>1333</v>
      </c>
      <c r="B517" t="s">
        <v>4196</v>
      </c>
      <c r="C517" t="s">
        <v>1778</v>
      </c>
      <c r="E517" t="s">
        <v>3413</v>
      </c>
      <c r="I517" t="s">
        <v>899</v>
      </c>
      <c r="Q517" t="s">
        <v>1776</v>
      </c>
      <c r="R517" t="s">
        <v>7</v>
      </c>
    </row>
    <row r="518" spans="1:18">
      <c r="A518">
        <v>1334</v>
      </c>
      <c r="B518" t="s">
        <v>14545</v>
      </c>
      <c r="C518">
        <v>4</v>
      </c>
      <c r="E518" t="s">
        <v>3413</v>
      </c>
      <c r="I518" t="s">
        <v>14546</v>
      </c>
      <c r="Q518" t="s">
        <v>606</v>
      </c>
      <c r="R518" t="s">
        <v>7</v>
      </c>
    </row>
    <row r="519" spans="1:18">
      <c r="A519">
        <v>1335</v>
      </c>
      <c r="B519" t="s">
        <v>14547</v>
      </c>
      <c r="C519">
        <v>4</v>
      </c>
      <c r="E519" t="s">
        <v>3413</v>
      </c>
      <c r="I519" t="s">
        <v>67</v>
      </c>
      <c r="J519" t="s">
        <v>14548</v>
      </c>
      <c r="Q519" t="s">
        <v>10</v>
      </c>
      <c r="R519" t="s">
        <v>7</v>
      </c>
    </row>
    <row r="520" spans="1:18">
      <c r="A520">
        <v>1336</v>
      </c>
      <c r="B520" t="s">
        <v>14549</v>
      </c>
      <c r="C520">
        <v>5</v>
      </c>
      <c r="E520" t="s">
        <v>3413</v>
      </c>
      <c r="I520" t="s">
        <v>14550</v>
      </c>
      <c r="J520" t="s">
        <v>14551</v>
      </c>
      <c r="K520" t="s">
        <v>14552</v>
      </c>
      <c r="Q520" t="s">
        <v>50</v>
      </c>
      <c r="R520" t="s">
        <v>7</v>
      </c>
    </row>
    <row r="521" spans="1:18">
      <c r="A521">
        <v>1337</v>
      </c>
      <c r="B521" t="s">
        <v>3836</v>
      </c>
      <c r="C521">
        <v>5</v>
      </c>
      <c r="E521" t="s">
        <v>3413</v>
      </c>
      <c r="F521" t="s">
        <v>3867</v>
      </c>
      <c r="I521" t="s">
        <v>14553</v>
      </c>
      <c r="J521" t="s">
        <v>13857</v>
      </c>
      <c r="Q521" t="s">
        <v>26</v>
      </c>
      <c r="R521" t="s">
        <v>7</v>
      </c>
    </row>
    <row r="522" spans="1:18">
      <c r="A522">
        <v>1338</v>
      </c>
      <c r="B522" t="s">
        <v>14554</v>
      </c>
      <c r="C522">
        <v>5</v>
      </c>
      <c r="E522" t="s">
        <v>3413</v>
      </c>
      <c r="I522" t="s">
        <v>14555</v>
      </c>
      <c r="J522" t="s">
        <v>14556</v>
      </c>
      <c r="Q522" t="s">
        <v>168</v>
      </c>
      <c r="R522" t="s">
        <v>7</v>
      </c>
    </row>
    <row r="523" spans="1:18">
      <c r="A523">
        <v>1339</v>
      </c>
      <c r="B523" t="s">
        <v>14557</v>
      </c>
      <c r="C523">
        <v>5</v>
      </c>
      <c r="E523" t="s">
        <v>3413</v>
      </c>
      <c r="I523" t="s">
        <v>14558</v>
      </c>
      <c r="Q523" t="s">
        <v>3747</v>
      </c>
      <c r="R523" t="s">
        <v>7</v>
      </c>
    </row>
    <row r="524" spans="1:18">
      <c r="A524">
        <v>1340</v>
      </c>
      <c r="B524" t="s">
        <v>14559</v>
      </c>
      <c r="C524" t="s">
        <v>14560</v>
      </c>
      <c r="E524" t="s">
        <v>3413</v>
      </c>
      <c r="I524" t="s">
        <v>5099</v>
      </c>
      <c r="J524" t="s">
        <v>14561</v>
      </c>
      <c r="Q524" t="s">
        <v>606</v>
      </c>
      <c r="R524" t="s">
        <v>7</v>
      </c>
    </row>
    <row r="525" spans="1:18">
      <c r="A525">
        <v>1341</v>
      </c>
      <c r="B525" t="s">
        <v>14562</v>
      </c>
      <c r="C525">
        <v>5</v>
      </c>
      <c r="E525" t="s">
        <v>3413</v>
      </c>
      <c r="I525" t="s">
        <v>14563</v>
      </c>
      <c r="Q525" t="s">
        <v>168</v>
      </c>
      <c r="R525" t="s">
        <v>7</v>
      </c>
    </row>
    <row r="526" spans="1:18">
      <c r="A526">
        <v>1342</v>
      </c>
      <c r="B526" t="s">
        <v>4078</v>
      </c>
      <c r="C526">
        <v>5</v>
      </c>
      <c r="E526" t="s">
        <v>3413</v>
      </c>
      <c r="F526" t="s">
        <v>3412</v>
      </c>
      <c r="I526" t="s">
        <v>13577</v>
      </c>
      <c r="J526" t="s">
        <v>14564</v>
      </c>
      <c r="K526" t="s">
        <v>3410</v>
      </c>
      <c r="Q526" t="s">
        <v>176</v>
      </c>
      <c r="R526" t="s">
        <v>7</v>
      </c>
    </row>
    <row r="527" spans="1:18">
      <c r="A527">
        <v>1343</v>
      </c>
      <c r="B527" t="s">
        <v>3835</v>
      </c>
      <c r="C527">
        <v>5</v>
      </c>
      <c r="E527" t="s">
        <v>3413</v>
      </c>
      <c r="F527" t="s">
        <v>3867</v>
      </c>
      <c r="I527" t="s">
        <v>23</v>
      </c>
      <c r="J527" t="s">
        <v>13850</v>
      </c>
      <c r="Q527" t="s">
        <v>30</v>
      </c>
      <c r="R527" t="s">
        <v>7</v>
      </c>
    </row>
    <row r="528" spans="1:18">
      <c r="A528">
        <v>1344</v>
      </c>
      <c r="B528" t="s">
        <v>14565</v>
      </c>
      <c r="C528">
        <v>5</v>
      </c>
      <c r="E528" t="s">
        <v>3413</v>
      </c>
      <c r="I528" t="s">
        <v>14566</v>
      </c>
      <c r="J528" t="s">
        <v>13831</v>
      </c>
      <c r="Q528" t="s">
        <v>48</v>
      </c>
      <c r="R528" t="s">
        <v>7</v>
      </c>
    </row>
    <row r="529" spans="1:18">
      <c r="A529">
        <v>1345</v>
      </c>
      <c r="B529" t="s">
        <v>14567</v>
      </c>
      <c r="C529">
        <v>5</v>
      </c>
      <c r="E529" t="s">
        <v>3413</v>
      </c>
      <c r="I529" t="s">
        <v>14568</v>
      </c>
      <c r="J529" t="s">
        <v>14569</v>
      </c>
      <c r="Q529" t="s">
        <v>179</v>
      </c>
      <c r="R529" t="s">
        <v>7</v>
      </c>
    </row>
    <row r="530" spans="1:18">
      <c r="A530">
        <v>1346</v>
      </c>
      <c r="B530" t="s">
        <v>14570</v>
      </c>
      <c r="C530">
        <v>6</v>
      </c>
      <c r="E530" t="s">
        <v>3413</v>
      </c>
      <c r="I530" t="s">
        <v>14571</v>
      </c>
      <c r="J530" t="s">
        <v>14572</v>
      </c>
      <c r="Q530" t="s">
        <v>170</v>
      </c>
      <c r="R530" t="s">
        <v>7</v>
      </c>
    </row>
    <row r="531" spans="1:18">
      <c r="A531">
        <v>1347</v>
      </c>
      <c r="B531" t="s">
        <v>4080</v>
      </c>
      <c r="C531">
        <v>6</v>
      </c>
      <c r="E531" t="s">
        <v>3413</v>
      </c>
      <c r="F531" t="s">
        <v>3412</v>
      </c>
      <c r="I531" t="s">
        <v>13577</v>
      </c>
      <c r="J531" t="s">
        <v>14573</v>
      </c>
      <c r="K531" t="s">
        <v>3409</v>
      </c>
      <c r="Q531" t="s">
        <v>606</v>
      </c>
      <c r="R531" t="s">
        <v>7</v>
      </c>
    </row>
    <row r="532" spans="1:18">
      <c r="A532">
        <v>1348</v>
      </c>
      <c r="B532" t="s">
        <v>3838</v>
      </c>
      <c r="C532">
        <v>6</v>
      </c>
      <c r="E532" t="s">
        <v>3413</v>
      </c>
      <c r="F532" t="s">
        <v>3867</v>
      </c>
      <c r="I532" t="s">
        <v>3839</v>
      </c>
      <c r="J532" t="s">
        <v>14574</v>
      </c>
      <c r="Q532" t="s">
        <v>26</v>
      </c>
      <c r="R532" t="s">
        <v>7</v>
      </c>
    </row>
    <row r="533" spans="1:18">
      <c r="A533">
        <v>2001</v>
      </c>
      <c r="B533" t="s">
        <v>14575</v>
      </c>
      <c r="C533" t="s">
        <v>14576</v>
      </c>
      <c r="E533" t="s">
        <v>3413</v>
      </c>
      <c r="I533" t="s">
        <v>14577</v>
      </c>
      <c r="J533" t="s">
        <v>14578</v>
      </c>
      <c r="Q533" t="s">
        <v>168</v>
      </c>
      <c r="R533" t="s">
        <v>9</v>
      </c>
    </row>
    <row r="534" spans="1:18">
      <c r="A534">
        <v>2002</v>
      </c>
      <c r="B534" t="s">
        <v>14579</v>
      </c>
      <c r="C534" t="s">
        <v>14576</v>
      </c>
      <c r="E534" t="s">
        <v>3413</v>
      </c>
      <c r="I534" t="s">
        <v>14580</v>
      </c>
      <c r="J534" t="s">
        <v>14581</v>
      </c>
      <c r="Q534" t="s">
        <v>175</v>
      </c>
      <c r="R534" t="s">
        <v>9</v>
      </c>
    </row>
    <row r="535" spans="1:18">
      <c r="A535">
        <v>2003</v>
      </c>
      <c r="B535" t="s">
        <v>14582</v>
      </c>
      <c r="C535" t="s">
        <v>13891</v>
      </c>
      <c r="E535" t="s">
        <v>3413</v>
      </c>
      <c r="I535" t="s">
        <v>13670</v>
      </c>
      <c r="J535" t="s">
        <v>14583</v>
      </c>
      <c r="Q535" t="s">
        <v>605</v>
      </c>
      <c r="R535" t="s">
        <v>9</v>
      </c>
    </row>
    <row r="536" spans="1:18">
      <c r="A536">
        <v>2004</v>
      </c>
      <c r="B536" t="s">
        <v>14584</v>
      </c>
      <c r="C536" t="s">
        <v>13891</v>
      </c>
      <c r="E536" t="s">
        <v>3413</v>
      </c>
      <c r="F536" t="s">
        <v>3412</v>
      </c>
      <c r="I536" t="s">
        <v>14585</v>
      </c>
      <c r="J536" t="s">
        <v>14586</v>
      </c>
      <c r="K536" t="s">
        <v>14587</v>
      </c>
      <c r="Q536" t="s">
        <v>15</v>
      </c>
      <c r="R536" t="s">
        <v>9</v>
      </c>
    </row>
    <row r="537" spans="1:18">
      <c r="A537">
        <v>2005</v>
      </c>
      <c r="B537" t="s">
        <v>14588</v>
      </c>
      <c r="C537">
        <v>0</v>
      </c>
      <c r="E537" t="s">
        <v>3413</v>
      </c>
      <c r="I537" t="s">
        <v>14589</v>
      </c>
      <c r="J537" t="s">
        <v>14590</v>
      </c>
      <c r="Q537" t="s">
        <v>31</v>
      </c>
      <c r="R537" t="s">
        <v>9</v>
      </c>
    </row>
    <row r="538" spans="1:18">
      <c r="A538">
        <v>2006</v>
      </c>
      <c r="B538" t="s">
        <v>14591</v>
      </c>
      <c r="C538" t="s">
        <v>14592</v>
      </c>
      <c r="E538" t="s">
        <v>3413</v>
      </c>
      <c r="I538" t="s">
        <v>14593</v>
      </c>
      <c r="J538" t="s">
        <v>14594</v>
      </c>
      <c r="Q538" t="s">
        <v>40</v>
      </c>
      <c r="R538" t="s">
        <v>9</v>
      </c>
    </row>
    <row r="539" spans="1:18">
      <c r="A539">
        <v>2007</v>
      </c>
      <c r="B539" t="s">
        <v>14595</v>
      </c>
      <c r="C539">
        <v>0</v>
      </c>
      <c r="E539" t="s">
        <v>3413</v>
      </c>
      <c r="I539" t="s">
        <v>14596</v>
      </c>
      <c r="J539" t="s">
        <v>14597</v>
      </c>
      <c r="Q539" t="s">
        <v>168</v>
      </c>
      <c r="R539" t="s">
        <v>9</v>
      </c>
    </row>
    <row r="540" spans="1:18">
      <c r="A540">
        <v>2008</v>
      </c>
      <c r="B540" t="s">
        <v>14598</v>
      </c>
      <c r="C540" t="s">
        <v>13891</v>
      </c>
      <c r="E540" t="s">
        <v>3413</v>
      </c>
      <c r="I540" t="s">
        <v>14599</v>
      </c>
      <c r="J540" t="s">
        <v>14600</v>
      </c>
      <c r="Q540" t="s">
        <v>50</v>
      </c>
      <c r="R540" t="s">
        <v>9</v>
      </c>
    </row>
    <row r="541" spans="1:18">
      <c r="A541">
        <v>2009</v>
      </c>
      <c r="B541" t="s">
        <v>14601</v>
      </c>
      <c r="C541">
        <v>1</v>
      </c>
      <c r="E541" t="s">
        <v>3413</v>
      </c>
      <c r="I541" t="s">
        <v>14602</v>
      </c>
      <c r="Q541" t="s">
        <v>604</v>
      </c>
      <c r="R541" t="s">
        <v>9</v>
      </c>
    </row>
    <row r="542" spans="1:18">
      <c r="A542">
        <v>2010</v>
      </c>
      <c r="B542" t="s">
        <v>14603</v>
      </c>
      <c r="C542">
        <v>1</v>
      </c>
      <c r="E542" t="s">
        <v>3413</v>
      </c>
      <c r="I542" t="s">
        <v>14604</v>
      </c>
      <c r="Q542" t="s">
        <v>168</v>
      </c>
      <c r="R542" t="s">
        <v>9</v>
      </c>
    </row>
    <row r="543" spans="1:18">
      <c r="A543">
        <v>2011</v>
      </c>
      <c r="B543" t="s">
        <v>14605</v>
      </c>
      <c r="C543">
        <v>1</v>
      </c>
      <c r="E543" t="s">
        <v>3413</v>
      </c>
      <c r="F543" t="s">
        <v>3412</v>
      </c>
      <c r="I543" t="s">
        <v>13704</v>
      </c>
      <c r="J543" t="s">
        <v>3118</v>
      </c>
      <c r="K543" t="s">
        <v>14606</v>
      </c>
      <c r="Q543" t="s">
        <v>38</v>
      </c>
      <c r="R543" t="s">
        <v>9</v>
      </c>
    </row>
    <row r="544" spans="1:18">
      <c r="A544">
        <v>2012</v>
      </c>
      <c r="B544" t="s">
        <v>14607</v>
      </c>
      <c r="C544">
        <v>1</v>
      </c>
      <c r="E544" t="s">
        <v>3413</v>
      </c>
      <c r="I544" t="s">
        <v>14608</v>
      </c>
      <c r="J544" t="s">
        <v>14609</v>
      </c>
      <c r="Q544" t="s">
        <v>44</v>
      </c>
      <c r="R544" t="s">
        <v>9</v>
      </c>
    </row>
    <row r="545" spans="1:18">
      <c r="A545">
        <v>2013</v>
      </c>
      <c r="B545" t="s">
        <v>14610</v>
      </c>
      <c r="C545">
        <v>1</v>
      </c>
      <c r="E545" t="s">
        <v>3413</v>
      </c>
      <c r="F545" t="s">
        <v>3412</v>
      </c>
      <c r="I545" t="s">
        <v>14611</v>
      </c>
      <c r="J545" t="s">
        <v>3423</v>
      </c>
      <c r="Q545" t="s">
        <v>607</v>
      </c>
      <c r="R545" t="s">
        <v>9</v>
      </c>
    </row>
    <row r="546" spans="1:18">
      <c r="A546">
        <v>2014</v>
      </c>
      <c r="B546" t="s">
        <v>14612</v>
      </c>
      <c r="C546">
        <v>1</v>
      </c>
      <c r="E546" t="s">
        <v>3413</v>
      </c>
      <c r="F546" t="s">
        <v>3412</v>
      </c>
      <c r="I546" t="s">
        <v>14613</v>
      </c>
      <c r="J546" t="s">
        <v>4705</v>
      </c>
      <c r="Q546" t="s">
        <v>172</v>
      </c>
      <c r="R546" t="s">
        <v>9</v>
      </c>
    </row>
    <row r="547" spans="1:18">
      <c r="A547">
        <v>2015</v>
      </c>
      <c r="B547" t="s">
        <v>14614</v>
      </c>
      <c r="C547">
        <v>1</v>
      </c>
      <c r="E547" t="s">
        <v>3413</v>
      </c>
      <c r="F547" t="s">
        <v>3412</v>
      </c>
      <c r="I547" t="s">
        <v>14456</v>
      </c>
      <c r="J547" t="s">
        <v>14615</v>
      </c>
      <c r="K547" t="s">
        <v>14616</v>
      </c>
      <c r="L547" t="s">
        <v>3409</v>
      </c>
      <c r="Q547" t="s">
        <v>39</v>
      </c>
      <c r="R547" t="s">
        <v>9</v>
      </c>
    </row>
    <row r="548" spans="1:18">
      <c r="A548">
        <v>2016</v>
      </c>
      <c r="B548" t="s">
        <v>14617</v>
      </c>
      <c r="C548">
        <v>1</v>
      </c>
      <c r="E548" t="s">
        <v>3413</v>
      </c>
      <c r="I548" t="s">
        <v>14618</v>
      </c>
      <c r="J548" t="s">
        <v>14619</v>
      </c>
      <c r="Q548" t="s">
        <v>17</v>
      </c>
      <c r="R548" t="s">
        <v>9</v>
      </c>
    </row>
    <row r="549" spans="1:18">
      <c r="A549">
        <v>2017</v>
      </c>
      <c r="B549" t="s">
        <v>14620</v>
      </c>
      <c r="C549">
        <v>1</v>
      </c>
      <c r="E549" t="s">
        <v>3413</v>
      </c>
      <c r="I549" t="s">
        <v>14621</v>
      </c>
      <c r="J549" t="s">
        <v>14622</v>
      </c>
      <c r="Q549" t="s">
        <v>36</v>
      </c>
      <c r="R549" t="s">
        <v>9</v>
      </c>
    </row>
    <row r="550" spans="1:18">
      <c r="A550">
        <v>2018</v>
      </c>
      <c r="B550" t="s">
        <v>14623</v>
      </c>
      <c r="C550">
        <v>1</v>
      </c>
      <c r="E550" t="s">
        <v>3413</v>
      </c>
      <c r="I550" t="s">
        <v>14624</v>
      </c>
      <c r="J550" t="s">
        <v>14625</v>
      </c>
      <c r="Q550" t="s">
        <v>5</v>
      </c>
      <c r="R550" t="s">
        <v>9</v>
      </c>
    </row>
    <row r="551" spans="1:18">
      <c r="A551">
        <v>2019</v>
      </c>
      <c r="B551" t="s">
        <v>14626</v>
      </c>
      <c r="C551">
        <v>1</v>
      </c>
      <c r="E551" t="s">
        <v>3413</v>
      </c>
      <c r="F551" t="s">
        <v>3412</v>
      </c>
      <c r="I551" t="s">
        <v>14627</v>
      </c>
      <c r="J551" t="s">
        <v>13494</v>
      </c>
      <c r="Q551" t="s">
        <v>48</v>
      </c>
      <c r="R551" t="s">
        <v>9</v>
      </c>
    </row>
    <row r="552" spans="1:18">
      <c r="A552">
        <v>2020</v>
      </c>
      <c r="B552" t="s">
        <v>14628</v>
      </c>
      <c r="C552">
        <v>1</v>
      </c>
      <c r="E552" t="s">
        <v>3413</v>
      </c>
      <c r="I552" t="s">
        <v>14629</v>
      </c>
      <c r="J552" t="s">
        <v>14630</v>
      </c>
      <c r="Q552" t="s">
        <v>6</v>
      </c>
      <c r="R552" t="s">
        <v>9</v>
      </c>
    </row>
    <row r="553" spans="1:18">
      <c r="A553">
        <v>2021</v>
      </c>
      <c r="B553" t="s">
        <v>14631</v>
      </c>
      <c r="C553">
        <v>1</v>
      </c>
      <c r="E553" t="s">
        <v>3413</v>
      </c>
      <c r="I553" t="s">
        <v>14632</v>
      </c>
      <c r="J553" t="s">
        <v>14633</v>
      </c>
      <c r="Q553" t="s">
        <v>14</v>
      </c>
      <c r="R553" t="s">
        <v>9</v>
      </c>
    </row>
    <row r="554" spans="1:18">
      <c r="A554">
        <v>2022</v>
      </c>
      <c r="B554" t="s">
        <v>14634</v>
      </c>
      <c r="C554">
        <v>1</v>
      </c>
      <c r="E554" t="s">
        <v>3413</v>
      </c>
      <c r="F554" t="s">
        <v>3412</v>
      </c>
      <c r="I554" t="s">
        <v>14635</v>
      </c>
      <c r="J554" t="s">
        <v>3409</v>
      </c>
      <c r="Q554" t="s">
        <v>37</v>
      </c>
      <c r="R554" t="s">
        <v>9</v>
      </c>
    </row>
    <row r="555" spans="1:18">
      <c r="A555">
        <v>2023</v>
      </c>
      <c r="B555" t="s">
        <v>14636</v>
      </c>
      <c r="C555">
        <v>1</v>
      </c>
      <c r="E555" t="s">
        <v>3413</v>
      </c>
      <c r="I555" t="s">
        <v>14637</v>
      </c>
      <c r="Q555" t="s">
        <v>178</v>
      </c>
      <c r="R555" t="s">
        <v>9</v>
      </c>
    </row>
    <row r="556" spans="1:18">
      <c r="A556">
        <v>2024</v>
      </c>
      <c r="B556" t="s">
        <v>13969</v>
      </c>
      <c r="C556">
        <v>1</v>
      </c>
      <c r="E556" t="s">
        <v>3413</v>
      </c>
      <c r="I556" t="s">
        <v>13970</v>
      </c>
      <c r="J556" t="s">
        <v>13971</v>
      </c>
      <c r="Q556" t="s">
        <v>768</v>
      </c>
      <c r="R556" t="s">
        <v>9</v>
      </c>
    </row>
    <row r="557" spans="1:18">
      <c r="A557">
        <v>2025</v>
      </c>
      <c r="B557" t="s">
        <v>14638</v>
      </c>
      <c r="C557">
        <v>1</v>
      </c>
      <c r="E557" t="s">
        <v>3413</v>
      </c>
      <c r="I557" t="s">
        <v>14639</v>
      </c>
      <c r="J557" t="s">
        <v>14640</v>
      </c>
      <c r="Q557" t="s">
        <v>11</v>
      </c>
      <c r="R557" t="s">
        <v>9</v>
      </c>
    </row>
    <row r="558" spans="1:18">
      <c r="A558">
        <v>2026</v>
      </c>
      <c r="B558" t="s">
        <v>14641</v>
      </c>
      <c r="C558">
        <v>1</v>
      </c>
      <c r="E558" t="s">
        <v>3413</v>
      </c>
      <c r="F558" t="s">
        <v>3412</v>
      </c>
      <c r="I558" t="s">
        <v>14642</v>
      </c>
      <c r="J558" t="s">
        <v>3409</v>
      </c>
      <c r="Q558" t="s">
        <v>604</v>
      </c>
      <c r="R558" t="s">
        <v>9</v>
      </c>
    </row>
    <row r="559" spans="1:18">
      <c r="A559">
        <v>2027</v>
      </c>
      <c r="B559" t="s">
        <v>14643</v>
      </c>
      <c r="C559">
        <v>1</v>
      </c>
      <c r="E559" t="s">
        <v>3413</v>
      </c>
      <c r="I559" t="s">
        <v>14644</v>
      </c>
      <c r="Q559" t="s">
        <v>38</v>
      </c>
      <c r="R559" t="s">
        <v>9</v>
      </c>
    </row>
    <row r="560" spans="1:18">
      <c r="A560">
        <v>2028</v>
      </c>
      <c r="B560" t="s">
        <v>14645</v>
      </c>
      <c r="C560">
        <v>1</v>
      </c>
      <c r="E560" t="s">
        <v>3413</v>
      </c>
      <c r="I560" t="s">
        <v>14646</v>
      </c>
      <c r="J560" t="s">
        <v>14647</v>
      </c>
      <c r="Q560" t="s">
        <v>26</v>
      </c>
      <c r="R560" t="s">
        <v>9</v>
      </c>
    </row>
    <row r="561" spans="1:18">
      <c r="A561">
        <v>2029</v>
      </c>
      <c r="B561" t="s">
        <v>14648</v>
      </c>
      <c r="C561">
        <v>2</v>
      </c>
      <c r="E561" t="s">
        <v>14265</v>
      </c>
      <c r="F561" t="s">
        <v>3412</v>
      </c>
      <c r="I561" t="s">
        <v>14649</v>
      </c>
      <c r="J561" t="s">
        <v>14650</v>
      </c>
      <c r="K561" t="s">
        <v>14651</v>
      </c>
      <c r="L561" t="s">
        <v>14652</v>
      </c>
      <c r="O561" t="s">
        <v>12405</v>
      </c>
      <c r="P561" t="s">
        <v>3409</v>
      </c>
      <c r="Q561" t="s">
        <v>183</v>
      </c>
      <c r="R561" t="s">
        <v>9</v>
      </c>
    </row>
    <row r="562" spans="1:18">
      <c r="A562">
        <v>2030</v>
      </c>
      <c r="B562" t="s">
        <v>14653</v>
      </c>
      <c r="C562">
        <v>2</v>
      </c>
      <c r="E562" t="s">
        <v>3413</v>
      </c>
      <c r="I562" t="s">
        <v>14654</v>
      </c>
      <c r="P562" t="s">
        <v>153</v>
      </c>
      <c r="Q562" t="s">
        <v>30</v>
      </c>
      <c r="R562" t="s">
        <v>9</v>
      </c>
    </row>
    <row r="563" spans="1:18">
      <c r="A563">
        <v>2031</v>
      </c>
      <c r="B563" t="s">
        <v>14655</v>
      </c>
      <c r="C563">
        <v>0</v>
      </c>
      <c r="E563" t="s">
        <v>3736</v>
      </c>
      <c r="I563" t="s">
        <v>14656</v>
      </c>
      <c r="J563" t="s">
        <v>293</v>
      </c>
      <c r="K563" t="s">
        <v>14657</v>
      </c>
      <c r="P563" t="s">
        <v>153</v>
      </c>
      <c r="Q563" t="s">
        <v>30</v>
      </c>
      <c r="R563" t="s">
        <v>9</v>
      </c>
    </row>
    <row r="564" spans="1:18">
      <c r="A564">
        <v>2032</v>
      </c>
      <c r="B564" t="s">
        <v>14658</v>
      </c>
      <c r="C564">
        <v>2</v>
      </c>
      <c r="E564" t="s">
        <v>14265</v>
      </c>
      <c r="F564" t="s">
        <v>3412</v>
      </c>
      <c r="I564" t="s">
        <v>14659</v>
      </c>
      <c r="J564" t="s">
        <v>14660</v>
      </c>
      <c r="K564" t="s">
        <v>14661</v>
      </c>
      <c r="Q564" t="s">
        <v>5719</v>
      </c>
      <c r="R564" t="s">
        <v>9</v>
      </c>
    </row>
    <row r="565" spans="1:18">
      <c r="A565">
        <v>2033</v>
      </c>
      <c r="B565" t="s">
        <v>14662</v>
      </c>
      <c r="C565">
        <v>2</v>
      </c>
      <c r="E565" t="s">
        <v>3413</v>
      </c>
      <c r="F565" t="s">
        <v>3412</v>
      </c>
      <c r="I565" t="s">
        <v>13704</v>
      </c>
      <c r="J565" t="s">
        <v>14663</v>
      </c>
      <c r="K565" t="s">
        <v>3410</v>
      </c>
      <c r="Q565" t="s">
        <v>168</v>
      </c>
      <c r="R565" t="s">
        <v>9</v>
      </c>
    </row>
    <row r="566" spans="1:18">
      <c r="A566">
        <v>2034</v>
      </c>
      <c r="B566" t="s">
        <v>14664</v>
      </c>
      <c r="C566">
        <v>2</v>
      </c>
      <c r="E566" t="s">
        <v>3413</v>
      </c>
      <c r="I566" t="s">
        <v>14665</v>
      </c>
      <c r="Q566" t="s">
        <v>174</v>
      </c>
      <c r="R566" t="s">
        <v>9</v>
      </c>
    </row>
    <row r="567" spans="1:18">
      <c r="A567">
        <v>2035</v>
      </c>
      <c r="B567" t="s">
        <v>14666</v>
      </c>
      <c r="C567">
        <v>2</v>
      </c>
      <c r="E567" t="s">
        <v>14265</v>
      </c>
      <c r="F567" t="s">
        <v>3412</v>
      </c>
      <c r="I567" t="s">
        <v>3408</v>
      </c>
      <c r="J567" t="s">
        <v>14667</v>
      </c>
      <c r="K567" t="s">
        <v>3409</v>
      </c>
      <c r="Q567" t="s">
        <v>48</v>
      </c>
      <c r="R567" t="s">
        <v>9</v>
      </c>
    </row>
    <row r="568" spans="1:18">
      <c r="A568">
        <v>2036</v>
      </c>
      <c r="B568" t="s">
        <v>14668</v>
      </c>
      <c r="C568">
        <v>2</v>
      </c>
      <c r="E568" t="s">
        <v>3413</v>
      </c>
      <c r="I568" t="s">
        <v>14669</v>
      </c>
      <c r="Q568" t="s">
        <v>31</v>
      </c>
      <c r="R568" t="s">
        <v>9</v>
      </c>
    </row>
    <row r="569" spans="1:18">
      <c r="A569">
        <v>2037</v>
      </c>
      <c r="B569" t="s">
        <v>14670</v>
      </c>
      <c r="C569">
        <v>2</v>
      </c>
      <c r="E569" t="s">
        <v>3413</v>
      </c>
      <c r="F569" t="s">
        <v>3412</v>
      </c>
      <c r="I569" t="s">
        <v>14671</v>
      </c>
      <c r="J569" t="s">
        <v>13824</v>
      </c>
      <c r="K569" t="s">
        <v>14672</v>
      </c>
      <c r="L569" t="s">
        <v>3409</v>
      </c>
      <c r="P569" t="s">
        <v>153</v>
      </c>
      <c r="Q569" t="s">
        <v>30</v>
      </c>
      <c r="R569" t="s">
        <v>9</v>
      </c>
    </row>
    <row r="570" spans="1:18">
      <c r="A570">
        <v>2038</v>
      </c>
      <c r="B570" t="s">
        <v>14673</v>
      </c>
      <c r="C570">
        <v>0</v>
      </c>
      <c r="E570" t="s">
        <v>3736</v>
      </c>
      <c r="I570" t="s">
        <v>14674</v>
      </c>
      <c r="J570" t="s">
        <v>14675</v>
      </c>
      <c r="P570" t="s">
        <v>153</v>
      </c>
      <c r="Q570" t="s">
        <v>30</v>
      </c>
      <c r="R570" t="s">
        <v>9</v>
      </c>
    </row>
    <row r="571" spans="1:18">
      <c r="A571">
        <v>2039</v>
      </c>
      <c r="B571" t="s">
        <v>14676</v>
      </c>
      <c r="C571">
        <v>2</v>
      </c>
      <c r="E571" t="s">
        <v>3413</v>
      </c>
      <c r="F571" t="s">
        <v>3412</v>
      </c>
      <c r="I571" t="s">
        <v>14677</v>
      </c>
      <c r="J571" t="s">
        <v>3409</v>
      </c>
      <c r="Q571" t="s">
        <v>168</v>
      </c>
      <c r="R571" t="s">
        <v>9</v>
      </c>
    </row>
    <row r="572" spans="1:18">
      <c r="A572">
        <v>2040</v>
      </c>
      <c r="B572" t="s">
        <v>4267</v>
      </c>
      <c r="C572" t="s">
        <v>1829</v>
      </c>
      <c r="E572" t="s">
        <v>3413</v>
      </c>
      <c r="I572" t="s">
        <v>4268</v>
      </c>
      <c r="Q572" t="s">
        <v>1776</v>
      </c>
      <c r="R572" t="s">
        <v>9</v>
      </c>
    </row>
    <row r="573" spans="1:18">
      <c r="A573">
        <v>2041</v>
      </c>
      <c r="B573" t="s">
        <v>14678</v>
      </c>
      <c r="C573">
        <v>2</v>
      </c>
      <c r="E573" t="s">
        <v>3413</v>
      </c>
      <c r="I573" t="s">
        <v>14679</v>
      </c>
      <c r="J573" t="s">
        <v>14680</v>
      </c>
      <c r="Q573" t="s">
        <v>46</v>
      </c>
      <c r="R573" t="s">
        <v>9</v>
      </c>
    </row>
    <row r="574" spans="1:18">
      <c r="A574">
        <v>2042</v>
      </c>
      <c r="B574" t="s">
        <v>14681</v>
      </c>
      <c r="C574">
        <v>2</v>
      </c>
      <c r="E574" t="s">
        <v>3413</v>
      </c>
      <c r="I574" t="s">
        <v>14682</v>
      </c>
      <c r="J574" t="s">
        <v>14683</v>
      </c>
      <c r="P574" t="s">
        <v>153</v>
      </c>
      <c r="Q574" t="s">
        <v>30</v>
      </c>
      <c r="R574" t="s">
        <v>9</v>
      </c>
    </row>
    <row r="575" spans="1:18">
      <c r="A575">
        <v>2043</v>
      </c>
      <c r="B575" t="s">
        <v>14684</v>
      </c>
      <c r="C575">
        <v>0</v>
      </c>
      <c r="E575" t="s">
        <v>3736</v>
      </c>
      <c r="I575" t="s">
        <v>14685</v>
      </c>
      <c r="J575" t="s">
        <v>293</v>
      </c>
      <c r="K575" t="s">
        <v>14686</v>
      </c>
      <c r="P575" t="s">
        <v>153</v>
      </c>
      <c r="Q575" t="s">
        <v>30</v>
      </c>
      <c r="R575" t="s">
        <v>9</v>
      </c>
    </row>
    <row r="576" spans="1:18">
      <c r="A576">
        <v>2044</v>
      </c>
      <c r="B576" t="s">
        <v>14687</v>
      </c>
      <c r="C576">
        <v>2</v>
      </c>
      <c r="E576" t="s">
        <v>3413</v>
      </c>
      <c r="I576" t="s">
        <v>14688</v>
      </c>
      <c r="Q576" t="s">
        <v>179</v>
      </c>
      <c r="R576" t="s">
        <v>9</v>
      </c>
    </row>
    <row r="577" spans="1:18">
      <c r="A577">
        <v>2045</v>
      </c>
      <c r="B577" t="s">
        <v>14689</v>
      </c>
      <c r="C577">
        <v>2</v>
      </c>
      <c r="E577" t="s">
        <v>14265</v>
      </c>
      <c r="I577" t="s">
        <v>14690</v>
      </c>
      <c r="Q577" t="s">
        <v>17</v>
      </c>
      <c r="R577" t="s">
        <v>9</v>
      </c>
    </row>
    <row r="578" spans="1:18">
      <c r="A578">
        <v>2046</v>
      </c>
      <c r="B578" t="s">
        <v>14691</v>
      </c>
      <c r="C578">
        <v>2</v>
      </c>
      <c r="E578" t="s">
        <v>3413</v>
      </c>
      <c r="I578" t="s">
        <v>14692</v>
      </c>
      <c r="Q578" t="s">
        <v>168</v>
      </c>
      <c r="R578" t="s">
        <v>9</v>
      </c>
    </row>
    <row r="579" spans="1:18">
      <c r="A579">
        <v>2047</v>
      </c>
      <c r="B579" t="s">
        <v>14693</v>
      </c>
      <c r="C579">
        <v>2</v>
      </c>
      <c r="E579" t="s">
        <v>3413</v>
      </c>
      <c r="F579" t="s">
        <v>3412</v>
      </c>
      <c r="I579" t="s">
        <v>14694</v>
      </c>
      <c r="J579" t="s">
        <v>3118</v>
      </c>
      <c r="Q579" t="s">
        <v>5</v>
      </c>
      <c r="R579" t="s">
        <v>9</v>
      </c>
    </row>
    <row r="580" spans="1:18">
      <c r="A580">
        <v>2048</v>
      </c>
      <c r="B580" t="s">
        <v>14695</v>
      </c>
      <c r="C580">
        <v>2</v>
      </c>
      <c r="E580" t="s">
        <v>3413</v>
      </c>
      <c r="I580" t="s">
        <v>14696</v>
      </c>
      <c r="Q580" t="s">
        <v>175</v>
      </c>
      <c r="R580" t="s">
        <v>9</v>
      </c>
    </row>
    <row r="581" spans="1:18">
      <c r="A581">
        <v>2049</v>
      </c>
      <c r="B581" t="s">
        <v>14697</v>
      </c>
      <c r="C581">
        <v>2</v>
      </c>
      <c r="E581" t="s">
        <v>3413</v>
      </c>
      <c r="I581" t="s">
        <v>14698</v>
      </c>
      <c r="J581" t="s">
        <v>14699</v>
      </c>
      <c r="K581" t="s">
        <v>14700</v>
      </c>
      <c r="Q581" t="s">
        <v>8</v>
      </c>
      <c r="R581" t="s">
        <v>9</v>
      </c>
    </row>
    <row r="582" spans="1:18">
      <c r="A582">
        <v>2050</v>
      </c>
      <c r="B582" t="s">
        <v>14701</v>
      </c>
      <c r="C582">
        <v>2</v>
      </c>
      <c r="E582" t="s">
        <v>3413</v>
      </c>
      <c r="I582" t="s">
        <v>14702</v>
      </c>
      <c r="Q582" t="s">
        <v>182</v>
      </c>
      <c r="R582" t="s">
        <v>9</v>
      </c>
    </row>
    <row r="583" spans="1:18">
      <c r="A583">
        <v>2051</v>
      </c>
      <c r="B583" t="s">
        <v>14703</v>
      </c>
      <c r="C583">
        <v>2</v>
      </c>
      <c r="E583" t="s">
        <v>3413</v>
      </c>
      <c r="I583" t="s">
        <v>14704</v>
      </c>
      <c r="Q583" t="s">
        <v>168</v>
      </c>
      <c r="R583" t="s">
        <v>9</v>
      </c>
    </row>
    <row r="584" spans="1:18">
      <c r="A584">
        <v>2052</v>
      </c>
      <c r="B584" t="s">
        <v>14705</v>
      </c>
      <c r="C584">
        <v>2</v>
      </c>
      <c r="E584" t="s">
        <v>14265</v>
      </c>
      <c r="F584" t="s">
        <v>3412</v>
      </c>
      <c r="I584" t="s">
        <v>14706</v>
      </c>
      <c r="J584" t="s">
        <v>14707</v>
      </c>
      <c r="K584" t="s">
        <v>14708</v>
      </c>
      <c r="L584" t="s">
        <v>3409</v>
      </c>
      <c r="Q584" t="s">
        <v>175</v>
      </c>
      <c r="R584" t="s">
        <v>9</v>
      </c>
    </row>
    <row r="585" spans="1:18">
      <c r="A585">
        <v>2053</v>
      </c>
      <c r="B585" t="s">
        <v>14709</v>
      </c>
      <c r="C585">
        <v>2</v>
      </c>
      <c r="E585" t="s">
        <v>3413</v>
      </c>
      <c r="I585" t="s">
        <v>14710</v>
      </c>
      <c r="J585" t="s">
        <v>14711</v>
      </c>
      <c r="Q585" t="s">
        <v>46</v>
      </c>
      <c r="R585" t="s">
        <v>9</v>
      </c>
    </row>
    <row r="586" spans="1:18">
      <c r="A586">
        <v>2054</v>
      </c>
      <c r="B586" t="s">
        <v>14712</v>
      </c>
      <c r="C586">
        <v>2</v>
      </c>
      <c r="E586" t="s">
        <v>3413</v>
      </c>
      <c r="I586" t="s">
        <v>14713</v>
      </c>
      <c r="J586" t="s">
        <v>14714</v>
      </c>
      <c r="Q586" t="s">
        <v>30</v>
      </c>
      <c r="R586" t="s">
        <v>9</v>
      </c>
    </row>
    <row r="587" spans="1:18">
      <c r="A587">
        <v>2055</v>
      </c>
      <c r="B587" t="s">
        <v>14715</v>
      </c>
      <c r="C587">
        <v>2</v>
      </c>
      <c r="E587" t="s">
        <v>3413</v>
      </c>
      <c r="F587" t="s">
        <v>3412</v>
      </c>
      <c r="I587" t="s">
        <v>14716</v>
      </c>
      <c r="J587" t="s">
        <v>3409</v>
      </c>
      <c r="Q587" t="s">
        <v>50</v>
      </c>
      <c r="R587" t="s">
        <v>9</v>
      </c>
    </row>
    <row r="588" spans="1:18">
      <c r="A588">
        <v>2056</v>
      </c>
      <c r="B588" t="s">
        <v>14717</v>
      </c>
      <c r="C588">
        <v>2</v>
      </c>
      <c r="E588" t="s">
        <v>3413</v>
      </c>
      <c r="I588" t="s">
        <v>14718</v>
      </c>
      <c r="J588" t="s">
        <v>14719</v>
      </c>
      <c r="Q588" t="s">
        <v>180</v>
      </c>
      <c r="R588" t="s">
        <v>9</v>
      </c>
    </row>
    <row r="589" spans="1:18">
      <c r="A589">
        <v>2057</v>
      </c>
      <c r="B589" t="s">
        <v>14720</v>
      </c>
      <c r="C589">
        <v>2</v>
      </c>
      <c r="E589" t="s">
        <v>3413</v>
      </c>
      <c r="I589" t="s">
        <v>14721</v>
      </c>
      <c r="Q589" t="s">
        <v>169</v>
      </c>
      <c r="R589" t="s">
        <v>9</v>
      </c>
    </row>
    <row r="590" spans="1:18">
      <c r="A590">
        <v>2058</v>
      </c>
      <c r="B590" t="s">
        <v>14722</v>
      </c>
      <c r="C590">
        <v>2</v>
      </c>
      <c r="E590" t="s">
        <v>3413</v>
      </c>
      <c r="I590" t="s">
        <v>14723</v>
      </c>
      <c r="Q590" t="s">
        <v>171</v>
      </c>
      <c r="R590" t="s">
        <v>9</v>
      </c>
    </row>
    <row r="591" spans="1:18">
      <c r="A591">
        <v>2059</v>
      </c>
      <c r="B591" t="s">
        <v>14724</v>
      </c>
      <c r="C591">
        <v>2</v>
      </c>
      <c r="E591" t="s">
        <v>3413</v>
      </c>
      <c r="I591" t="s">
        <v>520</v>
      </c>
      <c r="Q591" t="s">
        <v>5281</v>
      </c>
      <c r="R591" t="s">
        <v>9</v>
      </c>
    </row>
    <row r="592" spans="1:18">
      <c r="A592">
        <v>2060</v>
      </c>
      <c r="B592" t="s">
        <v>14725</v>
      </c>
      <c r="C592" t="s">
        <v>1181</v>
      </c>
      <c r="E592" t="s">
        <v>3413</v>
      </c>
      <c r="I592" t="s">
        <v>14726</v>
      </c>
      <c r="Q592" t="s">
        <v>18</v>
      </c>
      <c r="R592" t="s">
        <v>9</v>
      </c>
    </row>
    <row r="593" spans="1:18">
      <c r="A593">
        <v>2061</v>
      </c>
      <c r="B593" t="s">
        <v>3840</v>
      </c>
      <c r="C593">
        <v>2</v>
      </c>
      <c r="E593" t="s">
        <v>3413</v>
      </c>
      <c r="F593" t="s">
        <v>3867</v>
      </c>
      <c r="I593" t="s">
        <v>1</v>
      </c>
      <c r="J593" t="s">
        <v>3841</v>
      </c>
      <c r="K593" t="s">
        <v>13742</v>
      </c>
      <c r="Q593" t="s">
        <v>26</v>
      </c>
      <c r="R593" t="s">
        <v>9</v>
      </c>
    </row>
    <row r="594" spans="1:18">
      <c r="A594">
        <v>2062</v>
      </c>
      <c r="B594" t="s">
        <v>3842</v>
      </c>
      <c r="C594">
        <v>2</v>
      </c>
      <c r="E594" t="s">
        <v>3413</v>
      </c>
      <c r="F594" t="s">
        <v>3867</v>
      </c>
      <c r="I594" t="s">
        <v>3843</v>
      </c>
      <c r="J594" t="s">
        <v>13850</v>
      </c>
      <c r="Q594" t="s">
        <v>30</v>
      </c>
      <c r="R594" t="s">
        <v>9</v>
      </c>
    </row>
    <row r="595" spans="1:18">
      <c r="A595">
        <v>2063</v>
      </c>
      <c r="B595" t="s">
        <v>14727</v>
      </c>
      <c r="C595">
        <v>2</v>
      </c>
      <c r="E595" t="s">
        <v>3413</v>
      </c>
      <c r="F595" t="s">
        <v>3412</v>
      </c>
      <c r="I595" t="s">
        <v>14728</v>
      </c>
      <c r="J595" t="s">
        <v>3409</v>
      </c>
      <c r="Q595" t="s">
        <v>5381</v>
      </c>
      <c r="R595" t="s">
        <v>9</v>
      </c>
    </row>
    <row r="596" spans="1:18">
      <c r="A596">
        <v>2064</v>
      </c>
      <c r="B596" t="s">
        <v>14729</v>
      </c>
      <c r="C596">
        <v>2</v>
      </c>
      <c r="E596" t="s">
        <v>3413</v>
      </c>
      <c r="I596" t="s">
        <v>14730</v>
      </c>
      <c r="J596" t="s">
        <v>14731</v>
      </c>
      <c r="Q596" t="s">
        <v>172</v>
      </c>
      <c r="R596" t="s">
        <v>9</v>
      </c>
    </row>
    <row r="597" spans="1:18">
      <c r="A597">
        <v>2065</v>
      </c>
      <c r="B597" t="s">
        <v>14732</v>
      </c>
      <c r="C597">
        <v>2</v>
      </c>
      <c r="E597" t="s">
        <v>3413</v>
      </c>
      <c r="I597" t="s">
        <v>14733</v>
      </c>
      <c r="J597" t="s">
        <v>14734</v>
      </c>
      <c r="Q597" t="s">
        <v>183</v>
      </c>
      <c r="R597" t="s">
        <v>9</v>
      </c>
    </row>
    <row r="598" spans="1:18">
      <c r="A598">
        <v>2066</v>
      </c>
      <c r="B598" t="s">
        <v>14735</v>
      </c>
      <c r="C598">
        <v>2</v>
      </c>
      <c r="E598" t="s">
        <v>3413</v>
      </c>
      <c r="F598" t="s">
        <v>14736</v>
      </c>
      <c r="I598" t="s">
        <v>14737</v>
      </c>
      <c r="J598" t="s">
        <v>14738</v>
      </c>
      <c r="K598" t="s">
        <v>14739</v>
      </c>
      <c r="Q598" t="s">
        <v>34</v>
      </c>
      <c r="R598" t="s">
        <v>9</v>
      </c>
    </row>
    <row r="599" spans="1:18">
      <c r="A599">
        <v>2067</v>
      </c>
      <c r="B599" t="s">
        <v>14740</v>
      </c>
      <c r="C599">
        <v>2</v>
      </c>
      <c r="E599" t="s">
        <v>14265</v>
      </c>
      <c r="I599" t="s">
        <v>14741</v>
      </c>
      <c r="Q599" t="s">
        <v>168</v>
      </c>
      <c r="R599" t="s">
        <v>9</v>
      </c>
    </row>
    <row r="600" spans="1:18">
      <c r="A600">
        <v>2068</v>
      </c>
      <c r="B600" t="s">
        <v>14742</v>
      </c>
      <c r="C600">
        <v>2</v>
      </c>
      <c r="E600" t="s">
        <v>3413</v>
      </c>
      <c r="I600" t="s">
        <v>14743</v>
      </c>
      <c r="J600" t="s">
        <v>14744</v>
      </c>
      <c r="Q600" t="s">
        <v>53</v>
      </c>
      <c r="R600" t="s">
        <v>9</v>
      </c>
    </row>
    <row r="601" spans="1:18">
      <c r="A601">
        <v>2069</v>
      </c>
      <c r="B601" t="s">
        <v>14745</v>
      </c>
      <c r="C601">
        <v>2</v>
      </c>
      <c r="E601" t="s">
        <v>3413</v>
      </c>
      <c r="I601" t="s">
        <v>14746</v>
      </c>
      <c r="Q601" t="s">
        <v>5281</v>
      </c>
      <c r="R601" t="s">
        <v>9</v>
      </c>
    </row>
    <row r="602" spans="1:18">
      <c r="A602">
        <v>2070</v>
      </c>
      <c r="B602" t="s">
        <v>14234</v>
      </c>
      <c r="C602">
        <v>2</v>
      </c>
      <c r="E602" t="s">
        <v>3413</v>
      </c>
      <c r="I602" t="s">
        <v>14235</v>
      </c>
      <c r="Q602" t="s">
        <v>169</v>
      </c>
      <c r="R602" t="s">
        <v>9</v>
      </c>
    </row>
    <row r="603" spans="1:18">
      <c r="A603">
        <v>2071</v>
      </c>
      <c r="B603" t="s">
        <v>14747</v>
      </c>
      <c r="C603">
        <v>2</v>
      </c>
      <c r="E603" t="s">
        <v>3413</v>
      </c>
      <c r="I603" t="s">
        <v>507</v>
      </c>
      <c r="Q603" t="s">
        <v>606</v>
      </c>
      <c r="R603" t="s">
        <v>9</v>
      </c>
    </row>
    <row r="604" spans="1:18">
      <c r="A604">
        <v>2072</v>
      </c>
      <c r="B604" t="s">
        <v>14748</v>
      </c>
      <c r="C604">
        <v>2</v>
      </c>
      <c r="E604" t="s">
        <v>3413</v>
      </c>
      <c r="F604" t="s">
        <v>3412</v>
      </c>
      <c r="I604" t="s">
        <v>14749</v>
      </c>
      <c r="J604" t="s">
        <v>3409</v>
      </c>
      <c r="Q604" t="s">
        <v>45</v>
      </c>
      <c r="R604" t="s">
        <v>9</v>
      </c>
    </row>
    <row r="605" spans="1:18">
      <c r="A605">
        <v>2073</v>
      </c>
      <c r="B605" t="s">
        <v>14750</v>
      </c>
      <c r="C605">
        <v>2</v>
      </c>
      <c r="E605" t="s">
        <v>3413</v>
      </c>
      <c r="I605" t="s">
        <v>14751</v>
      </c>
      <c r="Q605" t="s">
        <v>180</v>
      </c>
      <c r="R605" t="s">
        <v>9</v>
      </c>
    </row>
    <row r="606" spans="1:18">
      <c r="A606">
        <v>2074</v>
      </c>
      <c r="B606" t="s">
        <v>14752</v>
      </c>
      <c r="C606">
        <v>2</v>
      </c>
      <c r="E606" t="s">
        <v>3413</v>
      </c>
      <c r="F606" t="s">
        <v>3412</v>
      </c>
      <c r="I606" t="s">
        <v>13493</v>
      </c>
      <c r="J606" t="s">
        <v>14753</v>
      </c>
      <c r="K606" t="s">
        <v>3423</v>
      </c>
      <c r="Q606" t="s">
        <v>37</v>
      </c>
      <c r="R606" t="s">
        <v>9</v>
      </c>
    </row>
    <row r="607" spans="1:18">
      <c r="A607">
        <v>2075</v>
      </c>
      <c r="B607" t="s">
        <v>14754</v>
      </c>
      <c r="C607">
        <v>2</v>
      </c>
      <c r="E607" t="s">
        <v>3413</v>
      </c>
      <c r="I607" t="s">
        <v>14755</v>
      </c>
      <c r="Q607" t="s">
        <v>173</v>
      </c>
      <c r="R607" t="s">
        <v>9</v>
      </c>
    </row>
    <row r="608" spans="1:18">
      <c r="A608">
        <v>2076</v>
      </c>
      <c r="B608" t="s">
        <v>14756</v>
      </c>
      <c r="C608">
        <v>2</v>
      </c>
      <c r="E608" t="s">
        <v>3413</v>
      </c>
      <c r="I608" t="s">
        <v>14757</v>
      </c>
      <c r="J608" t="s">
        <v>14758</v>
      </c>
      <c r="Q608" t="s">
        <v>178</v>
      </c>
      <c r="R608" t="s">
        <v>9</v>
      </c>
    </row>
    <row r="609" spans="1:18">
      <c r="A609">
        <v>2077</v>
      </c>
      <c r="B609" t="s">
        <v>14759</v>
      </c>
      <c r="C609">
        <v>2</v>
      </c>
      <c r="E609" t="s">
        <v>3413</v>
      </c>
      <c r="I609" t="s">
        <v>14760</v>
      </c>
      <c r="Q609" t="s">
        <v>168</v>
      </c>
      <c r="R609" t="s">
        <v>9</v>
      </c>
    </row>
    <row r="610" spans="1:18">
      <c r="A610">
        <v>2078</v>
      </c>
      <c r="B610" t="s">
        <v>14761</v>
      </c>
      <c r="C610">
        <v>2</v>
      </c>
      <c r="E610" t="s">
        <v>3413</v>
      </c>
      <c r="F610" t="s">
        <v>3412</v>
      </c>
      <c r="I610" t="s">
        <v>14762</v>
      </c>
      <c r="J610" t="s">
        <v>14763</v>
      </c>
      <c r="K610" t="s">
        <v>3410</v>
      </c>
      <c r="Q610" t="s">
        <v>50</v>
      </c>
      <c r="R610" t="s">
        <v>9</v>
      </c>
    </row>
    <row r="611" spans="1:18">
      <c r="A611">
        <v>2079</v>
      </c>
      <c r="B611" t="s">
        <v>14764</v>
      </c>
      <c r="C611">
        <v>2</v>
      </c>
      <c r="E611" t="s">
        <v>3413</v>
      </c>
      <c r="I611" t="s">
        <v>14765</v>
      </c>
      <c r="J611" t="s">
        <v>14766</v>
      </c>
      <c r="Q611" t="s">
        <v>179</v>
      </c>
      <c r="R611" t="s">
        <v>9</v>
      </c>
    </row>
    <row r="612" spans="1:18">
      <c r="A612">
        <v>2080</v>
      </c>
      <c r="B612" t="s">
        <v>14767</v>
      </c>
      <c r="C612">
        <v>2</v>
      </c>
      <c r="E612" t="s">
        <v>3413</v>
      </c>
      <c r="F612" t="s">
        <v>3412</v>
      </c>
      <c r="I612" t="s">
        <v>14768</v>
      </c>
      <c r="J612" t="s">
        <v>14769</v>
      </c>
      <c r="K612" t="s">
        <v>3409</v>
      </c>
      <c r="Q612" t="s">
        <v>10</v>
      </c>
      <c r="R612" t="s">
        <v>9</v>
      </c>
    </row>
    <row r="613" spans="1:18">
      <c r="A613">
        <v>2081</v>
      </c>
      <c r="B613" t="s">
        <v>14770</v>
      </c>
      <c r="C613">
        <v>2</v>
      </c>
      <c r="E613" t="s">
        <v>3413</v>
      </c>
      <c r="I613" t="s">
        <v>14771</v>
      </c>
      <c r="J613" t="s">
        <v>14772</v>
      </c>
      <c r="Q613" t="s">
        <v>26</v>
      </c>
      <c r="R613" t="s">
        <v>9</v>
      </c>
    </row>
    <row r="614" spans="1:18">
      <c r="A614">
        <v>2082</v>
      </c>
      <c r="B614" t="s">
        <v>14773</v>
      </c>
      <c r="C614">
        <v>2</v>
      </c>
      <c r="E614" t="s">
        <v>3413</v>
      </c>
      <c r="I614" t="s">
        <v>14774</v>
      </c>
      <c r="Q614" t="s">
        <v>31</v>
      </c>
      <c r="R614" t="s">
        <v>9</v>
      </c>
    </row>
    <row r="615" spans="1:18">
      <c r="A615">
        <v>2083</v>
      </c>
      <c r="B615" t="s">
        <v>14775</v>
      </c>
      <c r="C615">
        <v>2</v>
      </c>
      <c r="E615" t="s">
        <v>3413</v>
      </c>
      <c r="I615" t="s">
        <v>14776</v>
      </c>
      <c r="J615" t="s">
        <v>14777</v>
      </c>
      <c r="Q615" t="s">
        <v>5685</v>
      </c>
      <c r="R615" t="s">
        <v>9</v>
      </c>
    </row>
    <row r="616" spans="1:18">
      <c r="A616">
        <v>2084</v>
      </c>
      <c r="B616" t="s">
        <v>14778</v>
      </c>
      <c r="C616">
        <v>3</v>
      </c>
      <c r="E616" t="s">
        <v>3413</v>
      </c>
      <c r="I616" t="s">
        <v>14779</v>
      </c>
      <c r="Q616" t="s">
        <v>175</v>
      </c>
      <c r="R616" t="s">
        <v>9</v>
      </c>
    </row>
    <row r="617" spans="1:18">
      <c r="A617">
        <v>2085</v>
      </c>
      <c r="B617" t="s">
        <v>14780</v>
      </c>
      <c r="C617">
        <v>3</v>
      </c>
      <c r="E617" t="s">
        <v>14265</v>
      </c>
      <c r="I617" t="s">
        <v>14781</v>
      </c>
      <c r="J617" t="s">
        <v>14782</v>
      </c>
      <c r="Q617" t="s">
        <v>27</v>
      </c>
      <c r="R617" t="s">
        <v>9</v>
      </c>
    </row>
    <row r="618" spans="1:18">
      <c r="A618">
        <v>2086</v>
      </c>
      <c r="B618" t="s">
        <v>4752</v>
      </c>
      <c r="C618">
        <v>3</v>
      </c>
      <c r="E618" t="s">
        <v>3413</v>
      </c>
      <c r="F618" t="s">
        <v>3412</v>
      </c>
      <c r="I618" t="s">
        <v>3425</v>
      </c>
      <c r="J618" t="s">
        <v>3426</v>
      </c>
      <c r="K618" t="s">
        <v>3118</v>
      </c>
      <c r="Q618" t="s">
        <v>46</v>
      </c>
      <c r="R618" t="s">
        <v>9</v>
      </c>
    </row>
    <row r="619" spans="1:18">
      <c r="A619">
        <v>2087</v>
      </c>
      <c r="B619" t="s">
        <v>14783</v>
      </c>
      <c r="C619">
        <v>3</v>
      </c>
      <c r="E619" t="s">
        <v>3413</v>
      </c>
      <c r="I619" t="s">
        <v>14784</v>
      </c>
      <c r="J619" t="s">
        <v>14785</v>
      </c>
      <c r="Q619" t="s">
        <v>35</v>
      </c>
      <c r="R619" t="s">
        <v>9</v>
      </c>
    </row>
    <row r="620" spans="1:18">
      <c r="A620">
        <v>2088</v>
      </c>
      <c r="B620" t="s">
        <v>14786</v>
      </c>
      <c r="C620">
        <v>3</v>
      </c>
      <c r="E620" t="s">
        <v>3413</v>
      </c>
      <c r="I620" t="s">
        <v>13831</v>
      </c>
      <c r="J620" t="s">
        <v>14787</v>
      </c>
      <c r="K620" t="s">
        <v>14788</v>
      </c>
      <c r="Q620" t="s">
        <v>34</v>
      </c>
      <c r="R620" t="s">
        <v>9</v>
      </c>
    </row>
    <row r="621" spans="1:18">
      <c r="A621">
        <v>2089</v>
      </c>
      <c r="B621" t="s">
        <v>14789</v>
      </c>
      <c r="C621">
        <v>3</v>
      </c>
      <c r="E621" t="s">
        <v>3413</v>
      </c>
      <c r="I621" t="s">
        <v>14790</v>
      </c>
      <c r="J621" t="s">
        <v>14791</v>
      </c>
      <c r="K621" t="s">
        <v>14792</v>
      </c>
      <c r="Q621" t="s">
        <v>168</v>
      </c>
      <c r="R621" t="s">
        <v>9</v>
      </c>
    </row>
    <row r="622" spans="1:18">
      <c r="A622">
        <v>2090</v>
      </c>
      <c r="B622" t="s">
        <v>14793</v>
      </c>
      <c r="C622">
        <v>3</v>
      </c>
      <c r="E622" t="s">
        <v>3413</v>
      </c>
      <c r="I622" t="s">
        <v>14794</v>
      </c>
      <c r="Q622" t="s">
        <v>168</v>
      </c>
      <c r="R622" t="s">
        <v>9</v>
      </c>
    </row>
    <row r="623" spans="1:18">
      <c r="A623">
        <v>2091</v>
      </c>
      <c r="B623" t="s">
        <v>14795</v>
      </c>
      <c r="C623">
        <v>3</v>
      </c>
      <c r="E623" t="s">
        <v>3413</v>
      </c>
      <c r="I623" t="s">
        <v>14796</v>
      </c>
      <c r="J623" t="s">
        <v>14797</v>
      </c>
      <c r="Q623" t="s">
        <v>50</v>
      </c>
      <c r="R623" t="s">
        <v>9</v>
      </c>
    </row>
    <row r="624" spans="1:18">
      <c r="A624">
        <v>2092</v>
      </c>
      <c r="B624" t="s">
        <v>14798</v>
      </c>
      <c r="C624">
        <v>3</v>
      </c>
      <c r="E624" t="s">
        <v>3413</v>
      </c>
      <c r="I624" t="s">
        <v>14799</v>
      </c>
      <c r="J624" t="s">
        <v>14800</v>
      </c>
      <c r="Q624" t="s">
        <v>176</v>
      </c>
      <c r="R624" t="s">
        <v>9</v>
      </c>
    </row>
    <row r="625" spans="1:18">
      <c r="A625">
        <v>2093</v>
      </c>
      <c r="B625" t="s">
        <v>14801</v>
      </c>
      <c r="C625">
        <v>3</v>
      </c>
      <c r="E625" t="s">
        <v>3413</v>
      </c>
      <c r="I625" t="s">
        <v>14802</v>
      </c>
      <c r="Q625" t="s">
        <v>179</v>
      </c>
      <c r="R625" t="s">
        <v>9</v>
      </c>
    </row>
    <row r="626" spans="1:18">
      <c r="A626">
        <v>2094</v>
      </c>
      <c r="B626" t="s">
        <v>3852</v>
      </c>
      <c r="C626">
        <v>3</v>
      </c>
      <c r="E626" t="s">
        <v>3413</v>
      </c>
      <c r="F626" t="s">
        <v>3867</v>
      </c>
      <c r="I626" t="s">
        <v>13831</v>
      </c>
      <c r="J626" t="s">
        <v>13857</v>
      </c>
      <c r="Q626" t="s">
        <v>26</v>
      </c>
      <c r="R626" t="s">
        <v>9</v>
      </c>
    </row>
    <row r="627" spans="1:18">
      <c r="A627">
        <v>2095</v>
      </c>
      <c r="B627" t="s">
        <v>14803</v>
      </c>
      <c r="C627">
        <v>3</v>
      </c>
      <c r="E627" t="s">
        <v>3413</v>
      </c>
      <c r="I627" t="s">
        <v>14804</v>
      </c>
      <c r="Q627" t="s">
        <v>10</v>
      </c>
      <c r="R627" t="s">
        <v>9</v>
      </c>
    </row>
    <row r="628" spans="1:18">
      <c r="A628">
        <v>2096</v>
      </c>
      <c r="B628" t="s">
        <v>14805</v>
      </c>
      <c r="C628">
        <v>3</v>
      </c>
      <c r="E628" t="s">
        <v>3413</v>
      </c>
      <c r="I628" t="s">
        <v>14806</v>
      </c>
      <c r="J628" t="s">
        <v>14807</v>
      </c>
      <c r="Q628" t="s">
        <v>29</v>
      </c>
      <c r="R628" t="s">
        <v>9</v>
      </c>
    </row>
    <row r="629" spans="1:18">
      <c r="A629">
        <v>2097</v>
      </c>
      <c r="B629" t="s">
        <v>14808</v>
      </c>
      <c r="C629">
        <v>3</v>
      </c>
      <c r="E629" t="s">
        <v>3413</v>
      </c>
      <c r="I629" t="s">
        <v>14809</v>
      </c>
      <c r="Q629" t="s">
        <v>169</v>
      </c>
      <c r="R629" t="s">
        <v>9</v>
      </c>
    </row>
    <row r="630" spans="1:18">
      <c r="A630">
        <v>2098</v>
      </c>
      <c r="B630" t="s">
        <v>14810</v>
      </c>
      <c r="C630">
        <v>3</v>
      </c>
      <c r="E630" t="s">
        <v>3413</v>
      </c>
      <c r="I630" t="s">
        <v>14811</v>
      </c>
      <c r="J630" t="s">
        <v>14812</v>
      </c>
      <c r="Q630" t="s">
        <v>5281</v>
      </c>
      <c r="R630" t="s">
        <v>9</v>
      </c>
    </row>
    <row r="631" spans="1:18">
      <c r="A631">
        <v>2099</v>
      </c>
      <c r="B631" t="s">
        <v>14813</v>
      </c>
      <c r="C631">
        <v>3</v>
      </c>
      <c r="E631" t="s">
        <v>3413</v>
      </c>
      <c r="F631" t="s">
        <v>3412</v>
      </c>
      <c r="I631" t="s">
        <v>14814</v>
      </c>
      <c r="J631" t="s">
        <v>14815</v>
      </c>
      <c r="K631" t="s">
        <v>3118</v>
      </c>
      <c r="Q631" t="s">
        <v>50</v>
      </c>
      <c r="R631" t="s">
        <v>9</v>
      </c>
    </row>
    <row r="632" spans="1:18">
      <c r="A632">
        <v>2100</v>
      </c>
      <c r="B632" t="s">
        <v>14816</v>
      </c>
      <c r="C632">
        <v>3</v>
      </c>
      <c r="E632" t="s">
        <v>3413</v>
      </c>
      <c r="F632" t="s">
        <v>3412</v>
      </c>
      <c r="I632" t="s">
        <v>14817</v>
      </c>
      <c r="J632" t="s">
        <v>14818</v>
      </c>
      <c r="K632" t="s">
        <v>13497</v>
      </c>
      <c r="Q632" t="s">
        <v>175</v>
      </c>
      <c r="R632" t="s">
        <v>9</v>
      </c>
    </row>
    <row r="633" spans="1:18">
      <c r="A633">
        <v>2101</v>
      </c>
      <c r="B633" t="s">
        <v>14819</v>
      </c>
      <c r="C633">
        <v>3</v>
      </c>
      <c r="E633" t="s">
        <v>3413</v>
      </c>
      <c r="I633" t="s">
        <v>14820</v>
      </c>
      <c r="Q633" t="s">
        <v>5685</v>
      </c>
      <c r="R633" t="s">
        <v>9</v>
      </c>
    </row>
    <row r="634" spans="1:18">
      <c r="A634">
        <v>2102</v>
      </c>
      <c r="B634" t="s">
        <v>14821</v>
      </c>
      <c r="C634">
        <v>3</v>
      </c>
      <c r="E634" t="s">
        <v>3413</v>
      </c>
      <c r="F634" t="s">
        <v>3412</v>
      </c>
      <c r="I634" t="s">
        <v>14822</v>
      </c>
      <c r="J634" t="s">
        <v>14823</v>
      </c>
      <c r="K634" t="s">
        <v>3409</v>
      </c>
      <c r="Q634" t="s">
        <v>177</v>
      </c>
      <c r="R634" t="s">
        <v>9</v>
      </c>
    </row>
    <row r="635" spans="1:18">
      <c r="A635">
        <v>2103</v>
      </c>
      <c r="B635" t="s">
        <v>14824</v>
      </c>
      <c r="C635">
        <v>3</v>
      </c>
      <c r="E635" t="s">
        <v>3413</v>
      </c>
      <c r="I635" t="s">
        <v>14825</v>
      </c>
      <c r="J635" t="s">
        <v>14826</v>
      </c>
      <c r="Q635" t="s">
        <v>44</v>
      </c>
      <c r="R635" t="s">
        <v>9</v>
      </c>
    </row>
    <row r="636" spans="1:18">
      <c r="A636">
        <v>2104</v>
      </c>
      <c r="B636" t="s">
        <v>14827</v>
      </c>
      <c r="C636">
        <v>3</v>
      </c>
      <c r="E636" t="s">
        <v>3413</v>
      </c>
      <c r="I636" t="s">
        <v>14828</v>
      </c>
      <c r="Q636" t="s">
        <v>183</v>
      </c>
      <c r="R636" t="s">
        <v>9</v>
      </c>
    </row>
    <row r="637" spans="1:18">
      <c r="A637">
        <v>2105</v>
      </c>
      <c r="B637" t="s">
        <v>14829</v>
      </c>
      <c r="C637">
        <v>3</v>
      </c>
      <c r="E637" t="s">
        <v>3413</v>
      </c>
      <c r="I637" t="s">
        <v>14830</v>
      </c>
      <c r="Q637" t="s">
        <v>8</v>
      </c>
      <c r="R637" t="s">
        <v>9</v>
      </c>
    </row>
    <row r="638" spans="1:18">
      <c r="A638">
        <v>2106</v>
      </c>
      <c r="B638" t="s">
        <v>14831</v>
      </c>
      <c r="C638">
        <v>3</v>
      </c>
      <c r="E638" t="s">
        <v>3413</v>
      </c>
      <c r="I638" t="s">
        <v>14832</v>
      </c>
      <c r="Q638" t="s">
        <v>35</v>
      </c>
      <c r="R638" t="s">
        <v>9</v>
      </c>
    </row>
    <row r="639" spans="1:18">
      <c r="A639">
        <v>2107</v>
      </c>
      <c r="B639" t="s">
        <v>14833</v>
      </c>
      <c r="C639">
        <v>3</v>
      </c>
      <c r="E639" t="s">
        <v>3413</v>
      </c>
      <c r="I639" t="s">
        <v>14834</v>
      </c>
      <c r="J639" t="s">
        <v>14835</v>
      </c>
      <c r="Q639" t="s">
        <v>34</v>
      </c>
      <c r="R639" t="s">
        <v>9</v>
      </c>
    </row>
    <row r="640" spans="1:18">
      <c r="A640">
        <v>2108</v>
      </c>
      <c r="B640" t="s">
        <v>14836</v>
      </c>
      <c r="C640">
        <v>3</v>
      </c>
      <c r="E640" t="s">
        <v>3413</v>
      </c>
      <c r="I640" t="s">
        <v>14837</v>
      </c>
      <c r="J640" t="s">
        <v>14838</v>
      </c>
      <c r="Q640" t="s">
        <v>50</v>
      </c>
      <c r="R640" t="s">
        <v>9</v>
      </c>
    </row>
    <row r="641" spans="1:18">
      <c r="A641">
        <v>2109</v>
      </c>
      <c r="B641" t="s">
        <v>14839</v>
      </c>
      <c r="C641">
        <v>3</v>
      </c>
      <c r="E641" t="s">
        <v>3413</v>
      </c>
      <c r="I641" t="s">
        <v>14840</v>
      </c>
      <c r="J641" t="s">
        <v>13885</v>
      </c>
      <c r="K641" t="s">
        <v>14841</v>
      </c>
      <c r="L641" t="s">
        <v>13683</v>
      </c>
      <c r="O641" t="s">
        <v>14842</v>
      </c>
      <c r="Q641" t="s">
        <v>605</v>
      </c>
      <c r="R641" t="s">
        <v>9</v>
      </c>
    </row>
    <row r="642" spans="1:18">
      <c r="A642">
        <v>2110</v>
      </c>
      <c r="B642" t="s">
        <v>14843</v>
      </c>
      <c r="C642">
        <v>3</v>
      </c>
      <c r="E642" t="s">
        <v>3413</v>
      </c>
      <c r="I642" t="s">
        <v>14844</v>
      </c>
      <c r="Q642" t="s">
        <v>181</v>
      </c>
      <c r="R642" t="s">
        <v>9</v>
      </c>
    </row>
    <row r="643" spans="1:18">
      <c r="A643">
        <v>2111</v>
      </c>
      <c r="B643" t="s">
        <v>14845</v>
      </c>
      <c r="C643">
        <v>3</v>
      </c>
      <c r="E643" t="s">
        <v>3413</v>
      </c>
      <c r="I643" t="s">
        <v>14846</v>
      </c>
      <c r="J643" t="s">
        <v>14847</v>
      </c>
      <c r="Q643" t="s">
        <v>175</v>
      </c>
      <c r="R643" t="s">
        <v>9</v>
      </c>
    </row>
    <row r="644" spans="1:18">
      <c r="A644">
        <v>2112</v>
      </c>
      <c r="B644" t="s">
        <v>14848</v>
      </c>
      <c r="C644">
        <v>3</v>
      </c>
      <c r="E644" t="s">
        <v>3413</v>
      </c>
      <c r="I644" t="s">
        <v>14849</v>
      </c>
      <c r="J644" t="s">
        <v>14850</v>
      </c>
      <c r="K644" t="s">
        <v>14851</v>
      </c>
      <c r="Q644" t="s">
        <v>26</v>
      </c>
      <c r="R644" t="s">
        <v>9</v>
      </c>
    </row>
    <row r="645" spans="1:18">
      <c r="A645">
        <v>2113</v>
      </c>
      <c r="B645" t="s">
        <v>14852</v>
      </c>
      <c r="C645">
        <v>3</v>
      </c>
      <c r="E645" t="s">
        <v>3413</v>
      </c>
      <c r="I645" t="s">
        <v>14853</v>
      </c>
      <c r="Q645" t="s">
        <v>5281</v>
      </c>
      <c r="R645" t="s">
        <v>9</v>
      </c>
    </row>
    <row r="646" spans="1:18">
      <c r="A646">
        <v>2114</v>
      </c>
      <c r="B646" t="s">
        <v>14854</v>
      </c>
      <c r="C646">
        <v>3</v>
      </c>
      <c r="E646" t="s">
        <v>3413</v>
      </c>
      <c r="F646" t="s">
        <v>3412</v>
      </c>
      <c r="I646" t="s">
        <v>14855</v>
      </c>
      <c r="J646" t="s">
        <v>14856</v>
      </c>
      <c r="K646" t="s">
        <v>3118</v>
      </c>
      <c r="Q646" t="s">
        <v>5719</v>
      </c>
      <c r="R646" t="s">
        <v>9</v>
      </c>
    </row>
    <row r="647" spans="1:18">
      <c r="A647">
        <v>2115</v>
      </c>
      <c r="B647" t="s">
        <v>14857</v>
      </c>
      <c r="C647">
        <v>3</v>
      </c>
      <c r="E647" t="s">
        <v>3413</v>
      </c>
      <c r="I647" t="s">
        <v>14858</v>
      </c>
      <c r="Q647" t="s">
        <v>169</v>
      </c>
      <c r="R647" t="s">
        <v>9</v>
      </c>
    </row>
    <row r="648" spans="1:18">
      <c r="A648">
        <v>2116</v>
      </c>
      <c r="B648" t="s">
        <v>14859</v>
      </c>
      <c r="C648">
        <v>3</v>
      </c>
      <c r="E648" t="s">
        <v>3413</v>
      </c>
      <c r="I648" t="s">
        <v>14860</v>
      </c>
      <c r="J648" t="s">
        <v>14861</v>
      </c>
      <c r="Q648" t="s">
        <v>50</v>
      </c>
      <c r="R648" t="s">
        <v>9</v>
      </c>
    </row>
    <row r="649" spans="1:18">
      <c r="A649">
        <v>2117</v>
      </c>
      <c r="B649" t="s">
        <v>14862</v>
      </c>
      <c r="C649">
        <v>3</v>
      </c>
      <c r="E649" t="s">
        <v>3413</v>
      </c>
      <c r="I649" t="s">
        <v>293</v>
      </c>
      <c r="J649" t="s">
        <v>14863</v>
      </c>
      <c r="Q649" t="s">
        <v>177</v>
      </c>
      <c r="R649" t="s">
        <v>9</v>
      </c>
    </row>
    <row r="650" spans="1:18">
      <c r="A650">
        <v>2118</v>
      </c>
      <c r="B650" t="s">
        <v>3844</v>
      </c>
      <c r="C650">
        <v>3</v>
      </c>
      <c r="E650" t="s">
        <v>3413</v>
      </c>
      <c r="F650" t="s">
        <v>3867</v>
      </c>
      <c r="I650" t="s">
        <v>3845</v>
      </c>
      <c r="J650" t="s">
        <v>3846</v>
      </c>
      <c r="K650" t="s">
        <v>13857</v>
      </c>
      <c r="Q650" t="s">
        <v>30</v>
      </c>
      <c r="R650" t="s">
        <v>9</v>
      </c>
    </row>
    <row r="651" spans="1:18">
      <c r="A651">
        <v>2119</v>
      </c>
      <c r="B651" t="s">
        <v>14864</v>
      </c>
      <c r="C651">
        <v>3</v>
      </c>
      <c r="E651" t="s">
        <v>3413</v>
      </c>
      <c r="I651" t="s">
        <v>14865</v>
      </c>
      <c r="J651" t="s">
        <v>14866</v>
      </c>
      <c r="Q651" t="s">
        <v>5281</v>
      </c>
      <c r="R651" t="s">
        <v>9</v>
      </c>
    </row>
    <row r="652" spans="1:18">
      <c r="A652">
        <v>2120</v>
      </c>
      <c r="B652" t="s">
        <v>14867</v>
      </c>
      <c r="C652">
        <v>3</v>
      </c>
      <c r="E652" t="s">
        <v>3413</v>
      </c>
      <c r="I652" t="s">
        <v>14868</v>
      </c>
      <c r="Q652" t="s">
        <v>5685</v>
      </c>
      <c r="R652" t="s">
        <v>9</v>
      </c>
    </row>
    <row r="653" spans="1:18">
      <c r="A653">
        <v>2121</v>
      </c>
      <c r="B653" t="s">
        <v>14869</v>
      </c>
      <c r="C653" t="s">
        <v>848</v>
      </c>
      <c r="E653" t="s">
        <v>3413</v>
      </c>
      <c r="I653" t="s">
        <v>14870</v>
      </c>
      <c r="Q653" t="s">
        <v>18</v>
      </c>
      <c r="R653" t="s">
        <v>9</v>
      </c>
    </row>
    <row r="654" spans="1:18">
      <c r="A654">
        <v>2122</v>
      </c>
      <c r="B654" t="s">
        <v>14871</v>
      </c>
      <c r="C654">
        <v>3</v>
      </c>
      <c r="E654" t="s">
        <v>3413</v>
      </c>
      <c r="I654" t="s">
        <v>14872</v>
      </c>
      <c r="Q654" t="s">
        <v>171</v>
      </c>
      <c r="R654" t="s">
        <v>9</v>
      </c>
    </row>
    <row r="655" spans="1:18">
      <c r="A655">
        <v>2123</v>
      </c>
      <c r="B655" t="s">
        <v>14873</v>
      </c>
      <c r="C655">
        <v>3</v>
      </c>
      <c r="E655" t="s">
        <v>3413</v>
      </c>
      <c r="I655" t="s">
        <v>14874</v>
      </c>
      <c r="Q655" t="s">
        <v>178</v>
      </c>
      <c r="R655" t="s">
        <v>9</v>
      </c>
    </row>
    <row r="656" spans="1:18">
      <c r="A656">
        <v>2124</v>
      </c>
      <c r="B656" t="s">
        <v>14875</v>
      </c>
      <c r="C656">
        <v>3</v>
      </c>
      <c r="E656" t="s">
        <v>3413</v>
      </c>
      <c r="F656" t="s">
        <v>3412</v>
      </c>
      <c r="I656" t="s">
        <v>1989</v>
      </c>
      <c r="J656" t="s">
        <v>14876</v>
      </c>
      <c r="K656" t="s">
        <v>3409</v>
      </c>
      <c r="Q656" t="s">
        <v>176</v>
      </c>
      <c r="R656" t="s">
        <v>9</v>
      </c>
    </row>
    <row r="657" spans="1:18">
      <c r="A657">
        <v>2125</v>
      </c>
      <c r="B657" t="s">
        <v>14877</v>
      </c>
      <c r="C657">
        <v>3</v>
      </c>
      <c r="E657" t="s">
        <v>3413</v>
      </c>
      <c r="F657" t="s">
        <v>3412</v>
      </c>
      <c r="I657" t="s">
        <v>14878</v>
      </c>
      <c r="J657" t="s">
        <v>14879</v>
      </c>
      <c r="K657" t="s">
        <v>3409</v>
      </c>
      <c r="Q657" t="s">
        <v>177</v>
      </c>
      <c r="R657" t="s">
        <v>9</v>
      </c>
    </row>
    <row r="658" spans="1:18">
      <c r="A658">
        <v>2126</v>
      </c>
      <c r="B658" t="s">
        <v>3847</v>
      </c>
      <c r="C658">
        <v>3</v>
      </c>
      <c r="E658" t="s">
        <v>3413</v>
      </c>
      <c r="F658" t="s">
        <v>3867</v>
      </c>
      <c r="I658" t="s">
        <v>1</v>
      </c>
      <c r="J658" t="s">
        <v>3848</v>
      </c>
      <c r="K658" t="s">
        <v>3849</v>
      </c>
      <c r="L658" t="s">
        <v>13742</v>
      </c>
      <c r="Q658" t="s">
        <v>35</v>
      </c>
      <c r="R658" t="s">
        <v>9</v>
      </c>
    </row>
    <row r="659" spans="1:18">
      <c r="A659">
        <v>2127</v>
      </c>
      <c r="B659" t="s">
        <v>14880</v>
      </c>
      <c r="C659">
        <v>3</v>
      </c>
      <c r="E659" t="s">
        <v>3413</v>
      </c>
      <c r="I659" t="s">
        <v>14881</v>
      </c>
      <c r="J659" t="s">
        <v>14882</v>
      </c>
      <c r="Q659" t="s">
        <v>168</v>
      </c>
      <c r="R659" t="s">
        <v>9</v>
      </c>
    </row>
    <row r="660" spans="1:18">
      <c r="A660">
        <v>2128</v>
      </c>
      <c r="B660" t="s">
        <v>14883</v>
      </c>
      <c r="C660">
        <v>3</v>
      </c>
      <c r="E660" t="s">
        <v>3413</v>
      </c>
      <c r="I660" t="s">
        <v>14884</v>
      </c>
      <c r="Q660" t="s">
        <v>605</v>
      </c>
      <c r="R660" t="s">
        <v>9</v>
      </c>
    </row>
    <row r="661" spans="1:18">
      <c r="A661">
        <v>2129</v>
      </c>
      <c r="B661" t="s">
        <v>14885</v>
      </c>
      <c r="C661">
        <v>3</v>
      </c>
      <c r="E661" t="s">
        <v>3413</v>
      </c>
      <c r="I661" t="s">
        <v>14886</v>
      </c>
      <c r="Q661" t="s">
        <v>183</v>
      </c>
      <c r="R661" t="s">
        <v>9</v>
      </c>
    </row>
    <row r="662" spans="1:18">
      <c r="A662">
        <v>2130</v>
      </c>
      <c r="B662" t="s">
        <v>14887</v>
      </c>
      <c r="C662">
        <v>3</v>
      </c>
      <c r="E662" t="s">
        <v>3413</v>
      </c>
      <c r="I662" t="s">
        <v>14888</v>
      </c>
      <c r="J662" t="s">
        <v>14889</v>
      </c>
      <c r="Q662" t="s">
        <v>11</v>
      </c>
      <c r="R662" t="s">
        <v>9</v>
      </c>
    </row>
    <row r="663" spans="1:18">
      <c r="A663">
        <v>2131</v>
      </c>
      <c r="B663" t="s">
        <v>14890</v>
      </c>
      <c r="C663">
        <v>3</v>
      </c>
      <c r="E663" t="s">
        <v>3413</v>
      </c>
      <c r="F663" t="s">
        <v>3412</v>
      </c>
      <c r="I663" t="s">
        <v>13928</v>
      </c>
      <c r="J663" t="s">
        <v>14891</v>
      </c>
      <c r="K663" t="s">
        <v>3118</v>
      </c>
      <c r="Q663" t="s">
        <v>15</v>
      </c>
      <c r="R663" t="s">
        <v>9</v>
      </c>
    </row>
    <row r="664" spans="1:18">
      <c r="A664">
        <v>2132</v>
      </c>
      <c r="B664" t="s">
        <v>14892</v>
      </c>
      <c r="C664">
        <v>3</v>
      </c>
      <c r="E664" t="s">
        <v>3413</v>
      </c>
      <c r="I664" t="s">
        <v>14893</v>
      </c>
      <c r="J664" t="s">
        <v>14894</v>
      </c>
      <c r="Q664" t="s">
        <v>168</v>
      </c>
      <c r="R664" t="s">
        <v>9</v>
      </c>
    </row>
    <row r="665" spans="1:18">
      <c r="A665">
        <v>2133</v>
      </c>
      <c r="B665" t="s">
        <v>14895</v>
      </c>
      <c r="C665">
        <v>3</v>
      </c>
      <c r="E665" t="s">
        <v>3413</v>
      </c>
      <c r="I665" t="s">
        <v>14896</v>
      </c>
      <c r="J665" t="s">
        <v>14897</v>
      </c>
      <c r="Q665" t="s">
        <v>26</v>
      </c>
      <c r="R665" t="s">
        <v>9</v>
      </c>
    </row>
    <row r="666" spans="1:18">
      <c r="A666">
        <v>2134</v>
      </c>
      <c r="B666" t="s">
        <v>14898</v>
      </c>
      <c r="C666">
        <v>3</v>
      </c>
      <c r="E666" t="s">
        <v>3413</v>
      </c>
      <c r="I666" t="s">
        <v>14899</v>
      </c>
      <c r="J666" t="s">
        <v>14900</v>
      </c>
      <c r="K666" t="s">
        <v>13831</v>
      </c>
      <c r="Q666" t="s">
        <v>5685</v>
      </c>
      <c r="R666" t="s">
        <v>9</v>
      </c>
    </row>
    <row r="667" spans="1:18">
      <c r="A667">
        <v>2135</v>
      </c>
      <c r="B667" t="s">
        <v>14901</v>
      </c>
      <c r="C667">
        <v>3</v>
      </c>
      <c r="E667" t="s">
        <v>3413</v>
      </c>
      <c r="I667" t="s">
        <v>14902</v>
      </c>
      <c r="J667" t="s">
        <v>14903</v>
      </c>
      <c r="Q667" t="s">
        <v>5685</v>
      </c>
      <c r="R667" t="s">
        <v>9</v>
      </c>
    </row>
    <row r="668" spans="1:18">
      <c r="A668">
        <v>2136</v>
      </c>
      <c r="B668" t="s">
        <v>14904</v>
      </c>
      <c r="C668">
        <v>3</v>
      </c>
      <c r="E668" t="s">
        <v>3413</v>
      </c>
      <c r="I668" t="s">
        <v>14905</v>
      </c>
      <c r="J668" t="s">
        <v>14906</v>
      </c>
      <c r="Q668" t="s">
        <v>168</v>
      </c>
      <c r="R668" t="s">
        <v>9</v>
      </c>
    </row>
    <row r="669" spans="1:18">
      <c r="A669">
        <v>2137</v>
      </c>
      <c r="B669" t="s">
        <v>14907</v>
      </c>
      <c r="C669">
        <v>3</v>
      </c>
      <c r="E669" t="s">
        <v>3413</v>
      </c>
      <c r="F669" t="s">
        <v>3412</v>
      </c>
      <c r="I669" t="s">
        <v>14908</v>
      </c>
      <c r="J669" t="s">
        <v>3118</v>
      </c>
      <c r="Q669" t="s">
        <v>178</v>
      </c>
      <c r="R669" t="s">
        <v>9</v>
      </c>
    </row>
    <row r="670" spans="1:18">
      <c r="A670">
        <v>2138</v>
      </c>
      <c r="B670" t="s">
        <v>14909</v>
      </c>
      <c r="C670">
        <v>3</v>
      </c>
      <c r="E670" t="s">
        <v>3413</v>
      </c>
      <c r="I670" t="s">
        <v>14910</v>
      </c>
      <c r="Q670" t="s">
        <v>177</v>
      </c>
      <c r="R670" t="s">
        <v>9</v>
      </c>
    </row>
    <row r="671" spans="1:18">
      <c r="A671">
        <v>2139</v>
      </c>
      <c r="B671" t="s">
        <v>14911</v>
      </c>
      <c r="C671">
        <v>3</v>
      </c>
      <c r="E671" t="s">
        <v>3413</v>
      </c>
      <c r="F671" t="s">
        <v>3412</v>
      </c>
      <c r="I671" t="s">
        <v>14389</v>
      </c>
      <c r="J671" t="s">
        <v>14912</v>
      </c>
      <c r="K671" t="s">
        <v>3118</v>
      </c>
      <c r="Q671" t="s">
        <v>8</v>
      </c>
      <c r="R671" t="s">
        <v>9</v>
      </c>
    </row>
    <row r="672" spans="1:18">
      <c r="A672">
        <v>2140</v>
      </c>
      <c r="B672" t="s">
        <v>14913</v>
      </c>
      <c r="C672">
        <v>3</v>
      </c>
      <c r="E672" t="s">
        <v>3413</v>
      </c>
      <c r="I672" t="s">
        <v>14914</v>
      </c>
      <c r="J672" t="s">
        <v>14915</v>
      </c>
      <c r="Q672" t="s">
        <v>5685</v>
      </c>
      <c r="R672" t="s">
        <v>9</v>
      </c>
    </row>
    <row r="673" spans="1:18">
      <c r="A673">
        <v>2141</v>
      </c>
      <c r="B673" t="s">
        <v>14916</v>
      </c>
      <c r="C673">
        <v>3</v>
      </c>
      <c r="E673" t="s">
        <v>14265</v>
      </c>
      <c r="I673" t="s">
        <v>14917</v>
      </c>
      <c r="J673" t="s">
        <v>14918</v>
      </c>
      <c r="Q673" t="s">
        <v>175</v>
      </c>
      <c r="R673" t="s">
        <v>9</v>
      </c>
    </row>
    <row r="674" spans="1:18">
      <c r="A674">
        <v>2142</v>
      </c>
      <c r="B674" t="s">
        <v>14919</v>
      </c>
      <c r="C674">
        <v>3</v>
      </c>
      <c r="E674" t="s">
        <v>3413</v>
      </c>
      <c r="I674" t="s">
        <v>14920</v>
      </c>
      <c r="Q674" t="s">
        <v>39</v>
      </c>
      <c r="R674" t="s">
        <v>9</v>
      </c>
    </row>
    <row r="675" spans="1:18">
      <c r="A675">
        <v>2143</v>
      </c>
      <c r="B675" t="s">
        <v>14921</v>
      </c>
      <c r="C675">
        <v>3</v>
      </c>
      <c r="E675" t="s">
        <v>3413</v>
      </c>
      <c r="F675" t="s">
        <v>3412</v>
      </c>
      <c r="I675" t="s">
        <v>14922</v>
      </c>
      <c r="J675" t="s">
        <v>14923</v>
      </c>
      <c r="K675" t="s">
        <v>3423</v>
      </c>
      <c r="Q675" t="s">
        <v>36</v>
      </c>
      <c r="R675" t="s">
        <v>9</v>
      </c>
    </row>
    <row r="676" spans="1:18">
      <c r="A676">
        <v>2144</v>
      </c>
      <c r="B676" t="s">
        <v>14924</v>
      </c>
      <c r="C676">
        <v>3</v>
      </c>
      <c r="E676" t="s">
        <v>3413</v>
      </c>
      <c r="I676" t="s">
        <v>14925</v>
      </c>
      <c r="J676" t="s">
        <v>13831</v>
      </c>
      <c r="Q676" t="s">
        <v>6</v>
      </c>
      <c r="R676" t="s">
        <v>9</v>
      </c>
    </row>
    <row r="677" spans="1:18">
      <c r="A677">
        <v>2145</v>
      </c>
      <c r="B677" t="s">
        <v>14926</v>
      </c>
      <c r="C677">
        <v>3</v>
      </c>
      <c r="E677" t="s">
        <v>3413</v>
      </c>
      <c r="I677" t="s">
        <v>14927</v>
      </c>
      <c r="J677" t="s">
        <v>14928</v>
      </c>
      <c r="Q677" t="s">
        <v>49</v>
      </c>
      <c r="R677" t="s">
        <v>9</v>
      </c>
    </row>
    <row r="678" spans="1:18">
      <c r="A678">
        <v>2146</v>
      </c>
      <c r="B678" t="s">
        <v>14929</v>
      </c>
      <c r="C678">
        <v>3</v>
      </c>
      <c r="E678" t="s">
        <v>3413</v>
      </c>
      <c r="I678" t="s">
        <v>14930</v>
      </c>
      <c r="Q678" t="s">
        <v>29</v>
      </c>
      <c r="R678" t="s">
        <v>9</v>
      </c>
    </row>
    <row r="679" spans="1:18">
      <c r="A679">
        <v>2147</v>
      </c>
      <c r="B679" t="s">
        <v>14931</v>
      </c>
      <c r="C679">
        <v>3</v>
      </c>
      <c r="E679" t="s">
        <v>3413</v>
      </c>
      <c r="I679" t="s">
        <v>14932</v>
      </c>
      <c r="Q679" t="s">
        <v>168</v>
      </c>
      <c r="R679" t="s">
        <v>9</v>
      </c>
    </row>
    <row r="680" spans="1:18">
      <c r="A680">
        <v>2148</v>
      </c>
      <c r="B680" t="s">
        <v>14374</v>
      </c>
      <c r="C680">
        <v>3</v>
      </c>
      <c r="E680" t="s">
        <v>3413</v>
      </c>
      <c r="F680" t="s">
        <v>3412</v>
      </c>
      <c r="I680" t="s">
        <v>14375</v>
      </c>
      <c r="J680" t="s">
        <v>3118</v>
      </c>
      <c r="Q680" t="s">
        <v>169</v>
      </c>
      <c r="R680" t="s">
        <v>9</v>
      </c>
    </row>
    <row r="681" spans="1:18">
      <c r="A681">
        <v>2149</v>
      </c>
      <c r="B681" t="s">
        <v>14933</v>
      </c>
      <c r="C681" t="s">
        <v>208</v>
      </c>
      <c r="E681" t="s">
        <v>3413</v>
      </c>
      <c r="I681" t="s">
        <v>14934</v>
      </c>
      <c r="Q681" t="s">
        <v>18</v>
      </c>
      <c r="R681" t="s">
        <v>9</v>
      </c>
    </row>
    <row r="682" spans="1:18">
      <c r="A682">
        <v>2150</v>
      </c>
      <c r="B682" t="s">
        <v>14935</v>
      </c>
      <c r="C682">
        <v>3</v>
      </c>
      <c r="E682" t="s">
        <v>3413</v>
      </c>
      <c r="F682" t="s">
        <v>3412</v>
      </c>
      <c r="I682" t="s">
        <v>14936</v>
      </c>
      <c r="J682" t="s">
        <v>14937</v>
      </c>
      <c r="K682" t="s">
        <v>3409</v>
      </c>
      <c r="Q682" t="s">
        <v>183</v>
      </c>
      <c r="R682" t="s">
        <v>9</v>
      </c>
    </row>
    <row r="683" spans="1:18">
      <c r="A683">
        <v>2151</v>
      </c>
      <c r="B683" t="s">
        <v>14938</v>
      </c>
      <c r="C683">
        <v>3</v>
      </c>
      <c r="E683" t="s">
        <v>3413</v>
      </c>
      <c r="I683" t="s">
        <v>14939</v>
      </c>
      <c r="J683" t="s">
        <v>14940</v>
      </c>
      <c r="Q683" t="s">
        <v>8</v>
      </c>
      <c r="R683" t="s">
        <v>9</v>
      </c>
    </row>
    <row r="684" spans="1:18">
      <c r="A684">
        <v>2152</v>
      </c>
      <c r="B684" t="s">
        <v>14941</v>
      </c>
      <c r="C684">
        <v>3</v>
      </c>
      <c r="E684" t="s">
        <v>3413</v>
      </c>
      <c r="I684" t="s">
        <v>14942</v>
      </c>
      <c r="J684" t="s">
        <v>14943</v>
      </c>
      <c r="Q684" t="s">
        <v>31</v>
      </c>
      <c r="R684" t="s">
        <v>9</v>
      </c>
    </row>
    <row r="685" spans="1:18">
      <c r="A685">
        <v>2153</v>
      </c>
      <c r="B685" t="s">
        <v>14944</v>
      </c>
      <c r="C685">
        <v>3</v>
      </c>
      <c r="E685" t="s">
        <v>3413</v>
      </c>
      <c r="I685" t="s">
        <v>14945</v>
      </c>
      <c r="J685" t="s">
        <v>14946</v>
      </c>
      <c r="Q685" t="s">
        <v>168</v>
      </c>
      <c r="R685" t="s">
        <v>9</v>
      </c>
    </row>
    <row r="686" spans="1:18">
      <c r="A686">
        <v>2154</v>
      </c>
      <c r="B686" t="s">
        <v>14947</v>
      </c>
      <c r="C686">
        <v>3</v>
      </c>
      <c r="E686" t="s">
        <v>3413</v>
      </c>
      <c r="F686" t="s">
        <v>3412</v>
      </c>
      <c r="I686" t="s">
        <v>14948</v>
      </c>
      <c r="J686" t="s">
        <v>14949</v>
      </c>
      <c r="K686" t="s">
        <v>3118</v>
      </c>
      <c r="Q686" t="s">
        <v>5685</v>
      </c>
      <c r="R686" t="s">
        <v>9</v>
      </c>
    </row>
    <row r="687" spans="1:18">
      <c r="A687">
        <v>2155</v>
      </c>
      <c r="B687" t="s">
        <v>14950</v>
      </c>
      <c r="C687">
        <v>3</v>
      </c>
      <c r="E687" t="s">
        <v>3413</v>
      </c>
      <c r="F687" t="s">
        <v>3412</v>
      </c>
      <c r="I687" t="s">
        <v>14951</v>
      </c>
      <c r="J687" t="s">
        <v>14952</v>
      </c>
      <c r="K687" t="s">
        <v>4705</v>
      </c>
      <c r="Q687" t="s">
        <v>173</v>
      </c>
      <c r="R687" t="s">
        <v>9</v>
      </c>
    </row>
    <row r="688" spans="1:18">
      <c r="A688">
        <v>2156</v>
      </c>
      <c r="B688" t="s">
        <v>14953</v>
      </c>
      <c r="C688">
        <v>3</v>
      </c>
      <c r="E688" t="s">
        <v>14265</v>
      </c>
      <c r="F688" t="s">
        <v>3412</v>
      </c>
      <c r="I688" t="s">
        <v>14954</v>
      </c>
      <c r="J688" t="s">
        <v>14955</v>
      </c>
      <c r="K688" t="s">
        <v>3409</v>
      </c>
      <c r="Q688" t="s">
        <v>605</v>
      </c>
      <c r="R688" t="s">
        <v>9</v>
      </c>
    </row>
    <row r="689" spans="1:18">
      <c r="A689">
        <v>2157</v>
      </c>
      <c r="B689" t="s">
        <v>4750</v>
      </c>
      <c r="C689">
        <v>3</v>
      </c>
      <c r="E689" t="s">
        <v>3413</v>
      </c>
      <c r="I689" t="s">
        <v>4751</v>
      </c>
      <c r="Q689" t="s">
        <v>52</v>
      </c>
      <c r="R689" t="s">
        <v>9</v>
      </c>
    </row>
    <row r="690" spans="1:18">
      <c r="A690">
        <v>2158</v>
      </c>
      <c r="B690" t="s">
        <v>14956</v>
      </c>
      <c r="C690">
        <v>3</v>
      </c>
      <c r="E690" t="s">
        <v>14265</v>
      </c>
      <c r="F690" t="s">
        <v>3412</v>
      </c>
      <c r="I690" t="s">
        <v>14301</v>
      </c>
      <c r="J690" t="s">
        <v>14957</v>
      </c>
      <c r="K690" t="s">
        <v>14958</v>
      </c>
      <c r="L690" t="s">
        <v>3409</v>
      </c>
      <c r="Q690" t="s">
        <v>175</v>
      </c>
      <c r="R690" t="s">
        <v>9</v>
      </c>
    </row>
    <row r="691" spans="1:18">
      <c r="A691">
        <v>2159</v>
      </c>
      <c r="B691" t="s">
        <v>3850</v>
      </c>
      <c r="C691">
        <v>3</v>
      </c>
      <c r="E691" t="s">
        <v>3413</v>
      </c>
      <c r="F691" t="s">
        <v>3867</v>
      </c>
      <c r="I691" t="s">
        <v>3851</v>
      </c>
      <c r="J691" t="s">
        <v>14959</v>
      </c>
      <c r="Q691" t="s">
        <v>35</v>
      </c>
      <c r="R691" t="s">
        <v>9</v>
      </c>
    </row>
    <row r="692" spans="1:18">
      <c r="A692">
        <v>2160</v>
      </c>
      <c r="B692" t="s">
        <v>14960</v>
      </c>
      <c r="C692">
        <v>3</v>
      </c>
      <c r="E692" t="s">
        <v>3413</v>
      </c>
      <c r="I692" t="s">
        <v>14961</v>
      </c>
      <c r="Q692" t="s">
        <v>34</v>
      </c>
      <c r="R692" t="s">
        <v>9</v>
      </c>
    </row>
    <row r="693" spans="1:18">
      <c r="A693">
        <v>2161</v>
      </c>
      <c r="B693" t="s">
        <v>14962</v>
      </c>
      <c r="C693">
        <v>3</v>
      </c>
      <c r="E693" t="s">
        <v>3413</v>
      </c>
      <c r="F693" t="s">
        <v>3412</v>
      </c>
      <c r="I693" t="s">
        <v>14963</v>
      </c>
      <c r="J693" t="s">
        <v>14964</v>
      </c>
      <c r="K693" t="s">
        <v>3410</v>
      </c>
      <c r="Q693" t="s">
        <v>177</v>
      </c>
      <c r="R693" t="s">
        <v>9</v>
      </c>
    </row>
    <row r="694" spans="1:18">
      <c r="A694">
        <v>2162</v>
      </c>
      <c r="B694" t="s">
        <v>14965</v>
      </c>
      <c r="C694">
        <v>3</v>
      </c>
      <c r="E694" t="s">
        <v>3413</v>
      </c>
      <c r="I694" t="s">
        <v>14966</v>
      </c>
      <c r="J694" t="s">
        <v>14967</v>
      </c>
      <c r="Q694" t="s">
        <v>605</v>
      </c>
      <c r="R694" t="s">
        <v>9</v>
      </c>
    </row>
    <row r="695" spans="1:18">
      <c r="A695">
        <v>2163</v>
      </c>
      <c r="B695" t="s">
        <v>14968</v>
      </c>
      <c r="C695">
        <v>3</v>
      </c>
      <c r="E695" t="s">
        <v>3413</v>
      </c>
      <c r="I695" t="s">
        <v>14969</v>
      </c>
      <c r="Q695" t="s">
        <v>168</v>
      </c>
      <c r="R695" t="s">
        <v>9</v>
      </c>
    </row>
    <row r="696" spans="1:18">
      <c r="A696">
        <v>2164</v>
      </c>
      <c r="B696" t="s">
        <v>14970</v>
      </c>
      <c r="C696">
        <v>3</v>
      </c>
      <c r="E696" t="s">
        <v>3413</v>
      </c>
      <c r="I696" t="s">
        <v>14971</v>
      </c>
      <c r="J696" t="s">
        <v>14972</v>
      </c>
      <c r="Q696" t="s">
        <v>168</v>
      </c>
      <c r="R696" t="s">
        <v>9</v>
      </c>
    </row>
    <row r="697" spans="1:18">
      <c r="A697">
        <v>2165</v>
      </c>
      <c r="B697" t="s">
        <v>14973</v>
      </c>
      <c r="C697">
        <v>3</v>
      </c>
      <c r="E697" t="s">
        <v>3413</v>
      </c>
      <c r="I697" t="s">
        <v>14974</v>
      </c>
      <c r="Q697" t="s">
        <v>182</v>
      </c>
      <c r="R697" t="s">
        <v>9</v>
      </c>
    </row>
    <row r="698" spans="1:18">
      <c r="A698">
        <v>2166</v>
      </c>
      <c r="B698" t="s">
        <v>14975</v>
      </c>
      <c r="C698">
        <v>3</v>
      </c>
      <c r="E698" t="s">
        <v>3413</v>
      </c>
      <c r="I698" t="s">
        <v>14976</v>
      </c>
      <c r="Q698" t="s">
        <v>174</v>
      </c>
      <c r="R698" t="s">
        <v>9</v>
      </c>
    </row>
    <row r="699" spans="1:18">
      <c r="A699">
        <v>2167</v>
      </c>
      <c r="B699" t="s">
        <v>14977</v>
      </c>
      <c r="C699">
        <v>3</v>
      </c>
      <c r="E699" t="s">
        <v>3413</v>
      </c>
      <c r="I699" t="s">
        <v>14978</v>
      </c>
      <c r="J699" t="s">
        <v>14979</v>
      </c>
      <c r="K699" t="s">
        <v>14980</v>
      </c>
      <c r="Q699" t="s">
        <v>8</v>
      </c>
      <c r="R699" t="s">
        <v>9</v>
      </c>
    </row>
    <row r="700" spans="1:18">
      <c r="A700">
        <v>2168</v>
      </c>
      <c r="B700" t="s">
        <v>14981</v>
      </c>
      <c r="C700">
        <v>3</v>
      </c>
      <c r="E700" t="s">
        <v>3413</v>
      </c>
      <c r="I700" t="s">
        <v>14982</v>
      </c>
      <c r="Q700" t="s">
        <v>182</v>
      </c>
      <c r="R700" t="s">
        <v>9</v>
      </c>
    </row>
    <row r="701" spans="1:18">
      <c r="A701">
        <v>2169</v>
      </c>
      <c r="B701" t="s">
        <v>14983</v>
      </c>
      <c r="C701">
        <v>3</v>
      </c>
      <c r="E701" t="s">
        <v>3413</v>
      </c>
      <c r="I701" t="s">
        <v>14984</v>
      </c>
      <c r="Q701" t="s">
        <v>168</v>
      </c>
      <c r="R701" t="s">
        <v>9</v>
      </c>
    </row>
    <row r="702" spans="1:18">
      <c r="A702">
        <v>2170</v>
      </c>
      <c r="B702" t="s">
        <v>14985</v>
      </c>
      <c r="C702">
        <v>3</v>
      </c>
      <c r="E702" t="s">
        <v>3413</v>
      </c>
      <c r="I702" t="s">
        <v>14986</v>
      </c>
      <c r="Q702" t="s">
        <v>171</v>
      </c>
      <c r="R702" t="s">
        <v>9</v>
      </c>
    </row>
    <row r="703" spans="1:18">
      <c r="A703">
        <v>2171</v>
      </c>
      <c r="B703" t="s">
        <v>14987</v>
      </c>
      <c r="C703">
        <v>4</v>
      </c>
      <c r="E703" t="s">
        <v>3413</v>
      </c>
      <c r="I703" t="s">
        <v>14988</v>
      </c>
      <c r="J703" t="s">
        <v>14989</v>
      </c>
      <c r="Q703" t="s">
        <v>177</v>
      </c>
      <c r="R703" t="s">
        <v>9</v>
      </c>
    </row>
    <row r="704" spans="1:18">
      <c r="A704">
        <v>2172</v>
      </c>
      <c r="B704" t="s">
        <v>14990</v>
      </c>
      <c r="C704">
        <v>4</v>
      </c>
      <c r="E704" t="s">
        <v>3413</v>
      </c>
      <c r="I704" t="s">
        <v>1423</v>
      </c>
      <c r="J704" t="s">
        <v>14991</v>
      </c>
      <c r="Q704" t="s">
        <v>11</v>
      </c>
      <c r="R704" t="s">
        <v>9</v>
      </c>
    </row>
    <row r="705" spans="1:18">
      <c r="A705">
        <v>2173</v>
      </c>
      <c r="B705" t="s">
        <v>14992</v>
      </c>
      <c r="C705">
        <v>4</v>
      </c>
      <c r="E705" t="s">
        <v>3413</v>
      </c>
      <c r="I705" t="s">
        <v>14993</v>
      </c>
      <c r="Q705" t="s">
        <v>168</v>
      </c>
      <c r="R705" t="s">
        <v>9</v>
      </c>
    </row>
    <row r="706" spans="1:18">
      <c r="A706">
        <v>2174</v>
      </c>
      <c r="B706" t="s">
        <v>14994</v>
      </c>
      <c r="C706">
        <v>4</v>
      </c>
      <c r="E706" t="s">
        <v>3413</v>
      </c>
      <c r="F706" t="s">
        <v>3412</v>
      </c>
      <c r="I706" t="s">
        <v>14995</v>
      </c>
      <c r="J706" t="s">
        <v>4070</v>
      </c>
      <c r="Q706" t="s">
        <v>177</v>
      </c>
      <c r="R706" t="s">
        <v>9</v>
      </c>
    </row>
    <row r="707" spans="1:18">
      <c r="A707">
        <v>2175</v>
      </c>
      <c r="B707" t="s">
        <v>14996</v>
      </c>
      <c r="C707">
        <v>4</v>
      </c>
      <c r="E707" t="s">
        <v>3413</v>
      </c>
      <c r="I707" t="s">
        <v>14997</v>
      </c>
      <c r="Q707" t="s">
        <v>605</v>
      </c>
      <c r="R707" t="s">
        <v>9</v>
      </c>
    </row>
    <row r="708" spans="1:18">
      <c r="A708">
        <v>2176</v>
      </c>
      <c r="B708" t="s">
        <v>14998</v>
      </c>
      <c r="C708">
        <v>4</v>
      </c>
      <c r="E708" t="s">
        <v>14265</v>
      </c>
      <c r="F708" t="s">
        <v>3412</v>
      </c>
      <c r="I708" t="s">
        <v>14999</v>
      </c>
      <c r="J708" t="s">
        <v>3118</v>
      </c>
      <c r="Q708" t="s">
        <v>38</v>
      </c>
      <c r="R708" t="s">
        <v>9</v>
      </c>
    </row>
    <row r="709" spans="1:18">
      <c r="A709">
        <v>2177</v>
      </c>
      <c r="B709" t="s">
        <v>15000</v>
      </c>
      <c r="C709">
        <v>4</v>
      </c>
      <c r="E709" t="s">
        <v>3413</v>
      </c>
      <c r="I709" t="s">
        <v>15001</v>
      </c>
      <c r="Q709" t="s">
        <v>18</v>
      </c>
      <c r="R709" t="s">
        <v>9</v>
      </c>
    </row>
    <row r="710" spans="1:18">
      <c r="A710">
        <v>2178</v>
      </c>
      <c r="B710" t="s">
        <v>15002</v>
      </c>
      <c r="C710">
        <v>4</v>
      </c>
      <c r="E710" t="s">
        <v>3413</v>
      </c>
      <c r="I710" t="s">
        <v>15003</v>
      </c>
      <c r="Q710" t="s">
        <v>182</v>
      </c>
      <c r="R710" t="s">
        <v>9</v>
      </c>
    </row>
    <row r="711" spans="1:18">
      <c r="A711">
        <v>2179</v>
      </c>
      <c r="B711" t="s">
        <v>15004</v>
      </c>
      <c r="C711">
        <v>4</v>
      </c>
      <c r="E711" t="s">
        <v>14265</v>
      </c>
      <c r="F711" t="s">
        <v>3412</v>
      </c>
      <c r="I711" t="s">
        <v>15005</v>
      </c>
      <c r="J711" t="s">
        <v>14876</v>
      </c>
      <c r="K711" t="s">
        <v>3410</v>
      </c>
      <c r="Q711" t="s">
        <v>177</v>
      </c>
      <c r="R711" t="s">
        <v>9</v>
      </c>
    </row>
    <row r="712" spans="1:18">
      <c r="A712">
        <v>2180</v>
      </c>
      <c r="B712" t="s">
        <v>15006</v>
      </c>
      <c r="C712">
        <v>4</v>
      </c>
      <c r="E712" t="s">
        <v>3413</v>
      </c>
      <c r="F712" t="s">
        <v>3412</v>
      </c>
      <c r="I712" t="s">
        <v>15007</v>
      </c>
      <c r="J712" t="s">
        <v>15008</v>
      </c>
      <c r="K712" t="s">
        <v>13952</v>
      </c>
      <c r="Q712" t="s">
        <v>172</v>
      </c>
      <c r="R712" t="s">
        <v>9</v>
      </c>
    </row>
    <row r="713" spans="1:18">
      <c r="A713">
        <v>2181</v>
      </c>
      <c r="B713" t="s">
        <v>15009</v>
      </c>
      <c r="C713">
        <v>4</v>
      </c>
      <c r="E713" t="s">
        <v>3413</v>
      </c>
      <c r="I713" t="s">
        <v>15010</v>
      </c>
      <c r="J713" t="s">
        <v>15011</v>
      </c>
      <c r="Q713" t="s">
        <v>8</v>
      </c>
      <c r="R713" t="s">
        <v>9</v>
      </c>
    </row>
    <row r="714" spans="1:18">
      <c r="A714">
        <v>2182</v>
      </c>
      <c r="B714" t="s">
        <v>15012</v>
      </c>
      <c r="C714">
        <v>4</v>
      </c>
      <c r="E714" t="s">
        <v>3413</v>
      </c>
      <c r="I714" t="s">
        <v>15013</v>
      </c>
      <c r="J714" t="s">
        <v>15014</v>
      </c>
      <c r="Q714" t="s">
        <v>26</v>
      </c>
      <c r="R714" t="s">
        <v>9</v>
      </c>
    </row>
    <row r="715" spans="1:18">
      <c r="A715">
        <v>2183</v>
      </c>
      <c r="B715" t="s">
        <v>15015</v>
      </c>
      <c r="C715">
        <v>4</v>
      </c>
      <c r="E715" t="s">
        <v>3413</v>
      </c>
      <c r="I715" t="s">
        <v>15016</v>
      </c>
      <c r="Q715" t="s">
        <v>5281</v>
      </c>
      <c r="R715" t="s">
        <v>9</v>
      </c>
    </row>
    <row r="716" spans="1:18">
      <c r="A716">
        <v>2184</v>
      </c>
      <c r="B716" t="s">
        <v>15017</v>
      </c>
      <c r="C716">
        <v>4</v>
      </c>
      <c r="E716" t="s">
        <v>14265</v>
      </c>
      <c r="F716" t="s">
        <v>3412</v>
      </c>
      <c r="I716" t="s">
        <v>15018</v>
      </c>
      <c r="J716" t="s">
        <v>15019</v>
      </c>
      <c r="K716" t="s">
        <v>14092</v>
      </c>
      <c r="Q716" t="s">
        <v>168</v>
      </c>
      <c r="R716" t="s">
        <v>9</v>
      </c>
    </row>
    <row r="717" spans="1:18">
      <c r="A717">
        <v>2185</v>
      </c>
      <c r="B717" t="s">
        <v>15020</v>
      </c>
      <c r="C717">
        <v>4</v>
      </c>
      <c r="E717" t="s">
        <v>3413</v>
      </c>
      <c r="I717" t="s">
        <v>15021</v>
      </c>
      <c r="Q717" t="s">
        <v>182</v>
      </c>
      <c r="R717" t="s">
        <v>9</v>
      </c>
    </row>
    <row r="718" spans="1:18">
      <c r="A718">
        <v>2186</v>
      </c>
      <c r="B718" t="s">
        <v>15022</v>
      </c>
      <c r="C718">
        <v>4</v>
      </c>
      <c r="E718" t="s">
        <v>3413</v>
      </c>
      <c r="I718" t="s">
        <v>15023</v>
      </c>
      <c r="Q718" t="s">
        <v>176</v>
      </c>
      <c r="R718" t="s">
        <v>9</v>
      </c>
    </row>
    <row r="719" spans="1:18">
      <c r="A719">
        <v>2187</v>
      </c>
      <c r="B719" t="s">
        <v>15024</v>
      </c>
      <c r="C719">
        <v>4</v>
      </c>
      <c r="E719" t="s">
        <v>3413</v>
      </c>
      <c r="I719" t="s">
        <v>15025</v>
      </c>
      <c r="Q719" t="s">
        <v>177</v>
      </c>
      <c r="R719" t="s">
        <v>9</v>
      </c>
    </row>
    <row r="720" spans="1:18">
      <c r="A720">
        <v>2188</v>
      </c>
      <c r="B720" t="s">
        <v>15026</v>
      </c>
      <c r="C720">
        <v>4</v>
      </c>
      <c r="E720" t="s">
        <v>3413</v>
      </c>
      <c r="I720" t="s">
        <v>15027</v>
      </c>
      <c r="Q720" t="s">
        <v>168</v>
      </c>
      <c r="R720" t="s">
        <v>9</v>
      </c>
    </row>
    <row r="721" spans="1:18">
      <c r="A721">
        <v>2189</v>
      </c>
      <c r="B721" t="s">
        <v>15028</v>
      </c>
      <c r="C721" t="s">
        <v>849</v>
      </c>
      <c r="E721" t="s">
        <v>3413</v>
      </c>
      <c r="I721" t="s">
        <v>15029</v>
      </c>
      <c r="Q721" t="s">
        <v>15</v>
      </c>
      <c r="R721" t="s">
        <v>9</v>
      </c>
    </row>
    <row r="722" spans="1:18">
      <c r="A722">
        <v>2190</v>
      </c>
      <c r="B722" t="s">
        <v>15030</v>
      </c>
      <c r="C722">
        <v>4</v>
      </c>
      <c r="E722" t="s">
        <v>3413</v>
      </c>
      <c r="F722" t="s">
        <v>3412</v>
      </c>
      <c r="I722" t="s">
        <v>15031</v>
      </c>
      <c r="J722" t="s">
        <v>15032</v>
      </c>
      <c r="K722" t="s">
        <v>3410</v>
      </c>
      <c r="Q722" t="s">
        <v>607</v>
      </c>
      <c r="R722" t="s">
        <v>9</v>
      </c>
    </row>
    <row r="723" spans="1:18">
      <c r="A723">
        <v>2191</v>
      </c>
      <c r="B723" t="s">
        <v>15033</v>
      </c>
      <c r="C723">
        <v>4</v>
      </c>
      <c r="E723" t="s">
        <v>3413</v>
      </c>
      <c r="I723" t="s">
        <v>15034</v>
      </c>
      <c r="Q723" t="s">
        <v>168</v>
      </c>
      <c r="R723" t="s">
        <v>9</v>
      </c>
    </row>
    <row r="724" spans="1:18">
      <c r="A724">
        <v>2192</v>
      </c>
      <c r="B724" t="s">
        <v>15035</v>
      </c>
      <c r="C724">
        <v>4</v>
      </c>
      <c r="E724" t="s">
        <v>3413</v>
      </c>
      <c r="I724" t="s">
        <v>15036</v>
      </c>
      <c r="J724" t="s">
        <v>15037</v>
      </c>
      <c r="Q724" t="s">
        <v>10</v>
      </c>
      <c r="R724" t="s">
        <v>9</v>
      </c>
    </row>
    <row r="725" spans="1:18">
      <c r="A725">
        <v>2193</v>
      </c>
      <c r="B725" t="s">
        <v>15038</v>
      </c>
      <c r="C725">
        <v>4</v>
      </c>
      <c r="E725" t="s">
        <v>3413</v>
      </c>
      <c r="F725" t="s">
        <v>3412</v>
      </c>
      <c r="I725" t="s">
        <v>15039</v>
      </c>
      <c r="J725" t="s">
        <v>3410</v>
      </c>
      <c r="Q725" t="s">
        <v>170</v>
      </c>
      <c r="R725" t="s">
        <v>9</v>
      </c>
    </row>
    <row r="726" spans="1:18">
      <c r="A726">
        <v>2194</v>
      </c>
      <c r="B726" t="s">
        <v>15040</v>
      </c>
      <c r="C726">
        <v>4</v>
      </c>
      <c r="E726" t="s">
        <v>3413</v>
      </c>
      <c r="I726" t="s">
        <v>15041</v>
      </c>
      <c r="Q726" t="s">
        <v>171</v>
      </c>
      <c r="R726" t="s">
        <v>9</v>
      </c>
    </row>
    <row r="727" spans="1:18">
      <c r="A727">
        <v>2195</v>
      </c>
      <c r="B727" t="s">
        <v>15042</v>
      </c>
      <c r="C727">
        <v>4</v>
      </c>
      <c r="E727" t="s">
        <v>3413</v>
      </c>
      <c r="I727" t="s">
        <v>15043</v>
      </c>
      <c r="Q727" t="s">
        <v>174</v>
      </c>
      <c r="R727" t="s">
        <v>9</v>
      </c>
    </row>
    <row r="728" spans="1:18">
      <c r="A728">
        <v>2196</v>
      </c>
      <c r="B728" t="s">
        <v>3853</v>
      </c>
      <c r="C728">
        <v>4</v>
      </c>
      <c r="E728" t="s">
        <v>3413</v>
      </c>
      <c r="F728" t="s">
        <v>3867</v>
      </c>
      <c r="I728" t="s">
        <v>1502</v>
      </c>
      <c r="J728" t="s">
        <v>3854</v>
      </c>
      <c r="K728" t="s">
        <v>13850</v>
      </c>
      <c r="Q728" t="s">
        <v>26</v>
      </c>
      <c r="R728" t="s">
        <v>9</v>
      </c>
    </row>
    <row r="729" spans="1:18">
      <c r="A729">
        <v>2197</v>
      </c>
      <c r="B729" t="s">
        <v>15044</v>
      </c>
      <c r="C729">
        <v>4</v>
      </c>
      <c r="E729" t="s">
        <v>3413</v>
      </c>
      <c r="I729" t="s">
        <v>15045</v>
      </c>
      <c r="Q729" t="s">
        <v>182</v>
      </c>
      <c r="R729" t="s">
        <v>9</v>
      </c>
    </row>
    <row r="730" spans="1:18">
      <c r="A730">
        <v>2198</v>
      </c>
      <c r="B730" t="s">
        <v>15046</v>
      </c>
      <c r="C730">
        <v>4</v>
      </c>
      <c r="E730" t="s">
        <v>3413</v>
      </c>
      <c r="I730" t="s">
        <v>15047</v>
      </c>
      <c r="J730" t="s">
        <v>15048</v>
      </c>
      <c r="Q730" t="s">
        <v>177</v>
      </c>
      <c r="R730" t="s">
        <v>9</v>
      </c>
    </row>
    <row r="731" spans="1:18">
      <c r="A731">
        <v>2199</v>
      </c>
      <c r="B731" t="s">
        <v>15049</v>
      </c>
      <c r="C731">
        <v>4</v>
      </c>
      <c r="E731" t="s">
        <v>3413</v>
      </c>
      <c r="I731" t="s">
        <v>15050</v>
      </c>
      <c r="J731" t="s">
        <v>15051</v>
      </c>
      <c r="Q731" t="s">
        <v>5685</v>
      </c>
      <c r="R731" t="s">
        <v>9</v>
      </c>
    </row>
    <row r="732" spans="1:18">
      <c r="A732">
        <v>2200</v>
      </c>
      <c r="B732" t="s">
        <v>15052</v>
      </c>
      <c r="C732">
        <v>4</v>
      </c>
      <c r="E732" t="s">
        <v>3413</v>
      </c>
      <c r="I732" t="s">
        <v>15053</v>
      </c>
      <c r="Q732" t="s">
        <v>168</v>
      </c>
      <c r="R732" t="s">
        <v>9</v>
      </c>
    </row>
    <row r="733" spans="1:18">
      <c r="A733">
        <v>2201</v>
      </c>
      <c r="B733" t="s">
        <v>14490</v>
      </c>
      <c r="C733">
        <v>4</v>
      </c>
      <c r="E733" t="s">
        <v>3413</v>
      </c>
      <c r="I733" t="s">
        <v>14491</v>
      </c>
      <c r="Q733" t="s">
        <v>169</v>
      </c>
      <c r="R733" t="s">
        <v>9</v>
      </c>
    </row>
    <row r="734" spans="1:18">
      <c r="A734">
        <v>2202</v>
      </c>
      <c r="B734" t="s">
        <v>15054</v>
      </c>
      <c r="C734">
        <v>4</v>
      </c>
      <c r="E734" t="s">
        <v>3413</v>
      </c>
      <c r="I734" t="s">
        <v>15055</v>
      </c>
      <c r="J734" t="s">
        <v>15056</v>
      </c>
      <c r="Q734" t="s">
        <v>52</v>
      </c>
      <c r="R734" t="s">
        <v>9</v>
      </c>
    </row>
    <row r="735" spans="1:18">
      <c r="A735">
        <v>2203</v>
      </c>
      <c r="B735" t="s">
        <v>15057</v>
      </c>
      <c r="C735">
        <v>4</v>
      </c>
      <c r="E735" t="s">
        <v>3413</v>
      </c>
      <c r="I735" t="s">
        <v>15058</v>
      </c>
      <c r="J735" t="s">
        <v>15059</v>
      </c>
      <c r="Q735" t="s">
        <v>175</v>
      </c>
      <c r="R735" t="s">
        <v>9</v>
      </c>
    </row>
    <row r="736" spans="1:18">
      <c r="A736">
        <v>2204</v>
      </c>
      <c r="B736" t="s">
        <v>15060</v>
      </c>
      <c r="C736">
        <v>4</v>
      </c>
      <c r="E736" t="s">
        <v>3413</v>
      </c>
      <c r="I736" t="s">
        <v>15061</v>
      </c>
      <c r="J736" t="s">
        <v>15062</v>
      </c>
      <c r="Q736" t="s">
        <v>34</v>
      </c>
      <c r="R736" t="s">
        <v>9</v>
      </c>
    </row>
    <row r="737" spans="1:18">
      <c r="A737">
        <v>2205</v>
      </c>
      <c r="B737" t="s">
        <v>4074</v>
      </c>
      <c r="C737">
        <v>4</v>
      </c>
      <c r="E737" t="s">
        <v>3413</v>
      </c>
      <c r="F737" t="s">
        <v>3412</v>
      </c>
      <c r="I737" t="s">
        <v>13577</v>
      </c>
      <c r="J737" t="s">
        <v>15063</v>
      </c>
      <c r="K737" t="s">
        <v>4067</v>
      </c>
      <c r="Q737" t="s">
        <v>606</v>
      </c>
      <c r="R737" t="s">
        <v>9</v>
      </c>
    </row>
    <row r="738" spans="1:18">
      <c r="A738">
        <v>2206</v>
      </c>
      <c r="B738" t="s">
        <v>15064</v>
      </c>
      <c r="C738">
        <v>4</v>
      </c>
      <c r="E738" t="s">
        <v>3413</v>
      </c>
      <c r="I738" t="s">
        <v>15065</v>
      </c>
      <c r="J738" t="s">
        <v>15066</v>
      </c>
      <c r="Q738" t="s">
        <v>29</v>
      </c>
      <c r="R738" t="s">
        <v>9</v>
      </c>
    </row>
    <row r="739" spans="1:18">
      <c r="A739">
        <v>2207</v>
      </c>
      <c r="B739" t="s">
        <v>4075</v>
      </c>
      <c r="C739">
        <v>4</v>
      </c>
      <c r="E739" t="s">
        <v>3413</v>
      </c>
      <c r="F739" t="s">
        <v>3412</v>
      </c>
      <c r="I739" t="s">
        <v>13577</v>
      </c>
      <c r="J739" t="s">
        <v>15067</v>
      </c>
      <c r="K739" t="s">
        <v>3409</v>
      </c>
      <c r="Q739" t="s">
        <v>176</v>
      </c>
      <c r="R739" t="s">
        <v>9</v>
      </c>
    </row>
    <row r="740" spans="1:18">
      <c r="A740">
        <v>2208</v>
      </c>
      <c r="B740" t="s">
        <v>15068</v>
      </c>
      <c r="C740">
        <v>4</v>
      </c>
      <c r="E740" t="s">
        <v>3413</v>
      </c>
      <c r="I740" t="s">
        <v>15069</v>
      </c>
      <c r="Q740" t="s">
        <v>606</v>
      </c>
      <c r="R740" t="s">
        <v>9</v>
      </c>
    </row>
    <row r="741" spans="1:18">
      <c r="A741">
        <v>2209</v>
      </c>
      <c r="B741" t="s">
        <v>15070</v>
      </c>
      <c r="C741">
        <v>4</v>
      </c>
      <c r="E741" t="s">
        <v>3413</v>
      </c>
      <c r="I741" t="s">
        <v>15071</v>
      </c>
      <c r="J741" t="s">
        <v>15072</v>
      </c>
      <c r="Q741" t="s">
        <v>45</v>
      </c>
      <c r="R741" t="s">
        <v>9</v>
      </c>
    </row>
    <row r="742" spans="1:18">
      <c r="A742">
        <v>2210</v>
      </c>
      <c r="B742" t="s">
        <v>15073</v>
      </c>
      <c r="C742">
        <v>4</v>
      </c>
      <c r="E742" t="s">
        <v>3413</v>
      </c>
      <c r="F742" t="s">
        <v>3412</v>
      </c>
      <c r="I742" t="s">
        <v>15063</v>
      </c>
      <c r="J742" t="s">
        <v>15074</v>
      </c>
      <c r="Q742" t="s">
        <v>168</v>
      </c>
      <c r="R742" t="s">
        <v>9</v>
      </c>
    </row>
    <row r="743" spans="1:18">
      <c r="A743">
        <v>2211</v>
      </c>
      <c r="B743" t="s">
        <v>15075</v>
      </c>
      <c r="C743">
        <v>4</v>
      </c>
      <c r="E743" t="s">
        <v>3413</v>
      </c>
      <c r="I743" t="s">
        <v>15076</v>
      </c>
      <c r="Q743" t="s">
        <v>171</v>
      </c>
      <c r="R743" t="s">
        <v>9</v>
      </c>
    </row>
    <row r="744" spans="1:18">
      <c r="A744">
        <v>2212</v>
      </c>
      <c r="B744" t="s">
        <v>15077</v>
      </c>
      <c r="C744">
        <v>4</v>
      </c>
      <c r="E744" t="s">
        <v>3413</v>
      </c>
      <c r="F744" t="s">
        <v>3412</v>
      </c>
      <c r="I744" t="s">
        <v>3421</v>
      </c>
      <c r="J744" t="s">
        <v>15078</v>
      </c>
      <c r="K744" t="s">
        <v>3410</v>
      </c>
      <c r="Q744" t="s">
        <v>52</v>
      </c>
      <c r="R744" t="s">
        <v>9</v>
      </c>
    </row>
    <row r="745" spans="1:18">
      <c r="A745">
        <v>2213</v>
      </c>
      <c r="B745" t="s">
        <v>15079</v>
      </c>
      <c r="C745">
        <v>4</v>
      </c>
      <c r="E745" t="s">
        <v>3413</v>
      </c>
      <c r="F745" t="s">
        <v>3412</v>
      </c>
      <c r="I745" t="s">
        <v>15080</v>
      </c>
      <c r="J745" t="s">
        <v>15081</v>
      </c>
      <c r="K745" t="s">
        <v>15082</v>
      </c>
      <c r="L745" t="s">
        <v>3118</v>
      </c>
      <c r="Q745" t="s">
        <v>11</v>
      </c>
      <c r="R745" t="s">
        <v>9</v>
      </c>
    </row>
    <row r="746" spans="1:18">
      <c r="A746">
        <v>2214</v>
      </c>
      <c r="B746" t="s">
        <v>15083</v>
      </c>
      <c r="C746">
        <v>4</v>
      </c>
      <c r="E746" t="s">
        <v>3413</v>
      </c>
      <c r="I746" t="s">
        <v>15084</v>
      </c>
      <c r="J746" t="s">
        <v>15085</v>
      </c>
      <c r="Q746" t="s">
        <v>17</v>
      </c>
      <c r="R746" t="s">
        <v>9</v>
      </c>
    </row>
    <row r="747" spans="1:18">
      <c r="A747">
        <v>2215</v>
      </c>
      <c r="B747" t="s">
        <v>15086</v>
      </c>
      <c r="C747">
        <v>4</v>
      </c>
      <c r="E747" t="s">
        <v>3413</v>
      </c>
      <c r="I747" t="s">
        <v>15087</v>
      </c>
      <c r="Q747" t="s">
        <v>174</v>
      </c>
      <c r="R747" t="s">
        <v>9</v>
      </c>
    </row>
    <row r="748" spans="1:18">
      <c r="A748">
        <v>2216</v>
      </c>
      <c r="B748" t="s">
        <v>15088</v>
      </c>
      <c r="C748">
        <v>4</v>
      </c>
      <c r="E748" t="s">
        <v>3413</v>
      </c>
      <c r="I748" t="s">
        <v>15089</v>
      </c>
      <c r="Q748" t="s">
        <v>604</v>
      </c>
      <c r="R748" t="s">
        <v>9</v>
      </c>
    </row>
    <row r="749" spans="1:18">
      <c r="A749">
        <v>2217</v>
      </c>
      <c r="B749" t="s">
        <v>15090</v>
      </c>
      <c r="C749">
        <v>4</v>
      </c>
      <c r="E749" t="s">
        <v>3413</v>
      </c>
      <c r="I749" t="s">
        <v>15091</v>
      </c>
      <c r="J749" t="s">
        <v>15092</v>
      </c>
      <c r="Q749" t="s">
        <v>50</v>
      </c>
      <c r="R749" t="s">
        <v>9</v>
      </c>
    </row>
    <row r="750" spans="1:18">
      <c r="A750">
        <v>2218</v>
      </c>
      <c r="B750" t="s">
        <v>15093</v>
      </c>
      <c r="C750">
        <v>4</v>
      </c>
      <c r="E750" t="s">
        <v>3413</v>
      </c>
      <c r="I750" t="s">
        <v>15094</v>
      </c>
      <c r="Q750" t="s">
        <v>175</v>
      </c>
      <c r="R750" t="s">
        <v>9</v>
      </c>
    </row>
    <row r="751" spans="1:18">
      <c r="A751">
        <v>2219</v>
      </c>
      <c r="B751" t="s">
        <v>15095</v>
      </c>
      <c r="C751">
        <v>4</v>
      </c>
      <c r="E751" t="s">
        <v>3413</v>
      </c>
      <c r="I751" t="s">
        <v>15096</v>
      </c>
      <c r="Q751" t="s">
        <v>179</v>
      </c>
      <c r="R751" t="s">
        <v>9</v>
      </c>
    </row>
    <row r="752" spans="1:18">
      <c r="A752">
        <v>2220</v>
      </c>
      <c r="B752" t="s">
        <v>15097</v>
      </c>
      <c r="C752">
        <v>4</v>
      </c>
      <c r="E752" t="s">
        <v>3413</v>
      </c>
      <c r="I752" t="s">
        <v>15098</v>
      </c>
      <c r="J752" t="s">
        <v>15099</v>
      </c>
      <c r="Q752" t="s">
        <v>26</v>
      </c>
      <c r="R752" t="s">
        <v>9</v>
      </c>
    </row>
    <row r="753" spans="1:18">
      <c r="A753">
        <v>2221</v>
      </c>
      <c r="B753" t="s">
        <v>15100</v>
      </c>
      <c r="C753">
        <v>4</v>
      </c>
      <c r="E753" t="s">
        <v>14265</v>
      </c>
      <c r="I753" t="s">
        <v>15101</v>
      </c>
      <c r="Q753" t="s">
        <v>5719</v>
      </c>
      <c r="R753" t="s">
        <v>9</v>
      </c>
    </row>
    <row r="754" spans="1:18">
      <c r="A754">
        <v>2222</v>
      </c>
      <c r="B754" t="s">
        <v>15102</v>
      </c>
      <c r="C754">
        <v>4</v>
      </c>
      <c r="E754" t="s">
        <v>3413</v>
      </c>
      <c r="I754" t="s">
        <v>15103</v>
      </c>
      <c r="J754" t="s">
        <v>15104</v>
      </c>
      <c r="Q754" t="s">
        <v>168</v>
      </c>
      <c r="R754" t="s">
        <v>9</v>
      </c>
    </row>
    <row r="755" spans="1:18">
      <c r="A755">
        <v>2223</v>
      </c>
      <c r="B755" t="s">
        <v>15105</v>
      </c>
      <c r="C755">
        <v>4</v>
      </c>
      <c r="E755" t="s">
        <v>3413</v>
      </c>
      <c r="I755" t="s">
        <v>13764</v>
      </c>
      <c r="J755" t="s">
        <v>15106</v>
      </c>
      <c r="K755" t="s">
        <v>15107</v>
      </c>
      <c r="Q755" t="s">
        <v>177</v>
      </c>
      <c r="R755" t="s">
        <v>9</v>
      </c>
    </row>
    <row r="756" spans="1:18">
      <c r="A756">
        <v>2224</v>
      </c>
      <c r="B756" t="s">
        <v>15108</v>
      </c>
      <c r="C756">
        <v>4</v>
      </c>
      <c r="E756" t="s">
        <v>3413</v>
      </c>
      <c r="I756" t="s">
        <v>15109</v>
      </c>
      <c r="Q756" t="s">
        <v>26</v>
      </c>
      <c r="R756" t="s">
        <v>9</v>
      </c>
    </row>
    <row r="757" spans="1:18">
      <c r="A757">
        <v>2225</v>
      </c>
      <c r="B757" t="s">
        <v>15110</v>
      </c>
      <c r="C757">
        <v>4</v>
      </c>
      <c r="E757" t="s">
        <v>3413</v>
      </c>
      <c r="I757" t="s">
        <v>15111</v>
      </c>
      <c r="J757" t="s">
        <v>15112</v>
      </c>
      <c r="P757" t="s">
        <v>153</v>
      </c>
      <c r="Q757" t="s">
        <v>30</v>
      </c>
      <c r="R757" t="s">
        <v>9</v>
      </c>
    </row>
    <row r="758" spans="1:18">
      <c r="A758">
        <v>2226</v>
      </c>
      <c r="B758" t="s">
        <v>15113</v>
      </c>
      <c r="C758">
        <v>0</v>
      </c>
      <c r="E758" t="s">
        <v>3736</v>
      </c>
      <c r="I758" t="s">
        <v>15114</v>
      </c>
      <c r="J758" t="s">
        <v>15115</v>
      </c>
      <c r="P758" t="s">
        <v>153</v>
      </c>
      <c r="Q758" t="s">
        <v>30</v>
      </c>
      <c r="R758" t="s">
        <v>9</v>
      </c>
    </row>
    <row r="759" spans="1:18">
      <c r="A759">
        <v>2227</v>
      </c>
      <c r="B759" t="s">
        <v>15116</v>
      </c>
      <c r="C759">
        <v>4</v>
      </c>
      <c r="E759" t="s">
        <v>3413</v>
      </c>
      <c r="I759" t="s">
        <v>15117</v>
      </c>
      <c r="Q759" t="s">
        <v>171</v>
      </c>
      <c r="R759" t="s">
        <v>9</v>
      </c>
    </row>
    <row r="760" spans="1:18">
      <c r="A760">
        <v>2228</v>
      </c>
      <c r="B760" t="s">
        <v>15118</v>
      </c>
      <c r="C760">
        <v>4</v>
      </c>
      <c r="E760" t="s">
        <v>3413</v>
      </c>
      <c r="I760" t="s">
        <v>15119</v>
      </c>
      <c r="Q760" t="s">
        <v>176</v>
      </c>
      <c r="R760" t="s">
        <v>9</v>
      </c>
    </row>
    <row r="761" spans="1:18">
      <c r="A761">
        <v>2229</v>
      </c>
      <c r="B761" t="s">
        <v>15120</v>
      </c>
      <c r="C761">
        <v>4</v>
      </c>
      <c r="E761" t="s">
        <v>3413</v>
      </c>
      <c r="F761" t="s">
        <v>3412</v>
      </c>
      <c r="I761" t="s">
        <v>15121</v>
      </c>
      <c r="J761" t="s">
        <v>15122</v>
      </c>
      <c r="K761" t="s">
        <v>4705</v>
      </c>
      <c r="Q761" t="s">
        <v>172</v>
      </c>
      <c r="R761" t="s">
        <v>9</v>
      </c>
    </row>
    <row r="762" spans="1:18">
      <c r="A762">
        <v>2230</v>
      </c>
      <c r="B762" t="s">
        <v>15123</v>
      </c>
      <c r="C762">
        <v>4</v>
      </c>
      <c r="E762" t="s">
        <v>3413</v>
      </c>
      <c r="I762" t="s">
        <v>15124</v>
      </c>
      <c r="Q762" t="s">
        <v>169</v>
      </c>
      <c r="R762" t="s">
        <v>9</v>
      </c>
    </row>
    <row r="763" spans="1:18">
      <c r="A763">
        <v>2231</v>
      </c>
      <c r="B763" t="s">
        <v>15125</v>
      </c>
      <c r="C763" t="s">
        <v>1103</v>
      </c>
      <c r="E763" t="s">
        <v>3413</v>
      </c>
      <c r="I763" t="s">
        <v>15126</v>
      </c>
      <c r="J763" t="s">
        <v>15127</v>
      </c>
      <c r="K763" t="s">
        <v>15128</v>
      </c>
      <c r="Q763" t="s">
        <v>15</v>
      </c>
      <c r="R763" t="s">
        <v>9</v>
      </c>
    </row>
    <row r="764" spans="1:18">
      <c r="A764">
        <v>2232</v>
      </c>
      <c r="B764" t="s">
        <v>15129</v>
      </c>
      <c r="C764">
        <v>4</v>
      </c>
      <c r="E764" t="s">
        <v>3413</v>
      </c>
      <c r="I764" t="s">
        <v>15130</v>
      </c>
      <c r="Q764" t="s">
        <v>168</v>
      </c>
      <c r="R764" t="s">
        <v>9</v>
      </c>
    </row>
    <row r="765" spans="1:18">
      <c r="A765">
        <v>2233</v>
      </c>
      <c r="B765" t="s">
        <v>15131</v>
      </c>
      <c r="C765" t="s">
        <v>15132</v>
      </c>
      <c r="E765" t="s">
        <v>3413</v>
      </c>
      <c r="I765" t="s">
        <v>12042</v>
      </c>
      <c r="J765" t="s">
        <v>15133</v>
      </c>
      <c r="Q765" t="s">
        <v>606</v>
      </c>
      <c r="R765" t="s">
        <v>9</v>
      </c>
    </row>
    <row r="766" spans="1:18">
      <c r="A766">
        <v>2234</v>
      </c>
      <c r="B766" t="s">
        <v>15134</v>
      </c>
      <c r="C766">
        <v>4</v>
      </c>
      <c r="E766" t="s">
        <v>3413</v>
      </c>
      <c r="I766" t="s">
        <v>15135</v>
      </c>
      <c r="J766" t="s">
        <v>15136</v>
      </c>
      <c r="K766" t="s">
        <v>15137</v>
      </c>
      <c r="L766" t="s">
        <v>15138</v>
      </c>
      <c r="Q766" t="s">
        <v>180</v>
      </c>
      <c r="R766" t="s">
        <v>9</v>
      </c>
    </row>
    <row r="767" spans="1:18">
      <c r="A767">
        <v>2235</v>
      </c>
      <c r="B767" t="s">
        <v>15139</v>
      </c>
      <c r="C767">
        <v>4</v>
      </c>
      <c r="E767" t="s">
        <v>3413</v>
      </c>
      <c r="F767" t="s">
        <v>3412</v>
      </c>
      <c r="I767" t="s">
        <v>13718</v>
      </c>
      <c r="J767" t="s">
        <v>15140</v>
      </c>
      <c r="K767" t="s">
        <v>4705</v>
      </c>
      <c r="Q767" t="s">
        <v>175</v>
      </c>
      <c r="R767" t="s">
        <v>9</v>
      </c>
    </row>
    <row r="768" spans="1:18">
      <c r="A768">
        <v>2236</v>
      </c>
      <c r="B768" t="s">
        <v>15141</v>
      </c>
      <c r="C768">
        <v>4</v>
      </c>
      <c r="E768" t="s">
        <v>3413</v>
      </c>
      <c r="F768" t="s">
        <v>3412</v>
      </c>
      <c r="I768" t="s">
        <v>13704</v>
      </c>
      <c r="J768" t="s">
        <v>15142</v>
      </c>
      <c r="K768" t="s">
        <v>3409</v>
      </c>
      <c r="Q768" t="s">
        <v>5281</v>
      </c>
      <c r="R768" t="s">
        <v>9</v>
      </c>
    </row>
    <row r="769" spans="1:18">
      <c r="A769">
        <v>2237</v>
      </c>
      <c r="B769" t="s">
        <v>15143</v>
      </c>
      <c r="C769">
        <v>4</v>
      </c>
      <c r="E769" t="s">
        <v>14265</v>
      </c>
      <c r="F769" t="s">
        <v>3412</v>
      </c>
      <c r="I769" t="s">
        <v>15144</v>
      </c>
      <c r="J769" t="s">
        <v>4070</v>
      </c>
      <c r="Q769" t="s">
        <v>5719</v>
      </c>
      <c r="R769" t="s">
        <v>9</v>
      </c>
    </row>
    <row r="770" spans="1:18">
      <c r="A770">
        <v>2238</v>
      </c>
      <c r="B770" t="s">
        <v>15145</v>
      </c>
      <c r="C770">
        <v>4</v>
      </c>
      <c r="E770" t="s">
        <v>3413</v>
      </c>
      <c r="I770" t="s">
        <v>15146</v>
      </c>
      <c r="Q770" t="s">
        <v>171</v>
      </c>
      <c r="R770" t="s">
        <v>9</v>
      </c>
    </row>
    <row r="771" spans="1:18">
      <c r="A771">
        <v>2239</v>
      </c>
      <c r="B771" t="s">
        <v>15147</v>
      </c>
      <c r="C771">
        <v>4</v>
      </c>
      <c r="E771" t="s">
        <v>3413</v>
      </c>
      <c r="I771" t="s">
        <v>15148</v>
      </c>
      <c r="Q771" t="s">
        <v>50</v>
      </c>
      <c r="R771" t="s">
        <v>9</v>
      </c>
    </row>
    <row r="772" spans="1:18">
      <c r="A772">
        <v>2240</v>
      </c>
      <c r="B772" t="s">
        <v>15149</v>
      </c>
      <c r="C772">
        <v>4</v>
      </c>
      <c r="E772" t="s">
        <v>3413</v>
      </c>
      <c r="I772" t="s">
        <v>15150</v>
      </c>
      <c r="Q772" t="s">
        <v>28</v>
      </c>
      <c r="R772" t="s">
        <v>9</v>
      </c>
    </row>
    <row r="773" spans="1:18">
      <c r="A773">
        <v>2241</v>
      </c>
      <c r="B773" t="s">
        <v>3855</v>
      </c>
      <c r="C773">
        <v>4</v>
      </c>
      <c r="E773" t="s">
        <v>3413</v>
      </c>
      <c r="F773" t="s">
        <v>3867</v>
      </c>
      <c r="I773" t="s">
        <v>3856</v>
      </c>
      <c r="J773" t="s">
        <v>13869</v>
      </c>
      <c r="P773" t="s">
        <v>153</v>
      </c>
      <c r="Q773" t="s">
        <v>30</v>
      </c>
      <c r="R773" t="s">
        <v>9</v>
      </c>
    </row>
    <row r="774" spans="1:18">
      <c r="A774">
        <v>2242</v>
      </c>
      <c r="B774" t="s">
        <v>3857</v>
      </c>
      <c r="C774">
        <v>0</v>
      </c>
      <c r="E774" t="s">
        <v>3736</v>
      </c>
      <c r="I774" t="s">
        <v>3858</v>
      </c>
      <c r="J774" t="s">
        <v>5684</v>
      </c>
      <c r="K774" t="s">
        <v>3859</v>
      </c>
      <c r="L774" t="s">
        <v>3860</v>
      </c>
      <c r="O774" t="s">
        <v>3861</v>
      </c>
      <c r="P774" t="s">
        <v>153</v>
      </c>
      <c r="Q774" t="s">
        <v>30</v>
      </c>
      <c r="R774" t="s">
        <v>9</v>
      </c>
    </row>
    <row r="775" spans="1:18">
      <c r="A775">
        <v>2243</v>
      </c>
      <c r="B775" t="s">
        <v>15151</v>
      </c>
      <c r="C775">
        <v>4</v>
      </c>
      <c r="E775" t="s">
        <v>3413</v>
      </c>
      <c r="I775" t="s">
        <v>15152</v>
      </c>
      <c r="J775" t="s">
        <v>15153</v>
      </c>
      <c r="K775" t="s">
        <v>15154</v>
      </c>
      <c r="Q775" t="s">
        <v>180</v>
      </c>
      <c r="R775" t="s">
        <v>9</v>
      </c>
    </row>
    <row r="776" spans="1:18">
      <c r="A776">
        <v>2244</v>
      </c>
      <c r="B776" t="s">
        <v>15155</v>
      </c>
      <c r="C776" t="s">
        <v>15156</v>
      </c>
      <c r="E776" t="s">
        <v>14265</v>
      </c>
      <c r="F776" t="s">
        <v>3412</v>
      </c>
      <c r="I776" t="s">
        <v>13873</v>
      </c>
      <c r="J776" t="s">
        <v>15157</v>
      </c>
      <c r="K776" t="s">
        <v>3409</v>
      </c>
      <c r="Q776" t="s">
        <v>1776</v>
      </c>
      <c r="R776" t="s">
        <v>9</v>
      </c>
    </row>
    <row r="777" spans="1:18">
      <c r="A777">
        <v>2245</v>
      </c>
      <c r="B777" t="s">
        <v>15158</v>
      </c>
      <c r="C777">
        <v>4</v>
      </c>
      <c r="E777" t="s">
        <v>3413</v>
      </c>
      <c r="I777" t="s">
        <v>15159</v>
      </c>
      <c r="Q777" t="s">
        <v>177</v>
      </c>
      <c r="R777" t="s">
        <v>9</v>
      </c>
    </row>
    <row r="778" spans="1:18">
      <c r="A778">
        <v>2246</v>
      </c>
      <c r="B778" t="s">
        <v>15160</v>
      </c>
      <c r="C778">
        <v>5</v>
      </c>
      <c r="E778" t="s">
        <v>3413</v>
      </c>
      <c r="I778" t="s">
        <v>15161</v>
      </c>
      <c r="Q778" t="s">
        <v>52</v>
      </c>
      <c r="R778" t="s">
        <v>9</v>
      </c>
    </row>
    <row r="779" spans="1:18">
      <c r="A779">
        <v>2247</v>
      </c>
      <c r="B779" t="s">
        <v>15162</v>
      </c>
      <c r="C779" t="s">
        <v>210</v>
      </c>
      <c r="E779" t="s">
        <v>3413</v>
      </c>
      <c r="I779" t="s">
        <v>15163</v>
      </c>
      <c r="Q779" t="s">
        <v>15</v>
      </c>
      <c r="R779" t="s">
        <v>9</v>
      </c>
    </row>
    <row r="780" spans="1:18">
      <c r="A780">
        <v>2248</v>
      </c>
      <c r="B780" t="s">
        <v>15164</v>
      </c>
      <c r="C780">
        <v>5</v>
      </c>
      <c r="E780" t="s">
        <v>3413</v>
      </c>
      <c r="I780" t="s">
        <v>15165</v>
      </c>
      <c r="Q780" t="s">
        <v>168</v>
      </c>
      <c r="R780" t="s">
        <v>9</v>
      </c>
    </row>
    <row r="781" spans="1:18">
      <c r="A781">
        <v>2249</v>
      </c>
      <c r="B781" t="s">
        <v>15166</v>
      </c>
      <c r="C781">
        <v>5</v>
      </c>
      <c r="E781" t="s">
        <v>3413</v>
      </c>
      <c r="I781" t="s">
        <v>15167</v>
      </c>
      <c r="J781" t="s">
        <v>15168</v>
      </c>
      <c r="Q781" t="s">
        <v>175</v>
      </c>
      <c r="R781" t="s">
        <v>9</v>
      </c>
    </row>
    <row r="782" spans="1:18">
      <c r="A782">
        <v>2250</v>
      </c>
      <c r="B782" t="s">
        <v>15169</v>
      </c>
      <c r="C782">
        <v>5</v>
      </c>
      <c r="E782" t="s">
        <v>14265</v>
      </c>
      <c r="I782" t="s">
        <v>15170</v>
      </c>
      <c r="J782" t="s">
        <v>15171</v>
      </c>
      <c r="Q782" t="s">
        <v>40</v>
      </c>
      <c r="R782" t="s">
        <v>9</v>
      </c>
    </row>
    <row r="783" spans="1:18">
      <c r="A783">
        <v>2251</v>
      </c>
      <c r="B783" t="s">
        <v>15172</v>
      </c>
      <c r="C783">
        <v>5</v>
      </c>
      <c r="E783" t="s">
        <v>3413</v>
      </c>
      <c r="I783" t="s">
        <v>15173</v>
      </c>
      <c r="Q783" t="s">
        <v>169</v>
      </c>
      <c r="R783" t="s">
        <v>9</v>
      </c>
    </row>
    <row r="784" spans="1:18">
      <c r="A784">
        <v>2252</v>
      </c>
      <c r="B784" t="s">
        <v>15174</v>
      </c>
      <c r="C784">
        <v>5</v>
      </c>
      <c r="E784" t="s">
        <v>3413</v>
      </c>
      <c r="I784" t="s">
        <v>15175</v>
      </c>
      <c r="Q784" t="s">
        <v>173</v>
      </c>
      <c r="R784" t="s">
        <v>9</v>
      </c>
    </row>
    <row r="785" spans="1:18">
      <c r="A785">
        <v>2253</v>
      </c>
      <c r="B785" t="s">
        <v>15176</v>
      </c>
      <c r="C785" t="s">
        <v>15177</v>
      </c>
      <c r="E785" t="s">
        <v>3413</v>
      </c>
      <c r="I785" t="s">
        <v>4942</v>
      </c>
      <c r="J785" t="s">
        <v>15178</v>
      </c>
      <c r="Q785" t="s">
        <v>606</v>
      </c>
      <c r="R785" t="s">
        <v>9</v>
      </c>
    </row>
    <row r="786" spans="1:18">
      <c r="A786">
        <v>2254</v>
      </c>
      <c r="B786" t="s">
        <v>15179</v>
      </c>
      <c r="C786">
        <v>5</v>
      </c>
      <c r="E786" t="s">
        <v>3413</v>
      </c>
      <c r="I786" t="s">
        <v>15180</v>
      </c>
      <c r="Q786" t="s">
        <v>605</v>
      </c>
      <c r="R786" t="s">
        <v>9</v>
      </c>
    </row>
    <row r="787" spans="1:18">
      <c r="A787">
        <v>2255</v>
      </c>
      <c r="B787" t="s">
        <v>15181</v>
      </c>
      <c r="C787">
        <v>5</v>
      </c>
      <c r="E787" t="s">
        <v>3413</v>
      </c>
      <c r="I787" t="s">
        <v>6632</v>
      </c>
      <c r="J787" t="s">
        <v>15182</v>
      </c>
      <c r="Q787" t="s">
        <v>48</v>
      </c>
      <c r="R787" t="s">
        <v>9</v>
      </c>
    </row>
    <row r="788" spans="1:18">
      <c r="A788">
        <v>2256</v>
      </c>
      <c r="B788" t="s">
        <v>15183</v>
      </c>
      <c r="C788">
        <v>5</v>
      </c>
      <c r="E788" t="s">
        <v>3413</v>
      </c>
      <c r="I788" t="s">
        <v>15184</v>
      </c>
      <c r="Q788" t="s">
        <v>183</v>
      </c>
      <c r="R788" t="s">
        <v>9</v>
      </c>
    </row>
    <row r="789" spans="1:18">
      <c r="A789">
        <v>2257</v>
      </c>
      <c r="B789" t="s">
        <v>15185</v>
      </c>
      <c r="C789">
        <v>5</v>
      </c>
      <c r="E789" t="s">
        <v>3413</v>
      </c>
      <c r="F789" t="s">
        <v>3412</v>
      </c>
      <c r="I789" t="s">
        <v>15186</v>
      </c>
      <c r="J789" t="s">
        <v>3118</v>
      </c>
      <c r="Q789" t="s">
        <v>8</v>
      </c>
      <c r="R789" t="s">
        <v>9</v>
      </c>
    </row>
    <row r="790" spans="1:18">
      <c r="A790">
        <v>2258</v>
      </c>
      <c r="B790" t="s">
        <v>15187</v>
      </c>
      <c r="C790">
        <v>5</v>
      </c>
      <c r="E790" t="s">
        <v>3413</v>
      </c>
      <c r="I790" t="s">
        <v>15188</v>
      </c>
      <c r="Q790" t="s">
        <v>168</v>
      </c>
      <c r="R790" t="s">
        <v>9</v>
      </c>
    </row>
    <row r="791" spans="1:18">
      <c r="A791">
        <v>2259</v>
      </c>
      <c r="B791" t="s">
        <v>15189</v>
      </c>
      <c r="C791">
        <v>5</v>
      </c>
      <c r="E791" t="s">
        <v>3413</v>
      </c>
      <c r="I791" t="s">
        <v>14675</v>
      </c>
      <c r="Q791" t="s">
        <v>5719</v>
      </c>
      <c r="R791" t="s">
        <v>9</v>
      </c>
    </row>
    <row r="792" spans="1:18">
      <c r="A792">
        <v>2260</v>
      </c>
      <c r="B792" t="s">
        <v>15190</v>
      </c>
      <c r="C792">
        <v>5</v>
      </c>
      <c r="E792" t="s">
        <v>3413</v>
      </c>
      <c r="I792" t="s">
        <v>15191</v>
      </c>
      <c r="J792" t="s">
        <v>15192</v>
      </c>
      <c r="Q792" t="s">
        <v>176</v>
      </c>
      <c r="R792" t="s">
        <v>9</v>
      </c>
    </row>
    <row r="793" spans="1:18">
      <c r="A793">
        <v>2261</v>
      </c>
      <c r="B793" t="s">
        <v>15193</v>
      </c>
      <c r="C793">
        <v>5</v>
      </c>
      <c r="E793" t="s">
        <v>3413</v>
      </c>
      <c r="I793" t="s">
        <v>15194</v>
      </c>
      <c r="Q793" t="s">
        <v>169</v>
      </c>
      <c r="R793" t="s">
        <v>9</v>
      </c>
    </row>
    <row r="794" spans="1:18">
      <c r="A794">
        <v>2262</v>
      </c>
      <c r="B794" t="s">
        <v>15195</v>
      </c>
      <c r="C794">
        <v>5</v>
      </c>
      <c r="E794" t="s">
        <v>3413</v>
      </c>
      <c r="I794" t="s">
        <v>15196</v>
      </c>
      <c r="J794" t="s">
        <v>15197</v>
      </c>
      <c r="Q794" t="s">
        <v>170</v>
      </c>
      <c r="R794" t="s">
        <v>9</v>
      </c>
    </row>
    <row r="795" spans="1:18">
      <c r="A795">
        <v>2263</v>
      </c>
      <c r="B795" t="s">
        <v>15198</v>
      </c>
      <c r="C795">
        <v>5</v>
      </c>
      <c r="E795" t="s">
        <v>3413</v>
      </c>
      <c r="F795" t="s">
        <v>3412</v>
      </c>
      <c r="I795" t="s">
        <v>15199</v>
      </c>
      <c r="J795" t="s">
        <v>15200</v>
      </c>
      <c r="Q795" t="s">
        <v>174</v>
      </c>
      <c r="R795" t="s">
        <v>9</v>
      </c>
    </row>
    <row r="796" spans="1:18">
      <c r="A796">
        <v>2264</v>
      </c>
      <c r="B796" t="s">
        <v>15201</v>
      </c>
      <c r="C796">
        <v>5</v>
      </c>
      <c r="E796" t="s">
        <v>14265</v>
      </c>
      <c r="I796" t="s">
        <v>15202</v>
      </c>
      <c r="Q796" t="s">
        <v>49</v>
      </c>
      <c r="R796" t="s">
        <v>9</v>
      </c>
    </row>
    <row r="797" spans="1:18">
      <c r="A797">
        <v>2265</v>
      </c>
      <c r="B797" t="s">
        <v>15203</v>
      </c>
      <c r="C797">
        <v>5</v>
      </c>
      <c r="E797" t="s">
        <v>14265</v>
      </c>
      <c r="I797" t="s">
        <v>15204</v>
      </c>
      <c r="J797" t="s">
        <v>15205</v>
      </c>
      <c r="Q797" t="s">
        <v>183</v>
      </c>
      <c r="R797" t="s">
        <v>9</v>
      </c>
    </row>
    <row r="798" spans="1:18">
      <c r="A798">
        <v>2266</v>
      </c>
      <c r="B798" t="s">
        <v>15206</v>
      </c>
      <c r="C798">
        <v>5</v>
      </c>
      <c r="E798" t="s">
        <v>3413</v>
      </c>
      <c r="I798" t="s">
        <v>15207</v>
      </c>
      <c r="J798" t="s">
        <v>15208</v>
      </c>
      <c r="K798" t="s">
        <v>15209</v>
      </c>
      <c r="Q798" t="s">
        <v>31</v>
      </c>
      <c r="R798" t="s">
        <v>9</v>
      </c>
    </row>
    <row r="799" spans="1:18">
      <c r="A799">
        <v>2267</v>
      </c>
      <c r="B799" t="s">
        <v>15210</v>
      </c>
      <c r="C799">
        <v>5</v>
      </c>
      <c r="E799" t="s">
        <v>3413</v>
      </c>
      <c r="I799" t="s">
        <v>15211</v>
      </c>
      <c r="Q799" t="s">
        <v>173</v>
      </c>
      <c r="R799" t="s">
        <v>9</v>
      </c>
    </row>
    <row r="800" spans="1:18">
      <c r="A800">
        <v>2268</v>
      </c>
      <c r="B800" t="s">
        <v>15212</v>
      </c>
      <c r="C800">
        <v>5</v>
      </c>
      <c r="E800" t="s">
        <v>3413</v>
      </c>
      <c r="I800" t="s">
        <v>15213</v>
      </c>
      <c r="Q800" t="s">
        <v>168</v>
      </c>
      <c r="R800" t="s">
        <v>9</v>
      </c>
    </row>
    <row r="801" spans="1:18">
      <c r="A801">
        <v>2269</v>
      </c>
      <c r="B801" t="s">
        <v>15214</v>
      </c>
      <c r="C801">
        <v>5</v>
      </c>
      <c r="E801" t="s">
        <v>3413</v>
      </c>
      <c r="I801" t="s">
        <v>15215</v>
      </c>
      <c r="Q801" t="s">
        <v>176</v>
      </c>
      <c r="R801" t="s">
        <v>9</v>
      </c>
    </row>
    <row r="802" spans="1:18">
      <c r="A802">
        <v>2270</v>
      </c>
      <c r="B802" t="s">
        <v>15216</v>
      </c>
      <c r="C802">
        <v>5</v>
      </c>
      <c r="E802" t="s">
        <v>3413</v>
      </c>
      <c r="I802" t="s">
        <v>15217</v>
      </c>
      <c r="Q802" t="s">
        <v>15</v>
      </c>
      <c r="R802" t="s">
        <v>9</v>
      </c>
    </row>
    <row r="803" spans="1:18">
      <c r="A803">
        <v>2271</v>
      </c>
      <c r="B803" t="s">
        <v>15218</v>
      </c>
      <c r="C803">
        <v>5</v>
      </c>
      <c r="E803" t="s">
        <v>3413</v>
      </c>
      <c r="I803" t="s">
        <v>15219</v>
      </c>
      <c r="J803" t="s">
        <v>15220</v>
      </c>
      <c r="Q803" t="s">
        <v>177</v>
      </c>
      <c r="R803" t="s">
        <v>9</v>
      </c>
    </row>
    <row r="804" spans="1:18">
      <c r="A804">
        <v>2272</v>
      </c>
      <c r="B804" t="s">
        <v>15221</v>
      </c>
      <c r="C804">
        <v>5</v>
      </c>
      <c r="E804" t="s">
        <v>3413</v>
      </c>
      <c r="I804" t="s">
        <v>13670</v>
      </c>
      <c r="J804" t="s">
        <v>15222</v>
      </c>
      <c r="Q804" t="s">
        <v>605</v>
      </c>
      <c r="R804" t="s">
        <v>9</v>
      </c>
    </row>
    <row r="805" spans="1:18">
      <c r="A805">
        <v>2273</v>
      </c>
      <c r="B805" t="s">
        <v>15223</v>
      </c>
      <c r="C805">
        <v>5</v>
      </c>
      <c r="E805" t="s">
        <v>3413</v>
      </c>
      <c r="I805" t="s">
        <v>15224</v>
      </c>
      <c r="J805" t="s">
        <v>15225</v>
      </c>
      <c r="Q805" t="s">
        <v>50</v>
      </c>
      <c r="R805" t="s">
        <v>9</v>
      </c>
    </row>
    <row r="806" spans="1:18">
      <c r="A806">
        <v>2274</v>
      </c>
      <c r="B806" t="s">
        <v>15226</v>
      </c>
      <c r="C806">
        <v>5</v>
      </c>
      <c r="E806" t="s">
        <v>3413</v>
      </c>
      <c r="I806" t="s">
        <v>15227</v>
      </c>
      <c r="Q806" t="s">
        <v>3747</v>
      </c>
      <c r="R806" t="s">
        <v>9</v>
      </c>
    </row>
    <row r="807" spans="1:18">
      <c r="A807">
        <v>2275</v>
      </c>
      <c r="B807" t="s">
        <v>15228</v>
      </c>
      <c r="C807">
        <v>5</v>
      </c>
      <c r="E807" t="s">
        <v>3413</v>
      </c>
      <c r="I807" t="s">
        <v>15229</v>
      </c>
      <c r="Q807" t="s">
        <v>183</v>
      </c>
      <c r="R807" t="s">
        <v>9</v>
      </c>
    </row>
    <row r="808" spans="1:18">
      <c r="A808">
        <v>2276</v>
      </c>
      <c r="B808" t="s">
        <v>15230</v>
      </c>
      <c r="C808">
        <v>5</v>
      </c>
      <c r="E808" t="s">
        <v>14265</v>
      </c>
      <c r="I808" t="s">
        <v>15231</v>
      </c>
      <c r="J808" t="s">
        <v>15232</v>
      </c>
      <c r="Q808" t="s">
        <v>46</v>
      </c>
      <c r="R808" t="s">
        <v>9</v>
      </c>
    </row>
    <row r="809" spans="1:18">
      <c r="A809">
        <v>2277</v>
      </c>
      <c r="B809" t="s">
        <v>15233</v>
      </c>
      <c r="C809">
        <v>5</v>
      </c>
      <c r="E809" t="s">
        <v>3413</v>
      </c>
      <c r="I809" t="s">
        <v>15234</v>
      </c>
      <c r="J809" t="s">
        <v>15235</v>
      </c>
      <c r="K809" t="s">
        <v>15236</v>
      </c>
      <c r="Q809" t="s">
        <v>30</v>
      </c>
      <c r="R809" t="s">
        <v>9</v>
      </c>
    </row>
    <row r="810" spans="1:18">
      <c r="A810">
        <v>2278</v>
      </c>
      <c r="B810" t="s">
        <v>15237</v>
      </c>
      <c r="C810">
        <v>5</v>
      </c>
      <c r="E810" t="s">
        <v>3413</v>
      </c>
      <c r="I810" t="s">
        <v>13764</v>
      </c>
      <c r="J810" t="s">
        <v>15238</v>
      </c>
      <c r="K810" t="s">
        <v>15239</v>
      </c>
      <c r="Q810" t="s">
        <v>177</v>
      </c>
      <c r="R810" t="s">
        <v>9</v>
      </c>
    </row>
    <row r="811" spans="1:18">
      <c r="A811">
        <v>2279</v>
      </c>
      <c r="B811" t="s">
        <v>15240</v>
      </c>
      <c r="C811">
        <v>5</v>
      </c>
      <c r="E811" t="s">
        <v>3413</v>
      </c>
      <c r="I811" t="s">
        <v>15241</v>
      </c>
      <c r="J811" t="s">
        <v>15242</v>
      </c>
      <c r="Q811" t="s">
        <v>181</v>
      </c>
      <c r="R811" t="s">
        <v>9</v>
      </c>
    </row>
    <row r="812" spans="1:18">
      <c r="A812">
        <v>2280</v>
      </c>
      <c r="B812" t="s">
        <v>15243</v>
      </c>
      <c r="C812">
        <v>5</v>
      </c>
      <c r="E812" t="s">
        <v>3413</v>
      </c>
      <c r="I812" t="s">
        <v>15244</v>
      </c>
      <c r="Q812" t="s">
        <v>180</v>
      </c>
      <c r="R812" t="s">
        <v>9</v>
      </c>
    </row>
    <row r="813" spans="1:18">
      <c r="A813">
        <v>2281</v>
      </c>
      <c r="B813" t="s">
        <v>15245</v>
      </c>
      <c r="C813">
        <v>6</v>
      </c>
      <c r="E813" t="s">
        <v>3413</v>
      </c>
      <c r="I813" t="s">
        <v>15246</v>
      </c>
      <c r="J813" t="s">
        <v>15247</v>
      </c>
      <c r="Q813" t="s">
        <v>181</v>
      </c>
      <c r="R813" t="s">
        <v>9</v>
      </c>
    </row>
    <row r="814" spans="1:18">
      <c r="A814">
        <v>2282</v>
      </c>
      <c r="B814" t="s">
        <v>15248</v>
      </c>
      <c r="C814">
        <v>6</v>
      </c>
      <c r="E814" t="s">
        <v>3413</v>
      </c>
      <c r="I814" t="s">
        <v>15249</v>
      </c>
      <c r="Q814" t="s">
        <v>170</v>
      </c>
      <c r="R814" t="s">
        <v>9</v>
      </c>
    </row>
    <row r="815" spans="1:18">
      <c r="A815">
        <v>2283</v>
      </c>
      <c r="B815" t="s">
        <v>15250</v>
      </c>
      <c r="C815">
        <v>6</v>
      </c>
      <c r="E815" t="s">
        <v>3413</v>
      </c>
      <c r="I815" t="s">
        <v>15251</v>
      </c>
      <c r="J815" t="s">
        <v>15252</v>
      </c>
      <c r="Q815" t="s">
        <v>606</v>
      </c>
      <c r="R815" t="s">
        <v>9</v>
      </c>
    </row>
    <row r="816" spans="1:18">
      <c r="A816">
        <v>2284</v>
      </c>
      <c r="B816" t="s">
        <v>15253</v>
      </c>
      <c r="C816">
        <v>6</v>
      </c>
      <c r="E816" t="s">
        <v>3413</v>
      </c>
      <c r="F816" t="s">
        <v>3412</v>
      </c>
      <c r="I816" t="s">
        <v>15254</v>
      </c>
      <c r="J816" t="s">
        <v>15255</v>
      </c>
      <c r="K816" t="s">
        <v>4068</v>
      </c>
      <c r="Q816" t="s">
        <v>50</v>
      </c>
      <c r="R816" t="s">
        <v>9</v>
      </c>
    </row>
    <row r="817" spans="1:18">
      <c r="A817">
        <v>2285</v>
      </c>
      <c r="B817" t="s">
        <v>15256</v>
      </c>
      <c r="C817">
        <v>6</v>
      </c>
      <c r="E817" t="s">
        <v>3413</v>
      </c>
      <c r="I817" t="s">
        <v>15257</v>
      </c>
      <c r="J817" t="s">
        <v>15258</v>
      </c>
      <c r="K817" t="s">
        <v>15259</v>
      </c>
      <c r="Q817" t="s">
        <v>171</v>
      </c>
      <c r="R817" t="s">
        <v>9</v>
      </c>
    </row>
    <row r="818" spans="1:18">
      <c r="A818">
        <v>2286</v>
      </c>
      <c r="B818" t="s">
        <v>15260</v>
      </c>
      <c r="C818">
        <v>6</v>
      </c>
      <c r="E818" t="s">
        <v>3413</v>
      </c>
      <c r="I818" t="s">
        <v>15261</v>
      </c>
      <c r="Q818" t="s">
        <v>182</v>
      </c>
      <c r="R818" t="s">
        <v>9</v>
      </c>
    </row>
    <row r="819" spans="1:18">
      <c r="A819">
        <v>2287</v>
      </c>
      <c r="B819" t="s">
        <v>15262</v>
      </c>
      <c r="C819">
        <v>6</v>
      </c>
      <c r="E819" t="s">
        <v>3413</v>
      </c>
      <c r="I819" t="s">
        <v>15263</v>
      </c>
      <c r="J819" t="s">
        <v>15264</v>
      </c>
      <c r="Q819" t="s">
        <v>5381</v>
      </c>
      <c r="R819" t="s">
        <v>9</v>
      </c>
    </row>
    <row r="820" spans="1:18">
      <c r="A820">
        <v>2288</v>
      </c>
      <c r="B820" t="s">
        <v>15265</v>
      </c>
      <c r="C820">
        <v>6</v>
      </c>
      <c r="E820" t="s">
        <v>3413</v>
      </c>
      <c r="I820" t="s">
        <v>15266</v>
      </c>
      <c r="J820" t="s">
        <v>15267</v>
      </c>
      <c r="K820" t="s">
        <v>15268</v>
      </c>
      <c r="Q820" t="s">
        <v>177</v>
      </c>
      <c r="R820" t="s">
        <v>9</v>
      </c>
    </row>
    <row r="821" spans="1:18">
      <c r="A821">
        <v>2289</v>
      </c>
      <c r="B821" t="s">
        <v>15269</v>
      </c>
      <c r="C821">
        <v>6</v>
      </c>
      <c r="E821" t="s">
        <v>3413</v>
      </c>
      <c r="I821" t="s">
        <v>15270</v>
      </c>
      <c r="Q821" t="s">
        <v>175</v>
      </c>
      <c r="R821" t="s">
        <v>9</v>
      </c>
    </row>
    <row r="822" spans="1:18">
      <c r="A822">
        <v>2290</v>
      </c>
      <c r="B822" t="s">
        <v>15271</v>
      </c>
      <c r="C822">
        <v>6</v>
      </c>
      <c r="E822" t="s">
        <v>3413</v>
      </c>
      <c r="I822" t="s">
        <v>15272</v>
      </c>
      <c r="Q822" t="s">
        <v>168</v>
      </c>
      <c r="R822" t="s">
        <v>9</v>
      </c>
    </row>
    <row r="823" spans="1:18">
      <c r="A823">
        <v>2291</v>
      </c>
      <c r="B823" t="s">
        <v>15273</v>
      </c>
      <c r="C823">
        <v>6</v>
      </c>
      <c r="E823" t="s">
        <v>3413</v>
      </c>
      <c r="I823" t="s">
        <v>5014</v>
      </c>
      <c r="J823" t="s">
        <v>15274</v>
      </c>
      <c r="K823" t="s">
        <v>15275</v>
      </c>
      <c r="Q823" t="s">
        <v>172</v>
      </c>
      <c r="R823" t="s">
        <v>9</v>
      </c>
    </row>
    <row r="824" spans="1:18">
      <c r="A824">
        <v>2292</v>
      </c>
      <c r="B824" t="s">
        <v>15276</v>
      </c>
      <c r="C824">
        <v>6</v>
      </c>
      <c r="E824" t="s">
        <v>3413</v>
      </c>
      <c r="I824" t="s">
        <v>15277</v>
      </c>
      <c r="Q824" t="s">
        <v>182</v>
      </c>
      <c r="R824" t="s">
        <v>9</v>
      </c>
    </row>
    <row r="825" spans="1:18">
      <c r="A825">
        <v>2293</v>
      </c>
      <c r="B825" t="s">
        <v>15278</v>
      </c>
      <c r="C825">
        <v>6</v>
      </c>
      <c r="E825" t="s">
        <v>3413</v>
      </c>
      <c r="I825" t="s">
        <v>15279</v>
      </c>
      <c r="J825" t="s">
        <v>15280</v>
      </c>
      <c r="K825" t="s">
        <v>15281</v>
      </c>
      <c r="Q825" t="s">
        <v>606</v>
      </c>
      <c r="R825" t="s">
        <v>9</v>
      </c>
    </row>
    <row r="826" spans="1:18">
      <c r="A826">
        <v>2294</v>
      </c>
      <c r="B826" t="s">
        <v>15282</v>
      </c>
      <c r="C826">
        <v>6</v>
      </c>
      <c r="E826" t="s">
        <v>3413</v>
      </c>
      <c r="I826" t="s">
        <v>15283</v>
      </c>
      <c r="J826" t="s">
        <v>15284</v>
      </c>
      <c r="Q826" t="s">
        <v>605</v>
      </c>
      <c r="R826" t="s">
        <v>9</v>
      </c>
    </row>
    <row r="827" spans="1:18">
      <c r="A827">
        <v>2295</v>
      </c>
      <c r="B827" t="s">
        <v>15285</v>
      </c>
      <c r="C827">
        <v>6</v>
      </c>
      <c r="E827" t="s">
        <v>3413</v>
      </c>
      <c r="I827" t="s">
        <v>15286</v>
      </c>
      <c r="Q827" t="s">
        <v>168</v>
      </c>
      <c r="R827" t="s">
        <v>9</v>
      </c>
    </row>
    <row r="828" spans="1:18">
      <c r="A828">
        <v>2296</v>
      </c>
      <c r="B828" t="s">
        <v>15287</v>
      </c>
      <c r="C828">
        <v>6</v>
      </c>
      <c r="E828" t="s">
        <v>3413</v>
      </c>
      <c r="I828" t="s">
        <v>15288</v>
      </c>
      <c r="J828" t="s">
        <v>15289</v>
      </c>
      <c r="Q828" t="s">
        <v>50</v>
      </c>
      <c r="R828" t="s">
        <v>9</v>
      </c>
    </row>
    <row r="829" spans="1:18">
      <c r="A829">
        <v>2297</v>
      </c>
      <c r="B829" t="s">
        <v>15290</v>
      </c>
      <c r="C829">
        <v>6</v>
      </c>
      <c r="E829" t="s">
        <v>3413</v>
      </c>
      <c r="I829" t="s">
        <v>15291</v>
      </c>
      <c r="J829" t="s">
        <v>15292</v>
      </c>
      <c r="K829" t="s">
        <v>15293</v>
      </c>
      <c r="L829" t="s">
        <v>15294</v>
      </c>
      <c r="O829" t="s">
        <v>15295</v>
      </c>
      <c r="Q829" t="s">
        <v>18</v>
      </c>
      <c r="R829" t="s">
        <v>9</v>
      </c>
    </row>
    <row r="830" spans="1:18">
      <c r="A830">
        <v>2298</v>
      </c>
      <c r="B830" t="s">
        <v>15296</v>
      </c>
      <c r="C830">
        <v>6</v>
      </c>
      <c r="E830" t="s">
        <v>3413</v>
      </c>
      <c r="I830" t="s">
        <v>15297</v>
      </c>
      <c r="Q830" t="s">
        <v>606</v>
      </c>
      <c r="R830" t="s">
        <v>9</v>
      </c>
    </row>
    <row r="831" spans="1:18">
      <c r="A831">
        <v>2299</v>
      </c>
      <c r="B831" t="s">
        <v>15298</v>
      </c>
      <c r="C831">
        <v>6</v>
      </c>
      <c r="E831" t="s">
        <v>14265</v>
      </c>
      <c r="F831" t="s">
        <v>3412</v>
      </c>
      <c r="I831" t="s">
        <v>15018</v>
      </c>
      <c r="J831" t="s">
        <v>15299</v>
      </c>
      <c r="K831" t="s">
        <v>3118</v>
      </c>
      <c r="Q831" t="s">
        <v>175</v>
      </c>
      <c r="R831" t="s">
        <v>9</v>
      </c>
    </row>
    <row r="832" spans="1:18">
      <c r="A832">
        <v>2300</v>
      </c>
      <c r="B832" t="s">
        <v>15300</v>
      </c>
      <c r="C832">
        <v>6</v>
      </c>
      <c r="E832" t="s">
        <v>14265</v>
      </c>
      <c r="I832" t="s">
        <v>15301</v>
      </c>
      <c r="Q832" t="s">
        <v>168</v>
      </c>
      <c r="R832" t="s">
        <v>9</v>
      </c>
    </row>
    <row r="833" spans="1:18">
      <c r="A833">
        <v>2301</v>
      </c>
      <c r="B833" t="s">
        <v>15302</v>
      </c>
      <c r="C833">
        <v>6</v>
      </c>
      <c r="E833" t="s">
        <v>3413</v>
      </c>
      <c r="I833" t="s">
        <v>15303</v>
      </c>
      <c r="J833" t="s">
        <v>15304</v>
      </c>
      <c r="Q833" t="s">
        <v>176</v>
      </c>
      <c r="R833" t="s">
        <v>9</v>
      </c>
    </row>
    <row r="834" spans="1:18">
      <c r="A834">
        <v>2302</v>
      </c>
      <c r="B834" t="s">
        <v>15305</v>
      </c>
      <c r="C834">
        <v>7</v>
      </c>
      <c r="E834" t="s">
        <v>3413</v>
      </c>
      <c r="I834" t="s">
        <v>15306</v>
      </c>
      <c r="J834" t="s">
        <v>15307</v>
      </c>
      <c r="Q834" t="s">
        <v>176</v>
      </c>
      <c r="R834" t="s">
        <v>9</v>
      </c>
    </row>
    <row r="835" spans="1:18">
      <c r="A835">
        <v>2303</v>
      </c>
      <c r="B835" t="s">
        <v>15308</v>
      </c>
      <c r="C835">
        <v>7</v>
      </c>
      <c r="E835" t="s">
        <v>14265</v>
      </c>
      <c r="I835" t="s">
        <v>15309</v>
      </c>
      <c r="Q835" t="s">
        <v>34</v>
      </c>
      <c r="R835" t="s">
        <v>9</v>
      </c>
    </row>
    <row r="836" spans="1:18">
      <c r="A836">
        <v>2304</v>
      </c>
      <c r="B836" t="s">
        <v>15310</v>
      </c>
      <c r="C836">
        <v>7</v>
      </c>
      <c r="E836" t="s">
        <v>14265</v>
      </c>
      <c r="I836" t="s">
        <v>15311</v>
      </c>
      <c r="J836" t="s">
        <v>15312</v>
      </c>
      <c r="Q836" t="s">
        <v>169</v>
      </c>
      <c r="R836" t="s">
        <v>9</v>
      </c>
    </row>
    <row r="837" spans="1:18">
      <c r="A837">
        <v>2305</v>
      </c>
      <c r="B837" t="s">
        <v>15313</v>
      </c>
      <c r="C837">
        <v>7</v>
      </c>
      <c r="E837" t="s">
        <v>3413</v>
      </c>
      <c r="I837" t="s">
        <v>15314</v>
      </c>
      <c r="J837" t="s">
        <v>15315</v>
      </c>
      <c r="Q837" t="s">
        <v>605</v>
      </c>
      <c r="R837" t="s">
        <v>9</v>
      </c>
    </row>
    <row r="838" spans="1:18">
      <c r="A838">
        <v>2306</v>
      </c>
      <c r="B838" t="s">
        <v>15316</v>
      </c>
      <c r="C838">
        <v>7</v>
      </c>
      <c r="E838" t="s">
        <v>3413</v>
      </c>
      <c r="I838" t="s">
        <v>15317</v>
      </c>
      <c r="J838" t="s">
        <v>15318</v>
      </c>
      <c r="Q838" t="s">
        <v>168</v>
      </c>
      <c r="R838" t="s">
        <v>9</v>
      </c>
    </row>
    <row r="839" spans="1:18">
      <c r="A839">
        <v>2307</v>
      </c>
      <c r="B839" t="s">
        <v>15319</v>
      </c>
      <c r="C839">
        <v>7</v>
      </c>
      <c r="E839" t="s">
        <v>3413</v>
      </c>
      <c r="I839" t="s">
        <v>15320</v>
      </c>
      <c r="Q839" t="s">
        <v>29</v>
      </c>
      <c r="R839" t="s">
        <v>9</v>
      </c>
    </row>
    <row r="840" spans="1:18">
      <c r="A840">
        <v>2308</v>
      </c>
      <c r="B840" t="s">
        <v>15321</v>
      </c>
      <c r="C840">
        <v>7</v>
      </c>
      <c r="E840" t="s">
        <v>3413</v>
      </c>
      <c r="I840" t="s">
        <v>15322</v>
      </c>
      <c r="Q840" t="s">
        <v>170</v>
      </c>
      <c r="R840" t="s">
        <v>9</v>
      </c>
    </row>
    <row r="841" spans="1:18">
      <c r="A841">
        <v>2309</v>
      </c>
      <c r="B841" t="s">
        <v>15323</v>
      </c>
      <c r="C841">
        <v>8</v>
      </c>
      <c r="E841" t="s">
        <v>3413</v>
      </c>
      <c r="I841" t="s">
        <v>15324</v>
      </c>
      <c r="Q841" t="s">
        <v>171</v>
      </c>
      <c r="R841" t="s">
        <v>9</v>
      </c>
    </row>
    <row r="842" spans="1:18">
      <c r="A842">
        <v>2310</v>
      </c>
      <c r="B842" t="s">
        <v>15325</v>
      </c>
      <c r="C842">
        <v>8</v>
      </c>
      <c r="E842" t="s">
        <v>3413</v>
      </c>
      <c r="I842" t="s">
        <v>15326</v>
      </c>
      <c r="J842" t="s">
        <v>15327</v>
      </c>
      <c r="Q842" t="s">
        <v>605</v>
      </c>
      <c r="R842" t="s">
        <v>9</v>
      </c>
    </row>
    <row r="843" spans="1:18">
      <c r="A843">
        <v>2311</v>
      </c>
      <c r="B843" t="s">
        <v>15328</v>
      </c>
      <c r="C843">
        <v>9</v>
      </c>
      <c r="E843" t="s">
        <v>3413</v>
      </c>
      <c r="I843" t="s">
        <v>15329</v>
      </c>
      <c r="Q843" t="s">
        <v>177</v>
      </c>
      <c r="R843" t="s">
        <v>9</v>
      </c>
    </row>
    <row r="844" spans="1:18">
      <c r="A844">
        <v>3001</v>
      </c>
      <c r="B844" t="s">
        <v>15330</v>
      </c>
      <c r="C844">
        <v>0</v>
      </c>
      <c r="E844" t="s">
        <v>14265</v>
      </c>
      <c r="I844" t="s">
        <v>15331</v>
      </c>
      <c r="Q844" t="s">
        <v>50</v>
      </c>
      <c r="R844" t="s">
        <v>41</v>
      </c>
    </row>
    <row r="845" spans="1:18">
      <c r="A845">
        <v>3002</v>
      </c>
      <c r="B845" t="s">
        <v>15332</v>
      </c>
      <c r="C845">
        <v>0</v>
      </c>
      <c r="E845" t="s">
        <v>14265</v>
      </c>
      <c r="I845" t="s">
        <v>15333</v>
      </c>
      <c r="Q845" t="s">
        <v>5719</v>
      </c>
      <c r="R845" t="s">
        <v>41</v>
      </c>
    </row>
    <row r="846" spans="1:18">
      <c r="A846">
        <v>3003</v>
      </c>
      <c r="B846" t="s">
        <v>15334</v>
      </c>
      <c r="C846">
        <v>2</v>
      </c>
      <c r="E846" t="s">
        <v>14265</v>
      </c>
      <c r="I846" t="s">
        <v>15335</v>
      </c>
      <c r="N846" t="s">
        <v>153</v>
      </c>
      <c r="Q846" t="s">
        <v>36</v>
      </c>
      <c r="R846" t="s">
        <v>41</v>
      </c>
    </row>
    <row r="847" spans="1:18">
      <c r="A847">
        <v>3004</v>
      </c>
      <c r="B847" t="s">
        <v>15336</v>
      </c>
      <c r="C847">
        <v>0</v>
      </c>
      <c r="E847" t="s">
        <v>3617</v>
      </c>
      <c r="I847" t="s">
        <v>15337</v>
      </c>
      <c r="J847" t="s">
        <v>15338</v>
      </c>
      <c r="N847" t="s">
        <v>153</v>
      </c>
      <c r="Q847" t="s">
        <v>36</v>
      </c>
      <c r="R847" t="s">
        <v>41</v>
      </c>
    </row>
    <row r="848" spans="1:18">
      <c r="A848">
        <v>3005</v>
      </c>
      <c r="B848" t="s">
        <v>3862</v>
      </c>
      <c r="C848">
        <v>2</v>
      </c>
      <c r="E848" t="s">
        <v>14265</v>
      </c>
      <c r="F848" t="s">
        <v>3867</v>
      </c>
      <c r="I848" t="s">
        <v>3863</v>
      </c>
      <c r="J848" t="s">
        <v>13857</v>
      </c>
      <c r="K848" t="s">
        <v>3864</v>
      </c>
      <c r="Q848" t="s">
        <v>35</v>
      </c>
      <c r="R848" t="s">
        <v>41</v>
      </c>
    </row>
    <row r="849" spans="1:18">
      <c r="A849">
        <v>3006</v>
      </c>
      <c r="B849" t="s">
        <v>14808</v>
      </c>
      <c r="C849">
        <v>3</v>
      </c>
      <c r="E849" t="s">
        <v>3413</v>
      </c>
      <c r="I849" t="s">
        <v>14809</v>
      </c>
      <c r="Q849" t="s">
        <v>5685</v>
      </c>
      <c r="R849" t="s">
        <v>41</v>
      </c>
    </row>
    <row r="850" spans="1:18">
      <c r="A850">
        <v>3007</v>
      </c>
      <c r="B850" t="s">
        <v>14965</v>
      </c>
      <c r="C850">
        <v>3</v>
      </c>
      <c r="E850" t="s">
        <v>3413</v>
      </c>
      <c r="I850" t="s">
        <v>14966</v>
      </c>
      <c r="J850" t="s">
        <v>14967</v>
      </c>
      <c r="Q850" t="s">
        <v>768</v>
      </c>
      <c r="R850" t="s">
        <v>41</v>
      </c>
    </row>
    <row r="851" spans="1:18">
      <c r="A851">
        <v>3008</v>
      </c>
      <c r="B851" t="s">
        <v>15339</v>
      </c>
      <c r="C851">
        <v>3</v>
      </c>
      <c r="E851" t="s">
        <v>3413</v>
      </c>
      <c r="F851" t="s">
        <v>3412</v>
      </c>
      <c r="I851" t="s">
        <v>15340</v>
      </c>
      <c r="J851" t="s">
        <v>15341</v>
      </c>
      <c r="K851" t="s">
        <v>3409</v>
      </c>
      <c r="Q851" t="s">
        <v>606</v>
      </c>
      <c r="R851" t="s">
        <v>41</v>
      </c>
    </row>
    <row r="852" spans="1:18">
      <c r="A852">
        <v>3009</v>
      </c>
      <c r="B852" t="s">
        <v>14821</v>
      </c>
      <c r="C852">
        <v>3</v>
      </c>
      <c r="E852" t="s">
        <v>3413</v>
      </c>
      <c r="F852" t="s">
        <v>3412</v>
      </c>
      <c r="I852" t="s">
        <v>14822</v>
      </c>
      <c r="J852" t="s">
        <v>14823</v>
      </c>
      <c r="K852" t="s">
        <v>3409</v>
      </c>
      <c r="Q852" t="s">
        <v>768</v>
      </c>
      <c r="R852" t="s">
        <v>41</v>
      </c>
    </row>
    <row r="853" spans="1:18">
      <c r="A853">
        <v>3010</v>
      </c>
      <c r="B853" t="s">
        <v>15342</v>
      </c>
      <c r="C853" t="s">
        <v>208</v>
      </c>
      <c r="E853" t="s">
        <v>14265</v>
      </c>
      <c r="F853" t="s">
        <v>3412</v>
      </c>
      <c r="I853" t="s">
        <v>14456</v>
      </c>
      <c r="J853" t="s">
        <v>15343</v>
      </c>
      <c r="K853" t="s">
        <v>15344</v>
      </c>
      <c r="L853" t="s">
        <v>3118</v>
      </c>
      <c r="Q853" t="s">
        <v>27</v>
      </c>
      <c r="R853" t="s">
        <v>41</v>
      </c>
    </row>
    <row r="854" spans="1:18">
      <c r="A854">
        <v>3011</v>
      </c>
      <c r="B854" t="s">
        <v>14877</v>
      </c>
      <c r="C854">
        <v>3</v>
      </c>
      <c r="E854" t="s">
        <v>3413</v>
      </c>
      <c r="F854" t="s">
        <v>3412</v>
      </c>
      <c r="I854" t="s">
        <v>14878</v>
      </c>
      <c r="J854" t="s">
        <v>14879</v>
      </c>
      <c r="K854" t="s">
        <v>3409</v>
      </c>
      <c r="Q854" t="s">
        <v>768</v>
      </c>
      <c r="R854" t="s">
        <v>41</v>
      </c>
    </row>
    <row r="855" spans="1:18">
      <c r="A855">
        <v>3012</v>
      </c>
      <c r="B855" t="s">
        <v>15345</v>
      </c>
      <c r="C855">
        <v>3</v>
      </c>
      <c r="E855" t="s">
        <v>3413</v>
      </c>
      <c r="F855" t="s">
        <v>3412</v>
      </c>
      <c r="I855" t="s">
        <v>15346</v>
      </c>
      <c r="J855" t="s">
        <v>15347</v>
      </c>
      <c r="K855" t="s">
        <v>3409</v>
      </c>
      <c r="Q855" t="s">
        <v>176</v>
      </c>
      <c r="R855" t="s">
        <v>41</v>
      </c>
    </row>
    <row r="856" spans="1:18">
      <c r="A856">
        <v>3013</v>
      </c>
      <c r="B856" t="s">
        <v>15348</v>
      </c>
      <c r="C856">
        <v>3</v>
      </c>
      <c r="E856" t="s">
        <v>14265</v>
      </c>
      <c r="I856" t="s">
        <v>15349</v>
      </c>
      <c r="J856" t="s">
        <v>15350</v>
      </c>
      <c r="K856" t="s">
        <v>15351</v>
      </c>
      <c r="Q856" t="s">
        <v>44</v>
      </c>
      <c r="R856" t="s">
        <v>41</v>
      </c>
    </row>
    <row r="857" spans="1:18">
      <c r="A857">
        <v>3014</v>
      </c>
      <c r="B857" t="s">
        <v>15352</v>
      </c>
      <c r="C857">
        <v>3</v>
      </c>
      <c r="E857" t="s">
        <v>3413</v>
      </c>
      <c r="F857" t="s">
        <v>3412</v>
      </c>
      <c r="I857" t="s">
        <v>15353</v>
      </c>
      <c r="J857" t="s">
        <v>15354</v>
      </c>
      <c r="K857" t="s">
        <v>3409</v>
      </c>
      <c r="Q857" t="s">
        <v>50</v>
      </c>
      <c r="R857" t="s">
        <v>41</v>
      </c>
    </row>
    <row r="858" spans="1:18">
      <c r="A858">
        <v>3015</v>
      </c>
      <c r="B858" t="s">
        <v>15355</v>
      </c>
      <c r="C858">
        <v>4</v>
      </c>
      <c r="E858" t="s">
        <v>14265</v>
      </c>
      <c r="I858" t="s">
        <v>15356</v>
      </c>
      <c r="J858" t="s">
        <v>15357</v>
      </c>
      <c r="Q858" t="s">
        <v>172</v>
      </c>
      <c r="R858" t="s">
        <v>41</v>
      </c>
    </row>
    <row r="859" spans="1:18">
      <c r="A859">
        <v>3016</v>
      </c>
      <c r="B859" t="s">
        <v>15358</v>
      </c>
      <c r="C859">
        <v>4</v>
      </c>
      <c r="E859" t="s">
        <v>14265</v>
      </c>
      <c r="I859" t="s">
        <v>15359</v>
      </c>
      <c r="J859" t="s">
        <v>15360</v>
      </c>
      <c r="Q859" t="s">
        <v>45</v>
      </c>
      <c r="R859" t="s">
        <v>41</v>
      </c>
    </row>
    <row r="860" spans="1:18">
      <c r="A860">
        <v>3017</v>
      </c>
      <c r="B860" t="s">
        <v>15361</v>
      </c>
      <c r="C860">
        <v>4</v>
      </c>
      <c r="E860" t="s">
        <v>3413</v>
      </c>
      <c r="I860" t="s">
        <v>15362</v>
      </c>
      <c r="Q860" t="s">
        <v>172</v>
      </c>
      <c r="R860" t="s">
        <v>41</v>
      </c>
    </row>
    <row r="861" spans="1:18">
      <c r="A861">
        <v>3018</v>
      </c>
      <c r="B861" t="s">
        <v>15363</v>
      </c>
      <c r="C861">
        <v>4</v>
      </c>
      <c r="E861" t="s">
        <v>3413</v>
      </c>
      <c r="I861" t="s">
        <v>15364</v>
      </c>
      <c r="J861" t="s">
        <v>15365</v>
      </c>
      <c r="Q861" t="s">
        <v>50</v>
      </c>
      <c r="R861" t="s">
        <v>41</v>
      </c>
    </row>
    <row r="862" spans="1:18">
      <c r="A862">
        <v>3019</v>
      </c>
      <c r="B862" t="s">
        <v>15366</v>
      </c>
      <c r="C862">
        <v>4</v>
      </c>
      <c r="E862" t="s">
        <v>14265</v>
      </c>
      <c r="I862" t="s">
        <v>15367</v>
      </c>
      <c r="J862" t="s">
        <v>15368</v>
      </c>
      <c r="Q862" t="s">
        <v>26</v>
      </c>
      <c r="R862" t="s">
        <v>41</v>
      </c>
    </row>
    <row r="863" spans="1:18">
      <c r="A863">
        <v>3020</v>
      </c>
      <c r="B863" t="s">
        <v>15369</v>
      </c>
      <c r="C863">
        <v>4</v>
      </c>
      <c r="E863" t="s">
        <v>14265</v>
      </c>
      <c r="F863" t="s">
        <v>3867</v>
      </c>
      <c r="I863" t="s">
        <v>1</v>
      </c>
      <c r="J863" t="s">
        <v>15370</v>
      </c>
      <c r="K863" t="s">
        <v>3871</v>
      </c>
      <c r="Q863" t="s">
        <v>5719</v>
      </c>
      <c r="R863" t="s">
        <v>41</v>
      </c>
    </row>
    <row r="864" spans="1:18">
      <c r="A864">
        <v>3021</v>
      </c>
      <c r="B864" t="s">
        <v>3865</v>
      </c>
      <c r="C864">
        <v>5</v>
      </c>
      <c r="E864" t="s">
        <v>14265</v>
      </c>
      <c r="F864" t="s">
        <v>3867</v>
      </c>
      <c r="I864" t="s">
        <v>1</v>
      </c>
      <c r="J864" t="s">
        <v>3866</v>
      </c>
      <c r="K864" t="s">
        <v>13857</v>
      </c>
      <c r="Q864" t="s">
        <v>26</v>
      </c>
      <c r="R864" t="s">
        <v>41</v>
      </c>
    </row>
    <row r="865" spans="1:18">
      <c r="A865">
        <v>3022</v>
      </c>
      <c r="B865" t="s">
        <v>15371</v>
      </c>
      <c r="C865">
        <v>5</v>
      </c>
      <c r="E865" t="s">
        <v>14265</v>
      </c>
      <c r="I865" t="s">
        <v>15372</v>
      </c>
      <c r="Q865" t="s">
        <v>48</v>
      </c>
      <c r="R865" t="s">
        <v>41</v>
      </c>
    </row>
    <row r="866" spans="1:18">
      <c r="A866">
        <v>3023</v>
      </c>
      <c r="B866" t="s">
        <v>4077</v>
      </c>
      <c r="C866">
        <v>5</v>
      </c>
      <c r="E866" t="s">
        <v>3413</v>
      </c>
      <c r="F866" t="s">
        <v>3412</v>
      </c>
      <c r="I866" t="s">
        <v>13577</v>
      </c>
      <c r="J866" t="s">
        <v>15373</v>
      </c>
      <c r="K866" t="s">
        <v>4069</v>
      </c>
      <c r="L866" t="s">
        <v>4070</v>
      </c>
      <c r="Q866" t="s">
        <v>606</v>
      </c>
      <c r="R866" t="s">
        <v>41</v>
      </c>
    </row>
    <row r="867" spans="1:18">
      <c r="A867">
        <v>3024</v>
      </c>
      <c r="B867" t="s">
        <v>15374</v>
      </c>
      <c r="C867">
        <v>5</v>
      </c>
      <c r="E867" t="s">
        <v>14265</v>
      </c>
      <c r="I867" t="s">
        <v>15375</v>
      </c>
      <c r="Q867" t="s">
        <v>35</v>
      </c>
      <c r="R867" t="s">
        <v>41</v>
      </c>
    </row>
    <row r="868" spans="1:18">
      <c r="A868">
        <v>3025</v>
      </c>
      <c r="B868" t="s">
        <v>15376</v>
      </c>
      <c r="C868">
        <v>5</v>
      </c>
      <c r="E868" t="s">
        <v>3413</v>
      </c>
      <c r="I868" t="s">
        <v>15377</v>
      </c>
      <c r="J868" t="s">
        <v>15378</v>
      </c>
      <c r="Q868" t="s">
        <v>180</v>
      </c>
      <c r="R868" t="s">
        <v>41</v>
      </c>
    </row>
    <row r="869" spans="1:18">
      <c r="A869">
        <v>3026</v>
      </c>
      <c r="B869" t="s">
        <v>15379</v>
      </c>
      <c r="C869">
        <v>5</v>
      </c>
      <c r="E869" t="s">
        <v>3413</v>
      </c>
      <c r="I869" t="s">
        <v>15380</v>
      </c>
      <c r="J869" t="s">
        <v>15381</v>
      </c>
      <c r="Q869" t="s">
        <v>607</v>
      </c>
      <c r="R869" t="s">
        <v>41</v>
      </c>
    </row>
    <row r="870" spans="1:18">
      <c r="A870">
        <v>3027</v>
      </c>
      <c r="B870" t="s">
        <v>15382</v>
      </c>
      <c r="C870">
        <v>5</v>
      </c>
      <c r="E870" t="s">
        <v>14265</v>
      </c>
      <c r="I870" t="s">
        <v>15383</v>
      </c>
      <c r="J870" t="s">
        <v>15384</v>
      </c>
      <c r="Q870" t="s">
        <v>48</v>
      </c>
      <c r="R870" t="s">
        <v>41</v>
      </c>
    </row>
    <row r="871" spans="1:18">
      <c r="A871">
        <v>3028</v>
      </c>
      <c r="B871" t="s">
        <v>15385</v>
      </c>
      <c r="C871">
        <v>5</v>
      </c>
      <c r="E871" t="s">
        <v>3413</v>
      </c>
      <c r="I871" t="s">
        <v>15386</v>
      </c>
      <c r="Q871" t="s">
        <v>15</v>
      </c>
      <c r="R871" t="s">
        <v>41</v>
      </c>
    </row>
    <row r="872" spans="1:18">
      <c r="A872">
        <v>3029</v>
      </c>
      <c r="B872" t="s">
        <v>15387</v>
      </c>
      <c r="C872">
        <v>5</v>
      </c>
      <c r="E872" t="s">
        <v>14265</v>
      </c>
      <c r="I872" t="s">
        <v>15388</v>
      </c>
      <c r="J872" t="s">
        <v>15389</v>
      </c>
      <c r="Q872" t="s">
        <v>38</v>
      </c>
      <c r="R872" t="s">
        <v>41</v>
      </c>
    </row>
    <row r="873" spans="1:18">
      <c r="A873">
        <v>3030</v>
      </c>
      <c r="B873" t="s">
        <v>15390</v>
      </c>
      <c r="C873">
        <v>6</v>
      </c>
      <c r="E873" t="s">
        <v>14265</v>
      </c>
      <c r="I873" t="s">
        <v>15391</v>
      </c>
      <c r="Q873" t="s">
        <v>35</v>
      </c>
      <c r="R873" t="s">
        <v>41</v>
      </c>
    </row>
    <row r="874" spans="1:18">
      <c r="A874">
        <v>3031</v>
      </c>
      <c r="B874" t="s">
        <v>15392</v>
      </c>
      <c r="C874">
        <v>6</v>
      </c>
      <c r="E874" t="s">
        <v>3413</v>
      </c>
      <c r="I874" t="s">
        <v>15393</v>
      </c>
      <c r="J874" t="s">
        <v>15394</v>
      </c>
      <c r="Q874" t="s">
        <v>607</v>
      </c>
      <c r="R874" t="s">
        <v>41</v>
      </c>
    </row>
    <row r="875" spans="1:18">
      <c r="A875">
        <v>3032</v>
      </c>
      <c r="B875" t="s">
        <v>15395</v>
      </c>
      <c r="C875">
        <v>6</v>
      </c>
      <c r="E875" t="s">
        <v>14265</v>
      </c>
      <c r="I875" t="s">
        <v>15396</v>
      </c>
      <c r="J875" t="s">
        <v>15397</v>
      </c>
      <c r="Q875" t="s">
        <v>35</v>
      </c>
      <c r="R875" t="s">
        <v>41</v>
      </c>
    </row>
    <row r="876" spans="1:18">
      <c r="A876">
        <v>3033</v>
      </c>
      <c r="B876" t="s">
        <v>15300</v>
      </c>
      <c r="C876">
        <v>6</v>
      </c>
      <c r="E876" t="s">
        <v>14265</v>
      </c>
      <c r="I876" t="s">
        <v>15301</v>
      </c>
      <c r="Q876" t="s">
        <v>50</v>
      </c>
      <c r="R876" t="s">
        <v>41</v>
      </c>
    </row>
    <row r="877" spans="1:18">
      <c r="A877">
        <v>3034</v>
      </c>
      <c r="B877" t="s">
        <v>15398</v>
      </c>
      <c r="C877">
        <v>6</v>
      </c>
      <c r="E877" t="s">
        <v>14265</v>
      </c>
      <c r="I877" t="s">
        <v>15399</v>
      </c>
      <c r="J877" t="s">
        <v>15400</v>
      </c>
      <c r="K877" t="s">
        <v>15401</v>
      </c>
      <c r="L877" t="s">
        <v>15402</v>
      </c>
      <c r="Q877" t="s">
        <v>36</v>
      </c>
      <c r="R877" t="s">
        <v>41</v>
      </c>
    </row>
    <row r="878" spans="1:18">
      <c r="A878">
        <v>3035</v>
      </c>
      <c r="B878" t="s">
        <v>15308</v>
      </c>
      <c r="C878">
        <v>7</v>
      </c>
      <c r="E878" t="s">
        <v>14265</v>
      </c>
      <c r="I878" t="s">
        <v>15309</v>
      </c>
      <c r="Q878" t="s">
        <v>181</v>
      </c>
      <c r="R878" t="s">
        <v>41</v>
      </c>
    </row>
    <row r="879" spans="1:18">
      <c r="A879">
        <v>3036</v>
      </c>
      <c r="B879" t="s">
        <v>15403</v>
      </c>
      <c r="C879">
        <v>7</v>
      </c>
      <c r="E879" t="s">
        <v>14265</v>
      </c>
      <c r="F879" t="s">
        <v>3412</v>
      </c>
      <c r="I879" t="s">
        <v>13493</v>
      </c>
      <c r="J879" t="s">
        <v>15404</v>
      </c>
      <c r="K879" t="s">
        <v>3423</v>
      </c>
      <c r="N879" t="s">
        <v>153</v>
      </c>
      <c r="Q879" t="s">
        <v>44</v>
      </c>
      <c r="R879" t="s">
        <v>41</v>
      </c>
    </row>
    <row r="880" spans="1:18">
      <c r="A880">
        <v>3037</v>
      </c>
      <c r="B880" t="s">
        <v>15405</v>
      </c>
      <c r="C880">
        <v>0</v>
      </c>
      <c r="E880" t="s">
        <v>4747</v>
      </c>
      <c r="F880" t="s">
        <v>15406</v>
      </c>
      <c r="I880" t="s">
        <v>15407</v>
      </c>
      <c r="J880" t="s">
        <v>15408</v>
      </c>
      <c r="N880" t="s">
        <v>153</v>
      </c>
      <c r="O880" t="s">
        <v>15409</v>
      </c>
      <c r="Q880" t="s">
        <v>44</v>
      </c>
      <c r="R880" t="s">
        <v>41</v>
      </c>
    </row>
    <row r="881" spans="1:18">
      <c r="A881">
        <v>3038</v>
      </c>
      <c r="B881" t="s">
        <v>15328</v>
      </c>
      <c r="C881">
        <v>9</v>
      </c>
      <c r="E881" t="s">
        <v>3413</v>
      </c>
      <c r="I881" t="s">
        <v>15329</v>
      </c>
      <c r="Q881" t="s">
        <v>180</v>
      </c>
      <c r="R881" t="s">
        <v>41</v>
      </c>
    </row>
  </sheetData>
  <autoFilter ref="A1:R881"/>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tabSelected="1" workbookViewId="0">
      <selection activeCell="L18" sqref="L18"/>
    </sheetView>
  </sheetViews>
  <sheetFormatPr defaultRowHeight="13.5"/>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Y700"/>
  <sheetViews>
    <sheetView workbookViewId="0">
      <pane ySplit="1" topLeftCell="A2" activePane="bottomLeft" state="frozen"/>
      <selection pane="bottomLeft" sqref="A1:XFD1048576"/>
    </sheetView>
  </sheetViews>
  <sheetFormatPr defaultRowHeight="13.5"/>
  <cols>
    <col min="1" max="1" width="2.875" bestFit="1" customWidth="1"/>
    <col min="2" max="2" width="2.625" bestFit="1" customWidth="1"/>
    <col min="3" max="3" width="5.5" bestFit="1" customWidth="1"/>
    <col min="4" max="4" width="18.375" customWidth="1"/>
    <col min="6" max="6" width="5.375" bestFit="1" customWidth="1"/>
    <col min="9" max="9" width="5.875" customWidth="1"/>
    <col min="10" max="10" width="5.25" customWidth="1"/>
    <col min="19" max="19" width="11.5" customWidth="1"/>
  </cols>
  <sheetData>
    <row r="1" spans="1:25" s="1" customFormat="1">
      <c r="D1" s="1" t="s">
        <v>3151</v>
      </c>
      <c r="E1" s="1" t="s">
        <v>3152</v>
      </c>
      <c r="F1" s="1" t="s">
        <v>3160</v>
      </c>
      <c r="G1" s="1" t="s">
        <v>3153</v>
      </c>
      <c r="I1" s="1" t="s">
        <v>3155</v>
      </c>
      <c r="J1" s="1" t="s">
        <v>3156</v>
      </c>
      <c r="K1" s="1" t="s">
        <v>3157</v>
      </c>
      <c r="P1" s="2" t="s">
        <v>3456</v>
      </c>
      <c r="Q1" s="64" t="s">
        <v>4051</v>
      </c>
      <c r="R1" s="64" t="s">
        <v>4052</v>
      </c>
      <c r="S1" s="1" t="s">
        <v>3159</v>
      </c>
      <c r="V1" s="4" t="s">
        <v>3881</v>
      </c>
      <c r="W1" s="8" t="s">
        <v>3882</v>
      </c>
      <c r="X1" s="9" t="s">
        <v>3906</v>
      </c>
      <c r="Y1" s="10" t="s">
        <v>3907</v>
      </c>
    </row>
    <row r="2" spans="1:25">
      <c r="A2" s="101" t="s">
        <v>3498</v>
      </c>
      <c r="B2" s="101" t="s">
        <v>3759</v>
      </c>
      <c r="C2" s="101">
        <v>1</v>
      </c>
      <c r="D2" s="101" t="s">
        <v>6063</v>
      </c>
      <c r="E2" s="101" t="s">
        <v>186</v>
      </c>
      <c r="F2" s="101"/>
      <c r="G2" s="101" t="s">
        <v>3403</v>
      </c>
      <c r="H2" s="101"/>
      <c r="I2" s="101"/>
      <c r="J2" s="101"/>
      <c r="K2" s="101" t="s">
        <v>6064</v>
      </c>
      <c r="L2" s="101"/>
      <c r="M2" s="101"/>
      <c r="N2" s="101"/>
      <c r="O2" s="101"/>
      <c r="P2" s="101"/>
      <c r="Q2" s="101"/>
      <c r="R2" s="101"/>
      <c r="S2" s="101" t="s">
        <v>50</v>
      </c>
      <c r="T2" s="101" t="s">
        <v>4</v>
      </c>
    </row>
    <row r="3" spans="1:25">
      <c r="A3" s="101" t="s">
        <v>3498</v>
      </c>
      <c r="B3" s="101" t="s">
        <v>3759</v>
      </c>
      <c r="C3" s="101">
        <v>2</v>
      </c>
      <c r="D3" s="101" t="s">
        <v>6065</v>
      </c>
      <c r="E3" s="101" t="s">
        <v>186</v>
      </c>
      <c r="F3" s="101"/>
      <c r="G3" s="101" t="s">
        <v>3403</v>
      </c>
      <c r="H3" s="101"/>
      <c r="I3" s="101"/>
      <c r="J3" s="101"/>
      <c r="K3" s="101" t="s">
        <v>6066</v>
      </c>
      <c r="L3" s="101"/>
      <c r="M3" s="101"/>
      <c r="N3" s="101"/>
      <c r="O3" s="101"/>
      <c r="P3" s="101"/>
      <c r="Q3" s="101"/>
      <c r="R3" s="102"/>
      <c r="S3" s="102" t="s">
        <v>30</v>
      </c>
      <c r="T3" s="102" t="s">
        <v>4</v>
      </c>
    </row>
    <row r="4" spans="1:25">
      <c r="A4" s="101" t="s">
        <v>3498</v>
      </c>
      <c r="B4" s="101" t="s">
        <v>3759</v>
      </c>
      <c r="C4" s="101">
        <v>3</v>
      </c>
      <c r="D4" s="102" t="s">
        <v>4909</v>
      </c>
      <c r="E4" s="102" t="s">
        <v>186</v>
      </c>
      <c r="F4" s="102"/>
      <c r="G4" s="102" t="s">
        <v>3403</v>
      </c>
      <c r="H4" s="102"/>
      <c r="I4" s="102"/>
      <c r="J4" s="102"/>
      <c r="K4" s="102" t="s">
        <v>4910</v>
      </c>
      <c r="L4" s="102"/>
      <c r="M4" s="102"/>
      <c r="N4" s="102"/>
      <c r="O4" s="102"/>
      <c r="P4" s="102"/>
      <c r="Q4" s="102"/>
      <c r="R4" s="102"/>
      <c r="S4" s="102" t="s">
        <v>26</v>
      </c>
      <c r="T4" s="102" t="s">
        <v>4</v>
      </c>
    </row>
    <row r="5" spans="1:25">
      <c r="A5" s="101" t="s">
        <v>3498</v>
      </c>
      <c r="B5" s="101" t="s">
        <v>3759</v>
      </c>
      <c r="C5" s="101">
        <v>4</v>
      </c>
      <c r="D5" s="102" t="s">
        <v>6067</v>
      </c>
      <c r="E5" s="102" t="s">
        <v>186</v>
      </c>
      <c r="F5" s="102"/>
      <c r="G5" s="102" t="s">
        <v>3403</v>
      </c>
      <c r="H5" s="102"/>
      <c r="I5" s="102"/>
      <c r="J5" s="102"/>
      <c r="K5" s="102" t="s">
        <v>6068</v>
      </c>
      <c r="L5" s="102"/>
      <c r="M5" s="102"/>
      <c r="N5" s="102"/>
      <c r="O5" s="102"/>
      <c r="P5" s="102"/>
      <c r="Q5" s="102"/>
      <c r="R5" s="102"/>
      <c r="S5" s="102" t="s">
        <v>14</v>
      </c>
      <c r="T5" s="102" t="s">
        <v>4</v>
      </c>
    </row>
    <row r="6" spans="1:25">
      <c r="A6" s="101" t="s">
        <v>3498</v>
      </c>
      <c r="B6" s="101" t="s">
        <v>3759</v>
      </c>
      <c r="C6" s="101">
        <v>5</v>
      </c>
      <c r="D6" s="102" t="s">
        <v>6069</v>
      </c>
      <c r="E6" s="102" t="s">
        <v>186</v>
      </c>
      <c r="F6" s="102"/>
      <c r="G6" s="102" t="s">
        <v>3403</v>
      </c>
      <c r="H6" s="102"/>
      <c r="I6" s="102"/>
      <c r="J6" s="102"/>
      <c r="K6" s="102" t="s">
        <v>6070</v>
      </c>
      <c r="L6" s="102"/>
      <c r="M6" s="102"/>
      <c r="N6" s="102"/>
      <c r="O6" s="102"/>
      <c r="P6" s="102"/>
      <c r="Q6" s="102"/>
      <c r="R6" s="102"/>
      <c r="S6" s="102" t="s">
        <v>40</v>
      </c>
      <c r="T6" s="102" t="s">
        <v>4</v>
      </c>
    </row>
    <row r="7" spans="1:25">
      <c r="A7" s="101" t="s">
        <v>3498</v>
      </c>
      <c r="B7" s="101" t="s">
        <v>3759</v>
      </c>
      <c r="C7" s="101">
        <v>6</v>
      </c>
      <c r="D7" s="102" t="s">
        <v>6071</v>
      </c>
      <c r="E7" s="102" t="s">
        <v>186</v>
      </c>
      <c r="F7" s="102"/>
      <c r="G7" s="102" t="s">
        <v>3403</v>
      </c>
      <c r="H7" s="102"/>
      <c r="I7" s="102"/>
      <c r="J7" s="102"/>
      <c r="K7" s="102" t="s">
        <v>6072</v>
      </c>
      <c r="L7" s="102" t="s">
        <v>4953</v>
      </c>
      <c r="M7" s="102"/>
      <c r="N7" s="102"/>
      <c r="O7" s="102"/>
      <c r="P7" s="102"/>
      <c r="Q7" s="102"/>
      <c r="R7" s="102"/>
      <c r="S7" s="102" t="s">
        <v>17</v>
      </c>
      <c r="T7" s="102" t="s">
        <v>4</v>
      </c>
    </row>
    <row r="8" spans="1:25">
      <c r="A8" s="101" t="s">
        <v>3498</v>
      </c>
      <c r="B8" s="101" t="s">
        <v>3759</v>
      </c>
      <c r="C8" s="101">
        <v>7</v>
      </c>
      <c r="D8" s="102" t="s">
        <v>6073</v>
      </c>
      <c r="E8" s="102" t="s">
        <v>186</v>
      </c>
      <c r="F8" s="102"/>
      <c r="G8" s="102" t="s">
        <v>3403</v>
      </c>
      <c r="H8" s="102" t="s">
        <v>5180</v>
      </c>
      <c r="I8" s="102"/>
      <c r="J8" s="102"/>
      <c r="K8" s="102" t="s">
        <v>6074</v>
      </c>
      <c r="L8" s="102"/>
      <c r="M8" s="102"/>
      <c r="N8" s="102"/>
      <c r="O8" s="102"/>
      <c r="P8" s="102"/>
      <c r="Q8" s="102"/>
      <c r="R8" s="102"/>
      <c r="S8" s="102" t="s">
        <v>175</v>
      </c>
      <c r="T8" s="102" t="s">
        <v>4</v>
      </c>
    </row>
    <row r="9" spans="1:25">
      <c r="A9" s="101" t="s">
        <v>3498</v>
      </c>
      <c r="B9" s="101" t="s">
        <v>3759</v>
      </c>
      <c r="C9" s="101">
        <v>8</v>
      </c>
      <c r="D9" s="102" t="s">
        <v>6075</v>
      </c>
      <c r="E9" s="102" t="s">
        <v>186</v>
      </c>
      <c r="F9" s="102"/>
      <c r="G9" s="102" t="s">
        <v>3403</v>
      </c>
      <c r="H9" s="102"/>
      <c r="I9" s="102"/>
      <c r="J9" s="102"/>
      <c r="K9" s="102" t="s">
        <v>6076</v>
      </c>
      <c r="L9" s="102"/>
      <c r="M9" s="102"/>
      <c r="N9" s="102"/>
      <c r="O9" s="102"/>
      <c r="P9" s="102"/>
      <c r="Q9" s="102"/>
      <c r="R9" s="102"/>
      <c r="S9" s="102" t="s">
        <v>3119</v>
      </c>
      <c r="T9" s="102" t="s">
        <v>4</v>
      </c>
    </row>
    <row r="10" spans="1:25">
      <c r="A10" s="101" t="s">
        <v>3498</v>
      </c>
      <c r="B10" s="101" t="s">
        <v>3759</v>
      </c>
      <c r="C10" s="101">
        <v>9</v>
      </c>
      <c r="D10" s="102" t="s">
        <v>6077</v>
      </c>
      <c r="E10" s="102" t="s">
        <v>186</v>
      </c>
      <c r="F10" s="102"/>
      <c r="G10" s="102" t="s">
        <v>3403</v>
      </c>
      <c r="H10" s="102"/>
      <c r="I10" s="102"/>
      <c r="J10" s="102"/>
      <c r="K10" s="102" t="s">
        <v>6078</v>
      </c>
      <c r="L10" s="102"/>
      <c r="M10" s="102"/>
      <c r="N10" s="102"/>
      <c r="O10" s="102"/>
      <c r="P10" s="102"/>
      <c r="Q10" s="102"/>
      <c r="R10" s="102"/>
      <c r="S10" s="102" t="s">
        <v>169</v>
      </c>
      <c r="T10" s="102" t="s">
        <v>4</v>
      </c>
    </row>
    <row r="11" spans="1:25">
      <c r="A11" s="101" t="s">
        <v>3498</v>
      </c>
      <c r="B11" s="101" t="s">
        <v>3759</v>
      </c>
      <c r="C11" s="101">
        <v>10</v>
      </c>
      <c r="D11" s="102" t="s">
        <v>6079</v>
      </c>
      <c r="E11" s="102" t="s">
        <v>186</v>
      </c>
      <c r="F11" s="102"/>
      <c r="G11" s="102" t="s">
        <v>3403</v>
      </c>
      <c r="H11" s="102"/>
      <c r="I11" s="102"/>
      <c r="J11" s="102"/>
      <c r="K11" s="102" t="s">
        <v>4113</v>
      </c>
      <c r="L11" s="102" t="s">
        <v>6080</v>
      </c>
      <c r="M11" s="102" t="s">
        <v>6081</v>
      </c>
      <c r="N11" s="102"/>
      <c r="O11" s="102"/>
      <c r="P11" s="102"/>
      <c r="Q11" s="102"/>
      <c r="R11" s="102"/>
      <c r="S11" s="102" t="s">
        <v>35</v>
      </c>
      <c r="T11" s="102" t="s">
        <v>4</v>
      </c>
    </row>
    <row r="12" spans="1:25">
      <c r="A12" s="101" t="s">
        <v>3498</v>
      </c>
      <c r="B12" s="101" t="s">
        <v>3759</v>
      </c>
      <c r="C12" s="101">
        <v>11</v>
      </c>
      <c r="D12" s="102" t="s">
        <v>6082</v>
      </c>
      <c r="E12" s="102" t="s">
        <v>186</v>
      </c>
      <c r="F12" s="102"/>
      <c r="G12" s="102" t="s">
        <v>3403</v>
      </c>
      <c r="H12" s="102"/>
      <c r="I12" s="102"/>
      <c r="J12" s="102"/>
      <c r="K12" s="102" t="s">
        <v>6083</v>
      </c>
      <c r="L12" s="102"/>
      <c r="M12" s="102"/>
      <c r="N12" s="102"/>
      <c r="O12" s="102"/>
      <c r="P12" s="102"/>
      <c r="Q12" s="102"/>
      <c r="R12" s="102"/>
      <c r="S12" s="102" t="s">
        <v>605</v>
      </c>
      <c r="T12" s="102" t="s">
        <v>4</v>
      </c>
    </row>
    <row r="13" spans="1:25">
      <c r="A13" s="101" t="s">
        <v>3498</v>
      </c>
      <c r="B13" s="101" t="s">
        <v>3759</v>
      </c>
      <c r="C13" s="101">
        <v>12</v>
      </c>
      <c r="D13" s="102" t="s">
        <v>6084</v>
      </c>
      <c r="E13" s="102" t="s">
        <v>186</v>
      </c>
      <c r="F13" s="102"/>
      <c r="G13" s="102" t="s">
        <v>3403</v>
      </c>
      <c r="H13" s="102"/>
      <c r="I13" s="102"/>
      <c r="J13" s="102"/>
      <c r="K13" s="102" t="s">
        <v>6085</v>
      </c>
      <c r="L13" s="102"/>
      <c r="M13" s="102"/>
      <c r="N13" s="102"/>
      <c r="O13" s="102"/>
      <c r="P13" s="102"/>
      <c r="Q13" s="102"/>
      <c r="R13" s="102"/>
      <c r="S13" s="102" t="s">
        <v>3747</v>
      </c>
      <c r="T13" s="102" t="s">
        <v>4</v>
      </c>
    </row>
    <row r="14" spans="1:25">
      <c r="A14" s="101" t="s">
        <v>3498</v>
      </c>
      <c r="B14" s="101" t="s">
        <v>3759</v>
      </c>
      <c r="C14" s="101">
        <v>13</v>
      </c>
      <c r="D14" s="102" t="s">
        <v>6086</v>
      </c>
      <c r="E14" s="102" t="s">
        <v>186</v>
      </c>
      <c r="F14" s="102"/>
      <c r="G14" s="102" t="s">
        <v>3403</v>
      </c>
      <c r="H14" s="102"/>
      <c r="I14" s="102"/>
      <c r="J14" s="102"/>
      <c r="K14" s="102" t="s">
        <v>6087</v>
      </c>
      <c r="L14" s="102"/>
      <c r="M14" s="102"/>
      <c r="N14" s="102"/>
      <c r="O14" s="102"/>
      <c r="P14" s="102"/>
      <c r="Q14" s="102"/>
      <c r="R14" s="102"/>
      <c r="S14" s="102" t="s">
        <v>604</v>
      </c>
      <c r="T14" s="102" t="s">
        <v>4</v>
      </c>
    </row>
    <row r="15" spans="1:25">
      <c r="A15" s="101" t="s">
        <v>3498</v>
      </c>
      <c r="B15" s="101" t="s">
        <v>3759</v>
      </c>
      <c r="C15" s="101">
        <v>14</v>
      </c>
      <c r="D15" s="102" t="s">
        <v>6088</v>
      </c>
      <c r="E15" s="102" t="s">
        <v>186</v>
      </c>
      <c r="F15" s="102"/>
      <c r="G15" s="102" t="s">
        <v>3403</v>
      </c>
      <c r="H15" s="102" t="s">
        <v>5180</v>
      </c>
      <c r="I15" s="102"/>
      <c r="J15" s="102"/>
      <c r="K15" s="102" t="s">
        <v>6066</v>
      </c>
      <c r="L15" s="102"/>
      <c r="M15" s="102"/>
      <c r="N15" s="102"/>
      <c r="O15" s="102"/>
      <c r="P15" s="102"/>
      <c r="Q15" s="102"/>
      <c r="R15" s="102"/>
      <c r="S15" s="102" t="s">
        <v>175</v>
      </c>
      <c r="T15" s="102" t="s">
        <v>4</v>
      </c>
    </row>
    <row r="16" spans="1:25">
      <c r="A16" s="101" t="s">
        <v>3498</v>
      </c>
      <c r="B16" s="101" t="s">
        <v>3759</v>
      </c>
      <c r="C16" s="101">
        <v>15</v>
      </c>
      <c r="D16" s="102" t="s">
        <v>6089</v>
      </c>
      <c r="E16" s="102" t="s">
        <v>186</v>
      </c>
      <c r="F16" s="102"/>
      <c r="G16" s="102" t="s">
        <v>3403</v>
      </c>
      <c r="H16" s="102"/>
      <c r="I16" s="102"/>
      <c r="J16" s="102"/>
      <c r="K16" s="102" t="s">
        <v>6090</v>
      </c>
      <c r="L16" s="102"/>
      <c r="M16" s="102"/>
      <c r="N16" s="102"/>
      <c r="O16" s="102"/>
      <c r="P16" s="102"/>
      <c r="Q16" s="102"/>
      <c r="R16" s="102"/>
      <c r="S16" s="102" t="s">
        <v>5</v>
      </c>
      <c r="T16" s="102" t="s">
        <v>4</v>
      </c>
    </row>
    <row r="17" spans="1:20">
      <c r="A17" s="101" t="s">
        <v>3498</v>
      </c>
      <c r="B17" s="101" t="s">
        <v>3759</v>
      </c>
      <c r="C17" s="101">
        <v>16</v>
      </c>
      <c r="D17" s="102" t="s">
        <v>6091</v>
      </c>
      <c r="E17" s="102" t="s">
        <v>186</v>
      </c>
      <c r="F17" s="102"/>
      <c r="G17" s="102" t="s">
        <v>3403</v>
      </c>
      <c r="H17" s="102"/>
      <c r="I17" s="102"/>
      <c r="J17" s="102"/>
      <c r="K17" s="102" t="s">
        <v>6092</v>
      </c>
      <c r="L17" s="102" t="s">
        <v>3768</v>
      </c>
      <c r="M17" s="102"/>
      <c r="N17" s="102"/>
      <c r="O17" s="102"/>
      <c r="P17" s="102"/>
      <c r="Q17" s="102"/>
      <c r="R17" s="102"/>
      <c r="S17" s="102" t="s">
        <v>169</v>
      </c>
      <c r="T17" s="102" t="s">
        <v>4</v>
      </c>
    </row>
    <row r="18" spans="1:20">
      <c r="A18" s="101" t="s">
        <v>3498</v>
      </c>
      <c r="B18" s="101" t="s">
        <v>3759</v>
      </c>
      <c r="C18" s="101">
        <v>17</v>
      </c>
      <c r="D18" s="102" t="s">
        <v>6093</v>
      </c>
      <c r="E18" s="102" t="s">
        <v>186</v>
      </c>
      <c r="F18" s="102"/>
      <c r="G18" s="102" t="s">
        <v>3403</v>
      </c>
      <c r="H18" s="102"/>
      <c r="I18" s="102"/>
      <c r="J18" s="102"/>
      <c r="K18" s="102" t="s">
        <v>6094</v>
      </c>
      <c r="L18" s="102"/>
      <c r="M18" s="102"/>
      <c r="N18" s="102"/>
      <c r="O18" s="102"/>
      <c r="P18" s="102"/>
      <c r="Q18" s="102"/>
      <c r="R18" s="102"/>
      <c r="S18" s="102" t="s">
        <v>5719</v>
      </c>
      <c r="T18" s="102" t="s">
        <v>4</v>
      </c>
    </row>
    <row r="19" spans="1:20">
      <c r="A19" s="101" t="s">
        <v>3498</v>
      </c>
      <c r="B19" s="101" t="s">
        <v>3759</v>
      </c>
      <c r="C19" s="101">
        <v>18</v>
      </c>
      <c r="D19" s="102" t="s">
        <v>6095</v>
      </c>
      <c r="E19" s="102" t="s">
        <v>186</v>
      </c>
      <c r="F19" s="102"/>
      <c r="G19" s="102" t="s">
        <v>3403</v>
      </c>
      <c r="H19" s="102" t="s">
        <v>5180</v>
      </c>
      <c r="I19" s="102"/>
      <c r="J19" s="102"/>
      <c r="K19" s="102" t="s">
        <v>6096</v>
      </c>
      <c r="L19" s="102" t="s">
        <v>6097</v>
      </c>
      <c r="M19" s="102"/>
      <c r="N19" s="102"/>
      <c r="O19" s="102"/>
      <c r="P19" s="102"/>
      <c r="Q19" s="102"/>
      <c r="R19" s="102"/>
      <c r="S19" s="102" t="s">
        <v>179</v>
      </c>
      <c r="T19" s="102" t="s">
        <v>4</v>
      </c>
    </row>
    <row r="20" spans="1:20">
      <c r="A20" s="101" t="s">
        <v>3498</v>
      </c>
      <c r="B20" s="101" t="s">
        <v>3759</v>
      </c>
      <c r="C20" s="101">
        <v>19</v>
      </c>
      <c r="D20" s="102" t="s">
        <v>6098</v>
      </c>
      <c r="E20" s="102" t="s">
        <v>186</v>
      </c>
      <c r="F20" s="102"/>
      <c r="G20" s="102" t="s">
        <v>3403</v>
      </c>
      <c r="H20" s="102"/>
      <c r="I20" s="102"/>
      <c r="J20" s="102"/>
      <c r="K20" s="102" t="s">
        <v>6099</v>
      </c>
      <c r="L20" s="102"/>
      <c r="M20" s="102"/>
      <c r="N20" s="102"/>
      <c r="O20" s="102"/>
      <c r="P20" s="102"/>
      <c r="Q20" s="102"/>
      <c r="R20" s="102"/>
      <c r="S20" s="102" t="s">
        <v>33</v>
      </c>
      <c r="T20" s="102" t="s">
        <v>4</v>
      </c>
    </row>
    <row r="21" spans="1:20">
      <c r="A21" s="101" t="s">
        <v>3498</v>
      </c>
      <c r="B21" s="101" t="s">
        <v>3759</v>
      </c>
      <c r="C21" s="101">
        <v>20</v>
      </c>
      <c r="D21" s="102" t="s">
        <v>6100</v>
      </c>
      <c r="E21" s="102" t="s">
        <v>186</v>
      </c>
      <c r="F21" s="102"/>
      <c r="G21" s="102" t="s">
        <v>3403</v>
      </c>
      <c r="H21" s="102"/>
      <c r="I21" s="102"/>
      <c r="J21" s="102"/>
      <c r="K21" s="102" t="s">
        <v>6101</v>
      </c>
      <c r="L21" s="102"/>
      <c r="M21" s="102"/>
      <c r="N21" s="102"/>
      <c r="O21" s="102"/>
      <c r="P21" s="102"/>
      <c r="Q21" s="102"/>
      <c r="R21" s="102"/>
      <c r="S21" s="102" t="s">
        <v>52</v>
      </c>
      <c r="T21" s="102" t="s">
        <v>4</v>
      </c>
    </row>
    <row r="22" spans="1:20">
      <c r="A22" s="101" t="s">
        <v>3498</v>
      </c>
      <c r="B22" s="101" t="s">
        <v>3759</v>
      </c>
      <c r="C22" s="101">
        <v>21</v>
      </c>
      <c r="D22" s="102" t="s">
        <v>6102</v>
      </c>
      <c r="E22" s="102" t="s">
        <v>186</v>
      </c>
      <c r="F22" s="102"/>
      <c r="G22" s="102" t="s">
        <v>3403</v>
      </c>
      <c r="H22" s="102"/>
      <c r="I22" s="102"/>
      <c r="J22" s="102"/>
      <c r="K22" s="102" t="s">
        <v>4113</v>
      </c>
      <c r="L22" s="102" t="s">
        <v>6103</v>
      </c>
      <c r="M22" s="102" t="s">
        <v>6104</v>
      </c>
      <c r="N22" s="102"/>
      <c r="O22" s="102"/>
      <c r="P22" s="102"/>
      <c r="Q22" s="102"/>
      <c r="R22" s="102"/>
      <c r="S22" s="102" t="s">
        <v>182</v>
      </c>
      <c r="T22" s="102" t="s">
        <v>4</v>
      </c>
    </row>
    <row r="23" spans="1:20">
      <c r="A23" s="101" t="s">
        <v>3498</v>
      </c>
      <c r="B23" s="101" t="s">
        <v>3759</v>
      </c>
      <c r="C23" s="101">
        <v>22</v>
      </c>
      <c r="D23" s="102" t="s">
        <v>6105</v>
      </c>
      <c r="E23" s="102" t="s">
        <v>186</v>
      </c>
      <c r="F23" s="102"/>
      <c r="G23" s="102" t="s">
        <v>3403</v>
      </c>
      <c r="H23" s="102"/>
      <c r="I23" s="102"/>
      <c r="J23" s="102"/>
      <c r="K23" s="102" t="s">
        <v>6106</v>
      </c>
      <c r="L23" s="102"/>
      <c r="M23" s="102"/>
      <c r="N23" s="102"/>
      <c r="O23" s="102"/>
      <c r="P23" s="102"/>
      <c r="Q23" s="102"/>
      <c r="R23" s="102"/>
      <c r="S23" s="102" t="s">
        <v>8</v>
      </c>
      <c r="T23" s="102" t="s">
        <v>4</v>
      </c>
    </row>
    <row r="24" spans="1:20">
      <c r="A24" s="101" t="s">
        <v>3498</v>
      </c>
      <c r="B24" s="101" t="s">
        <v>3759</v>
      </c>
      <c r="C24" s="101">
        <v>23</v>
      </c>
      <c r="D24" s="102" t="s">
        <v>6107</v>
      </c>
      <c r="E24" s="102" t="s">
        <v>186</v>
      </c>
      <c r="F24" s="102"/>
      <c r="G24" s="102" t="s">
        <v>3403</v>
      </c>
      <c r="H24" s="102"/>
      <c r="I24" s="102"/>
      <c r="J24" s="102"/>
      <c r="K24" s="102" t="s">
        <v>6108</v>
      </c>
      <c r="L24" s="102" t="s">
        <v>3768</v>
      </c>
      <c r="M24" s="102"/>
      <c r="N24" s="102"/>
      <c r="O24" s="102"/>
      <c r="P24" s="102"/>
      <c r="Q24" s="102"/>
      <c r="R24" s="102"/>
      <c r="S24" s="102" t="s">
        <v>3747</v>
      </c>
      <c r="T24" s="102" t="s">
        <v>4</v>
      </c>
    </row>
    <row r="25" spans="1:20">
      <c r="A25" s="101" t="s">
        <v>3498</v>
      </c>
      <c r="B25" s="101" t="s">
        <v>3759</v>
      </c>
      <c r="C25" s="101">
        <v>24</v>
      </c>
      <c r="D25" s="102" t="s">
        <v>6109</v>
      </c>
      <c r="E25" s="102" t="s">
        <v>186</v>
      </c>
      <c r="F25" s="102"/>
      <c r="G25" s="102" t="s">
        <v>3403</v>
      </c>
      <c r="H25" s="102"/>
      <c r="I25" s="102"/>
      <c r="J25" s="102"/>
      <c r="K25" s="102" t="s">
        <v>6110</v>
      </c>
      <c r="L25" s="102"/>
      <c r="M25" s="102"/>
      <c r="N25" s="102"/>
      <c r="O25" s="102"/>
      <c r="P25" s="102"/>
      <c r="Q25" s="102"/>
      <c r="R25" s="102"/>
      <c r="S25" s="102" t="s">
        <v>174</v>
      </c>
      <c r="T25" s="102" t="s">
        <v>4</v>
      </c>
    </row>
    <row r="26" spans="1:20">
      <c r="A26" s="101" t="s">
        <v>3498</v>
      </c>
      <c r="B26" s="101" t="s">
        <v>3759</v>
      </c>
      <c r="C26" s="101">
        <v>25</v>
      </c>
      <c r="D26" s="102" t="s">
        <v>6111</v>
      </c>
      <c r="E26" s="102" t="s">
        <v>186</v>
      </c>
      <c r="F26" s="102"/>
      <c r="G26" s="102" t="s">
        <v>3403</v>
      </c>
      <c r="H26" s="102"/>
      <c r="I26" s="102"/>
      <c r="J26" s="102"/>
      <c r="K26" s="102" t="s">
        <v>6112</v>
      </c>
      <c r="L26" s="102"/>
      <c r="M26" s="102"/>
      <c r="N26" s="102"/>
      <c r="O26" s="102"/>
      <c r="P26" s="102"/>
      <c r="Q26" s="102"/>
      <c r="R26" s="102"/>
      <c r="S26" s="102" t="s">
        <v>28</v>
      </c>
      <c r="T26" s="102" t="s">
        <v>4</v>
      </c>
    </row>
    <row r="27" spans="1:20">
      <c r="A27" s="101" t="s">
        <v>3498</v>
      </c>
      <c r="B27" s="101" t="s">
        <v>3759</v>
      </c>
      <c r="C27" s="101">
        <v>26</v>
      </c>
      <c r="D27" s="102" t="s">
        <v>6113</v>
      </c>
      <c r="E27" s="102" t="s">
        <v>186</v>
      </c>
      <c r="F27" s="102"/>
      <c r="G27" s="102" t="s">
        <v>3403</v>
      </c>
      <c r="H27" s="102"/>
      <c r="I27" s="102"/>
      <c r="J27" s="102"/>
      <c r="K27" s="102" t="s">
        <v>6114</v>
      </c>
      <c r="L27" s="102"/>
      <c r="M27" s="102"/>
      <c r="N27" s="102"/>
      <c r="O27" s="102"/>
      <c r="P27" s="102"/>
      <c r="Q27" s="102"/>
      <c r="R27" s="102"/>
      <c r="S27" s="102" t="s">
        <v>168</v>
      </c>
      <c r="T27" s="102" t="s">
        <v>4</v>
      </c>
    </row>
    <row r="28" spans="1:20">
      <c r="A28" s="101" t="s">
        <v>3498</v>
      </c>
      <c r="B28" s="101" t="s">
        <v>3759</v>
      </c>
      <c r="C28" s="101">
        <v>27</v>
      </c>
      <c r="D28" s="102" t="s">
        <v>4701</v>
      </c>
      <c r="E28" s="102" t="s">
        <v>186</v>
      </c>
      <c r="F28" s="102"/>
      <c r="G28" s="102" t="s">
        <v>3403</v>
      </c>
      <c r="H28" s="102"/>
      <c r="I28" s="102"/>
      <c r="J28" s="102"/>
      <c r="K28" s="102" t="s">
        <v>4702</v>
      </c>
      <c r="L28" s="102"/>
      <c r="M28" s="102"/>
      <c r="N28" s="102"/>
      <c r="O28" s="102"/>
      <c r="P28" s="102"/>
      <c r="Q28" s="102"/>
      <c r="R28" s="102"/>
      <c r="S28" s="102" t="s">
        <v>46</v>
      </c>
      <c r="T28" s="102" t="s">
        <v>4</v>
      </c>
    </row>
    <row r="29" spans="1:20">
      <c r="A29" s="101" t="s">
        <v>3498</v>
      </c>
      <c r="B29" s="101" t="s">
        <v>3759</v>
      </c>
      <c r="C29" s="101">
        <v>28</v>
      </c>
      <c r="D29" s="102" t="s">
        <v>6115</v>
      </c>
      <c r="E29" s="102" t="s">
        <v>186</v>
      </c>
      <c r="F29" s="102"/>
      <c r="G29" s="102" t="s">
        <v>3403</v>
      </c>
      <c r="H29" s="102"/>
      <c r="I29" s="102"/>
      <c r="J29" s="102"/>
      <c r="K29" s="102" t="s">
        <v>6116</v>
      </c>
      <c r="L29" s="102"/>
      <c r="M29" s="102"/>
      <c r="N29" s="102"/>
      <c r="O29" s="102"/>
      <c r="P29" s="102"/>
      <c r="Q29" s="102"/>
      <c r="R29" s="102"/>
      <c r="S29" s="102" t="s">
        <v>36</v>
      </c>
      <c r="T29" s="102" t="s">
        <v>4</v>
      </c>
    </row>
    <row r="30" spans="1:20">
      <c r="A30" s="101" t="s">
        <v>3498</v>
      </c>
      <c r="B30" s="101" t="s">
        <v>3759</v>
      </c>
      <c r="C30" s="101">
        <v>29</v>
      </c>
      <c r="D30" s="102" t="s">
        <v>6117</v>
      </c>
      <c r="E30" s="102" t="s">
        <v>186</v>
      </c>
      <c r="F30" s="102"/>
      <c r="G30" s="102" t="s">
        <v>3403</v>
      </c>
      <c r="H30" s="102"/>
      <c r="I30" s="102"/>
      <c r="J30" s="102"/>
      <c r="K30" s="102" t="s">
        <v>6118</v>
      </c>
      <c r="L30" s="102"/>
      <c r="M30" s="102"/>
      <c r="N30" s="102"/>
      <c r="O30" s="102"/>
      <c r="P30" s="102"/>
      <c r="Q30" s="102"/>
      <c r="R30" s="102"/>
      <c r="S30" s="102" t="s">
        <v>38</v>
      </c>
      <c r="T30" s="102" t="s">
        <v>4</v>
      </c>
    </row>
    <row r="31" spans="1:20">
      <c r="A31" s="101" t="s">
        <v>3498</v>
      </c>
      <c r="B31" s="101" t="s">
        <v>3759</v>
      </c>
      <c r="C31" s="101">
        <v>30</v>
      </c>
      <c r="D31" s="102" t="s">
        <v>6119</v>
      </c>
      <c r="E31" s="102" t="s">
        <v>186</v>
      </c>
      <c r="F31" s="102"/>
      <c r="G31" s="102" t="s">
        <v>3445</v>
      </c>
      <c r="H31" s="102" t="s">
        <v>5671</v>
      </c>
      <c r="I31" s="102"/>
      <c r="J31" s="102"/>
      <c r="K31" s="102" t="s">
        <v>5321</v>
      </c>
      <c r="L31" s="102" t="s">
        <v>6120</v>
      </c>
      <c r="M31" s="102"/>
      <c r="N31" s="102"/>
      <c r="O31" s="102"/>
      <c r="P31" s="102"/>
      <c r="Q31" s="102"/>
      <c r="R31" s="102"/>
      <c r="S31" s="102" t="s">
        <v>5281</v>
      </c>
      <c r="T31" s="102" t="s">
        <v>4</v>
      </c>
    </row>
    <row r="32" spans="1:20">
      <c r="A32" s="101" t="s">
        <v>3498</v>
      </c>
      <c r="B32" s="101" t="s">
        <v>3759</v>
      </c>
      <c r="C32" s="101">
        <v>31</v>
      </c>
      <c r="D32" s="102" t="s">
        <v>6121</v>
      </c>
      <c r="E32" s="102" t="s">
        <v>186</v>
      </c>
      <c r="F32" s="102"/>
      <c r="G32" s="102" t="s">
        <v>3403</v>
      </c>
      <c r="H32" s="102"/>
      <c r="I32" s="102"/>
      <c r="J32" s="102"/>
      <c r="K32" s="102" t="s">
        <v>6122</v>
      </c>
      <c r="L32" s="102"/>
      <c r="M32" s="102"/>
      <c r="N32" s="102"/>
      <c r="O32" s="102"/>
      <c r="P32" s="102"/>
      <c r="Q32" s="102"/>
      <c r="R32" s="102"/>
      <c r="S32" s="102" t="s">
        <v>10</v>
      </c>
      <c r="T32" s="102" t="s">
        <v>4</v>
      </c>
    </row>
    <row r="33" spans="1:20">
      <c r="A33" s="101" t="s">
        <v>3498</v>
      </c>
      <c r="B33" s="101" t="s">
        <v>3759</v>
      </c>
      <c r="C33" s="101">
        <v>32</v>
      </c>
      <c r="D33" s="102" t="s">
        <v>6123</v>
      </c>
      <c r="E33" s="102" t="s">
        <v>186</v>
      </c>
      <c r="F33" s="102"/>
      <c r="G33" s="102" t="s">
        <v>3403</v>
      </c>
      <c r="H33" s="102"/>
      <c r="I33" s="102"/>
      <c r="J33" s="102"/>
      <c r="K33" s="102" t="s">
        <v>6124</v>
      </c>
      <c r="L33" s="102"/>
      <c r="M33" s="102"/>
      <c r="N33" s="102"/>
      <c r="O33" s="102"/>
      <c r="P33" s="102"/>
      <c r="Q33" s="102"/>
      <c r="R33" s="102"/>
      <c r="S33" s="102" t="s">
        <v>6</v>
      </c>
      <c r="T33" s="102" t="s">
        <v>4</v>
      </c>
    </row>
    <row r="34" spans="1:20">
      <c r="A34" s="101" t="s">
        <v>3498</v>
      </c>
      <c r="B34" s="101" t="s">
        <v>3759</v>
      </c>
      <c r="C34" s="101">
        <v>33</v>
      </c>
      <c r="D34" s="102" t="s">
        <v>6125</v>
      </c>
      <c r="E34" s="102" t="s">
        <v>186</v>
      </c>
      <c r="F34" s="102"/>
      <c r="G34" s="102" t="s">
        <v>3403</v>
      </c>
      <c r="H34" s="102"/>
      <c r="I34" s="102"/>
      <c r="J34" s="102"/>
      <c r="K34" s="102" t="s">
        <v>6126</v>
      </c>
      <c r="L34" s="102" t="s">
        <v>3768</v>
      </c>
      <c r="M34" s="102"/>
      <c r="N34" s="102"/>
      <c r="O34" s="102"/>
      <c r="P34" s="102"/>
      <c r="Q34" s="102"/>
      <c r="R34" s="102"/>
      <c r="S34" s="102" t="s">
        <v>38</v>
      </c>
      <c r="T34" s="102" t="s">
        <v>4</v>
      </c>
    </row>
    <row r="35" spans="1:20">
      <c r="A35" s="101" t="s">
        <v>3498</v>
      </c>
      <c r="B35" s="101" t="s">
        <v>3759</v>
      </c>
      <c r="C35" s="101">
        <v>34</v>
      </c>
      <c r="D35" s="102" t="s">
        <v>6127</v>
      </c>
      <c r="E35" s="102" t="s">
        <v>186</v>
      </c>
      <c r="F35" s="102"/>
      <c r="G35" s="102" t="s">
        <v>3403</v>
      </c>
      <c r="H35" s="102"/>
      <c r="I35" s="102"/>
      <c r="J35" s="102"/>
      <c r="K35" s="102" t="s">
        <v>6128</v>
      </c>
      <c r="L35" s="102"/>
      <c r="M35" s="102"/>
      <c r="N35" s="102"/>
      <c r="O35" s="102"/>
      <c r="P35" s="102"/>
      <c r="Q35" s="102"/>
      <c r="R35" s="102"/>
      <c r="S35" s="102" t="s">
        <v>5</v>
      </c>
      <c r="T35" s="102" t="s">
        <v>4</v>
      </c>
    </row>
    <row r="36" spans="1:20">
      <c r="A36" s="101" t="s">
        <v>3498</v>
      </c>
      <c r="B36" s="101" t="s">
        <v>3759</v>
      </c>
      <c r="C36" s="101">
        <v>35</v>
      </c>
      <c r="D36" s="102" t="s">
        <v>6129</v>
      </c>
      <c r="E36" s="102" t="s">
        <v>186</v>
      </c>
      <c r="F36" s="102"/>
      <c r="G36" s="102" t="s">
        <v>3403</v>
      </c>
      <c r="H36" s="102"/>
      <c r="I36" s="102"/>
      <c r="J36" s="102"/>
      <c r="K36" s="102" t="s">
        <v>6130</v>
      </c>
      <c r="L36" s="102"/>
      <c r="M36" s="102"/>
      <c r="N36" s="102"/>
      <c r="O36" s="102"/>
      <c r="P36" s="102"/>
      <c r="Q36" s="102"/>
      <c r="R36" s="102"/>
      <c r="S36" s="102" t="s">
        <v>30</v>
      </c>
      <c r="T36" s="102" t="s">
        <v>4</v>
      </c>
    </row>
    <row r="37" spans="1:20">
      <c r="A37" s="101" t="s">
        <v>3498</v>
      </c>
      <c r="B37" s="101" t="s">
        <v>3759</v>
      </c>
      <c r="C37" s="101">
        <v>36</v>
      </c>
      <c r="D37" s="102" t="s">
        <v>6131</v>
      </c>
      <c r="E37" s="102" t="s">
        <v>186</v>
      </c>
      <c r="F37" s="102"/>
      <c r="G37" s="102" t="s">
        <v>3403</v>
      </c>
      <c r="H37" s="102"/>
      <c r="I37" s="102"/>
      <c r="J37" s="102"/>
      <c r="K37" s="102" t="s">
        <v>6132</v>
      </c>
      <c r="L37" s="102"/>
      <c r="M37" s="102"/>
      <c r="N37" s="102"/>
      <c r="O37" s="102"/>
      <c r="P37" s="102"/>
      <c r="Q37" s="102"/>
      <c r="R37" s="102"/>
      <c r="S37" s="102" t="s">
        <v>171</v>
      </c>
      <c r="T37" s="102" t="s">
        <v>4</v>
      </c>
    </row>
    <row r="38" spans="1:20">
      <c r="A38" s="101" t="s">
        <v>3498</v>
      </c>
      <c r="B38" s="101" t="s">
        <v>3759</v>
      </c>
      <c r="C38" s="101">
        <v>37</v>
      </c>
      <c r="D38" s="102" t="s">
        <v>6133</v>
      </c>
      <c r="E38" s="102" t="s">
        <v>186</v>
      </c>
      <c r="F38" s="102"/>
      <c r="G38" s="102" t="s">
        <v>3403</v>
      </c>
      <c r="H38" s="102"/>
      <c r="I38" s="102"/>
      <c r="J38" s="102"/>
      <c r="K38" s="102" t="s">
        <v>6134</v>
      </c>
      <c r="L38" s="102"/>
      <c r="M38" s="102"/>
      <c r="N38" s="102"/>
      <c r="O38" s="102"/>
      <c r="P38" s="102"/>
      <c r="Q38" s="102"/>
      <c r="R38" s="102"/>
      <c r="S38" s="102" t="s">
        <v>177</v>
      </c>
      <c r="T38" s="102" t="s">
        <v>4</v>
      </c>
    </row>
    <row r="39" spans="1:20">
      <c r="A39" s="101" t="s">
        <v>3498</v>
      </c>
      <c r="B39" s="101" t="s">
        <v>3759</v>
      </c>
      <c r="C39" s="101">
        <v>38</v>
      </c>
      <c r="D39" s="102" t="s">
        <v>6135</v>
      </c>
      <c r="E39" s="102" t="s">
        <v>186</v>
      </c>
      <c r="F39" s="102"/>
      <c r="G39" s="102" t="s">
        <v>3403</v>
      </c>
      <c r="H39" s="102"/>
      <c r="I39" s="102"/>
      <c r="J39" s="102"/>
      <c r="K39" s="102" t="s">
        <v>6136</v>
      </c>
      <c r="L39" s="102"/>
      <c r="M39" s="102"/>
      <c r="N39" s="102"/>
      <c r="O39" s="102"/>
      <c r="P39" s="102"/>
      <c r="Q39" s="102"/>
      <c r="R39" s="102"/>
      <c r="S39" s="102" t="s">
        <v>5719</v>
      </c>
      <c r="T39" s="102" t="s">
        <v>4</v>
      </c>
    </row>
    <row r="40" spans="1:20">
      <c r="A40" s="101" t="s">
        <v>3498</v>
      </c>
      <c r="B40" s="101" t="s">
        <v>3759</v>
      </c>
      <c r="C40" s="101">
        <v>39</v>
      </c>
      <c r="D40" s="102" t="s">
        <v>6137</v>
      </c>
      <c r="E40" s="102" t="s">
        <v>186</v>
      </c>
      <c r="F40" s="102"/>
      <c r="G40" s="102" t="s">
        <v>3403</v>
      </c>
      <c r="H40" s="102"/>
      <c r="I40" s="102"/>
      <c r="J40" s="102"/>
      <c r="K40" s="102" t="s">
        <v>6138</v>
      </c>
      <c r="L40" s="102"/>
      <c r="M40" s="102"/>
      <c r="N40" s="102"/>
      <c r="O40" s="102"/>
      <c r="P40" s="102"/>
      <c r="Q40" s="102"/>
      <c r="R40" s="102"/>
      <c r="S40" s="102" t="s">
        <v>607</v>
      </c>
      <c r="T40" s="102" t="s">
        <v>4</v>
      </c>
    </row>
    <row r="41" spans="1:20">
      <c r="A41" s="101" t="s">
        <v>3498</v>
      </c>
      <c r="B41" s="101" t="s">
        <v>3759</v>
      </c>
      <c r="C41" s="101">
        <v>40</v>
      </c>
      <c r="D41" s="102" t="s">
        <v>6139</v>
      </c>
      <c r="E41" s="102" t="s">
        <v>186</v>
      </c>
      <c r="F41" s="102"/>
      <c r="G41" s="102" t="s">
        <v>3403</v>
      </c>
      <c r="H41" s="102"/>
      <c r="I41" s="102"/>
      <c r="J41" s="102"/>
      <c r="K41" s="102" t="s">
        <v>6140</v>
      </c>
      <c r="L41" s="102"/>
      <c r="M41" s="102"/>
      <c r="N41" s="102"/>
      <c r="O41" s="102"/>
      <c r="P41" s="102"/>
      <c r="Q41" s="102"/>
      <c r="R41" s="102"/>
      <c r="S41" s="102" t="s">
        <v>52</v>
      </c>
      <c r="T41" s="102" t="s">
        <v>4</v>
      </c>
    </row>
    <row r="42" spans="1:20">
      <c r="A42" s="101" t="s">
        <v>3498</v>
      </c>
      <c r="B42" s="101" t="s">
        <v>3759</v>
      </c>
      <c r="C42" s="101">
        <v>41</v>
      </c>
      <c r="D42" s="102" t="s">
        <v>6141</v>
      </c>
      <c r="E42" s="102" t="s">
        <v>186</v>
      </c>
      <c r="F42" s="102"/>
      <c r="G42" s="102" t="s">
        <v>3403</v>
      </c>
      <c r="H42" s="102"/>
      <c r="I42" s="102"/>
      <c r="J42" s="102"/>
      <c r="K42" s="102" t="s">
        <v>6142</v>
      </c>
      <c r="L42" s="102" t="s">
        <v>6143</v>
      </c>
      <c r="M42" s="102"/>
      <c r="N42" s="102"/>
      <c r="O42" s="102"/>
      <c r="P42" s="102"/>
      <c r="Q42" s="102"/>
      <c r="R42" s="102"/>
      <c r="S42" s="102" t="s">
        <v>27</v>
      </c>
      <c r="T42" s="102" t="s">
        <v>4</v>
      </c>
    </row>
    <row r="43" spans="1:20">
      <c r="A43" s="101" t="s">
        <v>3498</v>
      </c>
      <c r="B43" s="101" t="s">
        <v>3759</v>
      </c>
      <c r="C43" s="101">
        <v>42</v>
      </c>
      <c r="D43" s="102" t="s">
        <v>6144</v>
      </c>
      <c r="E43" s="102" t="s">
        <v>186</v>
      </c>
      <c r="F43" s="102"/>
      <c r="G43" s="102" t="s">
        <v>3403</v>
      </c>
      <c r="H43" s="102"/>
      <c r="I43" s="102"/>
      <c r="J43" s="102"/>
      <c r="K43" s="102" t="s">
        <v>6145</v>
      </c>
      <c r="L43" s="102"/>
      <c r="M43" s="102"/>
      <c r="N43" s="102"/>
      <c r="O43" s="102"/>
      <c r="P43" s="102"/>
      <c r="Q43" s="102"/>
      <c r="R43" s="102"/>
      <c r="S43" s="102" t="s">
        <v>48</v>
      </c>
      <c r="T43" s="102" t="s">
        <v>4</v>
      </c>
    </row>
    <row r="44" spans="1:20">
      <c r="A44" s="101" t="s">
        <v>3498</v>
      </c>
      <c r="B44" s="101" t="s">
        <v>3759</v>
      </c>
      <c r="C44" s="101">
        <v>43</v>
      </c>
      <c r="D44" s="102" t="s">
        <v>6146</v>
      </c>
      <c r="E44" s="102" t="s">
        <v>186</v>
      </c>
      <c r="F44" s="102"/>
      <c r="G44" s="102" t="s">
        <v>3403</v>
      </c>
      <c r="H44" s="102"/>
      <c r="I44" s="102"/>
      <c r="J44" s="102"/>
      <c r="K44" s="102" t="s">
        <v>6147</v>
      </c>
      <c r="L44" s="102"/>
      <c r="M44" s="102"/>
      <c r="N44" s="102"/>
      <c r="O44" s="102"/>
      <c r="P44" s="102"/>
      <c r="Q44" s="102"/>
      <c r="R44" s="102"/>
      <c r="S44" s="102" t="s">
        <v>180</v>
      </c>
      <c r="T44" s="102" t="s">
        <v>4</v>
      </c>
    </row>
    <row r="45" spans="1:20">
      <c r="A45" s="101" t="s">
        <v>3498</v>
      </c>
      <c r="B45" s="101" t="s">
        <v>3759</v>
      </c>
      <c r="C45" s="101">
        <v>44</v>
      </c>
      <c r="D45" s="102" t="s">
        <v>6148</v>
      </c>
      <c r="E45" s="102" t="s">
        <v>186</v>
      </c>
      <c r="F45" s="102"/>
      <c r="G45" s="102" t="s">
        <v>3403</v>
      </c>
      <c r="H45" s="102" t="s">
        <v>5180</v>
      </c>
      <c r="I45" s="102"/>
      <c r="J45" s="102"/>
      <c r="K45" s="102" t="s">
        <v>6149</v>
      </c>
      <c r="L45" s="102" t="s">
        <v>6097</v>
      </c>
      <c r="M45" s="102"/>
      <c r="N45" s="102"/>
      <c r="O45" s="102"/>
      <c r="P45" s="102"/>
      <c r="Q45" s="102"/>
      <c r="R45" s="102"/>
      <c r="S45" s="102" t="s">
        <v>175</v>
      </c>
      <c r="T45" s="102" t="s">
        <v>4</v>
      </c>
    </row>
    <row r="46" spans="1:20">
      <c r="A46" s="101" t="s">
        <v>3498</v>
      </c>
      <c r="B46" s="101" t="s">
        <v>3759</v>
      </c>
      <c r="C46" s="101">
        <v>45</v>
      </c>
      <c r="D46" s="102" t="s">
        <v>6150</v>
      </c>
      <c r="E46" s="102" t="s">
        <v>186</v>
      </c>
      <c r="F46" s="102"/>
      <c r="G46" s="102" t="s">
        <v>3403</v>
      </c>
      <c r="H46" s="102"/>
      <c r="I46" s="102"/>
      <c r="J46" s="102"/>
      <c r="K46" s="102" t="s">
        <v>6151</v>
      </c>
      <c r="L46" s="102"/>
      <c r="M46" s="102"/>
      <c r="N46" s="102"/>
      <c r="O46" s="102"/>
      <c r="P46" s="102"/>
      <c r="Q46" s="102"/>
      <c r="R46" s="102"/>
      <c r="S46" s="102" t="s">
        <v>37</v>
      </c>
      <c r="T46" s="102" t="s">
        <v>4</v>
      </c>
    </row>
    <row r="47" spans="1:20">
      <c r="A47" s="101" t="s">
        <v>3498</v>
      </c>
      <c r="B47" s="101" t="s">
        <v>3759</v>
      </c>
      <c r="C47" s="101">
        <v>46</v>
      </c>
      <c r="D47" s="102" t="s">
        <v>6152</v>
      </c>
      <c r="E47" s="102" t="s">
        <v>186</v>
      </c>
      <c r="F47" s="102"/>
      <c r="G47" s="102" t="s">
        <v>3403</v>
      </c>
      <c r="H47" s="102"/>
      <c r="I47" s="102"/>
      <c r="J47" s="102"/>
      <c r="K47" s="102" t="s">
        <v>6153</v>
      </c>
      <c r="L47" s="102"/>
      <c r="M47" s="102"/>
      <c r="N47" s="102"/>
      <c r="O47" s="102"/>
      <c r="P47" s="102"/>
      <c r="Q47" s="102"/>
      <c r="R47" s="102"/>
      <c r="S47" s="102" t="s">
        <v>30</v>
      </c>
      <c r="T47" s="102" t="s">
        <v>4</v>
      </c>
    </row>
    <row r="48" spans="1:20">
      <c r="A48" s="101" t="s">
        <v>3498</v>
      </c>
      <c r="B48" s="101" t="s">
        <v>3759</v>
      </c>
      <c r="C48" s="101">
        <v>47</v>
      </c>
      <c r="D48" s="102" t="s">
        <v>6154</v>
      </c>
      <c r="E48" s="102" t="s">
        <v>186</v>
      </c>
      <c r="F48" s="102"/>
      <c r="G48" s="102" t="s">
        <v>3403</v>
      </c>
      <c r="H48" s="102" t="s">
        <v>5180</v>
      </c>
      <c r="I48" s="102"/>
      <c r="J48" s="102"/>
      <c r="K48" s="102" t="s">
        <v>6155</v>
      </c>
      <c r="L48" s="102" t="s">
        <v>6156</v>
      </c>
      <c r="M48" s="102"/>
      <c r="N48" s="102"/>
      <c r="O48" s="102"/>
      <c r="P48" s="102"/>
      <c r="Q48" s="102"/>
      <c r="R48" s="102"/>
      <c r="S48" s="102" t="s">
        <v>183</v>
      </c>
      <c r="T48" s="102" t="s">
        <v>4</v>
      </c>
    </row>
    <row r="49" spans="1:20">
      <c r="A49" s="101" t="s">
        <v>3498</v>
      </c>
      <c r="B49" s="101" t="s">
        <v>3759</v>
      </c>
      <c r="C49" s="101">
        <v>48</v>
      </c>
      <c r="D49" s="102" t="s">
        <v>5240</v>
      </c>
      <c r="E49" s="102" t="s">
        <v>187</v>
      </c>
      <c r="F49" s="102"/>
      <c r="G49" s="102" t="s">
        <v>3403</v>
      </c>
      <c r="H49" s="102"/>
      <c r="I49" s="102"/>
      <c r="J49" s="102"/>
      <c r="K49" s="102" t="s">
        <v>5241</v>
      </c>
      <c r="L49" s="102"/>
      <c r="M49" s="102"/>
      <c r="N49" s="102"/>
      <c r="O49" s="102"/>
      <c r="P49" s="102"/>
      <c r="Q49" s="102"/>
      <c r="R49" s="102"/>
      <c r="S49" s="102" t="s">
        <v>768</v>
      </c>
      <c r="T49" s="102" t="s">
        <v>4</v>
      </c>
    </row>
    <row r="50" spans="1:20">
      <c r="A50" s="101" t="s">
        <v>3498</v>
      </c>
      <c r="B50" s="101" t="s">
        <v>3759</v>
      </c>
      <c r="C50" s="101">
        <v>49</v>
      </c>
      <c r="D50" s="102" t="s">
        <v>6157</v>
      </c>
      <c r="E50" s="102" t="s">
        <v>187</v>
      </c>
      <c r="F50" s="102"/>
      <c r="G50" s="102" t="s">
        <v>3403</v>
      </c>
      <c r="H50" s="102"/>
      <c r="I50" s="102"/>
      <c r="J50" s="102"/>
      <c r="K50" s="102" t="s">
        <v>6158</v>
      </c>
      <c r="L50" s="102"/>
      <c r="M50" s="102"/>
      <c r="N50" s="102"/>
      <c r="O50" s="102"/>
      <c r="P50" s="102"/>
      <c r="Q50" s="102"/>
      <c r="R50" s="102"/>
      <c r="S50" s="102" t="s">
        <v>5719</v>
      </c>
      <c r="T50" s="102" t="s">
        <v>4</v>
      </c>
    </row>
    <row r="51" spans="1:20">
      <c r="A51" s="101" t="s">
        <v>3498</v>
      </c>
      <c r="B51" s="101" t="s">
        <v>3759</v>
      </c>
      <c r="C51" s="101">
        <v>50</v>
      </c>
      <c r="D51" s="102" t="s">
        <v>6159</v>
      </c>
      <c r="E51" s="102" t="s">
        <v>187</v>
      </c>
      <c r="F51" s="102"/>
      <c r="G51" s="102" t="s">
        <v>3403</v>
      </c>
      <c r="H51" s="102"/>
      <c r="I51" s="102"/>
      <c r="J51" s="102"/>
      <c r="K51" s="102" t="s">
        <v>6160</v>
      </c>
      <c r="L51" s="102"/>
      <c r="M51" s="102"/>
      <c r="N51" s="102"/>
      <c r="O51" s="102"/>
      <c r="P51" s="102"/>
      <c r="Q51" s="102"/>
      <c r="R51" s="102"/>
      <c r="S51" s="102" t="s">
        <v>3119</v>
      </c>
      <c r="T51" s="102" t="s">
        <v>4</v>
      </c>
    </row>
    <row r="52" spans="1:20">
      <c r="A52" s="101" t="s">
        <v>3498</v>
      </c>
      <c r="B52" s="101" t="s">
        <v>3759</v>
      </c>
      <c r="C52" s="101">
        <v>51</v>
      </c>
      <c r="D52" s="102" t="s">
        <v>6161</v>
      </c>
      <c r="E52" s="102" t="s">
        <v>187</v>
      </c>
      <c r="F52" s="102"/>
      <c r="G52" s="102" t="s">
        <v>3403</v>
      </c>
      <c r="H52" s="102"/>
      <c r="I52" s="102"/>
      <c r="J52" s="102"/>
      <c r="K52" s="102" t="s">
        <v>6162</v>
      </c>
      <c r="L52" s="102"/>
      <c r="M52" s="102"/>
      <c r="N52" s="102"/>
      <c r="O52" s="102"/>
      <c r="P52" s="102"/>
      <c r="Q52" s="102"/>
      <c r="R52" s="102"/>
      <c r="S52" s="102" t="s">
        <v>14</v>
      </c>
      <c r="T52" s="102" t="s">
        <v>4</v>
      </c>
    </row>
    <row r="53" spans="1:20">
      <c r="A53" s="101" t="s">
        <v>3498</v>
      </c>
      <c r="B53" s="101" t="s">
        <v>3759</v>
      </c>
      <c r="C53" s="101">
        <v>52</v>
      </c>
      <c r="D53" s="102" t="s">
        <v>6163</v>
      </c>
      <c r="E53" s="102" t="s">
        <v>187</v>
      </c>
      <c r="F53" s="102"/>
      <c r="G53" s="102" t="s">
        <v>3403</v>
      </c>
      <c r="H53" s="102"/>
      <c r="I53" s="102"/>
      <c r="J53" s="102"/>
      <c r="K53" s="102" t="s">
        <v>6078</v>
      </c>
      <c r="L53" s="102" t="s">
        <v>4953</v>
      </c>
      <c r="M53" s="102"/>
      <c r="N53" s="102"/>
      <c r="O53" s="102"/>
      <c r="P53" s="102"/>
      <c r="Q53" s="102"/>
      <c r="R53" s="102"/>
      <c r="S53" s="102" t="s">
        <v>15</v>
      </c>
      <c r="T53" s="102" t="s">
        <v>4</v>
      </c>
    </row>
    <row r="54" spans="1:20">
      <c r="A54" s="101" t="s">
        <v>3498</v>
      </c>
      <c r="B54" s="101" t="s">
        <v>3759</v>
      </c>
      <c r="C54" s="101">
        <v>53</v>
      </c>
      <c r="D54" s="102" t="s">
        <v>6164</v>
      </c>
      <c r="E54" s="102" t="s">
        <v>187</v>
      </c>
      <c r="F54" s="102"/>
      <c r="G54" s="102" t="s">
        <v>3403</v>
      </c>
      <c r="H54" s="102"/>
      <c r="I54" s="102"/>
      <c r="J54" s="102"/>
      <c r="K54" s="102" t="s">
        <v>4965</v>
      </c>
      <c r="L54" s="102" t="s">
        <v>6165</v>
      </c>
      <c r="M54" s="102"/>
      <c r="N54" s="102"/>
      <c r="O54" s="102"/>
      <c r="P54" s="102"/>
      <c r="Q54" s="102"/>
      <c r="R54" s="102"/>
      <c r="S54" s="102" t="s">
        <v>45</v>
      </c>
      <c r="T54" s="102" t="s">
        <v>4</v>
      </c>
    </row>
    <row r="55" spans="1:20">
      <c r="A55" s="101" t="s">
        <v>3498</v>
      </c>
      <c r="B55" s="101" t="s">
        <v>3759</v>
      </c>
      <c r="C55" s="101">
        <v>54</v>
      </c>
      <c r="D55" s="102" t="s">
        <v>6166</v>
      </c>
      <c r="E55" s="102" t="s">
        <v>187</v>
      </c>
      <c r="F55" s="102"/>
      <c r="G55" s="102" t="s">
        <v>3403</v>
      </c>
      <c r="H55" s="102"/>
      <c r="I55" s="102"/>
      <c r="J55" s="102"/>
      <c r="K55" s="102" t="s">
        <v>6167</v>
      </c>
      <c r="L55" s="102"/>
      <c r="M55" s="102"/>
      <c r="N55" s="102"/>
      <c r="O55" s="102"/>
      <c r="P55" s="102"/>
      <c r="Q55" s="102"/>
      <c r="R55" s="102"/>
      <c r="S55" s="102" t="s">
        <v>37</v>
      </c>
      <c r="T55" s="102" t="s">
        <v>4</v>
      </c>
    </row>
    <row r="56" spans="1:20">
      <c r="A56" s="101" t="s">
        <v>3498</v>
      </c>
      <c r="B56" s="101" t="s">
        <v>3759</v>
      </c>
      <c r="C56" s="101">
        <v>55</v>
      </c>
      <c r="D56" s="102" t="s">
        <v>6168</v>
      </c>
      <c r="E56" s="102" t="s">
        <v>187</v>
      </c>
      <c r="F56" s="102"/>
      <c r="G56" s="102" t="s">
        <v>3403</v>
      </c>
      <c r="H56" s="102"/>
      <c r="I56" s="102"/>
      <c r="J56" s="102"/>
      <c r="K56" s="102" t="s">
        <v>6169</v>
      </c>
      <c r="L56" s="102"/>
      <c r="M56" s="102"/>
      <c r="N56" s="102"/>
      <c r="O56" s="102"/>
      <c r="P56" s="102"/>
      <c r="Q56" s="102"/>
      <c r="R56" s="102"/>
      <c r="S56" s="102" t="s">
        <v>182</v>
      </c>
      <c r="T56" s="102" t="s">
        <v>4</v>
      </c>
    </row>
    <row r="57" spans="1:20">
      <c r="A57" s="101" t="s">
        <v>3498</v>
      </c>
      <c r="B57" s="101" t="s">
        <v>3759</v>
      </c>
      <c r="C57" s="101">
        <v>56</v>
      </c>
      <c r="D57" s="102" t="s">
        <v>6170</v>
      </c>
      <c r="E57" s="102" t="s">
        <v>187</v>
      </c>
      <c r="F57" s="102"/>
      <c r="G57" s="102" t="s">
        <v>3403</v>
      </c>
      <c r="H57" s="102"/>
      <c r="I57" s="102"/>
      <c r="J57" s="102"/>
      <c r="K57" s="102" t="s">
        <v>6171</v>
      </c>
      <c r="L57" s="102" t="s">
        <v>6172</v>
      </c>
      <c r="M57" s="102"/>
      <c r="N57" s="102"/>
      <c r="O57" s="102"/>
      <c r="P57" s="102"/>
      <c r="Q57" s="102"/>
      <c r="R57" s="102"/>
      <c r="S57" s="102" t="s">
        <v>49</v>
      </c>
      <c r="T57" s="102" t="s">
        <v>4</v>
      </c>
    </row>
    <row r="58" spans="1:20">
      <c r="A58" s="101" t="s">
        <v>3498</v>
      </c>
      <c r="B58" s="101" t="s">
        <v>3759</v>
      </c>
      <c r="C58" s="101">
        <v>57</v>
      </c>
      <c r="D58" s="102" t="s">
        <v>6173</v>
      </c>
      <c r="E58" s="102" t="s">
        <v>187</v>
      </c>
      <c r="F58" s="102"/>
      <c r="G58" s="102" t="s">
        <v>3403</v>
      </c>
      <c r="H58" s="102"/>
      <c r="I58" s="102"/>
      <c r="J58" s="102"/>
      <c r="K58" s="102" t="s">
        <v>6174</v>
      </c>
      <c r="L58" s="102"/>
      <c r="M58" s="102"/>
      <c r="N58" s="102"/>
      <c r="O58" s="102"/>
      <c r="P58" s="102"/>
      <c r="Q58" s="102"/>
      <c r="R58" s="102"/>
      <c r="S58" s="102" t="s">
        <v>45</v>
      </c>
      <c r="T58" s="102" t="s">
        <v>4</v>
      </c>
    </row>
    <row r="59" spans="1:20">
      <c r="A59" s="101" t="s">
        <v>3498</v>
      </c>
      <c r="B59" s="101" t="s">
        <v>3759</v>
      </c>
      <c r="C59" s="101">
        <v>58</v>
      </c>
      <c r="D59" s="102" t="s">
        <v>6175</v>
      </c>
      <c r="E59" s="102" t="s">
        <v>187</v>
      </c>
      <c r="F59" s="102"/>
      <c r="G59" s="102" t="s">
        <v>3403</v>
      </c>
      <c r="H59" s="102"/>
      <c r="I59" s="102"/>
      <c r="J59" s="102"/>
      <c r="K59" s="102" t="s">
        <v>6176</v>
      </c>
      <c r="L59" s="102"/>
      <c r="M59" s="102"/>
      <c r="N59" s="102"/>
      <c r="O59" s="102"/>
      <c r="P59" s="102"/>
      <c r="Q59" s="102"/>
      <c r="R59" s="102"/>
      <c r="S59" s="102" t="s">
        <v>5</v>
      </c>
      <c r="T59" s="102" t="s">
        <v>4</v>
      </c>
    </row>
    <row r="60" spans="1:20">
      <c r="A60" s="101" t="s">
        <v>3498</v>
      </c>
      <c r="B60" s="101" t="s">
        <v>3759</v>
      </c>
      <c r="C60" s="101">
        <v>59</v>
      </c>
      <c r="D60" s="102" t="s">
        <v>6177</v>
      </c>
      <c r="E60" s="102" t="s">
        <v>187</v>
      </c>
      <c r="F60" s="102"/>
      <c r="G60" s="102" t="s">
        <v>3403</v>
      </c>
      <c r="H60" s="102"/>
      <c r="I60" s="102"/>
      <c r="J60" s="102"/>
      <c r="K60" s="102" t="s">
        <v>5225</v>
      </c>
      <c r="L60" s="102" t="s">
        <v>3768</v>
      </c>
      <c r="M60" s="102"/>
      <c r="N60" s="102"/>
      <c r="O60" s="102"/>
      <c r="P60" s="102"/>
      <c r="Q60" s="102"/>
      <c r="R60" s="102"/>
      <c r="S60" s="102" t="s">
        <v>26</v>
      </c>
      <c r="T60" s="102" t="s">
        <v>4</v>
      </c>
    </row>
    <row r="61" spans="1:20">
      <c r="A61" s="101" t="s">
        <v>3498</v>
      </c>
      <c r="B61" s="101" t="s">
        <v>3759</v>
      </c>
      <c r="C61" s="101">
        <v>60</v>
      </c>
      <c r="D61" s="102" t="s">
        <v>6178</v>
      </c>
      <c r="E61" s="102" t="s">
        <v>187</v>
      </c>
      <c r="F61" s="102"/>
      <c r="G61" s="102" t="s">
        <v>3403</v>
      </c>
      <c r="H61" s="102"/>
      <c r="I61" s="102"/>
      <c r="J61" s="102"/>
      <c r="K61" s="102" t="s">
        <v>6179</v>
      </c>
      <c r="L61" s="102"/>
      <c r="M61" s="102"/>
      <c r="N61" s="102"/>
      <c r="O61" s="102"/>
      <c r="P61" s="102"/>
      <c r="Q61" s="102"/>
      <c r="R61" s="102"/>
      <c r="S61" s="102" t="s">
        <v>177</v>
      </c>
      <c r="T61" s="102" t="s">
        <v>4</v>
      </c>
    </row>
    <row r="62" spans="1:20">
      <c r="A62" s="101" t="s">
        <v>3498</v>
      </c>
      <c r="B62" s="101" t="s">
        <v>3759</v>
      </c>
      <c r="C62" s="101">
        <v>61</v>
      </c>
      <c r="D62" s="102" t="s">
        <v>6180</v>
      </c>
      <c r="E62" s="102" t="s">
        <v>187</v>
      </c>
      <c r="F62" s="102"/>
      <c r="G62" s="102" t="s">
        <v>3403</v>
      </c>
      <c r="H62" s="102"/>
      <c r="I62" s="102"/>
      <c r="J62" s="102"/>
      <c r="K62" s="102" t="s">
        <v>6181</v>
      </c>
      <c r="L62" s="102" t="s">
        <v>6182</v>
      </c>
      <c r="M62" s="102" t="s">
        <v>3768</v>
      </c>
      <c r="N62" s="102"/>
      <c r="O62" s="102"/>
      <c r="P62" s="102"/>
      <c r="Q62" s="102"/>
      <c r="R62" s="102"/>
      <c r="S62" s="102" t="s">
        <v>179</v>
      </c>
      <c r="T62" s="102" t="s">
        <v>4</v>
      </c>
    </row>
    <row r="63" spans="1:20">
      <c r="A63" s="101" t="s">
        <v>3498</v>
      </c>
      <c r="B63" s="101" t="s">
        <v>3759</v>
      </c>
      <c r="C63" s="101">
        <v>62</v>
      </c>
      <c r="D63" s="102" t="s">
        <v>6183</v>
      </c>
      <c r="E63" s="102" t="s">
        <v>187</v>
      </c>
      <c r="F63" s="102"/>
      <c r="G63" s="102" t="s">
        <v>3403</v>
      </c>
      <c r="H63" s="102"/>
      <c r="I63" s="102"/>
      <c r="J63" s="102"/>
      <c r="K63" s="102" t="s">
        <v>6184</v>
      </c>
      <c r="L63" s="102"/>
      <c r="M63" s="102"/>
      <c r="N63" s="102"/>
      <c r="O63" s="102"/>
      <c r="P63" s="102"/>
      <c r="Q63" s="102"/>
      <c r="R63" s="102"/>
      <c r="S63" s="102" t="s">
        <v>34</v>
      </c>
      <c r="T63" s="102" t="s">
        <v>4</v>
      </c>
    </row>
    <row r="64" spans="1:20">
      <c r="A64" s="101" t="s">
        <v>3498</v>
      </c>
      <c r="B64" s="101" t="s">
        <v>3759</v>
      </c>
      <c r="C64" s="101">
        <v>63</v>
      </c>
      <c r="D64" s="102" t="s">
        <v>6185</v>
      </c>
      <c r="E64" s="102" t="s">
        <v>187</v>
      </c>
      <c r="F64" s="102"/>
      <c r="G64" s="102" t="s">
        <v>3403</v>
      </c>
      <c r="H64" s="102"/>
      <c r="I64" s="102"/>
      <c r="J64" s="102"/>
      <c r="K64" s="102" t="s">
        <v>6186</v>
      </c>
      <c r="L64" s="102"/>
      <c r="M64" s="102"/>
      <c r="N64" s="102"/>
      <c r="O64" s="102"/>
      <c r="P64" s="102"/>
      <c r="Q64" s="102"/>
      <c r="R64" s="102"/>
      <c r="S64" s="102" t="s">
        <v>52</v>
      </c>
      <c r="T64" s="102" t="s">
        <v>4</v>
      </c>
    </row>
    <row r="65" spans="1:20">
      <c r="A65" s="101" t="s">
        <v>3498</v>
      </c>
      <c r="B65" s="101" t="s">
        <v>3759</v>
      </c>
      <c r="C65" s="101">
        <v>64</v>
      </c>
      <c r="D65" s="102" t="s">
        <v>6187</v>
      </c>
      <c r="E65" s="102" t="s">
        <v>187</v>
      </c>
      <c r="F65" s="102"/>
      <c r="G65" s="102" t="s">
        <v>3403</v>
      </c>
      <c r="H65" s="102"/>
      <c r="I65" s="102"/>
      <c r="J65" s="102"/>
      <c r="K65" s="102" t="s">
        <v>6188</v>
      </c>
      <c r="L65" s="102"/>
      <c r="M65" s="102"/>
      <c r="N65" s="102"/>
      <c r="O65" s="102"/>
      <c r="P65" s="102"/>
      <c r="Q65" s="102"/>
      <c r="R65" s="102"/>
      <c r="S65" s="102" t="s">
        <v>40</v>
      </c>
      <c r="T65" s="102" t="s">
        <v>4</v>
      </c>
    </row>
    <row r="66" spans="1:20">
      <c r="A66" s="101" t="s">
        <v>3498</v>
      </c>
      <c r="B66" s="101" t="s">
        <v>3759</v>
      </c>
      <c r="C66" s="101">
        <v>65</v>
      </c>
      <c r="D66" s="102" t="s">
        <v>6189</v>
      </c>
      <c r="E66" s="102" t="s">
        <v>187</v>
      </c>
      <c r="F66" s="102"/>
      <c r="G66" s="102" t="s">
        <v>3403</v>
      </c>
      <c r="H66" s="102"/>
      <c r="I66" s="102"/>
      <c r="J66" s="102"/>
      <c r="K66" s="102" t="s">
        <v>6190</v>
      </c>
      <c r="L66" s="102"/>
      <c r="M66" s="102"/>
      <c r="N66" s="102"/>
      <c r="O66" s="102"/>
      <c r="P66" s="102"/>
      <c r="Q66" s="102"/>
      <c r="R66" s="102"/>
      <c r="S66" s="102" t="s">
        <v>28</v>
      </c>
      <c r="T66" s="102" t="s">
        <v>4</v>
      </c>
    </row>
    <row r="67" spans="1:20">
      <c r="A67" s="101" t="s">
        <v>3498</v>
      </c>
      <c r="B67" s="101" t="s">
        <v>3759</v>
      </c>
      <c r="C67" s="101">
        <v>66</v>
      </c>
      <c r="D67" s="102" t="s">
        <v>4960</v>
      </c>
      <c r="E67" s="102" t="s">
        <v>187</v>
      </c>
      <c r="F67" s="102"/>
      <c r="G67" s="102" t="s">
        <v>3403</v>
      </c>
      <c r="H67" s="102"/>
      <c r="I67" s="102"/>
      <c r="J67" s="102"/>
      <c r="K67" s="102" t="s">
        <v>4961</v>
      </c>
      <c r="L67" s="102"/>
      <c r="M67" s="102"/>
      <c r="N67" s="102"/>
      <c r="O67" s="102"/>
      <c r="P67" s="102"/>
      <c r="Q67" s="102"/>
      <c r="R67" s="102"/>
      <c r="S67" s="102" t="s">
        <v>168</v>
      </c>
      <c r="T67" s="102" t="s">
        <v>4</v>
      </c>
    </row>
    <row r="68" spans="1:20">
      <c r="A68" s="101" t="s">
        <v>3498</v>
      </c>
      <c r="B68" s="101" t="s">
        <v>3759</v>
      </c>
      <c r="C68" s="101">
        <v>67</v>
      </c>
      <c r="D68" s="102" t="s">
        <v>6191</v>
      </c>
      <c r="E68" s="102" t="s">
        <v>187</v>
      </c>
      <c r="F68" s="102"/>
      <c r="G68" s="102" t="s">
        <v>3403</v>
      </c>
      <c r="H68" s="102"/>
      <c r="I68" s="102"/>
      <c r="J68" s="102"/>
      <c r="K68" s="102" t="s">
        <v>6192</v>
      </c>
      <c r="L68" s="102"/>
      <c r="M68" s="102"/>
      <c r="N68" s="102"/>
      <c r="O68" s="102"/>
      <c r="P68" s="102"/>
      <c r="Q68" s="102"/>
      <c r="R68" s="102"/>
      <c r="S68" s="102" t="s">
        <v>29</v>
      </c>
      <c r="T68" s="102" t="s">
        <v>4</v>
      </c>
    </row>
    <row r="69" spans="1:20">
      <c r="A69" s="101" t="s">
        <v>3498</v>
      </c>
      <c r="B69" s="101" t="s">
        <v>3759</v>
      </c>
      <c r="C69" s="101">
        <v>68</v>
      </c>
      <c r="D69" s="102" t="s">
        <v>6193</v>
      </c>
      <c r="E69" s="102" t="s">
        <v>187</v>
      </c>
      <c r="F69" s="102"/>
      <c r="G69" s="102" t="s">
        <v>3403</v>
      </c>
      <c r="H69" s="102"/>
      <c r="I69" s="102"/>
      <c r="J69" s="102"/>
      <c r="K69" s="102" t="s">
        <v>4659</v>
      </c>
      <c r="L69" s="102" t="s">
        <v>6194</v>
      </c>
      <c r="M69" s="102"/>
      <c r="N69" s="102"/>
      <c r="O69" s="102"/>
      <c r="P69" s="102"/>
      <c r="Q69" s="102"/>
      <c r="R69" s="102"/>
      <c r="S69" s="102" t="s">
        <v>49</v>
      </c>
      <c r="T69" s="102" t="s">
        <v>4</v>
      </c>
    </row>
    <row r="70" spans="1:20">
      <c r="A70" s="101" t="s">
        <v>3498</v>
      </c>
      <c r="B70" s="101" t="s">
        <v>3759</v>
      </c>
      <c r="C70" s="101">
        <v>69</v>
      </c>
      <c r="D70" s="102" t="s">
        <v>6195</v>
      </c>
      <c r="E70" s="102" t="s">
        <v>187</v>
      </c>
      <c r="F70" s="102"/>
      <c r="G70" s="102" t="s">
        <v>3403</v>
      </c>
      <c r="H70" s="102"/>
      <c r="I70" s="102"/>
      <c r="J70" s="102"/>
      <c r="K70" s="102" t="s">
        <v>6196</v>
      </c>
      <c r="L70" s="102"/>
      <c r="M70" s="102"/>
      <c r="N70" s="102"/>
      <c r="O70" s="102"/>
      <c r="P70" s="102"/>
      <c r="Q70" s="102"/>
      <c r="R70" s="102"/>
      <c r="S70" s="102" t="s">
        <v>5685</v>
      </c>
      <c r="T70" s="102" t="s">
        <v>4</v>
      </c>
    </row>
    <row r="71" spans="1:20">
      <c r="A71" s="101" t="s">
        <v>3498</v>
      </c>
      <c r="B71" s="101" t="s">
        <v>3759</v>
      </c>
      <c r="C71" s="101">
        <v>70</v>
      </c>
      <c r="D71" s="102" t="s">
        <v>4714</v>
      </c>
      <c r="E71" s="102" t="s">
        <v>187</v>
      </c>
      <c r="F71" s="102"/>
      <c r="G71" s="102" t="s">
        <v>3403</v>
      </c>
      <c r="H71" s="102"/>
      <c r="I71" s="102"/>
      <c r="J71" s="102"/>
      <c r="K71" s="102" t="s">
        <v>4715</v>
      </c>
      <c r="L71" s="102"/>
      <c r="M71" s="102"/>
      <c r="N71" s="102"/>
      <c r="O71" s="102"/>
      <c r="P71" s="102"/>
      <c r="Q71" s="102"/>
      <c r="R71" s="102"/>
      <c r="S71" s="102" t="s">
        <v>45</v>
      </c>
      <c r="T71" s="102" t="s">
        <v>4</v>
      </c>
    </row>
    <row r="72" spans="1:20">
      <c r="A72" s="101" t="s">
        <v>3498</v>
      </c>
      <c r="B72" s="101" t="s">
        <v>3759</v>
      </c>
      <c r="C72" s="101">
        <v>71</v>
      </c>
      <c r="D72" s="102" t="s">
        <v>6197</v>
      </c>
      <c r="E72" s="102" t="s">
        <v>187</v>
      </c>
      <c r="F72" s="102"/>
      <c r="G72" s="102" t="s">
        <v>3403</v>
      </c>
      <c r="H72" s="102"/>
      <c r="I72" s="102"/>
      <c r="J72" s="102"/>
      <c r="K72" s="102" t="s">
        <v>6198</v>
      </c>
      <c r="L72" s="102"/>
      <c r="M72" s="102"/>
      <c r="N72" s="102"/>
      <c r="O72" s="102"/>
      <c r="P72" s="102"/>
      <c r="Q72" s="102"/>
      <c r="R72" s="102"/>
      <c r="S72" s="102" t="s">
        <v>53</v>
      </c>
      <c r="T72" s="102" t="s">
        <v>4</v>
      </c>
    </row>
    <row r="73" spans="1:20">
      <c r="A73" s="101" t="s">
        <v>3498</v>
      </c>
      <c r="B73" s="101" t="s">
        <v>3759</v>
      </c>
      <c r="C73" s="101">
        <v>72</v>
      </c>
      <c r="D73" s="102" t="s">
        <v>6199</v>
      </c>
      <c r="E73" s="102" t="s">
        <v>187</v>
      </c>
      <c r="F73" s="102"/>
      <c r="G73" s="102" t="s">
        <v>3403</v>
      </c>
      <c r="H73" s="102"/>
      <c r="I73" s="102"/>
      <c r="J73" s="102"/>
      <c r="K73" s="102" t="s">
        <v>6200</v>
      </c>
      <c r="L73" s="102" t="s">
        <v>3768</v>
      </c>
      <c r="M73" s="102"/>
      <c r="N73" s="102"/>
      <c r="O73" s="102"/>
      <c r="P73" s="102"/>
      <c r="Q73" s="102"/>
      <c r="R73" s="102"/>
      <c r="S73" s="102" t="s">
        <v>5685</v>
      </c>
      <c r="T73" s="102" t="s">
        <v>4</v>
      </c>
    </row>
    <row r="74" spans="1:20">
      <c r="A74" s="101" t="s">
        <v>3498</v>
      </c>
      <c r="B74" s="101" t="s">
        <v>3759</v>
      </c>
      <c r="C74" s="101">
        <v>73</v>
      </c>
      <c r="D74" s="102" t="s">
        <v>6201</v>
      </c>
      <c r="E74" s="102" t="s">
        <v>187</v>
      </c>
      <c r="F74" s="102"/>
      <c r="G74" s="102" t="s">
        <v>3445</v>
      </c>
      <c r="H74" s="102" t="s">
        <v>13386</v>
      </c>
      <c r="I74" s="102"/>
      <c r="J74" s="102"/>
      <c r="K74" s="102" t="s">
        <v>6202</v>
      </c>
      <c r="L74" s="102"/>
      <c r="M74" s="102"/>
      <c r="N74" s="102"/>
      <c r="O74" s="102"/>
      <c r="P74" s="102"/>
      <c r="Q74" s="102"/>
      <c r="R74" s="102"/>
      <c r="S74" s="102" t="s">
        <v>5281</v>
      </c>
      <c r="T74" s="102" t="s">
        <v>4</v>
      </c>
    </row>
    <row r="75" spans="1:20">
      <c r="A75" s="101" t="s">
        <v>3498</v>
      </c>
      <c r="B75" s="101" t="s">
        <v>3759</v>
      </c>
      <c r="C75" s="101">
        <v>74</v>
      </c>
      <c r="D75" s="102" t="s">
        <v>6203</v>
      </c>
      <c r="E75" s="102" t="s">
        <v>187</v>
      </c>
      <c r="F75" s="102"/>
      <c r="G75" s="102" t="s">
        <v>3403</v>
      </c>
      <c r="H75" s="102"/>
      <c r="I75" s="102"/>
      <c r="J75" s="102"/>
      <c r="K75" s="102" t="s">
        <v>6204</v>
      </c>
      <c r="L75" s="102" t="s">
        <v>6205</v>
      </c>
      <c r="M75" s="102"/>
      <c r="N75" s="102"/>
      <c r="O75" s="102"/>
      <c r="P75" s="102"/>
      <c r="Q75" s="102"/>
      <c r="R75" s="102"/>
      <c r="S75" s="102" t="s">
        <v>604</v>
      </c>
      <c r="T75" s="102" t="s">
        <v>4</v>
      </c>
    </row>
    <row r="76" spans="1:20">
      <c r="A76" s="101" t="s">
        <v>3498</v>
      </c>
      <c r="B76" s="101" t="s">
        <v>3759</v>
      </c>
      <c r="C76" s="101">
        <v>75</v>
      </c>
      <c r="D76" s="102" t="s">
        <v>6206</v>
      </c>
      <c r="E76" s="102" t="s">
        <v>187</v>
      </c>
      <c r="F76" s="102"/>
      <c r="G76" s="102" t="s">
        <v>3403</v>
      </c>
      <c r="H76" s="102"/>
      <c r="I76" s="102"/>
      <c r="J76" s="102"/>
      <c r="K76" s="102" t="s">
        <v>6207</v>
      </c>
      <c r="L76" s="102"/>
      <c r="M76" s="102"/>
      <c r="N76" s="102"/>
      <c r="O76" s="102"/>
      <c r="P76" s="102"/>
      <c r="Q76" s="102"/>
      <c r="R76" s="102"/>
      <c r="S76" s="102" t="s">
        <v>180</v>
      </c>
      <c r="T76" s="102" t="s">
        <v>4</v>
      </c>
    </row>
    <row r="77" spans="1:20">
      <c r="A77" s="101" t="s">
        <v>3498</v>
      </c>
      <c r="B77" s="101" t="s">
        <v>3759</v>
      </c>
      <c r="C77" s="101">
        <v>76</v>
      </c>
      <c r="D77" s="102" t="s">
        <v>6208</v>
      </c>
      <c r="E77" s="102" t="s">
        <v>187</v>
      </c>
      <c r="F77" s="102"/>
      <c r="G77" s="102" t="s">
        <v>3403</v>
      </c>
      <c r="H77" s="102"/>
      <c r="I77" s="102"/>
      <c r="J77" s="102"/>
      <c r="K77" s="102" t="s">
        <v>6066</v>
      </c>
      <c r="L77" s="102" t="s">
        <v>4955</v>
      </c>
      <c r="M77" s="102"/>
      <c r="N77" s="102"/>
      <c r="O77" s="102"/>
      <c r="P77" s="102"/>
      <c r="Q77" s="102"/>
      <c r="R77" s="102"/>
      <c r="S77" s="102" t="s">
        <v>44</v>
      </c>
      <c r="T77" s="102" t="s">
        <v>4</v>
      </c>
    </row>
    <row r="78" spans="1:20">
      <c r="A78" s="101" t="s">
        <v>3498</v>
      </c>
      <c r="B78" s="101" t="s">
        <v>3759</v>
      </c>
      <c r="C78" s="101">
        <v>77</v>
      </c>
      <c r="D78" s="102" t="s">
        <v>6209</v>
      </c>
      <c r="E78" s="102" t="s">
        <v>187</v>
      </c>
      <c r="F78" s="102"/>
      <c r="G78" s="102" t="s">
        <v>3403</v>
      </c>
      <c r="H78" s="102"/>
      <c r="I78" s="102"/>
      <c r="J78" s="102"/>
      <c r="K78" s="102" t="s">
        <v>6210</v>
      </c>
      <c r="L78" s="102" t="s">
        <v>5614</v>
      </c>
      <c r="M78" s="102"/>
      <c r="N78" s="102"/>
      <c r="O78" s="102"/>
      <c r="P78" s="102"/>
      <c r="Q78" s="102"/>
      <c r="R78" s="102"/>
      <c r="S78" s="102" t="s">
        <v>29</v>
      </c>
      <c r="T78" s="102" t="s">
        <v>4</v>
      </c>
    </row>
    <row r="79" spans="1:20">
      <c r="A79" s="101" t="s">
        <v>3498</v>
      </c>
      <c r="B79" s="101" t="s">
        <v>3759</v>
      </c>
      <c r="C79" s="101">
        <v>78</v>
      </c>
      <c r="D79" s="102" t="s">
        <v>5275</v>
      </c>
      <c r="E79" s="102" t="s">
        <v>187</v>
      </c>
      <c r="F79" s="102"/>
      <c r="G79" s="102" t="s">
        <v>3403</v>
      </c>
      <c r="H79" s="102" t="s">
        <v>5180</v>
      </c>
      <c r="I79" s="102"/>
      <c r="J79" s="102"/>
      <c r="K79" s="102" t="s">
        <v>5276</v>
      </c>
      <c r="L79" s="102"/>
      <c r="M79" s="102"/>
      <c r="N79" s="102"/>
      <c r="O79" s="102"/>
      <c r="P79" s="102"/>
      <c r="Q79" s="102"/>
      <c r="R79" s="102"/>
      <c r="S79" s="102" t="s">
        <v>768</v>
      </c>
      <c r="T79" s="102" t="s">
        <v>4</v>
      </c>
    </row>
    <row r="80" spans="1:20">
      <c r="A80" s="101" t="s">
        <v>3498</v>
      </c>
      <c r="B80" s="101" t="s">
        <v>3759</v>
      </c>
      <c r="C80" s="101">
        <v>79</v>
      </c>
      <c r="D80" s="102" t="s">
        <v>6211</v>
      </c>
      <c r="E80" s="102" t="s">
        <v>187</v>
      </c>
      <c r="F80" s="102"/>
      <c r="G80" s="102" t="s">
        <v>3403</v>
      </c>
      <c r="H80" s="102"/>
      <c r="I80" s="102"/>
      <c r="J80" s="102"/>
      <c r="K80" s="102" t="s">
        <v>6212</v>
      </c>
      <c r="L80" s="102"/>
      <c r="M80" s="102"/>
      <c r="N80" s="102"/>
      <c r="O80" s="102"/>
      <c r="P80" s="102"/>
      <c r="Q80" s="102"/>
      <c r="R80" s="102"/>
      <c r="S80" s="102" t="s">
        <v>49</v>
      </c>
      <c r="T80" s="102" t="s">
        <v>4</v>
      </c>
    </row>
    <row r="81" spans="1:20">
      <c r="A81" s="101" t="s">
        <v>3498</v>
      </c>
      <c r="B81" s="101" t="s">
        <v>3759</v>
      </c>
      <c r="C81" s="101">
        <v>80</v>
      </c>
      <c r="D81" s="102" t="s">
        <v>6213</v>
      </c>
      <c r="E81" s="102" t="s">
        <v>187</v>
      </c>
      <c r="F81" s="102"/>
      <c r="G81" s="102" t="s">
        <v>3403</v>
      </c>
      <c r="H81" s="102" t="s">
        <v>5180</v>
      </c>
      <c r="I81" s="102"/>
      <c r="J81" s="102"/>
      <c r="K81" s="102" t="s">
        <v>6214</v>
      </c>
      <c r="L81" s="102"/>
      <c r="M81" s="102"/>
      <c r="N81" s="102"/>
      <c r="O81" s="102"/>
      <c r="P81" s="102"/>
      <c r="Q81" s="102"/>
      <c r="R81" s="102"/>
      <c r="S81" s="102" t="s">
        <v>179</v>
      </c>
      <c r="T81" s="102" t="s">
        <v>4</v>
      </c>
    </row>
    <row r="82" spans="1:20">
      <c r="A82" s="101" t="s">
        <v>3498</v>
      </c>
      <c r="B82" s="101" t="s">
        <v>3759</v>
      </c>
      <c r="C82" s="101">
        <v>81</v>
      </c>
      <c r="D82" s="102" t="s">
        <v>6215</v>
      </c>
      <c r="E82" s="102" t="s">
        <v>187</v>
      </c>
      <c r="F82" s="102"/>
      <c r="G82" s="102" t="s">
        <v>3403</v>
      </c>
      <c r="H82" s="102"/>
      <c r="I82" s="102"/>
      <c r="J82" s="102"/>
      <c r="K82" s="102" t="s">
        <v>4113</v>
      </c>
      <c r="L82" s="102" t="s">
        <v>6216</v>
      </c>
      <c r="M82" s="102" t="s">
        <v>6217</v>
      </c>
      <c r="N82" s="102" t="s">
        <v>6218</v>
      </c>
      <c r="O82" s="102"/>
      <c r="P82" s="102"/>
      <c r="Q82" s="102"/>
      <c r="R82" s="102"/>
      <c r="S82" s="102" t="s">
        <v>33</v>
      </c>
      <c r="T82" s="102" t="s">
        <v>4</v>
      </c>
    </row>
    <row r="83" spans="1:20">
      <c r="A83" s="101" t="s">
        <v>3498</v>
      </c>
      <c r="B83" s="101" t="s">
        <v>3759</v>
      </c>
      <c r="C83" s="101">
        <v>82</v>
      </c>
      <c r="D83" s="102" t="s">
        <v>6219</v>
      </c>
      <c r="E83" s="102" t="s">
        <v>187</v>
      </c>
      <c r="F83" s="102"/>
      <c r="G83" s="102" t="s">
        <v>3403</v>
      </c>
      <c r="H83" s="102"/>
      <c r="I83" s="102"/>
      <c r="J83" s="102"/>
      <c r="K83" s="102" t="s">
        <v>6220</v>
      </c>
      <c r="L83" s="102"/>
      <c r="M83" s="102"/>
      <c r="N83" s="102"/>
      <c r="O83" s="102"/>
      <c r="P83" s="102"/>
      <c r="Q83" s="102"/>
      <c r="R83" s="102"/>
      <c r="S83" s="102" t="s">
        <v>50</v>
      </c>
      <c r="T83" s="102" t="s">
        <v>4</v>
      </c>
    </row>
    <row r="84" spans="1:20">
      <c r="A84" s="101" t="s">
        <v>3498</v>
      </c>
      <c r="B84" s="101" t="s">
        <v>3759</v>
      </c>
      <c r="C84" s="101">
        <v>83</v>
      </c>
      <c r="D84" s="102" t="s">
        <v>6221</v>
      </c>
      <c r="E84" s="102" t="s">
        <v>187</v>
      </c>
      <c r="F84" s="102"/>
      <c r="G84" s="102" t="s">
        <v>3403</v>
      </c>
      <c r="H84" s="102"/>
      <c r="I84" s="102"/>
      <c r="J84" s="102"/>
      <c r="K84" s="102" t="s">
        <v>6222</v>
      </c>
      <c r="L84" s="102"/>
      <c r="M84" s="102"/>
      <c r="N84" s="102"/>
      <c r="O84" s="102"/>
      <c r="P84" s="102"/>
      <c r="Q84" s="102"/>
      <c r="R84" s="102"/>
      <c r="S84" s="102" t="s">
        <v>44</v>
      </c>
      <c r="T84" s="102" t="s">
        <v>4</v>
      </c>
    </row>
    <row r="85" spans="1:20">
      <c r="A85" s="101" t="s">
        <v>3498</v>
      </c>
      <c r="B85" s="101" t="s">
        <v>3759</v>
      </c>
      <c r="C85" s="101">
        <v>84</v>
      </c>
      <c r="D85" s="102" t="s">
        <v>6223</v>
      </c>
      <c r="E85" s="102" t="s">
        <v>187</v>
      </c>
      <c r="F85" s="102"/>
      <c r="G85" s="102" t="s">
        <v>3403</v>
      </c>
      <c r="H85" s="102"/>
      <c r="I85" s="102"/>
      <c r="J85" s="102"/>
      <c r="K85" s="102" t="s">
        <v>6224</v>
      </c>
      <c r="L85" s="102"/>
      <c r="M85" s="102"/>
      <c r="N85" s="102"/>
      <c r="O85" s="102"/>
      <c r="P85" s="102"/>
      <c r="Q85" s="102"/>
      <c r="R85" s="102"/>
      <c r="S85" s="102" t="s">
        <v>14</v>
      </c>
      <c r="T85" s="102" t="s">
        <v>4</v>
      </c>
    </row>
    <row r="86" spans="1:20">
      <c r="A86" s="101" t="s">
        <v>3498</v>
      </c>
      <c r="B86" s="101" t="s">
        <v>3759</v>
      </c>
      <c r="C86" s="101">
        <v>85</v>
      </c>
      <c r="D86" s="102" t="s">
        <v>6225</v>
      </c>
      <c r="E86" s="102" t="s">
        <v>187</v>
      </c>
      <c r="F86" s="102"/>
      <c r="G86" s="102" t="s">
        <v>3403</v>
      </c>
      <c r="H86" s="102"/>
      <c r="I86" s="102"/>
      <c r="J86" s="102"/>
      <c r="K86" s="102" t="s">
        <v>6226</v>
      </c>
      <c r="L86" s="102" t="s">
        <v>5208</v>
      </c>
      <c r="M86" s="102"/>
      <c r="N86" s="102"/>
      <c r="O86" s="102"/>
      <c r="P86" s="102"/>
      <c r="Q86" s="102"/>
      <c r="R86" s="102"/>
      <c r="S86" s="102" t="s">
        <v>32</v>
      </c>
      <c r="T86" s="102" t="s">
        <v>4</v>
      </c>
    </row>
    <row r="87" spans="1:20">
      <c r="A87" s="101" t="s">
        <v>3498</v>
      </c>
      <c r="B87" s="101" t="s">
        <v>3759</v>
      </c>
      <c r="C87" s="101">
        <v>86</v>
      </c>
      <c r="D87" s="102" t="s">
        <v>6227</v>
      </c>
      <c r="E87" s="102" t="s">
        <v>187</v>
      </c>
      <c r="F87" s="102"/>
      <c r="G87" s="102" t="s">
        <v>3403</v>
      </c>
      <c r="H87" s="102"/>
      <c r="I87" s="102"/>
      <c r="J87" s="102"/>
      <c r="K87" s="102" t="s">
        <v>6228</v>
      </c>
      <c r="L87" s="102"/>
      <c r="M87" s="102"/>
      <c r="N87" s="102"/>
      <c r="O87" s="102"/>
      <c r="P87" s="102"/>
      <c r="Q87" s="102"/>
      <c r="R87" s="102"/>
      <c r="S87" s="102" t="s">
        <v>17</v>
      </c>
      <c r="T87" s="102" t="s">
        <v>4</v>
      </c>
    </row>
    <row r="88" spans="1:20">
      <c r="A88" s="101" t="s">
        <v>3498</v>
      </c>
      <c r="B88" s="101" t="s">
        <v>3759</v>
      </c>
      <c r="C88" s="101">
        <v>87</v>
      </c>
      <c r="D88" s="102" t="s">
        <v>6229</v>
      </c>
      <c r="E88" s="102" t="s">
        <v>187</v>
      </c>
      <c r="F88" s="102"/>
      <c r="G88" s="102" t="s">
        <v>3403</v>
      </c>
      <c r="H88" s="102"/>
      <c r="I88" s="102"/>
      <c r="J88" s="102"/>
      <c r="K88" s="102" t="s">
        <v>6230</v>
      </c>
      <c r="L88" s="102"/>
      <c r="M88" s="102"/>
      <c r="N88" s="102"/>
      <c r="O88" s="102"/>
      <c r="P88" s="102"/>
      <c r="Q88" s="102"/>
      <c r="R88" s="102"/>
      <c r="S88" s="102" t="s">
        <v>8</v>
      </c>
      <c r="T88" s="102" t="s">
        <v>4</v>
      </c>
    </row>
    <row r="89" spans="1:20">
      <c r="A89" s="101" t="s">
        <v>3498</v>
      </c>
      <c r="B89" s="101" t="s">
        <v>3759</v>
      </c>
      <c r="C89" s="101">
        <v>88</v>
      </c>
      <c r="D89" s="102" t="s">
        <v>6231</v>
      </c>
      <c r="E89" s="102" t="s">
        <v>187</v>
      </c>
      <c r="F89" s="102"/>
      <c r="G89" s="102" t="s">
        <v>3403</v>
      </c>
      <c r="H89" s="102"/>
      <c r="I89" s="102"/>
      <c r="J89" s="102"/>
      <c r="K89" s="102" t="s">
        <v>6232</v>
      </c>
      <c r="L89" s="102"/>
      <c r="M89" s="102"/>
      <c r="N89" s="102"/>
      <c r="O89" s="102"/>
      <c r="P89" s="102"/>
      <c r="Q89" s="102"/>
      <c r="R89" s="102"/>
      <c r="S89" s="102" t="s">
        <v>3747</v>
      </c>
      <c r="T89" s="102" t="s">
        <v>4</v>
      </c>
    </row>
    <row r="90" spans="1:20">
      <c r="A90" s="101" t="s">
        <v>3498</v>
      </c>
      <c r="B90" s="101" t="s">
        <v>3759</v>
      </c>
      <c r="C90" s="101">
        <v>89</v>
      </c>
      <c r="D90" s="102" t="s">
        <v>6233</v>
      </c>
      <c r="E90" s="102" t="s">
        <v>187</v>
      </c>
      <c r="F90" s="102"/>
      <c r="G90" s="102" t="s">
        <v>3403</v>
      </c>
      <c r="H90" s="102"/>
      <c r="I90" s="102"/>
      <c r="J90" s="102"/>
      <c r="K90" s="102" t="s">
        <v>6234</v>
      </c>
      <c r="L90" s="102"/>
      <c r="M90" s="102"/>
      <c r="N90" s="102"/>
      <c r="O90" s="102"/>
      <c r="P90" s="102"/>
      <c r="Q90" s="102"/>
      <c r="R90" s="102"/>
      <c r="S90" s="102" t="s">
        <v>52</v>
      </c>
      <c r="T90" s="102" t="s">
        <v>4</v>
      </c>
    </row>
    <row r="91" spans="1:20">
      <c r="A91" s="101" t="s">
        <v>3498</v>
      </c>
      <c r="B91" s="101" t="s">
        <v>3759</v>
      </c>
      <c r="C91" s="101">
        <v>90</v>
      </c>
      <c r="D91" s="102" t="s">
        <v>6235</v>
      </c>
      <c r="E91" s="102" t="s">
        <v>187</v>
      </c>
      <c r="F91" s="102"/>
      <c r="G91" s="102" t="s">
        <v>3403</v>
      </c>
      <c r="H91" s="102"/>
      <c r="I91" s="102"/>
      <c r="J91" s="102"/>
      <c r="K91" s="102" t="s">
        <v>5014</v>
      </c>
      <c r="L91" s="102" t="s">
        <v>6236</v>
      </c>
      <c r="M91" s="102"/>
      <c r="N91" s="102"/>
      <c r="O91" s="102"/>
      <c r="P91" s="102"/>
      <c r="Q91" s="102"/>
      <c r="R91" s="102"/>
      <c r="S91" s="102" t="s">
        <v>172</v>
      </c>
      <c r="T91" s="102" t="s">
        <v>4</v>
      </c>
    </row>
    <row r="92" spans="1:20">
      <c r="A92" s="101" t="s">
        <v>3498</v>
      </c>
      <c r="B92" s="101" t="s">
        <v>3759</v>
      </c>
      <c r="C92" s="101">
        <v>91</v>
      </c>
      <c r="D92" s="102" t="s">
        <v>6237</v>
      </c>
      <c r="E92" s="102" t="s">
        <v>187</v>
      </c>
      <c r="F92" s="102"/>
      <c r="G92" s="102" t="s">
        <v>3403</v>
      </c>
      <c r="H92" s="102"/>
      <c r="I92" s="102"/>
      <c r="J92" s="102"/>
      <c r="K92" s="102" t="s">
        <v>6238</v>
      </c>
      <c r="L92" s="102"/>
      <c r="M92" s="102"/>
      <c r="N92" s="102"/>
      <c r="O92" s="102"/>
      <c r="P92" s="102"/>
      <c r="Q92" s="102"/>
      <c r="R92" s="102"/>
      <c r="S92" s="102" t="s">
        <v>5719</v>
      </c>
      <c r="T92" s="102" t="s">
        <v>4</v>
      </c>
    </row>
    <row r="93" spans="1:20">
      <c r="A93" s="101" t="s">
        <v>3498</v>
      </c>
      <c r="B93" s="101" t="s">
        <v>3759</v>
      </c>
      <c r="C93" s="101">
        <v>92</v>
      </c>
      <c r="D93" s="102" t="s">
        <v>6239</v>
      </c>
      <c r="E93" s="102" t="s">
        <v>187</v>
      </c>
      <c r="F93" s="102"/>
      <c r="G93" s="102" t="s">
        <v>3403</v>
      </c>
      <c r="H93" s="102"/>
      <c r="I93" s="102"/>
      <c r="J93" s="102"/>
      <c r="K93" s="102" t="s">
        <v>6240</v>
      </c>
      <c r="L93" s="102"/>
      <c r="M93" s="102"/>
      <c r="N93" s="102"/>
      <c r="O93" s="102"/>
      <c r="P93" s="102"/>
      <c r="Q93" s="102"/>
      <c r="R93" s="102"/>
      <c r="S93" s="102" t="s">
        <v>172</v>
      </c>
      <c r="T93" s="102" t="s">
        <v>4</v>
      </c>
    </row>
    <row r="94" spans="1:20">
      <c r="A94" s="101" t="s">
        <v>3498</v>
      </c>
      <c r="B94" s="101" t="s">
        <v>3759</v>
      </c>
      <c r="C94" s="101">
        <v>93</v>
      </c>
      <c r="D94" s="102" t="s">
        <v>6241</v>
      </c>
      <c r="E94" s="102" t="s">
        <v>187</v>
      </c>
      <c r="F94" s="102"/>
      <c r="G94" s="102" t="s">
        <v>3403</v>
      </c>
      <c r="H94" s="102"/>
      <c r="I94" s="102"/>
      <c r="J94" s="102"/>
      <c r="K94" s="102" t="s">
        <v>6242</v>
      </c>
      <c r="L94" s="102"/>
      <c r="M94" s="102"/>
      <c r="N94" s="102"/>
      <c r="O94" s="102"/>
      <c r="P94" s="102"/>
      <c r="Q94" s="102"/>
      <c r="R94" s="102"/>
      <c r="S94" s="102" t="s">
        <v>17</v>
      </c>
      <c r="T94" s="102" t="s">
        <v>4</v>
      </c>
    </row>
    <row r="95" spans="1:20">
      <c r="A95" s="101" t="s">
        <v>3498</v>
      </c>
      <c r="B95" s="101" t="s">
        <v>3759</v>
      </c>
      <c r="C95" s="101">
        <v>94</v>
      </c>
      <c r="D95" s="102" t="s">
        <v>6243</v>
      </c>
      <c r="E95" s="102" t="s">
        <v>187</v>
      </c>
      <c r="F95" s="102"/>
      <c r="G95" s="102" t="s">
        <v>3403</v>
      </c>
      <c r="H95" s="102"/>
      <c r="I95" s="102"/>
      <c r="J95" s="102"/>
      <c r="K95" s="102" t="s">
        <v>6244</v>
      </c>
      <c r="L95" s="102"/>
      <c r="M95" s="102"/>
      <c r="N95" s="102"/>
      <c r="O95" s="102"/>
      <c r="P95" s="102"/>
      <c r="Q95" s="102"/>
      <c r="R95" s="102"/>
      <c r="S95" s="102" t="s">
        <v>175</v>
      </c>
      <c r="T95" s="102" t="s">
        <v>4</v>
      </c>
    </row>
    <row r="96" spans="1:20">
      <c r="A96" s="101" t="s">
        <v>3498</v>
      </c>
      <c r="B96" s="101" t="s">
        <v>3759</v>
      </c>
      <c r="C96" s="101">
        <v>95</v>
      </c>
      <c r="D96" s="102" t="s">
        <v>6245</v>
      </c>
      <c r="E96" s="102" t="s">
        <v>187</v>
      </c>
      <c r="F96" s="102"/>
      <c r="G96" s="102" t="s">
        <v>3403</v>
      </c>
      <c r="H96" s="102"/>
      <c r="I96" s="102"/>
      <c r="J96" s="102"/>
      <c r="K96" s="102" t="s">
        <v>6246</v>
      </c>
      <c r="L96" s="102"/>
      <c r="M96" s="102"/>
      <c r="N96" s="102"/>
      <c r="O96" s="102"/>
      <c r="P96" s="102"/>
      <c r="Q96" s="102"/>
      <c r="R96" s="102"/>
      <c r="S96" s="102" t="s">
        <v>15</v>
      </c>
      <c r="T96" s="102" t="s">
        <v>4</v>
      </c>
    </row>
    <row r="97" spans="1:20">
      <c r="A97" s="101" t="s">
        <v>3498</v>
      </c>
      <c r="B97" s="101" t="s">
        <v>3759</v>
      </c>
      <c r="C97" s="101">
        <v>96</v>
      </c>
      <c r="D97" s="102" t="s">
        <v>4964</v>
      </c>
      <c r="E97" s="102" t="s">
        <v>187</v>
      </c>
      <c r="F97" s="102"/>
      <c r="G97" s="102" t="s">
        <v>3403</v>
      </c>
      <c r="H97" s="102"/>
      <c r="I97" s="102"/>
      <c r="J97" s="102"/>
      <c r="K97" s="102" t="s">
        <v>4965</v>
      </c>
      <c r="L97" s="102" t="s">
        <v>4931</v>
      </c>
      <c r="M97" s="102"/>
      <c r="N97" s="102"/>
      <c r="O97" s="102"/>
      <c r="P97" s="102"/>
      <c r="Q97" s="102"/>
      <c r="R97" s="102"/>
      <c r="S97" s="102" t="s">
        <v>46</v>
      </c>
      <c r="T97" s="102" t="s">
        <v>4</v>
      </c>
    </row>
    <row r="98" spans="1:20">
      <c r="A98" s="101" t="s">
        <v>3498</v>
      </c>
      <c r="B98" s="101" t="s">
        <v>3759</v>
      </c>
      <c r="C98" s="101">
        <v>97</v>
      </c>
      <c r="D98" s="102" t="s">
        <v>6247</v>
      </c>
      <c r="E98" s="102" t="s">
        <v>187</v>
      </c>
      <c r="F98" s="102"/>
      <c r="G98" s="102" t="s">
        <v>3403</v>
      </c>
      <c r="H98" s="102"/>
      <c r="I98" s="102"/>
      <c r="J98" s="102"/>
      <c r="K98" s="102" t="s">
        <v>6248</v>
      </c>
      <c r="L98" s="102" t="s">
        <v>6249</v>
      </c>
      <c r="M98" s="102"/>
      <c r="N98" s="102"/>
      <c r="O98" s="102"/>
      <c r="P98" s="102"/>
      <c r="Q98" s="102"/>
      <c r="R98" s="102"/>
      <c r="S98" s="102" t="s">
        <v>31</v>
      </c>
      <c r="T98" s="102" t="s">
        <v>4</v>
      </c>
    </row>
    <row r="99" spans="1:20">
      <c r="A99" s="101" t="s">
        <v>3498</v>
      </c>
      <c r="B99" s="101" t="s">
        <v>3759</v>
      </c>
      <c r="C99" s="101">
        <v>98</v>
      </c>
      <c r="D99" s="102" t="s">
        <v>6250</v>
      </c>
      <c r="E99" s="102" t="s">
        <v>187</v>
      </c>
      <c r="F99" s="102"/>
      <c r="G99" s="102" t="s">
        <v>3403</v>
      </c>
      <c r="H99" s="102"/>
      <c r="I99" s="102"/>
      <c r="J99" s="102"/>
      <c r="K99" s="102" t="s">
        <v>6251</v>
      </c>
      <c r="L99" s="102"/>
      <c r="M99" s="102"/>
      <c r="N99" s="102"/>
      <c r="O99" s="102"/>
      <c r="P99" s="102"/>
      <c r="Q99" s="102"/>
      <c r="R99" s="102"/>
      <c r="S99" s="102" t="s">
        <v>181</v>
      </c>
      <c r="T99" s="102" t="s">
        <v>4</v>
      </c>
    </row>
    <row r="100" spans="1:20">
      <c r="A100" s="101" t="s">
        <v>3498</v>
      </c>
      <c r="B100" s="101" t="s">
        <v>3759</v>
      </c>
      <c r="C100" s="101">
        <v>99</v>
      </c>
      <c r="D100" s="102" t="s">
        <v>6252</v>
      </c>
      <c r="E100" s="102" t="s">
        <v>187</v>
      </c>
      <c r="F100" s="102"/>
      <c r="G100" s="102" t="s">
        <v>3403</v>
      </c>
      <c r="H100" s="102"/>
      <c r="I100" s="102"/>
      <c r="J100" s="102"/>
      <c r="K100" s="102" t="s">
        <v>6253</v>
      </c>
      <c r="L100" s="102"/>
      <c r="M100" s="102"/>
      <c r="N100" s="102"/>
      <c r="O100" s="102"/>
      <c r="P100" s="102"/>
      <c r="Q100" s="102"/>
      <c r="R100" s="102"/>
      <c r="S100" s="102" t="s">
        <v>50</v>
      </c>
      <c r="T100" s="102" t="s">
        <v>4</v>
      </c>
    </row>
    <row r="101" spans="1:20">
      <c r="A101" s="101" t="s">
        <v>3498</v>
      </c>
      <c r="B101" s="101" t="s">
        <v>3759</v>
      </c>
      <c r="C101" s="101">
        <v>100</v>
      </c>
      <c r="D101" s="102" t="s">
        <v>6254</v>
      </c>
      <c r="E101" s="102" t="s">
        <v>187</v>
      </c>
      <c r="F101" s="102"/>
      <c r="G101" s="102" t="s">
        <v>3403</v>
      </c>
      <c r="H101" s="102"/>
      <c r="I101" s="102"/>
      <c r="J101" s="102"/>
      <c r="K101" s="102" t="s">
        <v>6251</v>
      </c>
      <c r="L101" s="102" t="s">
        <v>6255</v>
      </c>
      <c r="M101" s="102"/>
      <c r="N101" s="102"/>
      <c r="O101" s="102"/>
      <c r="P101" s="102"/>
      <c r="Q101" s="102"/>
      <c r="R101" s="102"/>
      <c r="S101" s="102" t="s">
        <v>44</v>
      </c>
      <c r="T101" s="102" t="s">
        <v>4</v>
      </c>
    </row>
    <row r="102" spans="1:20">
      <c r="A102" s="101" t="s">
        <v>3498</v>
      </c>
      <c r="B102" s="101" t="s">
        <v>3759</v>
      </c>
      <c r="C102" s="101">
        <v>101</v>
      </c>
      <c r="D102" s="102" t="s">
        <v>6256</v>
      </c>
      <c r="E102" s="102" t="s">
        <v>188</v>
      </c>
      <c r="F102" s="102"/>
      <c r="G102" s="102" t="s">
        <v>3403</v>
      </c>
      <c r="H102" s="102"/>
      <c r="I102" s="102"/>
      <c r="J102" s="102"/>
      <c r="K102" s="102" t="s">
        <v>6257</v>
      </c>
      <c r="L102" s="102"/>
      <c r="M102" s="102"/>
      <c r="N102" s="102"/>
      <c r="O102" s="102"/>
      <c r="P102" s="102"/>
      <c r="Q102" s="102"/>
      <c r="R102" s="102"/>
      <c r="S102" s="102" t="s">
        <v>48</v>
      </c>
      <c r="T102" s="102" t="s">
        <v>4</v>
      </c>
    </row>
    <row r="103" spans="1:20">
      <c r="A103" s="101" t="s">
        <v>3498</v>
      </c>
      <c r="B103" s="101" t="s">
        <v>3759</v>
      </c>
      <c r="C103" s="101">
        <v>102</v>
      </c>
      <c r="D103" s="102" t="s">
        <v>6258</v>
      </c>
      <c r="E103" s="102" t="s">
        <v>187</v>
      </c>
      <c r="F103" s="102"/>
      <c r="G103" s="102" t="s">
        <v>3403</v>
      </c>
      <c r="H103" s="102"/>
      <c r="I103" s="102"/>
      <c r="J103" s="102"/>
      <c r="K103" s="102" t="s">
        <v>6259</v>
      </c>
      <c r="L103" s="102" t="s">
        <v>5208</v>
      </c>
      <c r="M103" s="102"/>
      <c r="N103" s="102"/>
      <c r="O103" s="102"/>
      <c r="P103" s="102"/>
      <c r="Q103" s="102"/>
      <c r="R103" s="102"/>
      <c r="S103" s="102" t="s">
        <v>32</v>
      </c>
      <c r="T103" s="102" t="s">
        <v>4</v>
      </c>
    </row>
    <row r="104" spans="1:20">
      <c r="A104" s="101" t="s">
        <v>3498</v>
      </c>
      <c r="B104" s="101" t="s">
        <v>3759</v>
      </c>
      <c r="C104" s="101">
        <v>103</v>
      </c>
      <c r="D104" s="102" t="s">
        <v>4958</v>
      </c>
      <c r="E104" s="102" t="s">
        <v>187</v>
      </c>
      <c r="F104" s="102"/>
      <c r="G104" s="102" t="s">
        <v>3403</v>
      </c>
      <c r="H104" s="102"/>
      <c r="I104" s="102"/>
      <c r="J104" s="102"/>
      <c r="K104" s="102" t="s">
        <v>4959</v>
      </c>
      <c r="L104" s="102"/>
      <c r="M104" s="102"/>
      <c r="N104" s="102"/>
      <c r="O104" s="102"/>
      <c r="P104" s="102"/>
      <c r="Q104" s="102"/>
      <c r="R104" s="102"/>
      <c r="S104" s="102" t="s">
        <v>176</v>
      </c>
      <c r="T104" s="102" t="s">
        <v>4</v>
      </c>
    </row>
    <row r="105" spans="1:20">
      <c r="A105" s="101" t="s">
        <v>3498</v>
      </c>
      <c r="B105" s="101" t="s">
        <v>3759</v>
      </c>
      <c r="C105" s="101">
        <v>104</v>
      </c>
      <c r="D105" s="102" t="s">
        <v>5259</v>
      </c>
      <c r="E105" s="102" t="s">
        <v>187</v>
      </c>
      <c r="F105" s="102"/>
      <c r="G105" s="102" t="s">
        <v>3403</v>
      </c>
      <c r="H105" s="102"/>
      <c r="I105" s="102"/>
      <c r="J105" s="102"/>
      <c r="K105" s="102" t="s">
        <v>5260</v>
      </c>
      <c r="L105" s="102"/>
      <c r="M105" s="102"/>
      <c r="N105" s="102"/>
      <c r="O105" s="102"/>
      <c r="P105" s="102"/>
      <c r="Q105" s="102"/>
      <c r="R105" s="102"/>
      <c r="S105" s="102" t="s">
        <v>844</v>
      </c>
      <c r="T105" s="102" t="s">
        <v>4</v>
      </c>
    </row>
    <row r="106" spans="1:20">
      <c r="A106" s="101" t="s">
        <v>3498</v>
      </c>
      <c r="B106" s="101" t="s">
        <v>3759</v>
      </c>
      <c r="C106" s="101">
        <v>105</v>
      </c>
      <c r="D106" s="102" t="s">
        <v>4940</v>
      </c>
      <c r="E106" s="102" t="s">
        <v>4941</v>
      </c>
      <c r="F106" s="102"/>
      <c r="G106" s="102" t="s">
        <v>3403</v>
      </c>
      <c r="H106" s="102"/>
      <c r="I106" s="102"/>
      <c r="J106" s="102"/>
      <c r="K106" s="102" t="s">
        <v>4942</v>
      </c>
      <c r="L106" s="102" t="s">
        <v>4943</v>
      </c>
      <c r="M106" s="102"/>
      <c r="N106" s="102"/>
      <c r="O106" s="102"/>
      <c r="P106" s="102"/>
      <c r="Q106" s="102"/>
      <c r="R106" s="102"/>
      <c r="S106" s="102" t="s">
        <v>606</v>
      </c>
      <c r="T106" s="102" t="s">
        <v>4</v>
      </c>
    </row>
    <row r="107" spans="1:20">
      <c r="A107" s="101" t="s">
        <v>3498</v>
      </c>
      <c r="B107" s="101" t="s">
        <v>3759</v>
      </c>
      <c r="C107" s="101">
        <v>106</v>
      </c>
      <c r="D107" s="102" t="s">
        <v>6260</v>
      </c>
      <c r="E107" s="102" t="s">
        <v>187</v>
      </c>
      <c r="F107" s="102"/>
      <c r="G107" s="102" t="s">
        <v>3403</v>
      </c>
      <c r="H107" s="102"/>
      <c r="I107" s="102"/>
      <c r="J107" s="102"/>
      <c r="K107" s="102" t="s">
        <v>6261</v>
      </c>
      <c r="L107" s="102" t="s">
        <v>3768</v>
      </c>
      <c r="M107" s="102"/>
      <c r="N107" s="102"/>
      <c r="O107" s="102"/>
      <c r="P107" s="102"/>
      <c r="Q107" s="102"/>
      <c r="R107" s="102"/>
      <c r="S107" s="102" t="s">
        <v>10</v>
      </c>
      <c r="T107" s="102" t="s">
        <v>4</v>
      </c>
    </row>
    <row r="108" spans="1:20">
      <c r="A108" s="101" t="s">
        <v>3498</v>
      </c>
      <c r="B108" s="101" t="s">
        <v>3759</v>
      </c>
      <c r="C108" s="101">
        <v>107</v>
      </c>
      <c r="D108" s="102" t="s">
        <v>6262</v>
      </c>
      <c r="E108" s="102" t="s">
        <v>187</v>
      </c>
      <c r="F108" s="102"/>
      <c r="G108" s="102" t="s">
        <v>3403</v>
      </c>
      <c r="H108" s="102"/>
      <c r="I108" s="102"/>
      <c r="J108" s="102"/>
      <c r="K108" s="102" t="s">
        <v>6263</v>
      </c>
      <c r="L108" s="102"/>
      <c r="M108" s="102"/>
      <c r="N108" s="102"/>
      <c r="O108" s="102"/>
      <c r="P108" s="102"/>
      <c r="Q108" s="102"/>
      <c r="R108" s="102"/>
      <c r="S108" s="102" t="s">
        <v>46</v>
      </c>
      <c r="T108" s="102" t="s">
        <v>4</v>
      </c>
    </row>
    <row r="109" spans="1:20">
      <c r="A109" s="101" t="s">
        <v>3498</v>
      </c>
      <c r="B109" s="101" t="s">
        <v>3759</v>
      </c>
      <c r="C109" s="101">
        <v>108</v>
      </c>
      <c r="D109" s="102" t="s">
        <v>6264</v>
      </c>
      <c r="E109" s="102" t="s">
        <v>187</v>
      </c>
      <c r="F109" s="102"/>
      <c r="G109" s="102" t="s">
        <v>3403</v>
      </c>
      <c r="H109" s="102"/>
      <c r="I109" s="102"/>
      <c r="J109" s="102"/>
      <c r="K109" s="102" t="s">
        <v>6265</v>
      </c>
      <c r="L109" s="102"/>
      <c r="M109" s="102"/>
      <c r="N109" s="102"/>
      <c r="O109" s="102"/>
      <c r="P109" s="102"/>
      <c r="Q109" s="102"/>
      <c r="R109" s="102"/>
      <c r="S109" s="102" t="s">
        <v>45</v>
      </c>
      <c r="T109" s="102" t="s">
        <v>4</v>
      </c>
    </row>
    <row r="110" spans="1:20">
      <c r="A110" s="101" t="s">
        <v>3498</v>
      </c>
      <c r="B110" s="101" t="s">
        <v>3759</v>
      </c>
      <c r="C110" s="101">
        <v>109</v>
      </c>
      <c r="D110" s="102" t="s">
        <v>6266</v>
      </c>
      <c r="E110" s="102" t="s">
        <v>187</v>
      </c>
      <c r="F110" s="102"/>
      <c r="G110" s="102" t="s">
        <v>3403</v>
      </c>
      <c r="H110" s="102"/>
      <c r="I110" s="102"/>
      <c r="J110" s="102"/>
      <c r="K110" s="102" t="s">
        <v>6267</v>
      </c>
      <c r="L110" s="102"/>
      <c r="M110" s="102"/>
      <c r="N110" s="102"/>
      <c r="O110" s="102"/>
      <c r="P110" s="102"/>
      <c r="Q110" s="102"/>
      <c r="R110" s="102"/>
      <c r="S110" s="102" t="s">
        <v>38</v>
      </c>
      <c r="T110" s="102" t="s">
        <v>4</v>
      </c>
    </row>
    <row r="111" spans="1:20">
      <c r="A111" s="101" t="s">
        <v>3498</v>
      </c>
      <c r="B111" s="101" t="s">
        <v>3759</v>
      </c>
      <c r="C111" s="101">
        <v>110</v>
      </c>
      <c r="D111" s="102" t="s">
        <v>6268</v>
      </c>
      <c r="E111" s="102" t="s">
        <v>204</v>
      </c>
      <c r="F111" s="102"/>
      <c r="G111" s="102" t="s">
        <v>3403</v>
      </c>
      <c r="H111" s="102"/>
      <c r="I111" s="102"/>
      <c r="J111" s="102"/>
      <c r="K111" s="102" t="s">
        <v>6269</v>
      </c>
      <c r="L111" s="102"/>
      <c r="M111" s="102"/>
      <c r="N111" s="102"/>
      <c r="O111" s="102"/>
      <c r="P111" s="102"/>
      <c r="Q111" s="102"/>
      <c r="R111" s="102"/>
      <c r="S111" s="102" t="s">
        <v>44</v>
      </c>
      <c r="T111" s="102" t="s">
        <v>4</v>
      </c>
    </row>
    <row r="112" spans="1:20">
      <c r="A112" s="101" t="s">
        <v>3498</v>
      </c>
      <c r="B112" s="101" t="s">
        <v>3759</v>
      </c>
      <c r="C112" s="101">
        <v>111</v>
      </c>
      <c r="D112" s="102" t="s">
        <v>6270</v>
      </c>
      <c r="E112" s="102" t="s">
        <v>204</v>
      </c>
      <c r="F112" s="102"/>
      <c r="G112" s="102" t="s">
        <v>3403</v>
      </c>
      <c r="H112" s="102"/>
      <c r="I112" s="102"/>
      <c r="J112" s="102"/>
      <c r="K112" s="102" t="s">
        <v>6271</v>
      </c>
      <c r="L112" s="102"/>
      <c r="M112" s="102"/>
      <c r="N112" s="102"/>
      <c r="O112" s="102"/>
      <c r="P112" s="102"/>
      <c r="Q112" s="102"/>
      <c r="R112" s="102"/>
      <c r="S112" s="102" t="s">
        <v>16</v>
      </c>
      <c r="T112" s="102" t="s">
        <v>4</v>
      </c>
    </row>
    <row r="113" spans="1:20">
      <c r="A113" s="101" t="s">
        <v>3498</v>
      </c>
      <c r="B113" s="101" t="s">
        <v>3759</v>
      </c>
      <c r="C113" s="101">
        <v>112</v>
      </c>
      <c r="D113" s="102" t="s">
        <v>6272</v>
      </c>
      <c r="E113" s="102" t="s">
        <v>204</v>
      </c>
      <c r="F113" s="102"/>
      <c r="G113" s="102" t="s">
        <v>3403</v>
      </c>
      <c r="H113" s="102"/>
      <c r="I113" s="102"/>
      <c r="J113" s="102"/>
      <c r="K113" s="102" t="s">
        <v>6273</v>
      </c>
      <c r="L113" s="102"/>
      <c r="M113" s="102"/>
      <c r="N113" s="102"/>
      <c r="O113" s="102"/>
      <c r="P113" s="102"/>
      <c r="Q113" s="102"/>
      <c r="R113" s="102"/>
      <c r="S113" s="102" t="s">
        <v>29</v>
      </c>
      <c r="T113" s="102" t="s">
        <v>4</v>
      </c>
    </row>
    <row r="114" spans="1:20">
      <c r="A114" s="101" t="s">
        <v>3498</v>
      </c>
      <c r="B114" s="101" t="s">
        <v>3759</v>
      </c>
      <c r="C114" s="101">
        <v>113</v>
      </c>
      <c r="D114" s="102" t="s">
        <v>5311</v>
      </c>
      <c r="E114" s="102" t="s">
        <v>204</v>
      </c>
      <c r="F114" s="102"/>
      <c r="G114" s="102" t="s">
        <v>3403</v>
      </c>
      <c r="H114" s="102" t="s">
        <v>5670</v>
      </c>
      <c r="I114" s="102"/>
      <c r="J114" s="102"/>
      <c r="K114" s="102" t="s">
        <v>5312</v>
      </c>
      <c r="L114" s="102" t="s">
        <v>5313</v>
      </c>
      <c r="M114" s="102"/>
      <c r="N114" s="102"/>
      <c r="O114" s="102"/>
      <c r="P114" s="102"/>
      <c r="Q114" s="102"/>
      <c r="R114" s="102"/>
      <c r="S114" s="102" t="s">
        <v>844</v>
      </c>
      <c r="T114" s="102" t="s">
        <v>4</v>
      </c>
    </row>
    <row r="115" spans="1:20">
      <c r="A115" s="101" t="s">
        <v>3498</v>
      </c>
      <c r="B115" s="101" t="s">
        <v>3759</v>
      </c>
      <c r="C115" s="101">
        <v>114</v>
      </c>
      <c r="D115" s="102" t="s">
        <v>5011</v>
      </c>
      <c r="E115" s="102" t="s">
        <v>204</v>
      </c>
      <c r="F115" s="102"/>
      <c r="G115" s="102" t="s">
        <v>3403</v>
      </c>
      <c r="H115" s="102"/>
      <c r="I115" s="102"/>
      <c r="J115" s="102"/>
      <c r="K115" s="102" t="s">
        <v>5012</v>
      </c>
      <c r="L115" s="102"/>
      <c r="M115" s="102"/>
      <c r="N115" s="102"/>
      <c r="O115" s="102"/>
      <c r="P115" s="102"/>
      <c r="Q115" s="102"/>
      <c r="R115" s="102"/>
      <c r="S115" s="102" t="s">
        <v>176</v>
      </c>
      <c r="T115" s="102" t="s">
        <v>4</v>
      </c>
    </row>
    <row r="116" spans="1:20">
      <c r="A116" s="101" t="s">
        <v>3498</v>
      </c>
      <c r="B116" s="101" t="s">
        <v>3759</v>
      </c>
      <c r="C116" s="101">
        <v>115</v>
      </c>
      <c r="D116" s="102" t="s">
        <v>6274</v>
      </c>
      <c r="E116" s="102" t="s">
        <v>204</v>
      </c>
      <c r="F116" s="102"/>
      <c r="G116" s="102" t="s">
        <v>3403</v>
      </c>
      <c r="H116" s="102"/>
      <c r="I116" s="102"/>
      <c r="J116" s="102"/>
      <c r="K116" s="102" t="s">
        <v>6275</v>
      </c>
      <c r="L116" s="102"/>
      <c r="M116" s="102"/>
      <c r="N116" s="102"/>
      <c r="O116" s="102"/>
      <c r="P116" s="102"/>
      <c r="Q116" s="102"/>
      <c r="R116" s="102"/>
      <c r="S116" s="102" t="s">
        <v>52</v>
      </c>
      <c r="T116" s="102" t="s">
        <v>4</v>
      </c>
    </row>
    <row r="117" spans="1:20">
      <c r="A117" s="101" t="s">
        <v>3498</v>
      </c>
      <c r="B117" s="101" t="s">
        <v>3759</v>
      </c>
      <c r="C117" s="101">
        <v>116</v>
      </c>
      <c r="D117" s="102" t="s">
        <v>6276</v>
      </c>
      <c r="E117" s="102" t="s">
        <v>204</v>
      </c>
      <c r="F117" s="102"/>
      <c r="G117" s="102" t="s">
        <v>3403</v>
      </c>
      <c r="H117" s="102"/>
      <c r="I117" s="102"/>
      <c r="J117" s="102"/>
      <c r="K117" s="102" t="s">
        <v>6277</v>
      </c>
      <c r="L117" s="102"/>
      <c r="M117" s="102"/>
      <c r="N117" s="102"/>
      <c r="O117" s="102"/>
      <c r="P117" s="102"/>
      <c r="Q117" s="102"/>
      <c r="R117" s="102"/>
      <c r="S117" s="102" t="s">
        <v>605</v>
      </c>
      <c r="T117" s="102" t="s">
        <v>4</v>
      </c>
    </row>
    <row r="118" spans="1:20">
      <c r="A118" s="101" t="s">
        <v>3498</v>
      </c>
      <c r="B118" s="101" t="s">
        <v>3759</v>
      </c>
      <c r="C118" s="101">
        <v>117</v>
      </c>
      <c r="D118" s="102" t="s">
        <v>6278</v>
      </c>
      <c r="E118" s="102" t="s">
        <v>208</v>
      </c>
      <c r="F118" s="102"/>
      <c r="G118" s="102" t="s">
        <v>3403</v>
      </c>
      <c r="H118" s="102"/>
      <c r="I118" s="102"/>
      <c r="J118" s="102"/>
      <c r="K118" s="102" t="s">
        <v>6251</v>
      </c>
      <c r="L118" s="102" t="s">
        <v>6279</v>
      </c>
      <c r="M118" s="102"/>
      <c r="N118" s="102"/>
      <c r="O118" s="102"/>
      <c r="P118" s="102"/>
      <c r="Q118" s="102"/>
      <c r="R118" s="102"/>
      <c r="S118" s="102" t="s">
        <v>10</v>
      </c>
      <c r="T118" s="102" t="s">
        <v>4</v>
      </c>
    </row>
    <row r="119" spans="1:20">
      <c r="A119" s="101" t="s">
        <v>3498</v>
      </c>
      <c r="B119" s="101" t="s">
        <v>3759</v>
      </c>
      <c r="C119" s="101">
        <v>118</v>
      </c>
      <c r="D119" s="102" t="s">
        <v>6280</v>
      </c>
      <c r="E119" s="102" t="s">
        <v>204</v>
      </c>
      <c r="F119" s="102"/>
      <c r="G119" s="102" t="s">
        <v>3403</v>
      </c>
      <c r="H119" s="102"/>
      <c r="I119" s="102"/>
      <c r="J119" s="102"/>
      <c r="K119" s="102" t="s">
        <v>4659</v>
      </c>
      <c r="L119" s="102" t="s">
        <v>3768</v>
      </c>
      <c r="M119" s="102"/>
      <c r="N119" s="102"/>
      <c r="O119" s="102"/>
      <c r="P119" s="102"/>
      <c r="Q119" s="102"/>
      <c r="R119" s="102"/>
      <c r="S119" s="102" t="s">
        <v>30</v>
      </c>
      <c r="T119" s="102" t="s">
        <v>4</v>
      </c>
    </row>
    <row r="120" spans="1:20">
      <c r="A120" s="101" t="s">
        <v>3498</v>
      </c>
      <c r="B120" s="101" t="s">
        <v>3759</v>
      </c>
      <c r="C120" s="101">
        <v>119</v>
      </c>
      <c r="D120" s="102" t="s">
        <v>6281</v>
      </c>
      <c r="E120" s="102" t="s">
        <v>204</v>
      </c>
      <c r="F120" s="102"/>
      <c r="G120" s="102" t="s">
        <v>3403</v>
      </c>
      <c r="H120" s="102"/>
      <c r="I120" s="102"/>
      <c r="J120" s="102"/>
      <c r="K120" s="102" t="s">
        <v>6282</v>
      </c>
      <c r="L120" s="102"/>
      <c r="M120" s="102"/>
      <c r="N120" s="102"/>
      <c r="O120" s="102"/>
      <c r="P120" s="102"/>
      <c r="Q120" s="102"/>
      <c r="R120" s="102"/>
      <c r="S120" s="102" t="s">
        <v>50</v>
      </c>
      <c r="T120" s="102" t="s">
        <v>4</v>
      </c>
    </row>
    <row r="121" spans="1:20">
      <c r="A121" s="101" t="s">
        <v>3498</v>
      </c>
      <c r="B121" s="101" t="s">
        <v>3759</v>
      </c>
      <c r="C121" s="101">
        <v>120</v>
      </c>
      <c r="D121" s="102" t="s">
        <v>6283</v>
      </c>
      <c r="E121" s="102" t="s">
        <v>204</v>
      </c>
      <c r="F121" s="102"/>
      <c r="G121" s="102" t="s">
        <v>3403</v>
      </c>
      <c r="H121" s="102"/>
      <c r="I121" s="102"/>
      <c r="J121" s="102"/>
      <c r="K121" s="102" t="s">
        <v>4113</v>
      </c>
      <c r="L121" s="102" t="s">
        <v>6284</v>
      </c>
      <c r="M121" s="102" t="s">
        <v>6285</v>
      </c>
      <c r="N121" s="102" t="s">
        <v>6286</v>
      </c>
      <c r="O121" s="102"/>
      <c r="P121" s="102"/>
      <c r="Q121" s="102"/>
      <c r="R121" s="102"/>
      <c r="S121" s="102" t="s">
        <v>168</v>
      </c>
      <c r="T121" s="102" t="s">
        <v>4</v>
      </c>
    </row>
    <row r="122" spans="1:20">
      <c r="A122" s="101" t="s">
        <v>3498</v>
      </c>
      <c r="B122" s="101" t="s">
        <v>3759</v>
      </c>
      <c r="C122" s="101">
        <v>121</v>
      </c>
      <c r="D122" s="102" t="s">
        <v>6287</v>
      </c>
      <c r="E122" s="102" t="s">
        <v>204</v>
      </c>
      <c r="F122" s="102"/>
      <c r="G122" s="102" t="s">
        <v>3403</v>
      </c>
      <c r="H122" s="102"/>
      <c r="I122" s="102"/>
      <c r="J122" s="102"/>
      <c r="K122" s="102" t="s">
        <v>6288</v>
      </c>
      <c r="L122" s="102" t="s">
        <v>4277</v>
      </c>
      <c r="M122" s="102" t="s">
        <v>6289</v>
      </c>
      <c r="N122" s="102" t="s">
        <v>6290</v>
      </c>
      <c r="O122" s="102"/>
      <c r="P122" s="102"/>
      <c r="Q122" s="102"/>
      <c r="R122" s="102"/>
      <c r="S122" s="102" t="s">
        <v>39</v>
      </c>
      <c r="T122" s="102" t="s">
        <v>4</v>
      </c>
    </row>
    <row r="123" spans="1:20">
      <c r="A123" s="101" t="s">
        <v>3498</v>
      </c>
      <c r="B123" s="101" t="s">
        <v>3759</v>
      </c>
      <c r="C123" s="101">
        <v>122</v>
      </c>
      <c r="D123" s="102" t="s">
        <v>6291</v>
      </c>
      <c r="E123" s="102" t="s">
        <v>204</v>
      </c>
      <c r="F123" s="102"/>
      <c r="G123" s="102" t="s">
        <v>3403</v>
      </c>
      <c r="H123" s="102"/>
      <c r="I123" s="102"/>
      <c r="J123" s="102"/>
      <c r="K123" s="102" t="s">
        <v>6292</v>
      </c>
      <c r="L123" s="102"/>
      <c r="M123" s="102"/>
      <c r="N123" s="102"/>
      <c r="O123" s="102"/>
      <c r="P123" s="102"/>
      <c r="Q123" s="102"/>
      <c r="R123" s="102"/>
      <c r="S123" s="102" t="s">
        <v>607</v>
      </c>
      <c r="T123" s="102" t="s">
        <v>4</v>
      </c>
    </row>
    <row r="124" spans="1:20">
      <c r="A124" s="101" t="s">
        <v>3498</v>
      </c>
      <c r="B124" s="101" t="s">
        <v>3759</v>
      </c>
      <c r="C124" s="101">
        <v>123</v>
      </c>
      <c r="D124" s="102" t="s">
        <v>5008</v>
      </c>
      <c r="E124" s="102" t="s">
        <v>204</v>
      </c>
      <c r="F124" s="102"/>
      <c r="G124" s="102" t="s">
        <v>3403</v>
      </c>
      <c r="H124" s="102"/>
      <c r="I124" s="102"/>
      <c r="J124" s="102"/>
      <c r="K124" s="102" t="s">
        <v>5002</v>
      </c>
      <c r="L124" s="102"/>
      <c r="M124" s="102"/>
      <c r="N124" s="102"/>
      <c r="O124" s="102"/>
      <c r="P124" s="102"/>
      <c r="Q124" s="102"/>
      <c r="R124" s="102"/>
      <c r="S124" s="102" t="s">
        <v>32</v>
      </c>
      <c r="T124" s="102" t="s">
        <v>4</v>
      </c>
    </row>
    <row r="125" spans="1:20">
      <c r="A125" s="101" t="s">
        <v>3498</v>
      </c>
      <c r="B125" s="101" t="s">
        <v>3759</v>
      </c>
      <c r="C125" s="101">
        <v>124</v>
      </c>
      <c r="D125" s="102" t="s">
        <v>6293</v>
      </c>
      <c r="E125" s="102" t="s">
        <v>204</v>
      </c>
      <c r="F125" s="102"/>
      <c r="G125" s="102" t="s">
        <v>3403</v>
      </c>
      <c r="H125" s="102"/>
      <c r="I125" s="102"/>
      <c r="J125" s="102"/>
      <c r="K125" s="102" t="s">
        <v>6138</v>
      </c>
      <c r="L125" s="102" t="s">
        <v>3768</v>
      </c>
      <c r="M125" s="102"/>
      <c r="N125" s="102"/>
      <c r="O125" s="102"/>
      <c r="P125" s="102"/>
      <c r="Q125" s="102"/>
      <c r="R125" s="102"/>
      <c r="S125" s="102" t="s">
        <v>11</v>
      </c>
      <c r="T125" s="102" t="s">
        <v>4</v>
      </c>
    </row>
    <row r="126" spans="1:20">
      <c r="A126" s="101" t="s">
        <v>3498</v>
      </c>
      <c r="B126" s="101" t="s">
        <v>3759</v>
      </c>
      <c r="C126" s="101">
        <v>125</v>
      </c>
      <c r="D126" s="102" t="s">
        <v>6294</v>
      </c>
      <c r="E126" s="102" t="s">
        <v>208</v>
      </c>
      <c r="F126" s="102"/>
      <c r="G126" s="102" t="s">
        <v>3403</v>
      </c>
      <c r="H126" s="102"/>
      <c r="I126" s="102"/>
      <c r="J126" s="102"/>
      <c r="K126" s="102" t="s">
        <v>6295</v>
      </c>
      <c r="L126" s="102"/>
      <c r="M126" s="102"/>
      <c r="N126" s="102"/>
      <c r="O126" s="102"/>
      <c r="P126" s="102"/>
      <c r="Q126" s="102"/>
      <c r="R126" s="102"/>
      <c r="S126" s="102" t="s">
        <v>174</v>
      </c>
      <c r="T126" s="102" t="s">
        <v>4</v>
      </c>
    </row>
    <row r="127" spans="1:20">
      <c r="A127" s="101" t="s">
        <v>3498</v>
      </c>
      <c r="B127" s="101" t="s">
        <v>3759</v>
      </c>
      <c r="C127" s="101">
        <v>126</v>
      </c>
      <c r="D127" s="102" t="s">
        <v>6296</v>
      </c>
      <c r="E127" s="102" t="s">
        <v>204</v>
      </c>
      <c r="F127" s="102"/>
      <c r="G127" s="102" t="s">
        <v>3403</v>
      </c>
      <c r="H127" s="102"/>
      <c r="I127" s="102"/>
      <c r="J127" s="102"/>
      <c r="K127" s="102" t="s">
        <v>6297</v>
      </c>
      <c r="L127" s="102"/>
      <c r="M127" s="102"/>
      <c r="N127" s="102"/>
      <c r="O127" s="102"/>
      <c r="P127" s="102"/>
      <c r="Q127" s="102"/>
      <c r="R127" s="102"/>
      <c r="S127" s="102" t="s">
        <v>6</v>
      </c>
      <c r="T127" s="102" t="s">
        <v>4</v>
      </c>
    </row>
    <row r="128" spans="1:20">
      <c r="A128" s="101" t="s">
        <v>3498</v>
      </c>
      <c r="B128" s="101" t="s">
        <v>3759</v>
      </c>
      <c r="C128" s="101">
        <v>127</v>
      </c>
      <c r="D128" s="102" t="s">
        <v>6298</v>
      </c>
      <c r="E128" s="102" t="s">
        <v>204</v>
      </c>
      <c r="F128" s="102"/>
      <c r="G128" s="102" t="s">
        <v>3403</v>
      </c>
      <c r="H128" s="102"/>
      <c r="I128" s="102"/>
      <c r="J128" s="102"/>
      <c r="K128" s="102" t="s">
        <v>6299</v>
      </c>
      <c r="L128" s="102"/>
      <c r="M128" s="102"/>
      <c r="N128" s="102"/>
      <c r="O128" s="102"/>
      <c r="P128" s="102"/>
      <c r="Q128" s="102"/>
      <c r="R128" s="102"/>
      <c r="S128" s="102" t="s">
        <v>172</v>
      </c>
      <c r="T128" s="102" t="s">
        <v>4</v>
      </c>
    </row>
    <row r="129" spans="1:20">
      <c r="A129" s="101" t="s">
        <v>3498</v>
      </c>
      <c r="B129" s="101" t="s">
        <v>3759</v>
      </c>
      <c r="C129" s="101">
        <v>128</v>
      </c>
      <c r="D129" s="102" t="s">
        <v>6300</v>
      </c>
      <c r="E129" s="102" t="s">
        <v>204</v>
      </c>
      <c r="F129" s="102"/>
      <c r="G129" s="102" t="s">
        <v>3403</v>
      </c>
      <c r="H129" s="102"/>
      <c r="I129" s="102"/>
      <c r="J129" s="102"/>
      <c r="K129" s="102" t="s">
        <v>6301</v>
      </c>
      <c r="L129" s="102"/>
      <c r="M129" s="102"/>
      <c r="N129" s="102"/>
      <c r="O129" s="102"/>
      <c r="P129" s="102"/>
      <c r="Q129" s="102"/>
      <c r="R129" s="102"/>
      <c r="S129" s="102" t="s">
        <v>18</v>
      </c>
      <c r="T129" s="102" t="s">
        <v>4</v>
      </c>
    </row>
    <row r="130" spans="1:20">
      <c r="A130" s="101" t="s">
        <v>3498</v>
      </c>
      <c r="B130" s="101" t="s">
        <v>3759</v>
      </c>
      <c r="C130" s="101">
        <v>129</v>
      </c>
      <c r="D130" s="102" t="s">
        <v>4990</v>
      </c>
      <c r="E130" s="102" t="s">
        <v>204</v>
      </c>
      <c r="F130" s="102"/>
      <c r="G130" s="102" t="s">
        <v>3403</v>
      </c>
      <c r="H130" s="102"/>
      <c r="I130" s="102"/>
      <c r="J130" s="102"/>
      <c r="K130" s="102" t="s">
        <v>4991</v>
      </c>
      <c r="L130" s="102" t="s">
        <v>4931</v>
      </c>
      <c r="M130" s="102"/>
      <c r="N130" s="102"/>
      <c r="O130" s="102"/>
      <c r="P130" s="102"/>
      <c r="Q130" s="102"/>
      <c r="R130" s="102"/>
      <c r="S130" s="102" t="s">
        <v>46</v>
      </c>
      <c r="T130" s="102" t="s">
        <v>4</v>
      </c>
    </row>
    <row r="131" spans="1:20">
      <c r="A131" s="101" t="s">
        <v>3498</v>
      </c>
      <c r="B131" s="101" t="s">
        <v>3759</v>
      </c>
      <c r="C131" s="101">
        <v>130</v>
      </c>
      <c r="D131" s="102" t="s">
        <v>6302</v>
      </c>
      <c r="E131" s="102" t="s">
        <v>204</v>
      </c>
      <c r="F131" s="102"/>
      <c r="G131" s="102" t="s">
        <v>3403</v>
      </c>
      <c r="H131" s="102"/>
      <c r="I131" s="102"/>
      <c r="J131" s="102"/>
      <c r="K131" s="102" t="s">
        <v>6251</v>
      </c>
      <c r="L131" s="102"/>
      <c r="M131" s="102"/>
      <c r="N131" s="102"/>
      <c r="O131" s="102"/>
      <c r="P131" s="102"/>
      <c r="Q131" s="102"/>
      <c r="R131" s="102"/>
      <c r="S131" s="102" t="s">
        <v>169</v>
      </c>
      <c r="T131" s="102" t="s">
        <v>4</v>
      </c>
    </row>
    <row r="132" spans="1:20">
      <c r="A132" s="107" t="s">
        <v>3498</v>
      </c>
      <c r="B132" s="107" t="s">
        <v>3759</v>
      </c>
      <c r="C132" s="107">
        <v>131</v>
      </c>
      <c r="D132" s="108" t="s">
        <v>6303</v>
      </c>
      <c r="E132" s="108" t="s">
        <v>204</v>
      </c>
      <c r="F132" s="108"/>
      <c r="G132" s="108" t="s">
        <v>3403</v>
      </c>
      <c r="H132" s="108"/>
      <c r="I132" s="108"/>
      <c r="J132" s="108"/>
      <c r="K132" s="108" t="s">
        <v>6304</v>
      </c>
      <c r="L132" s="108" t="s">
        <v>6305</v>
      </c>
      <c r="M132" s="108"/>
      <c r="N132" s="108"/>
      <c r="O132" s="108"/>
      <c r="P132" s="108"/>
      <c r="Q132" s="108"/>
      <c r="R132" s="102"/>
      <c r="S132" s="102" t="s">
        <v>607</v>
      </c>
      <c r="T132" s="102" t="s">
        <v>4</v>
      </c>
    </row>
    <row r="133" spans="1:20">
      <c r="A133" s="101" t="s">
        <v>3498</v>
      </c>
      <c r="B133" s="101" t="s">
        <v>3759</v>
      </c>
      <c r="C133" s="101">
        <v>132</v>
      </c>
      <c r="D133" s="102" t="s">
        <v>6306</v>
      </c>
      <c r="E133" s="102" t="s">
        <v>204</v>
      </c>
      <c r="F133" s="102"/>
      <c r="G133" s="102" t="s">
        <v>3403</v>
      </c>
      <c r="H133" s="102"/>
      <c r="I133" s="102"/>
      <c r="J133" s="102"/>
      <c r="K133" s="102" t="s">
        <v>6307</v>
      </c>
      <c r="L133" s="102"/>
      <c r="M133" s="102"/>
      <c r="N133" s="102"/>
      <c r="O133" s="102"/>
      <c r="P133" s="102"/>
      <c r="Q133" s="102"/>
      <c r="R133" s="102"/>
      <c r="S133" s="102" t="s">
        <v>14</v>
      </c>
      <c r="T133" s="102" t="s">
        <v>4</v>
      </c>
    </row>
    <row r="134" spans="1:20">
      <c r="A134" s="101" t="s">
        <v>3498</v>
      </c>
      <c r="B134" s="101" t="s">
        <v>3759</v>
      </c>
      <c r="C134" s="101">
        <v>133</v>
      </c>
      <c r="D134" s="102" t="s">
        <v>5005</v>
      </c>
      <c r="E134" s="102" t="s">
        <v>204</v>
      </c>
      <c r="F134" s="102"/>
      <c r="G134" s="102" t="s">
        <v>3403</v>
      </c>
      <c r="H134" s="102"/>
      <c r="I134" s="102"/>
      <c r="J134" s="102"/>
      <c r="K134" s="102" t="s">
        <v>4933</v>
      </c>
      <c r="L134" s="102" t="s">
        <v>5006</v>
      </c>
      <c r="M134" s="102"/>
      <c r="N134" s="102"/>
      <c r="O134" s="102"/>
      <c r="P134" s="102"/>
      <c r="Q134" s="102"/>
      <c r="R134" s="102"/>
      <c r="S134" s="102" t="s">
        <v>35</v>
      </c>
      <c r="T134" s="102" t="s">
        <v>4</v>
      </c>
    </row>
    <row r="135" spans="1:20">
      <c r="A135" s="101" t="s">
        <v>3498</v>
      </c>
      <c r="B135" s="101" t="s">
        <v>3759</v>
      </c>
      <c r="C135" s="101">
        <v>134</v>
      </c>
      <c r="D135" s="102" t="s">
        <v>6308</v>
      </c>
      <c r="E135" s="102" t="s">
        <v>204</v>
      </c>
      <c r="F135" s="102"/>
      <c r="G135" s="102" t="s">
        <v>3403</v>
      </c>
      <c r="H135" s="102"/>
      <c r="I135" s="102"/>
      <c r="J135" s="102"/>
      <c r="K135" s="102" t="s">
        <v>5262</v>
      </c>
      <c r="L135" s="102"/>
      <c r="M135" s="102"/>
      <c r="N135" s="102"/>
      <c r="O135" s="102"/>
      <c r="P135" s="102"/>
      <c r="Q135" s="102"/>
      <c r="R135" s="102"/>
      <c r="S135" s="102" t="s">
        <v>38</v>
      </c>
      <c r="T135" s="102" t="s">
        <v>4</v>
      </c>
    </row>
    <row r="136" spans="1:20">
      <c r="A136" s="101" t="s">
        <v>3498</v>
      </c>
      <c r="B136" s="101" t="s">
        <v>3759</v>
      </c>
      <c r="C136" s="101">
        <v>135</v>
      </c>
      <c r="D136" s="102" t="s">
        <v>6309</v>
      </c>
      <c r="E136" s="102" t="s">
        <v>204</v>
      </c>
      <c r="F136" s="102"/>
      <c r="G136" s="102" t="s">
        <v>3403</v>
      </c>
      <c r="H136" s="102"/>
      <c r="I136" s="102"/>
      <c r="J136" s="102"/>
      <c r="K136" s="102" t="s">
        <v>6310</v>
      </c>
      <c r="L136" s="102"/>
      <c r="M136" s="102"/>
      <c r="N136" s="102"/>
      <c r="O136" s="102"/>
      <c r="P136" s="102"/>
      <c r="Q136" s="102"/>
      <c r="R136" s="102"/>
      <c r="S136" s="102" t="s">
        <v>181</v>
      </c>
      <c r="T136" s="102" t="s">
        <v>4</v>
      </c>
    </row>
    <row r="137" spans="1:20">
      <c r="A137" s="101" t="s">
        <v>3498</v>
      </c>
      <c r="B137" s="101" t="s">
        <v>3759</v>
      </c>
      <c r="C137" s="101">
        <v>136</v>
      </c>
      <c r="D137" s="102" t="s">
        <v>4986</v>
      </c>
      <c r="E137" s="102" t="s">
        <v>204</v>
      </c>
      <c r="F137" s="102"/>
      <c r="G137" s="102" t="s">
        <v>3403</v>
      </c>
      <c r="H137" s="102"/>
      <c r="I137" s="102"/>
      <c r="J137" s="102"/>
      <c r="K137" s="102" t="s">
        <v>4987</v>
      </c>
      <c r="L137" s="102"/>
      <c r="M137" s="102"/>
      <c r="N137" s="102"/>
      <c r="O137" s="102"/>
      <c r="P137" s="102"/>
      <c r="Q137" s="102"/>
      <c r="R137" s="102"/>
      <c r="S137" s="102" t="s">
        <v>177</v>
      </c>
      <c r="T137" s="102" t="s">
        <v>4</v>
      </c>
    </row>
    <row r="138" spans="1:20">
      <c r="A138" s="101" t="s">
        <v>3498</v>
      </c>
      <c r="B138" s="101" t="s">
        <v>3759</v>
      </c>
      <c r="C138" s="101">
        <v>137</v>
      </c>
      <c r="D138" s="102" t="s">
        <v>6311</v>
      </c>
      <c r="E138" s="102" t="s">
        <v>204</v>
      </c>
      <c r="F138" s="102"/>
      <c r="G138" s="102" t="s">
        <v>3403</v>
      </c>
      <c r="H138" s="102"/>
      <c r="I138" s="102"/>
      <c r="J138" s="102"/>
      <c r="K138" s="102" t="s">
        <v>5031</v>
      </c>
      <c r="L138" s="102"/>
      <c r="M138" s="102"/>
      <c r="N138" s="102"/>
      <c r="O138" s="102"/>
      <c r="P138" s="102"/>
      <c r="Q138" s="102"/>
      <c r="R138" s="102"/>
      <c r="S138" s="102" t="s">
        <v>5685</v>
      </c>
      <c r="T138" s="102" t="s">
        <v>4</v>
      </c>
    </row>
    <row r="139" spans="1:20">
      <c r="A139" s="101" t="s">
        <v>3498</v>
      </c>
      <c r="B139" s="101" t="s">
        <v>3759</v>
      </c>
      <c r="C139" s="101">
        <v>138</v>
      </c>
      <c r="D139" s="102" t="s">
        <v>6312</v>
      </c>
      <c r="E139" s="102" t="s">
        <v>204</v>
      </c>
      <c r="F139" s="102"/>
      <c r="G139" s="102" t="s">
        <v>3403</v>
      </c>
      <c r="H139" s="102"/>
      <c r="I139" s="102"/>
      <c r="J139" s="102"/>
      <c r="K139" s="102" t="s">
        <v>6313</v>
      </c>
      <c r="L139" s="102" t="s">
        <v>3768</v>
      </c>
      <c r="M139" s="102"/>
      <c r="N139" s="102"/>
      <c r="O139" s="102"/>
      <c r="P139" s="102"/>
      <c r="Q139" s="102"/>
      <c r="R139" s="102"/>
      <c r="S139" s="102" t="s">
        <v>170</v>
      </c>
      <c r="T139" s="102" t="s">
        <v>4</v>
      </c>
    </row>
    <row r="140" spans="1:20">
      <c r="A140" s="101" t="s">
        <v>3498</v>
      </c>
      <c r="B140" s="101" t="s">
        <v>3759</v>
      </c>
      <c r="C140" s="101">
        <v>139</v>
      </c>
      <c r="D140" s="102" t="s">
        <v>6314</v>
      </c>
      <c r="E140" s="102" t="s">
        <v>204</v>
      </c>
      <c r="F140" s="102"/>
      <c r="G140" s="102" t="s">
        <v>3403</v>
      </c>
      <c r="H140" s="102"/>
      <c r="I140" s="102"/>
      <c r="J140" s="102"/>
      <c r="K140" s="102" t="s">
        <v>5262</v>
      </c>
      <c r="L140" s="102"/>
      <c r="M140" s="102"/>
      <c r="N140" s="102"/>
      <c r="O140" s="102"/>
      <c r="P140" s="102"/>
      <c r="Q140" s="102"/>
      <c r="R140" s="102"/>
      <c r="S140" s="102" t="s">
        <v>45</v>
      </c>
      <c r="T140" s="102" t="s">
        <v>4</v>
      </c>
    </row>
    <row r="141" spans="1:20">
      <c r="A141" s="101" t="s">
        <v>3498</v>
      </c>
      <c r="B141" s="101" t="s">
        <v>3759</v>
      </c>
      <c r="C141" s="101">
        <v>140</v>
      </c>
      <c r="D141" s="102" t="s">
        <v>6315</v>
      </c>
      <c r="E141" s="102" t="s">
        <v>204</v>
      </c>
      <c r="F141" s="102"/>
      <c r="G141" s="102" t="s">
        <v>3403</v>
      </c>
      <c r="H141" s="102"/>
      <c r="I141" s="102"/>
      <c r="J141" s="102"/>
      <c r="K141" s="102" t="s">
        <v>6316</v>
      </c>
      <c r="L141" s="102" t="s">
        <v>3768</v>
      </c>
      <c r="M141" s="102"/>
      <c r="N141" s="102"/>
      <c r="O141" s="102"/>
      <c r="P141" s="102"/>
      <c r="Q141" s="102"/>
      <c r="R141" s="102"/>
      <c r="S141" s="102" t="s">
        <v>26</v>
      </c>
      <c r="T141" s="102" t="s">
        <v>4</v>
      </c>
    </row>
    <row r="142" spans="1:20">
      <c r="A142" s="101" t="s">
        <v>3498</v>
      </c>
      <c r="B142" s="101" t="s">
        <v>3759</v>
      </c>
      <c r="C142" s="101">
        <v>141</v>
      </c>
      <c r="D142" s="102" t="s">
        <v>6317</v>
      </c>
      <c r="E142" s="102" t="s">
        <v>204</v>
      </c>
      <c r="F142" s="102"/>
      <c r="G142" s="102" t="s">
        <v>3403</v>
      </c>
      <c r="H142" s="102"/>
      <c r="I142" s="102"/>
      <c r="J142" s="102"/>
      <c r="K142" s="102" t="s">
        <v>6318</v>
      </c>
      <c r="L142" s="102"/>
      <c r="M142" s="102"/>
      <c r="N142" s="102"/>
      <c r="O142" s="102"/>
      <c r="P142" s="102"/>
      <c r="Q142" s="102"/>
      <c r="R142" s="102"/>
      <c r="S142" s="102" t="s">
        <v>8</v>
      </c>
      <c r="T142" s="102" t="s">
        <v>4</v>
      </c>
    </row>
    <row r="143" spans="1:20">
      <c r="A143" s="101" t="s">
        <v>3498</v>
      </c>
      <c r="B143" s="101" t="s">
        <v>3759</v>
      </c>
      <c r="C143" s="101">
        <v>142</v>
      </c>
      <c r="D143" s="102" t="s">
        <v>5001</v>
      </c>
      <c r="E143" s="102" t="s">
        <v>204</v>
      </c>
      <c r="F143" s="102"/>
      <c r="G143" s="102" t="s">
        <v>3403</v>
      </c>
      <c r="H143" s="102"/>
      <c r="I143" s="102"/>
      <c r="J143" s="102"/>
      <c r="K143" s="102" t="s">
        <v>5002</v>
      </c>
      <c r="L143" s="102" t="s">
        <v>4953</v>
      </c>
      <c r="M143" s="102"/>
      <c r="N143" s="102"/>
      <c r="O143" s="102"/>
      <c r="P143" s="102"/>
      <c r="Q143" s="102"/>
      <c r="R143" s="102"/>
      <c r="S143" s="102" t="s">
        <v>17</v>
      </c>
      <c r="T143" s="102" t="s">
        <v>4</v>
      </c>
    </row>
    <row r="144" spans="1:20">
      <c r="A144" s="107" t="s">
        <v>3498</v>
      </c>
      <c r="B144" s="107" t="s">
        <v>3759</v>
      </c>
      <c r="C144" s="107">
        <v>143</v>
      </c>
      <c r="D144" s="108" t="s">
        <v>4088</v>
      </c>
      <c r="E144" s="108" t="s">
        <v>204</v>
      </c>
      <c r="F144" s="108"/>
      <c r="G144" s="108" t="s">
        <v>3403</v>
      </c>
      <c r="H144" s="108"/>
      <c r="I144" s="108"/>
      <c r="J144" s="108"/>
      <c r="K144" s="108" t="s">
        <v>6319</v>
      </c>
      <c r="L144" s="108"/>
      <c r="M144" s="108"/>
      <c r="N144" s="108"/>
      <c r="O144" s="108"/>
      <c r="P144" s="108"/>
      <c r="Q144" s="108"/>
      <c r="R144" s="102"/>
      <c r="S144" s="102" t="s">
        <v>6</v>
      </c>
      <c r="T144" s="102" t="s">
        <v>4</v>
      </c>
    </row>
    <row r="145" spans="1:20">
      <c r="A145" s="101" t="s">
        <v>3498</v>
      </c>
      <c r="B145" s="101" t="s">
        <v>3759</v>
      </c>
      <c r="C145" s="101">
        <v>144</v>
      </c>
      <c r="D145" s="102" t="s">
        <v>6320</v>
      </c>
      <c r="E145" s="102" t="s">
        <v>204</v>
      </c>
      <c r="F145" s="102"/>
      <c r="G145" s="102" t="s">
        <v>3403</v>
      </c>
      <c r="H145" s="102"/>
      <c r="I145" s="102"/>
      <c r="J145" s="102"/>
      <c r="K145" s="102" t="s">
        <v>6200</v>
      </c>
      <c r="L145" s="102" t="s">
        <v>3768</v>
      </c>
      <c r="M145" s="102"/>
      <c r="N145" s="102"/>
      <c r="O145" s="102"/>
      <c r="P145" s="102"/>
      <c r="Q145" s="102"/>
      <c r="R145" s="102"/>
      <c r="S145" s="102" t="s">
        <v>169</v>
      </c>
      <c r="T145" s="102" t="s">
        <v>4</v>
      </c>
    </row>
    <row r="146" spans="1:20">
      <c r="A146" s="101" t="s">
        <v>3498</v>
      </c>
      <c r="B146" s="101" t="s">
        <v>3759</v>
      </c>
      <c r="C146" s="101">
        <v>145</v>
      </c>
      <c r="D146" s="102" t="s">
        <v>6321</v>
      </c>
      <c r="E146" s="102" t="s">
        <v>204</v>
      </c>
      <c r="F146" s="102"/>
      <c r="G146" s="102" t="s">
        <v>3403</v>
      </c>
      <c r="H146" s="102"/>
      <c r="I146" s="102"/>
      <c r="J146" s="102"/>
      <c r="K146" s="102" t="s">
        <v>4113</v>
      </c>
      <c r="L146" s="102" t="s">
        <v>6322</v>
      </c>
      <c r="M146" s="102" t="s">
        <v>6323</v>
      </c>
      <c r="N146" s="102"/>
      <c r="O146" s="102"/>
      <c r="P146" s="102"/>
      <c r="Q146" s="102"/>
      <c r="R146" s="102"/>
      <c r="S146" s="102" t="s">
        <v>180</v>
      </c>
      <c r="T146" s="102" t="s">
        <v>4</v>
      </c>
    </row>
    <row r="147" spans="1:20">
      <c r="A147" s="105" t="s">
        <v>3498</v>
      </c>
      <c r="B147" s="105" t="s">
        <v>3759</v>
      </c>
      <c r="C147" s="105">
        <v>146</v>
      </c>
      <c r="D147" s="106" t="s">
        <v>6324</v>
      </c>
      <c r="E147" s="106" t="s">
        <v>185</v>
      </c>
      <c r="F147" s="106"/>
      <c r="G147" s="106" t="s">
        <v>3403</v>
      </c>
      <c r="H147" s="106"/>
      <c r="I147" s="106"/>
      <c r="J147" s="106"/>
      <c r="K147" s="106" t="s">
        <v>6325</v>
      </c>
      <c r="L147" s="106"/>
      <c r="M147" s="106"/>
      <c r="N147" s="106"/>
      <c r="O147" s="106"/>
      <c r="P147" s="106"/>
      <c r="Q147" s="106"/>
      <c r="R147" s="102"/>
      <c r="S147" s="102" t="s">
        <v>36</v>
      </c>
      <c r="T147" s="102" t="s">
        <v>4</v>
      </c>
    </row>
    <row r="148" spans="1:20">
      <c r="A148" s="101" t="s">
        <v>3498</v>
      </c>
      <c r="B148" s="101" t="s">
        <v>3759</v>
      </c>
      <c r="C148" s="101">
        <v>147</v>
      </c>
      <c r="D148" s="102" t="s">
        <v>6326</v>
      </c>
      <c r="E148" s="102" t="s">
        <v>185</v>
      </c>
      <c r="F148" s="102"/>
      <c r="G148" s="102" t="s">
        <v>3403</v>
      </c>
      <c r="H148" s="102"/>
      <c r="I148" s="102"/>
      <c r="J148" s="102"/>
      <c r="K148" s="102" t="s">
        <v>6327</v>
      </c>
      <c r="L148" s="102" t="s">
        <v>5327</v>
      </c>
      <c r="M148" s="102"/>
      <c r="N148" s="102"/>
      <c r="O148" s="102"/>
      <c r="P148" s="102"/>
      <c r="Q148" s="102"/>
      <c r="R148" s="102"/>
      <c r="S148" s="102" t="s">
        <v>34</v>
      </c>
      <c r="T148" s="102" t="s">
        <v>4</v>
      </c>
    </row>
    <row r="149" spans="1:20">
      <c r="A149" s="101" t="s">
        <v>3498</v>
      </c>
      <c r="B149" s="101" t="s">
        <v>3759</v>
      </c>
      <c r="C149" s="101">
        <v>148</v>
      </c>
      <c r="D149" s="102" t="s">
        <v>6328</v>
      </c>
      <c r="E149" s="102" t="s">
        <v>209</v>
      </c>
      <c r="F149" s="102"/>
      <c r="G149" s="102" t="s">
        <v>3403</v>
      </c>
      <c r="H149" s="102"/>
      <c r="I149" s="102"/>
      <c r="J149" s="102"/>
      <c r="K149" s="102" t="s">
        <v>6329</v>
      </c>
      <c r="L149" s="102"/>
      <c r="M149" s="102"/>
      <c r="N149" s="102"/>
      <c r="O149" s="102"/>
      <c r="P149" s="102"/>
      <c r="Q149" s="102"/>
      <c r="R149" s="102"/>
      <c r="S149" s="102" t="s">
        <v>170</v>
      </c>
      <c r="T149" s="102" t="s">
        <v>4</v>
      </c>
    </row>
    <row r="150" spans="1:20">
      <c r="A150" s="101" t="s">
        <v>3498</v>
      </c>
      <c r="B150" s="101" t="s">
        <v>3759</v>
      </c>
      <c r="C150" s="101">
        <v>149</v>
      </c>
      <c r="D150" s="102" t="s">
        <v>4092</v>
      </c>
      <c r="E150" s="102" t="s">
        <v>185</v>
      </c>
      <c r="F150" s="102"/>
      <c r="G150" s="102" t="s">
        <v>3403</v>
      </c>
      <c r="H150" s="102"/>
      <c r="I150" s="102"/>
      <c r="J150" s="102"/>
      <c r="K150" s="102" t="s">
        <v>4093</v>
      </c>
      <c r="L150" s="102"/>
      <c r="M150" s="102"/>
      <c r="N150" s="102"/>
      <c r="O150" s="102"/>
      <c r="P150" s="102"/>
      <c r="Q150" s="102"/>
      <c r="R150" s="102"/>
      <c r="S150" s="102" t="s">
        <v>6</v>
      </c>
      <c r="T150" s="102" t="s">
        <v>4</v>
      </c>
    </row>
    <row r="151" spans="1:20">
      <c r="A151" s="101" t="s">
        <v>3498</v>
      </c>
      <c r="B151" s="101" t="s">
        <v>3759</v>
      </c>
      <c r="C151" s="101">
        <v>150</v>
      </c>
      <c r="D151" s="102" t="s">
        <v>6330</v>
      </c>
      <c r="E151" s="102" t="s">
        <v>209</v>
      </c>
      <c r="F151" s="102"/>
      <c r="G151" s="102" t="s">
        <v>3403</v>
      </c>
      <c r="H151" s="102"/>
      <c r="I151" s="102"/>
      <c r="J151" s="102"/>
      <c r="K151" s="102" t="s">
        <v>6331</v>
      </c>
      <c r="L151" s="102"/>
      <c r="M151" s="102"/>
      <c r="N151" s="102"/>
      <c r="O151" s="102"/>
      <c r="P151" s="102"/>
      <c r="Q151" s="102"/>
      <c r="R151" s="102"/>
      <c r="S151" s="102" t="s">
        <v>181</v>
      </c>
      <c r="T151" s="102" t="s">
        <v>4</v>
      </c>
    </row>
    <row r="152" spans="1:20">
      <c r="A152" s="101" t="s">
        <v>3498</v>
      </c>
      <c r="B152" s="101" t="s">
        <v>3759</v>
      </c>
      <c r="C152" s="101">
        <v>151</v>
      </c>
      <c r="D152" s="102" t="s">
        <v>5017</v>
      </c>
      <c r="E152" s="102" t="s">
        <v>185</v>
      </c>
      <c r="F152" s="102"/>
      <c r="G152" s="102" t="s">
        <v>3403</v>
      </c>
      <c r="H152" s="102"/>
      <c r="I152" s="102"/>
      <c r="J152" s="102"/>
      <c r="K152" s="102" t="s">
        <v>5018</v>
      </c>
      <c r="L152" s="102" t="s">
        <v>3768</v>
      </c>
      <c r="M152" s="102"/>
      <c r="N152" s="102"/>
      <c r="O152" s="102"/>
      <c r="P152" s="102"/>
      <c r="Q152" s="102"/>
      <c r="R152" s="102"/>
      <c r="S152" s="102" t="s">
        <v>176</v>
      </c>
      <c r="T152" s="102" t="s">
        <v>4</v>
      </c>
    </row>
    <row r="153" spans="1:20">
      <c r="A153" s="101" t="s">
        <v>3498</v>
      </c>
      <c r="B153" s="101" t="s">
        <v>3759</v>
      </c>
      <c r="C153" s="101">
        <v>152</v>
      </c>
      <c r="D153" s="102" t="s">
        <v>6332</v>
      </c>
      <c r="E153" s="102" t="s">
        <v>185</v>
      </c>
      <c r="F153" s="102"/>
      <c r="G153" s="102" t="s">
        <v>3403</v>
      </c>
      <c r="H153" s="102"/>
      <c r="I153" s="102"/>
      <c r="J153" s="102"/>
      <c r="K153" s="102" t="s">
        <v>4113</v>
      </c>
      <c r="L153" s="102" t="s">
        <v>6333</v>
      </c>
      <c r="M153" s="102" t="s">
        <v>6334</v>
      </c>
      <c r="N153" s="102" t="s">
        <v>6335</v>
      </c>
      <c r="O153" s="102"/>
      <c r="P153" s="102"/>
      <c r="Q153" s="102"/>
      <c r="R153" s="102"/>
      <c r="S153" s="102" t="s">
        <v>605</v>
      </c>
      <c r="T153" s="102" t="s">
        <v>4</v>
      </c>
    </row>
    <row r="154" spans="1:20">
      <c r="A154" s="101" t="s">
        <v>3498</v>
      </c>
      <c r="B154" s="101" t="s">
        <v>3759</v>
      </c>
      <c r="C154" s="101">
        <v>153</v>
      </c>
      <c r="D154" s="102" t="s">
        <v>6336</v>
      </c>
      <c r="E154" s="102" t="s">
        <v>209</v>
      </c>
      <c r="F154" s="102"/>
      <c r="G154" s="102" t="s">
        <v>3403</v>
      </c>
      <c r="H154" s="102"/>
      <c r="I154" s="102"/>
      <c r="J154" s="102"/>
      <c r="K154" s="102" t="s">
        <v>6337</v>
      </c>
      <c r="L154" s="102"/>
      <c r="M154" s="102"/>
      <c r="N154" s="102"/>
      <c r="O154" s="102"/>
      <c r="P154" s="102"/>
      <c r="Q154" s="102"/>
      <c r="R154" s="102"/>
      <c r="S154" s="102" t="s">
        <v>5685</v>
      </c>
      <c r="T154" s="102" t="s">
        <v>4</v>
      </c>
    </row>
    <row r="155" spans="1:20">
      <c r="A155" s="101" t="s">
        <v>3498</v>
      </c>
      <c r="B155" s="101" t="s">
        <v>3759</v>
      </c>
      <c r="C155" s="101">
        <v>154</v>
      </c>
      <c r="D155" s="102" t="s">
        <v>6338</v>
      </c>
      <c r="E155" s="102" t="s">
        <v>185</v>
      </c>
      <c r="F155" s="102"/>
      <c r="G155" s="102" t="s">
        <v>3403</v>
      </c>
      <c r="H155" s="102"/>
      <c r="I155" s="102"/>
      <c r="J155" s="102"/>
      <c r="K155" s="102" t="s">
        <v>5366</v>
      </c>
      <c r="L155" s="102"/>
      <c r="M155" s="102"/>
      <c r="N155" s="102"/>
      <c r="O155" s="102"/>
      <c r="P155" s="102"/>
      <c r="Q155" s="102"/>
      <c r="R155" s="102"/>
      <c r="S155" s="102" t="s">
        <v>28</v>
      </c>
      <c r="T155" s="102" t="s">
        <v>4</v>
      </c>
    </row>
    <row r="156" spans="1:20">
      <c r="A156" s="105" t="s">
        <v>3498</v>
      </c>
      <c r="B156" s="105" t="s">
        <v>3759</v>
      </c>
      <c r="C156" s="105">
        <v>155</v>
      </c>
      <c r="D156" s="106" t="s">
        <v>6339</v>
      </c>
      <c r="E156" s="106" t="s">
        <v>185</v>
      </c>
      <c r="F156" s="106"/>
      <c r="G156" s="106" t="s">
        <v>3403</v>
      </c>
      <c r="H156" s="106"/>
      <c r="I156" s="106"/>
      <c r="J156" s="106"/>
      <c r="K156" s="106" t="s">
        <v>6340</v>
      </c>
      <c r="L156" s="106"/>
      <c r="M156" s="106"/>
      <c r="N156" s="106"/>
      <c r="O156" s="106"/>
      <c r="P156" s="106"/>
      <c r="Q156" s="106"/>
      <c r="R156" s="102"/>
      <c r="S156" s="102" t="s">
        <v>182</v>
      </c>
      <c r="T156" s="102" t="s">
        <v>4</v>
      </c>
    </row>
    <row r="157" spans="1:20">
      <c r="A157" s="103" t="s">
        <v>3498</v>
      </c>
      <c r="B157" s="103" t="s">
        <v>3759</v>
      </c>
      <c r="C157" s="103">
        <v>156</v>
      </c>
      <c r="D157" s="104" t="s">
        <v>6341</v>
      </c>
      <c r="E157" s="104" t="s">
        <v>185</v>
      </c>
      <c r="F157" s="104"/>
      <c r="G157" s="104" t="s">
        <v>3403</v>
      </c>
      <c r="H157" s="104"/>
      <c r="I157" s="104"/>
      <c r="J157" s="104"/>
      <c r="K157" s="104" t="s">
        <v>6342</v>
      </c>
      <c r="L157" s="104"/>
      <c r="M157" s="104"/>
      <c r="N157" s="104"/>
      <c r="O157" s="104"/>
      <c r="P157" s="104"/>
      <c r="Q157" s="104"/>
      <c r="R157" s="102"/>
      <c r="S157" s="102" t="s">
        <v>604</v>
      </c>
      <c r="T157" s="102" t="s">
        <v>4</v>
      </c>
    </row>
    <row r="158" spans="1:20">
      <c r="A158" s="101" t="s">
        <v>3498</v>
      </c>
      <c r="B158" s="101" t="s">
        <v>3759</v>
      </c>
      <c r="C158" s="101">
        <v>157</v>
      </c>
      <c r="D158" s="102" t="s">
        <v>5015</v>
      </c>
      <c r="E158" s="102" t="s">
        <v>185</v>
      </c>
      <c r="F158" s="102"/>
      <c r="G158" s="102" t="s">
        <v>3403</v>
      </c>
      <c r="H158" s="102"/>
      <c r="I158" s="102"/>
      <c r="J158" s="102"/>
      <c r="K158" s="102" t="s">
        <v>5016</v>
      </c>
      <c r="L158" s="102"/>
      <c r="M158" s="102"/>
      <c r="N158" s="102"/>
      <c r="O158" s="102"/>
      <c r="P158" s="102"/>
      <c r="Q158" s="102"/>
      <c r="R158" s="102"/>
      <c r="S158" s="102" t="s">
        <v>606</v>
      </c>
      <c r="T158" s="102" t="s">
        <v>4</v>
      </c>
    </row>
    <row r="159" spans="1:20">
      <c r="A159" s="101" t="s">
        <v>3498</v>
      </c>
      <c r="B159" s="101" t="s">
        <v>3759</v>
      </c>
      <c r="C159" s="101">
        <v>158</v>
      </c>
      <c r="D159" s="102" t="s">
        <v>6343</v>
      </c>
      <c r="E159" s="102" t="s">
        <v>185</v>
      </c>
      <c r="F159" s="102"/>
      <c r="G159" s="102" t="s">
        <v>3403</v>
      </c>
      <c r="H159" s="102"/>
      <c r="I159" s="102"/>
      <c r="J159" s="102"/>
      <c r="K159" s="102" t="s">
        <v>6344</v>
      </c>
      <c r="L159" s="102"/>
      <c r="M159" s="102"/>
      <c r="N159" s="102"/>
      <c r="O159" s="102"/>
      <c r="P159" s="102"/>
      <c r="Q159" s="102"/>
      <c r="R159" s="102"/>
      <c r="S159" s="102" t="s">
        <v>5281</v>
      </c>
      <c r="T159" s="102" t="s">
        <v>4</v>
      </c>
    </row>
    <row r="160" spans="1:20">
      <c r="A160" s="101" t="s">
        <v>3498</v>
      </c>
      <c r="B160" s="101" t="s">
        <v>3759</v>
      </c>
      <c r="C160" s="101">
        <v>159</v>
      </c>
      <c r="D160" s="102" t="s">
        <v>6345</v>
      </c>
      <c r="E160" s="102" t="s">
        <v>185</v>
      </c>
      <c r="F160" s="102"/>
      <c r="G160" s="102" t="s">
        <v>3403</v>
      </c>
      <c r="H160" s="102"/>
      <c r="I160" s="102"/>
      <c r="J160" s="102"/>
      <c r="K160" s="102" t="s">
        <v>6346</v>
      </c>
      <c r="L160" s="102" t="s">
        <v>6347</v>
      </c>
      <c r="M160" s="102" t="s">
        <v>6348</v>
      </c>
      <c r="N160" s="102"/>
      <c r="O160" s="102"/>
      <c r="P160" s="102"/>
      <c r="Q160" s="102"/>
      <c r="R160" s="102"/>
      <c r="S160" s="102" t="s">
        <v>15</v>
      </c>
      <c r="T160" s="102" t="s">
        <v>4</v>
      </c>
    </row>
    <row r="161" spans="1:20">
      <c r="A161" s="101" t="s">
        <v>3498</v>
      </c>
      <c r="B161" s="101" t="s">
        <v>3759</v>
      </c>
      <c r="C161" s="101">
        <v>160</v>
      </c>
      <c r="D161" s="102" t="s">
        <v>6349</v>
      </c>
      <c r="E161" s="102" t="s">
        <v>211</v>
      </c>
      <c r="F161" s="102"/>
      <c r="G161" s="102" t="s">
        <v>3403</v>
      </c>
      <c r="H161" s="102"/>
      <c r="I161" s="102"/>
      <c r="J161" s="102"/>
      <c r="K161" s="102" t="s">
        <v>6350</v>
      </c>
      <c r="L161" s="102"/>
      <c r="M161" s="102"/>
      <c r="N161" s="102"/>
      <c r="O161" s="102"/>
      <c r="P161" s="102"/>
      <c r="Q161" s="102"/>
      <c r="R161" s="102"/>
      <c r="S161" s="102" t="s">
        <v>172</v>
      </c>
      <c r="T161" s="102" t="s">
        <v>4</v>
      </c>
    </row>
    <row r="162" spans="1:20">
      <c r="A162" s="101" t="s">
        <v>3498</v>
      </c>
      <c r="B162" s="101" t="s">
        <v>3759</v>
      </c>
      <c r="C162" s="101">
        <v>161</v>
      </c>
      <c r="D162" s="102" t="s">
        <v>6351</v>
      </c>
      <c r="E162" s="102" t="s">
        <v>211</v>
      </c>
      <c r="F162" s="102"/>
      <c r="G162" s="102" t="s">
        <v>3403</v>
      </c>
      <c r="H162" s="102"/>
      <c r="I162" s="102"/>
      <c r="J162" s="102"/>
      <c r="K162" s="102" t="s">
        <v>6352</v>
      </c>
      <c r="L162" s="102"/>
      <c r="M162" s="102"/>
      <c r="N162" s="102"/>
      <c r="O162" s="102"/>
      <c r="P162" s="102"/>
      <c r="Q162" s="102"/>
      <c r="R162" s="102"/>
      <c r="S162" s="102" t="s">
        <v>5719</v>
      </c>
      <c r="T162" s="102" t="s">
        <v>4</v>
      </c>
    </row>
    <row r="163" spans="1:20">
      <c r="A163" s="101" t="s">
        <v>3498</v>
      </c>
      <c r="B163" s="101" t="s">
        <v>3759</v>
      </c>
      <c r="C163" s="101">
        <v>162</v>
      </c>
      <c r="D163" s="102" t="s">
        <v>5038</v>
      </c>
      <c r="E163" s="102" t="s">
        <v>210</v>
      </c>
      <c r="F163" s="102"/>
      <c r="G163" s="102" t="s">
        <v>3403</v>
      </c>
      <c r="H163" s="102"/>
      <c r="I163" s="102"/>
      <c r="J163" s="102"/>
      <c r="K163" s="102" t="s">
        <v>5039</v>
      </c>
      <c r="L163" s="102"/>
      <c r="M163" s="102"/>
      <c r="N163" s="102"/>
      <c r="O163" s="102"/>
      <c r="P163" s="102"/>
      <c r="Q163" s="102"/>
      <c r="R163" s="102"/>
      <c r="S163" s="102" t="s">
        <v>176</v>
      </c>
      <c r="T163" s="102" t="s">
        <v>4</v>
      </c>
    </row>
    <row r="164" spans="1:20">
      <c r="A164" s="101" t="s">
        <v>3498</v>
      </c>
      <c r="B164" s="101" t="s">
        <v>3759</v>
      </c>
      <c r="C164" s="101">
        <v>163</v>
      </c>
      <c r="D164" s="102" t="s">
        <v>6353</v>
      </c>
      <c r="E164" s="102" t="s">
        <v>211</v>
      </c>
      <c r="F164" s="102"/>
      <c r="G164" s="102" t="s">
        <v>3403</v>
      </c>
      <c r="H164" s="102"/>
      <c r="I164" s="102"/>
      <c r="J164" s="102"/>
      <c r="K164" s="102" t="s">
        <v>6354</v>
      </c>
      <c r="L164" s="102"/>
      <c r="M164" s="102"/>
      <c r="N164" s="102"/>
      <c r="O164" s="102"/>
      <c r="P164" s="102"/>
      <c r="Q164" s="102"/>
      <c r="R164" s="102"/>
      <c r="S164" s="102" t="s">
        <v>32</v>
      </c>
      <c r="T164" s="102" t="s">
        <v>4</v>
      </c>
    </row>
    <row r="165" spans="1:20">
      <c r="A165" s="101" t="s">
        <v>3498</v>
      </c>
      <c r="B165" s="101" t="s">
        <v>3759</v>
      </c>
      <c r="C165" s="101">
        <v>164</v>
      </c>
      <c r="D165" s="102" t="s">
        <v>6355</v>
      </c>
      <c r="E165" s="102" t="s">
        <v>210</v>
      </c>
      <c r="F165" s="102"/>
      <c r="G165" s="102" t="s">
        <v>3403</v>
      </c>
      <c r="H165" s="102"/>
      <c r="I165" s="102"/>
      <c r="J165" s="102"/>
      <c r="K165" s="102" t="s">
        <v>5014</v>
      </c>
      <c r="L165" s="102" t="s">
        <v>6356</v>
      </c>
      <c r="M165" s="102"/>
      <c r="N165" s="102"/>
      <c r="O165" s="102"/>
      <c r="P165" s="102"/>
      <c r="Q165" s="102"/>
      <c r="R165" s="102"/>
      <c r="S165" s="102" t="s">
        <v>172</v>
      </c>
      <c r="T165" s="102" t="s">
        <v>4</v>
      </c>
    </row>
    <row r="166" spans="1:20">
      <c r="A166" s="101" t="s">
        <v>3498</v>
      </c>
      <c r="B166" s="101" t="s">
        <v>3759</v>
      </c>
      <c r="C166" s="101">
        <v>165</v>
      </c>
      <c r="D166" s="102" t="s">
        <v>6357</v>
      </c>
      <c r="E166" s="102" t="s">
        <v>211</v>
      </c>
      <c r="F166" s="102"/>
      <c r="G166" s="102" t="s">
        <v>3403</v>
      </c>
      <c r="H166" s="102"/>
      <c r="I166" s="102"/>
      <c r="J166" s="102"/>
      <c r="K166" s="102" t="s">
        <v>6358</v>
      </c>
      <c r="L166" s="102" t="s">
        <v>6359</v>
      </c>
      <c r="M166" s="102"/>
      <c r="N166" s="102"/>
      <c r="O166" s="102"/>
      <c r="P166" s="102"/>
      <c r="Q166" s="102"/>
      <c r="R166" s="102"/>
      <c r="S166" s="102" t="s">
        <v>18</v>
      </c>
      <c r="T166" s="102" t="s">
        <v>4</v>
      </c>
    </row>
    <row r="167" spans="1:20">
      <c r="A167" s="101" t="s">
        <v>3498</v>
      </c>
      <c r="B167" s="101" t="s">
        <v>3759</v>
      </c>
      <c r="C167" s="101">
        <v>166</v>
      </c>
      <c r="D167" s="102" t="s">
        <v>6360</v>
      </c>
      <c r="E167" s="102" t="s">
        <v>611</v>
      </c>
      <c r="F167" s="102"/>
      <c r="G167" s="102" t="s">
        <v>3403</v>
      </c>
      <c r="H167" s="102"/>
      <c r="I167" s="102"/>
      <c r="J167" s="102"/>
      <c r="K167" s="102" t="s">
        <v>5317</v>
      </c>
      <c r="L167" s="102" t="s">
        <v>3768</v>
      </c>
      <c r="M167" s="102"/>
      <c r="N167" s="102"/>
      <c r="O167" s="102"/>
      <c r="P167" s="102"/>
      <c r="Q167" s="102"/>
      <c r="R167" s="102"/>
      <c r="S167" s="102" t="s">
        <v>32</v>
      </c>
      <c r="T167" s="102" t="s">
        <v>4</v>
      </c>
    </row>
    <row r="168" spans="1:20">
      <c r="A168" s="101" t="s">
        <v>3498</v>
      </c>
      <c r="B168" s="101" t="s">
        <v>3759</v>
      </c>
      <c r="C168" s="101">
        <v>167</v>
      </c>
      <c r="D168" s="102" t="s">
        <v>4094</v>
      </c>
      <c r="E168" s="102" t="s">
        <v>611</v>
      </c>
      <c r="F168" s="102"/>
      <c r="G168" s="102" t="s">
        <v>3403</v>
      </c>
      <c r="H168" s="102"/>
      <c r="I168" s="102"/>
      <c r="J168" s="102"/>
      <c r="K168" s="102" t="s">
        <v>4095</v>
      </c>
      <c r="L168" s="102"/>
      <c r="M168" s="102"/>
      <c r="N168" s="102"/>
      <c r="O168" s="102"/>
      <c r="P168" s="102"/>
      <c r="Q168" s="102"/>
      <c r="R168" s="102"/>
      <c r="S168" s="102" t="s">
        <v>6</v>
      </c>
      <c r="T168" s="102" t="s">
        <v>4</v>
      </c>
    </row>
    <row r="169" spans="1:20">
      <c r="A169" t="s">
        <v>3463</v>
      </c>
      <c r="B169" t="s">
        <v>3759</v>
      </c>
      <c r="C169" s="101">
        <v>1001</v>
      </c>
      <c r="D169" t="s">
        <v>5192</v>
      </c>
      <c r="E169" t="s">
        <v>186</v>
      </c>
      <c r="G169" t="s">
        <v>3403</v>
      </c>
      <c r="K169" t="s">
        <v>5193</v>
      </c>
      <c r="S169" t="s">
        <v>36</v>
      </c>
      <c r="T169" t="s">
        <v>7</v>
      </c>
    </row>
    <row r="170" spans="1:20">
      <c r="A170" t="s">
        <v>3463</v>
      </c>
      <c r="B170" t="s">
        <v>3759</v>
      </c>
      <c r="C170" s="101">
        <v>1002</v>
      </c>
      <c r="D170" s="76" t="s">
        <v>5194</v>
      </c>
      <c r="E170" s="76" t="s">
        <v>186</v>
      </c>
      <c r="F170" s="76"/>
      <c r="G170" s="76" t="s">
        <v>3403</v>
      </c>
      <c r="H170" s="76"/>
      <c r="I170" s="76"/>
      <c r="J170" s="76"/>
      <c r="K170" s="76" t="s">
        <v>5195</v>
      </c>
      <c r="L170" s="76"/>
      <c r="M170" s="76"/>
      <c r="N170" s="76"/>
      <c r="O170" s="76"/>
      <c r="P170" s="76"/>
      <c r="Q170" s="76"/>
      <c r="R170" s="76"/>
      <c r="S170" s="76" t="s">
        <v>17</v>
      </c>
      <c r="T170" t="s">
        <v>7</v>
      </c>
    </row>
    <row r="171" spans="1:20">
      <c r="A171" t="s">
        <v>3463</v>
      </c>
      <c r="B171" t="s">
        <v>3759</v>
      </c>
      <c r="C171" s="101">
        <v>1003</v>
      </c>
      <c r="D171" t="s">
        <v>5196</v>
      </c>
      <c r="E171" t="s">
        <v>186</v>
      </c>
      <c r="G171" t="s">
        <v>3403</v>
      </c>
      <c r="K171" t="s">
        <v>5197</v>
      </c>
      <c r="S171" t="s">
        <v>30</v>
      </c>
      <c r="T171" t="s">
        <v>7</v>
      </c>
    </row>
    <row r="172" spans="1:20">
      <c r="A172" t="s">
        <v>3463</v>
      </c>
      <c r="B172" t="s">
        <v>3759</v>
      </c>
      <c r="C172" s="101">
        <v>1004</v>
      </c>
      <c r="D172" t="s">
        <v>5198</v>
      </c>
      <c r="E172" t="s">
        <v>186</v>
      </c>
      <c r="G172" t="s">
        <v>3403</v>
      </c>
      <c r="K172" t="s">
        <v>5199</v>
      </c>
      <c r="S172" t="s">
        <v>178</v>
      </c>
      <c r="T172" t="s">
        <v>7</v>
      </c>
    </row>
    <row r="173" spans="1:20">
      <c r="A173" t="s">
        <v>3463</v>
      </c>
      <c r="B173" t="s">
        <v>3759</v>
      </c>
      <c r="C173" s="101">
        <v>1005</v>
      </c>
      <c r="D173" t="s">
        <v>5200</v>
      </c>
      <c r="E173" t="s">
        <v>186</v>
      </c>
      <c r="G173" t="s">
        <v>3403</v>
      </c>
      <c r="K173" t="s">
        <v>5201</v>
      </c>
      <c r="S173" t="s">
        <v>173</v>
      </c>
      <c r="T173" t="s">
        <v>7</v>
      </c>
    </row>
    <row r="174" spans="1:20">
      <c r="A174" t="s">
        <v>3463</v>
      </c>
      <c r="B174" t="s">
        <v>3759</v>
      </c>
      <c r="C174" s="101">
        <v>1006</v>
      </c>
      <c r="D174" t="s">
        <v>5202</v>
      </c>
      <c r="E174" t="s">
        <v>782</v>
      </c>
      <c r="G174" t="s">
        <v>3403</v>
      </c>
      <c r="K174" t="s">
        <v>5203</v>
      </c>
      <c r="S174" t="s">
        <v>40</v>
      </c>
      <c r="T174" t="s">
        <v>7</v>
      </c>
    </row>
    <row r="175" spans="1:20">
      <c r="A175" t="s">
        <v>3463</v>
      </c>
      <c r="B175" t="s">
        <v>3759</v>
      </c>
      <c r="C175" s="101">
        <v>1007</v>
      </c>
      <c r="D175" t="s">
        <v>5204</v>
      </c>
      <c r="E175" t="s">
        <v>186</v>
      </c>
      <c r="G175" t="s">
        <v>3403</v>
      </c>
      <c r="K175" t="s">
        <v>5205</v>
      </c>
      <c r="S175" t="s">
        <v>33</v>
      </c>
      <c r="T175" t="s">
        <v>7</v>
      </c>
    </row>
    <row r="176" spans="1:20">
      <c r="A176" t="s">
        <v>3463</v>
      </c>
      <c r="B176" t="s">
        <v>3759</v>
      </c>
      <c r="C176" s="101">
        <v>1008</v>
      </c>
      <c r="D176" t="s">
        <v>5206</v>
      </c>
      <c r="E176" t="s">
        <v>186</v>
      </c>
      <c r="G176" t="s">
        <v>3403</v>
      </c>
      <c r="K176" t="s">
        <v>5207</v>
      </c>
      <c r="L176" t="s">
        <v>5208</v>
      </c>
      <c r="S176" t="s">
        <v>170</v>
      </c>
      <c r="T176" t="s">
        <v>7</v>
      </c>
    </row>
    <row r="177" spans="1:20">
      <c r="A177" t="s">
        <v>3463</v>
      </c>
      <c r="B177" t="s">
        <v>3759</v>
      </c>
      <c r="C177" s="101">
        <v>1009</v>
      </c>
      <c r="D177" t="s">
        <v>5209</v>
      </c>
      <c r="E177" t="s">
        <v>5399</v>
      </c>
      <c r="G177" t="s">
        <v>3403</v>
      </c>
      <c r="K177" t="s">
        <v>5400</v>
      </c>
      <c r="L177" t="s">
        <v>5210</v>
      </c>
      <c r="S177" t="s">
        <v>606</v>
      </c>
      <c r="T177" t="s">
        <v>7</v>
      </c>
    </row>
    <row r="178" spans="1:20">
      <c r="A178" t="s">
        <v>3463</v>
      </c>
      <c r="B178" t="s">
        <v>3759</v>
      </c>
      <c r="C178" s="101">
        <v>1010</v>
      </c>
      <c r="D178" t="s">
        <v>5211</v>
      </c>
      <c r="E178" t="s">
        <v>186</v>
      </c>
      <c r="G178" t="s">
        <v>3403</v>
      </c>
      <c r="K178" t="s">
        <v>5212</v>
      </c>
      <c r="S178" t="s">
        <v>18</v>
      </c>
      <c r="T178" t="s">
        <v>7</v>
      </c>
    </row>
    <row r="179" spans="1:20">
      <c r="A179" t="s">
        <v>3463</v>
      </c>
      <c r="B179" t="s">
        <v>3759</v>
      </c>
      <c r="C179" s="101">
        <v>1011</v>
      </c>
      <c r="D179" t="s">
        <v>5213</v>
      </c>
      <c r="E179" t="s">
        <v>782</v>
      </c>
      <c r="G179" t="s">
        <v>3403</v>
      </c>
      <c r="K179" t="s">
        <v>5214</v>
      </c>
      <c r="S179" t="s">
        <v>169</v>
      </c>
      <c r="T179" t="s">
        <v>7</v>
      </c>
    </row>
    <row r="180" spans="1:20">
      <c r="A180" t="s">
        <v>3463</v>
      </c>
      <c r="B180" t="s">
        <v>3759</v>
      </c>
      <c r="C180" s="101">
        <v>1012</v>
      </c>
      <c r="D180" t="s">
        <v>5215</v>
      </c>
      <c r="E180" t="s">
        <v>186</v>
      </c>
      <c r="G180" t="s">
        <v>3403</v>
      </c>
      <c r="K180" t="s">
        <v>5216</v>
      </c>
      <c r="S180" t="s">
        <v>173</v>
      </c>
      <c r="T180" t="s">
        <v>7</v>
      </c>
    </row>
    <row r="181" spans="1:20">
      <c r="A181" t="s">
        <v>3463</v>
      </c>
      <c r="B181" t="s">
        <v>3759</v>
      </c>
      <c r="C181" s="101">
        <v>1013</v>
      </c>
      <c r="D181" t="s">
        <v>5217</v>
      </c>
      <c r="E181" t="s">
        <v>186</v>
      </c>
      <c r="G181" t="s">
        <v>3403</v>
      </c>
      <c r="K181" t="s">
        <v>5218</v>
      </c>
      <c r="L181" t="s">
        <v>5219</v>
      </c>
      <c r="S181" t="s">
        <v>44</v>
      </c>
      <c r="T181" t="s">
        <v>7</v>
      </c>
    </row>
    <row r="182" spans="1:20">
      <c r="A182" t="s">
        <v>3463</v>
      </c>
      <c r="B182" t="s">
        <v>3759</v>
      </c>
      <c r="C182" s="101">
        <v>1014</v>
      </c>
      <c r="D182" t="s">
        <v>5220</v>
      </c>
      <c r="E182" t="s">
        <v>186</v>
      </c>
      <c r="G182" t="s">
        <v>3403</v>
      </c>
      <c r="K182" t="s">
        <v>5221</v>
      </c>
      <c r="S182" t="s">
        <v>175</v>
      </c>
      <c r="T182" t="s">
        <v>7</v>
      </c>
    </row>
    <row r="183" spans="1:20">
      <c r="A183" t="s">
        <v>3463</v>
      </c>
      <c r="B183" t="s">
        <v>3759</v>
      </c>
      <c r="C183" s="101">
        <v>1015</v>
      </c>
      <c r="D183" t="s">
        <v>5222</v>
      </c>
      <c r="E183" t="s">
        <v>186</v>
      </c>
      <c r="G183" t="s">
        <v>3403</v>
      </c>
      <c r="K183" t="s">
        <v>5223</v>
      </c>
      <c r="S183" t="s">
        <v>31</v>
      </c>
      <c r="T183" t="s">
        <v>7</v>
      </c>
    </row>
    <row r="184" spans="1:20">
      <c r="A184" t="s">
        <v>3463</v>
      </c>
      <c r="B184" t="s">
        <v>3759</v>
      </c>
      <c r="C184" s="101">
        <v>1016</v>
      </c>
      <c r="D184" t="s">
        <v>5224</v>
      </c>
      <c r="E184" t="s">
        <v>186</v>
      </c>
      <c r="G184" t="s">
        <v>3403</v>
      </c>
      <c r="K184" t="s">
        <v>5225</v>
      </c>
      <c r="L184" t="s">
        <v>5226</v>
      </c>
      <c r="S184" t="s">
        <v>606</v>
      </c>
      <c r="T184" t="s">
        <v>7</v>
      </c>
    </row>
    <row r="185" spans="1:20">
      <c r="A185" t="s">
        <v>3463</v>
      </c>
      <c r="B185" t="s">
        <v>3759</v>
      </c>
      <c r="C185" s="101">
        <v>1017</v>
      </c>
      <c r="D185" s="76" t="s">
        <v>5227</v>
      </c>
      <c r="E185" s="76" t="s">
        <v>186</v>
      </c>
      <c r="F185" s="76"/>
      <c r="G185" s="76" t="s">
        <v>3403</v>
      </c>
      <c r="H185" s="76"/>
      <c r="I185" s="76"/>
      <c r="J185" s="76"/>
      <c r="K185" s="76" t="s">
        <v>5228</v>
      </c>
      <c r="L185" s="76"/>
      <c r="M185" s="76"/>
      <c r="N185" s="76"/>
      <c r="O185" s="76"/>
      <c r="P185" s="76"/>
      <c r="Q185" s="76"/>
      <c r="R185" s="76"/>
      <c r="S185" s="76" t="s">
        <v>29</v>
      </c>
      <c r="T185" t="s">
        <v>7</v>
      </c>
    </row>
    <row r="186" spans="1:20">
      <c r="A186" t="s">
        <v>3463</v>
      </c>
      <c r="B186" t="s">
        <v>3759</v>
      </c>
      <c r="C186" s="101">
        <v>1018</v>
      </c>
      <c r="D186" t="s">
        <v>5229</v>
      </c>
      <c r="E186" t="s">
        <v>782</v>
      </c>
      <c r="G186" t="s">
        <v>3403</v>
      </c>
      <c r="K186" t="s">
        <v>5230</v>
      </c>
      <c r="L186" t="s">
        <v>3768</v>
      </c>
      <c r="S186" t="s">
        <v>8</v>
      </c>
      <c r="T186" t="s">
        <v>7</v>
      </c>
    </row>
    <row r="187" spans="1:20">
      <c r="A187" t="s">
        <v>3463</v>
      </c>
      <c r="B187" t="s">
        <v>3759</v>
      </c>
      <c r="C187" s="101">
        <v>1019</v>
      </c>
      <c r="D187" t="s">
        <v>5231</v>
      </c>
      <c r="E187" t="s">
        <v>186</v>
      </c>
      <c r="G187" t="s">
        <v>3403</v>
      </c>
      <c r="K187" t="s">
        <v>5232</v>
      </c>
      <c r="S187" t="s">
        <v>169</v>
      </c>
      <c r="T187" t="s">
        <v>7</v>
      </c>
    </row>
    <row r="188" spans="1:20">
      <c r="A188" t="s">
        <v>3463</v>
      </c>
      <c r="B188" t="s">
        <v>3759</v>
      </c>
      <c r="C188" s="101">
        <v>1020</v>
      </c>
      <c r="D188" t="s">
        <v>5233</v>
      </c>
      <c r="E188" t="s">
        <v>186</v>
      </c>
      <c r="G188" t="s">
        <v>3403</v>
      </c>
      <c r="K188" t="s">
        <v>5234</v>
      </c>
      <c r="S188" t="s">
        <v>180</v>
      </c>
      <c r="T188" t="s">
        <v>7</v>
      </c>
    </row>
    <row r="189" spans="1:20">
      <c r="A189" t="s">
        <v>3463</v>
      </c>
      <c r="B189" t="s">
        <v>3759</v>
      </c>
      <c r="C189" s="101">
        <v>1021</v>
      </c>
      <c r="D189" t="s">
        <v>5235</v>
      </c>
      <c r="E189" t="s">
        <v>186</v>
      </c>
      <c r="G189" t="s">
        <v>3403</v>
      </c>
      <c r="K189" t="s">
        <v>5236</v>
      </c>
      <c r="S189" t="s">
        <v>181</v>
      </c>
      <c r="T189" t="s">
        <v>7</v>
      </c>
    </row>
    <row r="190" spans="1:20">
      <c r="A190" t="s">
        <v>3463</v>
      </c>
      <c r="B190" t="s">
        <v>3759</v>
      </c>
      <c r="C190" s="101">
        <v>1022</v>
      </c>
      <c r="D190" t="s">
        <v>5237</v>
      </c>
      <c r="E190" t="s">
        <v>186</v>
      </c>
      <c r="G190" t="s">
        <v>3403</v>
      </c>
      <c r="K190" t="s">
        <v>5238</v>
      </c>
      <c r="L190" t="s">
        <v>5239</v>
      </c>
      <c r="S190" t="s">
        <v>45</v>
      </c>
      <c r="T190" t="s">
        <v>7</v>
      </c>
    </row>
    <row r="191" spans="1:20">
      <c r="A191" t="s">
        <v>3463</v>
      </c>
      <c r="B191" t="s">
        <v>3759</v>
      </c>
      <c r="C191" s="101">
        <v>1023</v>
      </c>
      <c r="D191" t="s">
        <v>5240</v>
      </c>
      <c r="E191" t="s">
        <v>187</v>
      </c>
      <c r="G191" t="s">
        <v>3403</v>
      </c>
      <c r="K191" t="s">
        <v>5241</v>
      </c>
      <c r="S191" t="s">
        <v>177</v>
      </c>
      <c r="T191" t="s">
        <v>7</v>
      </c>
    </row>
    <row r="192" spans="1:20">
      <c r="A192" t="s">
        <v>3463</v>
      </c>
      <c r="B192" t="s">
        <v>3759</v>
      </c>
      <c r="C192" s="101">
        <v>1024</v>
      </c>
      <c r="D192" t="s">
        <v>5242</v>
      </c>
      <c r="E192" t="s">
        <v>187</v>
      </c>
      <c r="G192" t="s">
        <v>3403</v>
      </c>
      <c r="K192" t="s">
        <v>5243</v>
      </c>
      <c r="S192" t="s">
        <v>39</v>
      </c>
      <c r="T192" t="s">
        <v>7</v>
      </c>
    </row>
    <row r="193" spans="1:20">
      <c r="A193" t="s">
        <v>3463</v>
      </c>
      <c r="B193" t="s">
        <v>3759</v>
      </c>
      <c r="C193" s="101">
        <v>1025</v>
      </c>
      <c r="D193" t="s">
        <v>5244</v>
      </c>
      <c r="E193" t="s">
        <v>187</v>
      </c>
      <c r="G193" t="s">
        <v>3403</v>
      </c>
      <c r="K193" t="s">
        <v>5245</v>
      </c>
      <c r="S193" t="s">
        <v>183</v>
      </c>
      <c r="T193" t="s">
        <v>7</v>
      </c>
    </row>
    <row r="194" spans="1:20">
      <c r="A194" t="s">
        <v>3463</v>
      </c>
      <c r="B194" t="s">
        <v>3759</v>
      </c>
      <c r="C194" s="101">
        <v>1026</v>
      </c>
      <c r="D194" t="s">
        <v>5246</v>
      </c>
      <c r="E194" t="s">
        <v>187</v>
      </c>
      <c r="G194" t="s">
        <v>3403</v>
      </c>
      <c r="K194" t="s">
        <v>5247</v>
      </c>
      <c r="S194" t="s">
        <v>3119</v>
      </c>
      <c r="T194" t="s">
        <v>7</v>
      </c>
    </row>
    <row r="195" spans="1:20">
      <c r="A195" t="s">
        <v>3463</v>
      </c>
      <c r="B195" t="s">
        <v>3759</v>
      </c>
      <c r="C195" s="101">
        <v>1027</v>
      </c>
      <c r="D195" s="76" t="s">
        <v>5248</v>
      </c>
      <c r="E195" s="76" t="s">
        <v>187</v>
      </c>
      <c r="F195" s="76"/>
      <c r="G195" s="76" t="s">
        <v>3403</v>
      </c>
      <c r="H195" s="76"/>
      <c r="I195" s="76"/>
      <c r="J195" s="76"/>
      <c r="K195" s="76" t="s">
        <v>5249</v>
      </c>
      <c r="L195" s="76" t="s">
        <v>5250</v>
      </c>
      <c r="M195" s="76"/>
      <c r="N195" s="76"/>
      <c r="O195" s="76"/>
      <c r="P195" s="76"/>
      <c r="Q195" s="76"/>
      <c r="R195" s="76"/>
      <c r="S195" s="76" t="s">
        <v>175</v>
      </c>
      <c r="T195" t="s">
        <v>7</v>
      </c>
    </row>
    <row r="196" spans="1:20">
      <c r="A196" t="s">
        <v>3463</v>
      </c>
      <c r="B196" t="s">
        <v>3759</v>
      </c>
      <c r="C196" s="101">
        <v>1028</v>
      </c>
      <c r="D196" t="s">
        <v>5251</v>
      </c>
      <c r="E196" t="s">
        <v>187</v>
      </c>
      <c r="G196" t="s">
        <v>3403</v>
      </c>
      <c r="K196" t="s">
        <v>4113</v>
      </c>
      <c r="L196" t="s">
        <v>5252</v>
      </c>
      <c r="M196" t="s">
        <v>5253</v>
      </c>
      <c r="S196" t="s">
        <v>53</v>
      </c>
      <c r="T196" t="s">
        <v>7</v>
      </c>
    </row>
    <row r="197" spans="1:20">
      <c r="A197" t="s">
        <v>3463</v>
      </c>
      <c r="B197" t="s">
        <v>3759</v>
      </c>
      <c r="C197" s="101">
        <v>1029</v>
      </c>
      <c r="D197" t="s">
        <v>5254</v>
      </c>
      <c r="E197" t="s">
        <v>187</v>
      </c>
      <c r="G197" t="s">
        <v>3403</v>
      </c>
      <c r="K197" t="s">
        <v>4113</v>
      </c>
      <c r="L197" t="s">
        <v>1932</v>
      </c>
      <c r="M197" t="s">
        <v>5255</v>
      </c>
      <c r="N197" t="s">
        <v>5256</v>
      </c>
      <c r="S197" t="s">
        <v>168</v>
      </c>
      <c r="T197" t="s">
        <v>7</v>
      </c>
    </row>
    <row r="198" spans="1:20">
      <c r="A198" t="s">
        <v>3463</v>
      </c>
      <c r="B198" t="s">
        <v>3759</v>
      </c>
      <c r="C198" s="101">
        <v>1030</v>
      </c>
      <c r="D198" t="s">
        <v>5257</v>
      </c>
      <c r="E198" t="s">
        <v>187</v>
      </c>
      <c r="G198" t="s">
        <v>3403</v>
      </c>
      <c r="K198" t="s">
        <v>5258</v>
      </c>
      <c r="S198" t="s">
        <v>8</v>
      </c>
      <c r="T198" t="s">
        <v>7</v>
      </c>
    </row>
    <row r="199" spans="1:20">
      <c r="A199" t="s">
        <v>3463</v>
      </c>
      <c r="B199" t="s">
        <v>3759</v>
      </c>
      <c r="C199" s="101">
        <v>1031</v>
      </c>
      <c r="D199" t="s">
        <v>5259</v>
      </c>
      <c r="E199" t="s">
        <v>187</v>
      </c>
      <c r="G199" t="s">
        <v>3403</v>
      </c>
      <c r="K199" t="s">
        <v>5260</v>
      </c>
      <c r="S199" t="s">
        <v>3119</v>
      </c>
      <c r="T199" t="s">
        <v>7</v>
      </c>
    </row>
    <row r="200" spans="1:20">
      <c r="A200" t="s">
        <v>3463</v>
      </c>
      <c r="B200" t="s">
        <v>3759</v>
      </c>
      <c r="C200" s="101">
        <v>1032</v>
      </c>
      <c r="D200" t="s">
        <v>5261</v>
      </c>
      <c r="E200" t="s">
        <v>187</v>
      </c>
      <c r="G200" t="s">
        <v>3403</v>
      </c>
      <c r="K200" t="s">
        <v>5262</v>
      </c>
      <c r="S200" t="s">
        <v>37</v>
      </c>
      <c r="T200" t="s">
        <v>7</v>
      </c>
    </row>
    <row r="201" spans="1:20">
      <c r="A201" t="s">
        <v>3463</v>
      </c>
      <c r="B201" t="s">
        <v>3759</v>
      </c>
      <c r="C201" s="101">
        <v>1033</v>
      </c>
      <c r="D201" t="s">
        <v>5263</v>
      </c>
      <c r="E201" t="s">
        <v>187</v>
      </c>
      <c r="G201" t="s">
        <v>3403</v>
      </c>
      <c r="K201" t="s">
        <v>5264</v>
      </c>
      <c r="S201" t="s">
        <v>177</v>
      </c>
      <c r="T201" t="s">
        <v>7</v>
      </c>
    </row>
    <row r="202" spans="1:20">
      <c r="A202" t="s">
        <v>3463</v>
      </c>
      <c r="B202" t="s">
        <v>3759</v>
      </c>
      <c r="C202" s="101">
        <v>1034</v>
      </c>
      <c r="D202" t="s">
        <v>5265</v>
      </c>
      <c r="E202" t="s">
        <v>187</v>
      </c>
      <c r="G202" t="s">
        <v>3403</v>
      </c>
      <c r="K202" t="s">
        <v>5266</v>
      </c>
      <c r="L202" t="s">
        <v>3768</v>
      </c>
      <c r="S202" t="s">
        <v>11</v>
      </c>
      <c r="T202" t="s">
        <v>7</v>
      </c>
    </row>
    <row r="203" spans="1:20">
      <c r="A203" t="s">
        <v>3463</v>
      </c>
      <c r="B203" t="s">
        <v>3759</v>
      </c>
      <c r="C203" s="101">
        <v>1035</v>
      </c>
      <c r="D203" t="s">
        <v>5267</v>
      </c>
      <c r="E203" t="s">
        <v>187</v>
      </c>
      <c r="G203" t="s">
        <v>3403</v>
      </c>
      <c r="K203" t="s">
        <v>5268</v>
      </c>
      <c r="S203" t="s">
        <v>40</v>
      </c>
      <c r="T203" t="s">
        <v>7</v>
      </c>
    </row>
    <row r="204" spans="1:20">
      <c r="A204" t="s">
        <v>3463</v>
      </c>
      <c r="B204" t="s">
        <v>3759</v>
      </c>
      <c r="C204" s="101">
        <v>1036</v>
      </c>
      <c r="D204" t="s">
        <v>5269</v>
      </c>
      <c r="E204" t="s">
        <v>187</v>
      </c>
      <c r="G204" t="s">
        <v>3403</v>
      </c>
      <c r="K204" t="s">
        <v>5270</v>
      </c>
      <c r="L204" t="s">
        <v>5271</v>
      </c>
      <c r="M204" t="s">
        <v>5272</v>
      </c>
      <c r="N204" t="s">
        <v>5273</v>
      </c>
      <c r="O204" t="s">
        <v>5274</v>
      </c>
      <c r="S204" t="s">
        <v>39</v>
      </c>
      <c r="T204" t="s">
        <v>7</v>
      </c>
    </row>
    <row r="205" spans="1:20">
      <c r="A205" t="s">
        <v>3463</v>
      </c>
      <c r="B205" t="s">
        <v>3759</v>
      </c>
      <c r="C205" s="101">
        <v>1037</v>
      </c>
      <c r="D205" t="s">
        <v>5275</v>
      </c>
      <c r="E205" t="s">
        <v>187</v>
      </c>
      <c r="G205" t="s">
        <v>3403</v>
      </c>
      <c r="K205" t="s">
        <v>5276</v>
      </c>
      <c r="S205" t="s">
        <v>175</v>
      </c>
      <c r="T205" t="s">
        <v>7</v>
      </c>
    </row>
    <row r="206" spans="1:20">
      <c r="A206" t="s">
        <v>3463</v>
      </c>
      <c r="B206" t="s">
        <v>3759</v>
      </c>
      <c r="C206" s="101">
        <v>1038</v>
      </c>
      <c r="D206" t="s">
        <v>5277</v>
      </c>
      <c r="E206" t="s">
        <v>187</v>
      </c>
      <c r="G206" t="s">
        <v>3403</v>
      </c>
      <c r="K206" t="s">
        <v>5278</v>
      </c>
      <c r="S206" t="s">
        <v>27</v>
      </c>
      <c r="T206" t="s">
        <v>7</v>
      </c>
    </row>
    <row r="207" spans="1:20">
      <c r="A207" t="s">
        <v>3463</v>
      </c>
      <c r="B207" t="s">
        <v>3759</v>
      </c>
      <c r="C207" s="101">
        <v>1039</v>
      </c>
      <c r="D207" t="s">
        <v>5279</v>
      </c>
      <c r="E207" t="s">
        <v>187</v>
      </c>
      <c r="G207" t="s">
        <v>3403</v>
      </c>
      <c r="K207" t="s">
        <v>5280</v>
      </c>
      <c r="S207" t="s">
        <v>5281</v>
      </c>
      <c r="T207" t="s">
        <v>7</v>
      </c>
    </row>
    <row r="208" spans="1:20">
      <c r="A208" t="s">
        <v>3463</v>
      </c>
      <c r="B208" t="s">
        <v>3759</v>
      </c>
      <c r="C208" s="101">
        <v>1040</v>
      </c>
      <c r="D208" t="s">
        <v>5282</v>
      </c>
      <c r="E208" t="s">
        <v>187</v>
      </c>
      <c r="G208" t="s">
        <v>3403</v>
      </c>
      <c r="K208" t="s">
        <v>5283</v>
      </c>
      <c r="L208" t="s">
        <v>3768</v>
      </c>
      <c r="S208" t="s">
        <v>606</v>
      </c>
      <c r="T208" t="s">
        <v>7</v>
      </c>
    </row>
    <row r="209" spans="1:20">
      <c r="A209" t="s">
        <v>3463</v>
      </c>
      <c r="B209" t="s">
        <v>3759</v>
      </c>
      <c r="C209" s="101">
        <v>1041</v>
      </c>
      <c r="D209" t="s">
        <v>5284</v>
      </c>
      <c r="E209" t="s">
        <v>187</v>
      </c>
      <c r="G209" t="s">
        <v>3403</v>
      </c>
      <c r="K209" t="s">
        <v>5285</v>
      </c>
      <c r="S209" t="s">
        <v>174</v>
      </c>
      <c r="T209" t="s">
        <v>7</v>
      </c>
    </row>
    <row r="210" spans="1:20">
      <c r="A210" t="s">
        <v>3463</v>
      </c>
      <c r="B210" t="s">
        <v>3759</v>
      </c>
      <c r="C210" s="101">
        <v>1042</v>
      </c>
      <c r="D210" t="s">
        <v>5286</v>
      </c>
      <c r="E210" t="s">
        <v>187</v>
      </c>
      <c r="G210" t="s">
        <v>3403</v>
      </c>
      <c r="K210" t="s">
        <v>902</v>
      </c>
      <c r="L210" t="s">
        <v>5287</v>
      </c>
      <c r="S210" t="s">
        <v>36</v>
      </c>
      <c r="T210" t="s">
        <v>7</v>
      </c>
    </row>
    <row r="211" spans="1:20">
      <c r="A211" t="s">
        <v>3463</v>
      </c>
      <c r="B211" t="s">
        <v>3759</v>
      </c>
      <c r="C211" s="101">
        <v>1043</v>
      </c>
      <c r="D211" t="s">
        <v>4732</v>
      </c>
      <c r="E211" t="s">
        <v>187</v>
      </c>
      <c r="G211" t="s">
        <v>3403</v>
      </c>
      <c r="K211" t="s">
        <v>4733</v>
      </c>
      <c r="S211" t="s">
        <v>39</v>
      </c>
      <c r="T211" t="s">
        <v>7</v>
      </c>
    </row>
    <row r="212" spans="1:20">
      <c r="A212" t="s">
        <v>3463</v>
      </c>
      <c r="B212" t="s">
        <v>3759</v>
      </c>
      <c r="C212" s="101">
        <v>1044</v>
      </c>
      <c r="D212" t="s">
        <v>5288</v>
      </c>
      <c r="E212" t="s">
        <v>187</v>
      </c>
      <c r="G212" t="s">
        <v>3403</v>
      </c>
      <c r="K212" t="s">
        <v>5289</v>
      </c>
      <c r="S212" t="s">
        <v>32</v>
      </c>
      <c r="T212" t="s">
        <v>7</v>
      </c>
    </row>
    <row r="213" spans="1:20">
      <c r="A213" t="s">
        <v>3463</v>
      </c>
      <c r="B213" t="s">
        <v>3759</v>
      </c>
      <c r="C213" s="101">
        <v>1045</v>
      </c>
      <c r="D213" t="s">
        <v>5290</v>
      </c>
      <c r="E213" t="s">
        <v>204</v>
      </c>
      <c r="G213" t="s">
        <v>3403</v>
      </c>
      <c r="K213" t="s">
        <v>5291</v>
      </c>
      <c r="L213" t="s">
        <v>5292</v>
      </c>
      <c r="S213" t="s">
        <v>27</v>
      </c>
      <c r="T213" t="s">
        <v>7</v>
      </c>
    </row>
    <row r="214" spans="1:20">
      <c r="A214" t="s">
        <v>3463</v>
      </c>
      <c r="B214" t="s">
        <v>3759</v>
      </c>
      <c r="C214" s="101">
        <v>1046</v>
      </c>
      <c r="D214" t="s">
        <v>5293</v>
      </c>
      <c r="E214" t="s">
        <v>204</v>
      </c>
      <c r="G214" t="s">
        <v>3403</v>
      </c>
      <c r="K214" t="s">
        <v>5294</v>
      </c>
      <c r="S214" t="s">
        <v>171</v>
      </c>
      <c r="T214" t="s">
        <v>7</v>
      </c>
    </row>
    <row r="215" spans="1:20">
      <c r="A215" t="s">
        <v>3463</v>
      </c>
      <c r="B215" t="s">
        <v>3759</v>
      </c>
      <c r="C215" s="101">
        <v>1047</v>
      </c>
      <c r="D215" t="s">
        <v>5295</v>
      </c>
      <c r="E215" t="s">
        <v>204</v>
      </c>
      <c r="G215" t="s">
        <v>3403</v>
      </c>
      <c r="K215" t="s">
        <v>4113</v>
      </c>
      <c r="L215" t="s">
        <v>5296</v>
      </c>
      <c r="M215" t="s">
        <v>5297</v>
      </c>
      <c r="S215" t="s">
        <v>34</v>
      </c>
      <c r="T215" t="s">
        <v>7</v>
      </c>
    </row>
    <row r="216" spans="1:20">
      <c r="A216" t="s">
        <v>3463</v>
      </c>
      <c r="B216" t="s">
        <v>3759</v>
      </c>
      <c r="C216" s="101">
        <v>1048</v>
      </c>
      <c r="D216" t="s">
        <v>5298</v>
      </c>
      <c r="E216" t="s">
        <v>204</v>
      </c>
      <c r="G216" t="s">
        <v>3403</v>
      </c>
      <c r="K216" t="s">
        <v>5299</v>
      </c>
      <c r="L216" t="s">
        <v>5300</v>
      </c>
      <c r="S216" t="s">
        <v>50</v>
      </c>
      <c r="T216" t="s">
        <v>7</v>
      </c>
    </row>
    <row r="217" spans="1:20">
      <c r="A217" t="s">
        <v>3463</v>
      </c>
      <c r="B217" t="s">
        <v>3759</v>
      </c>
      <c r="C217" s="101">
        <v>1049</v>
      </c>
      <c r="D217" t="s">
        <v>5301</v>
      </c>
      <c r="E217" t="s">
        <v>208</v>
      </c>
      <c r="G217" t="s">
        <v>3403</v>
      </c>
      <c r="K217" t="s">
        <v>5014</v>
      </c>
      <c r="L217" t="s">
        <v>5302</v>
      </c>
      <c r="S217" t="s">
        <v>172</v>
      </c>
      <c r="T217" t="s">
        <v>7</v>
      </c>
    </row>
    <row r="218" spans="1:20">
      <c r="A218" t="s">
        <v>3463</v>
      </c>
      <c r="B218" t="s">
        <v>3759</v>
      </c>
      <c r="C218" s="101">
        <v>1050</v>
      </c>
      <c r="D218" t="s">
        <v>5303</v>
      </c>
      <c r="E218" t="s">
        <v>204</v>
      </c>
      <c r="G218" t="s">
        <v>3403</v>
      </c>
      <c r="K218" t="s">
        <v>5304</v>
      </c>
      <c r="S218" t="s">
        <v>45</v>
      </c>
      <c r="T218" t="s">
        <v>7</v>
      </c>
    </row>
    <row r="219" spans="1:20">
      <c r="A219" t="s">
        <v>3463</v>
      </c>
      <c r="B219" t="s">
        <v>3759</v>
      </c>
      <c r="C219" s="101">
        <v>1051</v>
      </c>
      <c r="D219" t="s">
        <v>5305</v>
      </c>
      <c r="E219" t="s">
        <v>204</v>
      </c>
      <c r="G219" t="s">
        <v>3403</v>
      </c>
      <c r="K219" t="s">
        <v>5306</v>
      </c>
      <c r="S219" t="s">
        <v>30</v>
      </c>
      <c r="T219" t="s">
        <v>7</v>
      </c>
    </row>
    <row r="220" spans="1:20">
      <c r="A220" t="s">
        <v>3463</v>
      </c>
      <c r="B220" t="s">
        <v>3759</v>
      </c>
      <c r="C220" s="101">
        <v>1052</v>
      </c>
      <c r="D220" t="s">
        <v>5307</v>
      </c>
      <c r="E220" t="s">
        <v>204</v>
      </c>
      <c r="G220" t="s">
        <v>3403</v>
      </c>
      <c r="K220" t="s">
        <v>5308</v>
      </c>
      <c r="S220" t="s">
        <v>53</v>
      </c>
      <c r="T220" t="s">
        <v>7</v>
      </c>
    </row>
    <row r="221" spans="1:20">
      <c r="A221" t="s">
        <v>3463</v>
      </c>
      <c r="B221" t="s">
        <v>3759</v>
      </c>
      <c r="C221" s="101">
        <v>1053</v>
      </c>
      <c r="D221" t="s">
        <v>5309</v>
      </c>
      <c r="E221" t="s">
        <v>204</v>
      </c>
      <c r="G221" t="s">
        <v>3403</v>
      </c>
      <c r="K221" t="s">
        <v>5310</v>
      </c>
      <c r="S221" t="s">
        <v>14</v>
      </c>
      <c r="T221" t="s">
        <v>7</v>
      </c>
    </row>
    <row r="222" spans="1:20">
      <c r="A222" t="s">
        <v>3463</v>
      </c>
      <c r="B222" t="s">
        <v>3759</v>
      </c>
      <c r="C222" s="101">
        <v>1054</v>
      </c>
      <c r="D222" t="s">
        <v>5311</v>
      </c>
      <c r="E222" t="s">
        <v>204</v>
      </c>
      <c r="G222" t="s">
        <v>3403</v>
      </c>
      <c r="K222" t="s">
        <v>5312</v>
      </c>
      <c r="L222" t="s">
        <v>5313</v>
      </c>
      <c r="S222" t="s">
        <v>607</v>
      </c>
      <c r="T222" t="s">
        <v>7</v>
      </c>
    </row>
    <row r="223" spans="1:20">
      <c r="A223" t="s">
        <v>3463</v>
      </c>
      <c r="B223" t="s">
        <v>3759</v>
      </c>
      <c r="C223" s="101">
        <v>1055</v>
      </c>
      <c r="D223" t="s">
        <v>5314</v>
      </c>
      <c r="E223" t="s">
        <v>204</v>
      </c>
      <c r="G223" t="s">
        <v>3403</v>
      </c>
      <c r="K223" t="s">
        <v>5315</v>
      </c>
      <c r="S223" t="s">
        <v>26</v>
      </c>
      <c r="T223" t="s">
        <v>7</v>
      </c>
    </row>
    <row r="224" spans="1:20">
      <c r="A224" t="s">
        <v>3463</v>
      </c>
      <c r="B224" t="s">
        <v>3759</v>
      </c>
      <c r="C224" s="101">
        <v>1056</v>
      </c>
      <c r="D224" t="s">
        <v>5316</v>
      </c>
      <c r="E224" t="s">
        <v>204</v>
      </c>
      <c r="G224" t="s">
        <v>3403</v>
      </c>
      <c r="K224" t="s">
        <v>5317</v>
      </c>
      <c r="L224" t="s">
        <v>5318</v>
      </c>
      <c r="M224" t="s">
        <v>5319</v>
      </c>
      <c r="S224" t="s">
        <v>17</v>
      </c>
      <c r="T224" t="s">
        <v>7</v>
      </c>
    </row>
    <row r="225" spans="1:24">
      <c r="A225" t="s">
        <v>3463</v>
      </c>
      <c r="B225" t="s">
        <v>3759</v>
      </c>
      <c r="C225" s="101">
        <v>1057</v>
      </c>
      <c r="D225" s="97" t="s">
        <v>5320</v>
      </c>
      <c r="E225" s="97" t="s">
        <v>204</v>
      </c>
      <c r="F225" s="97"/>
      <c r="G225" s="97" t="s">
        <v>3445</v>
      </c>
      <c r="H225" s="97"/>
      <c r="I225" s="97"/>
      <c r="J225" s="97"/>
      <c r="K225" s="97" t="s">
        <v>5321</v>
      </c>
      <c r="L225" s="97" t="s">
        <v>5322</v>
      </c>
      <c r="M225" s="97"/>
      <c r="N225" s="97"/>
      <c r="O225" s="97"/>
      <c r="P225" s="97"/>
      <c r="Q225" s="97"/>
      <c r="R225" s="97"/>
      <c r="S225" s="97" t="s">
        <v>5281</v>
      </c>
      <c r="T225" t="s">
        <v>7</v>
      </c>
    </row>
    <row r="226" spans="1:24">
      <c r="A226" t="s">
        <v>3463</v>
      </c>
      <c r="B226" t="s">
        <v>3759</v>
      </c>
      <c r="C226" s="101">
        <v>1058</v>
      </c>
      <c r="D226" t="s">
        <v>5323</v>
      </c>
      <c r="E226" t="s">
        <v>204</v>
      </c>
      <c r="G226" t="s">
        <v>3403</v>
      </c>
      <c r="K226" t="s">
        <v>5324</v>
      </c>
      <c r="L226" t="s">
        <v>5325</v>
      </c>
      <c r="S226" t="s">
        <v>28</v>
      </c>
      <c r="T226" t="s">
        <v>7</v>
      </c>
    </row>
    <row r="227" spans="1:24">
      <c r="A227" t="s">
        <v>3463</v>
      </c>
      <c r="B227" t="s">
        <v>3759</v>
      </c>
      <c r="C227" s="101">
        <v>1059</v>
      </c>
      <c r="D227" t="s">
        <v>5326</v>
      </c>
      <c r="E227" t="s">
        <v>204</v>
      </c>
      <c r="G227" t="s">
        <v>3403</v>
      </c>
      <c r="K227" t="s">
        <v>5327</v>
      </c>
      <c r="S227" t="s">
        <v>173</v>
      </c>
      <c r="T227" t="s">
        <v>7</v>
      </c>
    </row>
    <row r="228" spans="1:24">
      <c r="A228" t="s">
        <v>3463</v>
      </c>
      <c r="B228" t="s">
        <v>3759</v>
      </c>
      <c r="C228" s="101">
        <v>1060</v>
      </c>
      <c r="D228" t="s">
        <v>5328</v>
      </c>
      <c r="E228" t="s">
        <v>204</v>
      </c>
      <c r="G228" t="s">
        <v>3403</v>
      </c>
      <c r="K228" t="s">
        <v>5329</v>
      </c>
      <c r="L228" t="s">
        <v>5330</v>
      </c>
      <c r="S228" t="s">
        <v>45</v>
      </c>
      <c r="T228" t="s">
        <v>7</v>
      </c>
    </row>
    <row r="229" spans="1:24">
      <c r="A229" t="s">
        <v>3463</v>
      </c>
      <c r="B229" t="s">
        <v>3759</v>
      </c>
      <c r="C229" s="101">
        <v>1061</v>
      </c>
      <c r="D229" t="s">
        <v>5331</v>
      </c>
      <c r="E229" t="s">
        <v>204</v>
      </c>
      <c r="G229" t="s">
        <v>3403</v>
      </c>
      <c r="K229" t="s">
        <v>5332</v>
      </c>
      <c r="S229" t="s">
        <v>605</v>
      </c>
      <c r="T229" t="s">
        <v>7</v>
      </c>
    </row>
    <row r="230" spans="1:24">
      <c r="A230" t="s">
        <v>3463</v>
      </c>
      <c r="B230" t="s">
        <v>3759</v>
      </c>
      <c r="C230" s="101">
        <v>1062</v>
      </c>
      <c r="D230" s="76" t="s">
        <v>5333</v>
      </c>
      <c r="E230" s="76" t="s">
        <v>204</v>
      </c>
      <c r="F230" s="76"/>
      <c r="G230" s="76" t="s">
        <v>3403</v>
      </c>
      <c r="H230" s="76"/>
      <c r="I230" s="76"/>
      <c r="J230" s="76"/>
      <c r="K230" s="76" t="s">
        <v>5334</v>
      </c>
      <c r="L230" s="76" t="s">
        <v>5335</v>
      </c>
      <c r="M230" s="76"/>
      <c r="N230" s="76"/>
      <c r="O230" s="76"/>
      <c r="P230" s="76"/>
      <c r="Q230" s="76"/>
      <c r="R230" s="76"/>
      <c r="S230" s="76" t="s">
        <v>34</v>
      </c>
      <c r="T230" s="76" t="s">
        <v>7</v>
      </c>
      <c r="U230" s="76"/>
      <c r="V230" s="76"/>
      <c r="W230" s="76"/>
      <c r="X230" s="76"/>
    </row>
    <row r="231" spans="1:24">
      <c r="A231" t="s">
        <v>3463</v>
      </c>
      <c r="B231" t="s">
        <v>3759</v>
      </c>
      <c r="C231" s="101">
        <v>1063</v>
      </c>
      <c r="D231" t="s">
        <v>5336</v>
      </c>
      <c r="E231" t="s">
        <v>204</v>
      </c>
      <c r="G231" t="s">
        <v>3403</v>
      </c>
      <c r="K231" t="s">
        <v>5337</v>
      </c>
      <c r="S231" t="s">
        <v>176</v>
      </c>
      <c r="T231" t="s">
        <v>7</v>
      </c>
    </row>
    <row r="232" spans="1:24">
      <c r="A232" t="s">
        <v>3463</v>
      </c>
      <c r="B232" t="s">
        <v>3759</v>
      </c>
      <c r="C232" s="101">
        <v>1064</v>
      </c>
      <c r="D232" t="s">
        <v>5338</v>
      </c>
      <c r="E232" t="s">
        <v>185</v>
      </c>
      <c r="G232" t="s">
        <v>3403</v>
      </c>
      <c r="K232" t="s">
        <v>5339</v>
      </c>
      <c r="S232" t="s">
        <v>32</v>
      </c>
      <c r="T232" t="s">
        <v>7</v>
      </c>
    </row>
    <row r="233" spans="1:24">
      <c r="A233" t="s">
        <v>3463</v>
      </c>
      <c r="B233" t="s">
        <v>3759</v>
      </c>
      <c r="C233" s="101">
        <v>1065</v>
      </c>
      <c r="D233" t="s">
        <v>5340</v>
      </c>
      <c r="E233" t="s">
        <v>209</v>
      </c>
      <c r="G233" t="s">
        <v>3403</v>
      </c>
      <c r="K233" t="s">
        <v>5341</v>
      </c>
      <c r="S233" t="s">
        <v>183</v>
      </c>
      <c r="T233" t="s">
        <v>7</v>
      </c>
    </row>
    <row r="234" spans="1:24">
      <c r="A234" t="s">
        <v>3463</v>
      </c>
      <c r="B234" t="s">
        <v>3759</v>
      </c>
      <c r="C234" s="101">
        <v>1066</v>
      </c>
      <c r="D234" t="s">
        <v>5342</v>
      </c>
      <c r="E234" t="s">
        <v>185</v>
      </c>
      <c r="G234" t="s">
        <v>3403</v>
      </c>
      <c r="K234" t="s">
        <v>5343</v>
      </c>
      <c r="S234" t="s">
        <v>39</v>
      </c>
      <c r="T234" t="s">
        <v>7</v>
      </c>
    </row>
    <row r="235" spans="1:24">
      <c r="A235" t="s">
        <v>3463</v>
      </c>
      <c r="B235" t="s">
        <v>3759</v>
      </c>
      <c r="C235" s="101">
        <v>1067</v>
      </c>
      <c r="D235" t="s">
        <v>5344</v>
      </c>
      <c r="E235" t="s">
        <v>185</v>
      </c>
      <c r="G235" t="s">
        <v>3403</v>
      </c>
      <c r="K235" t="s">
        <v>5345</v>
      </c>
      <c r="S235" t="s">
        <v>172</v>
      </c>
      <c r="T235" t="s">
        <v>7</v>
      </c>
    </row>
    <row r="236" spans="1:24">
      <c r="A236" t="s">
        <v>3463</v>
      </c>
      <c r="B236" t="s">
        <v>3759</v>
      </c>
      <c r="C236" s="101">
        <v>1068</v>
      </c>
      <c r="D236" t="s">
        <v>5346</v>
      </c>
      <c r="E236" t="s">
        <v>185</v>
      </c>
      <c r="G236" t="s">
        <v>3403</v>
      </c>
      <c r="K236" t="s">
        <v>5347</v>
      </c>
      <c r="S236" t="s">
        <v>171</v>
      </c>
      <c r="T236" t="s">
        <v>7</v>
      </c>
    </row>
    <row r="237" spans="1:24">
      <c r="A237" t="s">
        <v>3463</v>
      </c>
      <c r="B237" t="s">
        <v>3759</v>
      </c>
      <c r="C237" s="101">
        <v>1069</v>
      </c>
      <c r="D237" t="s">
        <v>5348</v>
      </c>
      <c r="E237" t="s">
        <v>209</v>
      </c>
      <c r="G237" t="s">
        <v>3403</v>
      </c>
      <c r="K237" t="s">
        <v>5349</v>
      </c>
      <c r="S237" t="s">
        <v>31</v>
      </c>
      <c r="T237" t="s">
        <v>7</v>
      </c>
    </row>
    <row r="238" spans="1:24">
      <c r="A238" t="s">
        <v>3463</v>
      </c>
      <c r="B238" t="s">
        <v>3759</v>
      </c>
      <c r="C238" s="101">
        <v>1070</v>
      </c>
      <c r="D238" t="s">
        <v>5350</v>
      </c>
      <c r="E238" t="s">
        <v>185</v>
      </c>
      <c r="G238" t="s">
        <v>3403</v>
      </c>
      <c r="K238" t="s">
        <v>5351</v>
      </c>
      <c r="L238" t="s">
        <v>5352</v>
      </c>
      <c r="S238" t="s">
        <v>604</v>
      </c>
      <c r="T238" t="s">
        <v>7</v>
      </c>
    </row>
    <row r="239" spans="1:24">
      <c r="A239" t="s">
        <v>3463</v>
      </c>
      <c r="B239" t="s">
        <v>3759</v>
      </c>
      <c r="C239" s="101">
        <v>1071</v>
      </c>
      <c r="D239" t="s">
        <v>5353</v>
      </c>
      <c r="E239" t="s">
        <v>185</v>
      </c>
      <c r="G239" t="s">
        <v>3403</v>
      </c>
      <c r="K239" t="s">
        <v>5354</v>
      </c>
      <c r="S239" t="s">
        <v>35</v>
      </c>
      <c r="T239" t="s">
        <v>7</v>
      </c>
    </row>
    <row r="240" spans="1:24">
      <c r="A240" t="s">
        <v>3463</v>
      </c>
      <c r="B240" t="s">
        <v>3759</v>
      </c>
      <c r="C240" s="101">
        <v>1072</v>
      </c>
      <c r="D240" t="s">
        <v>5355</v>
      </c>
      <c r="E240" t="s">
        <v>185</v>
      </c>
      <c r="G240" t="s">
        <v>3403</v>
      </c>
      <c r="K240" t="s">
        <v>5356</v>
      </c>
      <c r="S240" t="s">
        <v>8</v>
      </c>
      <c r="T240" t="s">
        <v>7</v>
      </c>
    </row>
    <row r="241" spans="1:20">
      <c r="A241" t="s">
        <v>3463</v>
      </c>
      <c r="B241" t="s">
        <v>3759</v>
      </c>
      <c r="C241" s="101">
        <v>1073</v>
      </c>
      <c r="D241" t="s">
        <v>5357</v>
      </c>
      <c r="E241" t="s">
        <v>185</v>
      </c>
      <c r="G241" t="s">
        <v>3403</v>
      </c>
      <c r="K241" t="s">
        <v>5358</v>
      </c>
      <c r="S241" t="s">
        <v>46</v>
      </c>
      <c r="T241" t="s">
        <v>7</v>
      </c>
    </row>
    <row r="242" spans="1:20">
      <c r="A242" t="s">
        <v>3463</v>
      </c>
      <c r="B242" t="s">
        <v>3759</v>
      </c>
      <c r="C242" s="101">
        <v>1074</v>
      </c>
      <c r="D242" t="s">
        <v>5359</v>
      </c>
      <c r="E242" t="s">
        <v>209</v>
      </c>
      <c r="G242" t="s">
        <v>3403</v>
      </c>
      <c r="K242" t="s">
        <v>5002</v>
      </c>
      <c r="S242" t="s">
        <v>168</v>
      </c>
      <c r="T242" t="s">
        <v>7</v>
      </c>
    </row>
    <row r="243" spans="1:20">
      <c r="A243" s="76" t="s">
        <v>3463</v>
      </c>
      <c r="B243" s="76" t="s">
        <v>3759</v>
      </c>
      <c r="C243" s="103">
        <v>1075</v>
      </c>
      <c r="D243" s="76" t="s">
        <v>5360</v>
      </c>
      <c r="E243" s="76" t="s">
        <v>185</v>
      </c>
      <c r="F243" s="76"/>
      <c r="G243" s="76" t="s">
        <v>3403</v>
      </c>
      <c r="H243" s="76"/>
      <c r="I243" s="76"/>
      <c r="J243" s="76"/>
      <c r="K243" s="76" t="s">
        <v>4113</v>
      </c>
      <c r="L243" s="76" t="s">
        <v>5361</v>
      </c>
      <c r="M243" s="76" t="s">
        <v>5362</v>
      </c>
      <c r="N243" s="76"/>
      <c r="O243" s="76"/>
      <c r="P243" s="76"/>
      <c r="Q243" s="76"/>
      <c r="S243" t="s">
        <v>179</v>
      </c>
      <c r="T243" t="s">
        <v>7</v>
      </c>
    </row>
    <row r="244" spans="1:20">
      <c r="A244" t="s">
        <v>3463</v>
      </c>
      <c r="B244" t="s">
        <v>3759</v>
      </c>
      <c r="C244" s="101">
        <v>1076</v>
      </c>
      <c r="D244" t="s">
        <v>5363</v>
      </c>
      <c r="E244" t="s">
        <v>185</v>
      </c>
      <c r="G244" t="s">
        <v>3403</v>
      </c>
      <c r="K244" t="s">
        <v>5364</v>
      </c>
      <c r="S244" t="s">
        <v>46</v>
      </c>
      <c r="T244" t="s">
        <v>7</v>
      </c>
    </row>
    <row r="245" spans="1:20">
      <c r="A245" t="s">
        <v>3463</v>
      </c>
      <c r="B245" t="s">
        <v>3759</v>
      </c>
      <c r="C245" s="101">
        <v>1077</v>
      </c>
      <c r="D245" t="s">
        <v>5365</v>
      </c>
      <c r="E245" t="s">
        <v>211</v>
      </c>
      <c r="G245" t="s">
        <v>3403</v>
      </c>
      <c r="K245" t="s">
        <v>5366</v>
      </c>
      <c r="L245" t="s">
        <v>4931</v>
      </c>
      <c r="S245" t="s">
        <v>46</v>
      </c>
      <c r="T245" t="s">
        <v>7</v>
      </c>
    </row>
    <row r="246" spans="1:20">
      <c r="A246" t="s">
        <v>3463</v>
      </c>
      <c r="B246" t="s">
        <v>3759</v>
      </c>
      <c r="C246" s="101">
        <v>1078</v>
      </c>
      <c r="D246" t="s">
        <v>5367</v>
      </c>
      <c r="E246" t="s">
        <v>211</v>
      </c>
      <c r="G246" t="s">
        <v>3403</v>
      </c>
      <c r="K246" t="s">
        <v>5368</v>
      </c>
      <c r="S246" t="s">
        <v>10</v>
      </c>
      <c r="T246" t="s">
        <v>7</v>
      </c>
    </row>
    <row r="247" spans="1:20">
      <c r="A247" t="s">
        <v>3463</v>
      </c>
      <c r="B247" t="s">
        <v>3759</v>
      </c>
      <c r="C247" s="101">
        <v>1079</v>
      </c>
      <c r="D247" t="s">
        <v>5369</v>
      </c>
      <c r="E247" t="s">
        <v>210</v>
      </c>
      <c r="G247" t="s">
        <v>3403</v>
      </c>
      <c r="K247" t="s">
        <v>5370</v>
      </c>
      <c r="L247" t="s">
        <v>5371</v>
      </c>
      <c r="S247" t="s">
        <v>607</v>
      </c>
      <c r="T247" t="s">
        <v>7</v>
      </c>
    </row>
    <row r="248" spans="1:20">
      <c r="A248" t="s">
        <v>3463</v>
      </c>
      <c r="B248" t="s">
        <v>3759</v>
      </c>
      <c r="C248" s="101">
        <v>1080</v>
      </c>
      <c r="D248" t="s">
        <v>5372</v>
      </c>
      <c r="E248" t="s">
        <v>211</v>
      </c>
      <c r="G248" t="s">
        <v>3403</v>
      </c>
      <c r="K248" t="s">
        <v>4113</v>
      </c>
      <c r="L248" t="s">
        <v>5373</v>
      </c>
      <c r="M248" t="s">
        <v>5374</v>
      </c>
      <c r="N248" t="s">
        <v>5375</v>
      </c>
      <c r="S248" t="s">
        <v>177</v>
      </c>
      <c r="T248" t="s">
        <v>7</v>
      </c>
    </row>
    <row r="249" spans="1:20">
      <c r="A249" t="s">
        <v>3463</v>
      </c>
      <c r="B249" t="s">
        <v>3759</v>
      </c>
      <c r="C249" s="101">
        <v>1081</v>
      </c>
      <c r="D249" t="s">
        <v>5376</v>
      </c>
      <c r="E249" t="s">
        <v>210</v>
      </c>
      <c r="G249" t="s">
        <v>3403</v>
      </c>
      <c r="K249" t="s">
        <v>5377</v>
      </c>
      <c r="S249" t="s">
        <v>28</v>
      </c>
      <c r="T249" t="s">
        <v>7</v>
      </c>
    </row>
    <row r="250" spans="1:20">
      <c r="A250" t="s">
        <v>3463</v>
      </c>
      <c r="B250" t="s">
        <v>3759</v>
      </c>
      <c r="C250" s="101">
        <v>1082</v>
      </c>
      <c r="D250" t="s">
        <v>5378</v>
      </c>
      <c r="E250" t="s">
        <v>211</v>
      </c>
      <c r="G250" t="s">
        <v>3403</v>
      </c>
      <c r="K250" t="s">
        <v>5262</v>
      </c>
      <c r="L250" t="s">
        <v>3768</v>
      </c>
      <c r="S250" t="s">
        <v>30</v>
      </c>
      <c r="T250" t="s">
        <v>7</v>
      </c>
    </row>
    <row r="251" spans="1:20">
      <c r="A251" t="s">
        <v>3463</v>
      </c>
      <c r="B251" t="s">
        <v>3759</v>
      </c>
      <c r="C251" s="101">
        <v>1083</v>
      </c>
      <c r="D251" t="s">
        <v>5379</v>
      </c>
      <c r="E251" t="s">
        <v>210</v>
      </c>
      <c r="G251" t="s">
        <v>3403</v>
      </c>
      <c r="K251" t="s">
        <v>5380</v>
      </c>
      <c r="S251" t="s">
        <v>5381</v>
      </c>
      <c r="T251" t="s">
        <v>7</v>
      </c>
    </row>
    <row r="252" spans="1:20">
      <c r="A252" t="s">
        <v>3463</v>
      </c>
      <c r="B252" t="s">
        <v>3759</v>
      </c>
      <c r="C252" s="101">
        <v>1084</v>
      </c>
      <c r="D252" t="s">
        <v>5382</v>
      </c>
      <c r="E252" t="s">
        <v>211</v>
      </c>
      <c r="G252" t="s">
        <v>3403</v>
      </c>
      <c r="K252" t="s">
        <v>5383</v>
      </c>
      <c r="S252" t="s">
        <v>38</v>
      </c>
      <c r="T252" t="s">
        <v>7</v>
      </c>
    </row>
    <row r="253" spans="1:20">
      <c r="A253" t="s">
        <v>3463</v>
      </c>
      <c r="B253" t="s">
        <v>3759</v>
      </c>
      <c r="C253" s="101">
        <v>1085</v>
      </c>
      <c r="D253" t="s">
        <v>5384</v>
      </c>
      <c r="E253" t="s">
        <v>211</v>
      </c>
      <c r="G253" t="s">
        <v>3403</v>
      </c>
      <c r="K253" t="s">
        <v>5385</v>
      </c>
      <c r="S253" t="s">
        <v>179</v>
      </c>
      <c r="T253" t="s">
        <v>7</v>
      </c>
    </row>
    <row r="254" spans="1:20">
      <c r="A254" t="s">
        <v>3463</v>
      </c>
      <c r="B254" t="s">
        <v>3759</v>
      </c>
      <c r="C254" s="101">
        <v>1086</v>
      </c>
      <c r="D254" t="s">
        <v>5386</v>
      </c>
      <c r="E254" t="s">
        <v>210</v>
      </c>
      <c r="G254" t="s">
        <v>3403</v>
      </c>
      <c r="K254" t="s">
        <v>5387</v>
      </c>
      <c r="S254" t="s">
        <v>168</v>
      </c>
      <c r="T254" t="s">
        <v>7</v>
      </c>
    </row>
    <row r="255" spans="1:20">
      <c r="A255" t="s">
        <v>3463</v>
      </c>
      <c r="B255" t="s">
        <v>3759</v>
      </c>
      <c r="C255" s="101">
        <v>1087</v>
      </c>
      <c r="D255" t="s">
        <v>5388</v>
      </c>
      <c r="E255" t="s">
        <v>210</v>
      </c>
      <c r="G255" t="s">
        <v>3403</v>
      </c>
      <c r="K255" t="s">
        <v>5389</v>
      </c>
      <c r="L255" t="s">
        <v>5390</v>
      </c>
      <c r="S255" t="s">
        <v>3119</v>
      </c>
      <c r="T255" t="s">
        <v>7</v>
      </c>
    </row>
    <row r="256" spans="1:20">
      <c r="A256" t="s">
        <v>3463</v>
      </c>
      <c r="B256" t="s">
        <v>3759</v>
      </c>
      <c r="C256" s="101">
        <v>1088</v>
      </c>
      <c r="D256" t="s">
        <v>5391</v>
      </c>
      <c r="E256" t="s">
        <v>611</v>
      </c>
      <c r="G256" t="s">
        <v>3403</v>
      </c>
      <c r="K256" t="s">
        <v>5392</v>
      </c>
      <c r="L256" t="s">
        <v>5393</v>
      </c>
      <c r="S256" t="s">
        <v>52</v>
      </c>
      <c r="T256" t="s">
        <v>7</v>
      </c>
    </row>
    <row r="257" spans="1:20">
      <c r="A257" t="s">
        <v>3463</v>
      </c>
      <c r="B257" t="s">
        <v>3759</v>
      </c>
      <c r="C257" s="101">
        <v>1089</v>
      </c>
      <c r="D257" t="s">
        <v>5394</v>
      </c>
      <c r="E257" t="s">
        <v>611</v>
      </c>
      <c r="G257" t="s">
        <v>3403</v>
      </c>
      <c r="K257" t="s">
        <v>5395</v>
      </c>
      <c r="S257" t="s">
        <v>53</v>
      </c>
      <c r="T257" t="s">
        <v>7</v>
      </c>
    </row>
    <row r="258" spans="1:20">
      <c r="A258" t="s">
        <v>3463</v>
      </c>
      <c r="B258" t="s">
        <v>3759</v>
      </c>
      <c r="C258" s="101">
        <v>1090</v>
      </c>
      <c r="D258" t="s">
        <v>5396</v>
      </c>
      <c r="E258" t="s">
        <v>5397</v>
      </c>
      <c r="G258" t="s">
        <v>3403</v>
      </c>
      <c r="K258" t="s">
        <v>5014</v>
      </c>
      <c r="L258" t="s">
        <v>5398</v>
      </c>
      <c r="S258" t="s">
        <v>8</v>
      </c>
      <c r="T258" t="s">
        <v>7</v>
      </c>
    </row>
    <row r="259" spans="1:20">
      <c r="A259" s="101" t="s">
        <v>3465</v>
      </c>
      <c r="B259" s="101" t="s">
        <v>3759</v>
      </c>
      <c r="C259" s="101">
        <v>2001</v>
      </c>
      <c r="D259" s="101" t="s">
        <v>7002</v>
      </c>
      <c r="E259" s="101" t="s">
        <v>6852</v>
      </c>
      <c r="F259" s="101"/>
      <c r="G259" s="101" t="s">
        <v>3403</v>
      </c>
      <c r="H259" s="101"/>
      <c r="I259" s="101"/>
      <c r="J259" s="101"/>
      <c r="K259" s="101" t="s">
        <v>7003</v>
      </c>
      <c r="L259" s="101" t="s">
        <v>7004</v>
      </c>
      <c r="M259" s="102"/>
      <c r="N259" s="101"/>
      <c r="O259" s="101"/>
      <c r="P259" s="101"/>
      <c r="Q259" s="101"/>
      <c r="R259" s="101"/>
      <c r="S259" s="101" t="s">
        <v>34</v>
      </c>
      <c r="T259" s="101" t="s">
        <v>9</v>
      </c>
    </row>
    <row r="260" spans="1:20">
      <c r="A260" s="101" t="s">
        <v>3465</v>
      </c>
      <c r="B260" s="101" t="s">
        <v>3759</v>
      </c>
      <c r="C260" s="101">
        <v>2002</v>
      </c>
      <c r="D260" s="101" t="s">
        <v>7005</v>
      </c>
      <c r="E260" s="101" t="s">
        <v>186</v>
      </c>
      <c r="F260" s="101"/>
      <c r="G260" s="102" t="s">
        <v>3403</v>
      </c>
      <c r="H260" s="102"/>
      <c r="I260" s="102"/>
      <c r="J260" s="102"/>
      <c r="K260" s="102" t="s">
        <v>7006</v>
      </c>
      <c r="L260" s="102" t="s">
        <v>3768</v>
      </c>
      <c r="M260" s="102"/>
      <c r="N260" s="102"/>
      <c r="O260" s="102"/>
      <c r="P260" s="102"/>
      <c r="Q260" s="102"/>
      <c r="R260" s="102"/>
      <c r="S260" s="102" t="s">
        <v>34</v>
      </c>
      <c r="T260" s="102" t="s">
        <v>9</v>
      </c>
    </row>
    <row r="261" spans="1:20">
      <c r="A261" s="101" t="s">
        <v>3465</v>
      </c>
      <c r="B261" s="101" t="s">
        <v>3759</v>
      </c>
      <c r="C261" s="101">
        <v>2003</v>
      </c>
      <c r="D261" s="102" t="s">
        <v>5215</v>
      </c>
      <c r="E261" s="102" t="s">
        <v>186</v>
      </c>
      <c r="F261" s="102"/>
      <c r="G261" s="102" t="s">
        <v>3403</v>
      </c>
      <c r="H261" s="102"/>
      <c r="I261" s="102"/>
      <c r="J261" s="102"/>
      <c r="K261" s="102" t="s">
        <v>5216</v>
      </c>
      <c r="L261" s="102"/>
      <c r="M261" s="102"/>
      <c r="N261" s="102"/>
      <c r="O261" s="102"/>
      <c r="P261" s="102"/>
      <c r="Q261" s="102"/>
      <c r="R261" s="102"/>
      <c r="S261" s="102" t="s">
        <v>169</v>
      </c>
      <c r="T261" s="102" t="s">
        <v>9</v>
      </c>
    </row>
    <row r="262" spans="1:20">
      <c r="A262" s="101" t="s">
        <v>3465</v>
      </c>
      <c r="B262" s="101" t="s">
        <v>3759</v>
      </c>
      <c r="C262" s="101">
        <v>2004</v>
      </c>
      <c r="D262" s="102" t="s">
        <v>7007</v>
      </c>
      <c r="E262" s="102" t="s">
        <v>782</v>
      </c>
      <c r="F262" s="102"/>
      <c r="G262" s="102" t="s">
        <v>3403</v>
      </c>
      <c r="H262" s="102"/>
      <c r="I262" s="102"/>
      <c r="J262" s="102"/>
      <c r="K262" s="102" t="s">
        <v>7008</v>
      </c>
      <c r="L262" s="102"/>
      <c r="M262" s="102"/>
      <c r="N262" s="102"/>
      <c r="O262" s="102"/>
      <c r="P262" s="102"/>
      <c r="Q262" s="102"/>
      <c r="R262" s="102"/>
      <c r="S262" s="102" t="s">
        <v>32</v>
      </c>
      <c r="T262" s="102" t="s">
        <v>9</v>
      </c>
    </row>
    <row r="263" spans="1:20">
      <c r="A263" s="101" t="s">
        <v>3465</v>
      </c>
      <c r="B263" s="101" t="s">
        <v>3759</v>
      </c>
      <c r="C263" s="101">
        <v>2005</v>
      </c>
      <c r="D263" s="102" t="s">
        <v>7009</v>
      </c>
      <c r="E263" s="102" t="s">
        <v>186</v>
      </c>
      <c r="F263" s="102"/>
      <c r="G263" s="102" t="s">
        <v>3403</v>
      </c>
      <c r="H263" s="102"/>
      <c r="I263" s="102"/>
      <c r="J263" s="102"/>
      <c r="K263" s="102" t="s">
        <v>7010</v>
      </c>
      <c r="L263" s="102" t="s">
        <v>7011</v>
      </c>
      <c r="M263" s="102"/>
      <c r="N263" s="102"/>
      <c r="O263" s="102"/>
      <c r="P263" s="102"/>
      <c r="Q263" s="102"/>
      <c r="R263" s="102"/>
      <c r="S263" s="102" t="s">
        <v>31</v>
      </c>
      <c r="T263" s="102" t="s">
        <v>9</v>
      </c>
    </row>
    <row r="264" spans="1:20">
      <c r="A264" s="101" t="s">
        <v>3465</v>
      </c>
      <c r="B264" s="101" t="s">
        <v>3759</v>
      </c>
      <c r="C264" s="101">
        <v>2006</v>
      </c>
      <c r="D264" s="102" t="s">
        <v>7012</v>
      </c>
      <c r="E264" s="102" t="s">
        <v>782</v>
      </c>
      <c r="F264" s="102"/>
      <c r="G264" s="102" t="s">
        <v>3403</v>
      </c>
      <c r="H264" s="102"/>
      <c r="I264" s="102"/>
      <c r="J264" s="102"/>
      <c r="K264" s="102" t="s">
        <v>7013</v>
      </c>
      <c r="L264" s="102"/>
      <c r="M264" s="102"/>
      <c r="N264" s="102"/>
      <c r="O264" s="102"/>
      <c r="P264" s="102"/>
      <c r="Q264" s="102"/>
      <c r="R264" s="102"/>
      <c r="S264" s="102" t="s">
        <v>52</v>
      </c>
      <c r="T264" s="102" t="s">
        <v>9</v>
      </c>
    </row>
    <row r="265" spans="1:20">
      <c r="A265" s="101" t="s">
        <v>3465</v>
      </c>
      <c r="B265" s="101" t="s">
        <v>3759</v>
      </c>
      <c r="C265" s="101">
        <v>2007</v>
      </c>
      <c r="D265" s="102" t="s">
        <v>7014</v>
      </c>
      <c r="E265" s="102" t="s">
        <v>186</v>
      </c>
      <c r="F265" s="102"/>
      <c r="G265" s="102" t="s">
        <v>3403</v>
      </c>
      <c r="H265" s="102"/>
      <c r="I265" s="102"/>
      <c r="J265" s="102"/>
      <c r="K265" s="102" t="s">
        <v>7015</v>
      </c>
      <c r="L265" s="102"/>
      <c r="M265" s="102"/>
      <c r="N265" s="102"/>
      <c r="O265" s="102"/>
      <c r="P265" s="102"/>
      <c r="Q265" s="102"/>
      <c r="R265" s="102"/>
      <c r="S265" s="102" t="s">
        <v>5685</v>
      </c>
      <c r="T265" s="102" t="s">
        <v>9</v>
      </c>
    </row>
    <row r="266" spans="1:20">
      <c r="A266" s="101" t="s">
        <v>3465</v>
      </c>
      <c r="B266" s="101" t="s">
        <v>3759</v>
      </c>
      <c r="C266" s="101">
        <v>2008</v>
      </c>
      <c r="D266" s="102" t="s">
        <v>7016</v>
      </c>
      <c r="E266" s="102" t="s">
        <v>186</v>
      </c>
      <c r="F266" s="102"/>
      <c r="G266" s="102" t="s">
        <v>3403</v>
      </c>
      <c r="H266" s="102" t="s">
        <v>5180</v>
      </c>
      <c r="I266" s="102"/>
      <c r="J266" s="102"/>
      <c r="K266" s="102" t="s">
        <v>7017</v>
      </c>
      <c r="L266" s="102" t="s">
        <v>7018</v>
      </c>
      <c r="M266" s="102"/>
      <c r="N266" s="102"/>
      <c r="O266" s="102"/>
      <c r="P266" s="102"/>
      <c r="Q266" s="102"/>
      <c r="R266" s="102"/>
      <c r="S266" s="102" t="s">
        <v>179</v>
      </c>
      <c r="T266" s="102" t="s">
        <v>9</v>
      </c>
    </row>
    <row r="267" spans="1:20">
      <c r="A267" s="101" t="s">
        <v>3465</v>
      </c>
      <c r="B267" s="101" t="s">
        <v>3759</v>
      </c>
      <c r="C267" s="101">
        <v>2009</v>
      </c>
      <c r="D267" s="102" t="s">
        <v>7019</v>
      </c>
      <c r="E267" s="102" t="s">
        <v>186</v>
      </c>
      <c r="F267" s="102"/>
      <c r="G267" s="102" t="s">
        <v>3403</v>
      </c>
      <c r="H267" s="102"/>
      <c r="I267" s="102"/>
      <c r="J267" s="102"/>
      <c r="K267" s="102" t="s">
        <v>7020</v>
      </c>
      <c r="L267" s="102"/>
      <c r="M267" s="102"/>
      <c r="N267" s="102"/>
      <c r="O267" s="102"/>
      <c r="P267" s="102"/>
      <c r="Q267" s="102"/>
      <c r="R267" s="102"/>
      <c r="S267" s="102" t="s">
        <v>180</v>
      </c>
      <c r="T267" s="102" t="s">
        <v>9</v>
      </c>
    </row>
    <row r="268" spans="1:20">
      <c r="A268" s="101" t="s">
        <v>3465</v>
      </c>
      <c r="B268" s="101" t="s">
        <v>3759</v>
      </c>
      <c r="C268" s="101">
        <v>2010</v>
      </c>
      <c r="D268" s="102" t="s">
        <v>7021</v>
      </c>
      <c r="E268" s="102" t="s">
        <v>6859</v>
      </c>
      <c r="F268" s="102"/>
      <c r="G268" s="102" t="s">
        <v>3403</v>
      </c>
      <c r="H268" s="102" t="s">
        <v>5180</v>
      </c>
      <c r="I268" s="102"/>
      <c r="J268" s="102"/>
      <c r="K268" s="102" t="s">
        <v>7022</v>
      </c>
      <c r="L268" s="102" t="s">
        <v>7023</v>
      </c>
      <c r="M268" s="102"/>
      <c r="N268" s="102"/>
      <c r="O268" s="102"/>
      <c r="P268" s="102"/>
      <c r="Q268" s="102"/>
      <c r="R268" s="102"/>
      <c r="S268" s="102" t="s">
        <v>183</v>
      </c>
      <c r="T268" s="102" t="s">
        <v>9</v>
      </c>
    </row>
    <row r="269" spans="1:20">
      <c r="A269" s="101" t="s">
        <v>3465</v>
      </c>
      <c r="B269" s="101" t="s">
        <v>3759</v>
      </c>
      <c r="C269" s="101">
        <v>2011</v>
      </c>
      <c r="D269" s="102" t="s">
        <v>7024</v>
      </c>
      <c r="E269" s="102" t="s">
        <v>187</v>
      </c>
      <c r="F269" s="102"/>
      <c r="G269" s="102" t="s">
        <v>3403</v>
      </c>
      <c r="H269" s="102"/>
      <c r="I269" s="102"/>
      <c r="J269" s="102"/>
      <c r="K269" s="102" t="s">
        <v>7025</v>
      </c>
      <c r="L269" s="102"/>
      <c r="M269" s="102"/>
      <c r="N269" s="102"/>
      <c r="O269" s="102"/>
      <c r="P269" s="102"/>
      <c r="Q269" s="102"/>
      <c r="R269" s="102"/>
      <c r="S269" s="102" t="s">
        <v>182</v>
      </c>
      <c r="T269" s="102" t="s">
        <v>9</v>
      </c>
    </row>
    <row r="270" spans="1:20">
      <c r="A270" s="101" t="s">
        <v>3465</v>
      </c>
      <c r="B270" s="101" t="s">
        <v>3759</v>
      </c>
      <c r="C270" s="101">
        <v>2012</v>
      </c>
      <c r="D270" s="102" t="s">
        <v>7026</v>
      </c>
      <c r="E270" s="102" t="s">
        <v>6859</v>
      </c>
      <c r="F270" s="102"/>
      <c r="G270" s="102" t="s">
        <v>3403</v>
      </c>
      <c r="H270" s="102"/>
      <c r="I270" s="102"/>
      <c r="J270" s="102"/>
      <c r="K270" s="102" t="s">
        <v>7027</v>
      </c>
      <c r="L270" s="102"/>
      <c r="M270" s="102"/>
      <c r="N270" s="102"/>
      <c r="O270" s="102"/>
      <c r="P270" s="102"/>
      <c r="Q270" s="102"/>
      <c r="R270" s="102"/>
      <c r="S270" s="102" t="s">
        <v>30</v>
      </c>
      <c r="T270" s="102" t="s">
        <v>9</v>
      </c>
    </row>
    <row r="271" spans="1:20">
      <c r="A271" s="101" t="s">
        <v>3465</v>
      </c>
      <c r="B271" s="101" t="s">
        <v>3759</v>
      </c>
      <c r="C271" s="101">
        <v>2013</v>
      </c>
      <c r="D271" s="102" t="s">
        <v>7028</v>
      </c>
      <c r="E271" s="102" t="s">
        <v>187</v>
      </c>
      <c r="F271" s="102"/>
      <c r="G271" s="102" t="s">
        <v>3403</v>
      </c>
      <c r="H271" s="102"/>
      <c r="I271" s="102"/>
      <c r="J271" s="102"/>
      <c r="K271" s="102" t="s">
        <v>7029</v>
      </c>
      <c r="L271" s="102"/>
      <c r="M271" s="102"/>
      <c r="N271" s="102"/>
      <c r="O271" s="102"/>
      <c r="P271" s="102"/>
      <c r="Q271" s="102"/>
      <c r="R271" s="102"/>
      <c r="S271" s="102" t="s">
        <v>16</v>
      </c>
      <c r="T271" s="102" t="s">
        <v>9</v>
      </c>
    </row>
    <row r="272" spans="1:20">
      <c r="A272" s="101" t="s">
        <v>3465</v>
      </c>
      <c r="B272" s="101" t="s">
        <v>3759</v>
      </c>
      <c r="C272" s="101">
        <v>2014</v>
      </c>
      <c r="D272" s="102" t="s">
        <v>7030</v>
      </c>
      <c r="E272" s="102" t="s">
        <v>187</v>
      </c>
      <c r="F272" s="102"/>
      <c r="G272" s="102" t="s">
        <v>3403</v>
      </c>
      <c r="H272" s="102"/>
      <c r="I272" s="102"/>
      <c r="J272" s="102"/>
      <c r="K272" s="102" t="s">
        <v>7031</v>
      </c>
      <c r="L272" s="102"/>
      <c r="M272" s="102"/>
      <c r="N272" s="102"/>
      <c r="O272" s="102"/>
      <c r="P272" s="102"/>
      <c r="Q272" s="102"/>
      <c r="R272" s="102"/>
      <c r="S272" s="102" t="s">
        <v>32</v>
      </c>
      <c r="T272" s="102" t="s">
        <v>9</v>
      </c>
    </row>
    <row r="273" spans="1:20">
      <c r="A273" s="101" t="s">
        <v>3465</v>
      </c>
      <c r="B273" s="101" t="s">
        <v>3759</v>
      </c>
      <c r="C273" s="101">
        <v>2015</v>
      </c>
      <c r="D273" s="102" t="s">
        <v>7032</v>
      </c>
      <c r="E273" s="102" t="s">
        <v>6859</v>
      </c>
      <c r="F273" s="102"/>
      <c r="G273" s="102" t="s">
        <v>3403</v>
      </c>
      <c r="H273" s="102"/>
      <c r="I273" s="102"/>
      <c r="J273" s="102"/>
      <c r="K273" s="102" t="s">
        <v>7033</v>
      </c>
      <c r="L273" s="102"/>
      <c r="M273" s="102"/>
      <c r="N273" s="102"/>
      <c r="O273" s="102"/>
      <c r="P273" s="102"/>
      <c r="Q273" s="102"/>
      <c r="R273" s="102"/>
      <c r="S273" s="102" t="s">
        <v>53</v>
      </c>
      <c r="T273" s="102" t="s">
        <v>9</v>
      </c>
    </row>
    <row r="274" spans="1:20">
      <c r="A274" s="101" t="s">
        <v>3465</v>
      </c>
      <c r="B274" s="101" t="s">
        <v>3759</v>
      </c>
      <c r="C274" s="101">
        <v>2017</v>
      </c>
      <c r="D274" s="102" t="s">
        <v>7034</v>
      </c>
      <c r="E274" s="102" t="s">
        <v>187</v>
      </c>
      <c r="F274" s="102"/>
      <c r="G274" s="102" t="s">
        <v>3403</v>
      </c>
      <c r="H274" s="102"/>
      <c r="I274" s="102"/>
      <c r="J274" s="102"/>
      <c r="K274" s="102" t="s">
        <v>7035</v>
      </c>
      <c r="L274" s="102"/>
      <c r="M274" s="102"/>
      <c r="N274" s="102"/>
      <c r="O274" s="102"/>
      <c r="P274" s="102"/>
      <c r="Q274" s="102"/>
      <c r="R274" s="102"/>
      <c r="S274" s="102" t="s">
        <v>27</v>
      </c>
      <c r="T274" s="102" t="s">
        <v>9</v>
      </c>
    </row>
    <row r="275" spans="1:20">
      <c r="A275" s="101" t="s">
        <v>3465</v>
      </c>
      <c r="B275" s="101" t="s">
        <v>3759</v>
      </c>
      <c r="C275" s="101">
        <v>2018</v>
      </c>
      <c r="D275" s="102" t="s">
        <v>7036</v>
      </c>
      <c r="E275" s="102" t="s">
        <v>187</v>
      </c>
      <c r="F275" s="102"/>
      <c r="G275" s="102" t="s">
        <v>3403</v>
      </c>
      <c r="H275" s="102"/>
      <c r="I275" s="102"/>
      <c r="J275" s="102"/>
      <c r="K275" s="102" t="s">
        <v>7037</v>
      </c>
      <c r="L275" s="102" t="s">
        <v>3768</v>
      </c>
      <c r="M275" s="102"/>
      <c r="N275" s="102"/>
      <c r="O275" s="102"/>
      <c r="P275" s="102"/>
      <c r="Q275" s="102"/>
      <c r="R275" s="102"/>
      <c r="S275" s="102" t="s">
        <v>48</v>
      </c>
      <c r="T275" s="102" t="s">
        <v>9</v>
      </c>
    </row>
    <row r="276" spans="1:20">
      <c r="A276" s="101" t="s">
        <v>3465</v>
      </c>
      <c r="B276" s="101" t="s">
        <v>3759</v>
      </c>
      <c r="C276" s="101">
        <v>2020</v>
      </c>
      <c r="D276" s="102" t="s">
        <v>7038</v>
      </c>
      <c r="E276" s="102" t="s">
        <v>208</v>
      </c>
      <c r="F276" s="102"/>
      <c r="G276" s="102" t="s">
        <v>3403</v>
      </c>
      <c r="H276" s="102"/>
      <c r="I276" s="102"/>
      <c r="J276" s="102"/>
      <c r="K276" s="102" t="s">
        <v>7039</v>
      </c>
      <c r="L276" s="102"/>
      <c r="M276" s="102"/>
      <c r="N276" s="102"/>
      <c r="O276" s="102"/>
      <c r="P276" s="102"/>
      <c r="Q276" s="102"/>
      <c r="R276" s="102"/>
      <c r="S276" s="102" t="s">
        <v>175</v>
      </c>
      <c r="T276" s="102" t="s">
        <v>9</v>
      </c>
    </row>
    <row r="277" spans="1:20">
      <c r="A277" s="101" t="s">
        <v>3465</v>
      </c>
      <c r="B277" s="101" t="s">
        <v>3759</v>
      </c>
      <c r="C277" s="101">
        <v>2021</v>
      </c>
      <c r="D277" s="102" t="s">
        <v>7040</v>
      </c>
      <c r="E277" s="102" t="s">
        <v>208</v>
      </c>
      <c r="F277" s="102"/>
      <c r="G277" s="102" t="s">
        <v>3403</v>
      </c>
      <c r="H277" s="102"/>
      <c r="I277" s="102"/>
      <c r="J277" s="102"/>
      <c r="K277" s="102" t="s">
        <v>7003</v>
      </c>
      <c r="L277" s="102"/>
      <c r="M277" s="102"/>
      <c r="N277" s="102"/>
      <c r="O277" s="102"/>
      <c r="P277" s="102"/>
      <c r="Q277" s="102"/>
      <c r="R277" s="102"/>
      <c r="S277" s="102" t="s">
        <v>171</v>
      </c>
      <c r="T277" s="102" t="s">
        <v>9</v>
      </c>
    </row>
    <row r="278" spans="1:20">
      <c r="A278" s="101" t="s">
        <v>3465</v>
      </c>
      <c r="B278" s="101" t="s">
        <v>3759</v>
      </c>
      <c r="C278" s="101">
        <v>2022</v>
      </c>
      <c r="D278" s="102" t="s">
        <v>7041</v>
      </c>
      <c r="E278" s="102" t="s">
        <v>208</v>
      </c>
      <c r="F278" s="102"/>
      <c r="G278" s="102" t="s">
        <v>3403</v>
      </c>
      <c r="H278" s="102"/>
      <c r="I278" s="102"/>
      <c r="J278" s="102"/>
      <c r="K278" s="102" t="s">
        <v>7042</v>
      </c>
      <c r="L278" s="102"/>
      <c r="M278" s="102"/>
      <c r="N278" s="102"/>
      <c r="O278" s="102"/>
      <c r="P278" s="102"/>
      <c r="Q278" s="102"/>
      <c r="R278" s="102"/>
      <c r="S278" s="102" t="s">
        <v>168</v>
      </c>
      <c r="T278" s="102" t="s">
        <v>9</v>
      </c>
    </row>
    <row r="279" spans="1:20">
      <c r="A279" s="101" t="s">
        <v>3465</v>
      </c>
      <c r="B279" s="101" t="s">
        <v>3759</v>
      </c>
      <c r="C279" s="101">
        <v>2023</v>
      </c>
      <c r="D279" s="102" t="s">
        <v>7043</v>
      </c>
      <c r="E279" s="102" t="s">
        <v>204</v>
      </c>
      <c r="F279" s="102"/>
      <c r="G279" s="102" t="s">
        <v>3403</v>
      </c>
      <c r="H279" s="102"/>
      <c r="I279" s="102"/>
      <c r="J279" s="102"/>
      <c r="K279" s="102" t="s">
        <v>7044</v>
      </c>
      <c r="L279" s="102"/>
      <c r="M279" s="102"/>
      <c r="N279" s="102"/>
      <c r="O279" s="102"/>
      <c r="P279" s="102"/>
      <c r="Q279" s="102"/>
      <c r="R279" s="102"/>
      <c r="S279" s="102" t="s">
        <v>11</v>
      </c>
      <c r="T279" s="102" t="s">
        <v>9</v>
      </c>
    </row>
    <row r="280" spans="1:20">
      <c r="A280" s="101" t="s">
        <v>3465</v>
      </c>
      <c r="B280" s="101" t="s">
        <v>3759</v>
      </c>
      <c r="C280" s="101">
        <v>2024</v>
      </c>
      <c r="D280" s="102" t="s">
        <v>7045</v>
      </c>
      <c r="E280" s="102" t="s">
        <v>204</v>
      </c>
      <c r="F280" s="102"/>
      <c r="G280" s="102" t="s">
        <v>3403</v>
      </c>
      <c r="H280" s="102"/>
      <c r="I280" s="102"/>
      <c r="J280" s="102"/>
      <c r="K280" s="102" t="s">
        <v>7046</v>
      </c>
      <c r="L280" s="102"/>
      <c r="M280" s="102"/>
      <c r="N280" s="102"/>
      <c r="O280" s="102"/>
      <c r="P280" s="102"/>
      <c r="Q280" s="102"/>
      <c r="R280" s="102"/>
      <c r="S280" s="102" t="s">
        <v>46</v>
      </c>
      <c r="T280" s="102" t="s">
        <v>9</v>
      </c>
    </row>
    <row r="281" spans="1:20">
      <c r="A281" s="101" t="s">
        <v>3465</v>
      </c>
      <c r="B281" s="101" t="s">
        <v>3759</v>
      </c>
      <c r="C281" s="101">
        <v>2025</v>
      </c>
      <c r="D281" s="110" t="s">
        <v>7047</v>
      </c>
      <c r="E281" s="110" t="s">
        <v>7048</v>
      </c>
      <c r="F281" s="110"/>
      <c r="G281" s="110" t="s">
        <v>3403</v>
      </c>
      <c r="H281" s="110"/>
      <c r="I281" s="110"/>
      <c r="J281" s="110"/>
      <c r="K281" s="110" t="s">
        <v>7049</v>
      </c>
      <c r="L281" s="110"/>
      <c r="M281" s="110"/>
      <c r="N281" s="110"/>
      <c r="O281" s="110"/>
      <c r="P281" s="110"/>
      <c r="Q281" s="110"/>
      <c r="R281" s="110"/>
      <c r="S281" s="110" t="s">
        <v>176</v>
      </c>
      <c r="T281" s="110" t="s">
        <v>9</v>
      </c>
    </row>
    <row r="282" spans="1:20">
      <c r="A282" s="101" t="s">
        <v>3465</v>
      </c>
      <c r="B282" s="101" t="s">
        <v>3759</v>
      </c>
      <c r="C282" s="101">
        <v>2026</v>
      </c>
      <c r="D282" s="102" t="s">
        <v>7050</v>
      </c>
      <c r="E282" s="102" t="s">
        <v>208</v>
      </c>
      <c r="F282" s="102"/>
      <c r="G282" s="102" t="s">
        <v>3403</v>
      </c>
      <c r="H282" s="102"/>
      <c r="I282" s="102"/>
      <c r="J282" s="102"/>
      <c r="K282" s="102" t="s">
        <v>7051</v>
      </c>
      <c r="L282" s="102"/>
      <c r="M282" s="102"/>
      <c r="N282" s="102"/>
      <c r="O282" s="102"/>
      <c r="P282" s="102"/>
      <c r="Q282" s="102"/>
      <c r="R282" s="102"/>
      <c r="S282" s="102" t="s">
        <v>177</v>
      </c>
      <c r="T282" s="102" t="s">
        <v>9</v>
      </c>
    </row>
    <row r="283" spans="1:20">
      <c r="A283" s="101" t="s">
        <v>3465</v>
      </c>
      <c r="B283" s="101" t="s">
        <v>3759</v>
      </c>
      <c r="C283" s="101">
        <v>2027</v>
      </c>
      <c r="D283" s="102" t="s">
        <v>7052</v>
      </c>
      <c r="E283" s="102" t="s">
        <v>185</v>
      </c>
      <c r="F283" s="102"/>
      <c r="G283" s="102" t="s">
        <v>3403</v>
      </c>
      <c r="H283" s="102"/>
      <c r="I283" s="102"/>
      <c r="J283" s="102"/>
      <c r="K283" s="102" t="s">
        <v>7053</v>
      </c>
      <c r="L283" s="102"/>
      <c r="M283" s="102"/>
      <c r="N283" s="102"/>
      <c r="O283" s="102"/>
      <c r="P283" s="102"/>
      <c r="Q283" s="102"/>
      <c r="R283" s="102"/>
      <c r="S283" s="102" t="s">
        <v>181</v>
      </c>
      <c r="T283" s="102" t="s">
        <v>9</v>
      </c>
    </row>
    <row r="284" spans="1:20">
      <c r="A284" s="101" t="s">
        <v>3465</v>
      </c>
      <c r="B284" s="101" t="s">
        <v>3759</v>
      </c>
      <c r="C284" s="101">
        <v>2028</v>
      </c>
      <c r="D284" s="102" t="s">
        <v>7054</v>
      </c>
      <c r="E284" s="102" t="s">
        <v>209</v>
      </c>
      <c r="F284" s="102"/>
      <c r="G284" s="102" t="s">
        <v>3403</v>
      </c>
      <c r="H284" s="102"/>
      <c r="I284" s="102"/>
      <c r="J284" s="102"/>
      <c r="K284" s="102" t="s">
        <v>7055</v>
      </c>
      <c r="L284" s="102"/>
      <c r="M284" s="102"/>
      <c r="N284" s="102"/>
      <c r="O284" s="102"/>
      <c r="P284" s="102"/>
      <c r="Q284" s="102"/>
      <c r="R284" s="102"/>
      <c r="S284" s="102" t="s">
        <v>605</v>
      </c>
      <c r="T284" s="102" t="s">
        <v>9</v>
      </c>
    </row>
    <row r="285" spans="1:20">
      <c r="A285" s="101" t="s">
        <v>3465</v>
      </c>
      <c r="B285" s="101" t="s">
        <v>3759</v>
      </c>
      <c r="C285" s="101">
        <v>2029</v>
      </c>
      <c r="D285" s="102" t="s">
        <v>7056</v>
      </c>
      <c r="E285" s="102" t="s">
        <v>209</v>
      </c>
      <c r="F285" s="102"/>
      <c r="G285" s="102" t="s">
        <v>3403</v>
      </c>
      <c r="H285" s="102"/>
      <c r="I285" s="102"/>
      <c r="J285" s="102"/>
      <c r="K285" s="102" t="s">
        <v>7057</v>
      </c>
      <c r="L285" s="102"/>
      <c r="M285" s="102"/>
      <c r="N285" s="102"/>
      <c r="O285" s="102"/>
      <c r="P285" s="102"/>
      <c r="Q285" s="102"/>
      <c r="R285" s="102"/>
      <c r="S285" s="102" t="s">
        <v>30</v>
      </c>
      <c r="T285" s="102" t="s">
        <v>9</v>
      </c>
    </row>
    <row r="286" spans="1:20">
      <c r="A286" s="101" t="s">
        <v>3465</v>
      </c>
      <c r="B286" s="101" t="s">
        <v>3759</v>
      </c>
      <c r="C286" s="101">
        <v>2030</v>
      </c>
      <c r="D286" s="102" t="s">
        <v>7058</v>
      </c>
      <c r="E286" s="102" t="s">
        <v>210</v>
      </c>
      <c r="F286" s="102"/>
      <c r="G286" s="102" t="s">
        <v>3403</v>
      </c>
      <c r="H286" s="102"/>
      <c r="I286" s="102"/>
      <c r="J286" s="102"/>
      <c r="K286" s="102" t="s">
        <v>7059</v>
      </c>
      <c r="L286" s="102"/>
      <c r="M286" s="102"/>
      <c r="N286" s="102"/>
      <c r="O286" s="102"/>
      <c r="P286" s="102"/>
      <c r="Q286" s="102"/>
      <c r="R286" s="102"/>
      <c r="S286" s="102" t="s">
        <v>177</v>
      </c>
      <c r="T286" s="102" t="s">
        <v>9</v>
      </c>
    </row>
    <row r="287" spans="1:20">
      <c r="A287" s="101" t="s">
        <v>3465</v>
      </c>
      <c r="B287" s="101" t="s">
        <v>3759</v>
      </c>
      <c r="C287" s="101">
        <v>2031</v>
      </c>
      <c r="D287" s="102" t="s">
        <v>7060</v>
      </c>
      <c r="E287" s="102" t="s">
        <v>611</v>
      </c>
      <c r="F287" s="102"/>
      <c r="G287" s="102" t="s">
        <v>3403</v>
      </c>
      <c r="H287" s="102"/>
      <c r="I287" s="102"/>
      <c r="J287" s="102"/>
      <c r="K287" s="102" t="s">
        <v>7061</v>
      </c>
      <c r="L287" s="102"/>
      <c r="M287" s="102"/>
      <c r="N287" s="102"/>
      <c r="O287" s="102"/>
      <c r="P287" s="102"/>
      <c r="Q287" s="102"/>
      <c r="R287" s="102"/>
      <c r="S287" s="102" t="s">
        <v>169</v>
      </c>
      <c r="T287" s="102" t="s">
        <v>9</v>
      </c>
    </row>
    <row r="288" spans="1:20">
      <c r="A288" s="101" t="s">
        <v>3465</v>
      </c>
      <c r="B288" s="101" t="s">
        <v>3759</v>
      </c>
      <c r="C288" s="101">
        <v>2032</v>
      </c>
      <c r="D288" s="102" t="s">
        <v>7062</v>
      </c>
      <c r="E288" s="102" t="s">
        <v>612</v>
      </c>
      <c r="F288" s="102"/>
      <c r="G288" s="102" t="s">
        <v>3403</v>
      </c>
      <c r="H288" s="102"/>
      <c r="I288" s="102"/>
      <c r="J288" s="102"/>
      <c r="K288" s="102" t="s">
        <v>7063</v>
      </c>
      <c r="L288" s="102" t="s">
        <v>7064</v>
      </c>
      <c r="M288" s="102"/>
      <c r="N288" s="102"/>
      <c r="O288" s="102"/>
      <c r="P288" s="102"/>
      <c r="Q288" s="102"/>
      <c r="R288" s="102"/>
      <c r="S288" s="102" t="s">
        <v>48</v>
      </c>
      <c r="T288" s="102" t="s">
        <v>9</v>
      </c>
    </row>
    <row r="289" spans="1:20">
      <c r="A289" s="101" t="s">
        <v>3465</v>
      </c>
      <c r="B289" s="101" t="s">
        <v>3759</v>
      </c>
      <c r="C289" s="101">
        <v>2033</v>
      </c>
      <c r="D289" s="102" t="s">
        <v>7065</v>
      </c>
      <c r="E289" s="102" t="s">
        <v>6973</v>
      </c>
      <c r="F289" s="102"/>
      <c r="G289" s="102" t="s">
        <v>3403</v>
      </c>
      <c r="H289" s="102"/>
      <c r="I289" s="102"/>
      <c r="J289" s="102"/>
      <c r="K289" s="102" t="s">
        <v>7066</v>
      </c>
      <c r="L289" s="102"/>
      <c r="M289" s="102"/>
      <c r="N289" s="102"/>
      <c r="O289" s="102"/>
      <c r="P289" s="102"/>
      <c r="Q289" s="102"/>
      <c r="R289" s="102"/>
      <c r="S289" s="102" t="s">
        <v>40</v>
      </c>
      <c r="T289" s="102" t="s">
        <v>9</v>
      </c>
    </row>
    <row r="290" spans="1:20">
      <c r="A290" s="101" t="s">
        <v>4053</v>
      </c>
      <c r="B290" s="101" t="s">
        <v>3759</v>
      </c>
      <c r="C290" s="101">
        <v>4016</v>
      </c>
      <c r="D290" s="102" t="s">
        <v>7067</v>
      </c>
      <c r="E290" s="102" t="s">
        <v>187</v>
      </c>
      <c r="F290" s="102"/>
      <c r="G290" s="102" t="s">
        <v>3403</v>
      </c>
      <c r="H290" s="102"/>
      <c r="I290" s="102"/>
      <c r="J290" s="102"/>
      <c r="K290" s="102" t="s">
        <v>7068</v>
      </c>
      <c r="L290" s="102"/>
      <c r="M290" s="102"/>
      <c r="N290" s="102"/>
      <c r="O290" s="102"/>
      <c r="P290" s="102"/>
      <c r="Q290" s="102"/>
      <c r="R290" s="102"/>
      <c r="S290" s="102" t="s">
        <v>3999</v>
      </c>
      <c r="T290" s="102" t="s">
        <v>4000</v>
      </c>
    </row>
    <row r="291" spans="1:20">
      <c r="A291" s="101" t="s">
        <v>4053</v>
      </c>
      <c r="B291" s="101" t="s">
        <v>3759</v>
      </c>
      <c r="C291" s="101">
        <v>4019</v>
      </c>
      <c r="D291" s="102" t="s">
        <v>7069</v>
      </c>
      <c r="E291" s="102" t="s">
        <v>187</v>
      </c>
      <c r="F291" s="102"/>
      <c r="G291" s="102" t="s">
        <v>3403</v>
      </c>
      <c r="H291" s="102"/>
      <c r="I291" s="102"/>
      <c r="J291" s="102"/>
      <c r="K291" s="102" t="s">
        <v>4933</v>
      </c>
      <c r="L291" s="102"/>
      <c r="M291" s="102"/>
      <c r="N291" s="102"/>
      <c r="O291" s="102"/>
      <c r="P291" s="102"/>
      <c r="Q291" s="102"/>
      <c r="R291" s="102"/>
      <c r="S291" s="102" t="s">
        <v>3999</v>
      </c>
      <c r="T291" s="102" t="s">
        <v>4000</v>
      </c>
    </row>
    <row r="292" spans="1:20">
      <c r="C292" s="101" t="s">
        <v>3456</v>
      </c>
    </row>
    <row r="293" spans="1:20">
      <c r="A293" s="101" t="s">
        <v>3498</v>
      </c>
      <c r="B293" s="101" t="s">
        <v>3758</v>
      </c>
      <c r="C293" s="101">
        <v>1</v>
      </c>
      <c r="D293" s="101" t="s">
        <v>6361</v>
      </c>
      <c r="E293" s="101" t="s">
        <v>186</v>
      </c>
      <c r="F293" s="101"/>
      <c r="G293" s="101" t="s">
        <v>3399</v>
      </c>
      <c r="H293" s="101"/>
      <c r="I293" s="101"/>
      <c r="J293" s="101"/>
      <c r="K293" s="101" t="s">
        <v>6362</v>
      </c>
      <c r="L293" s="101"/>
      <c r="M293" s="101"/>
      <c r="N293" s="101"/>
      <c r="O293" s="101"/>
      <c r="P293" s="101"/>
      <c r="Q293" s="101"/>
      <c r="R293" s="101"/>
      <c r="S293" s="101" t="s">
        <v>33</v>
      </c>
      <c r="T293" s="101" t="s">
        <v>4</v>
      </c>
    </row>
    <row r="294" spans="1:20">
      <c r="A294" s="101" t="s">
        <v>3498</v>
      </c>
      <c r="B294" s="101" t="s">
        <v>3758</v>
      </c>
      <c r="C294" s="101">
        <v>2</v>
      </c>
      <c r="D294" s="101" t="s">
        <v>5048</v>
      </c>
      <c r="E294" s="101" t="s">
        <v>186</v>
      </c>
      <c r="F294" s="101"/>
      <c r="G294" s="101" t="s">
        <v>3399</v>
      </c>
      <c r="H294" s="101"/>
      <c r="I294" s="101"/>
      <c r="J294" s="101"/>
      <c r="K294" s="101" t="s">
        <v>5049</v>
      </c>
      <c r="L294" s="101"/>
      <c r="M294" s="101"/>
      <c r="N294" s="101"/>
      <c r="O294" s="101"/>
      <c r="P294" s="101"/>
      <c r="Q294" s="101"/>
      <c r="R294" s="102"/>
      <c r="S294" s="102" t="s">
        <v>177</v>
      </c>
      <c r="T294" s="102" t="s">
        <v>4</v>
      </c>
    </row>
    <row r="295" spans="1:20">
      <c r="A295" s="101" t="s">
        <v>3498</v>
      </c>
      <c r="B295" s="101" t="s">
        <v>3758</v>
      </c>
      <c r="C295" s="101">
        <v>3</v>
      </c>
      <c r="D295" s="102" t="s">
        <v>6363</v>
      </c>
      <c r="E295" s="102" t="s">
        <v>186</v>
      </c>
      <c r="F295" s="102"/>
      <c r="G295" s="102" t="s">
        <v>3399</v>
      </c>
      <c r="H295" s="102"/>
      <c r="I295" s="102"/>
      <c r="J295" s="102"/>
      <c r="K295" s="102" t="s">
        <v>6364</v>
      </c>
      <c r="L295" s="102" t="s">
        <v>6365</v>
      </c>
      <c r="M295" s="102" t="s">
        <v>6366</v>
      </c>
      <c r="N295" s="102"/>
      <c r="O295" s="102"/>
      <c r="P295" s="102"/>
      <c r="Q295" s="102"/>
      <c r="R295" s="102"/>
      <c r="S295" s="102" t="s">
        <v>31</v>
      </c>
      <c r="T295" s="102" t="s">
        <v>4</v>
      </c>
    </row>
    <row r="296" spans="1:20">
      <c r="A296" s="101" t="s">
        <v>3498</v>
      </c>
      <c r="B296" s="101" t="s">
        <v>3758</v>
      </c>
      <c r="C296" s="101">
        <v>4</v>
      </c>
      <c r="D296" s="102" t="s">
        <v>6367</v>
      </c>
      <c r="E296" s="102" t="s">
        <v>186</v>
      </c>
      <c r="F296" s="102"/>
      <c r="G296" s="102" t="s">
        <v>3399</v>
      </c>
      <c r="H296" s="102"/>
      <c r="I296" s="102"/>
      <c r="J296" s="102"/>
      <c r="K296" s="102" t="s">
        <v>6220</v>
      </c>
      <c r="L296" s="102"/>
      <c r="M296" s="102"/>
      <c r="N296" s="102"/>
      <c r="O296" s="102"/>
      <c r="P296" s="102"/>
      <c r="Q296" s="102"/>
      <c r="R296" s="102"/>
      <c r="S296" s="102" t="s">
        <v>46</v>
      </c>
      <c r="T296" s="102" t="s">
        <v>4</v>
      </c>
    </row>
    <row r="297" spans="1:20">
      <c r="A297" s="101" t="s">
        <v>3498</v>
      </c>
      <c r="B297" s="101" t="s">
        <v>3758</v>
      </c>
      <c r="C297" s="101">
        <v>5</v>
      </c>
      <c r="D297" s="102" t="s">
        <v>4081</v>
      </c>
      <c r="E297" s="102" t="s">
        <v>186</v>
      </c>
      <c r="F297" s="102"/>
      <c r="G297" s="102" t="s">
        <v>3399</v>
      </c>
      <c r="H297" s="102"/>
      <c r="I297" s="102"/>
      <c r="J297" s="102"/>
      <c r="K297" s="102" t="s">
        <v>4082</v>
      </c>
      <c r="L297" s="102"/>
      <c r="M297" s="102"/>
      <c r="N297" s="102"/>
      <c r="O297" s="102"/>
      <c r="P297" s="102"/>
      <c r="Q297" s="102"/>
      <c r="R297" s="102"/>
      <c r="S297" s="102" t="s">
        <v>16</v>
      </c>
      <c r="T297" s="102" t="s">
        <v>4</v>
      </c>
    </row>
    <row r="298" spans="1:20">
      <c r="A298" s="101" t="s">
        <v>3498</v>
      </c>
      <c r="B298" s="101" t="s">
        <v>3758</v>
      </c>
      <c r="C298" s="101">
        <v>6</v>
      </c>
      <c r="D298" s="102" t="s">
        <v>6368</v>
      </c>
      <c r="E298" s="102" t="s">
        <v>186</v>
      </c>
      <c r="F298" s="102"/>
      <c r="G298" s="102" t="s">
        <v>3399</v>
      </c>
      <c r="H298" s="102"/>
      <c r="I298" s="102"/>
      <c r="J298" s="102"/>
      <c r="K298" s="102" t="s">
        <v>6369</v>
      </c>
      <c r="L298" s="102" t="s">
        <v>6370</v>
      </c>
      <c r="M298" s="102" t="s">
        <v>6371</v>
      </c>
      <c r="N298" s="102"/>
      <c r="O298" s="102"/>
      <c r="P298" s="102"/>
      <c r="Q298" s="102"/>
      <c r="R298" s="102"/>
      <c r="S298" s="102" t="s">
        <v>11</v>
      </c>
      <c r="T298" s="102" t="s">
        <v>4</v>
      </c>
    </row>
    <row r="299" spans="1:20">
      <c r="A299" s="101" t="s">
        <v>3498</v>
      </c>
      <c r="B299" s="101" t="s">
        <v>3758</v>
      </c>
      <c r="C299" s="101">
        <v>7</v>
      </c>
      <c r="D299" s="102" t="s">
        <v>5046</v>
      </c>
      <c r="E299" s="102" t="s">
        <v>186</v>
      </c>
      <c r="F299" s="102"/>
      <c r="G299" s="102" t="s">
        <v>3399</v>
      </c>
      <c r="H299" s="102"/>
      <c r="I299" s="102"/>
      <c r="J299" s="102"/>
      <c r="K299" s="102" t="s">
        <v>5047</v>
      </c>
      <c r="L299" s="102"/>
      <c r="M299" s="102"/>
      <c r="N299" s="102"/>
      <c r="O299" s="102"/>
      <c r="P299" s="102"/>
      <c r="Q299" s="102"/>
      <c r="R299" s="102"/>
      <c r="S299" s="102" t="s">
        <v>26</v>
      </c>
      <c r="T299" s="102" t="s">
        <v>4</v>
      </c>
    </row>
    <row r="300" spans="1:20">
      <c r="A300" s="101" t="s">
        <v>3498</v>
      </c>
      <c r="B300" s="101" t="s">
        <v>3758</v>
      </c>
      <c r="C300" s="101">
        <v>8</v>
      </c>
      <c r="D300" s="102" t="s">
        <v>6372</v>
      </c>
      <c r="E300" s="102" t="s">
        <v>187</v>
      </c>
      <c r="F300" s="102"/>
      <c r="G300" s="102" t="s">
        <v>3399</v>
      </c>
      <c r="H300" s="102"/>
      <c r="I300" s="102"/>
      <c r="J300" s="102"/>
      <c r="K300" s="102" t="s">
        <v>4659</v>
      </c>
      <c r="L300" s="102"/>
      <c r="M300" s="102"/>
      <c r="N300" s="102"/>
      <c r="O300" s="102"/>
      <c r="P300" s="102"/>
      <c r="Q300" s="102"/>
      <c r="R300" s="102"/>
      <c r="S300" s="102" t="s">
        <v>171</v>
      </c>
      <c r="T300" s="102" t="s">
        <v>4</v>
      </c>
    </row>
    <row r="301" spans="1:20">
      <c r="A301" s="103" t="s">
        <v>3498</v>
      </c>
      <c r="B301" s="103" t="s">
        <v>3758</v>
      </c>
      <c r="C301" s="103">
        <v>9</v>
      </c>
      <c r="D301" s="104" t="s">
        <v>4709</v>
      </c>
      <c r="E301" s="104" t="s">
        <v>187</v>
      </c>
      <c r="F301" s="104"/>
      <c r="G301" s="104" t="s">
        <v>3399</v>
      </c>
      <c r="H301" s="104"/>
      <c r="I301" s="104"/>
      <c r="J301" s="104"/>
      <c r="K301" s="104" t="s">
        <v>4710</v>
      </c>
      <c r="L301" s="104" t="s">
        <v>4711</v>
      </c>
      <c r="M301" s="104"/>
      <c r="N301" s="104"/>
      <c r="O301" s="104"/>
      <c r="P301" s="104"/>
      <c r="Q301" s="104"/>
      <c r="R301" s="102"/>
      <c r="S301" s="102" t="s">
        <v>44</v>
      </c>
      <c r="T301" s="102" t="s">
        <v>4</v>
      </c>
    </row>
    <row r="302" spans="1:20">
      <c r="A302" s="101" t="s">
        <v>3498</v>
      </c>
      <c r="B302" s="101" t="s">
        <v>3758</v>
      </c>
      <c r="C302" s="101">
        <v>10</v>
      </c>
      <c r="D302" s="102" t="s">
        <v>6373</v>
      </c>
      <c r="E302" s="102" t="s">
        <v>187</v>
      </c>
      <c r="F302" s="102"/>
      <c r="G302" s="102" t="s">
        <v>3399</v>
      </c>
      <c r="H302" s="102"/>
      <c r="I302" s="102"/>
      <c r="J302" s="102"/>
      <c r="K302" s="102" t="s">
        <v>6374</v>
      </c>
      <c r="L302" s="102"/>
      <c r="M302" s="102"/>
      <c r="N302" s="102"/>
      <c r="O302" s="102"/>
      <c r="P302" s="102"/>
      <c r="Q302" s="102"/>
      <c r="R302" s="102"/>
      <c r="S302" s="102" t="s">
        <v>53</v>
      </c>
      <c r="T302" s="102" t="s">
        <v>4</v>
      </c>
    </row>
    <row r="303" spans="1:20">
      <c r="A303" s="103" t="s">
        <v>3498</v>
      </c>
      <c r="B303" s="103" t="s">
        <v>3758</v>
      </c>
      <c r="C303" s="103">
        <v>11</v>
      </c>
      <c r="D303" s="104" t="s">
        <v>6375</v>
      </c>
      <c r="E303" s="104" t="s">
        <v>187</v>
      </c>
      <c r="F303" s="104"/>
      <c r="G303" s="104" t="s">
        <v>3399</v>
      </c>
      <c r="H303" s="104"/>
      <c r="I303" s="104"/>
      <c r="J303" s="104"/>
      <c r="K303" s="104" t="s">
        <v>5420</v>
      </c>
      <c r="L303" s="104"/>
      <c r="M303" s="104"/>
      <c r="N303" s="104"/>
      <c r="O303" s="104"/>
      <c r="P303" s="104"/>
      <c r="Q303" s="104"/>
      <c r="R303" s="102"/>
      <c r="S303" s="102" t="s">
        <v>5685</v>
      </c>
      <c r="T303" s="102" t="s">
        <v>4</v>
      </c>
    </row>
    <row r="304" spans="1:20">
      <c r="A304" s="107" t="s">
        <v>3498</v>
      </c>
      <c r="B304" s="107" t="s">
        <v>3758</v>
      </c>
      <c r="C304" s="107">
        <v>12</v>
      </c>
      <c r="D304" s="108" t="s">
        <v>6376</v>
      </c>
      <c r="E304" s="108" t="s">
        <v>187</v>
      </c>
      <c r="F304" s="108"/>
      <c r="G304" s="108" t="s">
        <v>3399</v>
      </c>
      <c r="H304" s="108"/>
      <c r="I304" s="108"/>
      <c r="J304" s="108"/>
      <c r="K304" s="108" t="s">
        <v>6377</v>
      </c>
      <c r="L304" s="108"/>
      <c r="M304" s="108"/>
      <c r="N304" s="108"/>
      <c r="O304" s="108"/>
      <c r="P304" s="108"/>
      <c r="Q304" s="108"/>
      <c r="R304" s="102"/>
      <c r="S304" s="102" t="s">
        <v>16</v>
      </c>
      <c r="T304" s="102" t="s">
        <v>4</v>
      </c>
    </row>
    <row r="305" spans="1:20">
      <c r="A305" s="101" t="s">
        <v>3498</v>
      </c>
      <c r="B305" s="101" t="s">
        <v>3758</v>
      </c>
      <c r="C305" s="101">
        <v>13</v>
      </c>
      <c r="D305" s="102" t="s">
        <v>5054</v>
      </c>
      <c r="E305" s="102" t="s">
        <v>187</v>
      </c>
      <c r="F305" s="102"/>
      <c r="G305" s="102" t="s">
        <v>3399</v>
      </c>
      <c r="H305" s="102"/>
      <c r="I305" s="102"/>
      <c r="J305" s="102"/>
      <c r="K305" s="102" t="s">
        <v>5055</v>
      </c>
      <c r="L305" s="102" t="s">
        <v>4195</v>
      </c>
      <c r="M305" s="102"/>
      <c r="N305" s="102"/>
      <c r="O305" s="102"/>
      <c r="P305" s="102"/>
      <c r="Q305" s="102"/>
      <c r="R305" s="102"/>
      <c r="S305" s="102" t="s">
        <v>3747</v>
      </c>
      <c r="T305" s="102" t="s">
        <v>4</v>
      </c>
    </row>
    <row r="306" spans="1:20">
      <c r="A306" s="101" t="s">
        <v>3498</v>
      </c>
      <c r="B306" s="101" t="s">
        <v>3758</v>
      </c>
      <c r="C306" s="101">
        <v>14</v>
      </c>
      <c r="D306" s="102" t="s">
        <v>5053</v>
      </c>
      <c r="E306" s="102" t="s">
        <v>187</v>
      </c>
      <c r="F306" s="102"/>
      <c r="G306" s="102" t="s">
        <v>3399</v>
      </c>
      <c r="H306" s="102"/>
      <c r="I306" s="102"/>
      <c r="J306" s="102"/>
      <c r="K306" s="102" t="s">
        <v>5002</v>
      </c>
      <c r="L306" s="102"/>
      <c r="M306" s="102"/>
      <c r="N306" s="102"/>
      <c r="O306" s="102"/>
      <c r="P306" s="102"/>
      <c r="Q306" s="102"/>
      <c r="R306" s="102"/>
      <c r="S306" s="102" t="s">
        <v>40</v>
      </c>
      <c r="T306" s="102" t="s">
        <v>4</v>
      </c>
    </row>
    <row r="307" spans="1:20">
      <c r="A307" s="101" t="s">
        <v>3498</v>
      </c>
      <c r="B307" s="101" t="s">
        <v>3758</v>
      </c>
      <c r="C307" s="101">
        <v>15</v>
      </c>
      <c r="D307" s="102" t="s">
        <v>6378</v>
      </c>
      <c r="E307" s="102" t="s">
        <v>187</v>
      </c>
      <c r="F307" s="102"/>
      <c r="G307" s="102" t="s">
        <v>3399</v>
      </c>
      <c r="H307" s="102"/>
      <c r="I307" s="102"/>
      <c r="J307" s="102"/>
      <c r="K307" s="102" t="s">
        <v>4113</v>
      </c>
      <c r="L307" s="102" t="s">
        <v>6379</v>
      </c>
      <c r="M307" s="102" t="s">
        <v>5438</v>
      </c>
      <c r="N307" s="102"/>
      <c r="O307" s="102"/>
      <c r="P307" s="102"/>
      <c r="Q307" s="102"/>
      <c r="R307" s="102"/>
      <c r="S307" s="102" t="s">
        <v>36</v>
      </c>
      <c r="T307" s="102" t="s">
        <v>4</v>
      </c>
    </row>
    <row r="308" spans="1:20">
      <c r="A308" s="101" t="s">
        <v>3498</v>
      </c>
      <c r="B308" s="101" t="s">
        <v>3758</v>
      </c>
      <c r="C308" s="101">
        <v>16</v>
      </c>
      <c r="D308" s="102" t="s">
        <v>6380</v>
      </c>
      <c r="E308" s="102" t="s">
        <v>204</v>
      </c>
      <c r="F308" s="102"/>
      <c r="G308" s="102" t="s">
        <v>3399</v>
      </c>
      <c r="H308" s="102"/>
      <c r="I308" s="102"/>
      <c r="J308" s="102"/>
      <c r="K308" s="102" t="s">
        <v>6381</v>
      </c>
      <c r="L308" s="102"/>
      <c r="M308" s="102"/>
      <c r="N308" s="102"/>
      <c r="O308" s="102"/>
      <c r="P308" s="102"/>
      <c r="Q308" s="102"/>
      <c r="R308" s="102"/>
      <c r="S308" s="102" t="s">
        <v>30</v>
      </c>
      <c r="T308" s="102" t="s">
        <v>4</v>
      </c>
    </row>
    <row r="309" spans="1:20">
      <c r="A309" s="107" t="s">
        <v>3498</v>
      </c>
      <c r="B309" s="107" t="s">
        <v>3758</v>
      </c>
      <c r="C309" s="107">
        <v>17</v>
      </c>
      <c r="D309" s="108" t="s">
        <v>5078</v>
      </c>
      <c r="E309" s="108" t="s">
        <v>204</v>
      </c>
      <c r="F309" s="108"/>
      <c r="G309" s="108" t="s">
        <v>3399</v>
      </c>
      <c r="H309" s="108"/>
      <c r="I309" s="108"/>
      <c r="J309" s="108"/>
      <c r="K309" s="108" t="s">
        <v>5031</v>
      </c>
      <c r="L309" s="108"/>
      <c r="M309" s="108"/>
      <c r="N309" s="108"/>
      <c r="O309" s="108"/>
      <c r="P309" s="108"/>
      <c r="Q309" s="108"/>
      <c r="R309" s="102"/>
      <c r="S309" s="102" t="s">
        <v>172</v>
      </c>
      <c r="T309" s="102" t="s">
        <v>4</v>
      </c>
    </row>
    <row r="310" spans="1:20">
      <c r="A310" s="101" t="s">
        <v>3498</v>
      </c>
      <c r="B310" s="101" t="s">
        <v>3758</v>
      </c>
      <c r="C310" s="101">
        <v>18</v>
      </c>
      <c r="D310" s="102" t="s">
        <v>6382</v>
      </c>
      <c r="E310" s="102" t="s">
        <v>208</v>
      </c>
      <c r="F310" s="102"/>
      <c r="G310" s="102" t="s">
        <v>3399</v>
      </c>
      <c r="H310" s="102"/>
      <c r="I310" s="102"/>
      <c r="J310" s="102"/>
      <c r="K310" s="102" t="s">
        <v>5454</v>
      </c>
      <c r="L310" s="102" t="s">
        <v>6383</v>
      </c>
      <c r="M310" s="102"/>
      <c r="N310" s="102"/>
      <c r="O310" s="102"/>
      <c r="P310" s="102"/>
      <c r="Q310" s="102"/>
      <c r="R310" s="102"/>
      <c r="S310" s="102" t="s">
        <v>48</v>
      </c>
      <c r="T310" s="102" t="s">
        <v>4</v>
      </c>
    </row>
    <row r="311" spans="1:20">
      <c r="A311" s="101" t="s">
        <v>3498</v>
      </c>
      <c r="B311" s="101" t="s">
        <v>3758</v>
      </c>
      <c r="C311" s="101">
        <v>19</v>
      </c>
      <c r="D311" s="102" t="s">
        <v>5081</v>
      </c>
      <c r="E311" s="102" t="s">
        <v>204</v>
      </c>
      <c r="F311" s="102"/>
      <c r="G311" s="102" t="s">
        <v>3399</v>
      </c>
      <c r="H311" s="102"/>
      <c r="I311" s="102"/>
      <c r="J311" s="102"/>
      <c r="K311" s="102" t="s">
        <v>6384</v>
      </c>
      <c r="L311" s="102" t="s">
        <v>5083</v>
      </c>
      <c r="M311" s="102"/>
      <c r="N311" s="102"/>
      <c r="O311" s="102"/>
      <c r="P311" s="102"/>
      <c r="Q311" s="102"/>
      <c r="R311" s="102"/>
      <c r="S311" s="102" t="s">
        <v>46</v>
      </c>
      <c r="T311" s="102" t="s">
        <v>4</v>
      </c>
    </row>
    <row r="312" spans="1:20">
      <c r="A312" s="101" t="s">
        <v>3498</v>
      </c>
      <c r="B312" s="101" t="s">
        <v>3758</v>
      </c>
      <c r="C312" s="101">
        <v>20</v>
      </c>
      <c r="D312" s="102" t="s">
        <v>6385</v>
      </c>
      <c r="E312" s="102" t="s">
        <v>204</v>
      </c>
      <c r="F312" s="102"/>
      <c r="G312" s="102" t="s">
        <v>3399</v>
      </c>
      <c r="H312" s="102"/>
      <c r="I312" s="102"/>
      <c r="J312" s="102"/>
      <c r="K312" s="102" t="s">
        <v>6386</v>
      </c>
      <c r="L312" s="102"/>
      <c r="M312" s="102"/>
      <c r="N312" s="102"/>
      <c r="O312" s="102"/>
      <c r="P312" s="102"/>
      <c r="Q312" s="102"/>
      <c r="R312" s="102"/>
      <c r="S312" s="102" t="s">
        <v>180</v>
      </c>
      <c r="T312" s="102" t="s">
        <v>4</v>
      </c>
    </row>
    <row r="313" spans="1:20">
      <c r="A313" s="101" t="s">
        <v>3498</v>
      </c>
      <c r="B313" s="101" t="s">
        <v>3758</v>
      </c>
      <c r="C313" s="101">
        <v>21</v>
      </c>
      <c r="D313" s="102" t="s">
        <v>6387</v>
      </c>
      <c r="E313" s="102" t="s">
        <v>204</v>
      </c>
      <c r="F313" s="102"/>
      <c r="G313" s="102" t="s">
        <v>3399</v>
      </c>
      <c r="H313" s="102"/>
      <c r="I313" s="102"/>
      <c r="J313" s="102"/>
      <c r="K313" s="102" t="s">
        <v>5366</v>
      </c>
      <c r="L313" s="102"/>
      <c r="M313" s="102"/>
      <c r="N313" s="102"/>
      <c r="O313" s="102"/>
      <c r="P313" s="102"/>
      <c r="Q313" s="102"/>
      <c r="R313" s="102"/>
      <c r="S313" s="102" t="s">
        <v>30</v>
      </c>
      <c r="T313" s="102" t="s">
        <v>4</v>
      </c>
    </row>
    <row r="314" spans="1:20">
      <c r="A314" s="101" t="s">
        <v>3498</v>
      </c>
      <c r="B314" s="101" t="s">
        <v>3758</v>
      </c>
      <c r="C314" s="101">
        <v>22</v>
      </c>
      <c r="D314" s="102" t="s">
        <v>6388</v>
      </c>
      <c r="E314" s="102" t="s">
        <v>204</v>
      </c>
      <c r="F314" s="102"/>
      <c r="G314" s="102" t="s">
        <v>3399</v>
      </c>
      <c r="H314" s="102"/>
      <c r="I314" s="102"/>
      <c r="J314" s="102"/>
      <c r="K314" s="102" t="s">
        <v>4152</v>
      </c>
      <c r="L314" s="102"/>
      <c r="M314" s="102"/>
      <c r="N314" s="102"/>
      <c r="O314" s="102"/>
      <c r="P314" s="102"/>
      <c r="Q314" s="102"/>
      <c r="R314" s="102"/>
      <c r="S314" s="102" t="s">
        <v>178</v>
      </c>
      <c r="T314" s="102" t="s">
        <v>4</v>
      </c>
    </row>
    <row r="315" spans="1:20">
      <c r="A315" s="101" t="s">
        <v>3498</v>
      </c>
      <c r="B315" s="101" t="s">
        <v>3758</v>
      </c>
      <c r="C315" s="101">
        <v>23</v>
      </c>
      <c r="D315" s="102" t="s">
        <v>6389</v>
      </c>
      <c r="E315" s="102" t="s">
        <v>204</v>
      </c>
      <c r="F315" s="102"/>
      <c r="G315" s="102" t="s">
        <v>3399</v>
      </c>
      <c r="H315" s="102"/>
      <c r="I315" s="102"/>
      <c r="J315" s="102"/>
      <c r="K315" s="102" t="s">
        <v>6204</v>
      </c>
      <c r="L315" s="102" t="s">
        <v>3768</v>
      </c>
      <c r="M315" s="102"/>
      <c r="N315" s="102"/>
      <c r="O315" s="102"/>
      <c r="P315" s="102"/>
      <c r="Q315" s="102"/>
      <c r="R315" s="102"/>
      <c r="S315" s="102" t="s">
        <v>48</v>
      </c>
      <c r="T315" s="102" t="s">
        <v>4</v>
      </c>
    </row>
    <row r="316" spans="1:20">
      <c r="A316" s="101" t="s">
        <v>3498</v>
      </c>
      <c r="B316" s="101" t="s">
        <v>3758</v>
      </c>
      <c r="C316" s="101">
        <v>24</v>
      </c>
      <c r="D316" s="102" t="s">
        <v>6390</v>
      </c>
      <c r="E316" s="102" t="s">
        <v>204</v>
      </c>
      <c r="F316" s="102"/>
      <c r="G316" s="102" t="s">
        <v>3399</v>
      </c>
      <c r="H316" s="102"/>
      <c r="I316" s="102"/>
      <c r="J316" s="102"/>
      <c r="K316" s="102" t="s">
        <v>6391</v>
      </c>
      <c r="L316" s="102"/>
      <c r="M316" s="102"/>
      <c r="N316" s="102"/>
      <c r="O316" s="102"/>
      <c r="P316" s="102"/>
      <c r="Q316" s="102"/>
      <c r="R316" s="102"/>
      <c r="S316" s="102" t="s">
        <v>169</v>
      </c>
      <c r="T316" s="102" t="s">
        <v>4</v>
      </c>
    </row>
    <row r="317" spans="1:20">
      <c r="A317" s="101" t="s">
        <v>3498</v>
      </c>
      <c r="B317" s="101" t="s">
        <v>3758</v>
      </c>
      <c r="C317" s="101">
        <v>25</v>
      </c>
      <c r="D317" s="102" t="s">
        <v>5085</v>
      </c>
      <c r="E317" s="102" t="s">
        <v>204</v>
      </c>
      <c r="F317" s="102"/>
      <c r="G317" s="102" t="s">
        <v>3399</v>
      </c>
      <c r="H317" s="102"/>
      <c r="I317" s="102"/>
      <c r="J317" s="102"/>
      <c r="K317" s="102" t="s">
        <v>4277</v>
      </c>
      <c r="L317" s="102" t="s">
        <v>4278</v>
      </c>
      <c r="M317" s="102" t="s">
        <v>5086</v>
      </c>
      <c r="N317" s="102"/>
      <c r="O317" s="102"/>
      <c r="P317" s="102"/>
      <c r="Q317" s="102"/>
      <c r="R317" s="102"/>
      <c r="S317" s="102" t="s">
        <v>606</v>
      </c>
      <c r="T317" s="102" t="s">
        <v>4</v>
      </c>
    </row>
    <row r="318" spans="1:20">
      <c r="A318" s="101" t="s">
        <v>3498</v>
      </c>
      <c r="B318" s="101" t="s">
        <v>3758</v>
      </c>
      <c r="C318" s="101">
        <v>26</v>
      </c>
      <c r="D318" s="102" t="s">
        <v>6392</v>
      </c>
      <c r="E318" s="102" t="s">
        <v>204</v>
      </c>
      <c r="F318" s="102"/>
      <c r="G318" s="102" t="s">
        <v>3399</v>
      </c>
      <c r="H318" s="102"/>
      <c r="I318" s="102"/>
      <c r="J318" s="102"/>
      <c r="K318" s="102" t="s">
        <v>5454</v>
      </c>
      <c r="L318" s="102"/>
      <c r="M318" s="102"/>
      <c r="N318" s="102"/>
      <c r="O318" s="102"/>
      <c r="P318" s="102"/>
      <c r="Q318" s="102"/>
      <c r="R318" s="102"/>
      <c r="S318" s="102" t="s">
        <v>46</v>
      </c>
      <c r="T318" s="102" t="s">
        <v>4</v>
      </c>
    </row>
    <row r="319" spans="1:20">
      <c r="A319" s="101" t="s">
        <v>3498</v>
      </c>
      <c r="B319" s="101" t="s">
        <v>3758</v>
      </c>
      <c r="C319" s="101">
        <v>27</v>
      </c>
      <c r="D319" s="102" t="s">
        <v>6393</v>
      </c>
      <c r="E319" s="102" t="s">
        <v>204</v>
      </c>
      <c r="F319" s="102"/>
      <c r="G319" s="102" t="s">
        <v>3399</v>
      </c>
      <c r="H319" s="102"/>
      <c r="I319" s="102"/>
      <c r="J319" s="102"/>
      <c r="K319" s="102" t="s">
        <v>6394</v>
      </c>
      <c r="L319" s="102" t="s">
        <v>3768</v>
      </c>
      <c r="M319" s="102"/>
      <c r="N319" s="102"/>
      <c r="O319" s="102"/>
      <c r="P319" s="102"/>
      <c r="Q319" s="102"/>
      <c r="R319" s="102"/>
      <c r="S319" s="102" t="s">
        <v>37</v>
      </c>
      <c r="T319" s="102" t="s">
        <v>4</v>
      </c>
    </row>
    <row r="320" spans="1:20">
      <c r="A320" s="101" t="s">
        <v>3498</v>
      </c>
      <c r="B320" s="101" t="s">
        <v>3758</v>
      </c>
      <c r="C320" s="101">
        <v>28</v>
      </c>
      <c r="D320" s="102" t="s">
        <v>5076</v>
      </c>
      <c r="E320" s="102" t="s">
        <v>204</v>
      </c>
      <c r="F320" s="102"/>
      <c r="G320" s="102" t="s">
        <v>3399</v>
      </c>
      <c r="H320" s="102" t="s">
        <v>5180</v>
      </c>
      <c r="I320" s="102"/>
      <c r="J320" s="102"/>
      <c r="K320" s="102" t="s">
        <v>5077</v>
      </c>
      <c r="L320" s="102"/>
      <c r="M320" s="102"/>
      <c r="N320" s="102"/>
      <c r="O320" s="102"/>
      <c r="P320" s="102"/>
      <c r="Q320" s="102"/>
      <c r="R320" s="102"/>
      <c r="S320" s="102" t="s">
        <v>183</v>
      </c>
      <c r="T320" s="102" t="s">
        <v>4</v>
      </c>
    </row>
    <row r="321" spans="1:20">
      <c r="A321" s="101" t="s">
        <v>3498</v>
      </c>
      <c r="B321" s="101" t="s">
        <v>3758</v>
      </c>
      <c r="C321" s="101">
        <v>29</v>
      </c>
      <c r="D321" s="102" t="s">
        <v>6395</v>
      </c>
      <c r="E321" s="102" t="s">
        <v>208</v>
      </c>
      <c r="F321" s="102"/>
      <c r="G321" s="102" t="s">
        <v>3399</v>
      </c>
      <c r="H321" s="102"/>
      <c r="I321" s="102"/>
      <c r="J321" s="102"/>
      <c r="K321" s="102" t="s">
        <v>6396</v>
      </c>
      <c r="L321" s="102" t="s">
        <v>4953</v>
      </c>
      <c r="M321" s="102" t="s">
        <v>6397</v>
      </c>
      <c r="N321" s="102"/>
      <c r="O321" s="102"/>
      <c r="P321" s="102"/>
      <c r="Q321" s="102"/>
      <c r="R321" s="102"/>
      <c r="S321" s="102" t="s">
        <v>34</v>
      </c>
      <c r="T321" s="102" t="s">
        <v>4</v>
      </c>
    </row>
    <row r="322" spans="1:20">
      <c r="A322" s="101" t="s">
        <v>3498</v>
      </c>
      <c r="B322" s="101" t="s">
        <v>3758</v>
      </c>
      <c r="C322" s="101">
        <v>30</v>
      </c>
      <c r="D322" s="102" t="s">
        <v>6398</v>
      </c>
      <c r="E322" s="102" t="s">
        <v>204</v>
      </c>
      <c r="F322" s="102"/>
      <c r="G322" s="102" t="s">
        <v>3399</v>
      </c>
      <c r="H322" s="102"/>
      <c r="I322" s="102"/>
      <c r="J322" s="102"/>
      <c r="K322" s="102" t="s">
        <v>5420</v>
      </c>
      <c r="L322" s="102" t="s">
        <v>6399</v>
      </c>
      <c r="M322" s="102"/>
      <c r="N322" s="102"/>
      <c r="O322" s="102"/>
      <c r="P322" s="102"/>
      <c r="Q322" s="102"/>
      <c r="R322" s="102"/>
      <c r="S322" s="102" t="s">
        <v>28</v>
      </c>
      <c r="T322" s="102" t="s">
        <v>4</v>
      </c>
    </row>
    <row r="323" spans="1:20">
      <c r="A323" s="101" t="s">
        <v>3498</v>
      </c>
      <c r="B323" s="101" t="s">
        <v>3758</v>
      </c>
      <c r="C323" s="101">
        <v>31</v>
      </c>
      <c r="D323" s="102" t="s">
        <v>5071</v>
      </c>
      <c r="E323" s="102" t="s">
        <v>204</v>
      </c>
      <c r="F323" s="102"/>
      <c r="G323" s="102" t="s">
        <v>3399</v>
      </c>
      <c r="H323" s="102"/>
      <c r="I323" s="102"/>
      <c r="J323" s="102"/>
      <c r="K323" s="102" t="s">
        <v>5002</v>
      </c>
      <c r="L323" s="102"/>
      <c r="M323" s="102"/>
      <c r="N323" s="102"/>
      <c r="O323" s="102"/>
      <c r="P323" s="102"/>
      <c r="Q323" s="102"/>
      <c r="R323" s="102"/>
      <c r="S323" s="102" t="s">
        <v>39</v>
      </c>
      <c r="T323" s="102" t="s">
        <v>4</v>
      </c>
    </row>
    <row r="324" spans="1:20">
      <c r="A324" s="101" t="s">
        <v>3498</v>
      </c>
      <c r="B324" s="101" t="s">
        <v>3758</v>
      </c>
      <c r="C324" s="101">
        <v>32</v>
      </c>
      <c r="D324" s="102" t="s">
        <v>6400</v>
      </c>
      <c r="E324" s="102" t="s">
        <v>185</v>
      </c>
      <c r="F324" s="102"/>
      <c r="G324" s="102" t="s">
        <v>3399</v>
      </c>
      <c r="H324" s="102"/>
      <c r="I324" s="102"/>
      <c r="J324" s="102"/>
      <c r="K324" s="102" t="s">
        <v>6401</v>
      </c>
      <c r="L324" s="102"/>
      <c r="M324" s="102"/>
      <c r="N324" s="102"/>
      <c r="O324" s="102"/>
      <c r="P324" s="102"/>
      <c r="Q324" s="102"/>
      <c r="R324" s="102"/>
      <c r="S324" s="102" t="s">
        <v>40</v>
      </c>
      <c r="T324" s="102" t="s">
        <v>4</v>
      </c>
    </row>
    <row r="325" spans="1:20">
      <c r="A325" s="101" t="s">
        <v>3498</v>
      </c>
      <c r="B325" s="101" t="s">
        <v>3758</v>
      </c>
      <c r="C325" s="101">
        <v>33</v>
      </c>
      <c r="D325" s="102" t="s">
        <v>6402</v>
      </c>
      <c r="E325" s="102" t="s">
        <v>185</v>
      </c>
      <c r="F325" s="102"/>
      <c r="G325" s="102" t="s">
        <v>3399</v>
      </c>
      <c r="H325" s="102"/>
      <c r="I325" s="102"/>
      <c r="J325" s="102"/>
      <c r="K325" s="102" t="s">
        <v>5335</v>
      </c>
      <c r="L325" s="102"/>
      <c r="M325" s="102"/>
      <c r="N325" s="102"/>
      <c r="O325" s="102"/>
      <c r="P325" s="102"/>
      <c r="Q325" s="102"/>
      <c r="R325" s="102"/>
      <c r="S325" s="102" t="s">
        <v>181</v>
      </c>
      <c r="T325" s="102" t="s">
        <v>4</v>
      </c>
    </row>
    <row r="326" spans="1:20">
      <c r="A326" s="101" t="s">
        <v>3498</v>
      </c>
      <c r="B326" s="101" t="s">
        <v>3758</v>
      </c>
      <c r="C326" s="101">
        <v>34</v>
      </c>
      <c r="D326" s="102" t="s">
        <v>6403</v>
      </c>
      <c r="E326" s="102" t="s">
        <v>185</v>
      </c>
      <c r="F326" s="102"/>
      <c r="G326" s="102" t="s">
        <v>3399</v>
      </c>
      <c r="H326" s="102"/>
      <c r="I326" s="102"/>
      <c r="J326" s="102"/>
      <c r="K326" s="102" t="s">
        <v>6404</v>
      </c>
      <c r="L326" s="102" t="s">
        <v>6405</v>
      </c>
      <c r="M326" s="102"/>
      <c r="N326" s="102"/>
      <c r="O326" s="102"/>
      <c r="P326" s="102"/>
      <c r="Q326" s="102"/>
      <c r="R326" s="102"/>
      <c r="S326" s="102" t="s">
        <v>31</v>
      </c>
      <c r="T326" s="102" t="s">
        <v>4</v>
      </c>
    </row>
    <row r="327" spans="1:20">
      <c r="A327" s="101" t="s">
        <v>3498</v>
      </c>
      <c r="B327" s="101" t="s">
        <v>3758</v>
      </c>
      <c r="C327" s="101">
        <v>35</v>
      </c>
      <c r="D327" s="102" t="s">
        <v>6406</v>
      </c>
      <c r="E327" s="102" t="s">
        <v>185</v>
      </c>
      <c r="F327" s="102"/>
      <c r="G327" s="102" t="s">
        <v>3399</v>
      </c>
      <c r="H327" s="102"/>
      <c r="I327" s="102"/>
      <c r="J327" s="102"/>
      <c r="K327" s="102" t="s">
        <v>6407</v>
      </c>
      <c r="L327" s="102"/>
      <c r="M327" s="102"/>
      <c r="N327" s="102"/>
      <c r="O327" s="102"/>
      <c r="P327" s="102"/>
      <c r="Q327" s="102"/>
      <c r="R327" s="102"/>
      <c r="S327" s="102" t="s">
        <v>35</v>
      </c>
      <c r="T327" s="102" t="s">
        <v>4</v>
      </c>
    </row>
    <row r="328" spans="1:20">
      <c r="A328" s="101" t="s">
        <v>3498</v>
      </c>
      <c r="B328" s="101" t="s">
        <v>3758</v>
      </c>
      <c r="C328" s="101">
        <v>36</v>
      </c>
      <c r="D328" s="102" t="s">
        <v>6408</v>
      </c>
      <c r="E328" s="102" t="s">
        <v>185</v>
      </c>
      <c r="F328" s="102"/>
      <c r="G328" s="102" t="s">
        <v>3399</v>
      </c>
      <c r="H328" s="102"/>
      <c r="I328" s="102"/>
      <c r="J328" s="102"/>
      <c r="K328" s="102" t="s">
        <v>6409</v>
      </c>
      <c r="L328" s="102" t="s">
        <v>6410</v>
      </c>
      <c r="M328" s="102"/>
      <c r="N328" s="102"/>
      <c r="O328" s="102"/>
      <c r="P328" s="102"/>
      <c r="Q328" s="102"/>
      <c r="R328" s="102"/>
      <c r="S328" s="102" t="s">
        <v>5381</v>
      </c>
      <c r="T328" s="102" t="s">
        <v>4</v>
      </c>
    </row>
    <row r="329" spans="1:20">
      <c r="A329" s="101" t="s">
        <v>3498</v>
      </c>
      <c r="B329" s="101" t="s">
        <v>3758</v>
      </c>
      <c r="C329" s="101">
        <v>37</v>
      </c>
      <c r="D329" s="102" t="s">
        <v>6411</v>
      </c>
      <c r="E329" s="102" t="s">
        <v>185</v>
      </c>
      <c r="F329" s="102"/>
      <c r="G329" s="102" t="s">
        <v>3399</v>
      </c>
      <c r="H329" s="102"/>
      <c r="I329" s="102"/>
      <c r="J329" s="102"/>
      <c r="K329" s="102" t="s">
        <v>6412</v>
      </c>
      <c r="L329" s="102"/>
      <c r="M329" s="102"/>
      <c r="N329" s="102"/>
      <c r="O329" s="102"/>
      <c r="P329" s="102"/>
      <c r="Q329" s="102"/>
      <c r="R329" s="102"/>
      <c r="S329" s="102" t="s">
        <v>38</v>
      </c>
      <c r="T329" s="102" t="s">
        <v>4</v>
      </c>
    </row>
    <row r="330" spans="1:20">
      <c r="A330" s="103" t="s">
        <v>3498</v>
      </c>
      <c r="B330" s="103" t="s">
        <v>3758</v>
      </c>
      <c r="C330" s="103">
        <v>38</v>
      </c>
      <c r="D330" s="104" t="s">
        <v>6413</v>
      </c>
      <c r="E330" s="104" t="s">
        <v>185</v>
      </c>
      <c r="F330" s="104"/>
      <c r="G330" s="104" t="s">
        <v>3399</v>
      </c>
      <c r="H330" s="104"/>
      <c r="I330" s="104"/>
      <c r="J330" s="104"/>
      <c r="K330" s="104" t="s">
        <v>6414</v>
      </c>
      <c r="L330" s="104"/>
      <c r="M330" s="104"/>
      <c r="N330" s="104"/>
      <c r="O330" s="104"/>
      <c r="P330" s="104"/>
      <c r="Q330" s="104"/>
      <c r="R330" s="102"/>
      <c r="S330" s="102" t="s">
        <v>5719</v>
      </c>
      <c r="T330" s="102" t="s">
        <v>4</v>
      </c>
    </row>
    <row r="331" spans="1:20">
      <c r="A331" s="101" t="s">
        <v>3498</v>
      </c>
      <c r="B331" s="101" t="s">
        <v>3758</v>
      </c>
      <c r="C331" s="101">
        <v>39</v>
      </c>
      <c r="D331" s="102" t="s">
        <v>6415</v>
      </c>
      <c r="E331" s="102" t="s">
        <v>185</v>
      </c>
      <c r="F331" s="102"/>
      <c r="G331" s="102" t="s">
        <v>3399</v>
      </c>
      <c r="H331" s="102"/>
      <c r="I331" s="102"/>
      <c r="J331" s="102"/>
      <c r="K331" s="102" t="s">
        <v>6416</v>
      </c>
      <c r="L331" s="102"/>
      <c r="M331" s="102"/>
      <c r="N331" s="102"/>
      <c r="O331" s="102"/>
      <c r="P331" s="102"/>
      <c r="Q331" s="102"/>
      <c r="R331" s="102"/>
      <c r="S331" s="102" t="s">
        <v>39</v>
      </c>
      <c r="T331" s="102" t="s">
        <v>4</v>
      </c>
    </row>
    <row r="332" spans="1:20">
      <c r="A332" s="101" t="s">
        <v>3498</v>
      </c>
      <c r="B332" s="101" t="s">
        <v>3758</v>
      </c>
      <c r="C332" s="101">
        <v>40</v>
      </c>
      <c r="D332" s="102" t="s">
        <v>6417</v>
      </c>
      <c r="E332" s="102" t="s">
        <v>185</v>
      </c>
      <c r="F332" s="102"/>
      <c r="G332" s="102" t="s">
        <v>3399</v>
      </c>
      <c r="H332" s="102" t="s">
        <v>5180</v>
      </c>
      <c r="I332" s="102"/>
      <c r="J332" s="102"/>
      <c r="K332" s="102" t="s">
        <v>6418</v>
      </c>
      <c r="L332" s="102"/>
      <c r="M332" s="102"/>
      <c r="N332" s="102"/>
      <c r="O332" s="102"/>
      <c r="P332" s="102"/>
      <c r="Q332" s="102"/>
      <c r="R332" s="102"/>
      <c r="S332" s="102" t="s">
        <v>175</v>
      </c>
      <c r="T332" s="102" t="s">
        <v>4</v>
      </c>
    </row>
    <row r="333" spans="1:20">
      <c r="A333" s="101" t="s">
        <v>3498</v>
      </c>
      <c r="B333" s="101" t="s">
        <v>3758</v>
      </c>
      <c r="C333" s="101">
        <v>41</v>
      </c>
      <c r="D333" s="102" t="s">
        <v>6419</v>
      </c>
      <c r="E333" s="102" t="s">
        <v>211</v>
      </c>
      <c r="F333" s="102"/>
      <c r="G333" s="102" t="s">
        <v>3399</v>
      </c>
      <c r="H333" s="102"/>
      <c r="I333" s="102"/>
      <c r="J333" s="102"/>
      <c r="K333" s="102" t="s">
        <v>6352</v>
      </c>
      <c r="L333" s="102"/>
      <c r="M333" s="102"/>
      <c r="N333" s="102"/>
      <c r="O333" s="102"/>
      <c r="P333" s="102"/>
      <c r="Q333" s="102"/>
      <c r="R333" s="102"/>
      <c r="S333" s="102" t="s">
        <v>5</v>
      </c>
      <c r="T333" s="102" t="s">
        <v>4</v>
      </c>
    </row>
    <row r="334" spans="1:20">
      <c r="A334" s="101" t="s">
        <v>3498</v>
      </c>
      <c r="B334" s="101" t="s">
        <v>3758</v>
      </c>
      <c r="C334" s="101">
        <v>42</v>
      </c>
      <c r="D334" s="102" t="s">
        <v>6420</v>
      </c>
      <c r="E334" s="102" t="s">
        <v>211</v>
      </c>
      <c r="F334" s="102"/>
      <c r="G334" s="102" t="s">
        <v>3399</v>
      </c>
      <c r="H334" s="102"/>
      <c r="I334" s="102"/>
      <c r="J334" s="102"/>
      <c r="K334" s="102" t="s">
        <v>6352</v>
      </c>
      <c r="L334" s="102"/>
      <c r="M334" s="102"/>
      <c r="N334" s="102"/>
      <c r="O334" s="102"/>
      <c r="P334" s="102"/>
      <c r="Q334" s="102"/>
      <c r="R334" s="102"/>
      <c r="S334" s="102" t="s">
        <v>604</v>
      </c>
      <c r="T334" s="102" t="s">
        <v>4</v>
      </c>
    </row>
    <row r="335" spans="1:20">
      <c r="A335" s="101" t="s">
        <v>3498</v>
      </c>
      <c r="B335" s="101" t="s">
        <v>3758</v>
      </c>
      <c r="C335" s="101">
        <v>43</v>
      </c>
      <c r="D335" s="102" t="s">
        <v>6421</v>
      </c>
      <c r="E335" s="102" t="s">
        <v>211</v>
      </c>
      <c r="F335" s="102"/>
      <c r="G335" s="102" t="s">
        <v>3399</v>
      </c>
      <c r="H335" s="102"/>
      <c r="I335" s="102"/>
      <c r="J335" s="102"/>
      <c r="K335" s="102" t="s">
        <v>6414</v>
      </c>
      <c r="L335" s="102"/>
      <c r="M335" s="102"/>
      <c r="N335" s="102"/>
      <c r="O335" s="102"/>
      <c r="P335" s="102"/>
      <c r="Q335" s="102"/>
      <c r="R335" s="102"/>
      <c r="S335" s="102" t="s">
        <v>5</v>
      </c>
      <c r="T335" s="102" t="s">
        <v>4</v>
      </c>
    </row>
    <row r="336" spans="1:20">
      <c r="A336" s="107" t="s">
        <v>3498</v>
      </c>
      <c r="B336" s="107" t="s">
        <v>3758</v>
      </c>
      <c r="C336" s="107">
        <v>44</v>
      </c>
      <c r="D336" s="108" t="s">
        <v>6422</v>
      </c>
      <c r="E336" s="108" t="s">
        <v>212</v>
      </c>
      <c r="F336" s="108"/>
      <c r="G336" s="108" t="s">
        <v>3399</v>
      </c>
      <c r="H336" s="108"/>
      <c r="I336" s="108"/>
      <c r="J336" s="108"/>
      <c r="K336" s="108" t="s">
        <v>5014</v>
      </c>
      <c r="L336" s="108" t="s">
        <v>6423</v>
      </c>
      <c r="M336" s="108"/>
      <c r="N336" s="108"/>
      <c r="O336" s="108"/>
      <c r="P336" s="108"/>
      <c r="Q336" s="108"/>
      <c r="R336" s="102"/>
      <c r="S336" s="102" t="s">
        <v>172</v>
      </c>
      <c r="T336" s="102" t="s">
        <v>4</v>
      </c>
    </row>
    <row r="337" spans="1:20">
      <c r="A337" t="s">
        <v>3463</v>
      </c>
      <c r="B337" t="s">
        <v>3758</v>
      </c>
      <c r="C337" s="101">
        <v>1001</v>
      </c>
      <c r="D337" t="s">
        <v>5401</v>
      </c>
      <c r="E337" t="s">
        <v>186</v>
      </c>
      <c r="G337" t="s">
        <v>3399</v>
      </c>
      <c r="K337" t="s">
        <v>5402</v>
      </c>
      <c r="S337" t="s">
        <v>182</v>
      </c>
      <c r="T337" t="s">
        <v>7</v>
      </c>
    </row>
    <row r="338" spans="1:20">
      <c r="A338" t="s">
        <v>3463</v>
      </c>
      <c r="B338" t="s">
        <v>3758</v>
      </c>
      <c r="C338" s="101">
        <v>1002</v>
      </c>
      <c r="D338" t="s">
        <v>5403</v>
      </c>
      <c r="E338" t="s">
        <v>186</v>
      </c>
      <c r="G338" t="s">
        <v>3399</v>
      </c>
      <c r="K338" t="s">
        <v>5404</v>
      </c>
      <c r="S338" t="s">
        <v>170</v>
      </c>
      <c r="T338" t="s">
        <v>7</v>
      </c>
    </row>
    <row r="339" spans="1:20">
      <c r="A339" t="s">
        <v>3463</v>
      </c>
      <c r="B339" t="s">
        <v>3758</v>
      </c>
      <c r="C339" s="101">
        <v>1003</v>
      </c>
      <c r="D339" t="s">
        <v>5405</v>
      </c>
      <c r="E339" t="s">
        <v>186</v>
      </c>
      <c r="G339" t="s">
        <v>3399</v>
      </c>
      <c r="K339" t="s">
        <v>5406</v>
      </c>
      <c r="S339" t="s">
        <v>605</v>
      </c>
      <c r="T339" t="s">
        <v>7</v>
      </c>
    </row>
    <row r="340" spans="1:20">
      <c r="A340" t="s">
        <v>3463</v>
      </c>
      <c r="B340" t="s">
        <v>3758</v>
      </c>
      <c r="C340" s="101">
        <v>1004</v>
      </c>
      <c r="D340" t="s">
        <v>5407</v>
      </c>
      <c r="E340" t="s">
        <v>187</v>
      </c>
      <c r="G340" t="s">
        <v>3399</v>
      </c>
      <c r="K340" t="s">
        <v>5408</v>
      </c>
      <c r="S340" t="s">
        <v>46</v>
      </c>
      <c r="T340" t="s">
        <v>7</v>
      </c>
    </row>
    <row r="341" spans="1:20">
      <c r="A341" t="s">
        <v>3463</v>
      </c>
      <c r="B341" t="s">
        <v>3758</v>
      </c>
      <c r="C341" s="101">
        <v>1005</v>
      </c>
      <c r="D341" t="s">
        <v>5409</v>
      </c>
      <c r="E341" t="s">
        <v>187</v>
      </c>
      <c r="G341" t="s">
        <v>3399</v>
      </c>
      <c r="K341" t="s">
        <v>5410</v>
      </c>
      <c r="S341" t="s">
        <v>14</v>
      </c>
      <c r="T341" t="s">
        <v>7</v>
      </c>
    </row>
    <row r="342" spans="1:20">
      <c r="A342" t="s">
        <v>3463</v>
      </c>
      <c r="B342" t="s">
        <v>3758</v>
      </c>
      <c r="C342" s="101">
        <v>1006</v>
      </c>
      <c r="D342" t="s">
        <v>5411</v>
      </c>
      <c r="E342" t="s">
        <v>187</v>
      </c>
      <c r="G342" t="s">
        <v>3399</v>
      </c>
      <c r="K342" t="s">
        <v>5412</v>
      </c>
      <c r="S342" t="s">
        <v>171</v>
      </c>
      <c r="T342" t="s">
        <v>7</v>
      </c>
    </row>
    <row r="343" spans="1:20">
      <c r="A343" t="s">
        <v>3463</v>
      </c>
      <c r="B343" t="s">
        <v>3758</v>
      </c>
      <c r="C343" s="101">
        <v>1007</v>
      </c>
      <c r="D343" t="s">
        <v>5413</v>
      </c>
      <c r="E343" t="s">
        <v>187</v>
      </c>
      <c r="G343" t="s">
        <v>3399</v>
      </c>
      <c r="K343" t="s">
        <v>5414</v>
      </c>
      <c r="S343" t="s">
        <v>26</v>
      </c>
      <c r="T343" t="s">
        <v>7</v>
      </c>
    </row>
    <row r="344" spans="1:20">
      <c r="A344" t="s">
        <v>3463</v>
      </c>
      <c r="B344" t="s">
        <v>3758</v>
      </c>
      <c r="C344" s="101">
        <v>1008</v>
      </c>
      <c r="D344" t="s">
        <v>5415</v>
      </c>
      <c r="E344" t="s">
        <v>187</v>
      </c>
      <c r="G344" t="s">
        <v>3399</v>
      </c>
      <c r="K344" t="s">
        <v>5416</v>
      </c>
      <c r="L344" t="s">
        <v>5417</v>
      </c>
      <c r="S344" t="s">
        <v>28</v>
      </c>
      <c r="T344" t="s">
        <v>7</v>
      </c>
    </row>
    <row r="345" spans="1:20">
      <c r="A345" t="s">
        <v>3463</v>
      </c>
      <c r="B345" t="s">
        <v>3758</v>
      </c>
      <c r="C345" s="101">
        <v>1009</v>
      </c>
      <c r="D345" t="s">
        <v>5418</v>
      </c>
      <c r="E345" t="s">
        <v>187</v>
      </c>
      <c r="G345" t="s">
        <v>3399</v>
      </c>
      <c r="K345" t="s">
        <v>5419</v>
      </c>
      <c r="L345" t="s">
        <v>5420</v>
      </c>
      <c r="S345" t="s">
        <v>48</v>
      </c>
      <c r="T345" t="s">
        <v>7</v>
      </c>
    </row>
    <row r="346" spans="1:20">
      <c r="A346" t="s">
        <v>3463</v>
      </c>
      <c r="B346" t="s">
        <v>3758</v>
      </c>
      <c r="C346" s="101">
        <v>1010</v>
      </c>
      <c r="D346" t="s">
        <v>5421</v>
      </c>
      <c r="E346" t="s">
        <v>187</v>
      </c>
      <c r="G346" t="s">
        <v>3399</v>
      </c>
      <c r="K346" t="s">
        <v>5422</v>
      </c>
      <c r="S346" t="s">
        <v>46</v>
      </c>
      <c r="T346" t="s">
        <v>7</v>
      </c>
    </row>
    <row r="347" spans="1:20">
      <c r="A347" t="s">
        <v>3463</v>
      </c>
      <c r="B347" t="s">
        <v>3758</v>
      </c>
      <c r="C347" s="101">
        <v>1011</v>
      </c>
      <c r="D347" t="s">
        <v>5423</v>
      </c>
      <c r="E347" t="s">
        <v>208</v>
      </c>
      <c r="G347" t="s">
        <v>3399</v>
      </c>
      <c r="K347" t="s">
        <v>5389</v>
      </c>
      <c r="S347" t="s">
        <v>5</v>
      </c>
      <c r="T347" t="s">
        <v>7</v>
      </c>
    </row>
    <row r="348" spans="1:20">
      <c r="A348" t="s">
        <v>3463</v>
      </c>
      <c r="B348" t="s">
        <v>3758</v>
      </c>
      <c r="C348" s="101">
        <v>1012</v>
      </c>
      <c r="D348" t="s">
        <v>5424</v>
      </c>
      <c r="E348" t="s">
        <v>204</v>
      </c>
      <c r="G348" t="s">
        <v>3399</v>
      </c>
      <c r="K348" t="s">
        <v>5425</v>
      </c>
      <c r="S348" t="s">
        <v>45</v>
      </c>
      <c r="T348" t="s">
        <v>7</v>
      </c>
    </row>
    <row r="349" spans="1:20">
      <c r="A349" t="s">
        <v>3463</v>
      </c>
      <c r="B349" t="s">
        <v>3758</v>
      </c>
      <c r="C349" s="101">
        <v>1013</v>
      </c>
      <c r="D349" t="s">
        <v>5426</v>
      </c>
      <c r="E349" t="s">
        <v>204</v>
      </c>
      <c r="G349" t="s">
        <v>3399</v>
      </c>
      <c r="K349" t="s">
        <v>5427</v>
      </c>
      <c r="S349" t="s">
        <v>174</v>
      </c>
      <c r="T349" t="s">
        <v>7</v>
      </c>
    </row>
    <row r="350" spans="1:20">
      <c r="A350" t="s">
        <v>3463</v>
      </c>
      <c r="B350" t="s">
        <v>3758</v>
      </c>
      <c r="C350" s="101">
        <v>1014</v>
      </c>
      <c r="D350" t="s">
        <v>5428</v>
      </c>
      <c r="E350" t="s">
        <v>204</v>
      </c>
      <c r="G350" t="s">
        <v>3399</v>
      </c>
      <c r="K350" t="s">
        <v>5429</v>
      </c>
      <c r="L350" t="s">
        <v>5208</v>
      </c>
      <c r="S350" t="s">
        <v>170</v>
      </c>
      <c r="T350" t="s">
        <v>7</v>
      </c>
    </row>
    <row r="351" spans="1:20">
      <c r="A351" t="s">
        <v>3463</v>
      </c>
      <c r="B351" t="s">
        <v>3758</v>
      </c>
      <c r="C351" s="101">
        <v>1015</v>
      </c>
      <c r="D351" t="s">
        <v>5076</v>
      </c>
      <c r="E351" t="s">
        <v>204</v>
      </c>
      <c r="G351" t="s">
        <v>3399</v>
      </c>
      <c r="K351" t="s">
        <v>5077</v>
      </c>
      <c r="S351" t="s">
        <v>768</v>
      </c>
      <c r="T351" t="s">
        <v>7</v>
      </c>
    </row>
    <row r="352" spans="1:20">
      <c r="A352" t="s">
        <v>3463</v>
      </c>
      <c r="B352" t="s">
        <v>3758</v>
      </c>
      <c r="C352" s="101">
        <v>1016</v>
      </c>
      <c r="D352" t="s">
        <v>5430</v>
      </c>
      <c r="E352" t="s">
        <v>204</v>
      </c>
      <c r="G352" t="s">
        <v>3399</v>
      </c>
      <c r="K352" t="s">
        <v>5327</v>
      </c>
      <c r="S352" t="s">
        <v>175</v>
      </c>
      <c r="T352" t="s">
        <v>7</v>
      </c>
    </row>
    <row r="353" spans="1:20">
      <c r="A353" t="s">
        <v>3463</v>
      </c>
      <c r="B353" t="s">
        <v>3758</v>
      </c>
      <c r="C353" s="101">
        <v>1017</v>
      </c>
      <c r="D353" t="s">
        <v>5431</v>
      </c>
      <c r="E353" t="s">
        <v>204</v>
      </c>
      <c r="G353" t="s">
        <v>3399</v>
      </c>
      <c r="K353" t="s">
        <v>5304</v>
      </c>
      <c r="L353" t="s">
        <v>5432</v>
      </c>
      <c r="S353" t="s">
        <v>44</v>
      </c>
      <c r="T353" t="s">
        <v>7</v>
      </c>
    </row>
    <row r="354" spans="1:20">
      <c r="A354" t="s">
        <v>3463</v>
      </c>
      <c r="B354" t="s">
        <v>3758</v>
      </c>
      <c r="C354" s="101">
        <v>1018</v>
      </c>
      <c r="D354" s="76" t="s">
        <v>5433</v>
      </c>
      <c r="E354" s="76" t="s">
        <v>204</v>
      </c>
      <c r="F354" s="76"/>
      <c r="G354" s="76" t="s">
        <v>3399</v>
      </c>
      <c r="H354" s="76"/>
      <c r="I354" s="76"/>
      <c r="J354" s="76"/>
      <c r="K354" s="76" t="s">
        <v>5434</v>
      </c>
      <c r="L354" s="76" t="s">
        <v>5435</v>
      </c>
      <c r="M354" s="76"/>
      <c r="N354" s="76"/>
      <c r="O354" s="76"/>
      <c r="P354" s="76"/>
      <c r="Q354" s="76"/>
      <c r="R354" s="76"/>
      <c r="S354" s="76" t="s">
        <v>29</v>
      </c>
      <c r="T354" t="s">
        <v>7</v>
      </c>
    </row>
    <row r="355" spans="1:20">
      <c r="A355" t="s">
        <v>3463</v>
      </c>
      <c r="B355" t="s">
        <v>3758</v>
      </c>
      <c r="C355" s="101">
        <v>1019</v>
      </c>
      <c r="D355" t="s">
        <v>5436</v>
      </c>
      <c r="E355" t="s">
        <v>209</v>
      </c>
      <c r="G355" t="s">
        <v>3399</v>
      </c>
      <c r="K355" t="s">
        <v>4277</v>
      </c>
      <c r="L355" t="s">
        <v>5437</v>
      </c>
      <c r="M355" t="s">
        <v>5438</v>
      </c>
      <c r="S355" t="s">
        <v>40</v>
      </c>
      <c r="T355" t="s">
        <v>7</v>
      </c>
    </row>
    <row r="356" spans="1:20">
      <c r="A356" t="s">
        <v>3463</v>
      </c>
      <c r="B356" t="s">
        <v>3758</v>
      </c>
      <c r="C356" s="101">
        <v>1020</v>
      </c>
      <c r="D356" t="s">
        <v>5439</v>
      </c>
      <c r="E356" t="s">
        <v>185</v>
      </c>
      <c r="G356" t="s">
        <v>3399</v>
      </c>
      <c r="K356" t="s">
        <v>5440</v>
      </c>
      <c r="S356" t="s">
        <v>37</v>
      </c>
      <c r="T356" t="s">
        <v>7</v>
      </c>
    </row>
    <row r="357" spans="1:20">
      <c r="A357" t="s">
        <v>3463</v>
      </c>
      <c r="B357" t="s">
        <v>3758</v>
      </c>
      <c r="C357" s="101">
        <v>1021</v>
      </c>
      <c r="D357" t="s">
        <v>5441</v>
      </c>
      <c r="E357" t="s">
        <v>209</v>
      </c>
      <c r="G357" t="s">
        <v>3399</v>
      </c>
      <c r="K357" t="s">
        <v>5442</v>
      </c>
      <c r="S357" t="s">
        <v>179</v>
      </c>
      <c r="T357" t="s">
        <v>7</v>
      </c>
    </row>
    <row r="358" spans="1:20">
      <c r="A358" t="s">
        <v>3463</v>
      </c>
      <c r="B358" t="s">
        <v>3758</v>
      </c>
      <c r="C358" s="101">
        <v>1022</v>
      </c>
      <c r="D358" t="s">
        <v>5443</v>
      </c>
      <c r="E358" t="s">
        <v>185</v>
      </c>
      <c r="G358" t="s">
        <v>3399</v>
      </c>
      <c r="K358" t="s">
        <v>5444</v>
      </c>
      <c r="S358" t="s">
        <v>28</v>
      </c>
      <c r="T358" t="s">
        <v>7</v>
      </c>
    </row>
    <row r="359" spans="1:20">
      <c r="A359" t="s">
        <v>3463</v>
      </c>
      <c r="B359" t="s">
        <v>3758</v>
      </c>
      <c r="C359" s="101">
        <v>1023</v>
      </c>
      <c r="D359" t="s">
        <v>5445</v>
      </c>
      <c r="E359" t="s">
        <v>185</v>
      </c>
      <c r="G359" t="s">
        <v>3447</v>
      </c>
      <c r="K359" t="s">
        <v>5446</v>
      </c>
      <c r="L359" t="s">
        <v>5447</v>
      </c>
      <c r="S359" t="s">
        <v>5281</v>
      </c>
      <c r="T359" t="s">
        <v>7</v>
      </c>
    </row>
    <row r="360" spans="1:20">
      <c r="A360" t="s">
        <v>3463</v>
      </c>
      <c r="B360" t="s">
        <v>3758</v>
      </c>
      <c r="C360" s="101">
        <v>1024</v>
      </c>
      <c r="D360" t="s">
        <v>5448</v>
      </c>
      <c r="E360" t="s">
        <v>185</v>
      </c>
      <c r="G360" t="s">
        <v>3399</v>
      </c>
      <c r="K360" t="s">
        <v>5420</v>
      </c>
      <c r="S360" t="s">
        <v>171</v>
      </c>
      <c r="T360" t="s">
        <v>7</v>
      </c>
    </row>
    <row r="361" spans="1:20">
      <c r="A361" t="s">
        <v>3463</v>
      </c>
      <c r="B361" t="s">
        <v>3758</v>
      </c>
      <c r="C361" s="101">
        <v>1025</v>
      </c>
      <c r="D361" t="s">
        <v>5449</v>
      </c>
      <c r="E361" t="s">
        <v>185</v>
      </c>
      <c r="G361" t="s">
        <v>3399</v>
      </c>
      <c r="K361" t="s">
        <v>5450</v>
      </c>
      <c r="S361" t="s">
        <v>26</v>
      </c>
      <c r="T361" t="s">
        <v>7</v>
      </c>
    </row>
    <row r="362" spans="1:20">
      <c r="A362" t="s">
        <v>3463</v>
      </c>
      <c r="B362" t="s">
        <v>3758</v>
      </c>
      <c r="C362" s="101">
        <v>1026</v>
      </c>
      <c r="D362" t="s">
        <v>5451</v>
      </c>
      <c r="E362" t="s">
        <v>209</v>
      </c>
      <c r="G362" t="s">
        <v>3399</v>
      </c>
      <c r="K362" t="s">
        <v>5452</v>
      </c>
      <c r="S362" t="s">
        <v>607</v>
      </c>
      <c r="T362" t="s">
        <v>7</v>
      </c>
    </row>
    <row r="363" spans="1:20">
      <c r="A363" t="s">
        <v>3463</v>
      </c>
      <c r="B363" t="s">
        <v>3758</v>
      </c>
      <c r="C363" s="101">
        <v>1027</v>
      </c>
      <c r="D363" t="s">
        <v>5453</v>
      </c>
      <c r="E363" t="s">
        <v>185</v>
      </c>
      <c r="G363" t="s">
        <v>3399</v>
      </c>
      <c r="K363" t="s">
        <v>5454</v>
      </c>
      <c r="L363" t="s">
        <v>5208</v>
      </c>
      <c r="S363" t="s">
        <v>32</v>
      </c>
      <c r="T363" t="s">
        <v>7</v>
      </c>
    </row>
    <row r="364" spans="1:20">
      <c r="A364" t="s">
        <v>3463</v>
      </c>
      <c r="B364" t="s">
        <v>3758</v>
      </c>
      <c r="C364" s="101">
        <v>1028</v>
      </c>
      <c r="D364" t="s">
        <v>5455</v>
      </c>
      <c r="E364" t="s">
        <v>210</v>
      </c>
      <c r="G364" t="s">
        <v>3399</v>
      </c>
      <c r="K364" t="s">
        <v>5456</v>
      </c>
      <c r="S364" t="s">
        <v>607</v>
      </c>
      <c r="T364" t="s">
        <v>7</v>
      </c>
    </row>
    <row r="365" spans="1:20">
      <c r="A365" t="s">
        <v>3463</v>
      </c>
      <c r="B365" t="s">
        <v>3758</v>
      </c>
      <c r="C365" s="101">
        <v>1029</v>
      </c>
      <c r="D365" t="s">
        <v>5457</v>
      </c>
      <c r="E365" t="s">
        <v>210</v>
      </c>
      <c r="G365" t="s">
        <v>3399</v>
      </c>
      <c r="K365" t="s">
        <v>5458</v>
      </c>
      <c r="S365" t="s">
        <v>52</v>
      </c>
      <c r="T365" t="s">
        <v>7</v>
      </c>
    </row>
    <row r="366" spans="1:20">
      <c r="A366" t="s">
        <v>3463</v>
      </c>
      <c r="B366" t="s">
        <v>3758</v>
      </c>
      <c r="C366" s="101">
        <v>1030</v>
      </c>
      <c r="D366" t="s">
        <v>5459</v>
      </c>
      <c r="E366" t="s">
        <v>210</v>
      </c>
      <c r="G366" t="s">
        <v>3399</v>
      </c>
      <c r="K366" t="s">
        <v>5460</v>
      </c>
      <c r="S366" t="s">
        <v>33</v>
      </c>
      <c r="T366" t="s">
        <v>7</v>
      </c>
    </row>
    <row r="367" spans="1:20">
      <c r="A367" t="s">
        <v>3463</v>
      </c>
      <c r="B367" t="s">
        <v>3758</v>
      </c>
      <c r="C367" s="101">
        <v>1031</v>
      </c>
      <c r="D367" t="s">
        <v>5461</v>
      </c>
      <c r="E367" t="s">
        <v>5462</v>
      </c>
      <c r="G367" t="s">
        <v>3399</v>
      </c>
      <c r="K367" t="s">
        <v>5463</v>
      </c>
      <c r="S367" t="s">
        <v>3747</v>
      </c>
      <c r="T367" t="s">
        <v>7</v>
      </c>
    </row>
    <row r="368" spans="1:20">
      <c r="A368" t="s">
        <v>3463</v>
      </c>
      <c r="B368" t="s">
        <v>3758</v>
      </c>
      <c r="C368" s="101">
        <v>1032</v>
      </c>
      <c r="D368" t="s">
        <v>5464</v>
      </c>
      <c r="E368" t="s">
        <v>611</v>
      </c>
      <c r="G368" t="s">
        <v>3399</v>
      </c>
      <c r="K368" t="s">
        <v>5465</v>
      </c>
      <c r="S368" t="s">
        <v>14</v>
      </c>
      <c r="T368" t="s">
        <v>7</v>
      </c>
    </row>
    <row r="369" spans="1:20">
      <c r="A369" t="s">
        <v>3463</v>
      </c>
      <c r="B369" t="s">
        <v>3758</v>
      </c>
      <c r="C369" s="101">
        <v>1033</v>
      </c>
      <c r="D369" t="s">
        <v>5466</v>
      </c>
      <c r="E369" t="s">
        <v>212</v>
      </c>
      <c r="G369" t="s">
        <v>3447</v>
      </c>
      <c r="K369" t="s">
        <v>5467</v>
      </c>
      <c r="S369" t="s">
        <v>768</v>
      </c>
      <c r="T369" t="s">
        <v>7</v>
      </c>
    </row>
    <row r="370" spans="1:20">
      <c r="A370" t="s">
        <v>3463</v>
      </c>
      <c r="B370" t="s">
        <v>3758</v>
      </c>
      <c r="C370" s="101">
        <v>1034</v>
      </c>
      <c r="D370" t="s">
        <v>5468</v>
      </c>
      <c r="E370" t="s">
        <v>212</v>
      </c>
      <c r="G370" t="s">
        <v>3399</v>
      </c>
      <c r="K370" t="s">
        <v>5469</v>
      </c>
      <c r="L370" t="s">
        <v>5470</v>
      </c>
      <c r="S370" t="s">
        <v>34</v>
      </c>
      <c r="T370" t="s">
        <v>7</v>
      </c>
    </row>
    <row r="371" spans="1:20">
      <c r="A371" s="101" t="s">
        <v>3465</v>
      </c>
      <c r="B371" s="101" t="s">
        <v>3758</v>
      </c>
      <c r="C371" s="101">
        <v>2001</v>
      </c>
      <c r="D371" s="101" t="s">
        <v>6851</v>
      </c>
      <c r="E371" s="101" t="s">
        <v>6852</v>
      </c>
      <c r="F371" s="101"/>
      <c r="G371" s="101" t="s">
        <v>3399</v>
      </c>
      <c r="H371" s="101"/>
      <c r="I371" s="101"/>
      <c r="J371" s="101"/>
      <c r="K371" s="101" t="s">
        <v>6853</v>
      </c>
      <c r="L371" s="102" t="s">
        <v>6854</v>
      </c>
      <c r="M371" s="102"/>
      <c r="N371" s="102"/>
      <c r="O371" s="102"/>
      <c r="P371" s="102"/>
      <c r="Q371" s="102"/>
      <c r="R371" s="101"/>
      <c r="S371" s="101" t="s">
        <v>31</v>
      </c>
      <c r="T371" s="101" t="s">
        <v>9</v>
      </c>
    </row>
    <row r="372" spans="1:20">
      <c r="A372" s="101" t="s">
        <v>3465</v>
      </c>
      <c r="B372" s="101" t="s">
        <v>3758</v>
      </c>
      <c r="C372" s="101">
        <v>2002</v>
      </c>
      <c r="D372" s="101" t="s">
        <v>6855</v>
      </c>
      <c r="E372" s="101" t="s">
        <v>186</v>
      </c>
      <c r="F372" s="101"/>
      <c r="G372" s="102" t="s">
        <v>3399</v>
      </c>
      <c r="H372" s="102"/>
      <c r="I372" s="102"/>
      <c r="J372" s="102"/>
      <c r="K372" s="102" t="s">
        <v>6856</v>
      </c>
      <c r="L372" s="102" t="s">
        <v>6857</v>
      </c>
      <c r="M372" s="102"/>
      <c r="N372" s="102"/>
      <c r="O372" s="102"/>
      <c r="P372" s="102"/>
      <c r="Q372" s="102"/>
      <c r="R372" s="102"/>
      <c r="S372" s="102" t="s">
        <v>27</v>
      </c>
      <c r="T372" s="102" t="s">
        <v>9</v>
      </c>
    </row>
    <row r="373" spans="1:20">
      <c r="A373" s="101" t="s">
        <v>3465</v>
      </c>
      <c r="B373" s="101" t="s">
        <v>3758</v>
      </c>
      <c r="C373" s="101">
        <v>2003</v>
      </c>
      <c r="D373" s="102" t="s">
        <v>6858</v>
      </c>
      <c r="E373" s="102" t="s">
        <v>6859</v>
      </c>
      <c r="F373" s="102"/>
      <c r="G373" s="102" t="s">
        <v>3399</v>
      </c>
      <c r="H373" s="102"/>
      <c r="I373" s="102"/>
      <c r="J373" s="102"/>
      <c r="K373" s="102" t="s">
        <v>6860</v>
      </c>
      <c r="L373" s="102"/>
      <c r="M373" s="102"/>
      <c r="N373" s="102"/>
      <c r="O373" s="102"/>
      <c r="P373" s="102"/>
      <c r="Q373" s="102"/>
      <c r="R373" s="102"/>
      <c r="S373" s="102" t="s">
        <v>18</v>
      </c>
      <c r="T373" s="102" t="s">
        <v>9</v>
      </c>
    </row>
    <row r="374" spans="1:20">
      <c r="A374" s="101" t="s">
        <v>3465</v>
      </c>
      <c r="B374" s="101" t="s">
        <v>3758</v>
      </c>
      <c r="C374" s="101">
        <v>2004</v>
      </c>
      <c r="D374" s="102" t="s">
        <v>6861</v>
      </c>
      <c r="E374" s="102" t="s">
        <v>6859</v>
      </c>
      <c r="F374" s="102"/>
      <c r="G374" s="102" t="s">
        <v>3399</v>
      </c>
      <c r="H374" s="102"/>
      <c r="I374" s="102"/>
      <c r="J374" s="102"/>
      <c r="K374" s="102" t="s">
        <v>5014</v>
      </c>
      <c r="L374" s="102" t="s">
        <v>6862</v>
      </c>
      <c r="M374" s="102"/>
      <c r="N374" s="102"/>
      <c r="O374" s="102"/>
      <c r="P374" s="102"/>
      <c r="Q374" s="102"/>
      <c r="R374" s="102"/>
      <c r="S374" s="102" t="s">
        <v>172</v>
      </c>
      <c r="T374" s="102" t="s">
        <v>9</v>
      </c>
    </row>
    <row r="375" spans="1:20">
      <c r="A375" s="101" t="s">
        <v>3465</v>
      </c>
      <c r="B375" s="101" t="s">
        <v>3758</v>
      </c>
      <c r="C375" s="101">
        <v>2005</v>
      </c>
      <c r="D375" s="102" t="s">
        <v>6863</v>
      </c>
      <c r="E375" s="102" t="s">
        <v>187</v>
      </c>
      <c r="F375" s="102"/>
      <c r="G375" s="102" t="s">
        <v>3399</v>
      </c>
      <c r="H375" s="102"/>
      <c r="I375" s="102"/>
      <c r="J375" s="102"/>
      <c r="K375" s="102" t="s">
        <v>6864</v>
      </c>
      <c r="L375" s="102"/>
      <c r="M375" s="102"/>
      <c r="N375" s="102"/>
      <c r="O375" s="102"/>
      <c r="P375" s="102"/>
      <c r="Q375" s="102"/>
      <c r="R375" s="102"/>
      <c r="S375" s="102" t="s">
        <v>36</v>
      </c>
      <c r="T375" s="102" t="s">
        <v>9</v>
      </c>
    </row>
    <row r="376" spans="1:20">
      <c r="A376" s="101" t="s">
        <v>3465</v>
      </c>
      <c r="B376" s="101" t="s">
        <v>3758</v>
      </c>
      <c r="C376" s="101">
        <v>2006</v>
      </c>
      <c r="D376" s="102" t="s">
        <v>6865</v>
      </c>
      <c r="E376" s="102" t="s">
        <v>187</v>
      </c>
      <c r="F376" s="102"/>
      <c r="G376" s="102" t="s">
        <v>3399</v>
      </c>
      <c r="H376" s="102"/>
      <c r="I376" s="102"/>
      <c r="J376" s="102"/>
      <c r="K376" s="102" t="s">
        <v>6866</v>
      </c>
      <c r="L376" s="102"/>
      <c r="M376" s="102"/>
      <c r="N376" s="102"/>
      <c r="O376" s="102"/>
      <c r="P376" s="102"/>
      <c r="Q376" s="102"/>
      <c r="R376" s="102"/>
      <c r="S376" s="102" t="s">
        <v>46</v>
      </c>
      <c r="T376" s="102" t="s">
        <v>9</v>
      </c>
    </row>
    <row r="377" spans="1:20">
      <c r="A377" s="101" t="s">
        <v>3465</v>
      </c>
      <c r="B377" s="101" t="s">
        <v>3758</v>
      </c>
      <c r="C377" s="101">
        <v>2008</v>
      </c>
      <c r="D377" s="102" t="s">
        <v>6867</v>
      </c>
      <c r="E377" s="102" t="s">
        <v>204</v>
      </c>
      <c r="F377" s="102"/>
      <c r="G377" s="102" t="s">
        <v>3399</v>
      </c>
      <c r="H377" s="102"/>
      <c r="I377" s="102"/>
      <c r="J377" s="102"/>
      <c r="K377" s="102" t="s">
        <v>6868</v>
      </c>
      <c r="L377" s="102"/>
      <c r="M377" s="102"/>
      <c r="N377" s="102"/>
      <c r="O377" s="102"/>
      <c r="P377" s="102"/>
      <c r="Q377" s="102"/>
      <c r="R377" s="102"/>
      <c r="S377" s="102" t="s">
        <v>37</v>
      </c>
      <c r="T377" s="102" t="s">
        <v>9</v>
      </c>
    </row>
    <row r="378" spans="1:20">
      <c r="A378" s="101" t="s">
        <v>3465</v>
      </c>
      <c r="B378" s="101" t="s">
        <v>3758</v>
      </c>
      <c r="C378" s="101">
        <v>2009</v>
      </c>
      <c r="D378" s="102" t="s">
        <v>6869</v>
      </c>
      <c r="E378" s="102" t="s">
        <v>204</v>
      </c>
      <c r="F378" s="102"/>
      <c r="G378" s="102" t="s">
        <v>3399</v>
      </c>
      <c r="H378" s="102"/>
      <c r="I378" s="102"/>
      <c r="J378" s="102"/>
      <c r="K378" s="102" t="s">
        <v>6870</v>
      </c>
      <c r="L378" s="102" t="s">
        <v>6871</v>
      </c>
      <c r="M378" s="102"/>
      <c r="N378" s="102"/>
      <c r="O378" s="102"/>
      <c r="P378" s="102"/>
      <c r="Q378" s="102"/>
      <c r="R378" s="102"/>
      <c r="S378" s="102" t="s">
        <v>10</v>
      </c>
      <c r="T378" s="102" t="s">
        <v>9</v>
      </c>
    </row>
    <row r="379" spans="1:20">
      <c r="A379" s="101" t="s">
        <v>3465</v>
      </c>
      <c r="B379" s="101" t="s">
        <v>3758</v>
      </c>
      <c r="C379" s="101">
        <v>2010</v>
      </c>
      <c r="D379" s="102" t="s">
        <v>6872</v>
      </c>
      <c r="E379" s="102" t="s">
        <v>208</v>
      </c>
      <c r="F379" s="102"/>
      <c r="G379" s="102" t="s">
        <v>3399</v>
      </c>
      <c r="H379" s="102"/>
      <c r="I379" s="102"/>
      <c r="J379" s="102"/>
      <c r="K379" s="102" t="s">
        <v>6873</v>
      </c>
      <c r="L379" s="102" t="s">
        <v>5271</v>
      </c>
      <c r="M379" s="102" t="s">
        <v>6874</v>
      </c>
      <c r="N379" s="102" t="s">
        <v>5438</v>
      </c>
      <c r="O379" s="102" t="s">
        <v>6875</v>
      </c>
      <c r="P379" s="102"/>
      <c r="Q379" s="102"/>
      <c r="R379" s="102"/>
      <c r="S379" s="102" t="s">
        <v>39</v>
      </c>
      <c r="T379" s="102" t="s">
        <v>9</v>
      </c>
    </row>
    <row r="380" spans="1:20">
      <c r="A380" s="101" t="s">
        <v>3465</v>
      </c>
      <c r="B380" s="101" t="s">
        <v>3758</v>
      </c>
      <c r="C380" s="101">
        <v>2011</v>
      </c>
      <c r="D380" s="102" t="s">
        <v>6876</v>
      </c>
      <c r="E380" s="102" t="s">
        <v>208</v>
      </c>
      <c r="F380" s="102"/>
      <c r="G380" s="102" t="s">
        <v>3399</v>
      </c>
      <c r="H380" s="102"/>
      <c r="I380" s="102"/>
      <c r="J380" s="102"/>
      <c r="K380" s="102" t="s">
        <v>6877</v>
      </c>
      <c r="L380" s="102"/>
      <c r="M380" s="102"/>
      <c r="N380" s="102"/>
      <c r="O380" s="102"/>
      <c r="P380" s="102"/>
      <c r="Q380" s="102"/>
      <c r="R380" s="102"/>
      <c r="S380" s="102" t="s">
        <v>36</v>
      </c>
      <c r="T380" s="102" t="s">
        <v>9</v>
      </c>
    </row>
    <row r="381" spans="1:20">
      <c r="A381" s="101" t="s">
        <v>3465</v>
      </c>
      <c r="B381" s="101" t="s">
        <v>3758</v>
      </c>
      <c r="C381" s="101">
        <v>2012</v>
      </c>
      <c r="D381" s="102" t="s">
        <v>6878</v>
      </c>
      <c r="E381" s="102" t="s">
        <v>208</v>
      </c>
      <c r="F381" s="102"/>
      <c r="G381" s="102" t="s">
        <v>3399</v>
      </c>
      <c r="H381" s="102"/>
      <c r="I381" s="102"/>
      <c r="J381" s="102"/>
      <c r="K381" s="102" t="s">
        <v>6879</v>
      </c>
      <c r="L381" s="102"/>
      <c r="M381" s="102"/>
      <c r="N381" s="102"/>
      <c r="O381" s="102"/>
      <c r="P381" s="102"/>
      <c r="Q381" s="102"/>
      <c r="R381" s="102"/>
      <c r="S381" s="102" t="s">
        <v>29</v>
      </c>
      <c r="T381" s="102" t="s">
        <v>9</v>
      </c>
    </row>
    <row r="382" spans="1:20">
      <c r="A382" s="101" t="s">
        <v>3465</v>
      </c>
      <c r="B382" s="101" t="s">
        <v>3758</v>
      </c>
      <c r="C382" s="101">
        <v>2013</v>
      </c>
      <c r="D382" s="102" t="s">
        <v>6880</v>
      </c>
      <c r="E382" s="102" t="s">
        <v>204</v>
      </c>
      <c r="F382" s="102"/>
      <c r="G382" s="102" t="s">
        <v>3399</v>
      </c>
      <c r="H382" s="102"/>
      <c r="I382" s="102"/>
      <c r="J382" s="102"/>
      <c r="K382" s="102" t="s">
        <v>6881</v>
      </c>
      <c r="L382" s="102"/>
      <c r="M382" s="102"/>
      <c r="N382" s="102"/>
      <c r="O382" s="102"/>
      <c r="P382" s="102"/>
      <c r="Q382" s="102"/>
      <c r="R382" s="102"/>
      <c r="S382" s="102" t="s">
        <v>3119</v>
      </c>
      <c r="T382" s="102" t="s">
        <v>9</v>
      </c>
    </row>
    <row r="383" spans="1:20">
      <c r="A383" s="101" t="s">
        <v>3465</v>
      </c>
      <c r="B383" s="101" t="s">
        <v>3758</v>
      </c>
      <c r="C383" s="101">
        <v>2014</v>
      </c>
      <c r="D383" s="102" t="s">
        <v>6882</v>
      </c>
      <c r="E383" s="102" t="s">
        <v>209</v>
      </c>
      <c r="F383" s="102"/>
      <c r="G383" s="102" t="s">
        <v>3399</v>
      </c>
      <c r="H383" s="102"/>
      <c r="I383" s="102"/>
      <c r="J383" s="102"/>
      <c r="K383" s="102" t="s">
        <v>6883</v>
      </c>
      <c r="L383" s="102"/>
      <c r="M383" s="102"/>
      <c r="N383" s="102"/>
      <c r="O383" s="102"/>
      <c r="P383" s="102"/>
      <c r="Q383" s="102"/>
      <c r="R383" s="102"/>
      <c r="S383" s="102" t="s">
        <v>169</v>
      </c>
      <c r="T383" s="102" t="s">
        <v>9</v>
      </c>
    </row>
    <row r="384" spans="1:20">
      <c r="A384" s="101" t="s">
        <v>3465</v>
      </c>
      <c r="B384" s="101" t="s">
        <v>3758</v>
      </c>
      <c r="C384" s="101">
        <v>2016</v>
      </c>
      <c r="D384" s="102" t="s">
        <v>6884</v>
      </c>
      <c r="E384" s="102" t="s">
        <v>209</v>
      </c>
      <c r="F384" s="102"/>
      <c r="G384" s="102" t="s">
        <v>3399</v>
      </c>
      <c r="H384" s="102"/>
      <c r="I384" s="102"/>
      <c r="J384" s="102"/>
      <c r="K384" s="102" t="s">
        <v>4172</v>
      </c>
      <c r="L384" s="102"/>
      <c r="M384" s="102"/>
      <c r="N384" s="102"/>
      <c r="O384" s="102"/>
      <c r="P384" s="102"/>
      <c r="Q384" s="102"/>
      <c r="R384" s="102"/>
      <c r="S384" s="102" t="s">
        <v>174</v>
      </c>
      <c r="T384" s="102" t="s">
        <v>9</v>
      </c>
    </row>
    <row r="385" spans="1:20">
      <c r="A385" s="101" t="s">
        <v>3465</v>
      </c>
      <c r="B385" s="101" t="s">
        <v>3758</v>
      </c>
      <c r="C385" s="101">
        <v>2017</v>
      </c>
      <c r="D385" s="102" t="s">
        <v>6885</v>
      </c>
      <c r="E385" s="102" t="s">
        <v>185</v>
      </c>
      <c r="F385" s="102"/>
      <c r="G385" s="102" t="s">
        <v>3399</v>
      </c>
      <c r="H385" s="102"/>
      <c r="I385" s="102"/>
      <c r="J385" s="102"/>
      <c r="K385" s="102" t="s">
        <v>6886</v>
      </c>
      <c r="L385" s="102"/>
      <c r="M385" s="102"/>
      <c r="N385" s="102"/>
      <c r="O385" s="102"/>
      <c r="P385" s="102"/>
      <c r="Q385" s="102"/>
      <c r="R385" s="102"/>
      <c r="S385" s="102" t="s">
        <v>33</v>
      </c>
      <c r="T385" s="102" t="s">
        <v>9</v>
      </c>
    </row>
    <row r="386" spans="1:20">
      <c r="A386" s="101" t="s">
        <v>3465</v>
      </c>
      <c r="B386" s="101" t="s">
        <v>3758</v>
      </c>
      <c r="C386" s="101">
        <v>2018</v>
      </c>
      <c r="D386" s="102" t="s">
        <v>6887</v>
      </c>
      <c r="E386" s="102" t="s">
        <v>209</v>
      </c>
      <c r="F386" s="102"/>
      <c r="G386" s="102" t="s">
        <v>3399</v>
      </c>
      <c r="H386" s="102"/>
      <c r="I386" s="102"/>
      <c r="J386" s="102"/>
      <c r="K386" s="102" t="s">
        <v>6888</v>
      </c>
      <c r="L386" s="102"/>
      <c r="M386" s="102"/>
      <c r="N386" s="102"/>
      <c r="O386" s="102"/>
      <c r="P386" s="102"/>
      <c r="Q386" s="102"/>
      <c r="R386" s="102"/>
      <c r="S386" s="102"/>
      <c r="T386" s="102" t="s">
        <v>9</v>
      </c>
    </row>
    <row r="387" spans="1:20">
      <c r="A387" s="101" t="s">
        <v>3465</v>
      </c>
      <c r="B387" s="101" t="s">
        <v>3758</v>
      </c>
      <c r="C387" s="101">
        <v>2019</v>
      </c>
      <c r="D387" s="102" t="s">
        <v>6889</v>
      </c>
      <c r="E387" s="102" t="s">
        <v>210</v>
      </c>
      <c r="F387" s="102"/>
      <c r="G387" s="102" t="s">
        <v>3399</v>
      </c>
      <c r="H387" s="102"/>
      <c r="I387" s="102"/>
      <c r="J387" s="102"/>
      <c r="K387" s="102" t="s">
        <v>6890</v>
      </c>
      <c r="L387" s="102" t="s">
        <v>6891</v>
      </c>
      <c r="M387" s="102"/>
      <c r="N387" s="102"/>
      <c r="O387" s="102"/>
      <c r="P387" s="102"/>
      <c r="Q387" s="102"/>
      <c r="R387" s="102"/>
      <c r="S387" s="102" t="s">
        <v>17</v>
      </c>
      <c r="T387" s="102" t="s">
        <v>9</v>
      </c>
    </row>
    <row r="388" spans="1:20">
      <c r="A388" s="101" t="s">
        <v>3465</v>
      </c>
      <c r="B388" s="101" t="s">
        <v>3758</v>
      </c>
      <c r="C388" s="101">
        <v>2020</v>
      </c>
      <c r="D388" s="102" t="s">
        <v>6892</v>
      </c>
      <c r="E388" s="102" t="s">
        <v>209</v>
      </c>
      <c r="F388" s="102"/>
      <c r="G388" s="102" t="s">
        <v>3399</v>
      </c>
      <c r="H388" s="102"/>
      <c r="I388" s="102"/>
      <c r="J388" s="102"/>
      <c r="K388" s="102" t="s">
        <v>6893</v>
      </c>
      <c r="L388" s="102" t="s">
        <v>6894</v>
      </c>
      <c r="M388" s="102"/>
      <c r="N388" s="102"/>
      <c r="O388" s="102"/>
      <c r="P388" s="102"/>
      <c r="Q388" s="102"/>
      <c r="R388" s="102"/>
      <c r="S388" s="102" t="s">
        <v>45</v>
      </c>
      <c r="T388" s="102" t="s">
        <v>9</v>
      </c>
    </row>
    <row r="389" spans="1:20">
      <c r="A389" s="103" t="s">
        <v>3465</v>
      </c>
      <c r="B389" s="103" t="s">
        <v>3758</v>
      </c>
      <c r="C389" s="103">
        <v>2021</v>
      </c>
      <c r="D389" s="104" t="s">
        <v>6895</v>
      </c>
      <c r="E389" s="104" t="s">
        <v>209</v>
      </c>
      <c r="F389" s="104"/>
      <c r="G389" s="104" t="s">
        <v>3399</v>
      </c>
      <c r="H389" s="104"/>
      <c r="I389" s="104"/>
      <c r="J389" s="104"/>
      <c r="K389" s="104" t="s">
        <v>6896</v>
      </c>
      <c r="L389" s="104" t="s">
        <v>6897</v>
      </c>
      <c r="M389" s="104"/>
      <c r="N389" s="104"/>
      <c r="O389" s="104"/>
      <c r="P389" s="104"/>
      <c r="Q389" s="104"/>
      <c r="R389" s="102"/>
      <c r="S389" s="102" t="s">
        <v>5685</v>
      </c>
      <c r="T389" s="102" t="s">
        <v>9</v>
      </c>
    </row>
    <row r="390" spans="1:20">
      <c r="A390" s="101" t="s">
        <v>3465</v>
      </c>
      <c r="B390" s="101" t="s">
        <v>3758</v>
      </c>
      <c r="C390" s="101">
        <v>2022</v>
      </c>
      <c r="D390" s="102" t="s">
        <v>6898</v>
      </c>
      <c r="E390" s="102" t="s">
        <v>209</v>
      </c>
      <c r="F390" s="102"/>
      <c r="G390" s="102" t="s">
        <v>3399</v>
      </c>
      <c r="H390" s="102"/>
      <c r="I390" s="102"/>
      <c r="J390" s="102"/>
      <c r="K390" s="102" t="s">
        <v>6899</v>
      </c>
      <c r="L390" s="102" t="s">
        <v>6900</v>
      </c>
      <c r="M390" s="102"/>
      <c r="N390" s="102"/>
      <c r="O390" s="102"/>
      <c r="P390" s="102"/>
      <c r="Q390" s="102"/>
      <c r="R390" s="102"/>
      <c r="S390" s="102" t="s">
        <v>35</v>
      </c>
      <c r="T390" s="102" t="s">
        <v>9</v>
      </c>
    </row>
    <row r="391" spans="1:20">
      <c r="A391" s="101" t="s">
        <v>3465</v>
      </c>
      <c r="B391" s="101" t="s">
        <v>3758</v>
      </c>
      <c r="C391" s="101">
        <v>2023</v>
      </c>
      <c r="D391" s="110" t="s">
        <v>6901</v>
      </c>
      <c r="E391" s="110" t="s">
        <v>211</v>
      </c>
      <c r="F391" s="110"/>
      <c r="G391" s="110" t="s">
        <v>3399</v>
      </c>
      <c r="H391" s="110"/>
      <c r="I391" s="110"/>
      <c r="J391" s="110"/>
      <c r="K391" s="110" t="s">
        <v>6902</v>
      </c>
      <c r="L391" s="110" t="s">
        <v>6903</v>
      </c>
      <c r="M391" s="110"/>
      <c r="N391" s="110"/>
      <c r="O391" s="110"/>
      <c r="P391" s="110"/>
      <c r="Q391" s="110"/>
      <c r="R391" s="110"/>
      <c r="S391" s="110" t="s">
        <v>31</v>
      </c>
      <c r="T391" s="110" t="s">
        <v>9</v>
      </c>
    </row>
    <row r="392" spans="1:20">
      <c r="A392" s="103" t="s">
        <v>3465</v>
      </c>
      <c r="B392" s="103" t="s">
        <v>3758</v>
      </c>
      <c r="C392" s="103">
        <v>2024</v>
      </c>
      <c r="D392" s="104" t="s">
        <v>6904</v>
      </c>
      <c r="E392" s="104" t="s">
        <v>210</v>
      </c>
      <c r="F392" s="104"/>
      <c r="G392" s="104" t="s">
        <v>3399</v>
      </c>
      <c r="H392" s="104"/>
      <c r="I392" s="104"/>
      <c r="J392" s="104"/>
      <c r="K392" s="104" t="s">
        <v>4113</v>
      </c>
      <c r="L392" s="104" t="s">
        <v>6905</v>
      </c>
      <c r="M392" s="104" t="s">
        <v>6906</v>
      </c>
      <c r="N392" s="104"/>
      <c r="O392" s="104"/>
      <c r="P392" s="104"/>
      <c r="Q392" s="104"/>
      <c r="R392" s="102"/>
      <c r="S392" s="102" t="s">
        <v>5685</v>
      </c>
      <c r="T392" s="102" t="s">
        <v>9</v>
      </c>
    </row>
    <row r="393" spans="1:20">
      <c r="A393" s="101" t="s">
        <v>3465</v>
      </c>
      <c r="B393" s="101" t="s">
        <v>3758</v>
      </c>
      <c r="C393" s="101">
        <v>2025</v>
      </c>
      <c r="D393" s="102" t="s">
        <v>6907</v>
      </c>
      <c r="E393" s="102" t="s">
        <v>210</v>
      </c>
      <c r="F393" s="102"/>
      <c r="G393" s="102" t="s">
        <v>3399</v>
      </c>
      <c r="H393" s="102"/>
      <c r="I393" s="102"/>
      <c r="J393" s="102"/>
      <c r="K393" s="102" t="s">
        <v>6908</v>
      </c>
      <c r="L393" s="102"/>
      <c r="M393" s="102"/>
      <c r="N393" s="102"/>
      <c r="O393" s="102"/>
      <c r="P393" s="102"/>
      <c r="Q393" s="102"/>
      <c r="R393" s="102"/>
      <c r="S393" s="102" t="s">
        <v>26</v>
      </c>
      <c r="T393" s="102" t="s">
        <v>9</v>
      </c>
    </row>
    <row r="394" spans="1:20">
      <c r="A394" s="103" t="s">
        <v>3465</v>
      </c>
      <c r="B394" s="103" t="s">
        <v>3758</v>
      </c>
      <c r="C394" s="103">
        <v>2026</v>
      </c>
      <c r="D394" s="104" t="s">
        <v>6909</v>
      </c>
      <c r="E394" s="104" t="s">
        <v>211</v>
      </c>
      <c r="F394" s="104"/>
      <c r="G394" s="104" t="s">
        <v>6910</v>
      </c>
      <c r="H394" s="104"/>
      <c r="I394" s="104"/>
      <c r="J394" s="104"/>
      <c r="K394" s="104" t="s">
        <v>6911</v>
      </c>
      <c r="L394" s="104" t="s">
        <v>6912</v>
      </c>
      <c r="M394" s="104"/>
      <c r="N394" s="104"/>
      <c r="O394" s="104"/>
      <c r="P394" s="104"/>
      <c r="Q394" s="104"/>
      <c r="R394" s="102"/>
      <c r="S394" s="102" t="s">
        <v>5719</v>
      </c>
      <c r="T394" s="102" t="s">
        <v>9</v>
      </c>
    </row>
    <row r="395" spans="1:20">
      <c r="A395" s="101" t="s">
        <v>3465</v>
      </c>
      <c r="B395" s="101" t="s">
        <v>3758</v>
      </c>
      <c r="C395" s="101">
        <v>2027</v>
      </c>
      <c r="D395" s="102" t="s">
        <v>6913</v>
      </c>
      <c r="E395" s="102" t="s">
        <v>210</v>
      </c>
      <c r="F395" s="102"/>
      <c r="G395" s="102" t="s">
        <v>3399</v>
      </c>
      <c r="H395" s="102"/>
      <c r="I395" s="102"/>
      <c r="J395" s="102"/>
      <c r="K395" s="102" t="s">
        <v>6914</v>
      </c>
      <c r="L395" s="102" t="s">
        <v>6915</v>
      </c>
      <c r="M395" s="102"/>
      <c r="N395" s="102"/>
      <c r="O395" s="102"/>
      <c r="P395" s="102"/>
      <c r="Q395" s="102"/>
      <c r="R395" s="102"/>
      <c r="S395" s="102" t="s">
        <v>28</v>
      </c>
      <c r="T395" s="102" t="s">
        <v>9</v>
      </c>
    </row>
    <row r="396" spans="1:20">
      <c r="A396" s="101" t="s">
        <v>3465</v>
      </c>
      <c r="B396" s="101" t="s">
        <v>3758</v>
      </c>
      <c r="C396" s="101">
        <v>2028</v>
      </c>
      <c r="D396" s="102" t="s">
        <v>4753</v>
      </c>
      <c r="E396" s="102" t="s">
        <v>210</v>
      </c>
      <c r="F396" s="102"/>
      <c r="G396" s="102" t="s">
        <v>3399</v>
      </c>
      <c r="H396" s="102"/>
      <c r="I396" s="102"/>
      <c r="J396" s="102"/>
      <c r="K396" s="102" t="s">
        <v>4754</v>
      </c>
      <c r="L396" s="102" t="s">
        <v>4755</v>
      </c>
      <c r="M396" s="102"/>
      <c r="N396" s="102"/>
      <c r="O396" s="102"/>
      <c r="P396" s="102"/>
      <c r="Q396" s="102"/>
      <c r="R396" s="102"/>
      <c r="S396" s="102" t="s">
        <v>44</v>
      </c>
      <c r="T396" s="102" t="s">
        <v>9</v>
      </c>
    </row>
    <row r="397" spans="1:20">
      <c r="A397" s="101" t="s">
        <v>3465</v>
      </c>
      <c r="B397" s="101" t="s">
        <v>3758</v>
      </c>
      <c r="C397" s="101">
        <v>2029</v>
      </c>
      <c r="D397" s="102" t="s">
        <v>6916</v>
      </c>
      <c r="E397" s="102" t="s">
        <v>210</v>
      </c>
      <c r="F397" s="102"/>
      <c r="G397" s="102" t="s">
        <v>3399</v>
      </c>
      <c r="H397" s="102"/>
      <c r="I397" s="102"/>
      <c r="J397" s="102"/>
      <c r="K397" s="102" t="s">
        <v>6917</v>
      </c>
      <c r="L397" s="102"/>
      <c r="M397" s="102"/>
      <c r="N397" s="102"/>
      <c r="O397" s="102"/>
      <c r="P397" s="102"/>
      <c r="Q397" s="102"/>
      <c r="R397" s="102"/>
      <c r="S397" s="102" t="s">
        <v>5381</v>
      </c>
      <c r="T397" s="102" t="s">
        <v>9</v>
      </c>
    </row>
    <row r="398" spans="1:20">
      <c r="A398" s="101" t="s">
        <v>3465</v>
      </c>
      <c r="B398" s="101" t="s">
        <v>3758</v>
      </c>
      <c r="C398" s="101">
        <v>2030</v>
      </c>
      <c r="D398" s="102" t="s">
        <v>6918</v>
      </c>
      <c r="E398" s="102" t="s">
        <v>779</v>
      </c>
      <c r="F398" s="102"/>
      <c r="G398" s="102" t="s">
        <v>3399</v>
      </c>
      <c r="H398" s="102"/>
      <c r="I398" s="102"/>
      <c r="J398" s="102"/>
      <c r="K398" s="102" t="s">
        <v>6919</v>
      </c>
      <c r="L398" s="102" t="s">
        <v>6920</v>
      </c>
      <c r="M398" s="102"/>
      <c r="N398" s="102"/>
      <c r="O398" s="102"/>
      <c r="P398" s="102"/>
      <c r="Q398" s="102"/>
      <c r="R398" s="102"/>
      <c r="S398" s="102" t="s">
        <v>607</v>
      </c>
      <c r="T398" s="102" t="s">
        <v>9</v>
      </c>
    </row>
    <row r="399" spans="1:20">
      <c r="A399" s="101" t="s">
        <v>3465</v>
      </c>
      <c r="B399" s="101" t="s">
        <v>3758</v>
      </c>
      <c r="C399" s="101">
        <v>2031</v>
      </c>
      <c r="D399" s="102" t="s">
        <v>6921</v>
      </c>
      <c r="E399" s="102" t="s">
        <v>210</v>
      </c>
      <c r="F399" s="102"/>
      <c r="G399" s="102" t="s">
        <v>3399</v>
      </c>
      <c r="H399" s="102"/>
      <c r="I399" s="102"/>
      <c r="J399" s="102"/>
      <c r="K399" s="102" t="s">
        <v>6922</v>
      </c>
      <c r="L399" s="102"/>
      <c r="M399" s="102"/>
      <c r="N399" s="102"/>
      <c r="O399" s="102"/>
      <c r="P399" s="102"/>
      <c r="Q399" s="102"/>
      <c r="R399" s="102"/>
      <c r="S399" s="102" t="s">
        <v>48</v>
      </c>
      <c r="T399" s="102" t="s">
        <v>9</v>
      </c>
    </row>
    <row r="400" spans="1:20">
      <c r="A400" s="101" t="s">
        <v>3465</v>
      </c>
      <c r="B400" s="101" t="s">
        <v>3758</v>
      </c>
      <c r="C400" s="101">
        <v>2032</v>
      </c>
      <c r="D400" s="102" t="s">
        <v>6923</v>
      </c>
      <c r="E400" s="102" t="s">
        <v>211</v>
      </c>
      <c r="F400" s="102"/>
      <c r="G400" s="102" t="s">
        <v>3399</v>
      </c>
      <c r="H400" s="102"/>
      <c r="I400" s="102"/>
      <c r="J400" s="102"/>
      <c r="K400" s="102" t="s">
        <v>6924</v>
      </c>
      <c r="L400" s="102"/>
      <c r="M400" s="102"/>
      <c r="N400" s="102"/>
      <c r="O400" s="102"/>
      <c r="P400" s="102"/>
      <c r="Q400" s="102"/>
      <c r="R400" s="102"/>
      <c r="S400" s="102" t="s">
        <v>8</v>
      </c>
      <c r="T400" s="102" t="s">
        <v>9</v>
      </c>
    </row>
    <row r="401" spans="1:20">
      <c r="A401" s="101" t="s">
        <v>3465</v>
      </c>
      <c r="B401" s="101" t="s">
        <v>3758</v>
      </c>
      <c r="C401" s="101">
        <v>2033</v>
      </c>
      <c r="D401" s="102" t="s">
        <v>6925</v>
      </c>
      <c r="E401" s="102" t="s">
        <v>210</v>
      </c>
      <c r="F401" s="102"/>
      <c r="G401" s="102" t="s">
        <v>3399</v>
      </c>
      <c r="H401" s="102"/>
      <c r="I401" s="102"/>
      <c r="J401" s="102"/>
      <c r="K401" s="102" t="s">
        <v>6926</v>
      </c>
      <c r="L401" s="102"/>
      <c r="M401" s="102"/>
      <c r="N401" s="102"/>
      <c r="O401" s="102"/>
      <c r="P401" s="102"/>
      <c r="Q401" s="102"/>
      <c r="R401" s="102"/>
      <c r="S401" s="102" t="s">
        <v>38</v>
      </c>
      <c r="T401" s="102" t="s">
        <v>9</v>
      </c>
    </row>
    <row r="402" spans="1:20">
      <c r="A402" s="101" t="s">
        <v>3465</v>
      </c>
      <c r="B402" s="101" t="s">
        <v>3758</v>
      </c>
      <c r="C402" s="101">
        <v>2034</v>
      </c>
      <c r="D402" s="102" t="s">
        <v>6927</v>
      </c>
      <c r="E402" s="102" t="s">
        <v>212</v>
      </c>
      <c r="F402" s="102"/>
      <c r="G402" s="102" t="s">
        <v>3399</v>
      </c>
      <c r="H402" s="102"/>
      <c r="I402" s="102"/>
      <c r="J402" s="102"/>
      <c r="K402" s="102" t="s">
        <v>6928</v>
      </c>
      <c r="L402" s="102"/>
      <c r="M402" s="102"/>
      <c r="N402" s="102"/>
      <c r="O402" s="102"/>
      <c r="P402" s="102"/>
      <c r="Q402" s="102"/>
      <c r="R402" s="102"/>
      <c r="S402" s="102" t="s">
        <v>176</v>
      </c>
      <c r="T402" s="102" t="s">
        <v>9</v>
      </c>
    </row>
    <row r="403" spans="1:20">
      <c r="A403" s="101" t="s">
        <v>3465</v>
      </c>
      <c r="B403" s="101" t="s">
        <v>3758</v>
      </c>
      <c r="C403" s="101">
        <v>2036</v>
      </c>
      <c r="D403" s="102" t="s">
        <v>5466</v>
      </c>
      <c r="E403" s="102" t="s">
        <v>212</v>
      </c>
      <c r="F403" s="102"/>
      <c r="G403" s="102" t="s">
        <v>3447</v>
      </c>
      <c r="H403" s="102" t="s">
        <v>5672</v>
      </c>
      <c r="I403" s="102"/>
      <c r="J403" s="102"/>
      <c r="K403" s="102" t="s">
        <v>5467</v>
      </c>
      <c r="L403" s="102"/>
      <c r="M403" s="102"/>
      <c r="N403" s="102"/>
      <c r="O403" s="102"/>
      <c r="P403" s="102"/>
      <c r="Q403" s="102"/>
      <c r="R403" s="102"/>
      <c r="S403" s="102" t="s">
        <v>3119</v>
      </c>
      <c r="T403" s="102" t="s">
        <v>9</v>
      </c>
    </row>
    <row r="404" spans="1:20">
      <c r="A404" s="101" t="s">
        <v>3465</v>
      </c>
      <c r="B404" s="101" t="s">
        <v>3758</v>
      </c>
      <c r="C404" s="101">
        <v>2037</v>
      </c>
      <c r="D404" s="102" t="s">
        <v>6929</v>
      </c>
      <c r="E404" s="102" t="s">
        <v>212</v>
      </c>
      <c r="F404" s="102"/>
      <c r="G404" s="102" t="s">
        <v>3399</v>
      </c>
      <c r="H404" s="102"/>
      <c r="I404" s="102"/>
      <c r="J404" s="102"/>
      <c r="K404" s="102" t="s">
        <v>6930</v>
      </c>
      <c r="L404" s="102" t="s">
        <v>5208</v>
      </c>
      <c r="M404" s="102"/>
      <c r="N404" s="102"/>
      <c r="O404" s="102"/>
      <c r="P404" s="102"/>
      <c r="Q404" s="102"/>
      <c r="R404" s="102"/>
      <c r="S404" s="102" t="s">
        <v>170</v>
      </c>
      <c r="T404" s="102" t="s">
        <v>9</v>
      </c>
    </row>
    <row r="405" spans="1:20">
      <c r="A405" s="101" t="s">
        <v>3465</v>
      </c>
      <c r="B405" s="101" t="s">
        <v>3758</v>
      </c>
      <c r="C405" s="101">
        <v>2038</v>
      </c>
      <c r="D405" s="102" t="s">
        <v>6931</v>
      </c>
      <c r="E405" s="102" t="s">
        <v>212</v>
      </c>
      <c r="F405" s="102"/>
      <c r="G405" s="102" t="s">
        <v>3399</v>
      </c>
      <c r="H405" s="102"/>
      <c r="I405" s="102"/>
      <c r="J405" s="102"/>
      <c r="K405" s="102" t="s">
        <v>4162</v>
      </c>
      <c r="L405" s="102" t="s">
        <v>6932</v>
      </c>
      <c r="M405" s="102" t="s">
        <v>6933</v>
      </c>
      <c r="N405" s="102" t="s">
        <v>6934</v>
      </c>
      <c r="O405" s="102" t="s">
        <v>6935</v>
      </c>
      <c r="P405" s="102"/>
      <c r="Q405" s="102"/>
      <c r="R405" s="102"/>
      <c r="S405" s="102" t="s">
        <v>5281</v>
      </c>
      <c r="T405" s="102" t="s">
        <v>9</v>
      </c>
    </row>
    <row r="406" spans="1:20">
      <c r="A406" s="101" t="s">
        <v>3465</v>
      </c>
      <c r="B406" s="101" t="s">
        <v>3758</v>
      </c>
      <c r="C406" s="101">
        <v>2039</v>
      </c>
      <c r="D406" s="102" t="s">
        <v>6936</v>
      </c>
      <c r="E406" s="102" t="s">
        <v>611</v>
      </c>
      <c r="F406" s="102"/>
      <c r="G406" s="102" t="s">
        <v>3399</v>
      </c>
      <c r="H406" s="102"/>
      <c r="I406" s="102"/>
      <c r="J406" s="102"/>
      <c r="K406" s="102" t="s">
        <v>6937</v>
      </c>
      <c r="L406" s="102"/>
      <c r="M406" s="102"/>
      <c r="N406" s="102"/>
      <c r="O406" s="102"/>
      <c r="P406" s="102"/>
      <c r="Q406" s="102"/>
      <c r="R406" s="102"/>
      <c r="S406" s="102" t="s">
        <v>44</v>
      </c>
      <c r="T406" s="102" t="s">
        <v>9</v>
      </c>
    </row>
    <row r="407" spans="1:20">
      <c r="A407" s="101" t="s">
        <v>3465</v>
      </c>
      <c r="B407" s="101" t="s">
        <v>3758</v>
      </c>
      <c r="C407" s="101">
        <v>2040</v>
      </c>
      <c r="D407" s="102" t="s">
        <v>6938</v>
      </c>
      <c r="E407" s="102" t="s">
        <v>212</v>
      </c>
      <c r="F407" s="102"/>
      <c r="G407" s="102" t="s">
        <v>3399</v>
      </c>
      <c r="H407" s="102"/>
      <c r="I407" s="102"/>
      <c r="J407" s="102"/>
      <c r="K407" s="102" t="s">
        <v>6939</v>
      </c>
      <c r="L407" s="102"/>
      <c r="M407" s="102"/>
      <c r="N407" s="102"/>
      <c r="O407" s="102"/>
      <c r="P407" s="102"/>
      <c r="Q407" s="102"/>
      <c r="R407" s="102"/>
      <c r="S407" s="102" t="s">
        <v>183</v>
      </c>
      <c r="T407" s="102" t="s">
        <v>9</v>
      </c>
    </row>
    <row r="408" spans="1:20">
      <c r="A408" s="101" t="s">
        <v>3465</v>
      </c>
      <c r="B408" s="101" t="s">
        <v>3758</v>
      </c>
      <c r="C408" s="101">
        <v>2041</v>
      </c>
      <c r="D408" s="102" t="s">
        <v>6940</v>
      </c>
      <c r="E408" s="102" t="s">
        <v>212</v>
      </c>
      <c r="F408" s="102"/>
      <c r="G408" s="102" t="s">
        <v>3399</v>
      </c>
      <c r="H408" s="102"/>
      <c r="I408" s="102"/>
      <c r="J408" s="102"/>
      <c r="K408" s="102" t="s">
        <v>4113</v>
      </c>
      <c r="L408" s="102" t="s">
        <v>6941</v>
      </c>
      <c r="M408" s="102" t="s">
        <v>6942</v>
      </c>
      <c r="N408" s="102" t="s">
        <v>6943</v>
      </c>
      <c r="O408" s="102"/>
      <c r="P408" s="102"/>
      <c r="Q408" s="102"/>
      <c r="R408" s="102"/>
      <c r="S408" s="102" t="s">
        <v>168</v>
      </c>
      <c r="T408" s="102" t="s">
        <v>9</v>
      </c>
    </row>
    <row r="409" spans="1:20">
      <c r="A409" s="101" t="s">
        <v>3465</v>
      </c>
      <c r="B409" s="101" t="s">
        <v>3758</v>
      </c>
      <c r="C409" s="101">
        <v>2042</v>
      </c>
      <c r="D409" s="102" t="s">
        <v>6944</v>
      </c>
      <c r="E409" s="102" t="s">
        <v>611</v>
      </c>
      <c r="F409" s="102"/>
      <c r="G409" s="102" t="s">
        <v>3399</v>
      </c>
      <c r="H409" s="102"/>
      <c r="I409" s="102"/>
      <c r="J409" s="102"/>
      <c r="K409" s="102" t="s">
        <v>6945</v>
      </c>
      <c r="L409" s="102"/>
      <c r="M409" s="102"/>
      <c r="N409" s="102"/>
      <c r="O409" s="102"/>
      <c r="P409" s="102"/>
      <c r="Q409" s="102"/>
      <c r="R409" s="102"/>
      <c r="S409" s="102" t="s">
        <v>40</v>
      </c>
      <c r="T409" s="102" t="s">
        <v>9</v>
      </c>
    </row>
    <row r="410" spans="1:20">
      <c r="A410" s="101" t="s">
        <v>3465</v>
      </c>
      <c r="B410" s="101" t="s">
        <v>3758</v>
      </c>
      <c r="C410" s="101">
        <v>2044</v>
      </c>
      <c r="D410" s="102" t="s">
        <v>6946</v>
      </c>
      <c r="E410" s="102" t="s">
        <v>6803</v>
      </c>
      <c r="F410" s="102"/>
      <c r="G410" s="102" t="s">
        <v>3399</v>
      </c>
      <c r="H410" s="102"/>
      <c r="I410" s="102"/>
      <c r="J410" s="102"/>
      <c r="K410" s="102" t="s">
        <v>6947</v>
      </c>
      <c r="L410" s="102"/>
      <c r="M410" s="102"/>
      <c r="N410" s="102"/>
      <c r="O410" s="102"/>
      <c r="P410" s="102"/>
      <c r="Q410" s="102"/>
      <c r="R410" s="102"/>
      <c r="S410" s="102" t="s">
        <v>180</v>
      </c>
      <c r="T410" s="102" t="s">
        <v>9</v>
      </c>
    </row>
    <row r="411" spans="1:20">
      <c r="A411" s="101" t="s">
        <v>3465</v>
      </c>
      <c r="B411" s="101" t="s">
        <v>3758</v>
      </c>
      <c r="C411" s="101">
        <v>2045</v>
      </c>
      <c r="D411" s="102" t="s">
        <v>6948</v>
      </c>
      <c r="E411" s="102" t="s">
        <v>212</v>
      </c>
      <c r="F411" s="102"/>
      <c r="G411" s="102" t="s">
        <v>3399</v>
      </c>
      <c r="H411" s="102"/>
      <c r="I411" s="102"/>
      <c r="J411" s="102"/>
      <c r="K411" s="102" t="s">
        <v>6949</v>
      </c>
      <c r="L411" s="102" t="s">
        <v>5393</v>
      </c>
      <c r="M411" s="102"/>
      <c r="N411" s="102"/>
      <c r="O411" s="102"/>
      <c r="P411" s="102"/>
      <c r="Q411" s="102"/>
      <c r="R411" s="102"/>
      <c r="S411" s="102" t="s">
        <v>52</v>
      </c>
      <c r="T411" s="102" t="s">
        <v>9</v>
      </c>
    </row>
    <row r="412" spans="1:20">
      <c r="A412" s="101" t="s">
        <v>3465</v>
      </c>
      <c r="B412" s="101" t="s">
        <v>3758</v>
      </c>
      <c r="C412" s="101">
        <v>2046</v>
      </c>
      <c r="D412" s="102" t="s">
        <v>6950</v>
      </c>
      <c r="E412" s="102" t="s">
        <v>212</v>
      </c>
      <c r="F412" s="102"/>
      <c r="G412" s="102" t="s">
        <v>3399</v>
      </c>
      <c r="H412" s="102"/>
      <c r="I412" s="102"/>
      <c r="J412" s="102"/>
      <c r="K412" s="102" t="s">
        <v>6951</v>
      </c>
      <c r="L412" s="102"/>
      <c r="M412" s="102"/>
      <c r="N412" s="102"/>
      <c r="O412" s="102"/>
      <c r="P412" s="102"/>
      <c r="Q412" s="102"/>
      <c r="R412" s="102"/>
      <c r="S412" s="102" t="s">
        <v>173</v>
      </c>
      <c r="T412" s="102" t="s">
        <v>9</v>
      </c>
    </row>
    <row r="413" spans="1:20">
      <c r="A413" s="101" t="s">
        <v>3465</v>
      </c>
      <c r="B413" s="101" t="s">
        <v>3758</v>
      </c>
      <c r="C413" s="101">
        <v>2047</v>
      </c>
      <c r="D413" s="102" t="s">
        <v>6952</v>
      </c>
      <c r="E413" s="102" t="s">
        <v>6803</v>
      </c>
      <c r="F413" s="102"/>
      <c r="G413" s="102" t="s">
        <v>3399</v>
      </c>
      <c r="H413" s="102"/>
      <c r="I413" s="102"/>
      <c r="J413" s="102"/>
      <c r="K413" s="102" t="s">
        <v>6953</v>
      </c>
      <c r="L413" s="102" t="s">
        <v>6954</v>
      </c>
      <c r="M413" s="102"/>
      <c r="N413" s="102"/>
      <c r="O413" s="102"/>
      <c r="P413" s="102"/>
      <c r="Q413" s="102"/>
      <c r="R413" s="102"/>
      <c r="S413" s="102" t="s">
        <v>29</v>
      </c>
      <c r="T413" s="102" t="s">
        <v>9</v>
      </c>
    </row>
    <row r="414" spans="1:20">
      <c r="A414" s="101" t="s">
        <v>3465</v>
      </c>
      <c r="B414" s="101" t="s">
        <v>3758</v>
      </c>
      <c r="C414" s="101">
        <v>2048</v>
      </c>
      <c r="D414" s="102" t="s">
        <v>6955</v>
      </c>
      <c r="E414" s="102" t="s">
        <v>612</v>
      </c>
      <c r="F414" s="102"/>
      <c r="G414" s="102" t="s">
        <v>3399</v>
      </c>
      <c r="H414" s="102"/>
      <c r="I414" s="102"/>
      <c r="J414" s="102"/>
      <c r="K414" s="102" t="s">
        <v>6956</v>
      </c>
      <c r="L414" s="102" t="s">
        <v>6957</v>
      </c>
      <c r="M414" s="102"/>
      <c r="N414" s="102"/>
      <c r="O414" s="102"/>
      <c r="P414" s="102"/>
      <c r="Q414" s="102"/>
      <c r="R414" s="102"/>
      <c r="S414" s="102" t="s">
        <v>179</v>
      </c>
      <c r="T414" s="102" t="s">
        <v>9</v>
      </c>
    </row>
    <row r="415" spans="1:20">
      <c r="A415" s="101" t="s">
        <v>3465</v>
      </c>
      <c r="B415" s="101" t="s">
        <v>3758</v>
      </c>
      <c r="C415" s="101">
        <v>2049</v>
      </c>
      <c r="D415" s="102" t="s">
        <v>6958</v>
      </c>
      <c r="E415" s="102" t="s">
        <v>612</v>
      </c>
      <c r="F415" s="102"/>
      <c r="G415" s="102" t="s">
        <v>3399</v>
      </c>
      <c r="H415" s="102"/>
      <c r="I415" s="102"/>
      <c r="J415" s="102"/>
      <c r="K415" s="102" t="s">
        <v>6959</v>
      </c>
      <c r="L415" s="102" t="s">
        <v>4172</v>
      </c>
      <c r="M415" s="102"/>
      <c r="N415" s="102"/>
      <c r="O415" s="102"/>
      <c r="P415" s="102"/>
      <c r="Q415" s="102"/>
      <c r="R415" s="102"/>
      <c r="S415" s="102" t="s">
        <v>49</v>
      </c>
      <c r="T415" s="102" t="s">
        <v>9</v>
      </c>
    </row>
    <row r="416" spans="1:20">
      <c r="A416" s="101" t="s">
        <v>3465</v>
      </c>
      <c r="B416" s="101" t="s">
        <v>3758</v>
      </c>
      <c r="C416" s="101">
        <v>2050</v>
      </c>
      <c r="D416" s="102" t="s">
        <v>6960</v>
      </c>
      <c r="E416" s="102" t="s">
        <v>612</v>
      </c>
      <c r="F416" s="102"/>
      <c r="G416" s="102" t="s">
        <v>3399</v>
      </c>
      <c r="H416" s="102"/>
      <c r="I416" s="102"/>
      <c r="J416" s="102"/>
      <c r="K416" s="102" t="s">
        <v>6961</v>
      </c>
      <c r="L416" s="102" t="s">
        <v>6962</v>
      </c>
      <c r="M416" s="102"/>
      <c r="N416" s="102"/>
      <c r="O416" s="102"/>
      <c r="P416" s="102"/>
      <c r="Q416" s="102"/>
      <c r="R416" s="102"/>
      <c r="S416" s="102" t="s">
        <v>39</v>
      </c>
      <c r="T416" s="102" t="s">
        <v>9</v>
      </c>
    </row>
    <row r="417" spans="1:20">
      <c r="A417" s="101" t="s">
        <v>3465</v>
      </c>
      <c r="B417" s="101" t="s">
        <v>3758</v>
      </c>
      <c r="C417" s="101">
        <v>2051</v>
      </c>
      <c r="D417" s="102" t="s">
        <v>6963</v>
      </c>
      <c r="E417" s="102" t="s">
        <v>6964</v>
      </c>
      <c r="F417" s="102"/>
      <c r="G417" s="102" t="s">
        <v>3399</v>
      </c>
      <c r="H417" s="102"/>
      <c r="I417" s="102"/>
      <c r="J417" s="102"/>
      <c r="K417" s="102" t="s">
        <v>6965</v>
      </c>
      <c r="L417" s="102"/>
      <c r="M417" s="102"/>
      <c r="N417" s="102"/>
      <c r="O417" s="102"/>
      <c r="P417" s="102"/>
      <c r="Q417" s="102"/>
      <c r="R417" s="102"/>
      <c r="S417" s="102" t="s">
        <v>17</v>
      </c>
      <c r="T417" s="102" t="s">
        <v>9</v>
      </c>
    </row>
    <row r="418" spans="1:20">
      <c r="A418" s="101" t="s">
        <v>3465</v>
      </c>
      <c r="B418" s="101" t="s">
        <v>3758</v>
      </c>
      <c r="C418" s="101">
        <v>2052</v>
      </c>
      <c r="D418" s="102" t="s">
        <v>6966</v>
      </c>
      <c r="E418" s="102" t="s">
        <v>612</v>
      </c>
      <c r="F418" s="102"/>
      <c r="G418" s="102" t="s">
        <v>3399</v>
      </c>
      <c r="H418" s="102"/>
      <c r="I418" s="102"/>
      <c r="J418" s="102"/>
      <c r="K418" s="102" t="s">
        <v>6967</v>
      </c>
      <c r="L418" s="102"/>
      <c r="M418" s="102"/>
      <c r="N418" s="102"/>
      <c r="O418" s="102"/>
      <c r="P418" s="102"/>
      <c r="Q418" s="102"/>
      <c r="R418" s="102"/>
      <c r="S418" s="102" t="s">
        <v>172</v>
      </c>
      <c r="T418" s="102" t="s">
        <v>9</v>
      </c>
    </row>
    <row r="419" spans="1:20">
      <c r="A419" s="101" t="s">
        <v>3465</v>
      </c>
      <c r="B419" s="101" t="s">
        <v>3758</v>
      </c>
      <c r="C419" s="101">
        <v>2054</v>
      </c>
      <c r="D419" s="102" t="s">
        <v>6968</v>
      </c>
      <c r="E419" s="102" t="s">
        <v>612</v>
      </c>
      <c r="F419" s="102"/>
      <c r="G419" s="102" t="s">
        <v>3399</v>
      </c>
      <c r="H419" s="102"/>
      <c r="I419" s="102"/>
      <c r="J419" s="102"/>
      <c r="K419" s="102" t="s">
        <v>6969</v>
      </c>
      <c r="L419" s="102"/>
      <c r="M419" s="102"/>
      <c r="N419" s="102"/>
      <c r="O419" s="102"/>
      <c r="P419" s="102"/>
      <c r="Q419" s="102"/>
      <c r="R419" s="102"/>
      <c r="S419" s="102" t="s">
        <v>605</v>
      </c>
      <c r="T419" s="102" t="s">
        <v>9</v>
      </c>
    </row>
    <row r="420" spans="1:20">
      <c r="A420" s="101" t="s">
        <v>3465</v>
      </c>
      <c r="B420" s="101" t="s">
        <v>3758</v>
      </c>
      <c r="C420" s="101">
        <v>2055</v>
      </c>
      <c r="D420" s="102" t="s">
        <v>6970</v>
      </c>
      <c r="E420" s="102" t="s">
        <v>612</v>
      </c>
      <c r="F420" s="102"/>
      <c r="G420" s="102" t="s">
        <v>3399</v>
      </c>
      <c r="H420" s="102"/>
      <c r="I420" s="102"/>
      <c r="J420" s="102"/>
      <c r="K420" s="102" t="s">
        <v>6971</v>
      </c>
      <c r="L420" s="102" t="s">
        <v>5208</v>
      </c>
      <c r="M420" s="102"/>
      <c r="N420" s="102"/>
      <c r="O420" s="102"/>
      <c r="P420" s="102"/>
      <c r="Q420" s="102"/>
      <c r="R420" s="102"/>
      <c r="S420" s="102" t="s">
        <v>32</v>
      </c>
      <c r="T420" s="102" t="s">
        <v>9</v>
      </c>
    </row>
    <row r="421" spans="1:20">
      <c r="A421" s="101" t="s">
        <v>3465</v>
      </c>
      <c r="B421" s="101" t="s">
        <v>3758</v>
      </c>
      <c r="C421" s="101">
        <v>2056</v>
      </c>
      <c r="D421" s="102" t="s">
        <v>6972</v>
      </c>
      <c r="E421" s="102" t="s">
        <v>6973</v>
      </c>
      <c r="F421" s="102"/>
      <c r="G421" s="102" t="s">
        <v>3399</v>
      </c>
      <c r="H421" s="102"/>
      <c r="I421" s="102"/>
      <c r="J421" s="102"/>
      <c r="K421" s="102" t="s">
        <v>5014</v>
      </c>
      <c r="L421" s="102" t="s">
        <v>6974</v>
      </c>
      <c r="M421" s="102"/>
      <c r="N421" s="102"/>
      <c r="O421" s="102"/>
      <c r="P421" s="102"/>
      <c r="Q421" s="102"/>
      <c r="R421" s="102"/>
      <c r="S421" s="102" t="s">
        <v>8</v>
      </c>
      <c r="T421" s="102" t="s">
        <v>9</v>
      </c>
    </row>
    <row r="422" spans="1:20">
      <c r="A422" s="101" t="s">
        <v>3465</v>
      </c>
      <c r="B422" s="101" t="s">
        <v>3758</v>
      </c>
      <c r="C422" s="101">
        <v>2057</v>
      </c>
      <c r="D422" s="102" t="s">
        <v>6975</v>
      </c>
      <c r="E422" s="102" t="s">
        <v>5397</v>
      </c>
      <c r="F422" s="102"/>
      <c r="G422" s="102" t="s">
        <v>3399</v>
      </c>
      <c r="H422" s="102"/>
      <c r="I422" s="102"/>
      <c r="J422" s="102"/>
      <c r="K422" s="102" t="s">
        <v>6976</v>
      </c>
      <c r="L422" s="102"/>
      <c r="M422" s="102"/>
      <c r="N422" s="102"/>
      <c r="O422" s="102"/>
      <c r="P422" s="102"/>
      <c r="Q422" s="102"/>
      <c r="R422" s="102"/>
      <c r="S422" s="102" t="s">
        <v>15</v>
      </c>
      <c r="T422" s="102" t="s">
        <v>9</v>
      </c>
    </row>
    <row r="423" spans="1:20">
      <c r="A423" s="101" t="s">
        <v>3465</v>
      </c>
      <c r="B423" s="101" t="s">
        <v>3758</v>
      </c>
      <c r="C423" s="101">
        <v>2058</v>
      </c>
      <c r="D423" s="102" t="s">
        <v>6977</v>
      </c>
      <c r="E423" s="102" t="s">
        <v>5397</v>
      </c>
      <c r="F423" s="102"/>
      <c r="G423" s="102" t="s">
        <v>3399</v>
      </c>
      <c r="H423" s="102"/>
      <c r="I423" s="102"/>
      <c r="J423" s="102"/>
      <c r="K423" s="102" t="s">
        <v>6978</v>
      </c>
      <c r="L423" s="102"/>
      <c r="M423" s="102"/>
      <c r="N423" s="102"/>
      <c r="O423" s="102"/>
      <c r="P423" s="102"/>
      <c r="Q423" s="102"/>
      <c r="R423" s="102"/>
      <c r="S423" s="102" t="s">
        <v>175</v>
      </c>
      <c r="T423" s="102" t="s">
        <v>9</v>
      </c>
    </row>
    <row r="424" spans="1:20">
      <c r="A424" s="101" t="s">
        <v>3465</v>
      </c>
      <c r="B424" s="101" t="s">
        <v>3758</v>
      </c>
      <c r="C424" s="101">
        <v>2060</v>
      </c>
      <c r="D424" s="102" t="s">
        <v>6979</v>
      </c>
      <c r="E424" s="102" t="s">
        <v>6980</v>
      </c>
      <c r="F424" s="102"/>
      <c r="G424" s="102" t="s">
        <v>3399</v>
      </c>
      <c r="H424" s="102"/>
      <c r="I424" s="102"/>
      <c r="J424" s="102"/>
      <c r="K424" s="102" t="s">
        <v>6981</v>
      </c>
      <c r="L424" s="102" t="s">
        <v>6982</v>
      </c>
      <c r="M424" s="102"/>
      <c r="N424" s="102"/>
      <c r="O424" s="102"/>
      <c r="P424" s="102"/>
      <c r="Q424" s="102"/>
      <c r="R424" s="102"/>
      <c r="S424" s="102" t="s">
        <v>33</v>
      </c>
      <c r="T424" s="102" t="s">
        <v>9</v>
      </c>
    </row>
    <row r="425" spans="1:20">
      <c r="A425" s="101" t="s">
        <v>3465</v>
      </c>
      <c r="B425" s="101" t="s">
        <v>3758</v>
      </c>
      <c r="C425" s="101">
        <v>2061</v>
      </c>
      <c r="D425" s="102" t="s">
        <v>6983</v>
      </c>
      <c r="E425" s="102" t="s">
        <v>6984</v>
      </c>
      <c r="F425" s="102"/>
      <c r="G425" s="102" t="s">
        <v>3399</v>
      </c>
      <c r="H425" s="102"/>
      <c r="I425" s="102"/>
      <c r="J425" s="102"/>
      <c r="K425" s="102" t="s">
        <v>6985</v>
      </c>
      <c r="L425" s="102"/>
      <c r="M425" s="102"/>
      <c r="N425" s="102"/>
      <c r="O425" s="102"/>
      <c r="P425" s="102"/>
      <c r="Q425" s="102"/>
      <c r="R425" s="102"/>
      <c r="S425" s="102" t="s">
        <v>11</v>
      </c>
      <c r="T425" s="102" t="s">
        <v>9</v>
      </c>
    </row>
    <row r="426" spans="1:20">
      <c r="A426" s="101" t="s">
        <v>3465</v>
      </c>
      <c r="B426" s="101" t="s">
        <v>3758</v>
      </c>
      <c r="C426" s="101">
        <v>2062</v>
      </c>
      <c r="D426" s="102" t="s">
        <v>6986</v>
      </c>
      <c r="E426" s="102" t="s">
        <v>6987</v>
      </c>
      <c r="F426" s="102"/>
      <c r="G426" s="102" t="s">
        <v>3399</v>
      </c>
      <c r="H426" s="102"/>
      <c r="I426" s="102"/>
      <c r="J426" s="102"/>
      <c r="K426" s="102" t="s">
        <v>6988</v>
      </c>
      <c r="L426" s="102"/>
      <c r="M426" s="102"/>
      <c r="N426" s="102"/>
      <c r="O426" s="102"/>
      <c r="P426" s="102"/>
      <c r="Q426" s="102"/>
      <c r="R426" s="102"/>
      <c r="S426" s="102" t="s">
        <v>177</v>
      </c>
      <c r="T426" s="102" t="s">
        <v>9</v>
      </c>
    </row>
    <row r="427" spans="1:20">
      <c r="A427" s="101" t="s">
        <v>4768</v>
      </c>
      <c r="B427" s="101" t="s">
        <v>3758</v>
      </c>
      <c r="C427" s="101">
        <v>3007</v>
      </c>
      <c r="D427" s="102" t="s">
        <v>6989</v>
      </c>
      <c r="E427" s="102" t="s">
        <v>6990</v>
      </c>
      <c r="F427" s="102"/>
      <c r="G427" s="102" t="s">
        <v>3399</v>
      </c>
      <c r="H427" s="102"/>
      <c r="I427" s="102"/>
      <c r="J427" s="102"/>
      <c r="K427" s="102" t="s">
        <v>6991</v>
      </c>
      <c r="L427" s="102" t="s">
        <v>6992</v>
      </c>
      <c r="M427" s="102"/>
      <c r="N427" s="102"/>
      <c r="O427" s="102"/>
      <c r="P427" s="102"/>
      <c r="Q427" s="102"/>
      <c r="R427" s="102"/>
      <c r="S427" s="102" t="s">
        <v>52</v>
      </c>
      <c r="T427" s="102" t="s">
        <v>41</v>
      </c>
    </row>
    <row r="428" spans="1:20">
      <c r="A428" s="101" t="s">
        <v>4768</v>
      </c>
      <c r="B428" s="101" t="s">
        <v>3758</v>
      </c>
      <c r="C428" s="101">
        <v>3035</v>
      </c>
      <c r="D428" s="102" t="s">
        <v>6993</v>
      </c>
      <c r="E428" s="102" t="s">
        <v>212</v>
      </c>
      <c r="F428" s="102"/>
      <c r="G428" s="102" t="s">
        <v>3399</v>
      </c>
      <c r="H428" s="102"/>
      <c r="I428" s="102"/>
      <c r="J428" s="102"/>
      <c r="K428" s="102" t="s">
        <v>6939</v>
      </c>
      <c r="L428" s="102" t="s">
        <v>6994</v>
      </c>
      <c r="M428" s="102"/>
      <c r="N428" s="102"/>
      <c r="O428" s="102"/>
      <c r="P428" s="102"/>
      <c r="Q428" s="102"/>
      <c r="R428" s="102"/>
      <c r="S428" s="102" t="s">
        <v>46</v>
      </c>
      <c r="T428" s="102" t="s">
        <v>41</v>
      </c>
    </row>
    <row r="429" spans="1:20">
      <c r="A429" s="101" t="s">
        <v>4768</v>
      </c>
      <c r="B429" s="101" t="s">
        <v>3758</v>
      </c>
      <c r="C429" s="101">
        <v>3043</v>
      </c>
      <c r="D429" s="102" t="s">
        <v>6995</v>
      </c>
      <c r="E429" s="102" t="s">
        <v>212</v>
      </c>
      <c r="F429" s="102"/>
      <c r="G429" s="102" t="s">
        <v>3399</v>
      </c>
      <c r="H429" s="102"/>
      <c r="I429" s="102"/>
      <c r="J429" s="102"/>
      <c r="K429" s="102" t="s">
        <v>6996</v>
      </c>
      <c r="L429" s="102"/>
      <c r="M429" s="102"/>
      <c r="N429" s="102"/>
      <c r="O429" s="102"/>
      <c r="P429" s="102"/>
      <c r="Q429" s="102"/>
      <c r="R429" s="102"/>
      <c r="S429" s="102" t="s">
        <v>39</v>
      </c>
      <c r="T429" s="102" t="s">
        <v>41</v>
      </c>
    </row>
    <row r="430" spans="1:20">
      <c r="A430" s="101" t="s">
        <v>4768</v>
      </c>
      <c r="B430" s="101" t="s">
        <v>3758</v>
      </c>
      <c r="C430" s="101">
        <v>3053</v>
      </c>
      <c r="D430" s="102" t="s">
        <v>6997</v>
      </c>
      <c r="E430" s="102" t="s">
        <v>6964</v>
      </c>
      <c r="F430" s="102"/>
      <c r="G430" s="102" t="s">
        <v>3399</v>
      </c>
      <c r="H430" s="102"/>
      <c r="I430" s="102"/>
      <c r="J430" s="102"/>
      <c r="K430" s="102" t="s">
        <v>6998</v>
      </c>
      <c r="L430" s="102"/>
      <c r="M430" s="102"/>
      <c r="N430" s="102"/>
      <c r="O430" s="102"/>
      <c r="P430" s="102"/>
      <c r="Q430" s="102"/>
      <c r="R430" s="102"/>
      <c r="S430" s="102" t="s">
        <v>180</v>
      </c>
      <c r="T430" s="102" t="s">
        <v>41</v>
      </c>
    </row>
    <row r="431" spans="1:20">
      <c r="A431" s="101" t="s">
        <v>4768</v>
      </c>
      <c r="B431" s="101" t="s">
        <v>3758</v>
      </c>
      <c r="C431" s="101">
        <v>3059</v>
      </c>
      <c r="D431" s="102" t="s">
        <v>6999</v>
      </c>
      <c r="E431" s="102" t="s">
        <v>7000</v>
      </c>
      <c r="F431" s="102"/>
      <c r="G431" s="102" t="s">
        <v>3399</v>
      </c>
      <c r="H431" s="102"/>
      <c r="I431" s="102"/>
      <c r="J431" s="102"/>
      <c r="K431" s="102" t="s">
        <v>7001</v>
      </c>
      <c r="L431" s="102"/>
      <c r="M431" s="102"/>
      <c r="N431" s="102"/>
      <c r="O431" s="102"/>
      <c r="P431" s="102"/>
      <c r="Q431" s="102"/>
      <c r="R431" s="102"/>
      <c r="S431" s="102" t="s">
        <v>44</v>
      </c>
      <c r="T431" s="102" t="s">
        <v>41</v>
      </c>
    </row>
    <row r="432" spans="1:20">
      <c r="A432" s="101" t="s">
        <v>4053</v>
      </c>
      <c r="B432" s="101" t="s">
        <v>3758</v>
      </c>
      <c r="C432" s="101">
        <v>4015</v>
      </c>
      <c r="D432" s="102" t="s">
        <v>6849</v>
      </c>
      <c r="E432" s="102" t="s">
        <v>209</v>
      </c>
      <c r="F432" s="102"/>
      <c r="G432" s="102" t="s">
        <v>3399</v>
      </c>
      <c r="H432" s="102"/>
      <c r="I432" s="102"/>
      <c r="J432" s="102"/>
      <c r="K432" s="102" t="s">
        <v>6850</v>
      </c>
      <c r="L432" s="102"/>
      <c r="M432" s="102"/>
      <c r="N432" s="102"/>
      <c r="O432" s="102"/>
      <c r="P432" s="102"/>
      <c r="Q432" s="102"/>
      <c r="R432" s="102"/>
      <c r="S432" s="102" t="s">
        <v>3999</v>
      </c>
      <c r="T432" s="102" t="s">
        <v>4000</v>
      </c>
    </row>
    <row r="433" spans="1:20">
      <c r="C433" s="101" t="s">
        <v>3456</v>
      </c>
    </row>
    <row r="434" spans="1:20">
      <c r="A434" s="103" t="s">
        <v>3498</v>
      </c>
      <c r="B434" s="103" t="s">
        <v>8730</v>
      </c>
      <c r="C434" s="103">
        <v>1</v>
      </c>
      <c r="D434" s="103" t="s">
        <v>6424</v>
      </c>
      <c r="E434" s="103" t="s">
        <v>186</v>
      </c>
      <c r="F434" s="103"/>
      <c r="G434" s="103" t="s">
        <v>3086</v>
      </c>
      <c r="H434" s="103" t="s">
        <v>3089</v>
      </c>
      <c r="I434" s="103"/>
      <c r="J434" s="103"/>
      <c r="K434" s="103" t="s">
        <v>6425</v>
      </c>
      <c r="L434" s="103" t="s">
        <v>2</v>
      </c>
      <c r="M434" s="103" t="s">
        <v>6426</v>
      </c>
      <c r="N434" s="103"/>
      <c r="O434" s="103"/>
      <c r="P434" s="103" t="s">
        <v>155</v>
      </c>
      <c r="Q434" s="103"/>
      <c r="R434" s="101"/>
      <c r="S434" s="101" t="s">
        <v>14</v>
      </c>
      <c r="T434" s="101" t="s">
        <v>4</v>
      </c>
    </row>
    <row r="435" spans="1:20">
      <c r="A435" s="101" t="s">
        <v>3498</v>
      </c>
      <c r="B435" s="101" t="s">
        <v>8730</v>
      </c>
      <c r="C435" s="101">
        <v>2</v>
      </c>
      <c r="D435" s="101" t="s">
        <v>6427</v>
      </c>
      <c r="E435" s="102" t="s">
        <v>186</v>
      </c>
      <c r="F435" s="102"/>
      <c r="G435" s="102" t="s">
        <v>3434</v>
      </c>
      <c r="H435" s="102" t="s">
        <v>3402</v>
      </c>
      <c r="I435" s="102"/>
      <c r="J435" s="102"/>
      <c r="K435" s="102" t="s">
        <v>3401</v>
      </c>
      <c r="L435" s="102" t="s">
        <v>6428</v>
      </c>
      <c r="M435" s="102"/>
      <c r="N435" s="102"/>
      <c r="O435" s="102"/>
      <c r="P435" s="102"/>
      <c r="Q435" s="102"/>
      <c r="R435" s="102"/>
      <c r="S435" s="102" t="s">
        <v>179</v>
      </c>
      <c r="T435" s="102" t="s">
        <v>4</v>
      </c>
    </row>
    <row r="436" spans="1:20">
      <c r="A436" s="101" t="s">
        <v>3498</v>
      </c>
      <c r="B436" s="101" t="s">
        <v>8730</v>
      </c>
      <c r="C436" s="101">
        <v>3</v>
      </c>
      <c r="D436" s="102" t="s">
        <v>6429</v>
      </c>
      <c r="E436" s="102" t="s">
        <v>186</v>
      </c>
      <c r="F436" s="102"/>
      <c r="G436" s="102" t="s">
        <v>3434</v>
      </c>
      <c r="H436" s="102" t="s">
        <v>3402</v>
      </c>
      <c r="I436" s="102"/>
      <c r="J436" s="102"/>
      <c r="K436" s="102" t="s">
        <v>3401</v>
      </c>
      <c r="L436" s="102" t="s">
        <v>6430</v>
      </c>
      <c r="M436" s="102" t="s">
        <v>6431</v>
      </c>
      <c r="N436" s="102"/>
      <c r="O436" s="102"/>
      <c r="P436" s="102"/>
      <c r="Q436" s="102"/>
      <c r="R436" s="102"/>
      <c r="S436" s="102" t="s">
        <v>31</v>
      </c>
      <c r="T436" s="102" t="s">
        <v>4</v>
      </c>
    </row>
    <row r="437" spans="1:20">
      <c r="A437" s="101" t="s">
        <v>3498</v>
      </c>
      <c r="B437" s="101" t="s">
        <v>8730</v>
      </c>
      <c r="C437" s="101">
        <v>4</v>
      </c>
      <c r="D437" s="102" t="s">
        <v>6432</v>
      </c>
      <c r="E437" s="102" t="s">
        <v>186</v>
      </c>
      <c r="F437" s="102"/>
      <c r="G437" s="102" t="s">
        <v>3434</v>
      </c>
      <c r="H437" s="102"/>
      <c r="I437" s="102"/>
      <c r="J437" s="102"/>
      <c r="K437" s="102" t="s">
        <v>6433</v>
      </c>
      <c r="L437" s="102" t="s">
        <v>6434</v>
      </c>
      <c r="M437" s="102"/>
      <c r="N437" s="102"/>
      <c r="O437" s="102"/>
      <c r="P437" s="102"/>
      <c r="Q437" s="102"/>
      <c r="R437" s="102"/>
      <c r="S437" s="102" t="s">
        <v>607</v>
      </c>
      <c r="T437" s="102" t="s">
        <v>4</v>
      </c>
    </row>
    <row r="438" spans="1:20">
      <c r="A438" s="101" t="s">
        <v>3498</v>
      </c>
      <c r="B438" s="101" t="s">
        <v>8730</v>
      </c>
      <c r="C438" s="101">
        <v>5</v>
      </c>
      <c r="D438" s="102" t="s">
        <v>6435</v>
      </c>
      <c r="E438" s="102" t="s">
        <v>186</v>
      </c>
      <c r="F438" s="102"/>
      <c r="G438" s="102" t="s">
        <v>3434</v>
      </c>
      <c r="H438" s="102" t="s">
        <v>3402</v>
      </c>
      <c r="I438" s="102"/>
      <c r="J438" s="102"/>
      <c r="K438" s="102" t="s">
        <v>3401</v>
      </c>
      <c r="L438" s="102" t="s">
        <v>59</v>
      </c>
      <c r="M438" s="102"/>
      <c r="N438" s="102"/>
      <c r="O438" s="102"/>
      <c r="P438" s="102"/>
      <c r="Q438" s="102"/>
      <c r="R438" s="102"/>
      <c r="S438" s="102" t="s">
        <v>178</v>
      </c>
      <c r="T438" s="102" t="s">
        <v>4</v>
      </c>
    </row>
    <row r="439" spans="1:20">
      <c r="A439" s="101" t="s">
        <v>3498</v>
      </c>
      <c r="B439" s="101" t="s">
        <v>8730</v>
      </c>
      <c r="C439" s="101">
        <v>6</v>
      </c>
      <c r="D439" s="102" t="s">
        <v>6436</v>
      </c>
      <c r="E439" s="102" t="s">
        <v>186</v>
      </c>
      <c r="F439" s="102"/>
      <c r="G439" s="102" t="s">
        <v>3434</v>
      </c>
      <c r="H439" s="102" t="s">
        <v>3402</v>
      </c>
      <c r="I439" s="102"/>
      <c r="J439" s="102"/>
      <c r="K439" s="102" t="s">
        <v>3401</v>
      </c>
      <c r="L439" s="102" t="s">
        <v>6437</v>
      </c>
      <c r="M439" s="102"/>
      <c r="N439" s="102"/>
      <c r="O439" s="102"/>
      <c r="P439" s="102"/>
      <c r="Q439" s="102"/>
      <c r="R439" s="102"/>
      <c r="S439" s="102" t="s">
        <v>44</v>
      </c>
      <c r="T439" s="102" t="s">
        <v>4</v>
      </c>
    </row>
    <row r="440" spans="1:20">
      <c r="A440" s="101" t="s">
        <v>3498</v>
      </c>
      <c r="B440" s="101" t="s">
        <v>8730</v>
      </c>
      <c r="C440" s="101">
        <v>7</v>
      </c>
      <c r="D440" s="102" t="s">
        <v>6438</v>
      </c>
      <c r="E440" s="102" t="s">
        <v>186</v>
      </c>
      <c r="F440" s="102"/>
      <c r="G440" s="102" t="s">
        <v>5675</v>
      </c>
      <c r="H440" s="102" t="s">
        <v>3402</v>
      </c>
      <c r="I440" s="102"/>
      <c r="J440" s="102"/>
      <c r="K440" s="102" t="s">
        <v>3401</v>
      </c>
      <c r="L440" s="102" t="s">
        <v>6439</v>
      </c>
      <c r="M440" s="102" t="s">
        <v>6440</v>
      </c>
      <c r="N440" s="102"/>
      <c r="O440" s="102"/>
      <c r="P440" s="102"/>
      <c r="Q440" s="102"/>
      <c r="R440" s="102"/>
      <c r="S440" s="102" t="s">
        <v>49</v>
      </c>
      <c r="T440" s="102" t="s">
        <v>4</v>
      </c>
    </row>
    <row r="441" spans="1:20">
      <c r="A441" s="101" t="s">
        <v>3498</v>
      </c>
      <c r="B441" s="101" t="s">
        <v>8730</v>
      </c>
      <c r="C441" s="101">
        <v>8</v>
      </c>
      <c r="D441" s="102" t="s">
        <v>6441</v>
      </c>
      <c r="E441" s="102" t="s">
        <v>186</v>
      </c>
      <c r="F441" s="102"/>
      <c r="G441" s="102" t="s">
        <v>3434</v>
      </c>
      <c r="H441" s="102" t="s">
        <v>3402</v>
      </c>
      <c r="I441" s="102"/>
      <c r="J441" s="102"/>
      <c r="K441" s="102" t="s">
        <v>3401</v>
      </c>
      <c r="L441" s="102" t="s">
        <v>6442</v>
      </c>
      <c r="M441" s="102"/>
      <c r="N441" s="102"/>
      <c r="O441" s="102"/>
      <c r="P441" s="102"/>
      <c r="Q441" s="102"/>
      <c r="R441" s="102"/>
      <c r="S441" s="102" t="s">
        <v>5</v>
      </c>
      <c r="T441" s="102" t="s">
        <v>4</v>
      </c>
    </row>
    <row r="442" spans="1:20">
      <c r="A442" s="101" t="s">
        <v>3498</v>
      </c>
      <c r="B442" s="101" t="s">
        <v>8730</v>
      </c>
      <c r="C442" s="101">
        <v>9</v>
      </c>
      <c r="D442" s="102" t="s">
        <v>6443</v>
      </c>
      <c r="E442" s="102" t="s">
        <v>186</v>
      </c>
      <c r="F442" s="102"/>
      <c r="G442" s="102" t="s">
        <v>3434</v>
      </c>
      <c r="H442" s="102" t="s">
        <v>3402</v>
      </c>
      <c r="I442" s="102"/>
      <c r="J442" s="102"/>
      <c r="K442" s="102" t="s">
        <v>3401</v>
      </c>
      <c r="L442" s="102" t="s">
        <v>6444</v>
      </c>
      <c r="M442" s="102" t="s">
        <v>5666</v>
      </c>
      <c r="N442" s="102"/>
      <c r="O442" s="102"/>
      <c r="P442" s="102"/>
      <c r="Q442" s="102"/>
      <c r="R442" s="102"/>
      <c r="S442" s="102" t="s">
        <v>170</v>
      </c>
      <c r="T442" s="102" t="s">
        <v>4</v>
      </c>
    </row>
    <row r="443" spans="1:20">
      <c r="A443" s="101" t="s">
        <v>3498</v>
      </c>
      <c r="B443" s="101" t="s">
        <v>8730</v>
      </c>
      <c r="C443" s="101">
        <v>10</v>
      </c>
      <c r="D443" s="102" t="s">
        <v>343</v>
      </c>
      <c r="E443" s="102" t="s">
        <v>186</v>
      </c>
      <c r="F443" s="102"/>
      <c r="G443" s="102" t="s">
        <v>3086</v>
      </c>
      <c r="H443" s="102" t="s">
        <v>13387</v>
      </c>
      <c r="I443" s="102"/>
      <c r="J443" s="102"/>
      <c r="K443" s="102" t="s">
        <v>6445</v>
      </c>
      <c r="L443" s="102" t="s">
        <v>59</v>
      </c>
      <c r="M443" s="102"/>
      <c r="N443" s="102"/>
      <c r="O443" s="102"/>
      <c r="P443" s="102" t="s">
        <v>156</v>
      </c>
      <c r="Q443" s="102"/>
      <c r="R443" s="102"/>
      <c r="S443" s="102" t="s">
        <v>40</v>
      </c>
      <c r="T443" s="102" t="s">
        <v>4</v>
      </c>
    </row>
    <row r="444" spans="1:20">
      <c r="A444" s="101" t="s">
        <v>3498</v>
      </c>
      <c r="B444" s="101" t="s">
        <v>8730</v>
      </c>
      <c r="C444" s="101">
        <v>11</v>
      </c>
      <c r="D444" s="102" t="s">
        <v>6446</v>
      </c>
      <c r="E444" s="102" t="s">
        <v>186</v>
      </c>
      <c r="F444" s="102"/>
      <c r="G444" s="102" t="s">
        <v>3434</v>
      </c>
      <c r="H444" s="102" t="s">
        <v>3402</v>
      </c>
      <c r="I444" s="102"/>
      <c r="J444" s="102"/>
      <c r="K444" s="102" t="s">
        <v>3401</v>
      </c>
      <c r="L444" s="102" t="s">
        <v>6447</v>
      </c>
      <c r="M444" s="102" t="s">
        <v>6448</v>
      </c>
      <c r="N444" s="102"/>
      <c r="O444" s="102"/>
      <c r="P444" s="102"/>
      <c r="Q444" s="102"/>
      <c r="R444" s="102"/>
      <c r="S444" s="102" t="s">
        <v>172</v>
      </c>
      <c r="T444" s="102" t="s">
        <v>4</v>
      </c>
    </row>
    <row r="445" spans="1:20">
      <c r="A445" s="101" t="s">
        <v>3498</v>
      </c>
      <c r="B445" s="101" t="s">
        <v>8730</v>
      </c>
      <c r="C445" s="101">
        <v>12</v>
      </c>
      <c r="D445" s="102" t="s">
        <v>6449</v>
      </c>
      <c r="E445" s="102" t="s">
        <v>186</v>
      </c>
      <c r="F445" s="102"/>
      <c r="G445" s="102" t="s">
        <v>3434</v>
      </c>
      <c r="H445" s="102" t="s">
        <v>3402</v>
      </c>
      <c r="I445" s="102"/>
      <c r="J445" s="102"/>
      <c r="K445" s="102" t="s">
        <v>12</v>
      </c>
      <c r="L445" s="102" t="s">
        <v>3401</v>
      </c>
      <c r="M445" s="102" t="s">
        <v>6450</v>
      </c>
      <c r="N445" s="102"/>
      <c r="O445" s="102"/>
      <c r="P445" s="102"/>
      <c r="Q445" s="102"/>
      <c r="R445" s="102"/>
      <c r="S445" s="102" t="s">
        <v>34</v>
      </c>
      <c r="T445" s="102" t="s">
        <v>4</v>
      </c>
    </row>
    <row r="446" spans="1:20">
      <c r="A446" s="101" t="s">
        <v>3498</v>
      </c>
      <c r="B446" s="101" t="s">
        <v>8730</v>
      </c>
      <c r="C446" s="101">
        <v>13</v>
      </c>
      <c r="D446" s="102" t="s">
        <v>6451</v>
      </c>
      <c r="E446" s="102" t="s">
        <v>186</v>
      </c>
      <c r="F446" s="102"/>
      <c r="G446" s="102" t="s">
        <v>3434</v>
      </c>
      <c r="H446" s="102" t="s">
        <v>3402</v>
      </c>
      <c r="I446" s="102"/>
      <c r="J446" s="102"/>
      <c r="K446" s="102" t="s">
        <v>3401</v>
      </c>
      <c r="L446" s="102" t="s">
        <v>6452</v>
      </c>
      <c r="M446" s="102"/>
      <c r="N446" s="102"/>
      <c r="O446" s="102"/>
      <c r="P446" s="102"/>
      <c r="Q446" s="102"/>
      <c r="R446" s="102"/>
      <c r="S446" s="102" t="s">
        <v>170</v>
      </c>
      <c r="T446" s="102" t="s">
        <v>4</v>
      </c>
    </row>
    <row r="447" spans="1:20">
      <c r="A447" s="101" t="s">
        <v>3498</v>
      </c>
      <c r="B447" s="101" t="s">
        <v>8730</v>
      </c>
      <c r="C447" s="101">
        <v>14</v>
      </c>
      <c r="D447" s="102" t="s">
        <v>6453</v>
      </c>
      <c r="E447" s="102" t="s">
        <v>186</v>
      </c>
      <c r="F447" s="102"/>
      <c r="G447" s="102" t="s">
        <v>3434</v>
      </c>
      <c r="H447" s="102" t="s">
        <v>3402</v>
      </c>
      <c r="I447" s="102"/>
      <c r="J447" s="102"/>
      <c r="K447" s="102" t="s">
        <v>3401</v>
      </c>
      <c r="L447" s="102" t="s">
        <v>6454</v>
      </c>
      <c r="M447" s="102"/>
      <c r="N447" s="102"/>
      <c r="O447" s="102"/>
      <c r="P447" s="102"/>
      <c r="Q447" s="102"/>
      <c r="R447" s="102"/>
      <c r="S447" s="102" t="s">
        <v>40</v>
      </c>
      <c r="T447" s="102" t="s">
        <v>4</v>
      </c>
    </row>
    <row r="448" spans="1:20">
      <c r="A448" s="101" t="s">
        <v>3498</v>
      </c>
      <c r="B448" s="101" t="s">
        <v>8730</v>
      </c>
      <c r="C448" s="101">
        <v>15</v>
      </c>
      <c r="D448" s="102" t="s">
        <v>23</v>
      </c>
      <c r="E448" s="102" t="s">
        <v>186</v>
      </c>
      <c r="F448" s="102"/>
      <c r="G448" s="102" t="s">
        <v>3434</v>
      </c>
      <c r="H448" s="102" t="s">
        <v>3402</v>
      </c>
      <c r="I448" s="102"/>
      <c r="J448" s="102"/>
      <c r="K448" s="102" t="s">
        <v>3401</v>
      </c>
      <c r="L448" s="102" t="s">
        <v>6455</v>
      </c>
      <c r="M448" s="102"/>
      <c r="N448" s="102"/>
      <c r="O448" s="102"/>
      <c r="P448" s="102"/>
      <c r="Q448" s="102"/>
      <c r="R448" s="102"/>
      <c r="S448" s="102" t="s">
        <v>175</v>
      </c>
      <c r="T448" s="102" t="s">
        <v>4</v>
      </c>
    </row>
    <row r="449" spans="1:20">
      <c r="A449" s="101" t="s">
        <v>3498</v>
      </c>
      <c r="B449" s="101" t="s">
        <v>8730</v>
      </c>
      <c r="C449" s="101">
        <v>16</v>
      </c>
      <c r="D449" s="102" t="s">
        <v>6456</v>
      </c>
      <c r="E449" s="102" t="s">
        <v>186</v>
      </c>
      <c r="F449" s="102"/>
      <c r="G449" s="102" t="s">
        <v>3434</v>
      </c>
      <c r="H449" s="102" t="s">
        <v>3402</v>
      </c>
      <c r="I449" s="102"/>
      <c r="J449" s="102"/>
      <c r="K449" s="102" t="s">
        <v>5508</v>
      </c>
      <c r="L449" s="102" t="s">
        <v>6457</v>
      </c>
      <c r="M449" s="102" t="s">
        <v>6458</v>
      </c>
      <c r="N449" s="102"/>
      <c r="O449" s="102"/>
      <c r="P449" s="102"/>
      <c r="Q449" s="102"/>
      <c r="R449" s="102"/>
      <c r="S449" s="102" t="s">
        <v>27</v>
      </c>
      <c r="T449" s="102" t="s">
        <v>4</v>
      </c>
    </row>
    <row r="450" spans="1:20">
      <c r="A450" s="101" t="s">
        <v>3498</v>
      </c>
      <c r="B450" s="101" t="s">
        <v>8730</v>
      </c>
      <c r="C450" s="101">
        <v>17</v>
      </c>
      <c r="D450" s="102" t="s">
        <v>6459</v>
      </c>
      <c r="E450" s="102" t="s">
        <v>186</v>
      </c>
      <c r="F450" s="102"/>
      <c r="G450" s="102" t="s">
        <v>3434</v>
      </c>
      <c r="H450" s="102" t="s">
        <v>13388</v>
      </c>
      <c r="I450" s="102"/>
      <c r="J450" s="102"/>
      <c r="K450" s="102" t="s">
        <v>5508</v>
      </c>
      <c r="L450" s="102" t="s">
        <v>6460</v>
      </c>
      <c r="M450" s="102" t="s">
        <v>6444</v>
      </c>
      <c r="N450" s="102"/>
      <c r="O450" s="102"/>
      <c r="P450" s="102"/>
      <c r="Q450" s="102"/>
      <c r="R450" s="102"/>
      <c r="S450" s="102" t="s">
        <v>17</v>
      </c>
      <c r="T450" s="102" t="s">
        <v>4</v>
      </c>
    </row>
    <row r="451" spans="1:20">
      <c r="A451" s="101" t="s">
        <v>3498</v>
      </c>
      <c r="B451" s="101" t="s">
        <v>8730</v>
      </c>
      <c r="C451" s="101">
        <v>18</v>
      </c>
      <c r="D451" s="102" t="s">
        <v>19</v>
      </c>
      <c r="E451" s="102" t="s">
        <v>186</v>
      </c>
      <c r="F451" s="102"/>
      <c r="G451" s="102" t="s">
        <v>3434</v>
      </c>
      <c r="H451" s="102" t="s">
        <v>3402</v>
      </c>
      <c r="I451" s="102"/>
      <c r="J451" s="102"/>
      <c r="K451" s="102" t="s">
        <v>3401</v>
      </c>
      <c r="L451" s="102" t="s">
        <v>6461</v>
      </c>
      <c r="M451" s="102"/>
      <c r="N451" s="102"/>
      <c r="O451" s="102"/>
      <c r="P451" s="102"/>
      <c r="Q451" s="102"/>
      <c r="R451" s="102"/>
      <c r="S451" s="102" t="s">
        <v>174</v>
      </c>
      <c r="T451" s="102" t="s">
        <v>4</v>
      </c>
    </row>
    <row r="452" spans="1:20">
      <c r="A452" s="101" t="s">
        <v>3498</v>
      </c>
      <c r="B452" s="101" t="s">
        <v>8730</v>
      </c>
      <c r="C452" s="101">
        <v>19</v>
      </c>
      <c r="D452" s="102" t="s">
        <v>6462</v>
      </c>
      <c r="E452" s="102" t="s">
        <v>186</v>
      </c>
      <c r="F452" s="102"/>
      <c r="G452" s="102" t="s">
        <v>3434</v>
      </c>
      <c r="H452" s="102" t="s">
        <v>3402</v>
      </c>
      <c r="I452" s="102"/>
      <c r="J452" s="102"/>
      <c r="K452" s="102" t="s">
        <v>3401</v>
      </c>
      <c r="L452" s="102" t="s">
        <v>6463</v>
      </c>
      <c r="M452" s="102"/>
      <c r="N452" s="102"/>
      <c r="O452" s="102"/>
      <c r="P452" s="102"/>
      <c r="Q452" s="102"/>
      <c r="R452" s="102"/>
      <c r="S452" s="102" t="s">
        <v>6</v>
      </c>
      <c r="T452" s="102" t="s">
        <v>4</v>
      </c>
    </row>
    <row r="453" spans="1:20">
      <c r="A453" s="101" t="s">
        <v>3498</v>
      </c>
      <c r="B453" s="101" t="s">
        <v>8730</v>
      </c>
      <c r="C453" s="101">
        <v>20</v>
      </c>
      <c r="D453" s="102" t="s">
        <v>6464</v>
      </c>
      <c r="E453" s="102" t="s">
        <v>186</v>
      </c>
      <c r="F453" s="102"/>
      <c r="G453" s="102" t="s">
        <v>3434</v>
      </c>
      <c r="H453" s="102" t="s">
        <v>3402</v>
      </c>
      <c r="I453" s="102"/>
      <c r="J453" s="102"/>
      <c r="K453" s="102" t="s">
        <v>3401</v>
      </c>
      <c r="L453" s="102" t="s">
        <v>6465</v>
      </c>
      <c r="M453" s="102" t="s">
        <v>6466</v>
      </c>
      <c r="N453" s="102"/>
      <c r="O453" s="102"/>
      <c r="P453" s="102"/>
      <c r="Q453" s="102"/>
      <c r="R453" s="102"/>
      <c r="S453" s="102" t="s">
        <v>32</v>
      </c>
      <c r="T453" s="102" t="s">
        <v>4</v>
      </c>
    </row>
    <row r="454" spans="1:20">
      <c r="A454" s="101" t="s">
        <v>3498</v>
      </c>
      <c r="B454" s="101" t="s">
        <v>8730</v>
      </c>
      <c r="C454" s="101">
        <v>21</v>
      </c>
      <c r="D454" s="102" t="s">
        <v>6467</v>
      </c>
      <c r="E454" s="102" t="s">
        <v>187</v>
      </c>
      <c r="F454" s="102"/>
      <c r="G454" s="102" t="s">
        <v>3434</v>
      </c>
      <c r="H454" s="102" t="s">
        <v>3402</v>
      </c>
      <c r="I454" s="102"/>
      <c r="J454" s="102"/>
      <c r="K454" s="102" t="s">
        <v>3</v>
      </c>
      <c r="L454" s="102" t="s">
        <v>3401</v>
      </c>
      <c r="M454" s="102" t="s">
        <v>59</v>
      </c>
      <c r="N454" s="102"/>
      <c r="O454" s="102"/>
      <c r="P454" s="102"/>
      <c r="Q454" s="102"/>
      <c r="R454" s="102"/>
      <c r="S454" s="102" t="s">
        <v>175</v>
      </c>
      <c r="T454" s="102" t="s">
        <v>4</v>
      </c>
    </row>
    <row r="455" spans="1:20">
      <c r="A455" s="101" t="s">
        <v>3498</v>
      </c>
      <c r="B455" s="101" t="s">
        <v>8730</v>
      </c>
      <c r="C455" s="101">
        <v>22</v>
      </c>
      <c r="D455" s="102" t="s">
        <v>6468</v>
      </c>
      <c r="E455" s="102" t="s">
        <v>187</v>
      </c>
      <c r="F455" s="102"/>
      <c r="G455" s="102" t="s">
        <v>3434</v>
      </c>
      <c r="H455" s="102" t="s">
        <v>3402</v>
      </c>
      <c r="I455" s="102"/>
      <c r="J455" s="102"/>
      <c r="K455" s="102" t="s">
        <v>3401</v>
      </c>
      <c r="L455" s="102" t="s">
        <v>6469</v>
      </c>
      <c r="M455" s="102" t="s">
        <v>6466</v>
      </c>
      <c r="N455" s="102"/>
      <c r="O455" s="102"/>
      <c r="P455" s="102"/>
      <c r="Q455" s="102"/>
      <c r="R455" s="102"/>
      <c r="S455" s="102" t="s">
        <v>172</v>
      </c>
      <c r="T455" s="102" t="s">
        <v>4</v>
      </c>
    </row>
    <row r="456" spans="1:20">
      <c r="A456" s="101" t="s">
        <v>3498</v>
      </c>
      <c r="B456" s="101" t="s">
        <v>8730</v>
      </c>
      <c r="C456" s="101">
        <v>23</v>
      </c>
      <c r="D456" s="102" t="s">
        <v>6470</v>
      </c>
      <c r="E456" s="102" t="s">
        <v>187</v>
      </c>
      <c r="F456" s="102"/>
      <c r="G456" s="102" t="s">
        <v>3434</v>
      </c>
      <c r="H456" s="102" t="s">
        <v>3402</v>
      </c>
      <c r="I456" s="102"/>
      <c r="J456" s="102"/>
      <c r="K456" s="102" t="s">
        <v>3401</v>
      </c>
      <c r="L456" s="102" t="s">
        <v>6471</v>
      </c>
      <c r="M456" s="102" t="s">
        <v>6472</v>
      </c>
      <c r="N456" s="102"/>
      <c r="O456" s="102"/>
      <c r="P456" s="102"/>
      <c r="Q456" s="102"/>
      <c r="R456" s="102"/>
      <c r="S456" s="102" t="s">
        <v>17</v>
      </c>
      <c r="T456" s="102" t="s">
        <v>4</v>
      </c>
    </row>
    <row r="457" spans="1:20">
      <c r="A457" s="101" t="s">
        <v>3498</v>
      </c>
      <c r="B457" s="101" t="s">
        <v>8730</v>
      </c>
      <c r="C457" s="101">
        <v>24</v>
      </c>
      <c r="D457" s="102" t="s">
        <v>6473</v>
      </c>
      <c r="E457" s="102" t="s">
        <v>187</v>
      </c>
      <c r="F457" s="102"/>
      <c r="G457" s="102" t="s">
        <v>3434</v>
      </c>
      <c r="H457" s="102" t="s">
        <v>3402</v>
      </c>
      <c r="I457" s="102"/>
      <c r="J457" s="102"/>
      <c r="K457" s="102" t="s">
        <v>3401</v>
      </c>
      <c r="L457" s="102" t="s">
        <v>6474</v>
      </c>
      <c r="M457" s="102"/>
      <c r="N457" s="102"/>
      <c r="O457" s="102"/>
      <c r="P457" s="102"/>
      <c r="Q457" s="102"/>
      <c r="R457" s="102"/>
      <c r="S457" s="102" t="s">
        <v>52</v>
      </c>
      <c r="T457" s="102" t="s">
        <v>4</v>
      </c>
    </row>
    <row r="458" spans="1:20">
      <c r="A458" s="101" t="s">
        <v>3498</v>
      </c>
      <c r="B458" s="101" t="s">
        <v>8730</v>
      </c>
      <c r="C458" s="101">
        <v>25</v>
      </c>
      <c r="D458" s="102" t="s">
        <v>6475</v>
      </c>
      <c r="E458" s="102" t="s">
        <v>187</v>
      </c>
      <c r="F458" s="102"/>
      <c r="G458" s="102" t="s">
        <v>3434</v>
      </c>
      <c r="H458" s="102" t="s">
        <v>3402</v>
      </c>
      <c r="I458" s="102"/>
      <c r="J458" s="102"/>
      <c r="K458" s="102" t="s">
        <v>4273</v>
      </c>
      <c r="L458" s="102" t="s">
        <v>6476</v>
      </c>
      <c r="M458" s="102"/>
      <c r="N458" s="102"/>
      <c r="O458" s="102"/>
      <c r="P458" s="102"/>
      <c r="Q458" s="102"/>
      <c r="R458" s="102"/>
      <c r="S458" s="102" t="s">
        <v>605</v>
      </c>
      <c r="T458" s="102" t="s">
        <v>4</v>
      </c>
    </row>
    <row r="459" spans="1:20">
      <c r="A459" s="101" t="s">
        <v>3498</v>
      </c>
      <c r="B459" s="101" t="s">
        <v>8730</v>
      </c>
      <c r="C459" s="101">
        <v>26</v>
      </c>
      <c r="D459" s="102" t="s">
        <v>6477</v>
      </c>
      <c r="E459" s="102" t="s">
        <v>187</v>
      </c>
      <c r="F459" s="102"/>
      <c r="G459" s="102" t="s">
        <v>3434</v>
      </c>
      <c r="H459" s="102"/>
      <c r="I459" s="102"/>
      <c r="J459" s="102"/>
      <c r="K459" s="102" t="s">
        <v>6478</v>
      </c>
      <c r="L459" s="102" t="s">
        <v>6479</v>
      </c>
      <c r="M459" s="102"/>
      <c r="N459" s="102"/>
      <c r="O459" s="102"/>
      <c r="P459" s="102"/>
      <c r="Q459" s="102"/>
      <c r="R459" s="102"/>
      <c r="S459" s="102" t="s">
        <v>34</v>
      </c>
      <c r="T459" s="102" t="s">
        <v>4</v>
      </c>
    </row>
    <row r="460" spans="1:20">
      <c r="A460" s="101" t="s">
        <v>3498</v>
      </c>
      <c r="B460" s="101" t="s">
        <v>8730</v>
      </c>
      <c r="C460" s="101">
        <v>27</v>
      </c>
      <c r="D460" s="102" t="s">
        <v>6480</v>
      </c>
      <c r="E460" s="102" t="s">
        <v>187</v>
      </c>
      <c r="F460" s="102"/>
      <c r="G460" s="102" t="s">
        <v>3434</v>
      </c>
      <c r="H460" s="102" t="s">
        <v>3402</v>
      </c>
      <c r="I460" s="102"/>
      <c r="J460" s="102"/>
      <c r="K460" s="102" t="s">
        <v>3401</v>
      </c>
      <c r="L460" s="102" t="s">
        <v>6481</v>
      </c>
      <c r="M460" s="102" t="s">
        <v>6482</v>
      </c>
      <c r="N460" s="102"/>
      <c r="O460" s="102"/>
      <c r="P460" s="102"/>
      <c r="Q460" s="102"/>
      <c r="R460" s="102"/>
      <c r="S460" s="102" t="s">
        <v>606</v>
      </c>
      <c r="T460" s="102" t="s">
        <v>4</v>
      </c>
    </row>
    <row r="461" spans="1:20">
      <c r="A461" s="101" t="s">
        <v>3498</v>
      </c>
      <c r="B461" s="101" t="s">
        <v>8730</v>
      </c>
      <c r="C461" s="101">
        <v>28</v>
      </c>
      <c r="D461" s="102" t="s">
        <v>6483</v>
      </c>
      <c r="E461" s="102" t="s">
        <v>187</v>
      </c>
      <c r="F461" s="102"/>
      <c r="G461" s="102" t="s">
        <v>3434</v>
      </c>
      <c r="H461" s="102" t="s">
        <v>3402</v>
      </c>
      <c r="I461" s="102"/>
      <c r="J461" s="102"/>
      <c r="K461" s="102" t="s">
        <v>6484</v>
      </c>
      <c r="L461" s="102" t="s">
        <v>6485</v>
      </c>
      <c r="M461" s="102"/>
      <c r="N461" s="102"/>
      <c r="O461" s="102"/>
      <c r="P461" s="102"/>
      <c r="Q461" s="102"/>
      <c r="R461" s="102"/>
      <c r="S461" s="102" t="s">
        <v>52</v>
      </c>
      <c r="T461" s="102" t="s">
        <v>4</v>
      </c>
    </row>
    <row r="462" spans="1:20">
      <c r="A462" s="101" t="s">
        <v>3498</v>
      </c>
      <c r="B462" s="101" t="s">
        <v>8730</v>
      </c>
      <c r="C462" s="101">
        <v>29</v>
      </c>
      <c r="D462" s="102" t="s">
        <v>6486</v>
      </c>
      <c r="E462" s="102" t="s">
        <v>187</v>
      </c>
      <c r="F462" s="102"/>
      <c r="G462" s="102" t="s">
        <v>3434</v>
      </c>
      <c r="H462" s="102" t="s">
        <v>3402</v>
      </c>
      <c r="I462" s="102"/>
      <c r="J462" s="102"/>
      <c r="K462" s="102" t="s">
        <v>3401</v>
      </c>
      <c r="L462" s="102" t="s">
        <v>6487</v>
      </c>
      <c r="M462" s="102" t="s">
        <v>6450</v>
      </c>
      <c r="N462" s="102"/>
      <c r="O462" s="102"/>
      <c r="P462" s="102"/>
      <c r="Q462" s="102"/>
      <c r="R462" s="102"/>
      <c r="S462" s="102" t="s">
        <v>14</v>
      </c>
      <c r="T462" s="102" t="s">
        <v>4</v>
      </c>
    </row>
    <row r="463" spans="1:20">
      <c r="A463" s="101" t="s">
        <v>3498</v>
      </c>
      <c r="B463" s="101" t="s">
        <v>8730</v>
      </c>
      <c r="C463" s="101">
        <v>30</v>
      </c>
      <c r="D463" s="102" t="s">
        <v>6488</v>
      </c>
      <c r="E463" s="102" t="s">
        <v>187</v>
      </c>
      <c r="F463" s="102"/>
      <c r="G463" s="102" t="s">
        <v>3434</v>
      </c>
      <c r="H463" s="102" t="s">
        <v>3402</v>
      </c>
      <c r="I463" s="102"/>
      <c r="J463" s="102"/>
      <c r="K463" s="102" t="s">
        <v>3401</v>
      </c>
      <c r="L463" s="102" t="s">
        <v>6489</v>
      </c>
      <c r="M463" s="102" t="s">
        <v>4136</v>
      </c>
      <c r="N463" s="102"/>
      <c r="O463" s="102"/>
      <c r="P463" s="102"/>
      <c r="Q463" s="102"/>
      <c r="R463" s="102"/>
      <c r="S463" s="102" t="s">
        <v>28</v>
      </c>
      <c r="T463" s="102" t="s">
        <v>4</v>
      </c>
    </row>
    <row r="464" spans="1:20">
      <c r="A464" s="101" t="s">
        <v>3498</v>
      </c>
      <c r="B464" s="101" t="s">
        <v>8730</v>
      </c>
      <c r="C464" s="101">
        <v>31</v>
      </c>
      <c r="D464" s="102" t="s">
        <v>6490</v>
      </c>
      <c r="E464" s="102" t="s">
        <v>187</v>
      </c>
      <c r="F464" s="102"/>
      <c r="G464" s="102" t="s">
        <v>3434</v>
      </c>
      <c r="H464" s="102"/>
      <c r="I464" s="102"/>
      <c r="J464" s="102"/>
      <c r="K464" s="102" t="s">
        <v>6491</v>
      </c>
      <c r="L464" s="102"/>
      <c r="M464" s="102"/>
      <c r="N464" s="102"/>
      <c r="O464" s="102"/>
      <c r="P464" s="102"/>
      <c r="Q464" s="102"/>
      <c r="R464" s="102"/>
      <c r="S464" s="102" t="s">
        <v>178</v>
      </c>
      <c r="T464" s="102" t="s">
        <v>4</v>
      </c>
    </row>
    <row r="465" spans="1:20">
      <c r="A465" s="101" t="s">
        <v>3498</v>
      </c>
      <c r="B465" s="101" t="s">
        <v>8730</v>
      </c>
      <c r="C465" s="101">
        <v>32</v>
      </c>
      <c r="D465" s="102" t="s">
        <v>6492</v>
      </c>
      <c r="E465" s="102" t="s">
        <v>187</v>
      </c>
      <c r="F465" s="102"/>
      <c r="G465" s="102" t="s">
        <v>3434</v>
      </c>
      <c r="H465" s="102"/>
      <c r="I465" s="102"/>
      <c r="J465" s="102"/>
      <c r="K465" s="102" t="s">
        <v>6493</v>
      </c>
      <c r="L465" s="102"/>
      <c r="M465" s="102"/>
      <c r="N465" s="102"/>
      <c r="O465" s="102"/>
      <c r="P465" s="102"/>
      <c r="Q465" s="102"/>
      <c r="R465" s="102"/>
      <c r="S465" s="102" t="s">
        <v>27</v>
      </c>
      <c r="T465" s="102" t="s">
        <v>4</v>
      </c>
    </row>
    <row r="466" spans="1:20">
      <c r="A466" s="101" t="s">
        <v>3498</v>
      </c>
      <c r="B466" s="101" t="s">
        <v>8730</v>
      </c>
      <c r="C466" s="101">
        <v>33</v>
      </c>
      <c r="D466" s="102" t="s">
        <v>6494</v>
      </c>
      <c r="E466" s="102" t="s">
        <v>187</v>
      </c>
      <c r="F466" s="102"/>
      <c r="G466" s="102" t="s">
        <v>3434</v>
      </c>
      <c r="H466" s="102" t="s">
        <v>3402</v>
      </c>
      <c r="I466" s="102"/>
      <c r="J466" s="102"/>
      <c r="K466" s="102" t="s">
        <v>3401</v>
      </c>
      <c r="L466" s="102" t="s">
        <v>6481</v>
      </c>
      <c r="M466" s="102" t="s">
        <v>6495</v>
      </c>
      <c r="N466" s="102"/>
      <c r="O466" s="102"/>
      <c r="P466" s="102"/>
      <c r="Q466" s="102"/>
      <c r="R466" s="102"/>
      <c r="S466" s="102" t="s">
        <v>3119</v>
      </c>
      <c r="T466" s="102" t="s">
        <v>4</v>
      </c>
    </row>
    <row r="467" spans="1:20">
      <c r="A467" s="101" t="s">
        <v>3498</v>
      </c>
      <c r="B467" s="101" t="s">
        <v>8730</v>
      </c>
      <c r="C467" s="101">
        <v>34</v>
      </c>
      <c r="D467" s="102" t="s">
        <v>6496</v>
      </c>
      <c r="E467" s="102" t="s">
        <v>187</v>
      </c>
      <c r="F467" s="102"/>
      <c r="G467" s="102" t="s">
        <v>3434</v>
      </c>
      <c r="H467" s="102" t="s">
        <v>3402</v>
      </c>
      <c r="I467" s="102"/>
      <c r="J467" s="102"/>
      <c r="K467" s="102" t="s">
        <v>3401</v>
      </c>
      <c r="L467" s="102" t="s">
        <v>6497</v>
      </c>
      <c r="M467" s="102"/>
      <c r="N467" s="102"/>
      <c r="O467" s="102"/>
      <c r="P467" s="102"/>
      <c r="Q467" s="102"/>
      <c r="R467" s="102"/>
      <c r="S467" s="102" t="s">
        <v>607</v>
      </c>
      <c r="T467" s="102" t="s">
        <v>4</v>
      </c>
    </row>
    <row r="468" spans="1:20">
      <c r="A468" s="101" t="s">
        <v>3498</v>
      </c>
      <c r="B468" s="101" t="s">
        <v>8730</v>
      </c>
      <c r="C468" s="101">
        <v>35</v>
      </c>
      <c r="D468" s="102" t="s">
        <v>6498</v>
      </c>
      <c r="E468" s="102" t="s">
        <v>187</v>
      </c>
      <c r="F468" s="102"/>
      <c r="G468" s="102" t="s">
        <v>3434</v>
      </c>
      <c r="H468" s="102" t="s">
        <v>3402</v>
      </c>
      <c r="I468" s="102"/>
      <c r="J468" s="102"/>
      <c r="K468" s="102" t="s">
        <v>3401</v>
      </c>
      <c r="L468" s="102" t="s">
        <v>6499</v>
      </c>
      <c r="M468" s="102"/>
      <c r="N468" s="102"/>
      <c r="O468" s="102"/>
      <c r="P468" s="102"/>
      <c r="Q468" s="102"/>
      <c r="R468" s="102"/>
      <c r="S468" s="102" t="s">
        <v>39</v>
      </c>
      <c r="T468" s="102" t="s">
        <v>4</v>
      </c>
    </row>
    <row r="469" spans="1:20">
      <c r="A469" s="101" t="s">
        <v>3498</v>
      </c>
      <c r="B469" s="101" t="s">
        <v>8730</v>
      </c>
      <c r="C469" s="101">
        <v>36</v>
      </c>
      <c r="D469" s="102" t="s">
        <v>6500</v>
      </c>
      <c r="E469" s="102" t="s">
        <v>187</v>
      </c>
      <c r="F469" s="102"/>
      <c r="G469" s="102" t="s">
        <v>3434</v>
      </c>
      <c r="H469" s="102" t="s">
        <v>3402</v>
      </c>
      <c r="I469" s="102"/>
      <c r="J469" s="102"/>
      <c r="K469" s="102" t="s">
        <v>3</v>
      </c>
      <c r="L469" s="102" t="s">
        <v>3401</v>
      </c>
      <c r="M469" s="102" t="s">
        <v>6501</v>
      </c>
      <c r="N469" s="102" t="s">
        <v>6502</v>
      </c>
      <c r="O469" s="102"/>
      <c r="P469" s="102"/>
      <c r="Q469" s="102"/>
      <c r="R469" s="102"/>
      <c r="S469" s="102" t="s">
        <v>5281</v>
      </c>
      <c r="T469" s="102" t="s">
        <v>4</v>
      </c>
    </row>
    <row r="470" spans="1:20">
      <c r="A470" s="101" t="s">
        <v>3498</v>
      </c>
      <c r="B470" s="101" t="s">
        <v>8730</v>
      </c>
      <c r="C470" s="101">
        <v>37</v>
      </c>
      <c r="D470" s="102" t="s">
        <v>6503</v>
      </c>
      <c r="E470" s="102" t="s">
        <v>187</v>
      </c>
      <c r="F470" s="102"/>
      <c r="G470" s="102" t="s">
        <v>3434</v>
      </c>
      <c r="H470" s="102"/>
      <c r="I470" s="102"/>
      <c r="J470" s="102"/>
      <c r="K470" s="102" t="s">
        <v>6504</v>
      </c>
      <c r="L470" s="102" t="s">
        <v>6505</v>
      </c>
      <c r="M470" s="102"/>
      <c r="N470" s="102"/>
      <c r="O470" s="102"/>
      <c r="P470" s="102"/>
      <c r="Q470" s="102"/>
      <c r="R470" s="102"/>
      <c r="S470" s="102" t="s">
        <v>607</v>
      </c>
      <c r="T470" s="102" t="s">
        <v>4</v>
      </c>
    </row>
    <row r="471" spans="1:20">
      <c r="A471" s="101" t="s">
        <v>3498</v>
      </c>
      <c r="B471" s="101" t="s">
        <v>8730</v>
      </c>
      <c r="C471" s="101">
        <v>38</v>
      </c>
      <c r="D471" s="102" t="s">
        <v>6506</v>
      </c>
      <c r="E471" s="102" t="s">
        <v>187</v>
      </c>
      <c r="F471" s="102"/>
      <c r="G471" s="102" t="s">
        <v>3434</v>
      </c>
      <c r="H471" s="102" t="s">
        <v>3402</v>
      </c>
      <c r="I471" s="102"/>
      <c r="J471" s="102"/>
      <c r="K471" s="102" t="s">
        <v>3401</v>
      </c>
      <c r="L471" s="102" t="s">
        <v>6507</v>
      </c>
      <c r="M471" s="102"/>
      <c r="N471" s="102"/>
      <c r="O471" s="102"/>
      <c r="P471" s="102"/>
      <c r="Q471" s="102"/>
      <c r="R471" s="102"/>
      <c r="S471" s="102" t="s">
        <v>48</v>
      </c>
      <c r="T471" s="102" t="s">
        <v>4</v>
      </c>
    </row>
    <row r="472" spans="1:20">
      <c r="A472" s="101" t="s">
        <v>3498</v>
      </c>
      <c r="B472" s="101" t="s">
        <v>8730</v>
      </c>
      <c r="C472" s="101">
        <v>39</v>
      </c>
      <c r="D472" s="102" t="s">
        <v>6508</v>
      </c>
      <c r="E472" s="102" t="s">
        <v>187</v>
      </c>
      <c r="F472" s="102"/>
      <c r="G472" s="102" t="s">
        <v>3434</v>
      </c>
      <c r="H472" s="102" t="s">
        <v>3402</v>
      </c>
      <c r="I472" s="102"/>
      <c r="J472" s="102"/>
      <c r="K472" s="102" t="s">
        <v>3401</v>
      </c>
      <c r="L472" s="102" t="s">
        <v>6471</v>
      </c>
      <c r="M472" s="102"/>
      <c r="N472" s="102"/>
      <c r="O472" s="102"/>
      <c r="P472" s="102"/>
      <c r="Q472" s="102"/>
      <c r="R472" s="102"/>
      <c r="S472" s="102" t="s">
        <v>32</v>
      </c>
      <c r="T472" s="102" t="s">
        <v>4</v>
      </c>
    </row>
    <row r="473" spans="1:20">
      <c r="A473" s="101" t="s">
        <v>3498</v>
      </c>
      <c r="B473" s="101" t="s">
        <v>8730</v>
      </c>
      <c r="C473" s="101">
        <v>40</v>
      </c>
      <c r="D473" s="102" t="s">
        <v>4712</v>
      </c>
      <c r="E473" s="102" t="s">
        <v>187</v>
      </c>
      <c r="F473" s="102"/>
      <c r="G473" s="102" t="s">
        <v>3434</v>
      </c>
      <c r="H473" s="102" t="s">
        <v>3402</v>
      </c>
      <c r="I473" s="102"/>
      <c r="J473" s="102"/>
      <c r="K473" s="102" t="s">
        <v>3401</v>
      </c>
      <c r="L473" s="102" t="s">
        <v>4713</v>
      </c>
      <c r="M473" s="102"/>
      <c r="N473" s="102"/>
      <c r="O473" s="102"/>
      <c r="P473" s="102"/>
      <c r="Q473" s="102"/>
      <c r="R473" s="102"/>
      <c r="S473" s="102" t="s">
        <v>45</v>
      </c>
      <c r="T473" s="102" t="s">
        <v>4</v>
      </c>
    </row>
    <row r="474" spans="1:20">
      <c r="A474" s="103" t="s">
        <v>3498</v>
      </c>
      <c r="B474" s="103" t="s">
        <v>8730</v>
      </c>
      <c r="C474" s="103">
        <v>41</v>
      </c>
      <c r="D474" s="104" t="s">
        <v>6509</v>
      </c>
      <c r="E474" s="104" t="s">
        <v>187</v>
      </c>
      <c r="F474" s="104"/>
      <c r="G474" s="104" t="s">
        <v>3434</v>
      </c>
      <c r="H474" s="104" t="s">
        <v>3402</v>
      </c>
      <c r="I474" s="104"/>
      <c r="J474" s="104"/>
      <c r="K474" s="104" t="s">
        <v>3401</v>
      </c>
      <c r="L474" s="104" t="s">
        <v>5654</v>
      </c>
      <c r="M474" s="104"/>
      <c r="N474" s="104"/>
      <c r="O474" s="104"/>
      <c r="P474" s="104"/>
      <c r="Q474" s="104"/>
      <c r="R474" s="102"/>
      <c r="S474" s="102" t="s">
        <v>5685</v>
      </c>
      <c r="T474" s="102" t="s">
        <v>4</v>
      </c>
    </row>
    <row r="475" spans="1:20">
      <c r="A475" s="101" t="s">
        <v>3498</v>
      </c>
      <c r="B475" s="101" t="s">
        <v>8730</v>
      </c>
      <c r="C475" s="101">
        <v>42</v>
      </c>
      <c r="D475" s="102" t="s">
        <v>6510</v>
      </c>
      <c r="E475" s="102" t="s">
        <v>187</v>
      </c>
      <c r="F475" s="102"/>
      <c r="G475" s="102" t="s">
        <v>3434</v>
      </c>
      <c r="H475" s="102" t="s">
        <v>3402</v>
      </c>
      <c r="I475" s="102"/>
      <c r="J475" s="102"/>
      <c r="K475" s="102" t="s">
        <v>3401</v>
      </c>
      <c r="L475" s="102" t="s">
        <v>6466</v>
      </c>
      <c r="M475" s="102" t="s">
        <v>6511</v>
      </c>
      <c r="N475" s="102"/>
      <c r="O475" s="102"/>
      <c r="P475" s="102"/>
      <c r="Q475" s="102"/>
      <c r="R475" s="102"/>
      <c r="S475" s="102" t="s">
        <v>35</v>
      </c>
      <c r="T475" s="102" t="s">
        <v>4</v>
      </c>
    </row>
    <row r="476" spans="1:20">
      <c r="A476" s="101" t="s">
        <v>3498</v>
      </c>
      <c r="B476" s="101" t="s">
        <v>8730</v>
      </c>
      <c r="C476" s="101">
        <v>43</v>
      </c>
      <c r="D476" s="102" t="s">
        <v>6512</v>
      </c>
      <c r="E476" s="102" t="s">
        <v>187</v>
      </c>
      <c r="F476" s="102"/>
      <c r="G476" s="102" t="s">
        <v>3434</v>
      </c>
      <c r="H476" s="102" t="s">
        <v>3402</v>
      </c>
      <c r="I476" s="102"/>
      <c r="J476" s="102"/>
      <c r="K476" s="102" t="s">
        <v>12</v>
      </c>
      <c r="L476" s="102" t="s">
        <v>3401</v>
      </c>
      <c r="M476" s="102" t="s">
        <v>6513</v>
      </c>
      <c r="N476" s="102" t="s">
        <v>6514</v>
      </c>
      <c r="O476" s="102"/>
      <c r="P476" s="102"/>
      <c r="Q476" s="102"/>
      <c r="R476" s="102"/>
      <c r="S476" s="102" t="s">
        <v>31</v>
      </c>
      <c r="T476" s="102" t="s">
        <v>4</v>
      </c>
    </row>
    <row r="477" spans="1:20">
      <c r="A477" s="101" t="s">
        <v>3498</v>
      </c>
      <c r="B477" s="101" t="s">
        <v>8730</v>
      </c>
      <c r="C477" s="101">
        <v>44</v>
      </c>
      <c r="D477" s="102" t="s">
        <v>6515</v>
      </c>
      <c r="E477" s="102" t="s">
        <v>187</v>
      </c>
      <c r="F477" s="102"/>
      <c r="G477" s="102" t="s">
        <v>3434</v>
      </c>
      <c r="H477" s="102" t="s">
        <v>3402</v>
      </c>
      <c r="I477" s="102"/>
      <c r="J477" s="102"/>
      <c r="K477" s="102" t="s">
        <v>3401</v>
      </c>
      <c r="L477" s="102" t="s">
        <v>6516</v>
      </c>
      <c r="M477" s="102" t="s">
        <v>5666</v>
      </c>
      <c r="N477" s="102"/>
      <c r="O477" s="102"/>
      <c r="P477" s="102"/>
      <c r="Q477" s="102"/>
      <c r="R477" s="102"/>
      <c r="S477" s="102" t="s">
        <v>170</v>
      </c>
      <c r="T477" s="102" t="s">
        <v>4</v>
      </c>
    </row>
    <row r="478" spans="1:20">
      <c r="A478" s="101" t="s">
        <v>3498</v>
      </c>
      <c r="B478" s="101" t="s">
        <v>8730</v>
      </c>
      <c r="C478" s="101">
        <v>45</v>
      </c>
      <c r="D478" s="102" t="s">
        <v>6517</v>
      </c>
      <c r="E478" s="102" t="s">
        <v>187</v>
      </c>
      <c r="F478" s="102"/>
      <c r="G478" s="102" t="s">
        <v>3434</v>
      </c>
      <c r="H478" s="102"/>
      <c r="I478" s="102"/>
      <c r="J478" s="102"/>
      <c r="K478" s="102" t="s">
        <v>6518</v>
      </c>
      <c r="L478" s="102"/>
      <c r="M478" s="102"/>
      <c r="N478" s="102"/>
      <c r="O478" s="102"/>
      <c r="P478" s="102"/>
      <c r="Q478" s="102"/>
      <c r="R478" s="102"/>
      <c r="S478" s="102" t="s">
        <v>46</v>
      </c>
      <c r="T478" s="102" t="s">
        <v>4</v>
      </c>
    </row>
    <row r="479" spans="1:20">
      <c r="A479" s="101" t="s">
        <v>3498</v>
      </c>
      <c r="B479" s="101" t="s">
        <v>8730</v>
      </c>
      <c r="C479" s="101">
        <v>46</v>
      </c>
      <c r="D479" s="102" t="s">
        <v>5561</v>
      </c>
      <c r="E479" s="102" t="s">
        <v>204</v>
      </c>
      <c r="F479" s="102"/>
      <c r="G479" s="102" t="s">
        <v>3434</v>
      </c>
      <c r="H479" s="102"/>
      <c r="I479" s="102"/>
      <c r="J479" s="102"/>
      <c r="K479" s="102" t="s">
        <v>5562</v>
      </c>
      <c r="L479" s="102" t="s">
        <v>5563</v>
      </c>
      <c r="M479" s="102"/>
      <c r="N479" s="102"/>
      <c r="O479" s="102"/>
      <c r="P479" s="102"/>
      <c r="Q479" s="102"/>
      <c r="R479" s="102"/>
      <c r="S479" s="102" t="s">
        <v>15</v>
      </c>
      <c r="T479" s="102" t="s">
        <v>4</v>
      </c>
    </row>
    <row r="480" spans="1:20">
      <c r="A480" s="103" t="s">
        <v>3498</v>
      </c>
      <c r="B480" s="103" t="s">
        <v>8730</v>
      </c>
      <c r="C480" s="103">
        <v>47</v>
      </c>
      <c r="D480" s="104" t="s">
        <v>6519</v>
      </c>
      <c r="E480" s="104" t="s">
        <v>204</v>
      </c>
      <c r="F480" s="104"/>
      <c r="G480" s="104" t="s">
        <v>3086</v>
      </c>
      <c r="H480" s="104" t="s">
        <v>13389</v>
      </c>
      <c r="I480" s="104"/>
      <c r="J480" s="104"/>
      <c r="K480" s="104" t="s">
        <v>6520</v>
      </c>
      <c r="L480" s="104"/>
      <c r="M480" s="104"/>
      <c r="N480" s="104"/>
      <c r="O480" s="104"/>
      <c r="P480" s="104" t="s">
        <v>161</v>
      </c>
      <c r="Q480" s="104"/>
      <c r="R480" s="102"/>
      <c r="S480" s="102" t="s">
        <v>27</v>
      </c>
      <c r="T480" s="102" t="s">
        <v>4</v>
      </c>
    </row>
    <row r="481" spans="1:20">
      <c r="A481" s="101" t="s">
        <v>3498</v>
      </c>
      <c r="B481" s="101" t="s">
        <v>8730</v>
      </c>
      <c r="C481" s="101">
        <v>48</v>
      </c>
      <c r="D481" s="102" t="s">
        <v>6521</v>
      </c>
      <c r="E481" s="102" t="s">
        <v>204</v>
      </c>
      <c r="F481" s="102"/>
      <c r="G481" s="102" t="s">
        <v>3434</v>
      </c>
      <c r="H481" s="102" t="s">
        <v>3402</v>
      </c>
      <c r="I481" s="102"/>
      <c r="J481" s="102"/>
      <c r="K481" s="102" t="s">
        <v>3401</v>
      </c>
      <c r="L481" s="102" t="s">
        <v>6522</v>
      </c>
      <c r="M481" s="102"/>
      <c r="N481" s="102"/>
      <c r="O481" s="102"/>
      <c r="P481" s="102"/>
      <c r="Q481" s="102"/>
      <c r="R481" s="102"/>
      <c r="S481" s="102" t="s">
        <v>18</v>
      </c>
      <c r="T481" s="102" t="s">
        <v>4</v>
      </c>
    </row>
    <row r="482" spans="1:20">
      <c r="A482" s="101" t="s">
        <v>3498</v>
      </c>
      <c r="B482" s="101" t="s">
        <v>8730</v>
      </c>
      <c r="C482" s="101">
        <v>49</v>
      </c>
      <c r="D482" s="102" t="s">
        <v>6523</v>
      </c>
      <c r="E482" s="102" t="s">
        <v>204</v>
      </c>
      <c r="F482" s="102"/>
      <c r="G482" s="102" t="s">
        <v>3434</v>
      </c>
      <c r="H482" s="102" t="s">
        <v>3402</v>
      </c>
      <c r="I482" s="102"/>
      <c r="J482" s="102"/>
      <c r="K482" s="102" t="s">
        <v>3401</v>
      </c>
      <c r="L482" s="102" t="s">
        <v>5654</v>
      </c>
      <c r="M482" s="102" t="s">
        <v>6524</v>
      </c>
      <c r="N482" s="102"/>
      <c r="O482" s="102"/>
      <c r="P482" s="102"/>
      <c r="Q482" s="102"/>
      <c r="R482" s="102"/>
      <c r="S482" s="102" t="s">
        <v>53</v>
      </c>
      <c r="T482" s="102" t="s">
        <v>4</v>
      </c>
    </row>
    <row r="483" spans="1:20">
      <c r="A483" s="103" t="s">
        <v>3498</v>
      </c>
      <c r="B483" s="103" t="s">
        <v>8730</v>
      </c>
      <c r="C483" s="103">
        <v>50</v>
      </c>
      <c r="D483" s="104" t="s">
        <v>6525</v>
      </c>
      <c r="E483" s="104" t="s">
        <v>204</v>
      </c>
      <c r="F483" s="104"/>
      <c r="G483" s="104" t="s">
        <v>3434</v>
      </c>
      <c r="H483" s="104" t="s">
        <v>3402</v>
      </c>
      <c r="I483" s="104"/>
      <c r="J483" s="104"/>
      <c r="K483" s="104" t="s">
        <v>3401</v>
      </c>
      <c r="L483" s="104" t="s">
        <v>6526</v>
      </c>
      <c r="M483" s="104"/>
      <c r="N483" s="104"/>
      <c r="O483" s="104"/>
      <c r="P483" s="104"/>
      <c r="Q483" s="104"/>
      <c r="R483" s="102"/>
      <c r="S483" s="102" t="s">
        <v>5719</v>
      </c>
      <c r="T483" s="102" t="s">
        <v>4</v>
      </c>
    </row>
    <row r="484" spans="1:20">
      <c r="A484" s="101" t="s">
        <v>3498</v>
      </c>
      <c r="B484" s="101" t="s">
        <v>8730</v>
      </c>
      <c r="C484" s="101">
        <v>51</v>
      </c>
      <c r="D484" s="102" t="s">
        <v>5567</v>
      </c>
      <c r="E484" s="102" t="s">
        <v>204</v>
      </c>
      <c r="F484" s="102"/>
      <c r="G484" s="102" t="s">
        <v>3434</v>
      </c>
      <c r="H484" s="102" t="s">
        <v>3402</v>
      </c>
      <c r="I484" s="102"/>
      <c r="J484" s="102"/>
      <c r="K484" s="102" t="s">
        <v>3401</v>
      </c>
      <c r="L484" s="102" t="s">
        <v>5568</v>
      </c>
      <c r="M484" s="102"/>
      <c r="N484" s="102"/>
      <c r="O484" s="102"/>
      <c r="P484" s="102"/>
      <c r="Q484" s="102"/>
      <c r="R484" s="102"/>
      <c r="S484" s="102" t="s">
        <v>50</v>
      </c>
      <c r="T484" s="102" t="s">
        <v>4</v>
      </c>
    </row>
    <row r="485" spans="1:20">
      <c r="A485" s="101" t="s">
        <v>3498</v>
      </c>
      <c r="B485" s="101" t="s">
        <v>8730</v>
      </c>
      <c r="C485" s="101">
        <v>52</v>
      </c>
      <c r="D485" s="102" t="s">
        <v>6527</v>
      </c>
      <c r="E485" s="102" t="s">
        <v>204</v>
      </c>
      <c r="F485" s="102"/>
      <c r="G485" s="102" t="s">
        <v>3434</v>
      </c>
      <c r="H485" s="102" t="s">
        <v>3402</v>
      </c>
      <c r="I485" s="102"/>
      <c r="J485" s="102"/>
      <c r="K485" s="102" t="s">
        <v>3401</v>
      </c>
      <c r="L485" s="102" t="s">
        <v>6528</v>
      </c>
      <c r="M485" s="102" t="s">
        <v>6529</v>
      </c>
      <c r="N485" s="102" t="s">
        <v>6530</v>
      </c>
      <c r="O485" s="102"/>
      <c r="P485" s="102"/>
      <c r="Q485" s="102"/>
      <c r="R485" s="102"/>
      <c r="S485" s="102" t="s">
        <v>31</v>
      </c>
      <c r="T485" s="102" t="s">
        <v>4</v>
      </c>
    </row>
    <row r="486" spans="1:20">
      <c r="A486" s="101" t="s">
        <v>3498</v>
      </c>
      <c r="B486" s="101" t="s">
        <v>8730</v>
      </c>
      <c r="C486" s="101">
        <v>53</v>
      </c>
      <c r="D486" s="102" t="s">
        <v>6531</v>
      </c>
      <c r="E486" s="102" t="s">
        <v>204</v>
      </c>
      <c r="F486" s="102"/>
      <c r="G486" s="102" t="s">
        <v>3434</v>
      </c>
      <c r="H486" s="102" t="s">
        <v>3402</v>
      </c>
      <c r="I486" s="102"/>
      <c r="J486" s="102"/>
      <c r="K486" s="102" t="s">
        <v>5600</v>
      </c>
      <c r="L486" s="102" t="s">
        <v>6532</v>
      </c>
      <c r="M486" s="102" t="s">
        <v>6533</v>
      </c>
      <c r="N486" s="102"/>
      <c r="O486" s="102"/>
      <c r="P486" s="102"/>
      <c r="Q486" s="102"/>
      <c r="R486" s="102"/>
      <c r="S486" s="102" t="s">
        <v>604</v>
      </c>
      <c r="T486" s="102" t="s">
        <v>4</v>
      </c>
    </row>
    <row r="487" spans="1:20">
      <c r="A487" s="101" t="s">
        <v>3498</v>
      </c>
      <c r="B487" s="101" t="s">
        <v>8730</v>
      </c>
      <c r="C487" s="101">
        <v>54</v>
      </c>
      <c r="D487" s="102" t="s">
        <v>6534</v>
      </c>
      <c r="E487" s="102" t="s">
        <v>204</v>
      </c>
      <c r="F487" s="102"/>
      <c r="G487" s="102" t="s">
        <v>3434</v>
      </c>
      <c r="H487" s="102" t="s">
        <v>3402</v>
      </c>
      <c r="I487" s="102"/>
      <c r="J487" s="102"/>
      <c r="K487" s="102" t="s">
        <v>3401</v>
      </c>
      <c r="L487" s="102" t="s">
        <v>6535</v>
      </c>
      <c r="M487" s="102"/>
      <c r="N487" s="102"/>
      <c r="O487" s="102"/>
      <c r="P487" s="102"/>
      <c r="Q487" s="102"/>
      <c r="R487" s="102"/>
      <c r="S487" s="102" t="s">
        <v>27</v>
      </c>
      <c r="T487" s="102" t="s">
        <v>4</v>
      </c>
    </row>
    <row r="488" spans="1:20">
      <c r="A488" s="101" t="s">
        <v>3498</v>
      </c>
      <c r="B488" s="101" t="s">
        <v>8730</v>
      </c>
      <c r="C488" s="101">
        <v>55</v>
      </c>
      <c r="D488" s="102" t="s">
        <v>6536</v>
      </c>
      <c r="E488" s="102" t="s">
        <v>204</v>
      </c>
      <c r="F488" s="102"/>
      <c r="G488" s="102" t="s">
        <v>3434</v>
      </c>
      <c r="H488" s="102" t="s">
        <v>3402</v>
      </c>
      <c r="I488" s="102"/>
      <c r="J488" s="102"/>
      <c r="K488" s="102" t="s">
        <v>3401</v>
      </c>
      <c r="L488" s="102" t="s">
        <v>6471</v>
      </c>
      <c r="M488" s="102" t="s">
        <v>6537</v>
      </c>
      <c r="N488" s="102"/>
      <c r="O488" s="102"/>
      <c r="P488" s="102"/>
      <c r="Q488" s="102"/>
      <c r="R488" s="102"/>
      <c r="S488" s="102" t="s">
        <v>35</v>
      </c>
      <c r="T488" s="102" t="s">
        <v>4</v>
      </c>
    </row>
    <row r="489" spans="1:20">
      <c r="A489" s="101" t="s">
        <v>3498</v>
      </c>
      <c r="B489" s="101" t="s">
        <v>8730</v>
      </c>
      <c r="C489" s="101">
        <v>56</v>
      </c>
      <c r="D489" s="102" t="s">
        <v>6538</v>
      </c>
      <c r="E489" s="102" t="s">
        <v>204</v>
      </c>
      <c r="F489" s="102"/>
      <c r="G489" s="102" t="s">
        <v>3434</v>
      </c>
      <c r="H489" s="102" t="s">
        <v>3402</v>
      </c>
      <c r="I489" s="102"/>
      <c r="J489" s="102"/>
      <c r="K489" s="102" t="s">
        <v>3401</v>
      </c>
      <c r="L489" s="102" t="s">
        <v>6539</v>
      </c>
      <c r="M489" s="102" t="s">
        <v>6491</v>
      </c>
      <c r="N489" s="102"/>
      <c r="O489" s="102"/>
      <c r="P489" s="102"/>
      <c r="Q489" s="102"/>
      <c r="R489" s="102"/>
      <c r="S489" s="102" t="s">
        <v>5381</v>
      </c>
      <c r="T489" s="102" t="s">
        <v>4</v>
      </c>
    </row>
    <row r="490" spans="1:20">
      <c r="A490" s="101" t="s">
        <v>3498</v>
      </c>
      <c r="B490" s="101" t="s">
        <v>8730</v>
      </c>
      <c r="C490" s="101">
        <v>57</v>
      </c>
      <c r="D490" s="102" t="s">
        <v>6540</v>
      </c>
      <c r="E490" s="102" t="s">
        <v>204</v>
      </c>
      <c r="F490" s="102"/>
      <c r="G490" s="102" t="s">
        <v>3434</v>
      </c>
      <c r="H490" s="102" t="s">
        <v>3402</v>
      </c>
      <c r="I490" s="102"/>
      <c r="J490" s="102"/>
      <c r="K490" s="102" t="s">
        <v>3401</v>
      </c>
      <c r="L490" s="102" t="s">
        <v>6426</v>
      </c>
      <c r="M490" s="102" t="s">
        <v>6541</v>
      </c>
      <c r="N490" s="102"/>
      <c r="O490" s="102"/>
      <c r="P490" s="102"/>
      <c r="Q490" s="102"/>
      <c r="R490" s="102"/>
      <c r="S490" s="102" t="s">
        <v>36</v>
      </c>
      <c r="T490" s="102" t="s">
        <v>4</v>
      </c>
    </row>
    <row r="491" spans="1:20">
      <c r="A491" s="107" t="s">
        <v>3498</v>
      </c>
      <c r="B491" s="107" t="s">
        <v>8730</v>
      </c>
      <c r="C491" s="107">
        <v>58</v>
      </c>
      <c r="D491" s="108" t="s">
        <v>6542</v>
      </c>
      <c r="E491" s="108" t="s">
        <v>204</v>
      </c>
      <c r="F491" s="108"/>
      <c r="G491" s="108" t="s">
        <v>3434</v>
      </c>
      <c r="H491" s="108" t="s">
        <v>3402</v>
      </c>
      <c r="I491" s="108"/>
      <c r="J491" s="108"/>
      <c r="K491" s="108" t="s">
        <v>3401</v>
      </c>
      <c r="L491" s="108" t="s">
        <v>6543</v>
      </c>
      <c r="M491" s="108"/>
      <c r="N491" s="108"/>
      <c r="O491" s="108"/>
      <c r="P491" s="108"/>
      <c r="Q491" s="108"/>
      <c r="R491" s="102"/>
      <c r="S491" s="102" t="s">
        <v>26</v>
      </c>
      <c r="T491" s="102" t="s">
        <v>4</v>
      </c>
    </row>
    <row r="492" spans="1:20">
      <c r="A492" s="101" t="s">
        <v>3498</v>
      </c>
      <c r="B492" s="101" t="s">
        <v>8730</v>
      </c>
      <c r="C492" s="101">
        <v>59</v>
      </c>
      <c r="D492" s="102" t="s">
        <v>6544</v>
      </c>
      <c r="E492" s="102" t="s">
        <v>204</v>
      </c>
      <c r="F492" s="102"/>
      <c r="G492" s="102" t="s">
        <v>3434</v>
      </c>
      <c r="H492" s="102" t="s">
        <v>3402</v>
      </c>
      <c r="I492" s="102"/>
      <c r="J492" s="102"/>
      <c r="K492" s="102" t="s">
        <v>6545</v>
      </c>
      <c r="L492" s="102" t="s">
        <v>6546</v>
      </c>
      <c r="M492" s="102"/>
      <c r="N492" s="102"/>
      <c r="O492" s="102"/>
      <c r="P492" s="102"/>
      <c r="Q492" s="102"/>
      <c r="R492" s="102"/>
      <c r="S492" s="102" t="s">
        <v>169</v>
      </c>
      <c r="T492" s="102" t="s">
        <v>4</v>
      </c>
    </row>
    <row r="493" spans="1:20">
      <c r="A493" s="103" t="s">
        <v>3498</v>
      </c>
      <c r="B493" s="103" t="s">
        <v>8730</v>
      </c>
      <c r="C493" s="103">
        <v>60</v>
      </c>
      <c r="D493" s="104" t="s">
        <v>6547</v>
      </c>
      <c r="E493" s="104" t="s">
        <v>204</v>
      </c>
      <c r="F493" s="104"/>
      <c r="G493" s="104" t="s">
        <v>3434</v>
      </c>
      <c r="H493" s="104" t="s">
        <v>3402</v>
      </c>
      <c r="I493" s="104"/>
      <c r="J493" s="104"/>
      <c r="K493" s="104" t="s">
        <v>3401</v>
      </c>
      <c r="L493" s="104" t="s">
        <v>6471</v>
      </c>
      <c r="M493" s="104"/>
      <c r="N493" s="104"/>
      <c r="O493" s="104"/>
      <c r="P493" s="104"/>
      <c r="Q493" s="104"/>
      <c r="R493" s="102"/>
      <c r="S493" s="102" t="s">
        <v>5685</v>
      </c>
      <c r="T493" s="102" t="s">
        <v>4</v>
      </c>
    </row>
    <row r="494" spans="1:20">
      <c r="A494" s="101" t="s">
        <v>3498</v>
      </c>
      <c r="B494" s="101" t="s">
        <v>8730</v>
      </c>
      <c r="C494" s="101">
        <v>61</v>
      </c>
      <c r="D494" s="102" t="s">
        <v>5585</v>
      </c>
      <c r="E494" s="102" t="s">
        <v>204</v>
      </c>
      <c r="F494" s="102"/>
      <c r="G494" s="102" t="s">
        <v>5673</v>
      </c>
      <c r="H494" s="102" t="s">
        <v>13390</v>
      </c>
      <c r="I494" s="102"/>
      <c r="J494" s="102"/>
      <c r="K494" s="102" t="s">
        <v>3401</v>
      </c>
      <c r="L494" s="102" t="s">
        <v>5586</v>
      </c>
      <c r="M494" s="102"/>
      <c r="N494" s="102"/>
      <c r="O494" s="102"/>
      <c r="P494" s="102"/>
      <c r="Q494" s="102"/>
      <c r="R494" s="102"/>
      <c r="S494" s="102" t="s">
        <v>768</v>
      </c>
      <c r="T494" s="102" t="s">
        <v>4</v>
      </c>
    </row>
    <row r="495" spans="1:20">
      <c r="A495" s="101" t="s">
        <v>3498</v>
      </c>
      <c r="B495" s="101" t="s">
        <v>8730</v>
      </c>
      <c r="C495" s="101">
        <v>62</v>
      </c>
      <c r="D495" s="102" t="s">
        <v>6548</v>
      </c>
      <c r="E495" s="102" t="s">
        <v>204</v>
      </c>
      <c r="F495" s="102"/>
      <c r="G495" s="102" t="s">
        <v>3434</v>
      </c>
      <c r="H495" s="102" t="s">
        <v>3402</v>
      </c>
      <c r="I495" s="102"/>
      <c r="J495" s="102"/>
      <c r="K495" s="102" t="s">
        <v>3401</v>
      </c>
      <c r="L495" s="102" t="s">
        <v>6539</v>
      </c>
      <c r="M495" s="102" t="s">
        <v>6549</v>
      </c>
      <c r="N495" s="102"/>
      <c r="O495" s="102"/>
      <c r="P495" s="102"/>
      <c r="Q495" s="102"/>
      <c r="R495" s="102"/>
      <c r="S495" s="102" t="s">
        <v>175</v>
      </c>
      <c r="T495" s="102" t="s">
        <v>4</v>
      </c>
    </row>
    <row r="496" spans="1:20">
      <c r="A496" s="101" t="s">
        <v>3498</v>
      </c>
      <c r="B496" s="101" t="s">
        <v>8730</v>
      </c>
      <c r="C496" s="101">
        <v>63</v>
      </c>
      <c r="D496" s="102" t="s">
        <v>6550</v>
      </c>
      <c r="E496" s="102" t="s">
        <v>204</v>
      </c>
      <c r="F496" s="102"/>
      <c r="G496" s="102" t="s">
        <v>3434</v>
      </c>
      <c r="H496" s="102" t="s">
        <v>3402</v>
      </c>
      <c r="I496" s="102"/>
      <c r="J496" s="102"/>
      <c r="K496" s="102" t="s">
        <v>3401</v>
      </c>
      <c r="L496" s="102" t="s">
        <v>4136</v>
      </c>
      <c r="M496" s="102" t="s">
        <v>6551</v>
      </c>
      <c r="N496" s="102"/>
      <c r="O496" s="102"/>
      <c r="P496" s="102"/>
      <c r="Q496" s="102"/>
      <c r="R496" s="102"/>
      <c r="S496" s="102" t="s">
        <v>45</v>
      </c>
      <c r="T496" s="102" t="s">
        <v>4</v>
      </c>
    </row>
    <row r="497" spans="1:20">
      <c r="A497" s="101" t="s">
        <v>3498</v>
      </c>
      <c r="B497" s="101" t="s">
        <v>8730</v>
      </c>
      <c r="C497" s="101">
        <v>64</v>
      </c>
      <c r="D497" s="102" t="s">
        <v>6552</v>
      </c>
      <c r="E497" s="102" t="s">
        <v>204</v>
      </c>
      <c r="F497" s="102"/>
      <c r="G497" s="102" t="s">
        <v>3434</v>
      </c>
      <c r="H497" s="102" t="s">
        <v>3402</v>
      </c>
      <c r="I497" s="102"/>
      <c r="J497" s="102"/>
      <c r="K497" s="102" t="s">
        <v>3</v>
      </c>
      <c r="L497" s="102" t="s">
        <v>3401</v>
      </c>
      <c r="M497" s="102" t="s">
        <v>6553</v>
      </c>
      <c r="N497" s="102"/>
      <c r="O497" s="102"/>
      <c r="P497" s="102"/>
      <c r="Q497" s="102"/>
      <c r="R497" s="102"/>
      <c r="S497" s="102" t="s">
        <v>11</v>
      </c>
      <c r="T497" s="102" t="s">
        <v>4</v>
      </c>
    </row>
    <row r="498" spans="1:20">
      <c r="A498" s="101" t="s">
        <v>3498</v>
      </c>
      <c r="B498" s="101" t="s">
        <v>8730</v>
      </c>
      <c r="C498" s="101">
        <v>65</v>
      </c>
      <c r="D498" s="102" t="s">
        <v>6554</v>
      </c>
      <c r="E498" s="102" t="s">
        <v>204</v>
      </c>
      <c r="F498" s="102"/>
      <c r="G498" s="102" t="s">
        <v>3434</v>
      </c>
      <c r="H498" s="102" t="s">
        <v>3402</v>
      </c>
      <c r="I498" s="102"/>
      <c r="J498" s="102"/>
      <c r="K498" s="102" t="s">
        <v>3401</v>
      </c>
      <c r="L498" s="102" t="s">
        <v>6471</v>
      </c>
      <c r="M498" s="102" t="s">
        <v>6555</v>
      </c>
      <c r="N498" s="102"/>
      <c r="O498" s="102"/>
      <c r="P498" s="102"/>
      <c r="Q498" s="102"/>
      <c r="R498" s="102"/>
      <c r="S498" s="102" t="s">
        <v>39</v>
      </c>
      <c r="T498" s="102" t="s">
        <v>4</v>
      </c>
    </row>
    <row r="499" spans="1:20">
      <c r="A499" s="103" t="s">
        <v>3498</v>
      </c>
      <c r="B499" s="103" t="s">
        <v>8730</v>
      </c>
      <c r="C499" s="103">
        <v>66</v>
      </c>
      <c r="D499" s="104" t="s">
        <v>6556</v>
      </c>
      <c r="E499" s="104" t="s">
        <v>204</v>
      </c>
      <c r="F499" s="104"/>
      <c r="G499" s="104" t="s">
        <v>3086</v>
      </c>
      <c r="H499" s="104" t="s">
        <v>13389</v>
      </c>
      <c r="I499" s="104"/>
      <c r="J499" s="104"/>
      <c r="K499" s="104" t="s">
        <v>6557</v>
      </c>
      <c r="L499" s="104" t="s">
        <v>23</v>
      </c>
      <c r="M499" s="104" t="s">
        <v>6558</v>
      </c>
      <c r="N499" s="104"/>
      <c r="O499" s="104"/>
      <c r="P499" s="104" t="s">
        <v>154</v>
      </c>
      <c r="Q499" s="104"/>
      <c r="R499" s="102"/>
      <c r="S499" s="102" t="s">
        <v>14</v>
      </c>
      <c r="T499" s="102" t="s">
        <v>4</v>
      </c>
    </row>
    <row r="500" spans="1:20">
      <c r="A500" s="101" t="s">
        <v>3498</v>
      </c>
      <c r="B500" s="101" t="s">
        <v>8730</v>
      </c>
      <c r="C500" s="101">
        <v>67</v>
      </c>
      <c r="D500" s="102" t="s">
        <v>6559</v>
      </c>
      <c r="E500" s="102" t="s">
        <v>185</v>
      </c>
      <c r="F500" s="102"/>
      <c r="G500" s="102" t="s">
        <v>3434</v>
      </c>
      <c r="H500" s="102" t="s">
        <v>3402</v>
      </c>
      <c r="I500" s="102"/>
      <c r="J500" s="102"/>
      <c r="K500" s="102" t="s">
        <v>5014</v>
      </c>
      <c r="L500" s="102" t="s">
        <v>3401</v>
      </c>
      <c r="M500" s="102" t="s">
        <v>6560</v>
      </c>
      <c r="N500" s="102"/>
      <c r="O500" s="102"/>
      <c r="P500" s="102"/>
      <c r="Q500" s="102"/>
      <c r="R500" s="102"/>
      <c r="S500" s="102" t="s">
        <v>8</v>
      </c>
      <c r="T500" s="102" t="s">
        <v>4</v>
      </c>
    </row>
    <row r="501" spans="1:20">
      <c r="A501" s="101" t="s">
        <v>3498</v>
      </c>
      <c r="B501" s="101" t="s">
        <v>8730</v>
      </c>
      <c r="C501" s="101">
        <v>68</v>
      </c>
      <c r="D501" s="102" t="s">
        <v>6561</v>
      </c>
      <c r="E501" s="102" t="s">
        <v>209</v>
      </c>
      <c r="F501" s="102"/>
      <c r="G501" s="102" t="s">
        <v>3434</v>
      </c>
      <c r="H501" s="102"/>
      <c r="I501" s="102"/>
      <c r="J501" s="102"/>
      <c r="K501" s="102" t="s">
        <v>6562</v>
      </c>
      <c r="L501" s="102"/>
      <c r="M501" s="102"/>
      <c r="N501" s="102"/>
      <c r="O501" s="102"/>
      <c r="P501" s="102"/>
      <c r="Q501" s="102"/>
      <c r="R501" s="102"/>
      <c r="S501" s="102" t="s">
        <v>37</v>
      </c>
      <c r="T501" s="102" t="s">
        <v>4</v>
      </c>
    </row>
    <row r="502" spans="1:20">
      <c r="A502" s="101" t="s">
        <v>3498</v>
      </c>
      <c r="B502" s="101" t="s">
        <v>8730</v>
      </c>
      <c r="C502" s="101">
        <v>69</v>
      </c>
      <c r="D502" s="102" t="s">
        <v>6563</v>
      </c>
      <c r="E502" s="102" t="s">
        <v>185</v>
      </c>
      <c r="F502" s="102"/>
      <c r="G502" s="102" t="s">
        <v>3434</v>
      </c>
      <c r="H502" s="102" t="s">
        <v>3402</v>
      </c>
      <c r="I502" s="102"/>
      <c r="J502" s="102"/>
      <c r="K502" s="102" t="s">
        <v>3401</v>
      </c>
      <c r="L502" s="102" t="s">
        <v>6564</v>
      </c>
      <c r="M502" s="102"/>
      <c r="N502" s="102"/>
      <c r="O502" s="102"/>
      <c r="P502" s="102"/>
      <c r="Q502" s="102"/>
      <c r="R502" s="102"/>
      <c r="S502" s="102" t="s">
        <v>38</v>
      </c>
      <c r="T502" s="102" t="s">
        <v>4</v>
      </c>
    </row>
    <row r="503" spans="1:20">
      <c r="A503" s="101" t="s">
        <v>3498</v>
      </c>
      <c r="B503" s="101" t="s">
        <v>8730</v>
      </c>
      <c r="C503" s="101">
        <v>70</v>
      </c>
      <c r="D503" s="102" t="s">
        <v>6565</v>
      </c>
      <c r="E503" s="102" t="s">
        <v>185</v>
      </c>
      <c r="F503" s="102"/>
      <c r="G503" s="102" t="s">
        <v>3434</v>
      </c>
      <c r="H503" s="102" t="s">
        <v>3402</v>
      </c>
      <c r="I503" s="102"/>
      <c r="J503" s="102"/>
      <c r="K503" s="102" t="s">
        <v>3401</v>
      </c>
      <c r="L503" s="102" t="s">
        <v>6566</v>
      </c>
      <c r="M503" s="102"/>
      <c r="N503" s="102"/>
      <c r="O503" s="102"/>
      <c r="P503" s="102"/>
      <c r="Q503" s="102"/>
      <c r="R503" s="102"/>
      <c r="S503" s="102" t="s">
        <v>172</v>
      </c>
      <c r="T503" s="102" t="s">
        <v>4</v>
      </c>
    </row>
    <row r="504" spans="1:20">
      <c r="A504" s="101" t="s">
        <v>3498</v>
      </c>
      <c r="B504" s="101" t="s">
        <v>8730</v>
      </c>
      <c r="C504" s="101">
        <v>71</v>
      </c>
      <c r="D504" s="102" t="s">
        <v>6567</v>
      </c>
      <c r="E504" s="102" t="s">
        <v>185</v>
      </c>
      <c r="F504" s="102"/>
      <c r="G504" s="102" t="s">
        <v>3434</v>
      </c>
      <c r="H504" s="102" t="s">
        <v>3402</v>
      </c>
      <c r="I504" s="102"/>
      <c r="J504" s="102"/>
      <c r="K504" s="102" t="s">
        <v>5544</v>
      </c>
      <c r="L504" s="102" t="s">
        <v>6568</v>
      </c>
      <c r="M504" s="102"/>
      <c r="N504" s="102"/>
      <c r="O504" s="102"/>
      <c r="P504" s="102"/>
      <c r="Q504" s="102"/>
      <c r="R504" s="102"/>
      <c r="S504" s="102" t="s">
        <v>48</v>
      </c>
      <c r="T504" s="102" t="s">
        <v>4</v>
      </c>
    </row>
    <row r="505" spans="1:20">
      <c r="A505" s="101" t="s">
        <v>3498</v>
      </c>
      <c r="B505" s="101" t="s">
        <v>8730</v>
      </c>
      <c r="C505" s="101">
        <v>72</v>
      </c>
      <c r="D505" s="102" t="s">
        <v>6569</v>
      </c>
      <c r="E505" s="102" t="s">
        <v>185</v>
      </c>
      <c r="F505" s="102"/>
      <c r="G505" s="102" t="s">
        <v>3434</v>
      </c>
      <c r="H505" s="102"/>
      <c r="I505" s="102"/>
      <c r="J505" s="102"/>
      <c r="K505" s="102" t="s">
        <v>6570</v>
      </c>
      <c r="L505" s="102"/>
      <c r="M505" s="102"/>
      <c r="N505" s="102"/>
      <c r="O505" s="102"/>
      <c r="P505" s="102"/>
      <c r="Q505" s="102"/>
      <c r="R505" s="102"/>
      <c r="S505" s="102" t="s">
        <v>168</v>
      </c>
      <c r="T505" s="102" t="s">
        <v>4</v>
      </c>
    </row>
    <row r="506" spans="1:20">
      <c r="A506" s="101" t="s">
        <v>3498</v>
      </c>
      <c r="B506" s="101" t="s">
        <v>8730</v>
      </c>
      <c r="C506" s="101">
        <v>73</v>
      </c>
      <c r="D506" s="102" t="s">
        <v>6571</v>
      </c>
      <c r="E506" s="102" t="s">
        <v>185</v>
      </c>
      <c r="F506" s="102"/>
      <c r="G506" s="102" t="s">
        <v>3434</v>
      </c>
      <c r="H506" s="102" t="s">
        <v>3402</v>
      </c>
      <c r="I506" s="102"/>
      <c r="J506" s="102"/>
      <c r="K506" s="102" t="s">
        <v>6572</v>
      </c>
      <c r="L506" s="102" t="s">
        <v>6573</v>
      </c>
      <c r="M506" s="102" t="s">
        <v>6471</v>
      </c>
      <c r="N506" s="102"/>
      <c r="O506" s="102"/>
      <c r="P506" s="102"/>
      <c r="Q506" s="102"/>
      <c r="R506" s="102"/>
      <c r="S506" s="102" t="s">
        <v>30</v>
      </c>
      <c r="T506" s="102" t="s">
        <v>4</v>
      </c>
    </row>
    <row r="507" spans="1:20">
      <c r="A507" s="101" t="s">
        <v>3498</v>
      </c>
      <c r="B507" s="101" t="s">
        <v>8730</v>
      </c>
      <c r="C507" s="101">
        <v>74</v>
      </c>
      <c r="D507" s="102" t="s">
        <v>6574</v>
      </c>
      <c r="E507" s="102" t="s">
        <v>185</v>
      </c>
      <c r="F507" s="102"/>
      <c r="G507" s="102" t="s">
        <v>3434</v>
      </c>
      <c r="H507" s="102" t="s">
        <v>3402</v>
      </c>
      <c r="I507" s="102"/>
      <c r="J507" s="102"/>
      <c r="K507" s="102" t="s">
        <v>6575</v>
      </c>
      <c r="L507" s="102" t="s">
        <v>6576</v>
      </c>
      <c r="M507" s="102" t="s">
        <v>6577</v>
      </c>
      <c r="N507" s="102"/>
      <c r="O507" s="102"/>
      <c r="P507" s="102"/>
      <c r="Q507" s="102"/>
      <c r="R507" s="102"/>
      <c r="S507" s="102" t="s">
        <v>8</v>
      </c>
      <c r="T507" s="102" t="s">
        <v>4</v>
      </c>
    </row>
    <row r="508" spans="1:20">
      <c r="A508" s="103" t="s">
        <v>3498</v>
      </c>
      <c r="B508" s="103" t="s">
        <v>8730</v>
      </c>
      <c r="C508" s="103">
        <v>75</v>
      </c>
      <c r="D508" s="104" t="s">
        <v>6578</v>
      </c>
      <c r="E508" s="104" t="s">
        <v>210</v>
      </c>
      <c r="F508" s="104"/>
      <c r="G508" s="104" t="s">
        <v>3086</v>
      </c>
      <c r="H508" s="104" t="s">
        <v>13391</v>
      </c>
      <c r="I508" s="104"/>
      <c r="J508" s="104"/>
      <c r="K508" s="104" t="s">
        <v>1</v>
      </c>
      <c r="L508" s="104"/>
      <c r="M508" s="104"/>
      <c r="N508" s="104"/>
      <c r="O508" s="104"/>
      <c r="P508" s="104" t="s">
        <v>166</v>
      </c>
      <c r="Q508" s="104"/>
      <c r="R508" s="102"/>
      <c r="S508" s="102" t="s">
        <v>34</v>
      </c>
      <c r="T508" s="102" t="s">
        <v>4</v>
      </c>
    </row>
    <row r="509" spans="1:20">
      <c r="A509" s="101" t="s">
        <v>3498</v>
      </c>
      <c r="B509" s="101" t="s">
        <v>8730</v>
      </c>
      <c r="C509" s="101">
        <v>76</v>
      </c>
      <c r="D509" s="102" t="s">
        <v>6579</v>
      </c>
      <c r="E509" s="102" t="s">
        <v>211</v>
      </c>
      <c r="F509" s="102"/>
      <c r="G509" s="102" t="s">
        <v>3434</v>
      </c>
      <c r="H509" s="102" t="s">
        <v>3402</v>
      </c>
      <c r="I509" s="102"/>
      <c r="J509" s="102"/>
      <c r="K509" s="102" t="s">
        <v>3401</v>
      </c>
      <c r="L509" s="102" t="s">
        <v>6580</v>
      </c>
      <c r="M509" s="102" t="s">
        <v>6558</v>
      </c>
      <c r="N509" s="102"/>
      <c r="O509" s="102"/>
      <c r="P509" s="102"/>
      <c r="Q509" s="102"/>
      <c r="R509" s="102"/>
      <c r="S509" s="102" t="s">
        <v>6</v>
      </c>
      <c r="T509" s="102" t="s">
        <v>4</v>
      </c>
    </row>
    <row r="510" spans="1:20">
      <c r="A510" s="101" t="s">
        <v>3498</v>
      </c>
      <c r="B510" s="101" t="s">
        <v>8730</v>
      </c>
      <c r="C510" s="101">
        <v>77</v>
      </c>
      <c r="D510" s="102" t="s">
        <v>6581</v>
      </c>
      <c r="E510" s="102" t="s">
        <v>211</v>
      </c>
      <c r="F510" s="102"/>
      <c r="G510" s="102" t="s">
        <v>3434</v>
      </c>
      <c r="H510" s="102" t="s">
        <v>3402</v>
      </c>
      <c r="I510" s="102"/>
      <c r="J510" s="102"/>
      <c r="K510" s="102" t="s">
        <v>3401</v>
      </c>
      <c r="L510" s="102" t="s">
        <v>6582</v>
      </c>
      <c r="M510" s="102" t="s">
        <v>4136</v>
      </c>
      <c r="N510" s="102" t="s">
        <v>6583</v>
      </c>
      <c r="O510" s="102"/>
      <c r="P510" s="102"/>
      <c r="Q510" s="102"/>
      <c r="R510" s="102"/>
      <c r="S510" s="102" t="s">
        <v>5281</v>
      </c>
      <c r="T510" s="102" t="s">
        <v>4</v>
      </c>
    </row>
    <row r="511" spans="1:20">
      <c r="A511" t="s">
        <v>3463</v>
      </c>
      <c r="B511" t="s">
        <v>8730</v>
      </c>
      <c r="C511" s="101">
        <v>1001</v>
      </c>
      <c r="D511" t="s">
        <v>5471</v>
      </c>
      <c r="E511" t="s">
        <v>186</v>
      </c>
      <c r="G511" t="s">
        <v>3434</v>
      </c>
      <c r="K511" t="s">
        <v>5472</v>
      </c>
      <c r="S511" t="s">
        <v>169</v>
      </c>
      <c r="T511" t="s">
        <v>7</v>
      </c>
    </row>
    <row r="512" spans="1:20">
      <c r="A512" t="s">
        <v>3463</v>
      </c>
      <c r="B512" t="s">
        <v>8730</v>
      </c>
      <c r="C512" s="101">
        <v>1002</v>
      </c>
      <c r="D512" t="s">
        <v>5473</v>
      </c>
      <c r="E512" t="s">
        <v>186</v>
      </c>
      <c r="G512" t="s">
        <v>3434</v>
      </c>
      <c r="K512" t="s">
        <v>3401</v>
      </c>
      <c r="L512" t="s">
        <v>5474</v>
      </c>
      <c r="M512" t="s">
        <v>5475</v>
      </c>
      <c r="S512" t="s">
        <v>11</v>
      </c>
      <c r="T512" t="s">
        <v>7</v>
      </c>
    </row>
    <row r="513" spans="1:20">
      <c r="A513" t="s">
        <v>3463</v>
      </c>
      <c r="B513" t="s">
        <v>8730</v>
      </c>
      <c r="C513" s="101">
        <v>1003</v>
      </c>
      <c r="D513" t="s">
        <v>5476</v>
      </c>
      <c r="E513" t="s">
        <v>186</v>
      </c>
      <c r="G513" t="s">
        <v>3434</v>
      </c>
      <c r="K513" t="s">
        <v>5477</v>
      </c>
      <c r="L513" t="s">
        <v>5478</v>
      </c>
      <c r="S513" t="s">
        <v>607</v>
      </c>
      <c r="T513" t="s">
        <v>7</v>
      </c>
    </row>
    <row r="514" spans="1:20">
      <c r="A514" t="s">
        <v>3463</v>
      </c>
      <c r="B514" t="s">
        <v>8730</v>
      </c>
      <c r="C514" s="101">
        <v>1004</v>
      </c>
      <c r="D514" t="s">
        <v>5479</v>
      </c>
      <c r="E514" t="s">
        <v>186</v>
      </c>
      <c r="G514" t="s">
        <v>3434</v>
      </c>
      <c r="K514" t="s">
        <v>3401</v>
      </c>
      <c r="L514" t="s">
        <v>5480</v>
      </c>
      <c r="M514" t="s">
        <v>5481</v>
      </c>
      <c r="S514" t="s">
        <v>46</v>
      </c>
      <c r="T514" t="s">
        <v>7</v>
      </c>
    </row>
    <row r="515" spans="1:20">
      <c r="A515" t="s">
        <v>3463</v>
      </c>
      <c r="B515" t="s">
        <v>8730</v>
      </c>
      <c r="C515" s="101">
        <v>1005</v>
      </c>
      <c r="D515" t="s">
        <v>5482</v>
      </c>
      <c r="E515" t="s">
        <v>186</v>
      </c>
      <c r="G515" t="s">
        <v>3434</v>
      </c>
      <c r="K515" t="s">
        <v>5483</v>
      </c>
      <c r="L515" t="s">
        <v>5484</v>
      </c>
      <c r="M515" t="s">
        <v>5485</v>
      </c>
      <c r="S515" t="s">
        <v>183</v>
      </c>
      <c r="T515" t="s">
        <v>7</v>
      </c>
    </row>
    <row r="516" spans="1:20">
      <c r="A516" t="s">
        <v>3463</v>
      </c>
      <c r="B516" t="s">
        <v>8730</v>
      </c>
      <c r="C516" s="101">
        <v>1006</v>
      </c>
      <c r="D516" t="s">
        <v>5486</v>
      </c>
      <c r="E516" t="s">
        <v>186</v>
      </c>
      <c r="G516" t="s">
        <v>3434</v>
      </c>
      <c r="K516" t="s">
        <v>3401</v>
      </c>
      <c r="L516" t="s">
        <v>5487</v>
      </c>
      <c r="S516" t="s">
        <v>10</v>
      </c>
      <c r="T516" t="s">
        <v>7</v>
      </c>
    </row>
    <row r="517" spans="1:20">
      <c r="A517" t="s">
        <v>3463</v>
      </c>
      <c r="B517" t="s">
        <v>8730</v>
      </c>
      <c r="C517" s="101">
        <v>1007</v>
      </c>
      <c r="D517" t="s">
        <v>5488</v>
      </c>
      <c r="E517" t="s">
        <v>186</v>
      </c>
      <c r="G517" t="s">
        <v>3434</v>
      </c>
      <c r="K517" t="s">
        <v>5489</v>
      </c>
      <c r="L517" t="s">
        <v>5490</v>
      </c>
      <c r="S517" t="s">
        <v>169</v>
      </c>
      <c r="T517" t="s">
        <v>7</v>
      </c>
    </row>
    <row r="518" spans="1:20">
      <c r="A518" t="s">
        <v>3463</v>
      </c>
      <c r="B518" t="s">
        <v>8730</v>
      </c>
      <c r="C518" s="101">
        <v>1008</v>
      </c>
      <c r="D518" t="s">
        <v>5491</v>
      </c>
      <c r="E518" t="s">
        <v>186</v>
      </c>
      <c r="G518" t="s">
        <v>3434</v>
      </c>
      <c r="K518" t="s">
        <v>3401</v>
      </c>
      <c r="L518" t="s">
        <v>5492</v>
      </c>
      <c r="S518" t="s">
        <v>3119</v>
      </c>
      <c r="T518" t="s">
        <v>7</v>
      </c>
    </row>
    <row r="519" spans="1:20">
      <c r="A519" t="s">
        <v>3463</v>
      </c>
      <c r="B519" t="s">
        <v>8730</v>
      </c>
      <c r="C519" s="101">
        <v>1009</v>
      </c>
      <c r="D519" t="s">
        <v>5493</v>
      </c>
      <c r="E519" t="s">
        <v>187</v>
      </c>
      <c r="G519" t="s">
        <v>3434</v>
      </c>
      <c r="K519" t="s">
        <v>5494</v>
      </c>
      <c r="L519" t="s">
        <v>5495</v>
      </c>
      <c r="S519" t="s">
        <v>36</v>
      </c>
      <c r="T519" t="s">
        <v>7</v>
      </c>
    </row>
    <row r="520" spans="1:20">
      <c r="A520" t="s">
        <v>3463</v>
      </c>
      <c r="B520" t="s">
        <v>8730</v>
      </c>
      <c r="C520" s="101">
        <v>1010</v>
      </c>
      <c r="D520" t="s">
        <v>5496</v>
      </c>
      <c r="E520" t="s">
        <v>187</v>
      </c>
      <c r="G520" t="s">
        <v>3434</v>
      </c>
      <c r="K520" t="s">
        <v>12</v>
      </c>
      <c r="L520" t="s">
        <v>3401</v>
      </c>
      <c r="M520" t="s">
        <v>5497</v>
      </c>
      <c r="S520" t="s">
        <v>33</v>
      </c>
      <c r="T520" t="s">
        <v>7</v>
      </c>
    </row>
    <row r="521" spans="1:20">
      <c r="A521" t="s">
        <v>3463</v>
      </c>
      <c r="B521" t="s">
        <v>8730</v>
      </c>
      <c r="C521" s="101">
        <v>1011</v>
      </c>
      <c r="D521" t="s">
        <v>5498</v>
      </c>
      <c r="E521" t="s">
        <v>187</v>
      </c>
      <c r="G521" t="s">
        <v>3434</v>
      </c>
      <c r="K521" t="s">
        <v>3401</v>
      </c>
      <c r="L521" t="s">
        <v>5499</v>
      </c>
      <c r="S521" t="s">
        <v>174</v>
      </c>
      <c r="T521" t="s">
        <v>7</v>
      </c>
    </row>
    <row r="522" spans="1:20">
      <c r="A522" t="s">
        <v>3463</v>
      </c>
      <c r="B522" t="s">
        <v>8730</v>
      </c>
      <c r="C522" s="101">
        <v>1012</v>
      </c>
      <c r="D522" t="s">
        <v>5500</v>
      </c>
      <c r="E522" t="s">
        <v>187</v>
      </c>
      <c r="G522" t="s">
        <v>3434</v>
      </c>
      <c r="K522" t="s">
        <v>5501</v>
      </c>
      <c r="L522" t="s">
        <v>5502</v>
      </c>
      <c r="S522" t="s">
        <v>46</v>
      </c>
      <c r="T522" t="s">
        <v>7</v>
      </c>
    </row>
    <row r="523" spans="1:20">
      <c r="A523" t="s">
        <v>3463</v>
      </c>
      <c r="B523" t="s">
        <v>8730</v>
      </c>
      <c r="C523" s="101">
        <v>1013</v>
      </c>
      <c r="D523" t="s">
        <v>5503</v>
      </c>
      <c r="E523" t="s">
        <v>187</v>
      </c>
      <c r="G523" t="s">
        <v>3434</v>
      </c>
      <c r="K523" t="s">
        <v>5504</v>
      </c>
      <c r="S523" t="s">
        <v>182</v>
      </c>
      <c r="T523" t="s">
        <v>7</v>
      </c>
    </row>
    <row r="524" spans="1:20">
      <c r="A524" t="s">
        <v>3463</v>
      </c>
      <c r="B524" t="s">
        <v>8730</v>
      </c>
      <c r="C524" s="101">
        <v>1014</v>
      </c>
      <c r="D524" t="s">
        <v>5505</v>
      </c>
      <c r="E524" t="s">
        <v>187</v>
      </c>
      <c r="G524" t="s">
        <v>3434</v>
      </c>
      <c r="K524" t="s">
        <v>5506</v>
      </c>
      <c r="S524" t="s">
        <v>171</v>
      </c>
      <c r="T524" t="s">
        <v>7</v>
      </c>
    </row>
    <row r="525" spans="1:20">
      <c r="A525" t="s">
        <v>3463</v>
      </c>
      <c r="B525" t="s">
        <v>8730</v>
      </c>
      <c r="C525" s="101">
        <v>1015</v>
      </c>
      <c r="D525" t="s">
        <v>5507</v>
      </c>
      <c r="E525" t="s">
        <v>187</v>
      </c>
      <c r="G525" t="s">
        <v>3434</v>
      </c>
      <c r="K525" t="s">
        <v>5508</v>
      </c>
      <c r="L525" t="s">
        <v>5490</v>
      </c>
      <c r="M525" t="s">
        <v>5509</v>
      </c>
      <c r="S525" t="s">
        <v>31</v>
      </c>
      <c r="T525" t="s">
        <v>7</v>
      </c>
    </row>
    <row r="526" spans="1:20">
      <c r="A526" t="s">
        <v>3463</v>
      </c>
      <c r="B526" t="s">
        <v>8730</v>
      </c>
      <c r="C526" s="101">
        <v>1016</v>
      </c>
      <c r="D526" t="s">
        <v>5510</v>
      </c>
      <c r="E526" t="s">
        <v>187</v>
      </c>
      <c r="G526" t="s">
        <v>3434</v>
      </c>
      <c r="K526" t="s">
        <v>3401</v>
      </c>
      <c r="L526" t="s">
        <v>5511</v>
      </c>
      <c r="M526" t="s">
        <v>5512</v>
      </c>
      <c r="S526" t="s">
        <v>14</v>
      </c>
      <c r="T526" t="s">
        <v>7</v>
      </c>
    </row>
    <row r="527" spans="1:20">
      <c r="A527" t="s">
        <v>3463</v>
      </c>
      <c r="B527" t="s">
        <v>8730</v>
      </c>
      <c r="C527" s="101">
        <v>1017</v>
      </c>
      <c r="D527" t="s">
        <v>5513</v>
      </c>
      <c r="E527" t="s">
        <v>187</v>
      </c>
      <c r="G527" t="s">
        <v>3434</v>
      </c>
      <c r="K527" t="s">
        <v>5514</v>
      </c>
      <c r="S527" t="s">
        <v>5281</v>
      </c>
      <c r="T527" t="s">
        <v>7</v>
      </c>
    </row>
    <row r="528" spans="1:20">
      <c r="A528" t="s">
        <v>3463</v>
      </c>
      <c r="B528" t="s">
        <v>8730</v>
      </c>
      <c r="C528" s="101">
        <v>1018</v>
      </c>
      <c r="D528" t="s">
        <v>5515</v>
      </c>
      <c r="E528" t="s">
        <v>187</v>
      </c>
      <c r="G528" t="s">
        <v>3434</v>
      </c>
      <c r="K528" t="s">
        <v>5516</v>
      </c>
      <c r="S528" t="s">
        <v>171</v>
      </c>
      <c r="T528" t="s">
        <v>7</v>
      </c>
    </row>
    <row r="529" spans="1:20">
      <c r="A529" t="s">
        <v>3463</v>
      </c>
      <c r="B529" t="s">
        <v>8730</v>
      </c>
      <c r="C529" s="101">
        <v>1019</v>
      </c>
      <c r="D529" t="s">
        <v>5517</v>
      </c>
      <c r="E529" t="s">
        <v>187</v>
      </c>
      <c r="G529" t="s">
        <v>3434</v>
      </c>
      <c r="K529" t="s">
        <v>5518</v>
      </c>
      <c r="S529" t="s">
        <v>8</v>
      </c>
      <c r="T529" t="s">
        <v>7</v>
      </c>
    </row>
    <row r="530" spans="1:20">
      <c r="A530" t="s">
        <v>3463</v>
      </c>
      <c r="B530" t="s">
        <v>8730</v>
      </c>
      <c r="C530" s="101">
        <v>1020</v>
      </c>
      <c r="D530" t="s">
        <v>5519</v>
      </c>
      <c r="E530" t="s">
        <v>187</v>
      </c>
      <c r="G530" t="s">
        <v>3434</v>
      </c>
      <c r="K530" t="s">
        <v>5508</v>
      </c>
      <c r="L530" t="s">
        <v>5520</v>
      </c>
      <c r="S530" t="s">
        <v>48</v>
      </c>
      <c r="T530" t="s">
        <v>7</v>
      </c>
    </row>
    <row r="531" spans="1:20">
      <c r="A531" t="s">
        <v>3463</v>
      </c>
      <c r="B531" t="s">
        <v>8730</v>
      </c>
      <c r="C531" s="101">
        <v>1021</v>
      </c>
      <c r="D531" t="s">
        <v>5521</v>
      </c>
      <c r="E531" t="s">
        <v>187</v>
      </c>
      <c r="G531" t="s">
        <v>3434</v>
      </c>
      <c r="K531" t="s">
        <v>5522</v>
      </c>
      <c r="S531" t="s">
        <v>38</v>
      </c>
      <c r="T531" t="s">
        <v>7</v>
      </c>
    </row>
    <row r="532" spans="1:20">
      <c r="A532" t="s">
        <v>3463</v>
      </c>
      <c r="B532" t="s">
        <v>8730</v>
      </c>
      <c r="C532" s="101">
        <v>1022</v>
      </c>
      <c r="D532" t="s">
        <v>5523</v>
      </c>
      <c r="E532" t="s">
        <v>187</v>
      </c>
      <c r="G532" t="s">
        <v>3434</v>
      </c>
      <c r="K532" t="s">
        <v>3</v>
      </c>
      <c r="L532" t="s">
        <v>5508</v>
      </c>
      <c r="M532" t="s">
        <v>5524</v>
      </c>
      <c r="N532" t="s">
        <v>5525</v>
      </c>
      <c r="S532" t="s">
        <v>29</v>
      </c>
      <c r="T532" t="s">
        <v>7</v>
      </c>
    </row>
    <row r="533" spans="1:20">
      <c r="A533" t="s">
        <v>3463</v>
      </c>
      <c r="B533" t="s">
        <v>8730</v>
      </c>
      <c r="C533" s="101">
        <v>1023</v>
      </c>
      <c r="D533" t="s">
        <v>5526</v>
      </c>
      <c r="E533" t="s">
        <v>187</v>
      </c>
      <c r="G533" t="s">
        <v>3434</v>
      </c>
      <c r="K533" t="s">
        <v>5527</v>
      </c>
      <c r="S533" t="s">
        <v>182</v>
      </c>
      <c r="T533" t="s">
        <v>7</v>
      </c>
    </row>
    <row r="534" spans="1:20">
      <c r="A534" t="s">
        <v>3463</v>
      </c>
      <c r="B534" t="s">
        <v>8730</v>
      </c>
      <c r="C534" s="101">
        <v>1024</v>
      </c>
      <c r="D534" t="s">
        <v>5528</v>
      </c>
      <c r="E534" t="s">
        <v>188</v>
      </c>
      <c r="G534" t="s">
        <v>3434</v>
      </c>
      <c r="K534" t="s">
        <v>3401</v>
      </c>
      <c r="L534" t="s">
        <v>5529</v>
      </c>
      <c r="S534" t="s">
        <v>180</v>
      </c>
      <c r="T534" t="s">
        <v>7</v>
      </c>
    </row>
    <row r="535" spans="1:20">
      <c r="A535" t="s">
        <v>3463</v>
      </c>
      <c r="B535" t="s">
        <v>8730</v>
      </c>
      <c r="C535" s="101">
        <v>1025</v>
      </c>
      <c r="D535" t="s">
        <v>5530</v>
      </c>
      <c r="E535" t="s">
        <v>187</v>
      </c>
      <c r="G535" t="s">
        <v>3434</v>
      </c>
      <c r="K535" t="s">
        <v>5531</v>
      </c>
      <c r="S535" t="s">
        <v>182</v>
      </c>
      <c r="T535" t="s">
        <v>7</v>
      </c>
    </row>
    <row r="536" spans="1:20">
      <c r="A536" t="s">
        <v>3463</v>
      </c>
      <c r="B536" t="s">
        <v>8730</v>
      </c>
      <c r="C536" s="101">
        <v>1026</v>
      </c>
      <c r="D536" t="s">
        <v>5532</v>
      </c>
      <c r="E536" t="s">
        <v>187</v>
      </c>
      <c r="G536" t="s">
        <v>3434</v>
      </c>
      <c r="K536" t="s">
        <v>3401</v>
      </c>
      <c r="L536" t="s">
        <v>5533</v>
      </c>
      <c r="S536" t="s">
        <v>183</v>
      </c>
      <c r="T536" t="s">
        <v>7</v>
      </c>
    </row>
    <row r="537" spans="1:20">
      <c r="A537" t="s">
        <v>3463</v>
      </c>
      <c r="B537" t="s">
        <v>8730</v>
      </c>
      <c r="C537" s="101">
        <v>1027</v>
      </c>
      <c r="D537" t="s">
        <v>5534</v>
      </c>
      <c r="E537" t="s">
        <v>187</v>
      </c>
      <c r="G537" t="s">
        <v>3434</v>
      </c>
      <c r="K537" t="s">
        <v>5506</v>
      </c>
      <c r="L537" t="s">
        <v>5472</v>
      </c>
      <c r="S537" t="s">
        <v>38</v>
      </c>
      <c r="T537" t="s">
        <v>7</v>
      </c>
    </row>
    <row r="538" spans="1:20">
      <c r="A538" t="s">
        <v>3463</v>
      </c>
      <c r="B538" t="s">
        <v>8730</v>
      </c>
      <c r="C538" s="101">
        <v>1028</v>
      </c>
      <c r="D538" t="s">
        <v>5535</v>
      </c>
      <c r="E538" t="s">
        <v>187</v>
      </c>
      <c r="G538" t="s">
        <v>3434</v>
      </c>
      <c r="K538" t="s">
        <v>5536</v>
      </c>
      <c r="S538" t="s">
        <v>170</v>
      </c>
      <c r="T538" t="s">
        <v>7</v>
      </c>
    </row>
    <row r="539" spans="1:20">
      <c r="A539" t="s">
        <v>3463</v>
      </c>
      <c r="B539" t="s">
        <v>8730</v>
      </c>
      <c r="C539" s="101">
        <v>1029</v>
      </c>
      <c r="D539" t="s">
        <v>5537</v>
      </c>
      <c r="E539" t="s">
        <v>187</v>
      </c>
      <c r="G539" t="s">
        <v>3434</v>
      </c>
      <c r="K539" t="s">
        <v>5538</v>
      </c>
      <c r="S539" t="s">
        <v>32</v>
      </c>
      <c r="T539" t="s">
        <v>7</v>
      </c>
    </row>
    <row r="540" spans="1:20">
      <c r="A540" t="s">
        <v>3463</v>
      </c>
      <c r="B540" t="s">
        <v>8730</v>
      </c>
      <c r="C540" s="101">
        <v>1030</v>
      </c>
      <c r="D540" t="s">
        <v>5539</v>
      </c>
      <c r="E540" t="s">
        <v>187</v>
      </c>
      <c r="G540" t="s">
        <v>3434</v>
      </c>
      <c r="K540" t="s">
        <v>5540</v>
      </c>
      <c r="S540" t="s">
        <v>605</v>
      </c>
      <c r="T540" t="s">
        <v>7</v>
      </c>
    </row>
    <row r="541" spans="1:20">
      <c r="A541" t="s">
        <v>3463</v>
      </c>
      <c r="B541" t="s">
        <v>8730</v>
      </c>
      <c r="C541" s="101">
        <v>1031</v>
      </c>
      <c r="D541" t="s">
        <v>5541</v>
      </c>
      <c r="E541" t="s">
        <v>187</v>
      </c>
      <c r="G541" t="s">
        <v>3434</v>
      </c>
      <c r="K541" t="s">
        <v>5542</v>
      </c>
      <c r="S541" t="s">
        <v>182</v>
      </c>
      <c r="T541" t="s">
        <v>7</v>
      </c>
    </row>
    <row r="542" spans="1:20">
      <c r="A542" t="s">
        <v>3463</v>
      </c>
      <c r="B542" t="s">
        <v>8730</v>
      </c>
      <c r="C542" s="101">
        <v>1032</v>
      </c>
      <c r="D542" t="s">
        <v>5543</v>
      </c>
      <c r="E542" t="s">
        <v>187</v>
      </c>
      <c r="G542" t="s">
        <v>3434</v>
      </c>
      <c r="K542" t="s">
        <v>5544</v>
      </c>
      <c r="L542" t="s">
        <v>5545</v>
      </c>
      <c r="S542" t="s">
        <v>6</v>
      </c>
      <c r="T542" t="s">
        <v>7</v>
      </c>
    </row>
    <row r="543" spans="1:20">
      <c r="A543" t="s">
        <v>3463</v>
      </c>
      <c r="B543" t="s">
        <v>8730</v>
      </c>
      <c r="C543" s="101">
        <v>1033</v>
      </c>
      <c r="D543" t="s">
        <v>5546</v>
      </c>
      <c r="E543" t="s">
        <v>187</v>
      </c>
      <c r="G543" t="s">
        <v>3434</v>
      </c>
      <c r="K543" t="s">
        <v>5547</v>
      </c>
      <c r="S543" t="s">
        <v>39</v>
      </c>
      <c r="T543" t="s">
        <v>7</v>
      </c>
    </row>
    <row r="544" spans="1:20">
      <c r="A544" t="s">
        <v>3463</v>
      </c>
      <c r="B544" t="s">
        <v>8730</v>
      </c>
      <c r="C544" s="101">
        <v>1034</v>
      </c>
      <c r="D544" t="s">
        <v>5548</v>
      </c>
      <c r="E544" t="s">
        <v>187</v>
      </c>
      <c r="G544" t="s">
        <v>3434</v>
      </c>
      <c r="K544" t="s">
        <v>5549</v>
      </c>
      <c r="S544" t="s">
        <v>32</v>
      </c>
      <c r="T544" t="s">
        <v>7</v>
      </c>
    </row>
    <row r="545" spans="1:20">
      <c r="A545" t="s">
        <v>3463</v>
      </c>
      <c r="B545" t="s">
        <v>8730</v>
      </c>
      <c r="C545" s="101">
        <v>1035</v>
      </c>
      <c r="D545" t="s">
        <v>5550</v>
      </c>
      <c r="E545" t="s">
        <v>187</v>
      </c>
      <c r="G545" t="s">
        <v>3434</v>
      </c>
      <c r="K545" t="s">
        <v>5551</v>
      </c>
      <c r="S545" t="s">
        <v>45</v>
      </c>
      <c r="T545" t="s">
        <v>7</v>
      </c>
    </row>
    <row r="546" spans="1:20">
      <c r="A546" t="s">
        <v>3463</v>
      </c>
      <c r="B546" t="s">
        <v>8730</v>
      </c>
      <c r="C546" s="101">
        <v>1036</v>
      </c>
      <c r="D546" t="s">
        <v>5552</v>
      </c>
      <c r="E546" t="s">
        <v>187</v>
      </c>
      <c r="G546" t="s">
        <v>3434</v>
      </c>
      <c r="K546" t="s">
        <v>5553</v>
      </c>
      <c r="S546" t="s">
        <v>171</v>
      </c>
      <c r="T546" t="s">
        <v>7</v>
      </c>
    </row>
    <row r="547" spans="1:20">
      <c r="A547" t="s">
        <v>3463</v>
      </c>
      <c r="B547" t="s">
        <v>8730</v>
      </c>
      <c r="C547" s="101">
        <v>1037</v>
      </c>
      <c r="D547" t="s">
        <v>5554</v>
      </c>
      <c r="E547" t="s">
        <v>204</v>
      </c>
      <c r="G547" t="s">
        <v>3434</v>
      </c>
      <c r="K547" t="s">
        <v>3401</v>
      </c>
      <c r="L547" t="s">
        <v>5555</v>
      </c>
      <c r="S547" t="s">
        <v>170</v>
      </c>
      <c r="T547" t="s">
        <v>7</v>
      </c>
    </row>
    <row r="548" spans="1:20">
      <c r="A548" t="s">
        <v>3463</v>
      </c>
      <c r="B548" t="s">
        <v>8730</v>
      </c>
      <c r="C548" s="101">
        <v>1038</v>
      </c>
      <c r="D548" t="s">
        <v>5556</v>
      </c>
      <c r="E548" t="s">
        <v>208</v>
      </c>
      <c r="G548" t="s">
        <v>3434</v>
      </c>
      <c r="K548" t="s">
        <v>12</v>
      </c>
      <c r="L548" t="s">
        <v>5557</v>
      </c>
      <c r="S548" t="s">
        <v>28</v>
      </c>
      <c r="T548" t="s">
        <v>7</v>
      </c>
    </row>
    <row r="549" spans="1:20">
      <c r="A549" t="s">
        <v>3463</v>
      </c>
      <c r="B549" t="s">
        <v>8730</v>
      </c>
      <c r="C549" s="101">
        <v>1039</v>
      </c>
      <c r="D549" t="s">
        <v>5558</v>
      </c>
      <c r="E549" t="s">
        <v>208</v>
      </c>
      <c r="G549" t="s">
        <v>3434</v>
      </c>
      <c r="K549" t="s">
        <v>5559</v>
      </c>
      <c r="L549" t="s">
        <v>5560</v>
      </c>
      <c r="S549" t="s">
        <v>169</v>
      </c>
      <c r="T549" t="s">
        <v>7</v>
      </c>
    </row>
    <row r="550" spans="1:20">
      <c r="A550" t="s">
        <v>3463</v>
      </c>
      <c r="B550" t="s">
        <v>8730</v>
      </c>
      <c r="C550" s="101">
        <v>1040</v>
      </c>
      <c r="D550" t="s">
        <v>5561</v>
      </c>
      <c r="E550" t="s">
        <v>204</v>
      </c>
      <c r="G550" t="s">
        <v>3434</v>
      </c>
      <c r="K550" t="s">
        <v>5562</v>
      </c>
      <c r="L550" t="s">
        <v>5563</v>
      </c>
      <c r="S550" t="s">
        <v>181</v>
      </c>
      <c r="T550" t="s">
        <v>7</v>
      </c>
    </row>
    <row r="551" spans="1:20">
      <c r="A551" t="s">
        <v>3463</v>
      </c>
      <c r="B551" t="s">
        <v>8730</v>
      </c>
      <c r="C551" s="101">
        <v>1041</v>
      </c>
      <c r="D551" t="s">
        <v>5564</v>
      </c>
      <c r="E551" t="s">
        <v>208</v>
      </c>
      <c r="G551" t="s">
        <v>3434</v>
      </c>
      <c r="K551" t="s">
        <v>5565</v>
      </c>
      <c r="L551" t="s">
        <v>5566</v>
      </c>
      <c r="S551" t="s">
        <v>53</v>
      </c>
      <c r="T551" t="s">
        <v>7</v>
      </c>
    </row>
    <row r="552" spans="1:20">
      <c r="A552" t="s">
        <v>3463</v>
      </c>
      <c r="B552" t="s">
        <v>8730</v>
      </c>
      <c r="C552" s="101">
        <v>1042</v>
      </c>
      <c r="D552" t="s">
        <v>5567</v>
      </c>
      <c r="E552" t="s">
        <v>204</v>
      </c>
      <c r="G552" t="s">
        <v>3434</v>
      </c>
      <c r="K552" t="s">
        <v>3401</v>
      </c>
      <c r="L552" t="s">
        <v>5568</v>
      </c>
      <c r="S552" t="s">
        <v>6</v>
      </c>
      <c r="T552" t="s">
        <v>7</v>
      </c>
    </row>
    <row r="553" spans="1:20">
      <c r="A553" t="s">
        <v>3463</v>
      </c>
      <c r="B553" t="s">
        <v>8730</v>
      </c>
      <c r="C553" s="101">
        <v>1043</v>
      </c>
      <c r="D553" t="s">
        <v>5569</v>
      </c>
      <c r="E553" t="s">
        <v>204</v>
      </c>
      <c r="G553" t="s">
        <v>3434</v>
      </c>
      <c r="K553" t="s">
        <v>5570</v>
      </c>
      <c r="S553" t="s">
        <v>27</v>
      </c>
      <c r="T553" t="s">
        <v>7</v>
      </c>
    </row>
    <row r="554" spans="1:20">
      <c r="A554" t="s">
        <v>3463</v>
      </c>
      <c r="B554" t="s">
        <v>8730</v>
      </c>
      <c r="C554" s="101">
        <v>1044</v>
      </c>
      <c r="D554" t="s">
        <v>3436</v>
      </c>
      <c r="E554" t="s">
        <v>204</v>
      </c>
      <c r="G554" t="s">
        <v>3434</v>
      </c>
      <c r="K554" t="s">
        <v>3401</v>
      </c>
      <c r="L554" t="s">
        <v>3437</v>
      </c>
      <c r="M554" t="s">
        <v>3438</v>
      </c>
      <c r="S554" t="s">
        <v>46</v>
      </c>
      <c r="T554" t="s">
        <v>7</v>
      </c>
    </row>
    <row r="555" spans="1:20">
      <c r="A555" t="s">
        <v>3463</v>
      </c>
      <c r="B555" t="s">
        <v>8730</v>
      </c>
      <c r="C555" s="101">
        <v>1045</v>
      </c>
      <c r="D555" t="s">
        <v>5571</v>
      </c>
      <c r="E555" t="s">
        <v>204</v>
      </c>
      <c r="G555" t="s">
        <v>3434</v>
      </c>
      <c r="K555" t="s">
        <v>5572</v>
      </c>
      <c r="S555" t="s">
        <v>35</v>
      </c>
      <c r="T555" t="s">
        <v>7</v>
      </c>
    </row>
    <row r="556" spans="1:20">
      <c r="A556" t="s">
        <v>3463</v>
      </c>
      <c r="B556" t="s">
        <v>8730</v>
      </c>
      <c r="C556" s="101">
        <v>1046</v>
      </c>
      <c r="D556" t="s">
        <v>5573</v>
      </c>
      <c r="E556" t="s">
        <v>204</v>
      </c>
      <c r="G556" t="s">
        <v>3434</v>
      </c>
      <c r="K556" t="s">
        <v>3401</v>
      </c>
      <c r="L556" t="s">
        <v>5574</v>
      </c>
      <c r="M556" t="s">
        <v>5575</v>
      </c>
      <c r="S556" t="s">
        <v>31</v>
      </c>
      <c r="T556" t="s">
        <v>7</v>
      </c>
    </row>
    <row r="557" spans="1:20">
      <c r="A557" t="s">
        <v>3463</v>
      </c>
      <c r="B557" t="s">
        <v>8730</v>
      </c>
      <c r="C557" s="101">
        <v>1047</v>
      </c>
      <c r="D557" t="s">
        <v>5576</v>
      </c>
      <c r="E557" t="s">
        <v>204</v>
      </c>
      <c r="G557" t="s">
        <v>3434</v>
      </c>
      <c r="K557" t="s">
        <v>3401</v>
      </c>
      <c r="L557" t="s">
        <v>5577</v>
      </c>
      <c r="S557" t="s">
        <v>32</v>
      </c>
      <c r="T557" t="s">
        <v>7</v>
      </c>
    </row>
    <row r="558" spans="1:20">
      <c r="A558" t="s">
        <v>3463</v>
      </c>
      <c r="B558" t="s">
        <v>8730</v>
      </c>
      <c r="C558" s="101">
        <v>1048</v>
      </c>
      <c r="D558" t="s">
        <v>5578</v>
      </c>
      <c r="E558" t="s">
        <v>208</v>
      </c>
      <c r="G558" t="s">
        <v>3434</v>
      </c>
      <c r="K558" t="s">
        <v>3401</v>
      </c>
      <c r="L558" t="s">
        <v>5568</v>
      </c>
      <c r="M558" t="s">
        <v>5579</v>
      </c>
      <c r="S558" t="s">
        <v>3747</v>
      </c>
      <c r="T558" t="s">
        <v>7</v>
      </c>
    </row>
    <row r="559" spans="1:20">
      <c r="A559" t="s">
        <v>3463</v>
      </c>
      <c r="B559" t="s">
        <v>8730</v>
      </c>
      <c r="C559" s="101">
        <v>1049</v>
      </c>
      <c r="D559" t="s">
        <v>5580</v>
      </c>
      <c r="E559" t="s">
        <v>204</v>
      </c>
      <c r="G559" t="s">
        <v>3434</v>
      </c>
      <c r="K559" t="s">
        <v>3401</v>
      </c>
      <c r="L559" t="s">
        <v>5581</v>
      </c>
      <c r="M559" t="s">
        <v>5582</v>
      </c>
      <c r="S559" t="s">
        <v>29</v>
      </c>
      <c r="T559" t="s">
        <v>7</v>
      </c>
    </row>
    <row r="560" spans="1:20">
      <c r="A560" t="s">
        <v>3463</v>
      </c>
      <c r="B560" t="s">
        <v>8730</v>
      </c>
      <c r="C560" s="101">
        <v>1050</v>
      </c>
      <c r="D560" t="s">
        <v>5583</v>
      </c>
      <c r="E560" t="s">
        <v>204</v>
      </c>
      <c r="G560" t="s">
        <v>3434</v>
      </c>
      <c r="K560" t="s">
        <v>5584</v>
      </c>
      <c r="S560" t="s">
        <v>169</v>
      </c>
      <c r="T560" t="s">
        <v>7</v>
      </c>
    </row>
    <row r="561" spans="1:20">
      <c r="A561" t="s">
        <v>3463</v>
      </c>
      <c r="B561" t="s">
        <v>8730</v>
      </c>
      <c r="C561" s="101">
        <v>1051</v>
      </c>
      <c r="D561" t="s">
        <v>5585</v>
      </c>
      <c r="E561" t="s">
        <v>204</v>
      </c>
      <c r="G561" t="s">
        <v>5673</v>
      </c>
      <c r="I561" t="s">
        <v>3402</v>
      </c>
      <c r="K561" t="s">
        <v>3401</v>
      </c>
      <c r="L561" t="s">
        <v>5586</v>
      </c>
      <c r="S561" t="s">
        <v>34</v>
      </c>
      <c r="T561" t="s">
        <v>7</v>
      </c>
    </row>
    <row r="562" spans="1:20">
      <c r="A562" t="s">
        <v>3463</v>
      </c>
      <c r="B562" t="s">
        <v>8730</v>
      </c>
      <c r="C562" s="101">
        <v>1052</v>
      </c>
      <c r="D562" t="s">
        <v>5587</v>
      </c>
      <c r="E562" t="s">
        <v>204</v>
      </c>
      <c r="G562" t="s">
        <v>3434</v>
      </c>
      <c r="K562" t="s">
        <v>3401</v>
      </c>
      <c r="L562" t="s">
        <v>5588</v>
      </c>
      <c r="M562" t="s">
        <v>5589</v>
      </c>
      <c r="S562" t="s">
        <v>46</v>
      </c>
      <c r="T562" t="s">
        <v>7</v>
      </c>
    </row>
    <row r="563" spans="1:20">
      <c r="A563" t="s">
        <v>3463</v>
      </c>
      <c r="B563" t="s">
        <v>8730</v>
      </c>
      <c r="C563" s="101">
        <v>1053</v>
      </c>
      <c r="D563" t="s">
        <v>5590</v>
      </c>
      <c r="E563" t="s">
        <v>204</v>
      </c>
      <c r="G563" t="s">
        <v>3434</v>
      </c>
      <c r="K563" t="s">
        <v>5591</v>
      </c>
      <c r="L563" t="s">
        <v>5592</v>
      </c>
      <c r="S563" t="s">
        <v>17</v>
      </c>
      <c r="T563" t="s">
        <v>7</v>
      </c>
    </row>
    <row r="564" spans="1:20">
      <c r="A564" t="s">
        <v>3463</v>
      </c>
      <c r="B564" t="s">
        <v>8730</v>
      </c>
      <c r="C564" s="101">
        <v>1054</v>
      </c>
      <c r="D564" t="s">
        <v>5593</v>
      </c>
      <c r="E564" t="s">
        <v>204</v>
      </c>
      <c r="G564" t="s">
        <v>3434</v>
      </c>
      <c r="K564" t="s">
        <v>5594</v>
      </c>
      <c r="S564" t="s">
        <v>5</v>
      </c>
      <c r="T564" t="s">
        <v>7</v>
      </c>
    </row>
    <row r="565" spans="1:20">
      <c r="A565" t="s">
        <v>3463</v>
      </c>
      <c r="B565" t="s">
        <v>8730</v>
      </c>
      <c r="C565" s="101">
        <v>1055</v>
      </c>
      <c r="D565" t="s">
        <v>5595</v>
      </c>
      <c r="E565" t="s">
        <v>204</v>
      </c>
      <c r="G565" t="s">
        <v>3434</v>
      </c>
      <c r="K565" t="s">
        <v>3401</v>
      </c>
      <c r="L565" t="s">
        <v>5596</v>
      </c>
      <c r="S565" t="s">
        <v>33</v>
      </c>
      <c r="T565" t="s">
        <v>7</v>
      </c>
    </row>
    <row r="566" spans="1:20">
      <c r="A566" t="s">
        <v>3463</v>
      </c>
      <c r="B566" t="s">
        <v>8730</v>
      </c>
      <c r="C566" s="101">
        <v>1056</v>
      </c>
      <c r="D566" t="s">
        <v>5597</v>
      </c>
      <c r="E566" t="s">
        <v>204</v>
      </c>
      <c r="G566" t="s">
        <v>3434</v>
      </c>
      <c r="K566" t="s">
        <v>5598</v>
      </c>
      <c r="S566" t="s">
        <v>175</v>
      </c>
      <c r="T566" t="s">
        <v>7</v>
      </c>
    </row>
    <row r="567" spans="1:20">
      <c r="A567" t="s">
        <v>3463</v>
      </c>
      <c r="B567" t="s">
        <v>8730</v>
      </c>
      <c r="C567" s="101">
        <v>1057</v>
      </c>
      <c r="D567" t="s">
        <v>5599</v>
      </c>
      <c r="E567" t="s">
        <v>204</v>
      </c>
      <c r="G567" t="s">
        <v>3434</v>
      </c>
      <c r="K567" t="s">
        <v>5600</v>
      </c>
      <c r="L567" t="s">
        <v>5601</v>
      </c>
      <c r="M567" t="s">
        <v>5602</v>
      </c>
      <c r="S567" t="s">
        <v>6</v>
      </c>
      <c r="T567" t="s">
        <v>7</v>
      </c>
    </row>
    <row r="568" spans="1:20">
      <c r="A568" t="s">
        <v>3463</v>
      </c>
      <c r="B568" t="s">
        <v>8730</v>
      </c>
      <c r="C568" s="101">
        <v>1058</v>
      </c>
      <c r="D568" t="s">
        <v>5603</v>
      </c>
      <c r="E568" t="s">
        <v>185</v>
      </c>
      <c r="G568" t="s">
        <v>3434</v>
      </c>
      <c r="K568" t="s">
        <v>3401</v>
      </c>
      <c r="L568" t="s">
        <v>5604</v>
      </c>
      <c r="S568" t="s">
        <v>11</v>
      </c>
      <c r="T568" t="s">
        <v>7</v>
      </c>
    </row>
    <row r="569" spans="1:20">
      <c r="A569" t="s">
        <v>3463</v>
      </c>
      <c r="B569" t="s">
        <v>8730</v>
      </c>
      <c r="C569" s="101">
        <v>1059</v>
      </c>
      <c r="D569" t="s">
        <v>5605</v>
      </c>
      <c r="E569" t="s">
        <v>185</v>
      </c>
      <c r="G569" t="s">
        <v>3434</v>
      </c>
      <c r="K569" t="s">
        <v>3401</v>
      </c>
      <c r="L569" t="s">
        <v>5606</v>
      </c>
      <c r="M569" t="s">
        <v>5607</v>
      </c>
      <c r="S569" t="s">
        <v>53</v>
      </c>
      <c r="T569" t="s">
        <v>7</v>
      </c>
    </row>
    <row r="570" spans="1:20">
      <c r="A570" t="s">
        <v>3463</v>
      </c>
      <c r="B570" t="s">
        <v>8730</v>
      </c>
      <c r="C570" s="101">
        <v>1060</v>
      </c>
      <c r="D570" t="s">
        <v>5608</v>
      </c>
      <c r="E570" t="s">
        <v>209</v>
      </c>
      <c r="G570" t="s">
        <v>3434</v>
      </c>
      <c r="K570" t="s">
        <v>3401</v>
      </c>
      <c r="L570" t="s">
        <v>5609</v>
      </c>
      <c r="S570" t="s">
        <v>169</v>
      </c>
      <c r="T570" t="s">
        <v>7</v>
      </c>
    </row>
    <row r="571" spans="1:20">
      <c r="A571" t="s">
        <v>3463</v>
      </c>
      <c r="B571" t="s">
        <v>8730</v>
      </c>
      <c r="C571" s="101">
        <v>1061</v>
      </c>
      <c r="D571" t="s">
        <v>5610</v>
      </c>
      <c r="E571" t="s">
        <v>185</v>
      </c>
      <c r="G571" t="s">
        <v>1526</v>
      </c>
      <c r="K571" t="s">
        <v>5611</v>
      </c>
      <c r="S571" t="s">
        <v>175</v>
      </c>
      <c r="T571" t="s">
        <v>7</v>
      </c>
    </row>
    <row r="572" spans="1:20">
      <c r="A572" t="s">
        <v>3463</v>
      </c>
      <c r="B572" t="s">
        <v>8730</v>
      </c>
      <c r="C572" s="101">
        <v>1062</v>
      </c>
      <c r="D572" t="s">
        <v>5612</v>
      </c>
      <c r="E572" t="s">
        <v>185</v>
      </c>
      <c r="G572" t="s">
        <v>3434</v>
      </c>
      <c r="K572" t="s">
        <v>3</v>
      </c>
      <c r="L572" t="s">
        <v>5613</v>
      </c>
      <c r="M572" t="s">
        <v>5614</v>
      </c>
      <c r="S572" t="s">
        <v>17</v>
      </c>
      <c r="T572" t="s">
        <v>7</v>
      </c>
    </row>
    <row r="573" spans="1:20">
      <c r="A573" t="s">
        <v>3463</v>
      </c>
      <c r="B573" t="s">
        <v>8730</v>
      </c>
      <c r="C573" s="101">
        <v>1063</v>
      </c>
      <c r="D573" t="s">
        <v>5615</v>
      </c>
      <c r="E573" t="s">
        <v>209</v>
      </c>
      <c r="G573" t="s">
        <v>3434</v>
      </c>
      <c r="K573" t="s">
        <v>3401</v>
      </c>
      <c r="L573" t="s">
        <v>5616</v>
      </c>
      <c r="S573" t="s">
        <v>5</v>
      </c>
      <c r="T573" t="s">
        <v>7</v>
      </c>
    </row>
    <row r="574" spans="1:20">
      <c r="A574" t="s">
        <v>3463</v>
      </c>
      <c r="B574" t="s">
        <v>8730</v>
      </c>
      <c r="C574" s="101">
        <v>1064</v>
      </c>
      <c r="D574" t="s">
        <v>5617</v>
      </c>
      <c r="E574" t="s">
        <v>185</v>
      </c>
      <c r="G574" t="s">
        <v>3434</v>
      </c>
      <c r="K574" t="s">
        <v>5618</v>
      </c>
      <c r="L574" t="s">
        <v>5619</v>
      </c>
      <c r="S574" t="s">
        <v>30</v>
      </c>
      <c r="T574" t="s">
        <v>7</v>
      </c>
    </row>
    <row r="575" spans="1:20">
      <c r="A575" t="s">
        <v>3463</v>
      </c>
      <c r="B575" t="s">
        <v>8730</v>
      </c>
      <c r="C575" s="101">
        <v>1065</v>
      </c>
      <c r="D575" t="s">
        <v>5620</v>
      </c>
      <c r="E575" t="s">
        <v>185</v>
      </c>
      <c r="G575" t="s">
        <v>3434</v>
      </c>
      <c r="K575" t="s">
        <v>5621</v>
      </c>
      <c r="L575" t="s">
        <v>5622</v>
      </c>
      <c r="M575" t="s">
        <v>5623</v>
      </c>
      <c r="S575" t="s">
        <v>28</v>
      </c>
      <c r="T575" t="s">
        <v>7</v>
      </c>
    </row>
    <row r="576" spans="1:20">
      <c r="A576" t="s">
        <v>3463</v>
      </c>
      <c r="B576" t="s">
        <v>8730</v>
      </c>
      <c r="C576" s="101">
        <v>1066</v>
      </c>
      <c r="D576" t="s">
        <v>5624</v>
      </c>
      <c r="E576" t="s">
        <v>209</v>
      </c>
      <c r="G576" t="s">
        <v>3434</v>
      </c>
      <c r="K576" t="s">
        <v>5625</v>
      </c>
      <c r="S576" t="s">
        <v>182</v>
      </c>
      <c r="T576" t="s">
        <v>7</v>
      </c>
    </row>
    <row r="577" spans="1:20">
      <c r="A577" t="s">
        <v>3463</v>
      </c>
      <c r="B577" t="s">
        <v>8730</v>
      </c>
      <c r="C577" s="101">
        <v>1067</v>
      </c>
      <c r="D577" t="s">
        <v>5626</v>
      </c>
      <c r="E577" t="s">
        <v>185</v>
      </c>
      <c r="G577" t="s">
        <v>3434</v>
      </c>
      <c r="K577" t="s">
        <v>13</v>
      </c>
      <c r="L577" t="s">
        <v>5627</v>
      </c>
      <c r="S577" t="s">
        <v>181</v>
      </c>
      <c r="T577" t="s">
        <v>7</v>
      </c>
    </row>
    <row r="578" spans="1:20">
      <c r="A578" t="s">
        <v>3463</v>
      </c>
      <c r="B578" t="s">
        <v>8730</v>
      </c>
      <c r="C578" s="101">
        <v>1068</v>
      </c>
      <c r="D578" t="s">
        <v>5628</v>
      </c>
      <c r="E578" t="s">
        <v>185</v>
      </c>
      <c r="G578" t="s">
        <v>3434</v>
      </c>
      <c r="K578" t="s">
        <v>5629</v>
      </c>
      <c r="S578" t="s">
        <v>50</v>
      </c>
      <c r="T578" t="s">
        <v>7</v>
      </c>
    </row>
    <row r="579" spans="1:20">
      <c r="A579" t="s">
        <v>3463</v>
      </c>
      <c r="B579" t="s">
        <v>8730</v>
      </c>
      <c r="C579" s="101">
        <v>1069</v>
      </c>
      <c r="D579" t="s">
        <v>5630</v>
      </c>
      <c r="E579" t="s">
        <v>185</v>
      </c>
      <c r="G579" t="s">
        <v>3434</v>
      </c>
      <c r="K579" t="s">
        <v>5631</v>
      </c>
      <c r="S579" t="s">
        <v>48</v>
      </c>
      <c r="T579" t="s">
        <v>7</v>
      </c>
    </row>
    <row r="580" spans="1:20">
      <c r="A580" t="s">
        <v>3463</v>
      </c>
      <c r="B580" t="s">
        <v>8730</v>
      </c>
      <c r="C580" s="101">
        <v>1070</v>
      </c>
      <c r="D580" t="s">
        <v>5632</v>
      </c>
      <c r="E580" t="s">
        <v>185</v>
      </c>
      <c r="G580" t="s">
        <v>3434</v>
      </c>
      <c r="K580" t="s">
        <v>5633</v>
      </c>
      <c r="S580" t="s">
        <v>52</v>
      </c>
      <c r="T580" t="s">
        <v>7</v>
      </c>
    </row>
    <row r="581" spans="1:20">
      <c r="A581" t="s">
        <v>3463</v>
      </c>
      <c r="B581" t="s">
        <v>8730</v>
      </c>
      <c r="C581" s="101">
        <v>1071</v>
      </c>
      <c r="D581" t="s">
        <v>5634</v>
      </c>
      <c r="E581" t="s">
        <v>209</v>
      </c>
      <c r="G581" t="s">
        <v>5675</v>
      </c>
      <c r="K581" t="s">
        <v>3401</v>
      </c>
      <c r="L581" t="s">
        <v>5635</v>
      </c>
      <c r="M581" t="s">
        <v>5636</v>
      </c>
      <c r="S581" t="s">
        <v>49</v>
      </c>
      <c r="T581" t="s">
        <v>7</v>
      </c>
    </row>
    <row r="582" spans="1:20">
      <c r="A582" t="s">
        <v>3463</v>
      </c>
      <c r="B582" t="s">
        <v>8730</v>
      </c>
      <c r="C582" s="101">
        <v>1072</v>
      </c>
      <c r="D582" t="s">
        <v>5637</v>
      </c>
      <c r="E582" t="s">
        <v>185</v>
      </c>
      <c r="G582" t="s">
        <v>3434</v>
      </c>
      <c r="K582" t="s">
        <v>5638</v>
      </c>
      <c r="S582" t="s">
        <v>180</v>
      </c>
      <c r="T582" t="s">
        <v>7</v>
      </c>
    </row>
    <row r="583" spans="1:20">
      <c r="A583" t="s">
        <v>3463</v>
      </c>
      <c r="B583" t="s">
        <v>8730</v>
      </c>
      <c r="C583" s="101">
        <v>1073</v>
      </c>
      <c r="D583" t="s">
        <v>5639</v>
      </c>
      <c r="E583" t="s">
        <v>209</v>
      </c>
      <c r="G583" t="s">
        <v>3434</v>
      </c>
      <c r="I583" t="s">
        <v>3101</v>
      </c>
      <c r="K583" t="s">
        <v>1168</v>
      </c>
      <c r="L583" t="s">
        <v>5640</v>
      </c>
      <c r="S583" t="s">
        <v>44</v>
      </c>
      <c r="T583" t="s">
        <v>7</v>
      </c>
    </row>
    <row r="584" spans="1:20">
      <c r="A584" t="s">
        <v>3463</v>
      </c>
      <c r="B584" t="s">
        <v>8730</v>
      </c>
      <c r="C584" s="101">
        <v>1074</v>
      </c>
      <c r="D584" t="s">
        <v>5641</v>
      </c>
      <c r="E584" t="s">
        <v>185</v>
      </c>
      <c r="G584" t="s">
        <v>3434</v>
      </c>
      <c r="K584" t="s">
        <v>3401</v>
      </c>
      <c r="L584" t="s">
        <v>5642</v>
      </c>
      <c r="S584" t="s">
        <v>40</v>
      </c>
      <c r="T584" t="s">
        <v>7</v>
      </c>
    </row>
    <row r="585" spans="1:20">
      <c r="A585" t="s">
        <v>3463</v>
      </c>
      <c r="B585" t="s">
        <v>8730</v>
      </c>
      <c r="C585" s="101">
        <v>1075</v>
      </c>
      <c r="D585" t="s">
        <v>5643</v>
      </c>
      <c r="E585" t="s">
        <v>185</v>
      </c>
      <c r="G585" t="s">
        <v>3434</v>
      </c>
      <c r="K585" t="s">
        <v>3401</v>
      </c>
      <c r="L585" t="s">
        <v>5644</v>
      </c>
      <c r="S585" t="s">
        <v>178</v>
      </c>
      <c r="T585" t="s">
        <v>7</v>
      </c>
    </row>
    <row r="586" spans="1:20">
      <c r="A586" t="s">
        <v>3463</v>
      </c>
      <c r="B586" t="s">
        <v>8730</v>
      </c>
      <c r="C586" s="101">
        <v>1076</v>
      </c>
      <c r="D586" t="s">
        <v>5645</v>
      </c>
      <c r="E586" t="s">
        <v>185</v>
      </c>
      <c r="G586" t="s">
        <v>3434</v>
      </c>
      <c r="K586" t="s">
        <v>5646</v>
      </c>
      <c r="S586" t="s">
        <v>172</v>
      </c>
      <c r="T586" t="s">
        <v>7</v>
      </c>
    </row>
    <row r="587" spans="1:20">
      <c r="A587" t="s">
        <v>3463</v>
      </c>
      <c r="B587" t="s">
        <v>8730</v>
      </c>
      <c r="C587" s="101">
        <v>1077</v>
      </c>
      <c r="D587" t="s">
        <v>5647</v>
      </c>
      <c r="E587" t="s">
        <v>185</v>
      </c>
      <c r="G587" t="s">
        <v>3434</v>
      </c>
      <c r="K587" t="s">
        <v>5648</v>
      </c>
      <c r="L587" t="s">
        <v>5649</v>
      </c>
      <c r="S587" t="s">
        <v>26</v>
      </c>
      <c r="T587" t="s">
        <v>7</v>
      </c>
    </row>
    <row r="588" spans="1:20">
      <c r="A588" t="s">
        <v>3463</v>
      </c>
      <c r="B588" t="s">
        <v>8730</v>
      </c>
      <c r="C588" s="101">
        <v>1078</v>
      </c>
      <c r="D588" t="s">
        <v>5650</v>
      </c>
      <c r="E588" t="s">
        <v>185</v>
      </c>
      <c r="G588" t="s">
        <v>3434</v>
      </c>
      <c r="K588" t="s">
        <v>3401</v>
      </c>
      <c r="L588" t="s">
        <v>5651</v>
      </c>
      <c r="S588" t="s">
        <v>37</v>
      </c>
      <c r="T588" t="s">
        <v>7</v>
      </c>
    </row>
    <row r="589" spans="1:20">
      <c r="A589" t="s">
        <v>3463</v>
      </c>
      <c r="B589" t="s">
        <v>8730</v>
      </c>
      <c r="C589" s="101">
        <v>1079</v>
      </c>
      <c r="D589" t="s">
        <v>5652</v>
      </c>
      <c r="E589" t="s">
        <v>185</v>
      </c>
      <c r="G589" t="s">
        <v>3434</v>
      </c>
      <c r="K589" t="s">
        <v>5508</v>
      </c>
      <c r="L589" t="s">
        <v>5653</v>
      </c>
      <c r="M589" t="s">
        <v>5654</v>
      </c>
      <c r="S589" t="s">
        <v>39</v>
      </c>
      <c r="T589" t="s">
        <v>7</v>
      </c>
    </row>
    <row r="590" spans="1:20">
      <c r="A590" t="s">
        <v>3463</v>
      </c>
      <c r="B590" t="s">
        <v>8730</v>
      </c>
      <c r="C590" s="101">
        <v>1080</v>
      </c>
      <c r="D590" t="s">
        <v>5655</v>
      </c>
      <c r="E590" t="s">
        <v>211</v>
      </c>
      <c r="G590" t="s">
        <v>3434</v>
      </c>
      <c r="K590" t="s">
        <v>5656</v>
      </c>
      <c r="S590" t="s">
        <v>17</v>
      </c>
      <c r="T590" t="s">
        <v>7</v>
      </c>
    </row>
    <row r="591" spans="1:20">
      <c r="A591" t="s">
        <v>3463</v>
      </c>
      <c r="B591" t="s">
        <v>8730</v>
      </c>
      <c r="C591" s="101">
        <v>1081</v>
      </c>
      <c r="D591" t="s">
        <v>5657</v>
      </c>
      <c r="E591" t="s">
        <v>211</v>
      </c>
      <c r="G591" t="s">
        <v>3434</v>
      </c>
      <c r="K591" t="s">
        <v>5600</v>
      </c>
      <c r="L591" t="s">
        <v>5658</v>
      </c>
      <c r="S591" t="s">
        <v>5</v>
      </c>
      <c r="T591" t="s">
        <v>7</v>
      </c>
    </row>
    <row r="592" spans="1:20">
      <c r="A592" t="s">
        <v>3463</v>
      </c>
      <c r="B592" t="s">
        <v>8730</v>
      </c>
      <c r="C592" s="101">
        <v>1082</v>
      </c>
      <c r="D592" s="76" t="s">
        <v>4740</v>
      </c>
      <c r="E592" s="76" t="s">
        <v>211</v>
      </c>
      <c r="F592" s="76"/>
      <c r="G592" s="76" t="s">
        <v>3434</v>
      </c>
      <c r="H592" s="76"/>
      <c r="I592" s="76"/>
      <c r="J592" s="76"/>
      <c r="K592" s="76" t="s">
        <v>3401</v>
      </c>
      <c r="L592" s="76" t="s">
        <v>4741</v>
      </c>
      <c r="M592" s="76"/>
      <c r="N592" s="76"/>
      <c r="O592" s="76"/>
      <c r="P592" s="76"/>
      <c r="Q592" s="76"/>
      <c r="R592" s="76"/>
      <c r="S592" s="76" t="s">
        <v>52</v>
      </c>
      <c r="T592" t="s">
        <v>7</v>
      </c>
    </row>
    <row r="593" spans="1:20">
      <c r="A593" t="s">
        <v>3463</v>
      </c>
      <c r="B593" t="s">
        <v>8730</v>
      </c>
      <c r="C593" s="101">
        <v>1083</v>
      </c>
      <c r="D593" t="s">
        <v>5659</v>
      </c>
      <c r="E593" t="s">
        <v>211</v>
      </c>
      <c r="G593" t="s">
        <v>3434</v>
      </c>
      <c r="K593" t="s">
        <v>5660</v>
      </c>
      <c r="S593" t="s">
        <v>6</v>
      </c>
      <c r="T593" t="s">
        <v>7</v>
      </c>
    </row>
    <row r="594" spans="1:20">
      <c r="A594" t="s">
        <v>3463</v>
      </c>
      <c r="B594" t="s">
        <v>8730</v>
      </c>
      <c r="C594" s="101">
        <v>1084</v>
      </c>
      <c r="D594" t="s">
        <v>5661</v>
      </c>
      <c r="E594" t="s">
        <v>211</v>
      </c>
      <c r="G594" t="s">
        <v>3434</v>
      </c>
      <c r="K594" t="s">
        <v>5662</v>
      </c>
      <c r="L594" t="s">
        <v>5663</v>
      </c>
      <c r="M594" t="s">
        <v>5574</v>
      </c>
      <c r="S594" t="s">
        <v>35</v>
      </c>
      <c r="T594" t="s">
        <v>7</v>
      </c>
    </row>
    <row r="595" spans="1:20">
      <c r="A595" t="s">
        <v>3463</v>
      </c>
      <c r="B595" t="s">
        <v>8730</v>
      </c>
      <c r="C595" s="101">
        <v>1085</v>
      </c>
      <c r="D595" t="s">
        <v>5664</v>
      </c>
      <c r="E595" t="s">
        <v>211</v>
      </c>
      <c r="G595" t="s">
        <v>3434</v>
      </c>
      <c r="K595" t="s">
        <v>3401</v>
      </c>
      <c r="L595" t="s">
        <v>5665</v>
      </c>
      <c r="M595" t="s">
        <v>5666</v>
      </c>
      <c r="S595" t="s">
        <v>170</v>
      </c>
      <c r="T595" t="s">
        <v>7</v>
      </c>
    </row>
    <row r="596" spans="1:20">
      <c r="A596" t="s">
        <v>3463</v>
      </c>
      <c r="B596" t="s">
        <v>8730</v>
      </c>
      <c r="C596" s="101">
        <v>1086</v>
      </c>
      <c r="D596" t="s">
        <v>5667</v>
      </c>
      <c r="E596" t="s">
        <v>212</v>
      </c>
      <c r="G596" t="s">
        <v>3434</v>
      </c>
      <c r="K596" t="s">
        <v>5668</v>
      </c>
      <c r="L596" t="s">
        <v>5669</v>
      </c>
      <c r="S596" t="s">
        <v>606</v>
      </c>
      <c r="T596" t="s">
        <v>7</v>
      </c>
    </row>
    <row r="597" spans="1:20">
      <c r="A597" s="101" t="s">
        <v>3465</v>
      </c>
      <c r="B597" s="101" t="s">
        <v>8730</v>
      </c>
      <c r="C597" s="101">
        <v>2001</v>
      </c>
      <c r="D597" s="101" t="s">
        <v>6584</v>
      </c>
      <c r="E597" s="101" t="s">
        <v>186</v>
      </c>
      <c r="F597" s="101"/>
      <c r="G597" s="101" t="s">
        <v>3434</v>
      </c>
      <c r="H597" s="101" t="s">
        <v>3402</v>
      </c>
      <c r="I597" s="101"/>
      <c r="J597" s="101"/>
      <c r="K597" s="101" t="s">
        <v>6585</v>
      </c>
      <c r="L597" s="102" t="s">
        <v>6586</v>
      </c>
      <c r="M597" s="102"/>
      <c r="N597" s="102"/>
      <c r="O597" s="102"/>
      <c r="P597" s="102"/>
      <c r="Q597" s="102"/>
      <c r="R597" s="102"/>
      <c r="S597" s="102" t="s">
        <v>14</v>
      </c>
      <c r="T597" s="102" t="s">
        <v>9</v>
      </c>
    </row>
    <row r="598" spans="1:20">
      <c r="A598" s="101" t="s">
        <v>3465</v>
      </c>
      <c r="B598" s="101" t="s">
        <v>8730</v>
      </c>
      <c r="C598" s="101">
        <v>2002</v>
      </c>
      <c r="D598" s="101" t="s">
        <v>6587</v>
      </c>
      <c r="E598" s="101" t="s">
        <v>186</v>
      </c>
      <c r="F598" s="101"/>
      <c r="G598" s="101" t="s">
        <v>3434</v>
      </c>
      <c r="H598" s="101"/>
      <c r="I598" s="101"/>
      <c r="J598" s="101"/>
      <c r="K598" s="102" t="s">
        <v>6588</v>
      </c>
      <c r="L598" s="102" t="s">
        <v>6589</v>
      </c>
      <c r="M598" s="102"/>
      <c r="N598" s="102"/>
      <c r="O598" s="102"/>
      <c r="P598" s="102"/>
      <c r="Q598" s="102"/>
      <c r="R598" s="102"/>
      <c r="S598" s="102" t="s">
        <v>26</v>
      </c>
      <c r="T598" s="102" t="s">
        <v>9</v>
      </c>
    </row>
    <row r="599" spans="1:20">
      <c r="A599" s="101" t="s">
        <v>3465</v>
      </c>
      <c r="B599" s="101" t="s">
        <v>8730</v>
      </c>
      <c r="C599" s="101">
        <v>2003</v>
      </c>
      <c r="D599" s="102" t="s">
        <v>6590</v>
      </c>
      <c r="E599" s="102" t="s">
        <v>186</v>
      </c>
      <c r="F599" s="102"/>
      <c r="G599" s="102" t="s">
        <v>1526</v>
      </c>
      <c r="H599" s="102"/>
      <c r="I599" s="102"/>
      <c r="J599" s="102"/>
      <c r="K599" s="102" t="s">
        <v>6591</v>
      </c>
      <c r="L599" s="102" t="s">
        <v>6592</v>
      </c>
      <c r="M599" s="102"/>
      <c r="N599" s="102"/>
      <c r="O599" s="102"/>
      <c r="P599" s="102"/>
      <c r="Q599" s="102"/>
      <c r="R599" s="102"/>
      <c r="S599" s="102"/>
      <c r="T599" s="102" t="s">
        <v>9</v>
      </c>
    </row>
    <row r="600" spans="1:20">
      <c r="A600" s="101" t="s">
        <v>3465</v>
      </c>
      <c r="B600" s="101" t="s">
        <v>8730</v>
      </c>
      <c r="C600" s="101">
        <v>2004</v>
      </c>
      <c r="D600" s="102" t="s">
        <v>5187</v>
      </c>
      <c r="E600" s="102" t="s">
        <v>13450</v>
      </c>
      <c r="F600" s="102"/>
      <c r="G600" s="102" t="s">
        <v>3617</v>
      </c>
      <c r="H600" s="102"/>
      <c r="I600" s="102"/>
      <c r="J600" s="102"/>
      <c r="K600" s="102" t="s">
        <v>6593</v>
      </c>
      <c r="L600" s="102" t="s">
        <v>5717</v>
      </c>
      <c r="M600" s="102" t="s">
        <v>6594</v>
      </c>
      <c r="N600" s="102"/>
      <c r="O600" s="102"/>
      <c r="P600" s="102"/>
      <c r="Q600" s="102"/>
      <c r="R600" s="102"/>
      <c r="S600" s="102" t="s">
        <v>30</v>
      </c>
      <c r="T600" s="102" t="s">
        <v>9</v>
      </c>
    </row>
    <row r="601" spans="1:20">
      <c r="A601" s="101" t="s">
        <v>3465</v>
      </c>
      <c r="B601" s="101" t="s">
        <v>8730</v>
      </c>
      <c r="C601" s="101">
        <v>2005</v>
      </c>
      <c r="D601" s="102" t="s">
        <v>6595</v>
      </c>
      <c r="E601" s="102" t="s">
        <v>186</v>
      </c>
      <c r="F601" s="102"/>
      <c r="G601" s="102" t="s">
        <v>3434</v>
      </c>
      <c r="H601" s="102"/>
      <c r="I601" s="102"/>
      <c r="J601" s="102"/>
      <c r="K601" s="102" t="s">
        <v>6596</v>
      </c>
      <c r="L601" s="102" t="s">
        <v>6597</v>
      </c>
      <c r="M601" s="102"/>
      <c r="N601" s="102"/>
      <c r="O601" s="102"/>
      <c r="P601" s="102"/>
      <c r="Q601" s="102"/>
      <c r="R601" s="102"/>
      <c r="S601" s="102" t="s">
        <v>33</v>
      </c>
      <c r="T601" s="102" t="s">
        <v>9</v>
      </c>
    </row>
    <row r="602" spans="1:20">
      <c r="A602" s="101" t="s">
        <v>3465</v>
      </c>
      <c r="B602" s="101" t="s">
        <v>8730</v>
      </c>
      <c r="C602" s="101">
        <v>2006</v>
      </c>
      <c r="D602" s="102" t="s">
        <v>6598</v>
      </c>
      <c r="E602" s="102" t="s">
        <v>186</v>
      </c>
      <c r="F602" s="102"/>
      <c r="G602" s="102" t="s">
        <v>3434</v>
      </c>
      <c r="H602" s="102"/>
      <c r="I602" s="102"/>
      <c r="J602" s="102"/>
      <c r="K602" s="102" t="s">
        <v>6599</v>
      </c>
      <c r="L602" s="102" t="s">
        <v>6600</v>
      </c>
      <c r="M602" s="102" t="s">
        <v>6601</v>
      </c>
      <c r="N602" s="102"/>
      <c r="O602" s="102"/>
      <c r="P602" s="102"/>
      <c r="Q602" s="102"/>
      <c r="R602" s="102"/>
      <c r="S602" s="102" t="s">
        <v>32</v>
      </c>
      <c r="T602" s="102" t="s">
        <v>9</v>
      </c>
    </row>
    <row r="603" spans="1:20">
      <c r="A603" s="101" t="s">
        <v>3465</v>
      </c>
      <c r="B603" s="101" t="s">
        <v>8730</v>
      </c>
      <c r="C603" s="101">
        <v>2007</v>
      </c>
      <c r="D603" s="102" t="s">
        <v>6602</v>
      </c>
      <c r="E603" s="102" t="s">
        <v>186</v>
      </c>
      <c r="F603" s="102"/>
      <c r="G603" s="102" t="s">
        <v>3434</v>
      </c>
      <c r="H603" s="102"/>
      <c r="I603" s="102"/>
      <c r="J603" s="102"/>
      <c r="K603" s="102" t="s">
        <v>6603</v>
      </c>
      <c r="L603" s="102" t="s">
        <v>6604</v>
      </c>
      <c r="M603" s="102"/>
      <c r="N603" s="102"/>
      <c r="O603" s="102"/>
      <c r="P603" s="102"/>
      <c r="Q603" s="102"/>
      <c r="R603" s="102"/>
      <c r="S603" s="102" t="s">
        <v>39</v>
      </c>
      <c r="T603" s="102" t="s">
        <v>9</v>
      </c>
    </row>
    <row r="604" spans="1:20">
      <c r="A604" s="101" t="s">
        <v>3465</v>
      </c>
      <c r="B604" s="101" t="s">
        <v>8730</v>
      </c>
      <c r="C604" s="101">
        <v>2009</v>
      </c>
      <c r="D604" s="102" t="s">
        <v>6605</v>
      </c>
      <c r="E604" s="102" t="s">
        <v>187</v>
      </c>
      <c r="F604" s="102"/>
      <c r="G604" s="102" t="s">
        <v>5673</v>
      </c>
      <c r="H604" s="102" t="s">
        <v>13386</v>
      </c>
      <c r="I604" s="102"/>
      <c r="J604" s="102"/>
      <c r="K604" s="102" t="s">
        <v>6606</v>
      </c>
      <c r="L604" s="102"/>
      <c r="M604" s="102"/>
      <c r="N604" s="102"/>
      <c r="O604" s="102"/>
      <c r="P604" s="102"/>
      <c r="Q604" s="102"/>
      <c r="R604" s="102"/>
      <c r="S604" s="102" t="s">
        <v>5281</v>
      </c>
      <c r="T604" s="102" t="s">
        <v>9</v>
      </c>
    </row>
    <row r="605" spans="1:20">
      <c r="A605" s="101" t="s">
        <v>3465</v>
      </c>
      <c r="B605" s="101" t="s">
        <v>8730</v>
      </c>
      <c r="C605" s="101">
        <v>2011</v>
      </c>
      <c r="D605" s="102" t="s">
        <v>6607</v>
      </c>
      <c r="E605" s="102" t="s">
        <v>187</v>
      </c>
      <c r="F605" s="102"/>
      <c r="G605" s="102" t="s">
        <v>3086</v>
      </c>
      <c r="H605" s="102" t="s">
        <v>3089</v>
      </c>
      <c r="I605" s="102"/>
      <c r="J605" s="102"/>
      <c r="K605" s="102" t="s">
        <v>6608</v>
      </c>
      <c r="L605" s="102"/>
      <c r="M605" s="102"/>
      <c r="N605" s="102"/>
      <c r="O605" s="102"/>
      <c r="P605" s="102" t="s">
        <v>160</v>
      </c>
      <c r="Q605" s="102"/>
      <c r="R605" s="102"/>
      <c r="S605" s="102" t="s">
        <v>40</v>
      </c>
      <c r="T605" s="102" t="s">
        <v>9</v>
      </c>
    </row>
    <row r="606" spans="1:20">
      <c r="A606" s="101" t="s">
        <v>3465</v>
      </c>
      <c r="B606" s="101" t="s">
        <v>8730</v>
      </c>
      <c r="C606" s="101">
        <v>2012</v>
      </c>
      <c r="D606" s="102" t="s">
        <v>6609</v>
      </c>
      <c r="E606" s="102" t="s">
        <v>187</v>
      </c>
      <c r="F606" s="102"/>
      <c r="G606" s="102" t="s">
        <v>3434</v>
      </c>
      <c r="H606" s="102"/>
      <c r="I606" s="102"/>
      <c r="J606" s="102"/>
      <c r="K606" s="102" t="s">
        <v>6610</v>
      </c>
      <c r="L606" s="102" t="s">
        <v>6611</v>
      </c>
      <c r="M606" s="102"/>
      <c r="N606" s="102"/>
      <c r="O606" s="102"/>
      <c r="P606" s="102"/>
      <c r="Q606" s="102"/>
      <c r="R606" s="102"/>
      <c r="S606" s="102" t="s">
        <v>172</v>
      </c>
      <c r="T606" s="102" t="s">
        <v>9</v>
      </c>
    </row>
    <row r="607" spans="1:20">
      <c r="A607" s="101" t="s">
        <v>3465</v>
      </c>
      <c r="B607" s="101" t="s">
        <v>8730</v>
      </c>
      <c r="C607" s="101">
        <v>2013</v>
      </c>
      <c r="D607" s="102" t="s">
        <v>6612</v>
      </c>
      <c r="E607" s="102" t="s">
        <v>187</v>
      </c>
      <c r="F607" s="102"/>
      <c r="G607" s="102" t="s">
        <v>5673</v>
      </c>
      <c r="H607" s="102" t="s">
        <v>13391</v>
      </c>
      <c r="I607" s="102"/>
      <c r="J607" s="102"/>
      <c r="K607" s="102" t="s">
        <v>6613</v>
      </c>
      <c r="L607" s="102" t="s">
        <v>6614</v>
      </c>
      <c r="M607" s="102"/>
      <c r="N607" s="102"/>
      <c r="O607" s="102"/>
      <c r="P607" s="102"/>
      <c r="Q607" s="102"/>
      <c r="R607" s="102"/>
      <c r="S607" s="102" t="s">
        <v>5281</v>
      </c>
      <c r="T607" s="102" t="s">
        <v>9</v>
      </c>
    </row>
    <row r="608" spans="1:20">
      <c r="A608" s="101" t="s">
        <v>3465</v>
      </c>
      <c r="B608" s="101" t="s">
        <v>8730</v>
      </c>
      <c r="C608" s="101">
        <v>2014</v>
      </c>
      <c r="D608" s="102" t="s">
        <v>6615</v>
      </c>
      <c r="E608" s="102" t="s">
        <v>187</v>
      </c>
      <c r="F608" s="102"/>
      <c r="G608" s="102" t="s">
        <v>3434</v>
      </c>
      <c r="H608" s="102"/>
      <c r="I608" s="102"/>
      <c r="J608" s="102"/>
      <c r="K608" s="102" t="s">
        <v>6616</v>
      </c>
      <c r="L608" s="102"/>
      <c r="M608" s="102"/>
      <c r="N608" s="102"/>
      <c r="O608" s="102"/>
      <c r="P608" s="102"/>
      <c r="Q608" s="102"/>
      <c r="R608" s="102"/>
      <c r="S608" s="102" t="s">
        <v>174</v>
      </c>
      <c r="T608" s="102" t="s">
        <v>9</v>
      </c>
    </row>
    <row r="609" spans="1:20">
      <c r="A609" s="101" t="s">
        <v>3465</v>
      </c>
      <c r="B609" s="101" t="s">
        <v>8730</v>
      </c>
      <c r="C609" s="101">
        <v>2015</v>
      </c>
      <c r="D609" s="102" t="s">
        <v>6617</v>
      </c>
      <c r="E609" s="102" t="s">
        <v>187</v>
      </c>
      <c r="F609" s="102"/>
      <c r="G609" s="102" t="s">
        <v>5673</v>
      </c>
      <c r="H609" s="102" t="s">
        <v>5672</v>
      </c>
      <c r="I609" s="102"/>
      <c r="J609" s="102"/>
      <c r="K609" s="102" t="s">
        <v>6618</v>
      </c>
      <c r="L609" s="102"/>
      <c r="M609" s="102"/>
      <c r="N609" s="102"/>
      <c r="O609" s="102"/>
      <c r="P609" s="102"/>
      <c r="Q609" s="102"/>
      <c r="R609" s="102"/>
      <c r="S609" s="102" t="s">
        <v>5281</v>
      </c>
      <c r="T609" s="102" t="s">
        <v>9</v>
      </c>
    </row>
    <row r="610" spans="1:20">
      <c r="A610" s="101" t="s">
        <v>3465</v>
      </c>
      <c r="B610" s="101" t="s">
        <v>8730</v>
      </c>
      <c r="C610" s="101">
        <v>2016</v>
      </c>
      <c r="D610" s="102" t="s">
        <v>6619</v>
      </c>
      <c r="E610" s="102" t="s">
        <v>187</v>
      </c>
      <c r="F610" s="102"/>
      <c r="G610" s="102" t="s">
        <v>3434</v>
      </c>
      <c r="H610" s="102"/>
      <c r="I610" s="102"/>
      <c r="J610" s="102"/>
      <c r="K610" s="102" t="s">
        <v>42</v>
      </c>
      <c r="L610" s="102" t="s">
        <v>6620</v>
      </c>
      <c r="M610" s="102"/>
      <c r="N610" s="102"/>
      <c r="O610" s="102"/>
      <c r="P610" s="102"/>
      <c r="Q610" s="102"/>
      <c r="R610" s="102"/>
      <c r="S610" s="102" t="s">
        <v>5</v>
      </c>
      <c r="T610" s="102" t="s">
        <v>9</v>
      </c>
    </row>
    <row r="611" spans="1:20">
      <c r="A611" s="101" t="s">
        <v>3465</v>
      </c>
      <c r="B611" s="101" t="s">
        <v>8730</v>
      </c>
      <c r="C611" s="101">
        <v>2017</v>
      </c>
      <c r="D611" s="102" t="s">
        <v>6621</v>
      </c>
      <c r="E611" s="102" t="s">
        <v>187</v>
      </c>
      <c r="F611" s="102"/>
      <c r="G611" s="102" t="s">
        <v>3434</v>
      </c>
      <c r="H611" s="102" t="s">
        <v>3402</v>
      </c>
      <c r="I611" s="102"/>
      <c r="J611" s="102"/>
      <c r="K611" s="102" t="s">
        <v>3401</v>
      </c>
      <c r="L611" s="102" t="s">
        <v>6622</v>
      </c>
      <c r="M611" s="102"/>
      <c r="N611" s="102"/>
      <c r="O611" s="102"/>
      <c r="P611" s="102"/>
      <c r="Q611" s="102"/>
      <c r="R611" s="102"/>
      <c r="S611" s="102" t="s">
        <v>8</v>
      </c>
      <c r="T611" s="102" t="s">
        <v>9</v>
      </c>
    </row>
    <row r="612" spans="1:20">
      <c r="A612" s="101" t="s">
        <v>3465</v>
      </c>
      <c r="B612" s="101" t="s">
        <v>8730</v>
      </c>
      <c r="C612" s="101">
        <v>2018</v>
      </c>
      <c r="D612" s="102" t="s">
        <v>6623</v>
      </c>
      <c r="E612" s="102" t="s">
        <v>188</v>
      </c>
      <c r="F612" s="102"/>
      <c r="G612" s="102" t="s">
        <v>3434</v>
      </c>
      <c r="H612" s="102"/>
      <c r="I612" s="102"/>
      <c r="J612" s="102"/>
      <c r="K612" s="102" t="s">
        <v>6624</v>
      </c>
      <c r="L612" s="102" t="s">
        <v>6625</v>
      </c>
      <c r="M612" s="102"/>
      <c r="N612" s="102"/>
      <c r="O612" s="102"/>
      <c r="P612" s="102"/>
      <c r="Q612" s="102"/>
      <c r="R612" s="102"/>
      <c r="S612" s="102" t="s">
        <v>3747</v>
      </c>
      <c r="T612" s="102" t="s">
        <v>9</v>
      </c>
    </row>
    <row r="613" spans="1:20">
      <c r="A613" s="101" t="s">
        <v>3465</v>
      </c>
      <c r="B613" s="101" t="s">
        <v>8730</v>
      </c>
      <c r="C613" s="101">
        <v>2019</v>
      </c>
      <c r="D613" s="102" t="s">
        <v>6626</v>
      </c>
      <c r="E613" s="102" t="s">
        <v>187</v>
      </c>
      <c r="F613" s="102"/>
      <c r="G613" s="102" t="s">
        <v>3434</v>
      </c>
      <c r="H613" s="102"/>
      <c r="I613" s="102"/>
      <c r="J613" s="102"/>
      <c r="K613" s="102" t="s">
        <v>6627</v>
      </c>
      <c r="L613" s="102"/>
      <c r="M613" s="102"/>
      <c r="N613" s="102"/>
      <c r="O613" s="102"/>
      <c r="P613" s="102"/>
      <c r="Q613" s="102"/>
      <c r="R613" s="102"/>
      <c r="S613" s="102" t="s">
        <v>171</v>
      </c>
      <c r="T613" s="102" t="s">
        <v>9</v>
      </c>
    </row>
    <row r="614" spans="1:20">
      <c r="A614" s="101" t="s">
        <v>3465</v>
      </c>
      <c r="B614" s="101" t="s">
        <v>8730</v>
      </c>
      <c r="C614" s="101">
        <v>2020</v>
      </c>
      <c r="D614" s="102" t="s">
        <v>6628</v>
      </c>
      <c r="E614" s="102" t="s">
        <v>187</v>
      </c>
      <c r="F614" s="102"/>
      <c r="G614" s="102" t="s">
        <v>3434</v>
      </c>
      <c r="H614" s="102"/>
      <c r="I614" s="102"/>
      <c r="J614" s="102"/>
      <c r="K614" s="102" t="s">
        <v>6629</v>
      </c>
      <c r="L614" s="102"/>
      <c r="M614" s="102"/>
      <c r="N614" s="102"/>
      <c r="O614" s="102"/>
      <c r="P614" s="102"/>
      <c r="Q614" s="102"/>
      <c r="R614" s="102"/>
      <c r="S614" s="102" t="s">
        <v>18</v>
      </c>
      <c r="T614" s="102" t="s">
        <v>9</v>
      </c>
    </row>
    <row r="615" spans="1:20">
      <c r="A615" s="101" t="s">
        <v>3465</v>
      </c>
      <c r="B615" s="101" t="s">
        <v>8730</v>
      </c>
      <c r="C615" s="101">
        <v>2021</v>
      </c>
      <c r="D615" s="102" t="s">
        <v>6630</v>
      </c>
      <c r="E615" s="102" t="s">
        <v>187</v>
      </c>
      <c r="F615" s="102"/>
      <c r="G615" s="102" t="s">
        <v>3434</v>
      </c>
      <c r="H615" s="102"/>
      <c r="I615" s="102"/>
      <c r="J615" s="102"/>
      <c r="K615" s="102" t="s">
        <v>6631</v>
      </c>
      <c r="L615" s="102"/>
      <c r="M615" s="102"/>
      <c r="N615" s="102"/>
      <c r="O615" s="102"/>
      <c r="P615" s="102"/>
      <c r="Q615" s="102"/>
      <c r="R615" s="102"/>
      <c r="S615" s="102" t="s">
        <v>45</v>
      </c>
      <c r="T615" s="102" t="s">
        <v>9</v>
      </c>
    </row>
    <row r="616" spans="1:20">
      <c r="A616" s="101" t="s">
        <v>3465</v>
      </c>
      <c r="B616" s="101" t="s">
        <v>8730</v>
      </c>
      <c r="C616" s="101">
        <v>2022</v>
      </c>
      <c r="D616" s="102" t="s">
        <v>2056</v>
      </c>
      <c r="E616" s="102" t="s">
        <v>187</v>
      </c>
      <c r="F616" s="102"/>
      <c r="G616" s="102" t="s">
        <v>3086</v>
      </c>
      <c r="H616" s="102" t="s">
        <v>13387</v>
      </c>
      <c r="I616" s="102"/>
      <c r="J616" s="102"/>
      <c r="K616" s="102" t="s">
        <v>6632</v>
      </c>
      <c r="L616" s="102"/>
      <c r="M616" s="102"/>
      <c r="N616" s="102"/>
      <c r="O616" s="102"/>
      <c r="P616" s="102" t="s">
        <v>159</v>
      </c>
      <c r="Q616" s="102"/>
      <c r="R616" s="102"/>
      <c r="S616" s="102" t="s">
        <v>27</v>
      </c>
      <c r="T616" s="102" t="s">
        <v>9</v>
      </c>
    </row>
    <row r="617" spans="1:20">
      <c r="A617" s="101" t="s">
        <v>3465</v>
      </c>
      <c r="B617" s="101" t="s">
        <v>8730</v>
      </c>
      <c r="C617" s="101">
        <v>2023</v>
      </c>
      <c r="D617" s="102" t="s">
        <v>6633</v>
      </c>
      <c r="E617" s="102" t="s">
        <v>187</v>
      </c>
      <c r="F617" s="102"/>
      <c r="G617" s="102" t="s">
        <v>3434</v>
      </c>
      <c r="H617" s="102"/>
      <c r="I617" s="102"/>
      <c r="J617" s="102"/>
      <c r="K617" s="102" t="s">
        <v>6634</v>
      </c>
      <c r="L617" s="102" t="s">
        <v>6635</v>
      </c>
      <c r="M617" s="102"/>
      <c r="N617" s="102"/>
      <c r="O617" s="102"/>
      <c r="P617" s="102"/>
      <c r="Q617" s="102"/>
      <c r="R617" s="102"/>
      <c r="S617" s="102" t="s">
        <v>6</v>
      </c>
      <c r="T617" s="102" t="s">
        <v>9</v>
      </c>
    </row>
    <row r="618" spans="1:20">
      <c r="A618" s="101" t="s">
        <v>3465</v>
      </c>
      <c r="B618" s="101" t="s">
        <v>8730</v>
      </c>
      <c r="C618" s="101">
        <v>2024</v>
      </c>
      <c r="D618" s="102" t="s">
        <v>6636</v>
      </c>
      <c r="E618" s="102" t="s">
        <v>187</v>
      </c>
      <c r="F618" s="102"/>
      <c r="G618" s="102" t="s">
        <v>3434</v>
      </c>
      <c r="H618" s="102" t="s">
        <v>3402</v>
      </c>
      <c r="I618" s="102"/>
      <c r="J618" s="102"/>
      <c r="K618" s="102" t="s">
        <v>3401</v>
      </c>
      <c r="L618" s="102" t="s">
        <v>6637</v>
      </c>
      <c r="M618" s="102" t="s">
        <v>6638</v>
      </c>
      <c r="N618" s="102"/>
      <c r="O618" s="102"/>
      <c r="P618" s="102"/>
      <c r="Q618" s="102"/>
      <c r="R618" s="102"/>
      <c r="S618" s="102" t="s">
        <v>32</v>
      </c>
      <c r="T618" s="102" t="s">
        <v>9</v>
      </c>
    </row>
    <row r="619" spans="1:20">
      <c r="A619" s="101" t="s">
        <v>3465</v>
      </c>
      <c r="B619" s="101" t="s">
        <v>8730</v>
      </c>
      <c r="C619" s="101">
        <v>2025</v>
      </c>
      <c r="D619" s="102" t="s">
        <v>6639</v>
      </c>
      <c r="E619" s="102" t="s">
        <v>187</v>
      </c>
      <c r="F619" s="102"/>
      <c r="G619" s="102" t="s">
        <v>3434</v>
      </c>
      <c r="H619" s="102"/>
      <c r="I619" s="102"/>
      <c r="J619" s="102"/>
      <c r="K619" s="102" t="s">
        <v>6640</v>
      </c>
      <c r="L619" s="102" t="s">
        <v>6641</v>
      </c>
      <c r="M619" s="102"/>
      <c r="N619" s="102"/>
      <c r="O619" s="102"/>
      <c r="P619" s="102"/>
      <c r="Q619" s="102"/>
      <c r="R619" s="102"/>
      <c r="S619" s="102" t="s">
        <v>30</v>
      </c>
      <c r="T619" s="102" t="s">
        <v>9</v>
      </c>
    </row>
    <row r="620" spans="1:20">
      <c r="A620" s="101" t="s">
        <v>3465</v>
      </c>
      <c r="B620" s="101" t="s">
        <v>8730</v>
      </c>
      <c r="C620" s="101">
        <v>2026</v>
      </c>
      <c r="D620" s="102" t="s">
        <v>6642</v>
      </c>
      <c r="E620" s="102" t="s">
        <v>187</v>
      </c>
      <c r="F620" s="102"/>
      <c r="G620" s="102" t="s">
        <v>3434</v>
      </c>
      <c r="H620" s="102"/>
      <c r="I620" s="102"/>
      <c r="J620" s="102"/>
      <c r="K620" s="102" t="s">
        <v>6643</v>
      </c>
      <c r="L620" s="102" t="s">
        <v>6644</v>
      </c>
      <c r="M620" s="102"/>
      <c r="N620" s="102"/>
      <c r="O620" s="102"/>
      <c r="P620" s="102"/>
      <c r="Q620" s="102"/>
      <c r="R620" s="102"/>
      <c r="S620" s="102" t="s">
        <v>3747</v>
      </c>
      <c r="T620" s="102" t="s">
        <v>9</v>
      </c>
    </row>
    <row r="621" spans="1:20">
      <c r="A621" s="101" t="s">
        <v>3465</v>
      </c>
      <c r="B621" s="101" t="s">
        <v>8730</v>
      </c>
      <c r="C621" s="101">
        <v>2027</v>
      </c>
      <c r="D621" s="102" t="s">
        <v>6645</v>
      </c>
      <c r="E621" s="102" t="s">
        <v>187</v>
      </c>
      <c r="F621" s="102"/>
      <c r="G621" s="102" t="s">
        <v>3434</v>
      </c>
      <c r="H621" s="102"/>
      <c r="I621" s="102"/>
      <c r="J621" s="102"/>
      <c r="K621" s="102" t="s">
        <v>6646</v>
      </c>
      <c r="L621" s="102" t="s">
        <v>6647</v>
      </c>
      <c r="M621" s="102"/>
      <c r="N621" s="102"/>
      <c r="O621" s="102"/>
      <c r="P621" s="102"/>
      <c r="Q621" s="102"/>
      <c r="R621" s="102"/>
      <c r="S621" s="102" t="s">
        <v>607</v>
      </c>
      <c r="T621" s="102" t="s">
        <v>9</v>
      </c>
    </row>
    <row r="622" spans="1:20">
      <c r="A622" s="101" t="s">
        <v>3465</v>
      </c>
      <c r="B622" s="101" t="s">
        <v>8730</v>
      </c>
      <c r="C622" s="101">
        <v>2028</v>
      </c>
      <c r="D622" s="102" t="s">
        <v>6648</v>
      </c>
      <c r="E622" s="102" t="s">
        <v>187</v>
      </c>
      <c r="F622" s="102"/>
      <c r="G622" s="102" t="s">
        <v>3434</v>
      </c>
      <c r="H622" s="102"/>
      <c r="I622" s="102"/>
      <c r="J622" s="102"/>
      <c r="K622" s="102" t="s">
        <v>6649</v>
      </c>
      <c r="L622" s="102" t="s">
        <v>6650</v>
      </c>
      <c r="M622" s="102"/>
      <c r="N622" s="102"/>
      <c r="O622" s="102"/>
      <c r="P622" s="102"/>
      <c r="Q622" s="102"/>
      <c r="R622" s="102"/>
      <c r="S622" s="102" t="s">
        <v>53</v>
      </c>
      <c r="T622" s="102" t="s">
        <v>9</v>
      </c>
    </row>
    <row r="623" spans="1:20">
      <c r="A623" s="101" t="s">
        <v>3465</v>
      </c>
      <c r="B623" s="101" t="s">
        <v>8730</v>
      </c>
      <c r="C623" s="101">
        <v>2029</v>
      </c>
      <c r="D623" s="102" t="s">
        <v>6651</v>
      </c>
      <c r="E623" s="102" t="s">
        <v>187</v>
      </c>
      <c r="F623" s="102"/>
      <c r="G623" s="102" t="s">
        <v>3434</v>
      </c>
      <c r="H623" s="102"/>
      <c r="I623" s="102"/>
      <c r="J623" s="102"/>
      <c r="K623" s="102" t="s">
        <v>6652</v>
      </c>
      <c r="L623" s="102"/>
      <c r="M623" s="102"/>
      <c r="N623" s="102"/>
      <c r="O623" s="102"/>
      <c r="P623" s="102"/>
      <c r="Q623" s="102"/>
      <c r="R623" s="102"/>
      <c r="S623" s="102" t="s">
        <v>182</v>
      </c>
      <c r="T623" s="102" t="s">
        <v>9</v>
      </c>
    </row>
    <row r="624" spans="1:20">
      <c r="A624" s="101" t="s">
        <v>3465</v>
      </c>
      <c r="B624" s="101" t="s">
        <v>8730</v>
      </c>
      <c r="C624" s="101">
        <v>2030</v>
      </c>
      <c r="D624" s="102" t="s">
        <v>6653</v>
      </c>
      <c r="E624" s="102" t="s">
        <v>188</v>
      </c>
      <c r="F624" s="102"/>
      <c r="G624" s="102" t="s">
        <v>3434</v>
      </c>
      <c r="H624" s="102" t="s">
        <v>3402</v>
      </c>
      <c r="I624" s="102"/>
      <c r="J624" s="102"/>
      <c r="K624" s="102" t="s">
        <v>6654</v>
      </c>
      <c r="L624" s="102" t="s">
        <v>6655</v>
      </c>
      <c r="M624" s="102"/>
      <c r="N624" s="102"/>
      <c r="O624" s="102"/>
      <c r="P624" s="102"/>
      <c r="Q624" s="102"/>
      <c r="R624" s="102"/>
      <c r="S624" s="102" t="s">
        <v>34</v>
      </c>
      <c r="T624" s="102" t="s">
        <v>9</v>
      </c>
    </row>
    <row r="625" spans="1:20">
      <c r="A625" s="101" t="s">
        <v>3465</v>
      </c>
      <c r="B625" s="101" t="s">
        <v>8730</v>
      </c>
      <c r="C625" s="101">
        <v>2031</v>
      </c>
      <c r="D625" s="102" t="s">
        <v>6656</v>
      </c>
      <c r="E625" s="102" t="s">
        <v>204</v>
      </c>
      <c r="F625" s="102"/>
      <c r="G625" s="102" t="s">
        <v>3434</v>
      </c>
      <c r="H625" s="102"/>
      <c r="I625" s="102"/>
      <c r="J625" s="102"/>
      <c r="K625" s="102" t="s">
        <v>902</v>
      </c>
      <c r="L625" s="102" t="s">
        <v>6657</v>
      </c>
      <c r="M625" s="102" t="s">
        <v>6658</v>
      </c>
      <c r="N625" s="102"/>
      <c r="O625" s="102"/>
      <c r="P625" s="102"/>
      <c r="Q625" s="102"/>
      <c r="R625" s="102"/>
      <c r="S625" s="102" t="s">
        <v>36</v>
      </c>
      <c r="T625" s="102" t="s">
        <v>9</v>
      </c>
    </row>
    <row r="626" spans="1:20">
      <c r="A626" s="101" t="s">
        <v>3465</v>
      </c>
      <c r="B626" s="101" t="s">
        <v>8730</v>
      </c>
      <c r="C626" s="101">
        <v>2032</v>
      </c>
      <c r="D626" s="102" t="s">
        <v>6659</v>
      </c>
      <c r="E626" s="102" t="s">
        <v>204</v>
      </c>
      <c r="F626" s="102"/>
      <c r="G626" s="102" t="s">
        <v>3434</v>
      </c>
      <c r="H626" s="102" t="s">
        <v>3402</v>
      </c>
      <c r="I626" s="102"/>
      <c r="J626" s="102"/>
      <c r="K626" s="102" t="s">
        <v>3401</v>
      </c>
      <c r="L626" s="102" t="s">
        <v>6660</v>
      </c>
      <c r="M626" s="102"/>
      <c r="N626" s="102"/>
      <c r="O626" s="102"/>
      <c r="P626" s="102"/>
      <c r="Q626" s="102"/>
      <c r="R626" s="102"/>
      <c r="S626" s="102" t="s">
        <v>169</v>
      </c>
      <c r="T626" s="102" t="s">
        <v>9</v>
      </c>
    </row>
    <row r="627" spans="1:20">
      <c r="A627" s="101" t="s">
        <v>3465</v>
      </c>
      <c r="B627" s="101" t="s">
        <v>8730</v>
      </c>
      <c r="C627" s="101">
        <v>2033</v>
      </c>
      <c r="D627" s="102" t="s">
        <v>6661</v>
      </c>
      <c r="E627" s="102" t="s">
        <v>204</v>
      </c>
      <c r="F627" s="102"/>
      <c r="G627" s="102" t="s">
        <v>3434</v>
      </c>
      <c r="H627" s="102"/>
      <c r="I627" s="102"/>
      <c r="J627" s="102"/>
      <c r="K627" s="102" t="s">
        <v>6662</v>
      </c>
      <c r="L627" s="102"/>
      <c r="M627" s="102"/>
      <c r="N627" s="102"/>
      <c r="O627" s="102"/>
      <c r="P627" s="102"/>
      <c r="Q627" s="102"/>
      <c r="R627" s="102"/>
      <c r="S627" s="102" t="s">
        <v>174</v>
      </c>
      <c r="T627" s="102" t="s">
        <v>9</v>
      </c>
    </row>
    <row r="628" spans="1:20">
      <c r="A628" s="101" t="s">
        <v>3465</v>
      </c>
      <c r="B628" s="101" t="s">
        <v>8730</v>
      </c>
      <c r="C628" s="101">
        <v>2034</v>
      </c>
      <c r="D628" s="102" t="s">
        <v>6663</v>
      </c>
      <c r="E628" s="102" t="s">
        <v>208</v>
      </c>
      <c r="F628" s="102"/>
      <c r="G628" s="102" t="s">
        <v>3434</v>
      </c>
      <c r="H628" s="102"/>
      <c r="I628" s="102"/>
      <c r="J628" s="102"/>
      <c r="K628" s="102" t="s">
        <v>6664</v>
      </c>
      <c r="L628" s="102" t="s">
        <v>6665</v>
      </c>
      <c r="M628" s="102"/>
      <c r="N628" s="102"/>
      <c r="O628" s="102"/>
      <c r="P628" s="102"/>
      <c r="Q628" s="102"/>
      <c r="R628" s="102"/>
      <c r="S628" s="102" t="s">
        <v>169</v>
      </c>
      <c r="T628" s="102" t="s">
        <v>9</v>
      </c>
    </row>
    <row r="629" spans="1:20">
      <c r="A629" s="101" t="s">
        <v>3465</v>
      </c>
      <c r="B629" s="101" t="s">
        <v>8730</v>
      </c>
      <c r="C629" s="101">
        <v>2036</v>
      </c>
      <c r="D629" s="102" t="s">
        <v>6666</v>
      </c>
      <c r="E629" s="102" t="s">
        <v>204</v>
      </c>
      <c r="F629" s="102"/>
      <c r="G629" s="102" t="s">
        <v>3434</v>
      </c>
      <c r="H629" s="102"/>
      <c r="I629" s="102"/>
      <c r="J629" s="102"/>
      <c r="K629" s="102" t="s">
        <v>6667</v>
      </c>
      <c r="L629" s="102"/>
      <c r="M629" s="102"/>
      <c r="N629" s="102"/>
      <c r="O629" s="102"/>
      <c r="P629" s="102"/>
      <c r="Q629" s="102"/>
      <c r="R629" s="102"/>
      <c r="S629" s="102" t="s">
        <v>179</v>
      </c>
      <c r="T629" s="102" t="s">
        <v>9</v>
      </c>
    </row>
    <row r="630" spans="1:20">
      <c r="A630" s="101" t="s">
        <v>3465</v>
      </c>
      <c r="B630" s="101" t="s">
        <v>8730</v>
      </c>
      <c r="C630" s="101">
        <v>2037</v>
      </c>
      <c r="D630" s="102" t="s">
        <v>6668</v>
      </c>
      <c r="E630" s="102" t="s">
        <v>204</v>
      </c>
      <c r="F630" s="102"/>
      <c r="G630" s="102" t="s">
        <v>3434</v>
      </c>
      <c r="H630" s="102"/>
      <c r="I630" s="102"/>
      <c r="J630" s="102"/>
      <c r="K630" s="102" t="s">
        <v>6669</v>
      </c>
      <c r="L630" s="102" t="s">
        <v>6670</v>
      </c>
      <c r="M630" s="102"/>
      <c r="N630" s="102"/>
      <c r="O630" s="102"/>
      <c r="P630" s="102"/>
      <c r="Q630" s="102"/>
      <c r="R630" s="102"/>
      <c r="S630" s="102" t="s">
        <v>180</v>
      </c>
      <c r="T630" s="102" t="s">
        <v>9</v>
      </c>
    </row>
    <row r="631" spans="1:20">
      <c r="A631" s="101" t="s">
        <v>3465</v>
      </c>
      <c r="B631" s="101" t="s">
        <v>8730</v>
      </c>
      <c r="C631" s="101">
        <v>2038</v>
      </c>
      <c r="D631" s="102" t="s">
        <v>6671</v>
      </c>
      <c r="E631" s="102" t="s">
        <v>208</v>
      </c>
      <c r="F631" s="102"/>
      <c r="G631" s="102" t="s">
        <v>3434</v>
      </c>
      <c r="H631" s="102"/>
      <c r="I631" s="102"/>
      <c r="J631" s="102"/>
      <c r="K631" s="102" t="s">
        <v>6672</v>
      </c>
      <c r="L631" s="102"/>
      <c r="M631" s="102"/>
      <c r="N631" s="102"/>
      <c r="O631" s="102"/>
      <c r="P631" s="102"/>
      <c r="Q631" s="102"/>
      <c r="R631" s="102"/>
      <c r="S631" s="102" t="s">
        <v>8</v>
      </c>
      <c r="T631" s="102" t="s">
        <v>9</v>
      </c>
    </row>
    <row r="632" spans="1:20">
      <c r="A632" s="101" t="s">
        <v>3465</v>
      </c>
      <c r="B632" s="101" t="s">
        <v>8730</v>
      </c>
      <c r="C632" s="101">
        <v>2039</v>
      </c>
      <c r="D632" s="102" t="s">
        <v>6673</v>
      </c>
      <c r="E632" s="102" t="s">
        <v>204</v>
      </c>
      <c r="F632" s="102"/>
      <c r="G632" s="102" t="s">
        <v>3434</v>
      </c>
      <c r="H632" s="102"/>
      <c r="I632" s="102"/>
      <c r="J632" s="102"/>
      <c r="K632" s="102" t="s">
        <v>6674</v>
      </c>
      <c r="L632" s="102" t="s">
        <v>6675</v>
      </c>
      <c r="M632" s="102"/>
      <c r="N632" s="102"/>
      <c r="O632" s="102"/>
      <c r="P632" s="102"/>
      <c r="Q632" s="102"/>
      <c r="R632" s="102"/>
      <c r="S632" s="102" t="s">
        <v>606</v>
      </c>
      <c r="T632" s="102" t="s">
        <v>9</v>
      </c>
    </row>
    <row r="633" spans="1:20">
      <c r="A633" s="101" t="s">
        <v>3465</v>
      </c>
      <c r="B633" s="101" t="s">
        <v>8730</v>
      </c>
      <c r="C633" s="101">
        <v>2040</v>
      </c>
      <c r="D633" s="102" t="s">
        <v>6676</v>
      </c>
      <c r="E633" s="102" t="s">
        <v>208</v>
      </c>
      <c r="F633" s="102"/>
      <c r="G633" s="102" t="s">
        <v>3086</v>
      </c>
      <c r="H633" s="102" t="s">
        <v>3089</v>
      </c>
      <c r="I633" s="102"/>
      <c r="J633" s="102"/>
      <c r="K633" s="102" t="s">
        <v>6677</v>
      </c>
      <c r="L633" s="102" t="s">
        <v>6678</v>
      </c>
      <c r="M633" s="102"/>
      <c r="N633" s="102"/>
      <c r="O633" s="102"/>
      <c r="P633" s="102" t="s">
        <v>4798</v>
      </c>
      <c r="Q633" s="102"/>
      <c r="R633" s="102"/>
      <c r="S633" s="102" t="s">
        <v>40</v>
      </c>
      <c r="T633" s="102" t="s">
        <v>9</v>
      </c>
    </row>
    <row r="634" spans="1:20">
      <c r="A634" s="101" t="s">
        <v>3465</v>
      </c>
      <c r="B634" s="101" t="s">
        <v>8730</v>
      </c>
      <c r="C634" s="101">
        <v>2042</v>
      </c>
      <c r="D634" s="102" t="s">
        <v>6679</v>
      </c>
      <c r="E634" s="102" t="s">
        <v>204</v>
      </c>
      <c r="F634" s="102"/>
      <c r="G634" s="102" t="s">
        <v>3434</v>
      </c>
      <c r="H634" s="102"/>
      <c r="I634" s="102"/>
      <c r="J634" s="102"/>
      <c r="K634" s="102" t="s">
        <v>6680</v>
      </c>
      <c r="L634" s="102"/>
      <c r="M634" s="102"/>
      <c r="N634" s="102"/>
      <c r="O634" s="102"/>
      <c r="P634" s="102"/>
      <c r="Q634" s="102"/>
      <c r="R634" s="102"/>
      <c r="S634" s="102" t="s">
        <v>604</v>
      </c>
      <c r="T634" s="102" t="s">
        <v>9</v>
      </c>
    </row>
    <row r="635" spans="1:20">
      <c r="A635" s="101" t="s">
        <v>3465</v>
      </c>
      <c r="B635" s="101" t="s">
        <v>8730</v>
      </c>
      <c r="C635" s="101">
        <v>2043</v>
      </c>
      <c r="D635" s="102" t="s">
        <v>6681</v>
      </c>
      <c r="E635" s="102" t="s">
        <v>204</v>
      </c>
      <c r="F635" s="102"/>
      <c r="G635" s="102" t="s">
        <v>3434</v>
      </c>
      <c r="H635" s="102"/>
      <c r="I635" s="102"/>
      <c r="J635" s="102"/>
      <c r="K635" s="102" t="s">
        <v>6682</v>
      </c>
      <c r="L635" s="102" t="s">
        <v>6683</v>
      </c>
      <c r="M635" s="102"/>
      <c r="N635" s="102"/>
      <c r="O635" s="102"/>
      <c r="P635" s="102"/>
      <c r="Q635" s="102"/>
      <c r="R635" s="102"/>
      <c r="S635" s="102" t="s">
        <v>169</v>
      </c>
      <c r="T635" s="102" t="s">
        <v>9</v>
      </c>
    </row>
    <row r="636" spans="1:20">
      <c r="A636" s="101" t="s">
        <v>3465</v>
      </c>
      <c r="B636" s="101" t="s">
        <v>8730</v>
      </c>
      <c r="C636" s="101">
        <v>2044</v>
      </c>
      <c r="D636" s="102" t="s">
        <v>6684</v>
      </c>
      <c r="E636" s="102" t="s">
        <v>208</v>
      </c>
      <c r="F636" s="102"/>
      <c r="G636" s="102" t="s">
        <v>6685</v>
      </c>
      <c r="H636" s="102"/>
      <c r="I636" s="102"/>
      <c r="J636" s="102"/>
      <c r="K636" s="102" t="s">
        <v>6686</v>
      </c>
      <c r="L636" s="102" t="s">
        <v>6687</v>
      </c>
      <c r="M636" s="102"/>
      <c r="N636" s="102"/>
      <c r="O636" s="102"/>
      <c r="P636" s="102"/>
      <c r="Q636" s="102"/>
      <c r="R636" s="102"/>
      <c r="S636" s="102" t="s">
        <v>14</v>
      </c>
      <c r="T636" s="102" t="s">
        <v>9</v>
      </c>
    </row>
    <row r="637" spans="1:20">
      <c r="A637" s="101" t="s">
        <v>3465</v>
      </c>
      <c r="B637" s="101" t="s">
        <v>8730</v>
      </c>
      <c r="C637" s="101">
        <v>2045</v>
      </c>
      <c r="D637" s="102" t="s">
        <v>6688</v>
      </c>
      <c r="E637" s="102" t="s">
        <v>6689</v>
      </c>
      <c r="F637" s="102"/>
      <c r="G637" s="102" t="s">
        <v>3434</v>
      </c>
      <c r="H637" s="102"/>
      <c r="I637" s="102"/>
      <c r="J637" s="102"/>
      <c r="K637" s="102" t="s">
        <v>6690</v>
      </c>
      <c r="L637" s="102"/>
      <c r="M637" s="102"/>
      <c r="N637" s="102"/>
      <c r="O637" s="102"/>
      <c r="P637" s="102"/>
      <c r="Q637" s="102"/>
      <c r="R637" s="102"/>
      <c r="S637" s="102" t="s">
        <v>31</v>
      </c>
      <c r="T637" s="102" t="s">
        <v>9</v>
      </c>
    </row>
    <row r="638" spans="1:20">
      <c r="A638" s="101" t="s">
        <v>3465</v>
      </c>
      <c r="B638" s="101" t="s">
        <v>8730</v>
      </c>
      <c r="C638" s="101">
        <v>2046</v>
      </c>
      <c r="D638" s="102" t="s">
        <v>6691</v>
      </c>
      <c r="E638" s="102" t="s">
        <v>204</v>
      </c>
      <c r="F638" s="102"/>
      <c r="G638" s="102" t="s">
        <v>3434</v>
      </c>
      <c r="H638" s="102" t="s">
        <v>3402</v>
      </c>
      <c r="I638" s="102"/>
      <c r="J638" s="102"/>
      <c r="K638" s="102" t="s">
        <v>3401</v>
      </c>
      <c r="L638" s="102" t="s">
        <v>6692</v>
      </c>
      <c r="M638" s="102"/>
      <c r="N638" s="102"/>
      <c r="O638" s="102"/>
      <c r="P638" s="102"/>
      <c r="Q638" s="102"/>
      <c r="R638" s="102"/>
      <c r="S638" s="102" t="s">
        <v>14</v>
      </c>
      <c r="T638" s="102" t="s">
        <v>9</v>
      </c>
    </row>
    <row r="639" spans="1:20">
      <c r="A639" s="101" t="s">
        <v>3465</v>
      </c>
      <c r="B639" s="101" t="s">
        <v>8730</v>
      </c>
      <c r="C639" s="101">
        <v>2047</v>
      </c>
      <c r="D639" s="102" t="s">
        <v>6693</v>
      </c>
      <c r="E639" s="102" t="s">
        <v>208</v>
      </c>
      <c r="F639" s="102"/>
      <c r="G639" s="102" t="s">
        <v>3434</v>
      </c>
      <c r="H639" s="102"/>
      <c r="I639" s="102"/>
      <c r="J639" s="102"/>
      <c r="K639" s="102" t="s">
        <v>6694</v>
      </c>
      <c r="L639" s="102"/>
      <c r="M639" s="102"/>
      <c r="N639" s="102"/>
      <c r="O639" s="102"/>
      <c r="P639" s="102"/>
      <c r="Q639" s="102"/>
      <c r="R639" s="102"/>
      <c r="S639" s="102" t="s">
        <v>50</v>
      </c>
      <c r="T639" s="102" t="s">
        <v>9</v>
      </c>
    </row>
    <row r="640" spans="1:20">
      <c r="A640" s="101" t="s">
        <v>3465</v>
      </c>
      <c r="B640" s="101" t="s">
        <v>8730</v>
      </c>
      <c r="C640" s="101">
        <v>2048</v>
      </c>
      <c r="D640" s="102" t="s">
        <v>6695</v>
      </c>
      <c r="E640" s="102" t="s">
        <v>208</v>
      </c>
      <c r="F640" s="102"/>
      <c r="G640" s="102" t="s">
        <v>3434</v>
      </c>
      <c r="H640" s="102"/>
      <c r="I640" s="102"/>
      <c r="J640" s="102"/>
      <c r="K640" s="102" t="s">
        <v>6696</v>
      </c>
      <c r="L640" s="102"/>
      <c r="M640" s="102"/>
      <c r="N640" s="102"/>
      <c r="O640" s="102"/>
      <c r="P640" s="102"/>
      <c r="Q640" s="102"/>
      <c r="R640" s="102"/>
      <c r="S640" s="102" t="s">
        <v>46</v>
      </c>
      <c r="T640" s="102" t="s">
        <v>9</v>
      </c>
    </row>
    <row r="641" spans="1:20">
      <c r="A641" s="101" t="s">
        <v>3465</v>
      </c>
      <c r="B641" s="101" t="s">
        <v>8730</v>
      </c>
      <c r="C641" s="101">
        <v>2050</v>
      </c>
      <c r="D641" s="102" t="s">
        <v>5583</v>
      </c>
      <c r="E641" s="102" t="s">
        <v>204</v>
      </c>
      <c r="F641" s="102"/>
      <c r="G641" s="102" t="s">
        <v>3434</v>
      </c>
      <c r="H641" s="102"/>
      <c r="I641" s="102"/>
      <c r="J641" s="102"/>
      <c r="K641" s="102" t="s">
        <v>5584</v>
      </c>
      <c r="L641" s="102"/>
      <c r="M641" s="102"/>
      <c r="N641" s="102"/>
      <c r="O641" s="102"/>
      <c r="P641" s="102"/>
      <c r="Q641" s="102"/>
      <c r="R641" s="102"/>
      <c r="S641" s="102" t="s">
        <v>168</v>
      </c>
      <c r="T641" s="102" t="s">
        <v>9</v>
      </c>
    </row>
    <row r="642" spans="1:20">
      <c r="A642" s="101" t="s">
        <v>3465</v>
      </c>
      <c r="B642" s="101" t="s">
        <v>8730</v>
      </c>
      <c r="C642" s="101">
        <v>2051</v>
      </c>
      <c r="D642" s="102" t="s">
        <v>6697</v>
      </c>
      <c r="E642" s="102" t="s">
        <v>204</v>
      </c>
      <c r="F642" s="102"/>
      <c r="G642" s="102" t="s">
        <v>5675</v>
      </c>
      <c r="H642" s="102"/>
      <c r="I642" s="102"/>
      <c r="J642" s="102"/>
      <c r="K642" s="102" t="s">
        <v>6698</v>
      </c>
      <c r="L642" s="102" t="s">
        <v>6699</v>
      </c>
      <c r="M642" s="102" t="s">
        <v>6700</v>
      </c>
      <c r="N642" s="102"/>
      <c r="O642" s="102"/>
      <c r="P642" s="102"/>
      <c r="Q642" s="102"/>
      <c r="R642" s="102"/>
      <c r="S642" s="102" t="s">
        <v>49</v>
      </c>
      <c r="T642" s="102" t="s">
        <v>9</v>
      </c>
    </row>
    <row r="643" spans="1:20">
      <c r="A643" s="101" t="s">
        <v>3465</v>
      </c>
      <c r="B643" s="101" t="s">
        <v>8730</v>
      </c>
      <c r="C643" s="101">
        <v>2052</v>
      </c>
      <c r="D643" s="102" t="s">
        <v>6701</v>
      </c>
      <c r="E643" s="102" t="s">
        <v>208</v>
      </c>
      <c r="F643" s="102"/>
      <c r="G643" s="102" t="s">
        <v>3434</v>
      </c>
      <c r="H643" s="102"/>
      <c r="I643" s="102"/>
      <c r="J643" s="102"/>
      <c r="K643" s="102" t="s">
        <v>6702</v>
      </c>
      <c r="L643" s="102" t="s">
        <v>6703</v>
      </c>
      <c r="M643" s="102"/>
      <c r="N643" s="102"/>
      <c r="O643" s="102"/>
      <c r="P643" s="102"/>
      <c r="Q643" s="102"/>
      <c r="R643" s="102"/>
      <c r="S643" s="102" t="s">
        <v>45</v>
      </c>
      <c r="T643" s="102" t="s">
        <v>9</v>
      </c>
    </row>
    <row r="644" spans="1:20">
      <c r="A644" s="101" t="s">
        <v>3465</v>
      </c>
      <c r="B644" s="101" t="s">
        <v>8730</v>
      </c>
      <c r="C644" s="101">
        <v>2053</v>
      </c>
      <c r="D644" s="102" t="s">
        <v>6704</v>
      </c>
      <c r="E644" s="102" t="s">
        <v>204</v>
      </c>
      <c r="F644" s="102"/>
      <c r="G644" s="102" t="s">
        <v>3434</v>
      </c>
      <c r="H644" s="102"/>
      <c r="I644" s="102"/>
      <c r="J644" s="102"/>
      <c r="K644" s="102" t="s">
        <v>6705</v>
      </c>
      <c r="L644" s="102" t="s">
        <v>6706</v>
      </c>
      <c r="M644" s="102"/>
      <c r="N644" s="102"/>
      <c r="O644" s="102"/>
      <c r="P644" s="102"/>
      <c r="Q644" s="102"/>
      <c r="R644" s="102"/>
      <c r="S644" s="102" t="s">
        <v>29</v>
      </c>
      <c r="T644" s="102" t="s">
        <v>9</v>
      </c>
    </row>
    <row r="645" spans="1:20">
      <c r="A645" s="101" t="s">
        <v>3465</v>
      </c>
      <c r="B645" s="101" t="s">
        <v>8730</v>
      </c>
      <c r="C645" s="101">
        <v>2054</v>
      </c>
      <c r="D645" s="102" t="s">
        <v>6707</v>
      </c>
      <c r="E645" s="102" t="s">
        <v>208</v>
      </c>
      <c r="F645" s="102"/>
      <c r="G645" s="102" t="s">
        <v>3434</v>
      </c>
      <c r="H645" s="102"/>
      <c r="I645" s="102"/>
      <c r="J645" s="102"/>
      <c r="K645" s="102" t="s">
        <v>6686</v>
      </c>
      <c r="L645" s="102"/>
      <c r="M645" s="102"/>
      <c r="N645" s="102"/>
      <c r="O645" s="102"/>
      <c r="P645" s="102"/>
      <c r="Q645" s="102"/>
      <c r="R645" s="102"/>
      <c r="S645" s="102" t="s">
        <v>169</v>
      </c>
      <c r="T645" s="102" t="s">
        <v>9</v>
      </c>
    </row>
    <row r="646" spans="1:20">
      <c r="A646" s="101" t="s">
        <v>3465</v>
      </c>
      <c r="B646" s="101" t="s">
        <v>8730</v>
      </c>
      <c r="C646" s="101">
        <v>2055</v>
      </c>
      <c r="D646" s="102" t="s">
        <v>6708</v>
      </c>
      <c r="E646" s="102" t="s">
        <v>204</v>
      </c>
      <c r="F646" s="102"/>
      <c r="G646" s="102" t="s">
        <v>3087</v>
      </c>
      <c r="H646" s="102" t="s">
        <v>13392</v>
      </c>
      <c r="I646" s="102"/>
      <c r="J646" s="102"/>
      <c r="K646" s="102" t="s">
        <v>6709</v>
      </c>
      <c r="L646" s="102"/>
      <c r="M646" s="102"/>
      <c r="N646" s="102"/>
      <c r="O646" s="102"/>
      <c r="P646" s="102" t="s">
        <v>154</v>
      </c>
      <c r="Q646" s="102"/>
      <c r="R646" s="102"/>
      <c r="S646" s="102"/>
      <c r="T646" s="102" t="s">
        <v>9</v>
      </c>
    </row>
    <row r="647" spans="1:20">
      <c r="A647" s="101" t="s">
        <v>3465</v>
      </c>
      <c r="B647" s="101" t="s">
        <v>8730</v>
      </c>
      <c r="C647" s="101">
        <v>2056</v>
      </c>
      <c r="D647" s="102" t="s">
        <v>6710</v>
      </c>
      <c r="E647" s="102" t="s">
        <v>204</v>
      </c>
      <c r="F647" s="102"/>
      <c r="G647" s="102" t="s">
        <v>1526</v>
      </c>
      <c r="H647" s="102"/>
      <c r="I647" s="102"/>
      <c r="J647" s="102"/>
      <c r="K647" s="102" t="s">
        <v>6711</v>
      </c>
      <c r="L647" s="102"/>
      <c r="M647" s="102"/>
      <c r="N647" s="102"/>
      <c r="O647" s="102"/>
      <c r="P647" s="102"/>
      <c r="Q647" s="102"/>
      <c r="R647" s="102"/>
      <c r="S647" s="102" t="s">
        <v>179</v>
      </c>
      <c r="T647" s="102" t="s">
        <v>9</v>
      </c>
    </row>
    <row r="648" spans="1:20">
      <c r="A648" s="101" t="s">
        <v>3465</v>
      </c>
      <c r="B648" s="101" t="s">
        <v>8730</v>
      </c>
      <c r="C648" s="101">
        <v>2057</v>
      </c>
      <c r="D648" s="102" t="s">
        <v>6712</v>
      </c>
      <c r="E648" s="102" t="s">
        <v>204</v>
      </c>
      <c r="F648" s="102"/>
      <c r="G648" s="102" t="s">
        <v>1526</v>
      </c>
      <c r="H648" s="102"/>
      <c r="I648" s="102"/>
      <c r="J648" s="102"/>
      <c r="K648" s="102" t="s">
        <v>6713</v>
      </c>
      <c r="L648" s="102" t="s">
        <v>6714</v>
      </c>
      <c r="M648" s="102"/>
      <c r="N648" s="102"/>
      <c r="O648" s="102"/>
      <c r="P648" s="102"/>
      <c r="Q648" s="102"/>
      <c r="R648" s="102"/>
      <c r="S648" s="102" t="s">
        <v>37</v>
      </c>
      <c r="T648" s="102" t="s">
        <v>9</v>
      </c>
    </row>
    <row r="649" spans="1:20">
      <c r="A649" s="101" t="s">
        <v>3465</v>
      </c>
      <c r="B649" s="101" t="s">
        <v>8730</v>
      </c>
      <c r="C649" s="101">
        <v>2059</v>
      </c>
      <c r="D649" s="102" t="s">
        <v>6715</v>
      </c>
      <c r="E649" s="102" t="s">
        <v>209</v>
      </c>
      <c r="F649" s="102"/>
      <c r="G649" s="102" t="s">
        <v>3434</v>
      </c>
      <c r="H649" s="102"/>
      <c r="I649" s="102"/>
      <c r="J649" s="102"/>
      <c r="K649" s="102" t="s">
        <v>6716</v>
      </c>
      <c r="L649" s="102"/>
      <c r="M649" s="102"/>
      <c r="N649" s="102"/>
      <c r="O649" s="102"/>
      <c r="P649" s="102"/>
      <c r="Q649" s="102"/>
      <c r="R649" s="102"/>
      <c r="S649" s="102" t="s">
        <v>179</v>
      </c>
      <c r="T649" s="102" t="s">
        <v>9</v>
      </c>
    </row>
    <row r="650" spans="1:20">
      <c r="A650" s="101" t="s">
        <v>3465</v>
      </c>
      <c r="B650" s="101" t="s">
        <v>8730</v>
      </c>
      <c r="C650" s="101">
        <v>2060</v>
      </c>
      <c r="D650" s="102" t="s">
        <v>6717</v>
      </c>
      <c r="E650" s="102" t="s">
        <v>209</v>
      </c>
      <c r="F650" s="102"/>
      <c r="G650" s="102" t="s">
        <v>3434</v>
      </c>
      <c r="H650" s="102"/>
      <c r="I650" s="102"/>
      <c r="J650" s="102"/>
      <c r="K650" s="102" t="s">
        <v>6718</v>
      </c>
      <c r="L650" s="102" t="s">
        <v>6719</v>
      </c>
      <c r="M650" s="102"/>
      <c r="N650" s="102"/>
      <c r="O650" s="102"/>
      <c r="P650" s="102"/>
      <c r="Q650" s="102"/>
      <c r="R650" s="102"/>
      <c r="S650" s="102" t="s">
        <v>11</v>
      </c>
      <c r="T650" s="102" t="s">
        <v>9</v>
      </c>
    </row>
    <row r="651" spans="1:20">
      <c r="A651" s="101" t="s">
        <v>3465</v>
      </c>
      <c r="B651" s="101" t="s">
        <v>8730</v>
      </c>
      <c r="C651" s="101">
        <v>2061</v>
      </c>
      <c r="D651" s="102" t="s">
        <v>6720</v>
      </c>
      <c r="E651" s="102" t="s">
        <v>209</v>
      </c>
      <c r="F651" s="102"/>
      <c r="G651" s="102" t="s">
        <v>3434</v>
      </c>
      <c r="H651" s="102"/>
      <c r="I651" s="102"/>
      <c r="J651" s="102"/>
      <c r="K651" s="102" t="s">
        <v>6721</v>
      </c>
      <c r="L651" s="102"/>
      <c r="M651" s="102"/>
      <c r="N651" s="102"/>
      <c r="O651" s="102"/>
      <c r="P651" s="102"/>
      <c r="Q651" s="102"/>
      <c r="R651" s="102"/>
      <c r="S651" s="102" t="s">
        <v>5381</v>
      </c>
      <c r="T651" s="102" t="s">
        <v>9</v>
      </c>
    </row>
    <row r="652" spans="1:20">
      <c r="A652" s="101" t="s">
        <v>3465</v>
      </c>
      <c r="B652" s="101" t="s">
        <v>8730</v>
      </c>
      <c r="C652" s="101">
        <v>2062</v>
      </c>
      <c r="D652" s="102" t="s">
        <v>6722</v>
      </c>
      <c r="E652" s="102" t="s">
        <v>185</v>
      </c>
      <c r="F652" s="102"/>
      <c r="G652" s="102" t="s">
        <v>3434</v>
      </c>
      <c r="H652" s="102" t="s">
        <v>3402</v>
      </c>
      <c r="I652" s="102"/>
      <c r="J652" s="102"/>
      <c r="K652" s="102" t="s">
        <v>6575</v>
      </c>
      <c r="L652" s="102" t="s">
        <v>6723</v>
      </c>
      <c r="M652" s="102"/>
      <c r="N652" s="102"/>
      <c r="O652" s="102"/>
      <c r="P652" s="102"/>
      <c r="Q652" s="102"/>
      <c r="R652" s="102"/>
      <c r="S652" s="102" t="s">
        <v>180</v>
      </c>
      <c r="T652" s="102" t="s">
        <v>9</v>
      </c>
    </row>
    <row r="653" spans="1:20">
      <c r="A653" s="101" t="s">
        <v>3465</v>
      </c>
      <c r="B653" s="101" t="s">
        <v>8730</v>
      </c>
      <c r="C653" s="101">
        <v>2063</v>
      </c>
      <c r="D653" s="102" t="s">
        <v>6724</v>
      </c>
      <c r="E653" s="102" t="s">
        <v>209</v>
      </c>
      <c r="F653" s="102"/>
      <c r="G653" s="102" t="s">
        <v>3434</v>
      </c>
      <c r="H653" s="102"/>
      <c r="I653" s="102"/>
      <c r="J653" s="102"/>
      <c r="K653" s="102" t="s">
        <v>6725</v>
      </c>
      <c r="L653" s="102"/>
      <c r="M653" s="102"/>
      <c r="N653" s="102"/>
      <c r="O653" s="102"/>
      <c r="P653" s="102"/>
      <c r="Q653" s="102"/>
      <c r="R653" s="102"/>
      <c r="S653" s="102" t="s">
        <v>170</v>
      </c>
      <c r="T653" s="102" t="s">
        <v>9</v>
      </c>
    </row>
    <row r="654" spans="1:20">
      <c r="A654" s="101" t="s">
        <v>3465</v>
      </c>
      <c r="B654" s="101" t="s">
        <v>8730</v>
      </c>
      <c r="C654" s="101">
        <v>2064</v>
      </c>
      <c r="D654" s="102" t="s">
        <v>6726</v>
      </c>
      <c r="E654" s="102" t="s">
        <v>185</v>
      </c>
      <c r="F654" s="102"/>
      <c r="G654" s="102" t="s">
        <v>3434</v>
      </c>
      <c r="H654" s="102"/>
      <c r="I654" s="102"/>
      <c r="J654" s="102"/>
      <c r="K654" s="102" t="s">
        <v>6727</v>
      </c>
      <c r="L654" s="102" t="s">
        <v>6728</v>
      </c>
      <c r="M654" s="102"/>
      <c r="N654" s="102"/>
      <c r="O654" s="102"/>
      <c r="P654" s="102"/>
      <c r="Q654" s="102"/>
      <c r="R654" s="102"/>
      <c r="S654" s="102" t="s">
        <v>5381</v>
      </c>
      <c r="T654" s="102" t="s">
        <v>9</v>
      </c>
    </row>
    <row r="655" spans="1:20">
      <c r="A655" s="101" t="s">
        <v>3465</v>
      </c>
      <c r="B655" s="101" t="s">
        <v>8730</v>
      </c>
      <c r="C655" s="101">
        <v>2065</v>
      </c>
      <c r="D655" s="102" t="s">
        <v>6729</v>
      </c>
      <c r="E655" s="102" t="s">
        <v>185</v>
      </c>
      <c r="F655" s="102"/>
      <c r="G655" s="102" t="s">
        <v>3434</v>
      </c>
      <c r="H655" s="102" t="s">
        <v>3402</v>
      </c>
      <c r="I655" s="102"/>
      <c r="J655" s="102"/>
      <c r="K655" s="102" t="s">
        <v>6730</v>
      </c>
      <c r="L655" s="102" t="s">
        <v>6731</v>
      </c>
      <c r="M655" s="102" t="s">
        <v>6732</v>
      </c>
      <c r="N655" s="102"/>
      <c r="O655" s="102"/>
      <c r="P655" s="102"/>
      <c r="Q655" s="102"/>
      <c r="R655" s="102"/>
      <c r="S655" s="102" t="s">
        <v>26</v>
      </c>
      <c r="T655" s="102" t="s">
        <v>9</v>
      </c>
    </row>
    <row r="656" spans="1:20">
      <c r="A656" s="101" t="s">
        <v>3465</v>
      </c>
      <c r="B656" s="101" t="s">
        <v>8730</v>
      </c>
      <c r="C656" s="101">
        <v>2066</v>
      </c>
      <c r="D656" s="102" t="s">
        <v>6733</v>
      </c>
      <c r="E656" s="102" t="s">
        <v>209</v>
      </c>
      <c r="F656" s="102"/>
      <c r="G656" s="102" t="s">
        <v>3434</v>
      </c>
      <c r="H656" s="102"/>
      <c r="I656" s="102"/>
      <c r="J656" s="102"/>
      <c r="K656" s="102" t="s">
        <v>6734</v>
      </c>
      <c r="L656" s="102"/>
      <c r="M656" s="102"/>
      <c r="N656" s="102"/>
      <c r="O656" s="102"/>
      <c r="P656" s="102"/>
      <c r="Q656" s="102"/>
      <c r="R656" s="102"/>
      <c r="S656" s="102" t="s">
        <v>44</v>
      </c>
      <c r="T656" s="102" t="s">
        <v>9</v>
      </c>
    </row>
    <row r="657" spans="1:20">
      <c r="A657" s="101" t="s">
        <v>3465</v>
      </c>
      <c r="B657" s="101" t="s">
        <v>8730</v>
      </c>
      <c r="C657" s="101">
        <v>2067</v>
      </c>
      <c r="D657" s="102" t="s">
        <v>6735</v>
      </c>
      <c r="E657" s="102" t="s">
        <v>209</v>
      </c>
      <c r="F657" s="102"/>
      <c r="G657" s="102" t="s">
        <v>3434</v>
      </c>
      <c r="H657" s="102"/>
      <c r="I657" s="102"/>
      <c r="J657" s="102"/>
      <c r="K657" s="102" t="s">
        <v>6736</v>
      </c>
      <c r="L657" s="102" t="s">
        <v>6737</v>
      </c>
      <c r="M657" s="102" t="s">
        <v>6738</v>
      </c>
      <c r="N657" s="102"/>
      <c r="O657" s="102"/>
      <c r="P657" s="102"/>
      <c r="Q657" s="102"/>
      <c r="R657" s="102"/>
      <c r="S657" s="102" t="s">
        <v>17</v>
      </c>
      <c r="T657" s="102" t="s">
        <v>9</v>
      </c>
    </row>
    <row r="658" spans="1:20">
      <c r="A658" s="101" t="s">
        <v>3465</v>
      </c>
      <c r="B658" s="101" t="s">
        <v>8730</v>
      </c>
      <c r="C658" s="101">
        <v>2068</v>
      </c>
      <c r="D658" s="102" t="s">
        <v>6739</v>
      </c>
      <c r="E658" s="102" t="s">
        <v>185</v>
      </c>
      <c r="F658" s="102"/>
      <c r="G658" s="102" t="s">
        <v>1526</v>
      </c>
      <c r="H658" s="102"/>
      <c r="I658" s="102"/>
      <c r="J658" s="102"/>
      <c r="K658" s="102" t="s">
        <v>6740</v>
      </c>
      <c r="L658" s="102"/>
      <c r="M658" s="102"/>
      <c r="N658" s="102"/>
      <c r="O658" s="102"/>
      <c r="P658" s="102"/>
      <c r="Q658" s="102"/>
      <c r="R658" s="102"/>
      <c r="S658" s="102" t="s">
        <v>183</v>
      </c>
      <c r="T658" s="102" t="s">
        <v>9</v>
      </c>
    </row>
    <row r="659" spans="1:20">
      <c r="A659" s="103" t="s">
        <v>3465</v>
      </c>
      <c r="B659" s="103" t="s">
        <v>8730</v>
      </c>
      <c r="C659" s="103">
        <v>2069</v>
      </c>
      <c r="D659" s="104" t="s">
        <v>6741</v>
      </c>
      <c r="E659" s="104" t="s">
        <v>209</v>
      </c>
      <c r="F659" s="104"/>
      <c r="G659" s="104" t="s">
        <v>3434</v>
      </c>
      <c r="H659" s="104"/>
      <c r="I659" s="104"/>
      <c r="J659" s="104"/>
      <c r="K659" s="104" t="s">
        <v>6742</v>
      </c>
      <c r="L659" s="104" t="s">
        <v>6743</v>
      </c>
      <c r="M659" s="104"/>
      <c r="N659" s="104"/>
      <c r="O659" s="104"/>
      <c r="P659" s="104"/>
      <c r="Q659" s="104"/>
      <c r="R659" s="102"/>
      <c r="S659" s="102" t="s">
        <v>5685</v>
      </c>
      <c r="T659" s="102" t="s">
        <v>9</v>
      </c>
    </row>
    <row r="660" spans="1:20">
      <c r="A660" s="101" t="s">
        <v>3465</v>
      </c>
      <c r="B660" s="101" t="s">
        <v>8730</v>
      </c>
      <c r="C660" s="101">
        <v>2070</v>
      </c>
      <c r="D660" s="102" t="s">
        <v>6744</v>
      </c>
      <c r="E660" s="102" t="s">
        <v>185</v>
      </c>
      <c r="F660" s="102"/>
      <c r="G660" s="102" t="s">
        <v>3434</v>
      </c>
      <c r="H660" s="102"/>
      <c r="I660" s="102"/>
      <c r="J660" s="102"/>
      <c r="K660" s="102" t="s">
        <v>6745</v>
      </c>
      <c r="L660" s="102"/>
      <c r="M660" s="102"/>
      <c r="N660" s="102"/>
      <c r="O660" s="102"/>
      <c r="P660" s="102"/>
      <c r="Q660" s="102"/>
      <c r="R660" s="102"/>
      <c r="S660" s="102" t="s">
        <v>17</v>
      </c>
      <c r="T660" s="102" t="s">
        <v>9</v>
      </c>
    </row>
    <row r="661" spans="1:20">
      <c r="A661" s="101" t="s">
        <v>3465</v>
      </c>
      <c r="B661" s="101" t="s">
        <v>8730</v>
      </c>
      <c r="C661" s="101">
        <v>2071</v>
      </c>
      <c r="D661" s="102" t="s">
        <v>6746</v>
      </c>
      <c r="E661" s="102" t="s">
        <v>185</v>
      </c>
      <c r="F661" s="102"/>
      <c r="G661" s="102" t="s">
        <v>3434</v>
      </c>
      <c r="H661" s="102"/>
      <c r="I661" s="102"/>
      <c r="J661" s="102"/>
      <c r="K661" s="102" t="s">
        <v>6747</v>
      </c>
      <c r="L661" s="102"/>
      <c r="M661" s="102"/>
      <c r="N661" s="102"/>
      <c r="O661" s="102"/>
      <c r="P661" s="102"/>
      <c r="Q661" s="102"/>
      <c r="R661" s="102"/>
      <c r="S661" s="102" t="s">
        <v>175</v>
      </c>
      <c r="T661" s="102" t="s">
        <v>9</v>
      </c>
    </row>
    <row r="662" spans="1:20">
      <c r="A662" s="101" t="s">
        <v>3465</v>
      </c>
      <c r="B662" s="101" t="s">
        <v>8730</v>
      </c>
      <c r="C662" s="101">
        <v>2072</v>
      </c>
      <c r="D662" s="102" t="s">
        <v>6748</v>
      </c>
      <c r="E662" s="102" t="s">
        <v>209</v>
      </c>
      <c r="F662" s="102"/>
      <c r="G662" s="102" t="s">
        <v>3434</v>
      </c>
      <c r="H662" s="102"/>
      <c r="I662" s="102"/>
      <c r="J662" s="102"/>
      <c r="K662" s="102" t="s">
        <v>6749</v>
      </c>
      <c r="L662" s="102" t="s">
        <v>6686</v>
      </c>
      <c r="M662" s="102" t="s">
        <v>6750</v>
      </c>
      <c r="N662" s="102"/>
      <c r="O662" s="102"/>
      <c r="P662" s="102"/>
      <c r="Q662" s="102"/>
      <c r="R662" s="102"/>
      <c r="S662" s="102" t="s">
        <v>604</v>
      </c>
      <c r="T662" s="102" t="s">
        <v>9</v>
      </c>
    </row>
    <row r="663" spans="1:20">
      <c r="A663" s="101" t="s">
        <v>3465</v>
      </c>
      <c r="B663" s="101" t="s">
        <v>8730</v>
      </c>
      <c r="C663" s="101">
        <v>2073</v>
      </c>
      <c r="D663" s="102" t="s">
        <v>6751</v>
      </c>
      <c r="E663" s="102" t="s">
        <v>209</v>
      </c>
      <c r="F663" s="102"/>
      <c r="G663" s="102" t="s">
        <v>3434</v>
      </c>
      <c r="H663" s="102"/>
      <c r="I663" s="102"/>
      <c r="J663" s="102"/>
      <c r="K663" s="102" t="s">
        <v>6752</v>
      </c>
      <c r="L663" s="102"/>
      <c r="M663" s="102"/>
      <c r="N663" s="102"/>
      <c r="O663" s="102"/>
      <c r="P663" s="102"/>
      <c r="Q663" s="102"/>
      <c r="R663" s="102"/>
      <c r="S663" s="102" t="s">
        <v>171</v>
      </c>
      <c r="T663" s="102" t="s">
        <v>9</v>
      </c>
    </row>
    <row r="664" spans="1:20">
      <c r="A664" s="101" t="s">
        <v>3465</v>
      </c>
      <c r="B664" s="101" t="s">
        <v>8730</v>
      </c>
      <c r="C664" s="101">
        <v>2074</v>
      </c>
      <c r="D664" s="102" t="s">
        <v>6753</v>
      </c>
      <c r="E664" s="102" t="s">
        <v>209</v>
      </c>
      <c r="F664" s="102"/>
      <c r="G664" s="102" t="s">
        <v>3434</v>
      </c>
      <c r="H664" s="102"/>
      <c r="I664" s="102"/>
      <c r="J664" s="102"/>
      <c r="K664" s="102" t="s">
        <v>6754</v>
      </c>
      <c r="L664" s="102"/>
      <c r="M664" s="102"/>
      <c r="N664" s="102"/>
      <c r="O664" s="102"/>
      <c r="P664" s="102"/>
      <c r="Q664" s="102"/>
      <c r="R664" s="102"/>
      <c r="S664" s="102" t="s">
        <v>8</v>
      </c>
      <c r="T664" s="102" t="s">
        <v>9</v>
      </c>
    </row>
    <row r="665" spans="1:20">
      <c r="A665" s="101" t="s">
        <v>3465</v>
      </c>
      <c r="B665" s="101" t="s">
        <v>8730</v>
      </c>
      <c r="C665" s="101">
        <v>2076</v>
      </c>
      <c r="D665" s="102" t="s">
        <v>6755</v>
      </c>
      <c r="E665" s="102" t="s">
        <v>209</v>
      </c>
      <c r="F665" s="102"/>
      <c r="G665" s="102" t="s">
        <v>3434</v>
      </c>
      <c r="H665" s="102"/>
      <c r="I665" s="102"/>
      <c r="J665" s="102"/>
      <c r="K665" s="102" t="s">
        <v>6756</v>
      </c>
      <c r="L665" s="102"/>
      <c r="M665" s="102"/>
      <c r="N665" s="102"/>
      <c r="O665" s="102"/>
      <c r="P665" s="102"/>
      <c r="Q665" s="102"/>
      <c r="R665" s="102"/>
      <c r="S665" s="102" t="s">
        <v>6</v>
      </c>
      <c r="T665" s="102" t="s">
        <v>9</v>
      </c>
    </row>
    <row r="666" spans="1:20">
      <c r="A666" s="101" t="s">
        <v>3465</v>
      </c>
      <c r="B666" s="101" t="s">
        <v>8730</v>
      </c>
      <c r="C666" s="101">
        <v>2077</v>
      </c>
      <c r="D666" s="102" t="s">
        <v>6757</v>
      </c>
      <c r="E666" s="102" t="s">
        <v>209</v>
      </c>
      <c r="F666" s="102"/>
      <c r="G666" s="102" t="s">
        <v>3434</v>
      </c>
      <c r="H666" s="102"/>
      <c r="I666" s="102"/>
      <c r="J666" s="102"/>
      <c r="K666" s="102" t="s">
        <v>6758</v>
      </c>
      <c r="L666" s="102" t="s">
        <v>6632</v>
      </c>
      <c r="M666" s="102"/>
      <c r="N666" s="102"/>
      <c r="O666" s="102"/>
      <c r="P666" s="102"/>
      <c r="Q666" s="102"/>
      <c r="R666" s="102"/>
      <c r="S666" s="102" t="s">
        <v>178</v>
      </c>
      <c r="T666" s="102" t="s">
        <v>9</v>
      </c>
    </row>
    <row r="667" spans="1:20">
      <c r="A667" s="101" t="s">
        <v>3465</v>
      </c>
      <c r="B667" s="101" t="s">
        <v>8730</v>
      </c>
      <c r="C667" s="101">
        <v>2078</v>
      </c>
      <c r="D667" s="102" t="s">
        <v>6759</v>
      </c>
      <c r="E667" s="102" t="s">
        <v>185</v>
      </c>
      <c r="F667" s="102"/>
      <c r="G667" s="102" t="s">
        <v>3434</v>
      </c>
      <c r="H667" s="102"/>
      <c r="I667" s="102"/>
      <c r="J667" s="102"/>
      <c r="K667" s="102" t="s">
        <v>6760</v>
      </c>
      <c r="L667" s="102"/>
      <c r="M667" s="102"/>
      <c r="N667" s="102"/>
      <c r="O667" s="102"/>
      <c r="P667" s="102"/>
      <c r="Q667" s="102"/>
      <c r="R667" s="102"/>
      <c r="S667" s="102" t="s">
        <v>10</v>
      </c>
      <c r="T667" s="102" t="s">
        <v>9</v>
      </c>
    </row>
    <row r="668" spans="1:20">
      <c r="A668" s="101" t="s">
        <v>3465</v>
      </c>
      <c r="B668" s="101" t="s">
        <v>8730</v>
      </c>
      <c r="C668" s="101">
        <v>2079</v>
      </c>
      <c r="D668" s="102" t="s">
        <v>6761</v>
      </c>
      <c r="E668" s="102" t="s">
        <v>185</v>
      </c>
      <c r="F668" s="102"/>
      <c r="G668" s="102" t="s">
        <v>3434</v>
      </c>
      <c r="H668" s="102"/>
      <c r="I668" s="102"/>
      <c r="J668" s="102"/>
      <c r="K668" s="102" t="s">
        <v>6762</v>
      </c>
      <c r="L668" s="102"/>
      <c r="M668" s="102"/>
      <c r="N668" s="102"/>
      <c r="O668" s="102"/>
      <c r="P668" s="102"/>
      <c r="Q668" s="102"/>
      <c r="R668" s="102"/>
      <c r="S668" s="102" t="s">
        <v>15</v>
      </c>
      <c r="T668" s="102" t="s">
        <v>9</v>
      </c>
    </row>
    <row r="669" spans="1:20">
      <c r="A669" s="101" t="s">
        <v>3465</v>
      </c>
      <c r="B669" s="101" t="s">
        <v>8730</v>
      </c>
      <c r="C669" s="101">
        <v>2081</v>
      </c>
      <c r="D669" s="102" t="s">
        <v>6763</v>
      </c>
      <c r="E669" s="102" t="s">
        <v>185</v>
      </c>
      <c r="F669" s="102"/>
      <c r="G669" s="102" t="s">
        <v>3434</v>
      </c>
      <c r="H669" s="102"/>
      <c r="I669" s="102"/>
      <c r="J669" s="102"/>
      <c r="K669" s="102" t="s">
        <v>6764</v>
      </c>
      <c r="L669" s="102"/>
      <c r="M669" s="102"/>
      <c r="N669" s="102"/>
      <c r="O669" s="102"/>
      <c r="P669" s="102"/>
      <c r="Q669" s="102"/>
      <c r="R669" s="102"/>
      <c r="S669" s="102" t="s">
        <v>171</v>
      </c>
      <c r="T669" s="102" t="s">
        <v>9</v>
      </c>
    </row>
    <row r="670" spans="1:20">
      <c r="A670" s="101" t="s">
        <v>3465</v>
      </c>
      <c r="B670" s="101" t="s">
        <v>8730</v>
      </c>
      <c r="C670" s="101">
        <v>2082</v>
      </c>
      <c r="D670" s="102" t="s">
        <v>6765</v>
      </c>
      <c r="E670" s="102" t="s">
        <v>209</v>
      </c>
      <c r="F670" s="102"/>
      <c r="G670" s="102" t="s">
        <v>3434</v>
      </c>
      <c r="H670" s="102"/>
      <c r="I670" s="102"/>
      <c r="J670" s="102"/>
      <c r="K670" s="102" t="s">
        <v>6766</v>
      </c>
      <c r="L670" s="102" t="s">
        <v>6767</v>
      </c>
      <c r="M670" s="102" t="s">
        <v>6768</v>
      </c>
      <c r="N670" s="102"/>
      <c r="O670" s="102"/>
      <c r="P670" s="102"/>
      <c r="Q670" s="102"/>
      <c r="R670" s="102"/>
      <c r="S670" s="102" t="s">
        <v>53</v>
      </c>
      <c r="T670" s="102" t="s">
        <v>9</v>
      </c>
    </row>
    <row r="671" spans="1:20">
      <c r="A671" s="101" t="s">
        <v>3465</v>
      </c>
      <c r="B671" s="101" t="s">
        <v>8730</v>
      </c>
      <c r="C671" s="101">
        <v>2083</v>
      </c>
      <c r="D671" s="102" t="s">
        <v>6769</v>
      </c>
      <c r="E671" s="102" t="s">
        <v>779</v>
      </c>
      <c r="F671" s="102"/>
      <c r="G671" s="102" t="s">
        <v>3434</v>
      </c>
      <c r="H671" s="102"/>
      <c r="I671" s="102"/>
      <c r="J671" s="102"/>
      <c r="K671" s="102" t="s">
        <v>6770</v>
      </c>
      <c r="L671" s="102"/>
      <c r="M671" s="102"/>
      <c r="N671" s="102"/>
      <c r="O671" s="102"/>
      <c r="P671" s="102"/>
      <c r="Q671" s="102"/>
      <c r="R671" s="102"/>
      <c r="S671" s="102" t="s">
        <v>170</v>
      </c>
      <c r="T671" s="102" t="s">
        <v>9</v>
      </c>
    </row>
    <row r="672" spans="1:20">
      <c r="A672" s="101" t="s">
        <v>3465</v>
      </c>
      <c r="B672" s="101" t="s">
        <v>8730</v>
      </c>
      <c r="C672" s="101">
        <v>2084</v>
      </c>
      <c r="D672" s="102" t="s">
        <v>6771</v>
      </c>
      <c r="E672" s="102" t="s">
        <v>210</v>
      </c>
      <c r="F672" s="102"/>
      <c r="G672" s="102" t="s">
        <v>3434</v>
      </c>
      <c r="H672" s="102"/>
      <c r="I672" s="102"/>
      <c r="J672" s="102"/>
      <c r="K672" s="102" t="s">
        <v>6772</v>
      </c>
      <c r="L672" s="102"/>
      <c r="M672" s="102"/>
      <c r="N672" s="102"/>
      <c r="O672" s="102"/>
      <c r="P672" s="102"/>
      <c r="Q672" s="102"/>
      <c r="R672" s="102"/>
      <c r="S672" s="102" t="s">
        <v>52</v>
      </c>
      <c r="T672" s="102" t="s">
        <v>9</v>
      </c>
    </row>
    <row r="673" spans="1:20">
      <c r="A673" s="101" t="s">
        <v>3465</v>
      </c>
      <c r="B673" s="101" t="s">
        <v>8730</v>
      </c>
      <c r="C673" s="101">
        <v>2085</v>
      </c>
      <c r="D673" s="102" t="s">
        <v>6773</v>
      </c>
      <c r="E673" s="102" t="s">
        <v>211</v>
      </c>
      <c r="F673" s="102"/>
      <c r="G673" s="102" t="s">
        <v>3434</v>
      </c>
      <c r="H673" s="102"/>
      <c r="I673" s="102"/>
      <c r="J673" s="102"/>
      <c r="K673" s="102" t="s">
        <v>6774</v>
      </c>
      <c r="L673" s="102" t="s">
        <v>6686</v>
      </c>
      <c r="M673" s="102"/>
      <c r="N673" s="102"/>
      <c r="O673" s="102"/>
      <c r="P673" s="102"/>
      <c r="Q673" s="102"/>
      <c r="R673" s="102"/>
      <c r="S673" s="102" t="s">
        <v>17</v>
      </c>
      <c r="T673" s="102" t="s">
        <v>9</v>
      </c>
    </row>
    <row r="674" spans="1:20">
      <c r="A674" s="101" t="s">
        <v>3465</v>
      </c>
      <c r="B674" s="101" t="s">
        <v>8730</v>
      </c>
      <c r="C674" s="101">
        <v>2087</v>
      </c>
      <c r="D674" s="102" t="s">
        <v>6775</v>
      </c>
      <c r="E674" s="102" t="s">
        <v>210</v>
      </c>
      <c r="F674" s="102"/>
      <c r="G674" s="102" t="s">
        <v>3434</v>
      </c>
      <c r="H674" s="102"/>
      <c r="I674" s="102"/>
      <c r="J674" s="102"/>
      <c r="K674" s="102" t="s">
        <v>6776</v>
      </c>
      <c r="L674" s="102"/>
      <c r="M674" s="102"/>
      <c r="N674" s="102"/>
      <c r="O674" s="102"/>
      <c r="P674" s="102"/>
      <c r="Q674" s="102"/>
      <c r="R674" s="102"/>
      <c r="S674" s="102" t="s">
        <v>182</v>
      </c>
      <c r="T674" s="102" t="s">
        <v>9</v>
      </c>
    </row>
    <row r="675" spans="1:20">
      <c r="A675" s="101" t="s">
        <v>3465</v>
      </c>
      <c r="B675" s="101" t="s">
        <v>8730</v>
      </c>
      <c r="C675" s="101">
        <v>2088</v>
      </c>
      <c r="D675" s="102" t="s">
        <v>6777</v>
      </c>
      <c r="E675" s="102" t="s">
        <v>210</v>
      </c>
      <c r="F675" s="102"/>
      <c r="G675" s="102" t="s">
        <v>3434</v>
      </c>
      <c r="H675" s="102" t="s">
        <v>3402</v>
      </c>
      <c r="I675" s="102"/>
      <c r="J675" s="102"/>
      <c r="K675" s="102" t="s">
        <v>3401</v>
      </c>
      <c r="L675" s="102" t="s">
        <v>6778</v>
      </c>
      <c r="M675" s="102"/>
      <c r="N675" s="102"/>
      <c r="O675" s="102"/>
      <c r="P675" s="102"/>
      <c r="Q675" s="102"/>
      <c r="R675" s="102"/>
      <c r="S675" s="102" t="s">
        <v>172</v>
      </c>
      <c r="T675" s="102" t="s">
        <v>9</v>
      </c>
    </row>
    <row r="676" spans="1:20">
      <c r="A676" s="101" t="s">
        <v>3465</v>
      </c>
      <c r="B676" s="101" t="s">
        <v>8730</v>
      </c>
      <c r="C676" s="101">
        <v>2089</v>
      </c>
      <c r="D676" s="102" t="s">
        <v>6779</v>
      </c>
      <c r="E676" s="102" t="s">
        <v>210</v>
      </c>
      <c r="F676" s="102"/>
      <c r="G676" s="102" t="s">
        <v>3434</v>
      </c>
      <c r="H676" s="102"/>
      <c r="I676" s="102"/>
      <c r="J676" s="102"/>
      <c r="K676" s="102" t="s">
        <v>6780</v>
      </c>
      <c r="L676" s="102"/>
      <c r="M676" s="102"/>
      <c r="N676" s="102"/>
      <c r="O676" s="102"/>
      <c r="P676" s="102"/>
      <c r="Q676" s="102"/>
      <c r="R676" s="102"/>
      <c r="S676" s="102" t="s">
        <v>169</v>
      </c>
      <c r="T676" s="102" t="s">
        <v>9</v>
      </c>
    </row>
    <row r="677" spans="1:20">
      <c r="A677" s="101" t="s">
        <v>3465</v>
      </c>
      <c r="B677" s="101" t="s">
        <v>8730</v>
      </c>
      <c r="C677" s="101">
        <v>2090</v>
      </c>
      <c r="D677" s="102" t="s">
        <v>6781</v>
      </c>
      <c r="E677" s="102" t="s">
        <v>210</v>
      </c>
      <c r="F677" s="102"/>
      <c r="G677" s="102" t="s">
        <v>3434</v>
      </c>
      <c r="H677" s="102"/>
      <c r="I677" s="102"/>
      <c r="J677" s="102"/>
      <c r="K677" s="102" t="s">
        <v>6782</v>
      </c>
      <c r="L677" s="102"/>
      <c r="M677" s="102"/>
      <c r="N677" s="102"/>
      <c r="O677" s="102"/>
      <c r="P677" s="102"/>
      <c r="Q677" s="102"/>
      <c r="R677" s="102"/>
      <c r="S677" s="102" t="s">
        <v>48</v>
      </c>
      <c r="T677" s="102" t="s">
        <v>9</v>
      </c>
    </row>
    <row r="678" spans="1:20">
      <c r="A678" s="101" t="s">
        <v>3465</v>
      </c>
      <c r="B678" s="101" t="s">
        <v>8730</v>
      </c>
      <c r="C678" s="101">
        <v>2091</v>
      </c>
      <c r="D678" s="102" t="s">
        <v>6783</v>
      </c>
      <c r="E678" s="102" t="s">
        <v>210</v>
      </c>
      <c r="F678" s="102"/>
      <c r="G678" s="102" t="s">
        <v>3434</v>
      </c>
      <c r="H678" s="102"/>
      <c r="I678" s="102"/>
      <c r="J678" s="102"/>
      <c r="K678" s="102" t="s">
        <v>6784</v>
      </c>
      <c r="L678" s="102"/>
      <c r="M678" s="102"/>
      <c r="N678" s="102"/>
      <c r="O678" s="102"/>
      <c r="P678" s="102"/>
      <c r="Q678" s="102"/>
      <c r="R678" s="102"/>
      <c r="S678" s="102" t="s">
        <v>27</v>
      </c>
      <c r="T678" s="102" t="s">
        <v>9</v>
      </c>
    </row>
    <row r="679" spans="1:20">
      <c r="A679" s="101" t="s">
        <v>3465</v>
      </c>
      <c r="B679" s="101" t="s">
        <v>8730</v>
      </c>
      <c r="C679" s="101">
        <v>2092</v>
      </c>
      <c r="D679" s="102" t="s">
        <v>6785</v>
      </c>
      <c r="E679" s="102" t="s">
        <v>210</v>
      </c>
      <c r="F679" s="102"/>
      <c r="G679" s="102" t="s">
        <v>3434</v>
      </c>
      <c r="H679" s="102"/>
      <c r="I679" s="102"/>
      <c r="J679" s="102"/>
      <c r="K679" s="102" t="s">
        <v>6786</v>
      </c>
      <c r="L679" s="102" t="s">
        <v>6787</v>
      </c>
      <c r="M679" s="102"/>
      <c r="N679" s="102"/>
      <c r="O679" s="102"/>
      <c r="P679" s="102"/>
      <c r="Q679" s="102"/>
      <c r="R679" s="102"/>
      <c r="S679" s="102" t="s">
        <v>35</v>
      </c>
      <c r="T679" s="102" t="s">
        <v>9</v>
      </c>
    </row>
    <row r="680" spans="1:20">
      <c r="A680" s="101" t="s">
        <v>3465</v>
      </c>
      <c r="B680" s="101" t="s">
        <v>8730</v>
      </c>
      <c r="C680" s="101">
        <v>2093</v>
      </c>
      <c r="D680" s="102" t="s">
        <v>6788</v>
      </c>
      <c r="E680" s="102" t="s">
        <v>211</v>
      </c>
      <c r="F680" s="102"/>
      <c r="G680" s="102" t="s">
        <v>3434</v>
      </c>
      <c r="H680" s="102"/>
      <c r="I680" s="102"/>
      <c r="J680" s="102"/>
      <c r="K680" s="102" t="s">
        <v>6789</v>
      </c>
      <c r="L680" s="102" t="s">
        <v>6632</v>
      </c>
      <c r="M680" s="102"/>
      <c r="N680" s="102"/>
      <c r="O680" s="102"/>
      <c r="P680" s="102"/>
      <c r="Q680" s="102"/>
      <c r="R680" s="102"/>
      <c r="S680" s="102" t="s">
        <v>34</v>
      </c>
      <c r="T680" s="102" t="s">
        <v>9</v>
      </c>
    </row>
    <row r="681" spans="1:20">
      <c r="A681" s="101" t="s">
        <v>3465</v>
      </c>
      <c r="B681" s="101" t="s">
        <v>8730</v>
      </c>
      <c r="C681" s="101">
        <v>2094</v>
      </c>
      <c r="D681" s="102" t="s">
        <v>6790</v>
      </c>
      <c r="E681" s="102" t="s">
        <v>211</v>
      </c>
      <c r="F681" s="102"/>
      <c r="G681" s="102" t="s">
        <v>3434</v>
      </c>
      <c r="H681" s="102"/>
      <c r="I681" s="102"/>
      <c r="J681" s="102"/>
      <c r="K681" s="102" t="s">
        <v>6791</v>
      </c>
      <c r="L681" s="102"/>
      <c r="M681" s="102"/>
      <c r="N681" s="102"/>
      <c r="O681" s="102"/>
      <c r="P681" s="102"/>
      <c r="Q681" s="102"/>
      <c r="R681" s="102"/>
      <c r="S681" s="102" t="s">
        <v>3747</v>
      </c>
      <c r="T681" s="102" t="s">
        <v>9</v>
      </c>
    </row>
    <row r="682" spans="1:20">
      <c r="A682" s="101" t="s">
        <v>3465</v>
      </c>
      <c r="B682" s="101" t="s">
        <v>8730</v>
      </c>
      <c r="C682" s="101">
        <v>2095</v>
      </c>
      <c r="D682" s="102" t="s">
        <v>6792</v>
      </c>
      <c r="E682" s="102" t="s">
        <v>210</v>
      </c>
      <c r="F682" s="102"/>
      <c r="G682" s="102" t="s">
        <v>3086</v>
      </c>
      <c r="H682" s="102" t="s">
        <v>13393</v>
      </c>
      <c r="I682" s="102"/>
      <c r="J682" s="102"/>
      <c r="K682" s="102" t="s">
        <v>6793</v>
      </c>
      <c r="L682" s="102" t="s">
        <v>6794</v>
      </c>
      <c r="M682" s="102" t="s">
        <v>6795</v>
      </c>
      <c r="N682" s="102"/>
      <c r="O682" s="102"/>
      <c r="P682" s="102" t="s">
        <v>4858</v>
      </c>
      <c r="Q682" s="102"/>
      <c r="R682" s="102"/>
      <c r="S682" s="102" t="s">
        <v>14</v>
      </c>
      <c r="T682" s="102" t="s">
        <v>9</v>
      </c>
    </row>
    <row r="683" spans="1:20">
      <c r="A683" s="101" t="s">
        <v>3465</v>
      </c>
      <c r="B683" s="101" t="s">
        <v>8730</v>
      </c>
      <c r="C683" s="101">
        <v>2096</v>
      </c>
      <c r="D683" s="102" t="s">
        <v>6796</v>
      </c>
      <c r="E683" s="102" t="s">
        <v>210</v>
      </c>
      <c r="F683" s="102"/>
      <c r="G683" s="102" t="s">
        <v>3434</v>
      </c>
      <c r="H683" s="102"/>
      <c r="I683" s="102"/>
      <c r="J683" s="102"/>
      <c r="K683" s="102" t="s">
        <v>3</v>
      </c>
      <c r="L683" s="102" t="s">
        <v>6797</v>
      </c>
      <c r="M683" s="102"/>
      <c r="N683" s="102"/>
      <c r="O683" s="102"/>
      <c r="P683" s="102"/>
      <c r="Q683" s="102"/>
      <c r="R683" s="102"/>
      <c r="S683" s="102" t="s">
        <v>27</v>
      </c>
      <c r="T683" s="102" t="s">
        <v>9</v>
      </c>
    </row>
    <row r="684" spans="1:20">
      <c r="A684" s="101" t="s">
        <v>3465</v>
      </c>
      <c r="B684" s="101" t="s">
        <v>8730</v>
      </c>
      <c r="C684" s="101">
        <v>2097</v>
      </c>
      <c r="D684" s="102" t="s">
        <v>6798</v>
      </c>
      <c r="E684" s="102" t="s">
        <v>210</v>
      </c>
      <c r="F684" s="102"/>
      <c r="G684" s="102" t="s">
        <v>3434</v>
      </c>
      <c r="H684" s="102"/>
      <c r="I684" s="102"/>
      <c r="J684" s="102"/>
      <c r="K684" s="102" t="s">
        <v>6799</v>
      </c>
      <c r="L684" s="102"/>
      <c r="M684" s="102"/>
      <c r="N684" s="102"/>
      <c r="O684" s="102"/>
      <c r="P684" s="102"/>
      <c r="Q684" s="102"/>
      <c r="R684" s="102"/>
      <c r="S684" s="102" t="s">
        <v>35</v>
      </c>
      <c r="T684" s="102" t="s">
        <v>9</v>
      </c>
    </row>
    <row r="685" spans="1:20">
      <c r="A685" s="101" t="s">
        <v>3465</v>
      </c>
      <c r="B685" s="101" t="s">
        <v>8730</v>
      </c>
      <c r="C685" s="101">
        <v>2098</v>
      </c>
      <c r="D685" s="102" t="s">
        <v>6800</v>
      </c>
      <c r="E685" s="102" t="s">
        <v>212</v>
      </c>
      <c r="F685" s="102"/>
      <c r="G685" s="102" t="s">
        <v>3434</v>
      </c>
      <c r="H685" s="102"/>
      <c r="I685" s="102"/>
      <c r="J685" s="102"/>
      <c r="K685" s="102" t="s">
        <v>6801</v>
      </c>
      <c r="L685" s="102"/>
      <c r="M685" s="102"/>
      <c r="N685" s="102"/>
      <c r="O685" s="102"/>
      <c r="P685" s="102"/>
      <c r="Q685" s="102"/>
      <c r="R685" s="102"/>
      <c r="S685" s="102" t="s">
        <v>34</v>
      </c>
      <c r="T685" s="102" t="s">
        <v>9</v>
      </c>
    </row>
    <row r="686" spans="1:20">
      <c r="A686" s="101" t="s">
        <v>3465</v>
      </c>
      <c r="B686" s="101" t="s">
        <v>8730</v>
      </c>
      <c r="C686" s="101">
        <v>2100</v>
      </c>
      <c r="D686" s="102" t="s">
        <v>6802</v>
      </c>
      <c r="E686" s="102" t="s">
        <v>6803</v>
      </c>
      <c r="F686" s="102"/>
      <c r="G686" s="102" t="s">
        <v>3434</v>
      </c>
      <c r="H686" s="102"/>
      <c r="I686" s="102"/>
      <c r="J686" s="102"/>
      <c r="K686" s="102" t="s">
        <v>6804</v>
      </c>
      <c r="L686" s="102"/>
      <c r="M686" s="102"/>
      <c r="N686" s="102"/>
      <c r="O686" s="102"/>
      <c r="P686" s="102"/>
      <c r="Q686" s="102"/>
      <c r="R686" s="102"/>
      <c r="S686" s="102" t="s">
        <v>50</v>
      </c>
      <c r="T686" s="102" t="s">
        <v>9</v>
      </c>
    </row>
    <row r="687" spans="1:20">
      <c r="A687" s="103" t="s">
        <v>3465</v>
      </c>
      <c r="B687" s="103" t="s">
        <v>8730</v>
      </c>
      <c r="C687" s="103">
        <v>2101</v>
      </c>
      <c r="D687" s="104" t="s">
        <v>6805</v>
      </c>
      <c r="E687" s="104" t="s">
        <v>611</v>
      </c>
      <c r="F687" s="104"/>
      <c r="G687" s="104" t="s">
        <v>3434</v>
      </c>
      <c r="H687" s="104" t="s">
        <v>13394</v>
      </c>
      <c r="I687" s="104"/>
      <c r="J687" s="104"/>
      <c r="K687" s="104" t="s">
        <v>6806</v>
      </c>
      <c r="L687" s="104" t="s">
        <v>6807</v>
      </c>
      <c r="M687" s="104" t="s">
        <v>6808</v>
      </c>
      <c r="N687" s="104"/>
      <c r="O687" s="104"/>
      <c r="P687" s="104"/>
      <c r="Q687" s="104"/>
      <c r="R687" s="102"/>
      <c r="S687" s="102" t="s">
        <v>5719</v>
      </c>
      <c r="T687" s="102" t="s">
        <v>9</v>
      </c>
    </row>
    <row r="688" spans="1:20">
      <c r="A688" s="101" t="s">
        <v>3465</v>
      </c>
      <c r="B688" s="101" t="s">
        <v>8730</v>
      </c>
      <c r="C688" s="101">
        <v>2102</v>
      </c>
      <c r="D688" s="102" t="s">
        <v>6809</v>
      </c>
      <c r="E688" s="102" t="s">
        <v>6803</v>
      </c>
      <c r="F688" s="102"/>
      <c r="G688" s="102" t="s">
        <v>3434</v>
      </c>
      <c r="H688" s="102" t="s">
        <v>3402</v>
      </c>
      <c r="I688" s="102"/>
      <c r="J688" s="102"/>
      <c r="K688" s="102" t="s">
        <v>3401</v>
      </c>
      <c r="L688" s="102" t="s">
        <v>3440</v>
      </c>
      <c r="M688" s="102" t="s">
        <v>6810</v>
      </c>
      <c r="N688" s="102"/>
      <c r="O688" s="102"/>
      <c r="P688" s="102"/>
      <c r="Q688" s="102"/>
      <c r="R688" s="102"/>
      <c r="S688" s="102" t="s">
        <v>607</v>
      </c>
      <c r="T688" s="102" t="s">
        <v>9</v>
      </c>
    </row>
    <row r="689" spans="1:20">
      <c r="A689" s="101" t="s">
        <v>3465</v>
      </c>
      <c r="B689" s="101" t="s">
        <v>8730</v>
      </c>
      <c r="C689" s="101">
        <v>2103</v>
      </c>
      <c r="D689" s="102" t="s">
        <v>6811</v>
      </c>
      <c r="E689" s="102" t="s">
        <v>612</v>
      </c>
      <c r="F689" s="102"/>
      <c r="G689" s="102" t="s">
        <v>3434</v>
      </c>
      <c r="H689" s="102"/>
      <c r="I689" s="102"/>
      <c r="J689" s="102"/>
      <c r="K689" s="102" t="s">
        <v>6812</v>
      </c>
      <c r="L689" s="102"/>
      <c r="M689" s="102"/>
      <c r="N689" s="102"/>
      <c r="O689" s="102"/>
      <c r="P689" s="102"/>
      <c r="Q689" s="102"/>
      <c r="R689" s="102"/>
      <c r="S689" s="102" t="s">
        <v>181</v>
      </c>
      <c r="T689" s="102" t="s">
        <v>9</v>
      </c>
    </row>
    <row r="690" spans="1:20">
      <c r="A690" t="s">
        <v>4768</v>
      </c>
      <c r="B690" t="s">
        <v>8730</v>
      </c>
      <c r="C690" s="101">
        <v>3010</v>
      </c>
      <c r="D690" t="s">
        <v>6813</v>
      </c>
      <c r="E690" t="s">
        <v>6814</v>
      </c>
      <c r="G690" t="s">
        <v>3434</v>
      </c>
      <c r="K690" t="s">
        <v>6815</v>
      </c>
      <c r="L690" t="s">
        <v>6816</v>
      </c>
      <c r="S690" t="s">
        <v>28</v>
      </c>
      <c r="T690" t="s">
        <v>41</v>
      </c>
    </row>
    <row r="691" spans="1:20">
      <c r="A691" s="76" t="s">
        <v>4768</v>
      </c>
      <c r="B691" s="76" t="s">
        <v>8730</v>
      </c>
      <c r="C691" s="103">
        <v>3049</v>
      </c>
      <c r="D691" s="76" t="s">
        <v>6817</v>
      </c>
      <c r="E691" s="76" t="s">
        <v>208</v>
      </c>
      <c r="F691" s="76"/>
      <c r="G691" s="76" t="s">
        <v>3434</v>
      </c>
      <c r="H691" s="76" t="s">
        <v>13394</v>
      </c>
      <c r="I691" s="76"/>
      <c r="J691" s="76"/>
      <c r="K691" s="76" t="s">
        <v>6806</v>
      </c>
      <c r="L691" s="76" t="s">
        <v>6818</v>
      </c>
      <c r="M691" s="76" t="s">
        <v>6819</v>
      </c>
      <c r="N691" s="76"/>
      <c r="O691" s="76"/>
      <c r="P691" s="76"/>
      <c r="Q691" s="76"/>
      <c r="S691" t="s">
        <v>5719</v>
      </c>
      <c r="T691" t="s">
        <v>41</v>
      </c>
    </row>
    <row r="692" spans="1:20">
      <c r="A692" t="s">
        <v>4768</v>
      </c>
      <c r="B692" t="s">
        <v>8730</v>
      </c>
      <c r="C692" s="101">
        <v>3075</v>
      </c>
      <c r="D692" t="s">
        <v>6820</v>
      </c>
      <c r="E692" t="s">
        <v>185</v>
      </c>
      <c r="G692" t="s">
        <v>13395</v>
      </c>
      <c r="H692" t="s">
        <v>13396</v>
      </c>
      <c r="K692" t="s">
        <v>1989</v>
      </c>
      <c r="L692" t="s">
        <v>6821</v>
      </c>
      <c r="M692" t="s">
        <v>6822</v>
      </c>
      <c r="N692" t="s">
        <v>6823</v>
      </c>
      <c r="P692" t="s">
        <v>6824</v>
      </c>
      <c r="S692" t="s">
        <v>14</v>
      </c>
      <c r="T692" t="s">
        <v>41</v>
      </c>
    </row>
    <row r="693" spans="1:20">
      <c r="A693" t="s">
        <v>4768</v>
      </c>
      <c r="B693" t="s">
        <v>8730</v>
      </c>
      <c r="C693" s="101">
        <v>3080</v>
      </c>
      <c r="D693" t="s">
        <v>6825</v>
      </c>
      <c r="E693" t="s">
        <v>209</v>
      </c>
      <c r="G693" t="s">
        <v>3434</v>
      </c>
      <c r="H693" t="s">
        <v>3402</v>
      </c>
      <c r="K693" t="s">
        <v>3401</v>
      </c>
      <c r="L693" t="s">
        <v>6826</v>
      </c>
      <c r="M693" t="s">
        <v>6827</v>
      </c>
      <c r="S693" t="s">
        <v>174</v>
      </c>
      <c r="T693" t="s">
        <v>41</v>
      </c>
    </row>
    <row r="694" spans="1:20">
      <c r="A694" t="s">
        <v>4768</v>
      </c>
      <c r="B694" t="s">
        <v>8730</v>
      </c>
      <c r="C694" s="101">
        <v>3086</v>
      </c>
      <c r="D694" t="s">
        <v>6828</v>
      </c>
      <c r="E694" t="s">
        <v>211</v>
      </c>
      <c r="G694" t="s">
        <v>3434</v>
      </c>
      <c r="K694" t="s">
        <v>6829</v>
      </c>
      <c r="L694" t="s">
        <v>6830</v>
      </c>
      <c r="S694" t="s">
        <v>48</v>
      </c>
      <c r="T694" t="s">
        <v>41</v>
      </c>
    </row>
    <row r="695" spans="1:20">
      <c r="A695" t="s">
        <v>4768</v>
      </c>
      <c r="B695" t="s">
        <v>8730</v>
      </c>
      <c r="C695" s="101">
        <v>3099</v>
      </c>
      <c r="D695" t="s">
        <v>6831</v>
      </c>
      <c r="E695" t="s">
        <v>212</v>
      </c>
      <c r="G695" t="s">
        <v>3434</v>
      </c>
      <c r="K695" t="s">
        <v>6832</v>
      </c>
      <c r="S695" t="s">
        <v>30</v>
      </c>
      <c r="T695" t="s">
        <v>41</v>
      </c>
    </row>
    <row r="696" spans="1:20">
      <c r="A696" t="s">
        <v>4768</v>
      </c>
      <c r="B696" t="s">
        <v>8730</v>
      </c>
      <c r="C696" s="101">
        <v>3104</v>
      </c>
      <c r="D696" t="s">
        <v>6833</v>
      </c>
      <c r="E696" t="s">
        <v>5397</v>
      </c>
      <c r="G696" t="s">
        <v>3434</v>
      </c>
      <c r="H696" t="s">
        <v>13397</v>
      </c>
      <c r="K696" t="s">
        <v>1168</v>
      </c>
      <c r="L696" t="s">
        <v>6834</v>
      </c>
      <c r="M696" t="s">
        <v>6835</v>
      </c>
      <c r="S696" t="s">
        <v>29</v>
      </c>
      <c r="T696" t="s">
        <v>41</v>
      </c>
    </row>
    <row r="697" spans="1:20">
      <c r="A697" s="101" t="s">
        <v>8731</v>
      </c>
      <c r="B697" s="101" t="s">
        <v>8730</v>
      </c>
      <c r="C697" s="101">
        <v>4008</v>
      </c>
      <c r="D697" s="102" t="s">
        <v>6836</v>
      </c>
      <c r="E697" s="102" t="s">
        <v>186</v>
      </c>
      <c r="F697" s="102"/>
      <c r="G697" s="102" t="s">
        <v>3434</v>
      </c>
      <c r="H697" s="102" t="s">
        <v>3402</v>
      </c>
      <c r="I697" s="102"/>
      <c r="J697" s="102"/>
      <c r="K697" s="102" t="s">
        <v>5600</v>
      </c>
      <c r="L697" s="102" t="s">
        <v>6837</v>
      </c>
      <c r="M697" s="102"/>
      <c r="N697" s="102"/>
      <c r="O697" s="102"/>
      <c r="P697" s="102"/>
      <c r="Q697" s="102"/>
      <c r="R697" s="102"/>
      <c r="S697" s="102" t="s">
        <v>3999</v>
      </c>
      <c r="T697" s="102" t="s">
        <v>4000</v>
      </c>
    </row>
    <row r="698" spans="1:20">
      <c r="A698" s="101" t="s">
        <v>8731</v>
      </c>
      <c r="B698" s="101" t="s">
        <v>8730</v>
      </c>
      <c r="C698" s="101">
        <v>4035</v>
      </c>
      <c r="D698" s="102" t="s">
        <v>6838</v>
      </c>
      <c r="E698" s="102" t="s">
        <v>208</v>
      </c>
      <c r="F698" s="102"/>
      <c r="G698" s="102" t="s">
        <v>3434</v>
      </c>
      <c r="H698" s="102"/>
      <c r="I698" s="102"/>
      <c r="J698" s="102"/>
      <c r="K698" s="102" t="s">
        <v>6839</v>
      </c>
      <c r="L698" s="102" t="s">
        <v>6840</v>
      </c>
      <c r="M698" s="102" t="s">
        <v>6841</v>
      </c>
      <c r="N698" s="102"/>
      <c r="O698" s="102"/>
      <c r="P698" s="102"/>
      <c r="Q698" s="102"/>
      <c r="R698" s="102"/>
      <c r="S698" s="102" t="s">
        <v>3999</v>
      </c>
      <c r="T698" s="102" t="s">
        <v>4000</v>
      </c>
    </row>
    <row r="699" spans="1:20">
      <c r="A699" s="101" t="s">
        <v>8731</v>
      </c>
      <c r="B699" s="101" t="s">
        <v>8730</v>
      </c>
      <c r="C699" s="101">
        <v>4041</v>
      </c>
      <c r="D699" s="102" t="s">
        <v>6842</v>
      </c>
      <c r="E699" s="102" t="s">
        <v>204</v>
      </c>
      <c r="F699" s="102"/>
      <c r="G699" s="102" t="s">
        <v>3434</v>
      </c>
      <c r="H699" s="102"/>
      <c r="I699" s="102"/>
      <c r="J699" s="102"/>
      <c r="K699" s="102" t="s">
        <v>6843</v>
      </c>
      <c r="L699" s="102" t="s">
        <v>6844</v>
      </c>
      <c r="M699" s="102"/>
      <c r="N699" s="102"/>
      <c r="O699" s="102"/>
      <c r="P699" s="102"/>
      <c r="Q699" s="102"/>
      <c r="R699" s="102"/>
      <c r="S699" s="102" t="s">
        <v>3999</v>
      </c>
      <c r="T699" s="102" t="s">
        <v>4000</v>
      </c>
    </row>
    <row r="700" spans="1:20">
      <c r="A700" s="101" t="s">
        <v>8731</v>
      </c>
      <c r="B700" s="101" t="s">
        <v>8730</v>
      </c>
      <c r="C700" s="101">
        <v>4058</v>
      </c>
      <c r="D700" s="102" t="s">
        <v>6845</v>
      </c>
      <c r="E700" s="102" t="s">
        <v>209</v>
      </c>
      <c r="F700" s="102"/>
      <c r="G700" s="102" t="s">
        <v>3434</v>
      </c>
      <c r="H700" s="102"/>
      <c r="I700" s="102"/>
      <c r="J700" s="102"/>
      <c r="K700" s="102" t="s">
        <v>6846</v>
      </c>
      <c r="L700" s="102" t="s">
        <v>6847</v>
      </c>
      <c r="M700" s="102" t="s">
        <v>6848</v>
      </c>
      <c r="N700" s="102"/>
      <c r="O700" s="102"/>
      <c r="P700" s="102"/>
      <c r="Q700" s="102"/>
      <c r="R700" s="102"/>
      <c r="S700" s="102" t="s">
        <v>3999</v>
      </c>
      <c r="T700" s="102" t="s">
        <v>4000</v>
      </c>
    </row>
  </sheetData>
  <autoFilter ref="A1:T700"/>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Y813"/>
  <sheetViews>
    <sheetView zoomScale="85" zoomScaleNormal="85" workbookViewId="0">
      <pane ySplit="1" topLeftCell="A2" activePane="bottomLeft" state="frozen"/>
      <selection pane="bottomLeft" sqref="A1:XFD1048576"/>
    </sheetView>
  </sheetViews>
  <sheetFormatPr defaultRowHeight="13.5"/>
  <cols>
    <col min="1" max="1" width="2.875" style="102" bestFit="1" customWidth="1"/>
    <col min="2" max="2" width="2.625" style="102" bestFit="1" customWidth="1"/>
    <col min="3" max="3" width="5.5" bestFit="1" customWidth="1"/>
    <col min="4" max="16384" width="9" style="102"/>
  </cols>
  <sheetData>
    <row r="1" spans="1:25" s="1" customFormat="1">
      <c r="D1" s="1" t="s">
        <v>3151</v>
      </c>
      <c r="E1" s="1" t="s">
        <v>3152</v>
      </c>
      <c r="F1" s="1" t="s">
        <v>3160</v>
      </c>
      <c r="G1" s="1" t="s">
        <v>3153</v>
      </c>
      <c r="I1" s="1" t="s">
        <v>3155</v>
      </c>
      <c r="J1" s="1" t="s">
        <v>3156</v>
      </c>
      <c r="K1" s="1" t="s">
        <v>3157</v>
      </c>
      <c r="P1" s="2" t="s">
        <v>3456</v>
      </c>
      <c r="Q1" s="64" t="s">
        <v>4051</v>
      </c>
      <c r="R1" s="64" t="s">
        <v>4052</v>
      </c>
      <c r="S1" s="1" t="s">
        <v>3159</v>
      </c>
      <c r="V1" s="4" t="s">
        <v>3881</v>
      </c>
      <c r="W1" s="8" t="s">
        <v>3882</v>
      </c>
      <c r="X1" s="9" t="s">
        <v>3906</v>
      </c>
      <c r="Y1" s="10" t="s">
        <v>3907</v>
      </c>
    </row>
    <row r="2" spans="1:25">
      <c r="A2" s="102" t="s">
        <v>3498</v>
      </c>
      <c r="B2" s="102" t="s">
        <v>3759</v>
      </c>
      <c r="C2" s="101">
        <v>1</v>
      </c>
      <c r="D2" s="102" t="s">
        <v>7070</v>
      </c>
      <c r="E2" s="102" t="s">
        <v>845</v>
      </c>
      <c r="G2" s="102" t="s">
        <v>3403</v>
      </c>
      <c r="K2" s="102" t="s">
        <v>7071</v>
      </c>
      <c r="L2" s="102" t="s">
        <v>3768</v>
      </c>
      <c r="S2" s="102" t="s">
        <v>170</v>
      </c>
      <c r="T2" s="102" t="s">
        <v>4</v>
      </c>
    </row>
    <row r="3" spans="1:25">
      <c r="A3" s="102" t="s">
        <v>3498</v>
      </c>
      <c r="B3" s="102" t="s">
        <v>3759</v>
      </c>
      <c r="C3" s="101">
        <v>2</v>
      </c>
      <c r="D3" s="102" t="s">
        <v>7072</v>
      </c>
      <c r="E3" s="102" t="s">
        <v>845</v>
      </c>
      <c r="G3" s="102" t="s">
        <v>3403</v>
      </c>
      <c r="K3" s="102" t="s">
        <v>4242</v>
      </c>
      <c r="L3" s="102" t="s">
        <v>6165</v>
      </c>
      <c r="S3" s="102" t="s">
        <v>45</v>
      </c>
      <c r="T3" s="102" t="s">
        <v>4</v>
      </c>
    </row>
    <row r="4" spans="1:25">
      <c r="A4" s="102" t="s">
        <v>3498</v>
      </c>
      <c r="B4" s="102" t="s">
        <v>3759</v>
      </c>
      <c r="C4" s="101">
        <v>3</v>
      </c>
      <c r="D4" s="102" t="s">
        <v>7073</v>
      </c>
      <c r="E4" s="102" t="s">
        <v>845</v>
      </c>
      <c r="G4" s="102" t="s">
        <v>3403</v>
      </c>
      <c r="K4" s="102" t="s">
        <v>7074</v>
      </c>
      <c r="L4" s="102" t="s">
        <v>7075</v>
      </c>
      <c r="S4" s="102" t="s">
        <v>6</v>
      </c>
      <c r="T4" s="102" t="s">
        <v>4</v>
      </c>
    </row>
    <row r="5" spans="1:25">
      <c r="A5" s="102" t="s">
        <v>3498</v>
      </c>
      <c r="B5" s="102" t="s">
        <v>3759</v>
      </c>
      <c r="C5" s="101">
        <v>4</v>
      </c>
      <c r="D5" s="102" t="s">
        <v>4894</v>
      </c>
      <c r="E5" s="102" t="s">
        <v>845</v>
      </c>
      <c r="G5" s="102" t="s">
        <v>3403</v>
      </c>
      <c r="J5" s="102" t="s">
        <v>13427</v>
      </c>
      <c r="K5" s="102" t="s">
        <v>4895</v>
      </c>
      <c r="S5" s="102" t="s">
        <v>14</v>
      </c>
      <c r="T5" s="102" t="s">
        <v>4</v>
      </c>
    </row>
    <row r="6" spans="1:25">
      <c r="A6" s="102" t="s">
        <v>3498</v>
      </c>
      <c r="B6" s="102" t="s">
        <v>3759</v>
      </c>
      <c r="C6" s="101">
        <v>5</v>
      </c>
      <c r="D6" s="102" t="s">
        <v>7076</v>
      </c>
      <c r="E6" s="102" t="s">
        <v>845</v>
      </c>
      <c r="G6" s="102" t="s">
        <v>3403</v>
      </c>
      <c r="K6" s="102" t="s">
        <v>7077</v>
      </c>
      <c r="S6" s="102" t="s">
        <v>30</v>
      </c>
      <c r="T6" s="102" t="s">
        <v>4</v>
      </c>
    </row>
    <row r="7" spans="1:25">
      <c r="A7" s="102" t="s">
        <v>3498</v>
      </c>
      <c r="B7" s="102" t="s">
        <v>3759</v>
      </c>
      <c r="C7" s="101">
        <v>6</v>
      </c>
      <c r="D7" s="102" t="s">
        <v>7078</v>
      </c>
      <c r="E7" s="102" t="s">
        <v>845</v>
      </c>
      <c r="G7" s="102" t="s">
        <v>3403</v>
      </c>
      <c r="K7" s="102" t="s">
        <v>4258</v>
      </c>
      <c r="L7" s="102" t="s">
        <v>4953</v>
      </c>
      <c r="S7" s="102" t="s">
        <v>18</v>
      </c>
      <c r="T7" s="102" t="s">
        <v>4</v>
      </c>
    </row>
    <row r="8" spans="1:25">
      <c r="A8" s="102" t="s">
        <v>3498</v>
      </c>
      <c r="B8" s="102" t="s">
        <v>3759</v>
      </c>
      <c r="C8" s="101">
        <v>7</v>
      </c>
      <c r="D8" s="102" t="s">
        <v>7079</v>
      </c>
      <c r="E8" s="102" t="s">
        <v>845</v>
      </c>
      <c r="G8" s="102" t="s">
        <v>3403</v>
      </c>
      <c r="K8" s="102" t="s">
        <v>7080</v>
      </c>
      <c r="S8" s="102" t="s">
        <v>14</v>
      </c>
      <c r="T8" s="102" t="s">
        <v>4</v>
      </c>
    </row>
    <row r="9" spans="1:25">
      <c r="A9" s="102" t="s">
        <v>3498</v>
      </c>
      <c r="B9" s="102" t="s">
        <v>3759</v>
      </c>
      <c r="C9" s="101">
        <v>8</v>
      </c>
      <c r="D9" s="102" t="s">
        <v>7081</v>
      </c>
      <c r="E9" s="102" t="s">
        <v>845</v>
      </c>
      <c r="G9" s="102" t="s">
        <v>3445</v>
      </c>
      <c r="H9" s="102" t="s">
        <v>3051</v>
      </c>
      <c r="K9" s="102" t="s">
        <v>7082</v>
      </c>
      <c r="S9" s="102" t="s">
        <v>3119</v>
      </c>
      <c r="T9" s="102" t="s">
        <v>4</v>
      </c>
    </row>
    <row r="10" spans="1:25">
      <c r="A10" s="102" t="s">
        <v>3498</v>
      </c>
      <c r="B10" s="102" t="s">
        <v>3759</v>
      </c>
      <c r="C10" s="101">
        <v>9</v>
      </c>
      <c r="D10" s="102" t="s">
        <v>7083</v>
      </c>
      <c r="E10" s="102" t="s">
        <v>845</v>
      </c>
      <c r="G10" s="102" t="s">
        <v>3403</v>
      </c>
      <c r="K10" s="102" t="s">
        <v>7084</v>
      </c>
      <c r="S10" s="102" t="s">
        <v>40</v>
      </c>
      <c r="T10" s="102" t="s">
        <v>4</v>
      </c>
    </row>
    <row r="11" spans="1:25">
      <c r="A11" s="102" t="s">
        <v>3498</v>
      </c>
      <c r="B11" s="102" t="s">
        <v>3759</v>
      </c>
      <c r="C11" s="101">
        <v>10</v>
      </c>
      <c r="D11" s="102" t="s">
        <v>7085</v>
      </c>
      <c r="E11" s="102" t="s">
        <v>845</v>
      </c>
      <c r="G11" s="102" t="s">
        <v>3403</v>
      </c>
      <c r="K11" s="102" t="s">
        <v>7086</v>
      </c>
      <c r="S11" s="102" t="s">
        <v>35</v>
      </c>
      <c r="T11" s="102" t="s">
        <v>4</v>
      </c>
    </row>
    <row r="12" spans="1:25">
      <c r="A12" s="102" t="s">
        <v>3498</v>
      </c>
      <c r="B12" s="102" t="s">
        <v>3759</v>
      </c>
      <c r="C12" s="101">
        <v>11</v>
      </c>
      <c r="D12" s="102" t="s">
        <v>7087</v>
      </c>
      <c r="E12" s="102" t="s">
        <v>845</v>
      </c>
      <c r="G12" s="102" t="s">
        <v>3403</v>
      </c>
      <c r="K12" s="102" t="s">
        <v>4258</v>
      </c>
      <c r="L12" s="102" t="s">
        <v>7088</v>
      </c>
      <c r="S12" s="102" t="s">
        <v>8</v>
      </c>
      <c r="T12" s="102" t="s">
        <v>4</v>
      </c>
    </row>
    <row r="13" spans="1:25">
      <c r="A13" s="102" t="s">
        <v>3498</v>
      </c>
      <c r="B13" s="102" t="s">
        <v>3759</v>
      </c>
      <c r="C13" s="101">
        <v>12</v>
      </c>
      <c r="D13" s="102" t="s">
        <v>7089</v>
      </c>
      <c r="E13" s="102" t="s">
        <v>845</v>
      </c>
      <c r="G13" s="102" t="s">
        <v>3403</v>
      </c>
      <c r="K13" s="102" t="s">
        <v>7084</v>
      </c>
      <c r="S13" s="102" t="s">
        <v>5381</v>
      </c>
      <c r="T13" s="102" t="s">
        <v>4</v>
      </c>
    </row>
    <row r="14" spans="1:25">
      <c r="A14" s="102" t="s">
        <v>3498</v>
      </c>
      <c r="B14" s="102" t="s">
        <v>3759</v>
      </c>
      <c r="C14" s="101">
        <v>13</v>
      </c>
      <c r="D14" s="102" t="s">
        <v>7090</v>
      </c>
      <c r="E14" s="102" t="s">
        <v>845</v>
      </c>
      <c r="G14" s="102" t="s">
        <v>3403</v>
      </c>
      <c r="K14" s="102" t="s">
        <v>7091</v>
      </c>
      <c r="L14" s="102" t="s">
        <v>7092</v>
      </c>
      <c r="S14" s="102" t="s">
        <v>6</v>
      </c>
      <c r="T14" s="102" t="s">
        <v>4</v>
      </c>
    </row>
    <row r="15" spans="1:25">
      <c r="A15" s="102" t="s">
        <v>3498</v>
      </c>
      <c r="B15" s="102" t="s">
        <v>3759</v>
      </c>
      <c r="C15" s="101">
        <v>14</v>
      </c>
      <c r="D15" s="102" t="s">
        <v>7093</v>
      </c>
      <c r="E15" s="102" t="s">
        <v>7094</v>
      </c>
      <c r="G15" s="102" t="s">
        <v>3403</v>
      </c>
      <c r="J15" s="102" t="s">
        <v>13427</v>
      </c>
      <c r="K15" s="102" t="s">
        <v>7095</v>
      </c>
      <c r="S15" s="102" t="s">
        <v>5281</v>
      </c>
      <c r="T15" s="102" t="s">
        <v>4</v>
      </c>
    </row>
    <row r="16" spans="1:25">
      <c r="A16" s="102" t="s">
        <v>3498</v>
      </c>
      <c r="B16" s="102" t="s">
        <v>3759</v>
      </c>
      <c r="C16" s="101">
        <v>15</v>
      </c>
      <c r="D16" s="102" t="s">
        <v>7096</v>
      </c>
      <c r="E16" s="102" t="s">
        <v>845</v>
      </c>
      <c r="G16" s="102" t="s">
        <v>3403</v>
      </c>
      <c r="K16" s="102" t="s">
        <v>7097</v>
      </c>
      <c r="S16" s="102" t="s">
        <v>178</v>
      </c>
      <c r="T16" s="102" t="s">
        <v>4</v>
      </c>
    </row>
    <row r="17" spans="1:20">
      <c r="A17" s="102" t="s">
        <v>3498</v>
      </c>
      <c r="B17" s="102" t="s">
        <v>3759</v>
      </c>
      <c r="C17" s="101">
        <v>16</v>
      </c>
      <c r="D17" s="102" t="s">
        <v>7098</v>
      </c>
      <c r="E17" s="102" t="s">
        <v>845</v>
      </c>
      <c r="G17" s="102" t="s">
        <v>3403</v>
      </c>
      <c r="K17" s="102" t="s">
        <v>4113</v>
      </c>
      <c r="L17" s="102" t="s">
        <v>7099</v>
      </c>
      <c r="M17" s="102" t="s">
        <v>7100</v>
      </c>
      <c r="N17" s="102" t="s">
        <v>6286</v>
      </c>
      <c r="S17" s="102" t="s">
        <v>168</v>
      </c>
      <c r="T17" s="102" t="s">
        <v>4</v>
      </c>
    </row>
    <row r="18" spans="1:20">
      <c r="A18" s="102" t="s">
        <v>3498</v>
      </c>
      <c r="B18" s="102" t="s">
        <v>3759</v>
      </c>
      <c r="C18" s="101">
        <v>17</v>
      </c>
      <c r="D18" s="102" t="s">
        <v>3766</v>
      </c>
      <c r="E18" s="102" t="s">
        <v>845</v>
      </c>
      <c r="G18" s="102" t="s">
        <v>3403</v>
      </c>
      <c r="K18" s="102" t="s">
        <v>3767</v>
      </c>
      <c r="S18" s="102" t="s">
        <v>29</v>
      </c>
      <c r="T18" s="102" t="s">
        <v>4</v>
      </c>
    </row>
    <row r="19" spans="1:20">
      <c r="A19" s="102" t="s">
        <v>3498</v>
      </c>
      <c r="B19" s="102" t="s">
        <v>3759</v>
      </c>
      <c r="C19" s="101">
        <v>18</v>
      </c>
      <c r="D19" s="102" t="s">
        <v>7101</v>
      </c>
      <c r="E19" s="102" t="s">
        <v>845</v>
      </c>
      <c r="G19" s="102" t="s">
        <v>3403</v>
      </c>
      <c r="H19" s="102" t="s">
        <v>5180</v>
      </c>
      <c r="K19" s="102" t="s">
        <v>7102</v>
      </c>
      <c r="S19" s="102" t="s">
        <v>179</v>
      </c>
      <c r="T19" s="102" t="s">
        <v>4</v>
      </c>
    </row>
    <row r="20" spans="1:20">
      <c r="A20" s="102" t="s">
        <v>3498</v>
      </c>
      <c r="B20" s="102" t="s">
        <v>3759</v>
      </c>
      <c r="C20" s="101">
        <v>19</v>
      </c>
      <c r="D20" s="102" t="s">
        <v>7103</v>
      </c>
      <c r="E20" s="102" t="s">
        <v>845</v>
      </c>
      <c r="G20" s="102" t="s">
        <v>3403</v>
      </c>
      <c r="K20" s="102" t="s">
        <v>7104</v>
      </c>
      <c r="L20" s="102" t="s">
        <v>3768</v>
      </c>
      <c r="S20" s="102" t="s">
        <v>169</v>
      </c>
      <c r="T20" s="102" t="s">
        <v>4</v>
      </c>
    </row>
    <row r="21" spans="1:20">
      <c r="A21" s="102" t="s">
        <v>3498</v>
      </c>
      <c r="B21" s="102" t="s">
        <v>3759</v>
      </c>
      <c r="C21" s="101">
        <v>20</v>
      </c>
      <c r="D21" s="102" t="s">
        <v>7105</v>
      </c>
      <c r="E21" s="102" t="s">
        <v>7094</v>
      </c>
      <c r="G21" s="102" t="s">
        <v>3403</v>
      </c>
      <c r="J21" s="102" t="s">
        <v>13427</v>
      </c>
      <c r="K21" s="102" t="s">
        <v>7106</v>
      </c>
      <c r="S21" s="102" t="s">
        <v>605</v>
      </c>
      <c r="T21" s="102" t="s">
        <v>4</v>
      </c>
    </row>
    <row r="22" spans="1:20">
      <c r="A22" s="102" t="s">
        <v>3498</v>
      </c>
      <c r="B22" s="102" t="s">
        <v>3759</v>
      </c>
      <c r="C22" s="101">
        <v>21</v>
      </c>
      <c r="D22" s="102" t="s">
        <v>7107</v>
      </c>
      <c r="E22" s="102" t="s">
        <v>845</v>
      </c>
      <c r="G22" s="102" t="s">
        <v>3403</v>
      </c>
      <c r="J22" s="102" t="s">
        <v>13427</v>
      </c>
      <c r="K22" s="102" t="s">
        <v>7108</v>
      </c>
      <c r="S22" s="102" t="s">
        <v>28</v>
      </c>
      <c r="T22" s="102" t="s">
        <v>4</v>
      </c>
    </row>
    <row r="23" spans="1:20">
      <c r="A23" s="102" t="s">
        <v>3498</v>
      </c>
      <c r="B23" s="102" t="s">
        <v>3759</v>
      </c>
      <c r="C23" s="101">
        <v>22</v>
      </c>
      <c r="D23" s="102" t="s">
        <v>7109</v>
      </c>
      <c r="E23" s="102" t="s">
        <v>845</v>
      </c>
      <c r="G23" s="102" t="s">
        <v>3403</v>
      </c>
      <c r="K23" s="102" t="s">
        <v>7110</v>
      </c>
      <c r="S23" s="102" t="s">
        <v>606</v>
      </c>
      <c r="T23" s="102" t="s">
        <v>4</v>
      </c>
    </row>
    <row r="24" spans="1:20">
      <c r="A24" s="102" t="s">
        <v>3498</v>
      </c>
      <c r="B24" s="102" t="s">
        <v>3759</v>
      </c>
      <c r="C24" s="101">
        <v>23</v>
      </c>
      <c r="D24" s="102" t="s">
        <v>7111</v>
      </c>
      <c r="E24" s="102" t="s">
        <v>845</v>
      </c>
      <c r="G24" s="102" t="s">
        <v>3403</v>
      </c>
      <c r="K24" s="102" t="s">
        <v>7112</v>
      </c>
      <c r="S24" s="102" t="s">
        <v>172</v>
      </c>
      <c r="T24" s="102" t="s">
        <v>4</v>
      </c>
    </row>
    <row r="25" spans="1:20">
      <c r="A25" s="102" t="s">
        <v>3498</v>
      </c>
      <c r="B25" s="102" t="s">
        <v>3759</v>
      </c>
      <c r="C25" s="101">
        <v>24</v>
      </c>
      <c r="D25" s="102" t="s">
        <v>7113</v>
      </c>
      <c r="E25" s="102" t="s">
        <v>7094</v>
      </c>
      <c r="G25" s="102" t="s">
        <v>3403</v>
      </c>
      <c r="K25" s="102" t="s">
        <v>7114</v>
      </c>
      <c r="L25" s="102" t="s">
        <v>3768</v>
      </c>
      <c r="S25" s="102" t="s">
        <v>11</v>
      </c>
      <c r="T25" s="102" t="s">
        <v>4</v>
      </c>
    </row>
    <row r="26" spans="1:20">
      <c r="A26" s="102" t="s">
        <v>3498</v>
      </c>
      <c r="B26" s="102" t="s">
        <v>3759</v>
      </c>
      <c r="C26" s="101">
        <v>25</v>
      </c>
      <c r="D26" s="102" t="s">
        <v>7115</v>
      </c>
      <c r="E26" s="102" t="s">
        <v>845</v>
      </c>
      <c r="G26" s="102" t="s">
        <v>3403</v>
      </c>
      <c r="K26" s="102" t="s">
        <v>7116</v>
      </c>
      <c r="S26" s="102" t="s">
        <v>168</v>
      </c>
      <c r="T26" s="102" t="s">
        <v>4</v>
      </c>
    </row>
    <row r="27" spans="1:20">
      <c r="A27" s="102" t="s">
        <v>3498</v>
      </c>
      <c r="B27" s="102" t="s">
        <v>3759</v>
      </c>
      <c r="C27" s="101">
        <v>26</v>
      </c>
      <c r="D27" s="102" t="s">
        <v>4902</v>
      </c>
      <c r="E27" s="102" t="s">
        <v>845</v>
      </c>
      <c r="G27" s="102" t="s">
        <v>3403</v>
      </c>
      <c r="K27" s="102" t="s">
        <v>4903</v>
      </c>
      <c r="S27" s="102" t="s">
        <v>182</v>
      </c>
      <c r="T27" s="102" t="s">
        <v>4</v>
      </c>
    </row>
    <row r="28" spans="1:20">
      <c r="A28" s="102" t="s">
        <v>3498</v>
      </c>
      <c r="B28" s="102" t="s">
        <v>3759</v>
      </c>
      <c r="C28" s="101">
        <v>27</v>
      </c>
      <c r="D28" s="102" t="s">
        <v>7117</v>
      </c>
      <c r="E28" s="102" t="s">
        <v>845</v>
      </c>
      <c r="G28" s="102" t="s">
        <v>3403</v>
      </c>
      <c r="K28" s="102" t="s">
        <v>7118</v>
      </c>
      <c r="S28" s="102" t="s">
        <v>50</v>
      </c>
      <c r="T28" s="102" t="s">
        <v>4</v>
      </c>
    </row>
    <row r="29" spans="1:20">
      <c r="A29" s="102" t="s">
        <v>3498</v>
      </c>
      <c r="B29" s="102" t="s">
        <v>3759</v>
      </c>
      <c r="C29" s="101">
        <v>28</v>
      </c>
      <c r="D29" s="102" t="s">
        <v>7119</v>
      </c>
      <c r="E29" s="102" t="s">
        <v>845</v>
      </c>
      <c r="G29" s="102" t="s">
        <v>3403</v>
      </c>
      <c r="K29" s="102" t="s">
        <v>7120</v>
      </c>
      <c r="L29" s="102" t="s">
        <v>3768</v>
      </c>
      <c r="S29" s="102" t="s">
        <v>44</v>
      </c>
      <c r="T29" s="102" t="s">
        <v>4</v>
      </c>
    </row>
    <row r="30" spans="1:20">
      <c r="A30" s="102" t="s">
        <v>3498</v>
      </c>
      <c r="B30" s="102" t="s">
        <v>3759</v>
      </c>
      <c r="C30" s="101">
        <v>29</v>
      </c>
      <c r="D30" s="102" t="s">
        <v>7121</v>
      </c>
      <c r="E30" s="102" t="s">
        <v>845</v>
      </c>
      <c r="G30" s="102" t="s">
        <v>3403</v>
      </c>
      <c r="H30" s="102" t="s">
        <v>5180</v>
      </c>
      <c r="K30" s="102" t="s">
        <v>3768</v>
      </c>
      <c r="S30" s="102" t="s">
        <v>175</v>
      </c>
      <c r="T30" s="102" t="s">
        <v>4</v>
      </c>
    </row>
    <row r="31" spans="1:20">
      <c r="A31" s="102" t="s">
        <v>3498</v>
      </c>
      <c r="B31" s="102" t="s">
        <v>3759</v>
      </c>
      <c r="C31" s="101">
        <v>30</v>
      </c>
      <c r="D31" s="102" t="s">
        <v>7122</v>
      </c>
      <c r="E31" s="102" t="s">
        <v>7094</v>
      </c>
      <c r="G31" s="102" t="s">
        <v>3403</v>
      </c>
      <c r="J31" s="102" t="s">
        <v>13427</v>
      </c>
      <c r="K31" s="102" t="s">
        <v>7123</v>
      </c>
      <c r="S31" s="102" t="s">
        <v>5719</v>
      </c>
      <c r="T31" s="102" t="s">
        <v>4</v>
      </c>
    </row>
    <row r="32" spans="1:20">
      <c r="A32" s="102" t="s">
        <v>3498</v>
      </c>
      <c r="B32" s="102" t="s">
        <v>3759</v>
      </c>
      <c r="C32" s="101">
        <v>31</v>
      </c>
      <c r="D32" s="102" t="s">
        <v>7124</v>
      </c>
      <c r="E32" s="102" t="s">
        <v>845</v>
      </c>
      <c r="G32" s="102" t="s">
        <v>3403</v>
      </c>
      <c r="K32" s="102" t="s">
        <v>7125</v>
      </c>
      <c r="L32" s="102" t="s">
        <v>7126</v>
      </c>
      <c r="S32" s="102" t="s">
        <v>11</v>
      </c>
      <c r="T32" s="102" t="s">
        <v>4</v>
      </c>
    </row>
    <row r="33" spans="1:20">
      <c r="A33" s="102" t="s">
        <v>3498</v>
      </c>
      <c r="B33" s="102" t="s">
        <v>3759</v>
      </c>
      <c r="C33" s="101">
        <v>32</v>
      </c>
      <c r="D33" s="102" t="s">
        <v>7127</v>
      </c>
      <c r="E33" s="102" t="s">
        <v>845</v>
      </c>
      <c r="G33" s="102" t="s">
        <v>3403</v>
      </c>
      <c r="K33" s="102" t="s">
        <v>7128</v>
      </c>
      <c r="L33" s="102" t="s">
        <v>3768</v>
      </c>
      <c r="S33" s="102" t="s">
        <v>52</v>
      </c>
      <c r="T33" s="102" t="s">
        <v>4</v>
      </c>
    </row>
    <row r="34" spans="1:20">
      <c r="A34" s="102" t="s">
        <v>3498</v>
      </c>
      <c r="B34" s="102" t="s">
        <v>3759</v>
      </c>
      <c r="C34" s="101">
        <v>33</v>
      </c>
      <c r="D34" s="102" t="s">
        <v>7129</v>
      </c>
      <c r="E34" s="102" t="s">
        <v>845</v>
      </c>
      <c r="G34" s="102" t="s">
        <v>3403</v>
      </c>
      <c r="K34" s="102" t="s">
        <v>7130</v>
      </c>
      <c r="S34" s="102" t="s">
        <v>173</v>
      </c>
      <c r="T34" s="102" t="s">
        <v>4</v>
      </c>
    </row>
    <row r="35" spans="1:20">
      <c r="A35" s="102" t="s">
        <v>3498</v>
      </c>
      <c r="B35" s="102" t="s">
        <v>3759</v>
      </c>
      <c r="C35" s="101">
        <v>34</v>
      </c>
      <c r="D35" s="102" t="s">
        <v>7131</v>
      </c>
      <c r="E35" s="102" t="s">
        <v>845</v>
      </c>
      <c r="G35" s="102" t="s">
        <v>3403</v>
      </c>
      <c r="J35" s="102" t="s">
        <v>13427</v>
      </c>
      <c r="K35" s="102" t="s">
        <v>7132</v>
      </c>
      <c r="S35" s="102" t="s">
        <v>39</v>
      </c>
      <c r="T35" s="102" t="s">
        <v>4</v>
      </c>
    </row>
    <row r="36" spans="1:20">
      <c r="A36" s="102" t="s">
        <v>3498</v>
      </c>
      <c r="B36" s="102" t="s">
        <v>3759</v>
      </c>
      <c r="C36" s="101">
        <v>35</v>
      </c>
      <c r="D36" s="102" t="s">
        <v>7133</v>
      </c>
      <c r="E36" s="102" t="s">
        <v>845</v>
      </c>
      <c r="G36" s="102" t="s">
        <v>3403</v>
      </c>
      <c r="K36" s="102" t="s">
        <v>7134</v>
      </c>
      <c r="L36" s="102" t="s">
        <v>5239</v>
      </c>
      <c r="S36" s="102" t="s">
        <v>44</v>
      </c>
      <c r="T36" s="102" t="s">
        <v>4</v>
      </c>
    </row>
    <row r="37" spans="1:20">
      <c r="A37" s="102" t="s">
        <v>3498</v>
      </c>
      <c r="B37" s="102" t="s">
        <v>3759</v>
      </c>
      <c r="C37" s="101">
        <v>36</v>
      </c>
      <c r="D37" s="102" t="s">
        <v>7135</v>
      </c>
      <c r="E37" s="102" t="s">
        <v>845</v>
      </c>
      <c r="G37" s="102" t="s">
        <v>3403</v>
      </c>
      <c r="K37" s="102" t="s">
        <v>7136</v>
      </c>
      <c r="L37" s="102" t="s">
        <v>3768</v>
      </c>
      <c r="S37" s="102" t="s">
        <v>5719</v>
      </c>
      <c r="T37" s="102" t="s">
        <v>4</v>
      </c>
    </row>
    <row r="38" spans="1:20">
      <c r="A38" s="102" t="s">
        <v>3498</v>
      </c>
      <c r="B38" s="102" t="s">
        <v>3759</v>
      </c>
      <c r="C38" s="101">
        <v>37</v>
      </c>
      <c r="D38" s="102" t="s">
        <v>7137</v>
      </c>
      <c r="E38" s="102" t="s">
        <v>845</v>
      </c>
      <c r="G38" s="102" t="s">
        <v>3403</v>
      </c>
      <c r="K38" s="102" t="s">
        <v>7138</v>
      </c>
      <c r="S38" s="102" t="s">
        <v>26</v>
      </c>
      <c r="T38" s="102" t="s">
        <v>4</v>
      </c>
    </row>
    <row r="39" spans="1:20">
      <c r="A39" s="102" t="s">
        <v>3498</v>
      </c>
      <c r="B39" s="102" t="s">
        <v>3759</v>
      </c>
      <c r="C39" s="101">
        <v>38</v>
      </c>
      <c r="D39" s="102" t="s">
        <v>7139</v>
      </c>
      <c r="E39" s="102" t="s">
        <v>845</v>
      </c>
      <c r="G39" s="102" t="s">
        <v>3403</v>
      </c>
      <c r="K39" s="102" t="s">
        <v>7140</v>
      </c>
      <c r="L39" s="102" t="s">
        <v>7141</v>
      </c>
      <c r="S39" s="102" t="s">
        <v>31</v>
      </c>
      <c r="T39" s="102" t="s">
        <v>4</v>
      </c>
    </row>
    <row r="40" spans="1:20">
      <c r="A40" s="102" t="s">
        <v>3498</v>
      </c>
      <c r="B40" s="102" t="s">
        <v>3759</v>
      </c>
      <c r="C40" s="101">
        <v>39</v>
      </c>
      <c r="D40" s="102" t="s">
        <v>7142</v>
      </c>
      <c r="E40" s="102" t="s">
        <v>845</v>
      </c>
      <c r="G40" s="102" t="s">
        <v>3403</v>
      </c>
      <c r="J40" s="102" t="s">
        <v>13427</v>
      </c>
      <c r="K40" s="102" t="s">
        <v>7143</v>
      </c>
      <c r="S40" s="102" t="s">
        <v>52</v>
      </c>
      <c r="T40" s="102" t="s">
        <v>4</v>
      </c>
    </row>
    <row r="41" spans="1:20">
      <c r="A41" s="108" t="s">
        <v>3498</v>
      </c>
      <c r="B41" s="108" t="s">
        <v>3759</v>
      </c>
      <c r="C41" s="107">
        <v>40</v>
      </c>
      <c r="D41" s="108" t="s">
        <v>7144</v>
      </c>
      <c r="E41" s="108" t="s">
        <v>845</v>
      </c>
      <c r="F41" s="108"/>
      <c r="G41" s="108" t="s">
        <v>3403</v>
      </c>
      <c r="H41" s="108"/>
      <c r="I41" s="108"/>
      <c r="J41" s="108"/>
      <c r="K41" s="108" t="s">
        <v>7145</v>
      </c>
      <c r="L41" s="108" t="s">
        <v>7146</v>
      </c>
      <c r="M41" s="108"/>
      <c r="N41" s="108"/>
      <c r="O41" s="108"/>
      <c r="P41" s="108"/>
      <c r="Q41" s="108"/>
      <c r="S41" s="102" t="s">
        <v>27</v>
      </c>
      <c r="T41" s="102" t="s">
        <v>4</v>
      </c>
    </row>
    <row r="42" spans="1:20">
      <c r="A42" s="102" t="s">
        <v>3498</v>
      </c>
      <c r="B42" s="102" t="s">
        <v>3759</v>
      </c>
      <c r="C42" s="101">
        <v>41</v>
      </c>
      <c r="D42" s="102" t="s">
        <v>7147</v>
      </c>
      <c r="E42" s="102" t="s">
        <v>845</v>
      </c>
      <c r="G42" s="102" t="s">
        <v>3403</v>
      </c>
      <c r="K42" s="102" t="s">
        <v>4113</v>
      </c>
      <c r="L42" s="102" t="s">
        <v>7148</v>
      </c>
      <c r="M42" s="102" t="s">
        <v>7149</v>
      </c>
      <c r="N42" s="102" t="s">
        <v>4403</v>
      </c>
      <c r="S42" s="102" t="s">
        <v>33</v>
      </c>
      <c r="T42" s="102" t="s">
        <v>4</v>
      </c>
    </row>
    <row r="43" spans="1:20">
      <c r="A43" s="102" t="s">
        <v>3498</v>
      </c>
      <c r="B43" s="102" t="s">
        <v>3759</v>
      </c>
      <c r="C43" s="101">
        <v>42</v>
      </c>
      <c r="D43" s="102" t="s">
        <v>7150</v>
      </c>
      <c r="E43" s="102" t="s">
        <v>845</v>
      </c>
      <c r="G43" s="102" t="s">
        <v>3403</v>
      </c>
      <c r="K43" s="102" t="s">
        <v>4113</v>
      </c>
      <c r="L43" s="102" t="s">
        <v>7151</v>
      </c>
      <c r="M43" s="102" t="s">
        <v>7152</v>
      </c>
      <c r="N43" s="102" t="s">
        <v>6172</v>
      </c>
      <c r="S43" s="102" t="s">
        <v>49</v>
      </c>
      <c r="T43" s="102" t="s">
        <v>4</v>
      </c>
    </row>
    <row r="44" spans="1:20">
      <c r="A44" s="102" t="s">
        <v>3498</v>
      </c>
      <c r="B44" s="102" t="s">
        <v>3759</v>
      </c>
      <c r="C44" s="101">
        <v>43</v>
      </c>
      <c r="D44" s="102" t="s">
        <v>7153</v>
      </c>
      <c r="E44" s="102" t="s">
        <v>845</v>
      </c>
      <c r="G44" s="102" t="s">
        <v>3403</v>
      </c>
      <c r="K44" s="102" t="s">
        <v>7154</v>
      </c>
      <c r="L44" s="102" t="s">
        <v>3768</v>
      </c>
      <c r="S44" s="102" t="s">
        <v>3747</v>
      </c>
      <c r="T44" s="102" t="s">
        <v>4</v>
      </c>
    </row>
    <row r="45" spans="1:20">
      <c r="A45" s="102" t="s">
        <v>3498</v>
      </c>
      <c r="B45" s="102" t="s">
        <v>3759</v>
      </c>
      <c r="C45" s="101">
        <v>44</v>
      </c>
      <c r="D45" s="102" t="s">
        <v>7155</v>
      </c>
      <c r="E45" s="102" t="s">
        <v>845</v>
      </c>
      <c r="G45" s="102" t="s">
        <v>3403</v>
      </c>
      <c r="J45" s="102" t="s">
        <v>13427</v>
      </c>
      <c r="K45" s="102" t="s">
        <v>7156</v>
      </c>
      <c r="S45" s="102" t="s">
        <v>30</v>
      </c>
      <c r="T45" s="102" t="s">
        <v>4</v>
      </c>
    </row>
    <row r="46" spans="1:20">
      <c r="A46" s="102" t="s">
        <v>3498</v>
      </c>
      <c r="B46" s="102" t="s">
        <v>3759</v>
      </c>
      <c r="C46" s="101">
        <v>45</v>
      </c>
      <c r="D46" s="102" t="s">
        <v>4906</v>
      </c>
      <c r="E46" s="102" t="s">
        <v>845</v>
      </c>
      <c r="G46" s="102" t="s">
        <v>3403</v>
      </c>
      <c r="J46" s="102" t="s">
        <v>13427</v>
      </c>
      <c r="K46" s="102" t="s">
        <v>4113</v>
      </c>
      <c r="L46" s="102" t="s">
        <v>4907</v>
      </c>
      <c r="M46" s="102" t="s">
        <v>4908</v>
      </c>
      <c r="S46" s="102" t="s">
        <v>176</v>
      </c>
      <c r="T46" s="102" t="s">
        <v>4</v>
      </c>
    </row>
    <row r="47" spans="1:20">
      <c r="A47" s="102" t="s">
        <v>3498</v>
      </c>
      <c r="B47" s="102" t="s">
        <v>3759</v>
      </c>
      <c r="C47" s="101">
        <v>46</v>
      </c>
      <c r="D47" s="102" t="s">
        <v>7157</v>
      </c>
      <c r="E47" s="102" t="s">
        <v>845</v>
      </c>
      <c r="G47" s="102" t="s">
        <v>3403</v>
      </c>
      <c r="K47" s="102" t="s">
        <v>7158</v>
      </c>
      <c r="S47" s="102" t="s">
        <v>5719</v>
      </c>
      <c r="T47" s="102" t="s">
        <v>4</v>
      </c>
    </row>
    <row r="48" spans="1:20">
      <c r="A48" s="102" t="s">
        <v>3498</v>
      </c>
      <c r="B48" s="102" t="s">
        <v>3759</v>
      </c>
      <c r="C48" s="101">
        <v>47</v>
      </c>
      <c r="D48" s="102" t="s">
        <v>7159</v>
      </c>
      <c r="E48" s="102" t="s">
        <v>846</v>
      </c>
      <c r="G48" s="102" t="s">
        <v>3403</v>
      </c>
      <c r="J48" s="102" t="s">
        <v>13427</v>
      </c>
      <c r="K48" s="102" t="s">
        <v>7108</v>
      </c>
      <c r="S48" s="102" t="s">
        <v>182</v>
      </c>
      <c r="T48" s="102" t="s">
        <v>4</v>
      </c>
    </row>
    <row r="49" spans="1:20">
      <c r="A49" s="102" t="s">
        <v>3498</v>
      </c>
      <c r="B49" s="102" t="s">
        <v>3759</v>
      </c>
      <c r="C49" s="101">
        <v>48</v>
      </c>
      <c r="D49" s="102" t="s">
        <v>7160</v>
      </c>
      <c r="E49" s="102" t="s">
        <v>846</v>
      </c>
      <c r="G49" s="102" t="s">
        <v>3403</v>
      </c>
      <c r="K49" s="102" t="s">
        <v>7161</v>
      </c>
      <c r="S49" s="102" t="s">
        <v>10</v>
      </c>
      <c r="T49" s="102" t="s">
        <v>4</v>
      </c>
    </row>
    <row r="50" spans="1:20">
      <c r="A50" s="102" t="s">
        <v>3498</v>
      </c>
      <c r="B50" s="102" t="s">
        <v>3759</v>
      </c>
      <c r="C50" s="101">
        <v>49</v>
      </c>
      <c r="D50" s="102" t="s">
        <v>7162</v>
      </c>
      <c r="E50" s="102" t="s">
        <v>846</v>
      </c>
      <c r="G50" s="102" t="s">
        <v>3403</v>
      </c>
      <c r="K50" s="102" t="s">
        <v>7163</v>
      </c>
      <c r="S50" s="102" t="s">
        <v>605</v>
      </c>
      <c r="T50" s="102" t="s">
        <v>4</v>
      </c>
    </row>
    <row r="51" spans="1:20">
      <c r="A51" s="102" t="s">
        <v>3498</v>
      </c>
      <c r="B51" s="102" t="s">
        <v>3759</v>
      </c>
      <c r="C51" s="101">
        <v>50</v>
      </c>
      <c r="D51" s="102" t="s">
        <v>7164</v>
      </c>
      <c r="E51" s="102" t="s">
        <v>846</v>
      </c>
      <c r="G51" s="102" t="s">
        <v>3403</v>
      </c>
      <c r="K51" s="102" t="s">
        <v>7165</v>
      </c>
      <c r="S51" s="102" t="s">
        <v>5685</v>
      </c>
      <c r="T51" s="102" t="s">
        <v>4</v>
      </c>
    </row>
    <row r="52" spans="1:20">
      <c r="A52" s="102" t="s">
        <v>3498</v>
      </c>
      <c r="B52" s="102" t="s">
        <v>3759</v>
      </c>
      <c r="C52" s="101">
        <v>51</v>
      </c>
      <c r="D52" s="102" t="s">
        <v>7166</v>
      </c>
      <c r="E52" s="102" t="s">
        <v>846</v>
      </c>
      <c r="G52" s="102" t="s">
        <v>3403</v>
      </c>
      <c r="H52" s="102" t="s">
        <v>5180</v>
      </c>
      <c r="K52" s="102" t="s">
        <v>3767</v>
      </c>
      <c r="L52" s="102" t="s">
        <v>7167</v>
      </c>
      <c r="S52" s="102" t="s">
        <v>175</v>
      </c>
      <c r="T52" s="102" t="s">
        <v>4</v>
      </c>
    </row>
    <row r="53" spans="1:20">
      <c r="A53" s="102" t="s">
        <v>3498</v>
      </c>
      <c r="B53" s="102" t="s">
        <v>3759</v>
      </c>
      <c r="C53" s="101">
        <v>52</v>
      </c>
      <c r="D53" s="102" t="s">
        <v>7168</v>
      </c>
      <c r="E53" s="102" t="s">
        <v>846</v>
      </c>
      <c r="G53" s="102" t="s">
        <v>3403</v>
      </c>
      <c r="K53" s="102" t="s">
        <v>3768</v>
      </c>
      <c r="L53" s="102" t="s">
        <v>7169</v>
      </c>
      <c r="S53" s="102" t="s">
        <v>45</v>
      </c>
      <c r="T53" s="102" t="s">
        <v>4</v>
      </c>
    </row>
    <row r="54" spans="1:20">
      <c r="A54" s="102" t="s">
        <v>3498</v>
      </c>
      <c r="B54" s="102" t="s">
        <v>3759</v>
      </c>
      <c r="C54" s="101">
        <v>53</v>
      </c>
      <c r="D54" s="102" t="s">
        <v>7170</v>
      </c>
      <c r="E54" s="102" t="s">
        <v>846</v>
      </c>
      <c r="G54" s="102" t="s">
        <v>3403</v>
      </c>
      <c r="K54" s="102" t="s">
        <v>7171</v>
      </c>
      <c r="S54" s="102" t="s">
        <v>18</v>
      </c>
      <c r="T54" s="102" t="s">
        <v>4</v>
      </c>
    </row>
    <row r="55" spans="1:20">
      <c r="A55" s="102" t="s">
        <v>3498</v>
      </c>
      <c r="B55" s="102" t="s">
        <v>3759</v>
      </c>
      <c r="C55" s="101">
        <v>54</v>
      </c>
      <c r="D55" s="102" t="s">
        <v>7172</v>
      </c>
      <c r="E55" s="102" t="s">
        <v>846</v>
      </c>
      <c r="G55" s="102" t="s">
        <v>3403</v>
      </c>
      <c r="K55" s="102" t="s">
        <v>4965</v>
      </c>
      <c r="L55" s="102" t="s">
        <v>7173</v>
      </c>
      <c r="S55" s="102" t="s">
        <v>48</v>
      </c>
      <c r="T55" s="102" t="s">
        <v>4</v>
      </c>
    </row>
    <row r="56" spans="1:20">
      <c r="A56" s="102" t="s">
        <v>3498</v>
      </c>
      <c r="B56" s="102" t="s">
        <v>3759</v>
      </c>
      <c r="C56" s="101">
        <v>55</v>
      </c>
      <c r="D56" s="102" t="s">
        <v>7174</v>
      </c>
      <c r="E56" s="102" t="s">
        <v>846</v>
      </c>
      <c r="G56" s="102" t="s">
        <v>3403</v>
      </c>
      <c r="H56" s="102" t="s">
        <v>5180</v>
      </c>
      <c r="K56" s="102" t="s">
        <v>4235</v>
      </c>
      <c r="L56" s="102" t="s">
        <v>7175</v>
      </c>
      <c r="S56" s="102" t="s">
        <v>768</v>
      </c>
      <c r="T56" s="102" t="s">
        <v>4</v>
      </c>
    </row>
    <row r="57" spans="1:20">
      <c r="A57" s="102" t="s">
        <v>3498</v>
      </c>
      <c r="B57" s="102" t="s">
        <v>3759</v>
      </c>
      <c r="C57" s="101">
        <v>56</v>
      </c>
      <c r="D57" s="102" t="s">
        <v>7176</v>
      </c>
      <c r="E57" s="102" t="s">
        <v>846</v>
      </c>
      <c r="G57" s="102" t="s">
        <v>3403</v>
      </c>
      <c r="K57" s="102" t="s">
        <v>7177</v>
      </c>
      <c r="S57" s="102" t="s">
        <v>26</v>
      </c>
      <c r="T57" s="102" t="s">
        <v>4</v>
      </c>
    </row>
    <row r="58" spans="1:20">
      <c r="A58" s="102" t="s">
        <v>3498</v>
      </c>
      <c r="B58" s="102" t="s">
        <v>3759</v>
      </c>
      <c r="C58" s="101">
        <v>57</v>
      </c>
      <c r="D58" s="102" t="s">
        <v>7178</v>
      </c>
      <c r="E58" s="102" t="s">
        <v>846</v>
      </c>
      <c r="G58" s="102" t="s">
        <v>3403</v>
      </c>
      <c r="K58" s="102" t="s">
        <v>7179</v>
      </c>
      <c r="L58" s="102" t="s">
        <v>7180</v>
      </c>
      <c r="S58" s="102" t="s">
        <v>5719</v>
      </c>
      <c r="T58" s="102" t="s">
        <v>4</v>
      </c>
    </row>
    <row r="59" spans="1:20">
      <c r="A59" s="108" t="s">
        <v>3498</v>
      </c>
      <c r="B59" s="108" t="s">
        <v>3759</v>
      </c>
      <c r="C59" s="107">
        <v>58</v>
      </c>
      <c r="D59" s="108" t="s">
        <v>7181</v>
      </c>
      <c r="E59" s="108" t="s">
        <v>846</v>
      </c>
      <c r="F59" s="108"/>
      <c r="G59" s="108" t="s">
        <v>3403</v>
      </c>
      <c r="H59" s="108"/>
      <c r="I59" s="108"/>
      <c r="J59" s="108" t="s">
        <v>13427</v>
      </c>
      <c r="K59" s="108" t="s">
        <v>7182</v>
      </c>
      <c r="L59" s="108"/>
      <c r="M59" s="108"/>
      <c r="N59" s="108"/>
      <c r="O59" s="108"/>
      <c r="P59" s="108"/>
      <c r="Q59" s="108"/>
      <c r="S59" s="102" t="s">
        <v>36</v>
      </c>
      <c r="T59" s="102" t="s">
        <v>4</v>
      </c>
    </row>
    <row r="60" spans="1:20">
      <c r="A60" s="102" t="s">
        <v>3498</v>
      </c>
      <c r="B60" s="102" t="s">
        <v>3759</v>
      </c>
      <c r="C60" s="101">
        <v>59</v>
      </c>
      <c r="D60" s="102" t="s">
        <v>7183</v>
      </c>
      <c r="E60" s="102" t="s">
        <v>846</v>
      </c>
      <c r="G60" s="102" t="s">
        <v>3403</v>
      </c>
      <c r="K60" s="102" t="s">
        <v>7184</v>
      </c>
      <c r="L60" s="102" t="s">
        <v>7180</v>
      </c>
      <c r="S60" s="102" t="s">
        <v>607</v>
      </c>
      <c r="T60" s="102" t="s">
        <v>4</v>
      </c>
    </row>
    <row r="61" spans="1:20">
      <c r="A61" s="102" t="s">
        <v>3498</v>
      </c>
      <c r="B61" s="102" t="s">
        <v>3759</v>
      </c>
      <c r="C61" s="101">
        <v>60</v>
      </c>
      <c r="D61" s="102" t="s">
        <v>3762</v>
      </c>
      <c r="E61" s="102" t="s">
        <v>1008</v>
      </c>
      <c r="G61" s="102" t="s">
        <v>3403</v>
      </c>
      <c r="J61" s="102" t="s">
        <v>13427</v>
      </c>
      <c r="K61" s="102" t="s">
        <v>3763</v>
      </c>
      <c r="S61" s="102" t="s">
        <v>40</v>
      </c>
      <c r="T61" s="102" t="s">
        <v>4</v>
      </c>
    </row>
    <row r="62" spans="1:20">
      <c r="A62" s="102" t="s">
        <v>3498</v>
      </c>
      <c r="B62" s="102" t="s">
        <v>3759</v>
      </c>
      <c r="C62" s="101">
        <v>61</v>
      </c>
      <c r="D62" s="102" t="s">
        <v>7185</v>
      </c>
      <c r="E62" s="102" t="s">
        <v>846</v>
      </c>
      <c r="G62" s="102" t="s">
        <v>3403</v>
      </c>
      <c r="K62" s="102" t="s">
        <v>7186</v>
      </c>
      <c r="S62" s="102" t="s">
        <v>184</v>
      </c>
      <c r="T62" s="102" t="s">
        <v>4</v>
      </c>
    </row>
    <row r="63" spans="1:20">
      <c r="A63" s="102" t="s">
        <v>3498</v>
      </c>
      <c r="B63" s="102" t="s">
        <v>3759</v>
      </c>
      <c r="C63" s="101">
        <v>62</v>
      </c>
      <c r="D63" s="102" t="s">
        <v>7187</v>
      </c>
      <c r="E63" s="102" t="s">
        <v>846</v>
      </c>
      <c r="G63" s="102" t="s">
        <v>3403</v>
      </c>
      <c r="K63" s="102" t="s">
        <v>7188</v>
      </c>
      <c r="L63" s="102" t="s">
        <v>3767</v>
      </c>
      <c r="S63" s="102" t="s">
        <v>31</v>
      </c>
      <c r="T63" s="102" t="s">
        <v>4</v>
      </c>
    </row>
    <row r="64" spans="1:20">
      <c r="A64" s="102" t="s">
        <v>3498</v>
      </c>
      <c r="B64" s="102" t="s">
        <v>3759</v>
      </c>
      <c r="C64" s="101">
        <v>63</v>
      </c>
      <c r="D64" s="102" t="s">
        <v>7189</v>
      </c>
      <c r="E64" s="102" t="s">
        <v>846</v>
      </c>
      <c r="G64" s="102" t="s">
        <v>3403</v>
      </c>
      <c r="J64" s="102" t="s">
        <v>13427</v>
      </c>
      <c r="K64" s="102" t="s">
        <v>7190</v>
      </c>
      <c r="S64" s="102" t="s">
        <v>3747</v>
      </c>
      <c r="T64" s="102" t="s">
        <v>4</v>
      </c>
    </row>
    <row r="65" spans="1:20">
      <c r="A65" s="102" t="s">
        <v>3498</v>
      </c>
      <c r="B65" s="102" t="s">
        <v>3759</v>
      </c>
      <c r="C65" s="101">
        <v>64</v>
      </c>
      <c r="D65" s="102" t="s">
        <v>7191</v>
      </c>
      <c r="E65" s="102" t="s">
        <v>846</v>
      </c>
      <c r="G65" s="102" t="s">
        <v>3403</v>
      </c>
      <c r="K65" s="102" t="s">
        <v>7192</v>
      </c>
      <c r="S65" s="102" t="s">
        <v>27</v>
      </c>
      <c r="T65" s="102" t="s">
        <v>4</v>
      </c>
    </row>
    <row r="66" spans="1:20">
      <c r="A66" s="102" t="s">
        <v>3498</v>
      </c>
      <c r="B66" s="102" t="s">
        <v>3759</v>
      </c>
      <c r="C66" s="101">
        <v>65</v>
      </c>
      <c r="D66" s="102" t="s">
        <v>7193</v>
      </c>
      <c r="E66" s="102" t="s">
        <v>846</v>
      </c>
      <c r="G66" s="102" t="s">
        <v>3403</v>
      </c>
      <c r="J66" s="102" t="s">
        <v>13427</v>
      </c>
      <c r="K66" s="102" t="s">
        <v>7194</v>
      </c>
      <c r="S66" s="102" t="s">
        <v>175</v>
      </c>
      <c r="T66" s="102" t="s">
        <v>4</v>
      </c>
    </row>
    <row r="67" spans="1:20">
      <c r="A67" s="102" t="s">
        <v>3498</v>
      </c>
      <c r="B67" s="102" t="s">
        <v>3759</v>
      </c>
      <c r="C67" s="101">
        <v>66</v>
      </c>
      <c r="D67" s="102" t="s">
        <v>7195</v>
      </c>
      <c r="E67" s="102" t="s">
        <v>7196</v>
      </c>
      <c r="G67" s="102" t="s">
        <v>3403</v>
      </c>
      <c r="J67" s="102" t="s">
        <v>13427</v>
      </c>
      <c r="K67" s="102" t="s">
        <v>1232</v>
      </c>
      <c r="L67" s="102" t="s">
        <v>7197</v>
      </c>
      <c r="S67" s="102" t="s">
        <v>34</v>
      </c>
      <c r="T67" s="102" t="s">
        <v>4</v>
      </c>
    </row>
    <row r="68" spans="1:20">
      <c r="A68" s="102" t="s">
        <v>3498</v>
      </c>
      <c r="B68" s="102" t="s">
        <v>3759</v>
      </c>
      <c r="C68" s="101">
        <v>67</v>
      </c>
      <c r="D68" s="102" t="s">
        <v>7198</v>
      </c>
      <c r="E68" s="102" t="s">
        <v>846</v>
      </c>
      <c r="G68" s="102" t="s">
        <v>3403</v>
      </c>
      <c r="K68" s="102" t="s">
        <v>7199</v>
      </c>
      <c r="S68" s="102" t="s">
        <v>30</v>
      </c>
      <c r="T68" s="102" t="s">
        <v>4</v>
      </c>
    </row>
    <row r="69" spans="1:20">
      <c r="A69" s="102" t="s">
        <v>3498</v>
      </c>
      <c r="B69" s="102" t="s">
        <v>3759</v>
      </c>
      <c r="C69" s="101">
        <v>68</v>
      </c>
      <c r="D69" s="102" t="s">
        <v>7200</v>
      </c>
      <c r="E69" s="102" t="s">
        <v>846</v>
      </c>
      <c r="G69" s="102" t="s">
        <v>3403</v>
      </c>
      <c r="J69" s="102" t="s">
        <v>13427</v>
      </c>
      <c r="K69" s="102" t="s">
        <v>7201</v>
      </c>
      <c r="S69" s="102" t="s">
        <v>49</v>
      </c>
      <c r="T69" s="102" t="s">
        <v>4</v>
      </c>
    </row>
    <row r="70" spans="1:20">
      <c r="A70" s="106" t="s">
        <v>3498</v>
      </c>
      <c r="B70" s="106" t="s">
        <v>3759</v>
      </c>
      <c r="C70" s="105">
        <v>69</v>
      </c>
      <c r="D70" s="106" t="s">
        <v>7202</v>
      </c>
      <c r="E70" s="106" t="s">
        <v>846</v>
      </c>
      <c r="F70" s="106"/>
      <c r="G70" s="106" t="s">
        <v>3403</v>
      </c>
      <c r="H70" s="106"/>
      <c r="I70" s="106"/>
      <c r="J70" s="106"/>
      <c r="K70" s="106" t="s">
        <v>7203</v>
      </c>
      <c r="L70" s="106"/>
      <c r="M70" s="106"/>
      <c r="N70" s="106"/>
      <c r="O70" s="106"/>
      <c r="P70" s="106"/>
      <c r="Q70" s="106"/>
      <c r="R70" s="106"/>
      <c r="S70" s="102" t="s">
        <v>5685</v>
      </c>
      <c r="T70" s="102" t="s">
        <v>4</v>
      </c>
    </row>
    <row r="71" spans="1:20">
      <c r="A71" s="102" t="s">
        <v>3498</v>
      </c>
      <c r="B71" s="102" t="s">
        <v>3759</v>
      </c>
      <c r="C71" s="101">
        <v>70</v>
      </c>
      <c r="D71" s="102" t="s">
        <v>7204</v>
      </c>
      <c r="E71" s="102" t="s">
        <v>846</v>
      </c>
      <c r="G71" s="102" t="s">
        <v>3403</v>
      </c>
      <c r="J71" s="102" t="s">
        <v>13427</v>
      </c>
      <c r="K71" s="102" t="s">
        <v>7205</v>
      </c>
      <c r="S71" s="102" t="s">
        <v>5685</v>
      </c>
      <c r="T71" s="102" t="s">
        <v>4</v>
      </c>
    </row>
    <row r="72" spans="1:20">
      <c r="A72" s="102" t="s">
        <v>3498</v>
      </c>
      <c r="B72" s="102" t="s">
        <v>3759</v>
      </c>
      <c r="C72" s="101">
        <v>71</v>
      </c>
      <c r="D72" s="102" t="s">
        <v>7206</v>
      </c>
      <c r="E72" s="102" t="s">
        <v>846</v>
      </c>
      <c r="G72" s="102" t="s">
        <v>3403</v>
      </c>
      <c r="K72" s="102" t="s">
        <v>7207</v>
      </c>
      <c r="S72" s="102" t="s">
        <v>40</v>
      </c>
      <c r="T72" s="102" t="s">
        <v>4</v>
      </c>
    </row>
    <row r="73" spans="1:20">
      <c r="A73" s="102" t="s">
        <v>3498</v>
      </c>
      <c r="B73" s="102" t="s">
        <v>3759</v>
      </c>
      <c r="C73" s="101">
        <v>72</v>
      </c>
      <c r="D73" s="102" t="s">
        <v>7208</v>
      </c>
      <c r="E73" s="102" t="s">
        <v>846</v>
      </c>
      <c r="G73" s="102" t="s">
        <v>3403</v>
      </c>
      <c r="K73" s="102" t="s">
        <v>7209</v>
      </c>
      <c r="S73" s="102" t="s">
        <v>172</v>
      </c>
      <c r="T73" s="102" t="s">
        <v>4</v>
      </c>
    </row>
    <row r="74" spans="1:20">
      <c r="A74" s="102" t="s">
        <v>3498</v>
      </c>
      <c r="B74" s="102" t="s">
        <v>3759</v>
      </c>
      <c r="C74" s="101">
        <v>73</v>
      </c>
      <c r="D74" s="102" t="s">
        <v>7210</v>
      </c>
      <c r="E74" s="102" t="s">
        <v>1008</v>
      </c>
      <c r="G74" s="102" t="s">
        <v>3403</v>
      </c>
      <c r="J74" s="102" t="s">
        <v>13427</v>
      </c>
      <c r="K74" s="102" t="s">
        <v>7211</v>
      </c>
      <c r="S74" s="102" t="s">
        <v>606</v>
      </c>
      <c r="T74" s="102" t="s">
        <v>4</v>
      </c>
    </row>
    <row r="75" spans="1:20">
      <c r="A75" s="102" t="s">
        <v>3498</v>
      </c>
      <c r="B75" s="102" t="s">
        <v>3759</v>
      </c>
      <c r="C75" s="101">
        <v>74</v>
      </c>
      <c r="D75" s="102" t="s">
        <v>7212</v>
      </c>
      <c r="E75" s="102" t="s">
        <v>846</v>
      </c>
      <c r="G75" s="102" t="s">
        <v>3403</v>
      </c>
      <c r="K75" s="102" t="s">
        <v>6418</v>
      </c>
      <c r="S75" s="102" t="s">
        <v>181</v>
      </c>
      <c r="T75" s="102" t="s">
        <v>4</v>
      </c>
    </row>
    <row r="76" spans="1:20">
      <c r="A76" s="102" t="s">
        <v>3498</v>
      </c>
      <c r="B76" s="102" t="s">
        <v>3759</v>
      </c>
      <c r="C76" s="101">
        <v>75</v>
      </c>
      <c r="D76" s="102" t="s">
        <v>7213</v>
      </c>
      <c r="E76" s="102" t="s">
        <v>846</v>
      </c>
      <c r="G76" s="102" t="s">
        <v>3403</v>
      </c>
      <c r="K76" s="102" t="s">
        <v>7214</v>
      </c>
      <c r="S76" s="102" t="s">
        <v>17</v>
      </c>
      <c r="T76" s="102" t="s">
        <v>4</v>
      </c>
    </row>
    <row r="77" spans="1:20">
      <c r="A77" s="102" t="s">
        <v>3498</v>
      </c>
      <c r="B77" s="102" t="s">
        <v>3759</v>
      </c>
      <c r="C77" s="101">
        <v>76</v>
      </c>
      <c r="D77" s="102" t="s">
        <v>7215</v>
      </c>
      <c r="E77" s="102" t="s">
        <v>846</v>
      </c>
      <c r="G77" s="102" t="s">
        <v>3403</v>
      </c>
      <c r="J77" s="102" t="s">
        <v>13427</v>
      </c>
      <c r="K77" s="102" t="s">
        <v>7216</v>
      </c>
      <c r="S77" s="102" t="s">
        <v>5</v>
      </c>
      <c r="T77" s="102" t="s">
        <v>4</v>
      </c>
    </row>
    <row r="78" spans="1:20">
      <c r="A78" s="102" t="s">
        <v>3498</v>
      </c>
      <c r="B78" s="102" t="s">
        <v>3759</v>
      </c>
      <c r="C78" s="101">
        <v>77</v>
      </c>
      <c r="D78" s="102" t="s">
        <v>7217</v>
      </c>
      <c r="E78" s="102" t="s">
        <v>846</v>
      </c>
      <c r="G78" s="102" t="s">
        <v>3403</v>
      </c>
      <c r="J78" s="102" t="s">
        <v>13427</v>
      </c>
      <c r="K78" s="102" t="s">
        <v>7218</v>
      </c>
      <c r="S78" s="102" t="s">
        <v>38</v>
      </c>
      <c r="T78" s="102" t="s">
        <v>4</v>
      </c>
    </row>
    <row r="79" spans="1:20">
      <c r="A79" s="102" t="s">
        <v>3498</v>
      </c>
      <c r="B79" s="102" t="s">
        <v>3759</v>
      </c>
      <c r="C79" s="101">
        <v>78</v>
      </c>
      <c r="D79" s="102" t="s">
        <v>7219</v>
      </c>
      <c r="E79" s="102" t="s">
        <v>846</v>
      </c>
      <c r="G79" s="102" t="s">
        <v>3403</v>
      </c>
      <c r="K79" s="102" t="s">
        <v>7220</v>
      </c>
      <c r="S79" s="102" t="s">
        <v>768</v>
      </c>
      <c r="T79" s="102" t="s">
        <v>4</v>
      </c>
    </row>
    <row r="80" spans="1:20">
      <c r="A80" s="102" t="s">
        <v>3498</v>
      </c>
      <c r="B80" s="102" t="s">
        <v>3759</v>
      </c>
      <c r="C80" s="101">
        <v>79</v>
      </c>
      <c r="D80" s="102" t="s">
        <v>7221</v>
      </c>
      <c r="E80" s="102" t="s">
        <v>846</v>
      </c>
      <c r="G80" s="102" t="s">
        <v>3445</v>
      </c>
      <c r="H80" s="102" t="s">
        <v>5671</v>
      </c>
      <c r="K80" s="102" t="s">
        <v>5321</v>
      </c>
      <c r="L80" s="102" t="s">
        <v>7222</v>
      </c>
      <c r="S80" s="102" t="s">
        <v>5281</v>
      </c>
      <c r="T80" s="102" t="s">
        <v>4</v>
      </c>
    </row>
    <row r="81" spans="1:20">
      <c r="A81" s="102" t="s">
        <v>3498</v>
      </c>
      <c r="B81" s="102" t="s">
        <v>3759</v>
      </c>
      <c r="C81" s="101">
        <v>80</v>
      </c>
      <c r="D81" s="102" t="s">
        <v>7223</v>
      </c>
      <c r="E81" s="102" t="s">
        <v>846</v>
      </c>
      <c r="G81" s="102" t="s">
        <v>3403</v>
      </c>
      <c r="K81" s="102" t="s">
        <v>7224</v>
      </c>
      <c r="S81" s="102" t="s">
        <v>14</v>
      </c>
      <c r="T81" s="102" t="s">
        <v>4</v>
      </c>
    </row>
    <row r="82" spans="1:20">
      <c r="A82" s="102" t="s">
        <v>3498</v>
      </c>
      <c r="B82" s="102" t="s">
        <v>3759</v>
      </c>
      <c r="C82" s="101">
        <v>81</v>
      </c>
      <c r="D82" s="102" t="s">
        <v>7225</v>
      </c>
      <c r="E82" s="102" t="s">
        <v>846</v>
      </c>
      <c r="G82" s="102" t="s">
        <v>3403</v>
      </c>
      <c r="K82" s="102" t="s">
        <v>3767</v>
      </c>
      <c r="L82" s="102" t="s">
        <v>7226</v>
      </c>
      <c r="S82" s="102" t="s">
        <v>46</v>
      </c>
      <c r="T82" s="102" t="s">
        <v>4</v>
      </c>
    </row>
    <row r="83" spans="1:20">
      <c r="A83" s="102" t="s">
        <v>3498</v>
      </c>
      <c r="B83" s="102" t="s">
        <v>3759</v>
      </c>
      <c r="C83" s="101">
        <v>82</v>
      </c>
      <c r="D83" s="102" t="s">
        <v>7227</v>
      </c>
      <c r="E83" s="102" t="s">
        <v>846</v>
      </c>
      <c r="G83" s="102" t="s">
        <v>3403</v>
      </c>
      <c r="H83" s="102" t="s">
        <v>5180</v>
      </c>
      <c r="K83" s="102" t="s">
        <v>7228</v>
      </c>
      <c r="S83" s="102" t="s">
        <v>175</v>
      </c>
      <c r="T83" s="102" t="s">
        <v>4</v>
      </c>
    </row>
    <row r="84" spans="1:20">
      <c r="A84" s="102" t="s">
        <v>3498</v>
      </c>
      <c r="B84" s="102" t="s">
        <v>3759</v>
      </c>
      <c r="C84" s="101">
        <v>83</v>
      </c>
      <c r="D84" s="102" t="s">
        <v>7229</v>
      </c>
      <c r="E84" s="102" t="s">
        <v>1008</v>
      </c>
      <c r="G84" s="102" t="s">
        <v>3403</v>
      </c>
      <c r="J84" s="102" t="s">
        <v>13427</v>
      </c>
      <c r="K84" s="102" t="s">
        <v>7230</v>
      </c>
      <c r="L84" s="102" t="s">
        <v>7088</v>
      </c>
      <c r="S84" s="102" t="s">
        <v>8</v>
      </c>
      <c r="T84" s="102" t="s">
        <v>4</v>
      </c>
    </row>
    <row r="85" spans="1:20">
      <c r="A85" s="102" t="s">
        <v>3498</v>
      </c>
      <c r="B85" s="102" t="s">
        <v>3759</v>
      </c>
      <c r="C85" s="101">
        <v>84</v>
      </c>
      <c r="D85" s="102" t="s">
        <v>7231</v>
      </c>
      <c r="E85" s="102" t="s">
        <v>846</v>
      </c>
      <c r="G85" s="102" t="s">
        <v>3403</v>
      </c>
      <c r="K85" s="102" t="s">
        <v>7232</v>
      </c>
      <c r="S85" s="102" t="s">
        <v>176</v>
      </c>
      <c r="T85" s="102" t="s">
        <v>4</v>
      </c>
    </row>
    <row r="86" spans="1:20">
      <c r="A86" s="102" t="s">
        <v>3498</v>
      </c>
      <c r="B86" s="102" t="s">
        <v>3759</v>
      </c>
      <c r="C86" s="101">
        <v>85</v>
      </c>
      <c r="D86" s="102" t="s">
        <v>7233</v>
      </c>
      <c r="E86" s="102" t="s">
        <v>846</v>
      </c>
      <c r="G86" s="102" t="s">
        <v>3403</v>
      </c>
      <c r="H86" s="102" t="s">
        <v>5180</v>
      </c>
      <c r="K86" s="102" t="s">
        <v>7234</v>
      </c>
      <c r="L86" s="102" t="s">
        <v>7235</v>
      </c>
      <c r="S86" s="102" t="s">
        <v>175</v>
      </c>
      <c r="T86" s="102" t="s">
        <v>4</v>
      </c>
    </row>
    <row r="87" spans="1:20">
      <c r="A87" s="102" t="s">
        <v>3498</v>
      </c>
      <c r="B87" s="102" t="s">
        <v>3759</v>
      </c>
      <c r="C87" s="101">
        <v>86</v>
      </c>
      <c r="D87" s="102" t="s">
        <v>7236</v>
      </c>
      <c r="E87" s="102" t="s">
        <v>846</v>
      </c>
      <c r="G87" s="102" t="s">
        <v>3403</v>
      </c>
      <c r="K87" s="102" t="s">
        <v>7237</v>
      </c>
      <c r="L87" s="102" t="s">
        <v>3768</v>
      </c>
      <c r="S87" s="102" t="s">
        <v>8</v>
      </c>
      <c r="T87" s="102" t="s">
        <v>4</v>
      </c>
    </row>
    <row r="88" spans="1:20">
      <c r="A88" s="102" t="s">
        <v>3498</v>
      </c>
      <c r="B88" s="102" t="s">
        <v>3759</v>
      </c>
      <c r="C88" s="101">
        <v>87</v>
      </c>
      <c r="D88" s="102" t="s">
        <v>7238</v>
      </c>
      <c r="E88" s="102" t="s">
        <v>846</v>
      </c>
      <c r="G88" s="102" t="s">
        <v>3403</v>
      </c>
      <c r="K88" s="102" t="s">
        <v>7239</v>
      </c>
      <c r="S88" s="102" t="s">
        <v>15</v>
      </c>
      <c r="T88" s="102" t="s">
        <v>4</v>
      </c>
    </row>
    <row r="89" spans="1:20">
      <c r="A89" s="102" t="s">
        <v>3498</v>
      </c>
      <c r="B89" s="102" t="s">
        <v>3759</v>
      </c>
      <c r="C89" s="101">
        <v>88</v>
      </c>
      <c r="D89" s="102" t="s">
        <v>7240</v>
      </c>
      <c r="E89" s="102" t="s">
        <v>1008</v>
      </c>
      <c r="G89" s="102" t="s">
        <v>3403</v>
      </c>
      <c r="J89" s="102" t="s">
        <v>13427</v>
      </c>
      <c r="K89" s="102" t="s">
        <v>7241</v>
      </c>
      <c r="L89" s="102" t="s">
        <v>3765</v>
      </c>
      <c r="S89" s="102" t="s">
        <v>170</v>
      </c>
      <c r="T89" s="102" t="s">
        <v>4</v>
      </c>
    </row>
    <row r="90" spans="1:20">
      <c r="A90" s="102" t="s">
        <v>3498</v>
      </c>
      <c r="B90" s="102" t="s">
        <v>3759</v>
      </c>
      <c r="C90" s="101">
        <v>89</v>
      </c>
      <c r="D90" s="102" t="s">
        <v>7242</v>
      </c>
      <c r="E90" s="102" t="s">
        <v>1008</v>
      </c>
      <c r="G90" s="102" t="s">
        <v>3403</v>
      </c>
      <c r="K90" s="102" t="s">
        <v>4334</v>
      </c>
      <c r="S90" s="102" t="s">
        <v>169</v>
      </c>
      <c r="T90" s="102" t="s">
        <v>4</v>
      </c>
    </row>
    <row r="91" spans="1:20">
      <c r="A91" s="102" t="s">
        <v>3498</v>
      </c>
      <c r="B91" s="102" t="s">
        <v>3759</v>
      </c>
      <c r="C91" s="101">
        <v>90</v>
      </c>
      <c r="D91" s="102" t="s">
        <v>7243</v>
      </c>
      <c r="E91" s="102" t="s">
        <v>846</v>
      </c>
      <c r="G91" s="102" t="s">
        <v>3403</v>
      </c>
      <c r="K91" s="102" t="s">
        <v>3767</v>
      </c>
      <c r="L91" s="102" t="s">
        <v>7244</v>
      </c>
      <c r="S91" s="102" t="s">
        <v>38</v>
      </c>
      <c r="T91" s="102" t="s">
        <v>4</v>
      </c>
    </row>
    <row r="92" spans="1:20">
      <c r="A92" s="102" t="s">
        <v>3498</v>
      </c>
      <c r="B92" s="102" t="s">
        <v>3759</v>
      </c>
      <c r="C92" s="101">
        <v>91</v>
      </c>
      <c r="D92" s="102" t="s">
        <v>7245</v>
      </c>
      <c r="E92" s="102" t="s">
        <v>846</v>
      </c>
      <c r="G92" s="102" t="s">
        <v>3403</v>
      </c>
      <c r="J92" s="102" t="s">
        <v>13427</v>
      </c>
      <c r="K92" s="102" t="s">
        <v>7205</v>
      </c>
      <c r="S92" s="102" t="s">
        <v>169</v>
      </c>
      <c r="T92" s="102" t="s">
        <v>4</v>
      </c>
    </row>
    <row r="93" spans="1:20">
      <c r="A93" s="102" t="s">
        <v>3498</v>
      </c>
      <c r="B93" s="102" t="s">
        <v>3759</v>
      </c>
      <c r="C93" s="101">
        <v>92</v>
      </c>
      <c r="D93" s="102" t="s">
        <v>7246</v>
      </c>
      <c r="E93" s="102" t="s">
        <v>846</v>
      </c>
      <c r="G93" s="102" t="s">
        <v>3403</v>
      </c>
      <c r="H93" s="102" t="s">
        <v>5180</v>
      </c>
      <c r="K93" s="102" t="s">
        <v>7247</v>
      </c>
      <c r="L93" s="102" t="s">
        <v>7248</v>
      </c>
      <c r="S93" s="102" t="s">
        <v>183</v>
      </c>
      <c r="T93" s="102" t="s">
        <v>4</v>
      </c>
    </row>
    <row r="94" spans="1:20">
      <c r="A94" s="102" t="s">
        <v>3498</v>
      </c>
      <c r="B94" s="102" t="s">
        <v>3759</v>
      </c>
      <c r="C94" s="101">
        <v>93</v>
      </c>
      <c r="D94" s="102" t="s">
        <v>7249</v>
      </c>
      <c r="E94" s="102" t="s">
        <v>846</v>
      </c>
      <c r="G94" s="102" t="s">
        <v>3403</v>
      </c>
      <c r="K94" s="102" t="s">
        <v>7250</v>
      </c>
      <c r="S94" s="102" t="s">
        <v>5281</v>
      </c>
      <c r="T94" s="102" t="s">
        <v>4</v>
      </c>
    </row>
    <row r="95" spans="1:20">
      <c r="A95" s="102" t="s">
        <v>3498</v>
      </c>
      <c r="B95" s="102" t="s">
        <v>3759</v>
      </c>
      <c r="C95" s="101">
        <v>94</v>
      </c>
      <c r="D95" s="102" t="s">
        <v>7251</v>
      </c>
      <c r="E95" s="102" t="s">
        <v>846</v>
      </c>
      <c r="G95" s="102" t="s">
        <v>3403</v>
      </c>
      <c r="J95" s="102" t="s">
        <v>13427</v>
      </c>
      <c r="K95" s="102" t="s">
        <v>7252</v>
      </c>
      <c r="S95" s="102" t="s">
        <v>14</v>
      </c>
      <c r="T95" s="102" t="s">
        <v>4</v>
      </c>
    </row>
    <row r="96" spans="1:20">
      <c r="A96" s="102" t="s">
        <v>3498</v>
      </c>
      <c r="B96" s="102" t="s">
        <v>3759</v>
      </c>
      <c r="C96" s="101">
        <v>95</v>
      </c>
      <c r="D96" s="102" t="s">
        <v>7253</v>
      </c>
      <c r="E96" s="102" t="s">
        <v>846</v>
      </c>
      <c r="G96" s="102" t="s">
        <v>3403</v>
      </c>
      <c r="J96" s="102" t="s">
        <v>13427</v>
      </c>
      <c r="K96" s="102" t="s">
        <v>5000</v>
      </c>
      <c r="S96" s="102" t="s">
        <v>174</v>
      </c>
      <c r="T96" s="102" t="s">
        <v>4</v>
      </c>
    </row>
    <row r="97" spans="1:20">
      <c r="A97" s="102" t="s">
        <v>3498</v>
      </c>
      <c r="B97" s="102" t="s">
        <v>3759</v>
      </c>
      <c r="C97" s="101">
        <v>96</v>
      </c>
      <c r="D97" s="102" t="s">
        <v>7254</v>
      </c>
      <c r="E97" s="102" t="s">
        <v>846</v>
      </c>
      <c r="G97" s="102" t="s">
        <v>3403</v>
      </c>
      <c r="K97" s="102" t="s">
        <v>7255</v>
      </c>
      <c r="L97" s="102" t="s">
        <v>3768</v>
      </c>
      <c r="S97" s="102" t="s">
        <v>53</v>
      </c>
      <c r="T97" s="102" t="s">
        <v>4</v>
      </c>
    </row>
    <row r="98" spans="1:20">
      <c r="A98" s="102" t="s">
        <v>3498</v>
      </c>
      <c r="B98" s="102" t="s">
        <v>3759</v>
      </c>
      <c r="C98" s="101">
        <v>97</v>
      </c>
      <c r="D98" s="102" t="s">
        <v>7256</v>
      </c>
      <c r="E98" s="102" t="s">
        <v>846</v>
      </c>
      <c r="G98" s="102" t="s">
        <v>3403</v>
      </c>
      <c r="K98" s="102" t="s">
        <v>7257</v>
      </c>
      <c r="S98" s="102" t="s">
        <v>177</v>
      </c>
      <c r="T98" s="102" t="s">
        <v>4</v>
      </c>
    </row>
    <row r="99" spans="1:20">
      <c r="A99" s="102" t="s">
        <v>3498</v>
      </c>
      <c r="B99" s="102" t="s">
        <v>3759</v>
      </c>
      <c r="C99" s="101">
        <v>98</v>
      </c>
      <c r="D99" s="102" t="s">
        <v>4929</v>
      </c>
      <c r="E99" s="102" t="s">
        <v>846</v>
      </c>
      <c r="G99" s="102" t="s">
        <v>3403</v>
      </c>
      <c r="K99" s="102" t="s">
        <v>4930</v>
      </c>
      <c r="L99" s="102" t="s">
        <v>4931</v>
      </c>
      <c r="S99" s="102" t="s">
        <v>46</v>
      </c>
      <c r="T99" s="102" t="s">
        <v>4</v>
      </c>
    </row>
    <row r="100" spans="1:20">
      <c r="A100" s="102" t="s">
        <v>3498</v>
      </c>
      <c r="B100" s="102" t="s">
        <v>3759</v>
      </c>
      <c r="C100" s="101">
        <v>99</v>
      </c>
      <c r="D100" s="102" t="s">
        <v>4956</v>
      </c>
      <c r="E100" s="102" t="s">
        <v>846</v>
      </c>
      <c r="G100" s="102" t="s">
        <v>3403</v>
      </c>
      <c r="J100" s="102" t="s">
        <v>13427</v>
      </c>
      <c r="K100" s="102" t="s">
        <v>4957</v>
      </c>
      <c r="S100" s="102" t="s">
        <v>26</v>
      </c>
      <c r="T100" s="102" t="s">
        <v>4</v>
      </c>
    </row>
    <row r="101" spans="1:20">
      <c r="A101" s="102" t="s">
        <v>3498</v>
      </c>
      <c r="B101" s="102" t="s">
        <v>3759</v>
      </c>
      <c r="C101" s="101">
        <v>100</v>
      </c>
      <c r="D101" s="102" t="s">
        <v>7258</v>
      </c>
      <c r="E101" s="102" t="s">
        <v>846</v>
      </c>
      <c r="G101" s="102" t="s">
        <v>3403</v>
      </c>
      <c r="K101" s="102" t="s">
        <v>7259</v>
      </c>
      <c r="S101" s="102" t="s">
        <v>32</v>
      </c>
      <c r="T101" s="102" t="s">
        <v>4</v>
      </c>
    </row>
    <row r="102" spans="1:20">
      <c r="A102" s="102" t="s">
        <v>3498</v>
      </c>
      <c r="B102" s="102" t="s">
        <v>3759</v>
      </c>
      <c r="C102" s="101">
        <v>101</v>
      </c>
      <c r="D102" s="102" t="s">
        <v>7260</v>
      </c>
      <c r="E102" s="102" t="s">
        <v>847</v>
      </c>
      <c r="G102" s="102" t="s">
        <v>3403</v>
      </c>
      <c r="H102" s="102" t="s">
        <v>5180</v>
      </c>
      <c r="K102" s="102" t="s">
        <v>7130</v>
      </c>
      <c r="L102" s="102" t="s">
        <v>7175</v>
      </c>
      <c r="S102" s="102" t="s">
        <v>175</v>
      </c>
      <c r="T102" s="102" t="s">
        <v>4</v>
      </c>
    </row>
    <row r="103" spans="1:20">
      <c r="A103" s="102" t="s">
        <v>3498</v>
      </c>
      <c r="B103" s="102" t="s">
        <v>3759</v>
      </c>
      <c r="C103" s="101">
        <v>102</v>
      </c>
      <c r="D103" s="102" t="s">
        <v>7261</v>
      </c>
      <c r="E103" s="102" t="s">
        <v>847</v>
      </c>
      <c r="G103" s="102" t="s">
        <v>3403</v>
      </c>
      <c r="K103" s="102" t="s">
        <v>7262</v>
      </c>
      <c r="S103" s="102" t="s">
        <v>33</v>
      </c>
      <c r="T103" s="102" t="s">
        <v>4</v>
      </c>
    </row>
    <row r="104" spans="1:20">
      <c r="A104" s="102" t="s">
        <v>3498</v>
      </c>
      <c r="B104" s="102" t="s">
        <v>3759</v>
      </c>
      <c r="C104" s="101">
        <v>103</v>
      </c>
      <c r="D104" s="102" t="s">
        <v>7263</v>
      </c>
      <c r="E104" s="102" t="s">
        <v>847</v>
      </c>
      <c r="G104" s="102" t="s">
        <v>3403</v>
      </c>
      <c r="K104" s="102" t="s">
        <v>7264</v>
      </c>
      <c r="L104" s="102" t="s">
        <v>6410</v>
      </c>
      <c r="S104" s="102" t="s">
        <v>5381</v>
      </c>
      <c r="T104" s="102" t="s">
        <v>4</v>
      </c>
    </row>
    <row r="105" spans="1:20">
      <c r="A105" s="102" t="s">
        <v>3498</v>
      </c>
      <c r="B105" s="102" t="s">
        <v>3759</v>
      </c>
      <c r="C105" s="101">
        <v>104</v>
      </c>
      <c r="D105" s="102" t="s">
        <v>7265</v>
      </c>
      <c r="E105" s="102" t="s">
        <v>848</v>
      </c>
      <c r="G105" s="102" t="s">
        <v>3445</v>
      </c>
      <c r="H105" s="102" t="s">
        <v>13398</v>
      </c>
      <c r="J105" s="102" t="s">
        <v>13427</v>
      </c>
      <c r="K105" s="102" t="s">
        <v>7266</v>
      </c>
      <c r="S105" s="102" t="s">
        <v>5281</v>
      </c>
      <c r="T105" s="102" t="s">
        <v>4</v>
      </c>
    </row>
    <row r="106" spans="1:20">
      <c r="A106" s="102" t="s">
        <v>3498</v>
      </c>
      <c r="B106" s="102" t="s">
        <v>3759</v>
      </c>
      <c r="C106" s="101">
        <v>105</v>
      </c>
      <c r="D106" s="102" t="s">
        <v>7267</v>
      </c>
      <c r="E106" s="102" t="s">
        <v>847</v>
      </c>
      <c r="G106" s="102" t="s">
        <v>3403</v>
      </c>
      <c r="K106" s="102" t="s">
        <v>7268</v>
      </c>
      <c r="L106" s="102" t="s">
        <v>3768</v>
      </c>
      <c r="S106" s="102" t="s">
        <v>50</v>
      </c>
      <c r="T106" s="102" t="s">
        <v>4</v>
      </c>
    </row>
    <row r="107" spans="1:20">
      <c r="A107" s="102" t="s">
        <v>3498</v>
      </c>
      <c r="B107" s="102" t="s">
        <v>3759</v>
      </c>
      <c r="C107" s="101">
        <v>106</v>
      </c>
      <c r="D107" s="102" t="s">
        <v>7269</v>
      </c>
      <c r="E107" s="102" t="s">
        <v>847</v>
      </c>
      <c r="G107" s="102" t="s">
        <v>3403</v>
      </c>
      <c r="J107" s="102" t="s">
        <v>13427</v>
      </c>
      <c r="K107" s="102" t="s">
        <v>7270</v>
      </c>
      <c r="S107" s="102" t="s">
        <v>53</v>
      </c>
      <c r="T107" s="102" t="s">
        <v>4</v>
      </c>
    </row>
    <row r="108" spans="1:20">
      <c r="A108" s="102" t="s">
        <v>3498</v>
      </c>
      <c r="B108" s="102" t="s">
        <v>3759</v>
      </c>
      <c r="C108" s="101">
        <v>107</v>
      </c>
      <c r="D108" s="102" t="s">
        <v>4972</v>
      </c>
      <c r="E108" s="102" t="s">
        <v>848</v>
      </c>
      <c r="G108" s="102" t="s">
        <v>3403</v>
      </c>
      <c r="K108" s="102" t="s">
        <v>4973</v>
      </c>
      <c r="S108" s="102" t="s">
        <v>177</v>
      </c>
      <c r="T108" s="102" t="s">
        <v>4</v>
      </c>
    </row>
    <row r="109" spans="1:20">
      <c r="A109" s="102" t="s">
        <v>3498</v>
      </c>
      <c r="B109" s="102" t="s">
        <v>3759</v>
      </c>
      <c r="C109" s="101">
        <v>108</v>
      </c>
      <c r="D109" s="102" t="s">
        <v>7271</v>
      </c>
      <c r="E109" s="102" t="s">
        <v>847</v>
      </c>
      <c r="G109" s="102" t="s">
        <v>3403</v>
      </c>
      <c r="J109" s="102" t="s">
        <v>13427</v>
      </c>
      <c r="K109" s="102" t="s">
        <v>7272</v>
      </c>
      <c r="S109" s="102" t="s">
        <v>46</v>
      </c>
      <c r="T109" s="102" t="s">
        <v>4</v>
      </c>
    </row>
    <row r="110" spans="1:20">
      <c r="A110" s="102" t="s">
        <v>3498</v>
      </c>
      <c r="B110" s="102" t="s">
        <v>3759</v>
      </c>
      <c r="C110" s="101">
        <v>109</v>
      </c>
      <c r="D110" s="102" t="s">
        <v>7273</v>
      </c>
      <c r="E110" s="102" t="s">
        <v>847</v>
      </c>
      <c r="G110" s="102" t="s">
        <v>3403</v>
      </c>
      <c r="H110" s="102" t="s">
        <v>5180</v>
      </c>
      <c r="K110" s="102" t="s">
        <v>7274</v>
      </c>
      <c r="S110" s="102" t="s">
        <v>179</v>
      </c>
      <c r="T110" s="102" t="s">
        <v>4</v>
      </c>
    </row>
    <row r="111" spans="1:20">
      <c r="A111" s="102" t="s">
        <v>3498</v>
      </c>
      <c r="B111" s="102" t="s">
        <v>3759</v>
      </c>
      <c r="C111" s="101">
        <v>110</v>
      </c>
      <c r="D111" s="102" t="s">
        <v>7275</v>
      </c>
      <c r="E111" s="102" t="s">
        <v>847</v>
      </c>
      <c r="G111" s="102" t="s">
        <v>3403</v>
      </c>
      <c r="K111" s="102" t="s">
        <v>4930</v>
      </c>
      <c r="L111" s="102" t="s">
        <v>3768</v>
      </c>
      <c r="S111" s="102" t="s">
        <v>5685</v>
      </c>
      <c r="T111" s="102" t="s">
        <v>4</v>
      </c>
    </row>
    <row r="112" spans="1:20">
      <c r="A112" s="102" t="s">
        <v>3498</v>
      </c>
      <c r="B112" s="102" t="s">
        <v>3759</v>
      </c>
      <c r="C112" s="101">
        <v>111</v>
      </c>
      <c r="D112" s="102" t="s">
        <v>7276</v>
      </c>
      <c r="E112" s="102" t="s">
        <v>847</v>
      </c>
      <c r="G112" s="102" t="s">
        <v>3403</v>
      </c>
      <c r="K112" s="102" t="s">
        <v>4258</v>
      </c>
      <c r="L112" s="102" t="s">
        <v>3768</v>
      </c>
      <c r="S112" s="102" t="s">
        <v>31</v>
      </c>
      <c r="T112" s="102" t="s">
        <v>4</v>
      </c>
    </row>
    <row r="113" spans="1:20">
      <c r="A113" s="108" t="s">
        <v>3498</v>
      </c>
      <c r="B113" s="108" t="s">
        <v>3759</v>
      </c>
      <c r="C113" s="107">
        <v>112</v>
      </c>
      <c r="D113" s="108" t="s">
        <v>7277</v>
      </c>
      <c r="E113" s="108" t="s">
        <v>847</v>
      </c>
      <c r="F113" s="108"/>
      <c r="G113" s="108" t="s">
        <v>3403</v>
      </c>
      <c r="H113" s="108"/>
      <c r="I113" s="108"/>
      <c r="J113" s="108"/>
      <c r="K113" s="108" t="s">
        <v>4334</v>
      </c>
      <c r="L113" s="108"/>
      <c r="M113" s="108"/>
      <c r="N113" s="108"/>
      <c r="O113" s="108"/>
      <c r="P113" s="108"/>
      <c r="Q113" s="108"/>
      <c r="S113" s="102" t="s">
        <v>170</v>
      </c>
      <c r="T113" s="102" t="s">
        <v>4</v>
      </c>
    </row>
    <row r="114" spans="1:20">
      <c r="A114" s="102" t="s">
        <v>3498</v>
      </c>
      <c r="B114" s="102" t="s">
        <v>3759</v>
      </c>
      <c r="C114" s="101">
        <v>113</v>
      </c>
      <c r="D114" s="102" t="s">
        <v>7278</v>
      </c>
      <c r="E114" s="102" t="s">
        <v>847</v>
      </c>
      <c r="G114" s="102" t="s">
        <v>3403</v>
      </c>
      <c r="K114" s="102" t="s">
        <v>7279</v>
      </c>
      <c r="S114" s="102" t="s">
        <v>180</v>
      </c>
      <c r="T114" s="102" t="s">
        <v>4</v>
      </c>
    </row>
    <row r="115" spans="1:20">
      <c r="A115" s="102" t="s">
        <v>3498</v>
      </c>
      <c r="B115" s="102" t="s">
        <v>3759</v>
      </c>
      <c r="C115" s="101">
        <v>114</v>
      </c>
      <c r="D115" s="102" t="s">
        <v>7280</v>
      </c>
      <c r="E115" s="102" t="s">
        <v>847</v>
      </c>
      <c r="G115" s="102" t="s">
        <v>3403</v>
      </c>
      <c r="K115" s="102" t="s">
        <v>7281</v>
      </c>
      <c r="S115" s="102" t="s">
        <v>29</v>
      </c>
      <c r="T115" s="102" t="s">
        <v>4</v>
      </c>
    </row>
    <row r="116" spans="1:20">
      <c r="A116" s="102" t="s">
        <v>3498</v>
      </c>
      <c r="B116" s="102" t="s">
        <v>3759</v>
      </c>
      <c r="C116" s="101">
        <v>115</v>
      </c>
      <c r="D116" s="102" t="s">
        <v>7282</v>
      </c>
      <c r="E116" s="102" t="s">
        <v>847</v>
      </c>
      <c r="G116" s="102" t="s">
        <v>3403</v>
      </c>
      <c r="J116" s="102" t="s">
        <v>13427</v>
      </c>
      <c r="K116" s="102" t="s">
        <v>7283</v>
      </c>
      <c r="L116" s="102" t="s">
        <v>3768</v>
      </c>
      <c r="S116" s="102" t="s">
        <v>11</v>
      </c>
      <c r="T116" s="102" t="s">
        <v>4</v>
      </c>
    </row>
    <row r="117" spans="1:20">
      <c r="A117" s="102" t="s">
        <v>3498</v>
      </c>
      <c r="B117" s="102" t="s">
        <v>3759</v>
      </c>
      <c r="C117" s="101">
        <v>116</v>
      </c>
      <c r="D117" s="102" t="s">
        <v>7284</v>
      </c>
      <c r="E117" s="102" t="s">
        <v>847</v>
      </c>
      <c r="G117" s="102" t="s">
        <v>3403</v>
      </c>
      <c r="K117" s="102" t="s">
        <v>7285</v>
      </c>
      <c r="S117" s="102" t="s">
        <v>37</v>
      </c>
      <c r="T117" s="102" t="s">
        <v>4</v>
      </c>
    </row>
    <row r="118" spans="1:20">
      <c r="A118" s="102" t="s">
        <v>3498</v>
      </c>
      <c r="B118" s="102" t="s">
        <v>3759</v>
      </c>
      <c r="C118" s="101">
        <v>117</v>
      </c>
      <c r="D118" s="102" t="s">
        <v>7286</v>
      </c>
      <c r="E118" s="102" t="s">
        <v>847</v>
      </c>
      <c r="G118" s="102" t="s">
        <v>3403</v>
      </c>
      <c r="K118" s="102" t="s">
        <v>7086</v>
      </c>
      <c r="L118" s="102" t="s">
        <v>3768</v>
      </c>
      <c r="S118" s="102" t="s">
        <v>38</v>
      </c>
      <c r="T118" s="102" t="s">
        <v>4</v>
      </c>
    </row>
    <row r="119" spans="1:20">
      <c r="A119" s="102" t="s">
        <v>3498</v>
      </c>
      <c r="B119" s="102" t="s">
        <v>3759</v>
      </c>
      <c r="C119" s="101">
        <v>118</v>
      </c>
      <c r="D119" s="102" t="s">
        <v>7287</v>
      </c>
      <c r="E119" s="102" t="s">
        <v>848</v>
      </c>
      <c r="G119" s="102" t="s">
        <v>3403</v>
      </c>
      <c r="H119" s="102" t="s">
        <v>5180</v>
      </c>
      <c r="K119" s="102" t="s">
        <v>7288</v>
      </c>
      <c r="L119" s="102" t="s">
        <v>7289</v>
      </c>
      <c r="S119" s="102" t="s">
        <v>175</v>
      </c>
      <c r="T119" s="102" t="s">
        <v>4</v>
      </c>
    </row>
    <row r="120" spans="1:20">
      <c r="A120" s="102" t="s">
        <v>3498</v>
      </c>
      <c r="B120" s="102" t="s">
        <v>3759</v>
      </c>
      <c r="C120" s="101">
        <v>119</v>
      </c>
      <c r="D120" s="102" t="s">
        <v>4999</v>
      </c>
      <c r="E120" s="102" t="s">
        <v>847</v>
      </c>
      <c r="G120" s="102" t="s">
        <v>3403</v>
      </c>
      <c r="J120" s="102" t="s">
        <v>13427</v>
      </c>
      <c r="K120" s="102" t="s">
        <v>937</v>
      </c>
      <c r="L120" s="102" t="s">
        <v>13426</v>
      </c>
      <c r="S120" s="102" t="s">
        <v>35</v>
      </c>
      <c r="T120" s="102" t="s">
        <v>4</v>
      </c>
    </row>
    <row r="121" spans="1:20">
      <c r="A121" s="102" t="s">
        <v>3498</v>
      </c>
      <c r="B121" s="102" t="s">
        <v>3759</v>
      </c>
      <c r="C121" s="101">
        <v>120</v>
      </c>
      <c r="D121" s="102" t="s">
        <v>5007</v>
      </c>
      <c r="E121" s="102" t="s">
        <v>847</v>
      </c>
      <c r="G121" s="102" t="s">
        <v>3403</v>
      </c>
      <c r="K121" s="102" t="s">
        <v>4903</v>
      </c>
      <c r="L121" s="102" t="s">
        <v>3768</v>
      </c>
      <c r="S121" s="102" t="s">
        <v>604</v>
      </c>
      <c r="T121" s="102" t="s">
        <v>4</v>
      </c>
    </row>
    <row r="122" spans="1:20">
      <c r="A122" s="102" t="s">
        <v>3498</v>
      </c>
      <c r="B122" s="102" t="s">
        <v>3759</v>
      </c>
      <c r="C122" s="101">
        <v>121</v>
      </c>
      <c r="D122" s="102" t="s">
        <v>4995</v>
      </c>
      <c r="E122" s="102" t="s">
        <v>847</v>
      </c>
      <c r="G122" s="102" t="s">
        <v>3403</v>
      </c>
      <c r="K122" s="102" t="s">
        <v>4996</v>
      </c>
      <c r="S122" s="102" t="s">
        <v>48</v>
      </c>
      <c r="T122" s="102" t="s">
        <v>4</v>
      </c>
    </row>
    <row r="123" spans="1:20">
      <c r="A123" s="102" t="s">
        <v>3498</v>
      </c>
      <c r="B123" s="102" t="s">
        <v>3759</v>
      </c>
      <c r="C123" s="101">
        <v>122</v>
      </c>
      <c r="D123" s="102" t="s">
        <v>7290</v>
      </c>
      <c r="E123" s="102" t="s">
        <v>847</v>
      </c>
      <c r="G123" s="102" t="s">
        <v>3403</v>
      </c>
      <c r="J123" s="102" t="s">
        <v>13427</v>
      </c>
      <c r="K123" s="102" t="s">
        <v>7270</v>
      </c>
      <c r="L123" s="102" t="s">
        <v>4953</v>
      </c>
      <c r="S123" s="102" t="s">
        <v>29</v>
      </c>
      <c r="T123" s="102" t="s">
        <v>4</v>
      </c>
    </row>
    <row r="124" spans="1:20">
      <c r="A124" s="102" t="s">
        <v>3498</v>
      </c>
      <c r="B124" s="102" t="s">
        <v>3759</v>
      </c>
      <c r="C124" s="101">
        <v>123</v>
      </c>
      <c r="D124" s="102" t="s">
        <v>7291</v>
      </c>
      <c r="E124" s="102" t="s">
        <v>847</v>
      </c>
      <c r="G124" s="102" t="s">
        <v>3403</v>
      </c>
      <c r="J124" s="102" t="s">
        <v>13427</v>
      </c>
      <c r="K124" s="102" t="s">
        <v>7292</v>
      </c>
      <c r="L124" s="102" t="s">
        <v>4953</v>
      </c>
      <c r="S124" s="102" t="s">
        <v>15</v>
      </c>
      <c r="T124" s="102" t="s">
        <v>4</v>
      </c>
    </row>
    <row r="125" spans="1:20">
      <c r="A125" s="102" t="s">
        <v>3498</v>
      </c>
      <c r="B125" s="102" t="s">
        <v>3759</v>
      </c>
      <c r="C125" s="101">
        <v>124</v>
      </c>
      <c r="D125" s="102" t="s">
        <v>7293</v>
      </c>
      <c r="E125" s="102" t="s">
        <v>847</v>
      </c>
      <c r="G125" s="102" t="s">
        <v>3403</v>
      </c>
      <c r="K125" s="102" t="s">
        <v>7294</v>
      </c>
      <c r="S125" s="102" t="s">
        <v>45</v>
      </c>
      <c r="T125" s="102" t="s">
        <v>4</v>
      </c>
    </row>
    <row r="126" spans="1:20">
      <c r="A126" s="102" t="s">
        <v>3498</v>
      </c>
      <c r="B126" s="102" t="s">
        <v>3759</v>
      </c>
      <c r="C126" s="101">
        <v>125</v>
      </c>
      <c r="D126" s="102" t="s">
        <v>7295</v>
      </c>
      <c r="E126" s="102" t="s">
        <v>847</v>
      </c>
      <c r="G126" s="102" t="s">
        <v>3403</v>
      </c>
      <c r="J126" s="102" t="s">
        <v>13427</v>
      </c>
      <c r="K126" s="102" t="s">
        <v>7296</v>
      </c>
      <c r="L126" s="102" t="s">
        <v>7297</v>
      </c>
      <c r="S126" s="102" t="s">
        <v>37</v>
      </c>
      <c r="T126" s="102" t="s">
        <v>4</v>
      </c>
    </row>
    <row r="127" spans="1:20">
      <c r="A127" s="102" t="s">
        <v>3498</v>
      </c>
      <c r="B127" s="102" t="s">
        <v>3759</v>
      </c>
      <c r="C127" s="101">
        <v>126</v>
      </c>
      <c r="D127" s="102" t="s">
        <v>7298</v>
      </c>
      <c r="E127" s="102" t="s">
        <v>847</v>
      </c>
      <c r="G127" s="102" t="s">
        <v>3403</v>
      </c>
      <c r="K127" s="102" t="s">
        <v>7299</v>
      </c>
      <c r="S127" s="102" t="s">
        <v>39</v>
      </c>
      <c r="T127" s="102" t="s">
        <v>4</v>
      </c>
    </row>
    <row r="128" spans="1:20">
      <c r="A128" s="102" t="s">
        <v>3498</v>
      </c>
      <c r="B128" s="102" t="s">
        <v>3759</v>
      </c>
      <c r="C128" s="101">
        <v>127</v>
      </c>
      <c r="D128" s="102" t="s">
        <v>7300</v>
      </c>
      <c r="E128" s="102" t="s">
        <v>847</v>
      </c>
      <c r="G128" s="102" t="s">
        <v>3403</v>
      </c>
      <c r="J128" s="102" t="s">
        <v>13427</v>
      </c>
      <c r="K128" s="102" t="s">
        <v>7301</v>
      </c>
      <c r="S128" s="102" t="s">
        <v>179</v>
      </c>
      <c r="T128" s="102" t="s">
        <v>4</v>
      </c>
    </row>
    <row r="129" spans="1:20">
      <c r="A129" s="102" t="s">
        <v>3498</v>
      </c>
      <c r="B129" s="102" t="s">
        <v>3759</v>
      </c>
      <c r="C129" s="101">
        <v>128</v>
      </c>
      <c r="D129" s="102" t="s">
        <v>5009</v>
      </c>
      <c r="E129" s="102" t="s">
        <v>847</v>
      </c>
      <c r="G129" s="102" t="s">
        <v>3403</v>
      </c>
      <c r="J129" s="102" t="s">
        <v>13427</v>
      </c>
      <c r="K129" s="102" t="s">
        <v>5010</v>
      </c>
      <c r="S129" s="102" t="s">
        <v>168</v>
      </c>
      <c r="T129" s="102" t="s">
        <v>4</v>
      </c>
    </row>
    <row r="130" spans="1:20">
      <c r="A130" s="102" t="s">
        <v>3498</v>
      </c>
      <c r="B130" s="102" t="s">
        <v>3759</v>
      </c>
      <c r="C130" s="101">
        <v>129</v>
      </c>
      <c r="D130" s="102" t="s">
        <v>4978</v>
      </c>
      <c r="E130" s="102" t="s">
        <v>847</v>
      </c>
      <c r="G130" s="102" t="s">
        <v>3403</v>
      </c>
      <c r="K130" s="102" t="s">
        <v>4979</v>
      </c>
      <c r="S130" s="102" t="s">
        <v>177</v>
      </c>
      <c r="T130" s="102" t="s">
        <v>4</v>
      </c>
    </row>
    <row r="131" spans="1:20">
      <c r="A131" s="102" t="s">
        <v>3498</v>
      </c>
      <c r="B131" s="102" t="s">
        <v>3759</v>
      </c>
      <c r="C131" s="101">
        <v>130</v>
      </c>
      <c r="D131" s="102" t="s">
        <v>7302</v>
      </c>
      <c r="E131" s="102" t="s">
        <v>847</v>
      </c>
      <c r="G131" s="102" t="s">
        <v>3403</v>
      </c>
      <c r="K131" s="102" t="s">
        <v>7303</v>
      </c>
      <c r="S131" s="102" t="s">
        <v>26</v>
      </c>
      <c r="T131" s="102" t="s">
        <v>4</v>
      </c>
    </row>
    <row r="132" spans="1:20">
      <c r="A132" s="108" t="s">
        <v>3498</v>
      </c>
      <c r="B132" s="108" t="s">
        <v>3759</v>
      </c>
      <c r="C132" s="107">
        <v>131</v>
      </c>
      <c r="D132" s="108" t="s">
        <v>7304</v>
      </c>
      <c r="E132" s="108" t="s">
        <v>847</v>
      </c>
      <c r="F132" s="108"/>
      <c r="G132" s="108" t="s">
        <v>3403</v>
      </c>
      <c r="H132" s="108"/>
      <c r="I132" s="108"/>
      <c r="J132" s="108" t="s">
        <v>13427</v>
      </c>
      <c r="K132" s="108" t="s">
        <v>5000</v>
      </c>
      <c r="L132" s="108" t="s">
        <v>7305</v>
      </c>
      <c r="M132" s="108"/>
      <c r="N132" s="108"/>
      <c r="O132" s="108"/>
      <c r="P132" s="108"/>
      <c r="Q132" s="108"/>
      <c r="S132" s="102" t="s">
        <v>48</v>
      </c>
      <c r="T132" s="102" t="s">
        <v>4</v>
      </c>
    </row>
    <row r="133" spans="1:20">
      <c r="A133" s="102" t="s">
        <v>3498</v>
      </c>
      <c r="B133" s="102" t="s">
        <v>3759</v>
      </c>
      <c r="C133" s="101">
        <v>132</v>
      </c>
      <c r="D133" s="102" t="s">
        <v>7306</v>
      </c>
      <c r="E133" s="102" t="s">
        <v>847</v>
      </c>
      <c r="G133" s="102" t="s">
        <v>3403</v>
      </c>
      <c r="J133" s="102" t="s">
        <v>13427</v>
      </c>
      <c r="K133" s="102" t="s">
        <v>7307</v>
      </c>
      <c r="S133" s="102" t="s">
        <v>175</v>
      </c>
      <c r="T133" s="102" t="s">
        <v>4</v>
      </c>
    </row>
    <row r="134" spans="1:20">
      <c r="A134" s="102" t="s">
        <v>3498</v>
      </c>
      <c r="B134" s="102" t="s">
        <v>3759</v>
      </c>
      <c r="C134" s="101">
        <v>133</v>
      </c>
      <c r="D134" s="102" t="s">
        <v>7308</v>
      </c>
      <c r="E134" s="102" t="s">
        <v>847</v>
      </c>
      <c r="G134" s="102" t="s">
        <v>3403</v>
      </c>
      <c r="K134" s="102" t="s">
        <v>7309</v>
      </c>
      <c r="S134" s="102" t="s">
        <v>34</v>
      </c>
      <c r="T134" s="102" t="s">
        <v>4</v>
      </c>
    </row>
    <row r="135" spans="1:20">
      <c r="A135" s="102" t="s">
        <v>3498</v>
      </c>
      <c r="B135" s="102" t="s">
        <v>3759</v>
      </c>
      <c r="C135" s="101">
        <v>134</v>
      </c>
      <c r="D135" s="102" t="s">
        <v>7310</v>
      </c>
      <c r="E135" s="102" t="s">
        <v>847</v>
      </c>
      <c r="G135" s="102" t="s">
        <v>3403</v>
      </c>
      <c r="K135" s="102" t="s">
        <v>4334</v>
      </c>
      <c r="L135" s="102" t="s">
        <v>7311</v>
      </c>
      <c r="M135" s="102" t="s">
        <v>7312</v>
      </c>
      <c r="S135" s="102" t="s">
        <v>15</v>
      </c>
      <c r="T135" s="102" t="s">
        <v>4</v>
      </c>
    </row>
    <row r="136" spans="1:20">
      <c r="A136" s="102" t="s">
        <v>3498</v>
      </c>
      <c r="B136" s="102" t="s">
        <v>3759</v>
      </c>
      <c r="C136" s="101">
        <v>135</v>
      </c>
      <c r="D136" s="102" t="s">
        <v>7313</v>
      </c>
      <c r="E136" s="102" t="s">
        <v>847</v>
      </c>
      <c r="G136" s="102" t="s">
        <v>3403</v>
      </c>
      <c r="J136" s="102" t="s">
        <v>13427</v>
      </c>
      <c r="K136" s="102" t="s">
        <v>7314</v>
      </c>
      <c r="S136" s="102" t="s">
        <v>45</v>
      </c>
      <c r="T136" s="102" t="s">
        <v>4</v>
      </c>
    </row>
    <row r="137" spans="1:20">
      <c r="A137" s="102" t="s">
        <v>3498</v>
      </c>
      <c r="B137" s="102" t="s">
        <v>3759</v>
      </c>
      <c r="C137" s="101">
        <v>136</v>
      </c>
      <c r="D137" s="102" t="s">
        <v>7315</v>
      </c>
      <c r="E137" s="102" t="s">
        <v>847</v>
      </c>
      <c r="G137" s="102" t="s">
        <v>3403</v>
      </c>
      <c r="K137" s="102" t="s">
        <v>7288</v>
      </c>
      <c r="S137" s="102" t="s">
        <v>46</v>
      </c>
      <c r="T137" s="102" t="s">
        <v>4</v>
      </c>
    </row>
    <row r="138" spans="1:20">
      <c r="A138" s="102" t="s">
        <v>3498</v>
      </c>
      <c r="B138" s="102" t="s">
        <v>3759</v>
      </c>
      <c r="C138" s="101">
        <v>137</v>
      </c>
      <c r="D138" s="102" t="s">
        <v>7316</v>
      </c>
      <c r="E138" s="102" t="s">
        <v>847</v>
      </c>
      <c r="G138" s="102" t="s">
        <v>3403</v>
      </c>
      <c r="H138" s="102" t="s">
        <v>5180</v>
      </c>
      <c r="K138" s="102" t="s">
        <v>7317</v>
      </c>
      <c r="S138" s="102" t="s">
        <v>183</v>
      </c>
      <c r="T138" s="102" t="s">
        <v>4</v>
      </c>
    </row>
    <row r="139" spans="1:20">
      <c r="A139" s="102" t="s">
        <v>3498</v>
      </c>
      <c r="B139" s="102" t="s">
        <v>3759</v>
      </c>
      <c r="C139" s="101">
        <v>138</v>
      </c>
      <c r="D139" s="102" t="s">
        <v>7318</v>
      </c>
      <c r="E139" s="102" t="s">
        <v>847</v>
      </c>
      <c r="G139" s="102" t="s">
        <v>3403</v>
      </c>
      <c r="K139" s="102" t="s">
        <v>7319</v>
      </c>
      <c r="S139" s="102" t="s">
        <v>53</v>
      </c>
      <c r="T139" s="102" t="s">
        <v>4</v>
      </c>
    </row>
    <row r="140" spans="1:20">
      <c r="A140" s="102" t="s">
        <v>3498</v>
      </c>
      <c r="B140" s="102" t="s">
        <v>3759</v>
      </c>
      <c r="C140" s="101">
        <v>139</v>
      </c>
      <c r="D140" s="102" t="s">
        <v>7320</v>
      </c>
      <c r="E140" s="102" t="s">
        <v>847</v>
      </c>
      <c r="G140" s="102" t="s">
        <v>3403</v>
      </c>
      <c r="J140" s="102" t="s">
        <v>13427</v>
      </c>
      <c r="K140" s="102" t="s">
        <v>7321</v>
      </c>
      <c r="S140" s="102" t="s">
        <v>177</v>
      </c>
      <c r="T140" s="102" t="s">
        <v>4</v>
      </c>
    </row>
    <row r="141" spans="1:20">
      <c r="A141" s="102" t="s">
        <v>3498</v>
      </c>
      <c r="B141" s="102" t="s">
        <v>3759</v>
      </c>
      <c r="C141" s="101">
        <v>140</v>
      </c>
      <c r="D141" s="102" t="s">
        <v>7322</v>
      </c>
      <c r="E141" s="102" t="s">
        <v>847</v>
      </c>
      <c r="G141" s="102" t="s">
        <v>3403</v>
      </c>
      <c r="K141" s="102" t="s">
        <v>7323</v>
      </c>
      <c r="L141" s="102" t="s">
        <v>3768</v>
      </c>
      <c r="S141" s="102" t="s">
        <v>5685</v>
      </c>
      <c r="T141" s="102" t="s">
        <v>4</v>
      </c>
    </row>
    <row r="142" spans="1:20">
      <c r="A142" s="102" t="s">
        <v>3498</v>
      </c>
      <c r="B142" s="102" t="s">
        <v>3759</v>
      </c>
      <c r="C142" s="101">
        <v>141</v>
      </c>
      <c r="D142" s="102" t="s">
        <v>7324</v>
      </c>
      <c r="E142" s="102" t="s">
        <v>847</v>
      </c>
      <c r="G142" s="102" t="s">
        <v>3403</v>
      </c>
      <c r="K142" s="102" t="s">
        <v>7325</v>
      </c>
      <c r="S142" s="102" t="s">
        <v>3747</v>
      </c>
      <c r="T142" s="102" t="s">
        <v>4</v>
      </c>
    </row>
    <row r="143" spans="1:20">
      <c r="A143" s="102" t="s">
        <v>3498</v>
      </c>
      <c r="B143" s="102" t="s">
        <v>3759</v>
      </c>
      <c r="C143" s="101">
        <v>142</v>
      </c>
      <c r="D143" s="102" t="s">
        <v>7326</v>
      </c>
      <c r="E143" s="102" t="s">
        <v>847</v>
      </c>
      <c r="G143" s="102" t="s">
        <v>3403</v>
      </c>
      <c r="K143" s="102" t="s">
        <v>5064</v>
      </c>
      <c r="L143" s="102" t="s">
        <v>5208</v>
      </c>
      <c r="S143" s="102" t="s">
        <v>32</v>
      </c>
      <c r="T143" s="102" t="s">
        <v>4</v>
      </c>
    </row>
    <row r="144" spans="1:20">
      <c r="A144" s="102" t="s">
        <v>3498</v>
      </c>
      <c r="B144" s="102" t="s">
        <v>3759</v>
      </c>
      <c r="C144" s="101">
        <v>143</v>
      </c>
      <c r="D144" s="102" t="s">
        <v>7327</v>
      </c>
      <c r="E144" s="102" t="s">
        <v>847</v>
      </c>
      <c r="G144" s="102" t="s">
        <v>3403</v>
      </c>
      <c r="K144" s="102" t="s">
        <v>7328</v>
      </c>
      <c r="L144" s="102" t="s">
        <v>7329</v>
      </c>
      <c r="S144" s="102" t="s">
        <v>45</v>
      </c>
      <c r="T144" s="102" t="s">
        <v>4</v>
      </c>
    </row>
    <row r="145" spans="1:20">
      <c r="A145" s="102" t="s">
        <v>3498</v>
      </c>
      <c r="B145" s="102" t="s">
        <v>3759</v>
      </c>
      <c r="C145" s="101">
        <v>144</v>
      </c>
      <c r="D145" s="102" t="s">
        <v>7330</v>
      </c>
      <c r="E145" s="102" t="s">
        <v>847</v>
      </c>
      <c r="G145" s="102" t="s">
        <v>3403</v>
      </c>
      <c r="J145" s="102" t="s">
        <v>13427</v>
      </c>
      <c r="K145" s="102" t="s">
        <v>7296</v>
      </c>
      <c r="L145" s="102" t="s">
        <v>7331</v>
      </c>
      <c r="S145" s="102" t="s">
        <v>28</v>
      </c>
      <c r="T145" s="102" t="s">
        <v>4</v>
      </c>
    </row>
    <row r="146" spans="1:20">
      <c r="A146" s="102" t="s">
        <v>3498</v>
      </c>
      <c r="B146" s="102" t="s">
        <v>3759</v>
      </c>
      <c r="C146" s="101">
        <v>145</v>
      </c>
      <c r="D146" s="102" t="s">
        <v>4984</v>
      </c>
      <c r="E146" s="102" t="s">
        <v>847</v>
      </c>
      <c r="G146" s="102" t="s">
        <v>3403</v>
      </c>
      <c r="K146" s="102" t="s">
        <v>7332</v>
      </c>
      <c r="S146" s="102" t="s">
        <v>30</v>
      </c>
      <c r="T146" s="102" t="s">
        <v>4</v>
      </c>
    </row>
    <row r="147" spans="1:20">
      <c r="A147" s="102" t="s">
        <v>3498</v>
      </c>
      <c r="B147" s="102" t="s">
        <v>3759</v>
      </c>
      <c r="C147" s="101">
        <v>146</v>
      </c>
      <c r="D147" s="102" t="s">
        <v>4974</v>
      </c>
      <c r="E147" s="102" t="s">
        <v>848</v>
      </c>
      <c r="G147" s="102" t="s">
        <v>3403</v>
      </c>
      <c r="J147" s="102" t="s">
        <v>13427</v>
      </c>
      <c r="K147" s="102" t="s">
        <v>4975</v>
      </c>
      <c r="L147" s="102" t="s">
        <v>3765</v>
      </c>
      <c r="S147" s="102" t="s">
        <v>50</v>
      </c>
      <c r="T147" s="102" t="s">
        <v>4</v>
      </c>
    </row>
    <row r="148" spans="1:20">
      <c r="A148" s="102" t="s">
        <v>3498</v>
      </c>
      <c r="B148" s="102" t="s">
        <v>3759</v>
      </c>
      <c r="C148" s="101">
        <v>147</v>
      </c>
      <c r="D148" s="102" t="s">
        <v>7333</v>
      </c>
      <c r="E148" s="102" t="s">
        <v>847</v>
      </c>
      <c r="G148" s="102" t="s">
        <v>3403</v>
      </c>
      <c r="J148" s="102" t="s">
        <v>13427</v>
      </c>
      <c r="K148" s="102" t="s">
        <v>7334</v>
      </c>
      <c r="S148" s="102" t="s">
        <v>39</v>
      </c>
      <c r="T148" s="102" t="s">
        <v>4</v>
      </c>
    </row>
    <row r="149" spans="1:20">
      <c r="A149" s="102" t="s">
        <v>3498</v>
      </c>
      <c r="B149" s="102" t="s">
        <v>3759</v>
      </c>
      <c r="C149" s="101">
        <v>148</v>
      </c>
      <c r="D149" s="102" t="s">
        <v>7335</v>
      </c>
      <c r="E149" s="102" t="s">
        <v>847</v>
      </c>
      <c r="G149" s="102" t="s">
        <v>3403</v>
      </c>
      <c r="J149" s="102" t="s">
        <v>13427</v>
      </c>
      <c r="K149" s="102" t="s">
        <v>7336</v>
      </c>
      <c r="S149" s="102" t="s">
        <v>5719</v>
      </c>
      <c r="T149" s="102" t="s">
        <v>4</v>
      </c>
    </row>
    <row r="150" spans="1:20">
      <c r="A150" s="102" t="s">
        <v>3498</v>
      </c>
      <c r="B150" s="102" t="s">
        <v>3759</v>
      </c>
      <c r="C150" s="101">
        <v>149</v>
      </c>
      <c r="D150" s="102" t="s">
        <v>3764</v>
      </c>
      <c r="E150" s="102" t="s">
        <v>848</v>
      </c>
      <c r="G150" s="102" t="s">
        <v>3403</v>
      </c>
      <c r="J150" s="102" t="s">
        <v>13427</v>
      </c>
      <c r="K150" s="102" t="s">
        <v>3765</v>
      </c>
      <c r="S150" s="102" t="s">
        <v>5685</v>
      </c>
      <c r="T150" s="102" t="s">
        <v>4</v>
      </c>
    </row>
    <row r="151" spans="1:20">
      <c r="A151" s="102" t="s">
        <v>3498</v>
      </c>
      <c r="B151" s="102" t="s">
        <v>3759</v>
      </c>
      <c r="C151" s="101">
        <v>150</v>
      </c>
      <c r="D151" s="102" t="s">
        <v>4997</v>
      </c>
      <c r="E151" s="102" t="s">
        <v>847</v>
      </c>
      <c r="G151" s="102" t="s">
        <v>3403</v>
      </c>
      <c r="K151" s="102" t="s">
        <v>4998</v>
      </c>
      <c r="S151" s="102" t="s">
        <v>52</v>
      </c>
      <c r="T151" s="102" t="s">
        <v>4</v>
      </c>
    </row>
    <row r="152" spans="1:20">
      <c r="A152" s="102" t="s">
        <v>3498</v>
      </c>
      <c r="B152" s="102" t="s">
        <v>3759</v>
      </c>
      <c r="C152" s="101">
        <v>151</v>
      </c>
      <c r="D152" s="102" t="s">
        <v>7337</v>
      </c>
      <c r="E152" s="102" t="s">
        <v>849</v>
      </c>
      <c r="G152" s="102" t="s">
        <v>3403</v>
      </c>
      <c r="K152" s="102" t="s">
        <v>7338</v>
      </c>
      <c r="S152" s="102" t="s">
        <v>17</v>
      </c>
      <c r="T152" s="102" t="s">
        <v>4</v>
      </c>
    </row>
    <row r="153" spans="1:20">
      <c r="A153" s="102" t="s">
        <v>3498</v>
      </c>
      <c r="B153" s="102" t="s">
        <v>3759</v>
      </c>
      <c r="C153" s="101">
        <v>152</v>
      </c>
      <c r="D153" s="102" t="s">
        <v>7339</v>
      </c>
      <c r="E153" s="102" t="s">
        <v>850</v>
      </c>
      <c r="G153" s="102" t="s">
        <v>3403</v>
      </c>
      <c r="J153" s="102" t="s">
        <v>13427</v>
      </c>
      <c r="K153" s="102" t="s">
        <v>7340</v>
      </c>
      <c r="S153" s="102" t="s">
        <v>8</v>
      </c>
      <c r="T153" s="102" t="s">
        <v>4</v>
      </c>
    </row>
    <row r="154" spans="1:20">
      <c r="A154" s="102" t="s">
        <v>3498</v>
      </c>
      <c r="B154" s="102" t="s">
        <v>3759</v>
      </c>
      <c r="C154" s="101">
        <v>153</v>
      </c>
      <c r="D154" s="102" t="s">
        <v>7341</v>
      </c>
      <c r="E154" s="102" t="s">
        <v>850</v>
      </c>
      <c r="G154" s="102" t="s">
        <v>3403</v>
      </c>
      <c r="J154" s="102" t="s">
        <v>13427</v>
      </c>
      <c r="K154" s="102" t="s">
        <v>7342</v>
      </c>
      <c r="S154" s="102" t="s">
        <v>172</v>
      </c>
      <c r="T154" s="102" t="s">
        <v>4</v>
      </c>
    </row>
    <row r="155" spans="1:20">
      <c r="A155" s="102" t="s">
        <v>3498</v>
      </c>
      <c r="B155" s="102" t="s">
        <v>3759</v>
      </c>
      <c r="C155" s="101">
        <v>154</v>
      </c>
      <c r="D155" s="102" t="s">
        <v>7343</v>
      </c>
      <c r="E155" s="102" t="s">
        <v>849</v>
      </c>
      <c r="G155" s="102" t="s">
        <v>3403</v>
      </c>
      <c r="K155" s="102" t="s">
        <v>7344</v>
      </c>
      <c r="L155" s="102" t="s">
        <v>3768</v>
      </c>
      <c r="S155" s="102" t="s">
        <v>28</v>
      </c>
      <c r="T155" s="102" t="s">
        <v>4</v>
      </c>
    </row>
    <row r="156" spans="1:20">
      <c r="A156" s="102" t="s">
        <v>3498</v>
      </c>
      <c r="B156" s="102" t="s">
        <v>3759</v>
      </c>
      <c r="C156" s="101">
        <v>155</v>
      </c>
      <c r="D156" s="102" t="s">
        <v>7345</v>
      </c>
      <c r="E156" s="102" t="s">
        <v>850</v>
      </c>
      <c r="G156" s="102" t="s">
        <v>3403</v>
      </c>
      <c r="J156" s="102" t="s">
        <v>13427</v>
      </c>
      <c r="K156" s="102" t="s">
        <v>7346</v>
      </c>
      <c r="S156" s="102" t="s">
        <v>183</v>
      </c>
      <c r="T156" s="102" t="s">
        <v>4</v>
      </c>
    </row>
    <row r="157" spans="1:20">
      <c r="A157" s="102" t="s">
        <v>3498</v>
      </c>
      <c r="B157" s="102" t="s">
        <v>3759</v>
      </c>
      <c r="C157" s="101">
        <v>156</v>
      </c>
      <c r="D157" s="102" t="s">
        <v>7347</v>
      </c>
      <c r="E157" s="102" t="s">
        <v>850</v>
      </c>
      <c r="G157" s="102" t="s">
        <v>3403</v>
      </c>
      <c r="J157" s="102" t="s">
        <v>13427</v>
      </c>
      <c r="K157" s="102" t="s">
        <v>7205</v>
      </c>
      <c r="L157" s="102" t="s">
        <v>3768</v>
      </c>
      <c r="S157" s="102" t="s">
        <v>48</v>
      </c>
      <c r="T157" s="102" t="s">
        <v>4</v>
      </c>
    </row>
    <row r="158" spans="1:20">
      <c r="A158" s="102" t="s">
        <v>3498</v>
      </c>
      <c r="B158" s="102" t="s">
        <v>3759</v>
      </c>
      <c r="C158" s="101">
        <v>157</v>
      </c>
      <c r="D158" s="102" t="s">
        <v>7348</v>
      </c>
      <c r="E158" s="102" t="s">
        <v>849</v>
      </c>
      <c r="G158" s="102" t="s">
        <v>3403</v>
      </c>
      <c r="K158" s="102" t="s">
        <v>7349</v>
      </c>
      <c r="S158" s="102" t="s">
        <v>6</v>
      </c>
      <c r="T158" s="102" t="s">
        <v>4</v>
      </c>
    </row>
    <row r="159" spans="1:20">
      <c r="A159" s="102" t="s">
        <v>3498</v>
      </c>
      <c r="B159" s="102" t="s">
        <v>3759</v>
      </c>
      <c r="C159" s="101">
        <v>158</v>
      </c>
      <c r="D159" s="102" t="s">
        <v>7350</v>
      </c>
      <c r="E159" s="102" t="s">
        <v>850</v>
      </c>
      <c r="G159" s="102" t="s">
        <v>3403</v>
      </c>
      <c r="J159" s="102" t="s">
        <v>13427</v>
      </c>
      <c r="K159" s="102" t="s">
        <v>7351</v>
      </c>
      <c r="S159" s="102" t="s">
        <v>26</v>
      </c>
      <c r="T159" s="102" t="s">
        <v>4</v>
      </c>
    </row>
    <row r="160" spans="1:20">
      <c r="A160" s="102" t="s">
        <v>3498</v>
      </c>
      <c r="B160" s="102" t="s">
        <v>3759</v>
      </c>
      <c r="C160" s="101">
        <v>159</v>
      </c>
      <c r="D160" s="102" t="s">
        <v>7352</v>
      </c>
      <c r="E160" s="102" t="s">
        <v>849</v>
      </c>
      <c r="G160" s="102" t="s">
        <v>3403</v>
      </c>
      <c r="H160" s="102" t="s">
        <v>5670</v>
      </c>
      <c r="K160" s="102" t="s">
        <v>7353</v>
      </c>
      <c r="L160" s="102" t="s">
        <v>7354</v>
      </c>
      <c r="S160" s="102" t="s">
        <v>607</v>
      </c>
      <c r="T160" s="102" t="s">
        <v>4</v>
      </c>
    </row>
    <row r="161" spans="1:20">
      <c r="A161" s="102" t="s">
        <v>3498</v>
      </c>
      <c r="B161" s="102" t="s">
        <v>3759</v>
      </c>
      <c r="C161" s="101">
        <v>160</v>
      </c>
      <c r="D161" s="102" t="s">
        <v>7355</v>
      </c>
      <c r="E161" s="102" t="s">
        <v>850</v>
      </c>
      <c r="G161" s="102" t="s">
        <v>3403</v>
      </c>
      <c r="J161" s="102" t="s">
        <v>13427</v>
      </c>
      <c r="K161" s="102" t="s">
        <v>7356</v>
      </c>
      <c r="S161" s="102" t="s">
        <v>52</v>
      </c>
      <c r="T161" s="102" t="s">
        <v>4</v>
      </c>
    </row>
    <row r="162" spans="1:20">
      <c r="A162" s="102" t="s">
        <v>3498</v>
      </c>
      <c r="B162" s="102" t="s">
        <v>3759</v>
      </c>
      <c r="C162" s="101">
        <v>161</v>
      </c>
      <c r="D162" s="102" t="s">
        <v>7357</v>
      </c>
      <c r="E162" s="102" t="s">
        <v>849</v>
      </c>
      <c r="G162" s="102" t="s">
        <v>3403</v>
      </c>
      <c r="K162" s="102" t="s">
        <v>7358</v>
      </c>
      <c r="S162" s="102" t="s">
        <v>15</v>
      </c>
      <c r="T162" s="102" t="s">
        <v>4</v>
      </c>
    </row>
    <row r="163" spans="1:20">
      <c r="A163" s="102" t="s">
        <v>3498</v>
      </c>
      <c r="B163" s="102" t="s">
        <v>3759</v>
      </c>
      <c r="C163" s="101">
        <v>162</v>
      </c>
      <c r="D163" s="102" t="s">
        <v>7359</v>
      </c>
      <c r="E163" s="102" t="s">
        <v>849</v>
      </c>
      <c r="G163" s="102" t="s">
        <v>3403</v>
      </c>
      <c r="J163" s="102" t="s">
        <v>13427</v>
      </c>
      <c r="K163" s="102" t="s">
        <v>7360</v>
      </c>
      <c r="S163" s="102" t="s">
        <v>16</v>
      </c>
      <c r="T163" s="102" t="s">
        <v>4</v>
      </c>
    </row>
    <row r="164" spans="1:20">
      <c r="A164" s="102" t="s">
        <v>3498</v>
      </c>
      <c r="B164" s="102" t="s">
        <v>3759</v>
      </c>
      <c r="C164" s="101">
        <v>163</v>
      </c>
      <c r="D164" s="102" t="s">
        <v>7361</v>
      </c>
      <c r="E164" s="102" t="s">
        <v>849</v>
      </c>
      <c r="G164" s="102" t="s">
        <v>3403</v>
      </c>
      <c r="K164" s="102" t="s">
        <v>7362</v>
      </c>
      <c r="L164" s="102" t="s">
        <v>4334</v>
      </c>
      <c r="S164" s="102" t="s">
        <v>49</v>
      </c>
      <c r="T164" s="102" t="s">
        <v>4</v>
      </c>
    </row>
    <row r="165" spans="1:20">
      <c r="A165" s="102" t="s">
        <v>3498</v>
      </c>
      <c r="B165" s="102" t="s">
        <v>3759</v>
      </c>
      <c r="C165" s="101">
        <v>164</v>
      </c>
      <c r="D165" s="102" t="s">
        <v>7363</v>
      </c>
      <c r="E165" s="102" t="s">
        <v>850</v>
      </c>
      <c r="G165" s="102" t="s">
        <v>3403</v>
      </c>
      <c r="J165" s="102" t="s">
        <v>13427</v>
      </c>
      <c r="K165" s="102" t="s">
        <v>7364</v>
      </c>
      <c r="S165" s="102" t="s">
        <v>176</v>
      </c>
      <c r="T165" s="102" t="s">
        <v>4</v>
      </c>
    </row>
    <row r="166" spans="1:20">
      <c r="A166" s="102" t="s">
        <v>3498</v>
      </c>
      <c r="B166" s="102" t="s">
        <v>3759</v>
      </c>
      <c r="C166" s="101">
        <v>165</v>
      </c>
      <c r="D166" s="102" t="s">
        <v>7365</v>
      </c>
      <c r="E166" s="102" t="s">
        <v>850</v>
      </c>
      <c r="G166" s="102" t="s">
        <v>3403</v>
      </c>
      <c r="J166" s="102" t="s">
        <v>13427</v>
      </c>
      <c r="K166" s="102" t="s">
        <v>7366</v>
      </c>
      <c r="S166" s="102" t="s">
        <v>170</v>
      </c>
      <c r="T166" s="102" t="s">
        <v>4</v>
      </c>
    </row>
    <row r="167" spans="1:20">
      <c r="A167" s="102" t="s">
        <v>3498</v>
      </c>
      <c r="B167" s="102" t="s">
        <v>3759</v>
      </c>
      <c r="C167" s="101">
        <v>166</v>
      </c>
      <c r="D167" s="102" t="s">
        <v>7367</v>
      </c>
      <c r="E167" s="102" t="s">
        <v>849</v>
      </c>
      <c r="G167" s="102" t="s">
        <v>3403</v>
      </c>
      <c r="J167" s="102" t="s">
        <v>13427</v>
      </c>
      <c r="K167" s="102" t="s">
        <v>7182</v>
      </c>
      <c r="L167" s="102" t="s">
        <v>3768</v>
      </c>
      <c r="S167" s="102" t="s">
        <v>5</v>
      </c>
      <c r="T167" s="102" t="s">
        <v>4</v>
      </c>
    </row>
    <row r="168" spans="1:20">
      <c r="A168" s="102" t="s">
        <v>3498</v>
      </c>
      <c r="B168" s="102" t="s">
        <v>3759</v>
      </c>
      <c r="C168" s="101">
        <v>167</v>
      </c>
      <c r="D168" s="102" t="s">
        <v>7368</v>
      </c>
      <c r="E168" s="102" t="s">
        <v>849</v>
      </c>
      <c r="G168" s="102" t="s">
        <v>3403</v>
      </c>
      <c r="K168" s="102" t="s">
        <v>4240</v>
      </c>
      <c r="S168" s="102" t="s">
        <v>38</v>
      </c>
      <c r="T168" s="102" t="s">
        <v>4</v>
      </c>
    </row>
    <row r="169" spans="1:20">
      <c r="A169" s="102" t="s">
        <v>3498</v>
      </c>
      <c r="B169" s="102" t="s">
        <v>3759</v>
      </c>
      <c r="C169" s="101">
        <v>168</v>
      </c>
      <c r="D169" s="102" t="s">
        <v>7369</v>
      </c>
      <c r="E169" s="102" t="s">
        <v>849</v>
      </c>
      <c r="G169" s="102" t="s">
        <v>3403</v>
      </c>
      <c r="K169" s="102" t="s">
        <v>7203</v>
      </c>
      <c r="L169" s="102" t="s">
        <v>3768</v>
      </c>
      <c r="S169" s="102" t="s">
        <v>35</v>
      </c>
      <c r="T169" s="102" t="s">
        <v>4</v>
      </c>
    </row>
    <row r="170" spans="1:20">
      <c r="A170" s="102" t="s">
        <v>3498</v>
      </c>
      <c r="B170" s="102" t="s">
        <v>3759</v>
      </c>
      <c r="C170" s="101">
        <v>169</v>
      </c>
      <c r="D170" s="102" t="s">
        <v>7370</v>
      </c>
      <c r="E170" s="102" t="s">
        <v>849</v>
      </c>
      <c r="G170" s="102" t="s">
        <v>3403</v>
      </c>
      <c r="K170" s="102" t="s">
        <v>7371</v>
      </c>
      <c r="L170" s="102" t="s">
        <v>7372</v>
      </c>
      <c r="S170" s="102" t="s">
        <v>31</v>
      </c>
      <c r="T170" s="102" t="s">
        <v>4</v>
      </c>
    </row>
    <row r="171" spans="1:20">
      <c r="A171" s="102" t="s">
        <v>3498</v>
      </c>
      <c r="B171" s="102" t="s">
        <v>3759</v>
      </c>
      <c r="C171" s="101">
        <v>170</v>
      </c>
      <c r="D171" s="102" t="s">
        <v>7373</v>
      </c>
      <c r="E171" s="102" t="s">
        <v>850</v>
      </c>
      <c r="G171" s="102" t="s">
        <v>3403</v>
      </c>
      <c r="J171" s="102" t="s">
        <v>13427</v>
      </c>
      <c r="K171" s="102" t="s">
        <v>7374</v>
      </c>
      <c r="S171" s="102" t="s">
        <v>3747</v>
      </c>
      <c r="T171" s="102" t="s">
        <v>4</v>
      </c>
    </row>
    <row r="172" spans="1:20">
      <c r="A172" s="102" t="s">
        <v>3498</v>
      </c>
      <c r="B172" s="102" t="s">
        <v>3759</v>
      </c>
      <c r="C172" s="101">
        <v>171</v>
      </c>
      <c r="D172" s="102" t="s">
        <v>7375</v>
      </c>
      <c r="E172" s="102" t="s">
        <v>850</v>
      </c>
      <c r="G172" s="102" t="s">
        <v>3403</v>
      </c>
      <c r="J172" s="102" t="s">
        <v>13427</v>
      </c>
      <c r="K172" s="102" t="s">
        <v>7376</v>
      </c>
      <c r="S172" s="102" t="s">
        <v>27</v>
      </c>
      <c r="T172" s="102" t="s">
        <v>4</v>
      </c>
    </row>
    <row r="173" spans="1:20">
      <c r="A173" s="102" t="s">
        <v>3498</v>
      </c>
      <c r="B173" s="102" t="s">
        <v>3759</v>
      </c>
      <c r="C173" s="101">
        <v>172</v>
      </c>
      <c r="D173" s="102" t="s">
        <v>7377</v>
      </c>
      <c r="E173" s="102" t="s">
        <v>849</v>
      </c>
      <c r="G173" s="102" t="s">
        <v>3403</v>
      </c>
      <c r="K173" s="102" t="s">
        <v>7378</v>
      </c>
      <c r="L173" s="102" t="s">
        <v>7349</v>
      </c>
      <c r="S173" s="102" t="s">
        <v>37</v>
      </c>
      <c r="T173" s="102" t="s">
        <v>4</v>
      </c>
    </row>
    <row r="174" spans="1:20">
      <c r="A174" s="102" t="s">
        <v>3498</v>
      </c>
      <c r="B174" s="102" t="s">
        <v>3759</v>
      </c>
      <c r="C174" s="101">
        <v>173</v>
      </c>
      <c r="D174" s="102" t="s">
        <v>5024</v>
      </c>
      <c r="E174" s="102" t="s">
        <v>849</v>
      </c>
      <c r="G174" s="102" t="s">
        <v>3403</v>
      </c>
      <c r="K174" s="102" t="s">
        <v>5025</v>
      </c>
      <c r="S174" s="102" t="s">
        <v>30</v>
      </c>
      <c r="T174" s="102" t="s">
        <v>4</v>
      </c>
    </row>
    <row r="175" spans="1:20">
      <c r="A175" s="102" t="s">
        <v>3498</v>
      </c>
      <c r="B175" s="102" t="s">
        <v>3759</v>
      </c>
      <c r="C175" s="101">
        <v>174</v>
      </c>
      <c r="D175" s="102" t="s">
        <v>7379</v>
      </c>
      <c r="E175" s="102" t="s">
        <v>849</v>
      </c>
      <c r="G175" s="102" t="s">
        <v>3403</v>
      </c>
      <c r="K175" s="102" t="s">
        <v>7380</v>
      </c>
      <c r="S175" s="102" t="s">
        <v>173</v>
      </c>
      <c r="T175" s="102" t="s">
        <v>4</v>
      </c>
    </row>
    <row r="176" spans="1:20">
      <c r="A176" s="102" t="s">
        <v>3498</v>
      </c>
      <c r="B176" s="102" t="s">
        <v>3759</v>
      </c>
      <c r="C176" s="101">
        <v>175</v>
      </c>
      <c r="D176" s="102" t="s">
        <v>7381</v>
      </c>
      <c r="E176" s="102" t="s">
        <v>850</v>
      </c>
      <c r="G176" s="102" t="s">
        <v>3403</v>
      </c>
      <c r="J176" s="102" t="s">
        <v>13427</v>
      </c>
      <c r="K176" s="102" t="s">
        <v>7382</v>
      </c>
      <c r="S176" s="102" t="s">
        <v>7383</v>
      </c>
      <c r="T176" s="102" t="s">
        <v>4</v>
      </c>
    </row>
    <row r="177" spans="1:20">
      <c r="A177" s="102" t="s">
        <v>3498</v>
      </c>
      <c r="B177" s="102" t="s">
        <v>3759</v>
      </c>
      <c r="C177" s="101">
        <v>176</v>
      </c>
      <c r="D177" s="102" t="s">
        <v>7384</v>
      </c>
      <c r="E177" s="102" t="s">
        <v>849</v>
      </c>
      <c r="G177" s="102" t="s">
        <v>3403</v>
      </c>
      <c r="K177" s="102" t="s">
        <v>4240</v>
      </c>
      <c r="L177" s="102" t="s">
        <v>7385</v>
      </c>
      <c r="S177" s="102" t="s">
        <v>17</v>
      </c>
      <c r="T177" s="102" t="s">
        <v>4</v>
      </c>
    </row>
    <row r="178" spans="1:20">
      <c r="A178" s="102" t="s">
        <v>3498</v>
      </c>
      <c r="B178" s="102" t="s">
        <v>3759</v>
      </c>
      <c r="C178" s="101">
        <v>177</v>
      </c>
      <c r="D178" s="102" t="s">
        <v>7386</v>
      </c>
      <c r="E178" s="102" t="s">
        <v>849</v>
      </c>
      <c r="G178" s="102" t="s">
        <v>3403</v>
      </c>
      <c r="K178" s="102" t="s">
        <v>4152</v>
      </c>
      <c r="S178" s="102" t="s">
        <v>14</v>
      </c>
      <c r="T178" s="102" t="s">
        <v>4</v>
      </c>
    </row>
    <row r="179" spans="1:20">
      <c r="A179" s="102" t="s">
        <v>3498</v>
      </c>
      <c r="B179" s="102" t="s">
        <v>3759</v>
      </c>
      <c r="C179" s="101">
        <v>178</v>
      </c>
      <c r="D179" s="102" t="s">
        <v>7387</v>
      </c>
      <c r="E179" s="102" t="s">
        <v>849</v>
      </c>
      <c r="G179" s="102" t="s">
        <v>3403</v>
      </c>
      <c r="K179" s="102" t="s">
        <v>7388</v>
      </c>
      <c r="S179" s="102" t="s">
        <v>40</v>
      </c>
      <c r="T179" s="102" t="s">
        <v>4</v>
      </c>
    </row>
    <row r="180" spans="1:20">
      <c r="A180" s="102" t="s">
        <v>3498</v>
      </c>
      <c r="B180" s="102" t="s">
        <v>3759</v>
      </c>
      <c r="C180" s="101">
        <v>179</v>
      </c>
      <c r="D180" s="102" t="s">
        <v>7389</v>
      </c>
      <c r="E180" s="102" t="s">
        <v>851</v>
      </c>
      <c r="G180" s="102" t="s">
        <v>3403</v>
      </c>
      <c r="K180" s="102" t="s">
        <v>7390</v>
      </c>
      <c r="S180" s="102" t="s">
        <v>176</v>
      </c>
      <c r="T180" s="102" t="s">
        <v>4</v>
      </c>
    </row>
    <row r="181" spans="1:20">
      <c r="A181" s="102" t="s">
        <v>3498</v>
      </c>
      <c r="B181" s="102" t="s">
        <v>3759</v>
      </c>
      <c r="C181" s="101">
        <v>180</v>
      </c>
      <c r="D181" s="102" t="s">
        <v>7391</v>
      </c>
      <c r="E181" s="102" t="s">
        <v>851</v>
      </c>
      <c r="G181" s="102" t="s">
        <v>3403</v>
      </c>
      <c r="K181" s="102" t="s">
        <v>4240</v>
      </c>
      <c r="L181" s="102" t="s">
        <v>7392</v>
      </c>
      <c r="S181" s="102" t="s">
        <v>604</v>
      </c>
      <c r="T181" s="102" t="s">
        <v>4</v>
      </c>
    </row>
    <row r="182" spans="1:20">
      <c r="A182" s="102" t="s">
        <v>3498</v>
      </c>
      <c r="B182" s="102" t="s">
        <v>3759</v>
      </c>
      <c r="C182" s="101">
        <v>181</v>
      </c>
      <c r="D182" s="102" t="s">
        <v>7393</v>
      </c>
      <c r="E182" s="102" t="s">
        <v>852</v>
      </c>
      <c r="G182" s="102" t="s">
        <v>3403</v>
      </c>
      <c r="J182" s="102" t="s">
        <v>13427</v>
      </c>
      <c r="K182" s="102" t="s">
        <v>7394</v>
      </c>
      <c r="S182" s="102" t="s">
        <v>45</v>
      </c>
      <c r="T182" s="102" t="s">
        <v>4</v>
      </c>
    </row>
    <row r="183" spans="1:20">
      <c r="A183" s="102" t="s">
        <v>3498</v>
      </c>
      <c r="B183" s="102" t="s">
        <v>3759</v>
      </c>
      <c r="C183" s="101">
        <v>182</v>
      </c>
      <c r="D183" s="102" t="s">
        <v>7395</v>
      </c>
      <c r="E183" s="102" t="s">
        <v>851</v>
      </c>
      <c r="G183" s="102" t="s">
        <v>3403</v>
      </c>
      <c r="K183" s="102" t="s">
        <v>7396</v>
      </c>
      <c r="S183" s="102" t="s">
        <v>53</v>
      </c>
      <c r="T183" s="102" t="s">
        <v>4</v>
      </c>
    </row>
    <row r="184" spans="1:20">
      <c r="A184" s="102" t="s">
        <v>3498</v>
      </c>
      <c r="B184" s="102" t="s">
        <v>3759</v>
      </c>
      <c r="C184" s="101">
        <v>183</v>
      </c>
      <c r="D184" s="102" t="s">
        <v>7397</v>
      </c>
      <c r="E184" s="102" t="s">
        <v>852</v>
      </c>
      <c r="G184" s="102" t="s">
        <v>3403</v>
      </c>
      <c r="J184" s="102" t="s">
        <v>13427</v>
      </c>
      <c r="K184" s="102" t="s">
        <v>3765</v>
      </c>
      <c r="L184" s="102" t="s">
        <v>3768</v>
      </c>
      <c r="S184" s="102" t="s">
        <v>32</v>
      </c>
      <c r="T184" s="102" t="s">
        <v>4</v>
      </c>
    </row>
    <row r="185" spans="1:20">
      <c r="A185" s="102" t="s">
        <v>3498</v>
      </c>
      <c r="B185" s="102" t="s">
        <v>3759</v>
      </c>
      <c r="C185" s="101">
        <v>184</v>
      </c>
      <c r="D185" s="102" t="s">
        <v>7398</v>
      </c>
      <c r="E185" s="102" t="s">
        <v>852</v>
      </c>
      <c r="G185" s="102" t="s">
        <v>3403</v>
      </c>
      <c r="H185" s="102" t="s">
        <v>5670</v>
      </c>
      <c r="K185" s="102" t="s">
        <v>7399</v>
      </c>
      <c r="L185" s="102" t="s">
        <v>7400</v>
      </c>
      <c r="S185" s="102" t="s">
        <v>607</v>
      </c>
      <c r="T185" s="102" t="s">
        <v>4</v>
      </c>
    </row>
    <row r="186" spans="1:20">
      <c r="A186" s="102" t="s">
        <v>3498</v>
      </c>
      <c r="B186" s="102" t="s">
        <v>3759</v>
      </c>
      <c r="C186" s="101">
        <v>185</v>
      </c>
      <c r="D186" s="102" t="s">
        <v>7401</v>
      </c>
      <c r="E186" s="102" t="s">
        <v>851</v>
      </c>
      <c r="G186" s="102" t="s">
        <v>3403</v>
      </c>
      <c r="K186" s="102" t="s">
        <v>7402</v>
      </c>
      <c r="S186" s="102" t="s">
        <v>5685</v>
      </c>
      <c r="T186" s="102" t="s">
        <v>4</v>
      </c>
    </row>
    <row r="187" spans="1:20">
      <c r="A187" s="102" t="s">
        <v>3498</v>
      </c>
      <c r="B187" s="102" t="s">
        <v>3759</v>
      </c>
      <c r="C187" s="101">
        <v>186</v>
      </c>
      <c r="D187" s="102" t="s">
        <v>7403</v>
      </c>
      <c r="E187" s="102" t="s">
        <v>852</v>
      </c>
      <c r="G187" s="102" t="s">
        <v>3403</v>
      </c>
      <c r="J187" s="102" t="s">
        <v>13427</v>
      </c>
      <c r="K187" s="102" t="s">
        <v>3765</v>
      </c>
      <c r="L187" s="102" t="s">
        <v>7404</v>
      </c>
      <c r="S187" s="102" t="s">
        <v>18</v>
      </c>
      <c r="T187" s="102" t="s">
        <v>4</v>
      </c>
    </row>
    <row r="188" spans="1:20">
      <c r="A188" s="102" t="s">
        <v>3498</v>
      </c>
      <c r="B188" s="102" t="s">
        <v>3759</v>
      </c>
      <c r="C188" s="101">
        <v>187</v>
      </c>
      <c r="D188" s="102" t="s">
        <v>7405</v>
      </c>
      <c r="E188" s="102" t="s">
        <v>4061</v>
      </c>
      <c r="G188" s="102" t="s">
        <v>3403</v>
      </c>
      <c r="K188" s="102" t="s">
        <v>7406</v>
      </c>
      <c r="S188" s="102" t="s">
        <v>172</v>
      </c>
      <c r="T188" s="102" t="s">
        <v>4</v>
      </c>
    </row>
    <row r="189" spans="1:20">
      <c r="A189" s="102" t="s">
        <v>3498</v>
      </c>
      <c r="B189" s="102" t="s">
        <v>3759</v>
      </c>
      <c r="C189" s="101">
        <v>188</v>
      </c>
      <c r="D189" s="102" t="s">
        <v>7407</v>
      </c>
      <c r="E189" s="102" t="s">
        <v>944</v>
      </c>
      <c r="G189" s="102" t="s">
        <v>3403</v>
      </c>
      <c r="K189" s="102" t="s">
        <v>1232</v>
      </c>
      <c r="L189" s="102" t="s">
        <v>7408</v>
      </c>
      <c r="S189" s="102" t="s">
        <v>53</v>
      </c>
      <c r="T189" s="102" t="s">
        <v>4</v>
      </c>
    </row>
    <row r="190" spans="1:20">
      <c r="A190" s="102" t="s">
        <v>3498</v>
      </c>
      <c r="B190" s="102" t="s">
        <v>3759</v>
      </c>
      <c r="C190" s="101">
        <v>189</v>
      </c>
      <c r="D190" s="102" t="s">
        <v>5043</v>
      </c>
      <c r="E190" s="102" t="s">
        <v>4061</v>
      </c>
      <c r="G190" s="102" t="s">
        <v>3403</v>
      </c>
      <c r="K190" s="102" t="s">
        <v>5044</v>
      </c>
      <c r="L190" s="102" t="s">
        <v>5045</v>
      </c>
      <c r="S190" s="102" t="s">
        <v>605</v>
      </c>
      <c r="T190" s="102" t="s">
        <v>4</v>
      </c>
    </row>
    <row r="191" spans="1:20">
      <c r="A191" s="101" t="s">
        <v>3463</v>
      </c>
      <c r="B191" s="101" t="s">
        <v>3759</v>
      </c>
      <c r="C191" s="101">
        <v>1001</v>
      </c>
      <c r="D191" s="101" t="s">
        <v>7983</v>
      </c>
      <c r="E191" s="101" t="s">
        <v>7984</v>
      </c>
      <c r="F191" s="101"/>
      <c r="G191" s="101" t="s">
        <v>3403</v>
      </c>
      <c r="H191" s="101" t="s">
        <v>5180</v>
      </c>
      <c r="I191" s="101"/>
      <c r="J191" s="101"/>
      <c r="K191" s="101" t="s">
        <v>7985</v>
      </c>
      <c r="L191" s="101" t="s">
        <v>3768</v>
      </c>
      <c r="M191" s="101" t="s">
        <v>7175</v>
      </c>
      <c r="O191" s="101"/>
      <c r="P191" s="101"/>
      <c r="Q191" s="101"/>
      <c r="R191" s="101"/>
      <c r="S191" s="101" t="s">
        <v>179</v>
      </c>
      <c r="T191" s="101" t="s">
        <v>7</v>
      </c>
    </row>
    <row r="192" spans="1:20">
      <c r="A192" s="101" t="s">
        <v>3463</v>
      </c>
      <c r="B192" s="101" t="s">
        <v>3759</v>
      </c>
      <c r="C192" s="101">
        <v>1002</v>
      </c>
      <c r="D192" s="101" t="s">
        <v>7986</v>
      </c>
      <c r="E192" s="102" t="s">
        <v>845</v>
      </c>
      <c r="G192" s="102" t="s">
        <v>3403</v>
      </c>
      <c r="J192" s="102" t="s">
        <v>13427</v>
      </c>
      <c r="K192" s="102" t="s">
        <v>7987</v>
      </c>
      <c r="L192" s="102" t="s">
        <v>7988</v>
      </c>
      <c r="S192" s="102" t="s">
        <v>38</v>
      </c>
      <c r="T192" s="102" t="s">
        <v>7</v>
      </c>
    </row>
    <row r="193" spans="1:20">
      <c r="A193" s="101" t="s">
        <v>3463</v>
      </c>
      <c r="B193" s="101" t="s">
        <v>3759</v>
      </c>
      <c r="C193" s="101">
        <v>1003</v>
      </c>
      <c r="D193" s="102" t="s">
        <v>7989</v>
      </c>
      <c r="E193" s="102" t="s">
        <v>845</v>
      </c>
      <c r="G193" s="102" t="s">
        <v>3403</v>
      </c>
      <c r="K193" s="102" t="s">
        <v>7990</v>
      </c>
      <c r="S193" s="102" t="s">
        <v>5</v>
      </c>
      <c r="T193" s="102" t="s">
        <v>7</v>
      </c>
    </row>
    <row r="194" spans="1:20">
      <c r="A194" s="101" t="s">
        <v>3463</v>
      </c>
      <c r="B194" s="101" t="s">
        <v>3759</v>
      </c>
      <c r="C194" s="101">
        <v>1004</v>
      </c>
      <c r="D194" s="102" t="s">
        <v>7991</v>
      </c>
      <c r="E194" s="102" t="s">
        <v>845</v>
      </c>
      <c r="G194" s="102" t="s">
        <v>3403</v>
      </c>
      <c r="K194" s="102" t="s">
        <v>7992</v>
      </c>
      <c r="L194" s="102" t="s">
        <v>3768</v>
      </c>
      <c r="S194" s="102" t="s">
        <v>50</v>
      </c>
      <c r="T194" s="102" t="s">
        <v>7</v>
      </c>
    </row>
    <row r="195" spans="1:20">
      <c r="A195" s="101" t="s">
        <v>3463</v>
      </c>
      <c r="B195" s="101" t="s">
        <v>3759</v>
      </c>
      <c r="C195" s="101">
        <v>1005</v>
      </c>
      <c r="D195" s="102" t="s">
        <v>7993</v>
      </c>
      <c r="E195" s="102" t="s">
        <v>7094</v>
      </c>
      <c r="G195" s="102" t="s">
        <v>3403</v>
      </c>
      <c r="K195" s="102" t="s">
        <v>7994</v>
      </c>
      <c r="S195" s="102" t="s">
        <v>5</v>
      </c>
      <c r="T195" s="102" t="s">
        <v>7</v>
      </c>
    </row>
    <row r="196" spans="1:20">
      <c r="A196" s="101" t="s">
        <v>3463</v>
      </c>
      <c r="B196" s="101" t="s">
        <v>3759</v>
      </c>
      <c r="C196" s="101">
        <v>1006</v>
      </c>
      <c r="D196" s="102" t="s">
        <v>7995</v>
      </c>
      <c r="E196" s="102" t="s">
        <v>845</v>
      </c>
      <c r="G196" s="102" t="s">
        <v>3403</v>
      </c>
      <c r="J196" s="102" t="s">
        <v>13427</v>
      </c>
      <c r="K196" s="102" t="s">
        <v>7996</v>
      </c>
      <c r="L196" s="102" t="s">
        <v>7997</v>
      </c>
      <c r="S196" s="102" t="s">
        <v>46</v>
      </c>
      <c r="T196" s="102" t="s">
        <v>7</v>
      </c>
    </row>
    <row r="197" spans="1:20">
      <c r="A197" s="101" t="s">
        <v>3463</v>
      </c>
      <c r="B197" s="101" t="s">
        <v>3759</v>
      </c>
      <c r="C197" s="101">
        <v>1007</v>
      </c>
      <c r="D197" s="102" t="s">
        <v>7998</v>
      </c>
      <c r="E197" s="102" t="s">
        <v>845</v>
      </c>
      <c r="G197" s="102" t="s">
        <v>3403</v>
      </c>
      <c r="J197" s="102" t="s">
        <v>13427</v>
      </c>
      <c r="K197" s="102" t="s">
        <v>7999</v>
      </c>
      <c r="S197" s="102" t="s">
        <v>26</v>
      </c>
      <c r="T197" s="102" t="s">
        <v>7</v>
      </c>
    </row>
    <row r="198" spans="1:20">
      <c r="A198" s="101" t="s">
        <v>3463</v>
      </c>
      <c r="B198" s="101" t="s">
        <v>3759</v>
      </c>
      <c r="C198" s="101">
        <v>1008</v>
      </c>
      <c r="D198" s="102" t="s">
        <v>8000</v>
      </c>
      <c r="E198" s="102" t="s">
        <v>845</v>
      </c>
      <c r="G198" s="102" t="s">
        <v>3403</v>
      </c>
      <c r="K198" s="102" t="s">
        <v>8001</v>
      </c>
      <c r="L198" s="102" t="s">
        <v>8002</v>
      </c>
      <c r="S198" s="102" t="s">
        <v>27</v>
      </c>
      <c r="T198" s="102" t="s">
        <v>7</v>
      </c>
    </row>
    <row r="199" spans="1:20">
      <c r="A199" s="101" t="s">
        <v>3463</v>
      </c>
      <c r="B199" s="101" t="s">
        <v>3759</v>
      </c>
      <c r="C199" s="101">
        <v>1009</v>
      </c>
      <c r="D199" s="102" t="s">
        <v>8003</v>
      </c>
      <c r="E199" s="102" t="s">
        <v>845</v>
      </c>
      <c r="G199" s="102" t="s">
        <v>3403</v>
      </c>
      <c r="K199" s="102" t="s">
        <v>8004</v>
      </c>
      <c r="S199" s="102" t="s">
        <v>37</v>
      </c>
      <c r="T199" s="102" t="s">
        <v>7</v>
      </c>
    </row>
    <row r="200" spans="1:20">
      <c r="A200" s="101" t="s">
        <v>3463</v>
      </c>
      <c r="B200" s="101" t="s">
        <v>3759</v>
      </c>
      <c r="C200" s="101">
        <v>1010</v>
      </c>
      <c r="D200" s="102" t="s">
        <v>8005</v>
      </c>
      <c r="E200" s="102" t="s">
        <v>7094</v>
      </c>
      <c r="G200" s="102" t="s">
        <v>3403</v>
      </c>
      <c r="J200" s="102" t="s">
        <v>13427</v>
      </c>
      <c r="K200" s="102" t="s">
        <v>7197</v>
      </c>
      <c r="S200" s="102" t="s">
        <v>48</v>
      </c>
      <c r="T200" s="102" t="s">
        <v>7</v>
      </c>
    </row>
    <row r="201" spans="1:20">
      <c r="A201" s="101" t="s">
        <v>3463</v>
      </c>
      <c r="B201" s="101" t="s">
        <v>3759</v>
      </c>
      <c r="C201" s="101">
        <v>1011</v>
      </c>
      <c r="D201" s="102" t="s">
        <v>8006</v>
      </c>
      <c r="E201" s="102" t="s">
        <v>7410</v>
      </c>
      <c r="G201" s="102" t="s">
        <v>3403</v>
      </c>
      <c r="J201" s="102" t="s">
        <v>13427</v>
      </c>
      <c r="K201" s="102" t="s">
        <v>7411</v>
      </c>
      <c r="L201" s="102" t="s">
        <v>8007</v>
      </c>
      <c r="S201" s="102" t="s">
        <v>606</v>
      </c>
      <c r="T201" s="102" t="s">
        <v>7</v>
      </c>
    </row>
    <row r="202" spans="1:20">
      <c r="A202" s="101" t="s">
        <v>3463</v>
      </c>
      <c r="B202" s="101" t="s">
        <v>3759</v>
      </c>
      <c r="C202" s="101">
        <v>1012</v>
      </c>
      <c r="D202" s="102" t="s">
        <v>7122</v>
      </c>
      <c r="E202" s="102" t="s">
        <v>7094</v>
      </c>
      <c r="G202" s="102" t="s">
        <v>3403</v>
      </c>
      <c r="J202" s="102" t="s">
        <v>13427</v>
      </c>
      <c r="K202" s="102" t="s">
        <v>7123</v>
      </c>
      <c r="S202" s="102" t="s">
        <v>6</v>
      </c>
      <c r="T202" s="102" t="s">
        <v>7</v>
      </c>
    </row>
    <row r="203" spans="1:20">
      <c r="A203" s="101" t="s">
        <v>3463</v>
      </c>
      <c r="B203" s="101" t="s">
        <v>3759</v>
      </c>
      <c r="C203" s="101">
        <v>1013</v>
      </c>
      <c r="D203" s="102" t="s">
        <v>8008</v>
      </c>
      <c r="E203" s="102" t="s">
        <v>845</v>
      </c>
      <c r="G203" s="102" t="s">
        <v>3403</v>
      </c>
      <c r="J203" s="102" t="s">
        <v>13427</v>
      </c>
      <c r="K203" s="102" t="s">
        <v>8009</v>
      </c>
      <c r="S203" s="102" t="s">
        <v>10</v>
      </c>
      <c r="T203" s="102" t="s">
        <v>7</v>
      </c>
    </row>
    <row r="204" spans="1:20">
      <c r="A204" s="101" t="s">
        <v>3463</v>
      </c>
      <c r="B204" s="101" t="s">
        <v>3759</v>
      </c>
      <c r="C204" s="101">
        <v>1014</v>
      </c>
      <c r="D204" s="102" t="s">
        <v>8010</v>
      </c>
      <c r="E204" s="102" t="s">
        <v>845</v>
      </c>
      <c r="G204" s="102" t="s">
        <v>3403</v>
      </c>
      <c r="K204" s="102" t="s">
        <v>8011</v>
      </c>
      <c r="L204" s="102" t="s">
        <v>8012</v>
      </c>
      <c r="S204" s="102" t="s">
        <v>6</v>
      </c>
      <c r="T204" s="102" t="s">
        <v>7</v>
      </c>
    </row>
    <row r="205" spans="1:20">
      <c r="A205" s="101" t="s">
        <v>3463</v>
      </c>
      <c r="B205" s="101" t="s">
        <v>3759</v>
      </c>
      <c r="C205" s="101">
        <v>1015</v>
      </c>
      <c r="D205" s="102" t="s">
        <v>8013</v>
      </c>
      <c r="E205" s="102" t="s">
        <v>845</v>
      </c>
      <c r="G205" s="102" t="s">
        <v>3403</v>
      </c>
      <c r="K205" s="102" t="s">
        <v>8014</v>
      </c>
      <c r="S205" s="102" t="s">
        <v>46</v>
      </c>
      <c r="T205" s="102" t="s">
        <v>7</v>
      </c>
    </row>
    <row r="206" spans="1:20">
      <c r="A206" s="101" t="s">
        <v>3463</v>
      </c>
      <c r="B206" s="101" t="s">
        <v>3759</v>
      </c>
      <c r="C206" s="111">
        <v>1016</v>
      </c>
      <c r="D206" s="112" t="s">
        <v>8015</v>
      </c>
      <c r="E206" s="112" t="s">
        <v>7094</v>
      </c>
      <c r="F206" s="112"/>
      <c r="G206" s="112" t="s">
        <v>3403</v>
      </c>
      <c r="H206" s="112"/>
      <c r="I206" s="112"/>
      <c r="J206" s="112" t="s">
        <v>13427</v>
      </c>
      <c r="K206" s="112" t="s">
        <v>8016</v>
      </c>
      <c r="L206" s="112" t="s">
        <v>8017</v>
      </c>
      <c r="M206" s="112"/>
      <c r="N206" s="112"/>
      <c r="O206" s="112"/>
      <c r="P206" s="112"/>
      <c r="Q206" s="112"/>
      <c r="R206" s="112"/>
      <c r="S206" s="112" t="s">
        <v>31</v>
      </c>
      <c r="T206" s="112" t="s">
        <v>7</v>
      </c>
    </row>
    <row r="207" spans="1:20">
      <c r="A207" s="101" t="s">
        <v>3463</v>
      </c>
      <c r="B207" s="101" t="s">
        <v>3759</v>
      </c>
      <c r="C207" s="101">
        <v>1017</v>
      </c>
      <c r="D207" s="102" t="s">
        <v>8018</v>
      </c>
      <c r="E207" s="102" t="s">
        <v>7094</v>
      </c>
      <c r="G207" s="102" t="s">
        <v>3403</v>
      </c>
      <c r="K207" s="102" t="s">
        <v>8019</v>
      </c>
      <c r="S207" s="102" t="s">
        <v>33</v>
      </c>
      <c r="T207" s="102" t="s">
        <v>7</v>
      </c>
    </row>
    <row r="208" spans="1:20">
      <c r="A208" s="101" t="s">
        <v>3463</v>
      </c>
      <c r="B208" s="101" t="s">
        <v>3759</v>
      </c>
      <c r="C208" s="101">
        <v>1018</v>
      </c>
      <c r="D208" s="102" t="s">
        <v>8020</v>
      </c>
      <c r="E208" s="102" t="s">
        <v>7094</v>
      </c>
      <c r="G208" s="102" t="s">
        <v>3403</v>
      </c>
      <c r="J208" s="102" t="s">
        <v>13427</v>
      </c>
      <c r="K208" s="102" t="s">
        <v>8021</v>
      </c>
      <c r="S208" s="102" t="s">
        <v>180</v>
      </c>
      <c r="T208" s="102" t="s">
        <v>7</v>
      </c>
    </row>
    <row r="209" spans="1:20">
      <c r="A209" s="101" t="s">
        <v>3463</v>
      </c>
      <c r="B209" s="101" t="s">
        <v>3759</v>
      </c>
      <c r="C209" s="101">
        <v>1019</v>
      </c>
      <c r="D209" s="102" t="s">
        <v>8022</v>
      </c>
      <c r="E209" s="102" t="s">
        <v>845</v>
      </c>
      <c r="G209" s="102" t="s">
        <v>3403</v>
      </c>
      <c r="K209" s="102" t="s">
        <v>8023</v>
      </c>
      <c r="S209" s="102" t="s">
        <v>33</v>
      </c>
      <c r="T209" s="102" t="s">
        <v>7</v>
      </c>
    </row>
    <row r="210" spans="1:20">
      <c r="A210" s="101" t="s">
        <v>3463</v>
      </c>
      <c r="B210" s="101" t="s">
        <v>3759</v>
      </c>
      <c r="C210" s="101">
        <v>1020</v>
      </c>
      <c r="D210" s="102" t="s">
        <v>8024</v>
      </c>
      <c r="E210" s="102" t="s">
        <v>845</v>
      </c>
      <c r="G210" s="102" t="s">
        <v>3403</v>
      </c>
      <c r="K210" s="102" t="s">
        <v>8025</v>
      </c>
      <c r="S210" s="102" t="s">
        <v>14</v>
      </c>
      <c r="T210" s="102" t="s">
        <v>7</v>
      </c>
    </row>
    <row r="211" spans="1:20">
      <c r="A211" s="101" t="s">
        <v>3463</v>
      </c>
      <c r="B211" s="101" t="s">
        <v>3759</v>
      </c>
      <c r="C211" s="101">
        <v>1021</v>
      </c>
      <c r="D211" s="102" t="s">
        <v>8026</v>
      </c>
      <c r="E211" s="102" t="s">
        <v>846</v>
      </c>
      <c r="G211" s="102" t="s">
        <v>3403</v>
      </c>
      <c r="J211" s="102" t="s">
        <v>13427</v>
      </c>
      <c r="K211" s="102" t="s">
        <v>8027</v>
      </c>
      <c r="S211" s="102" t="s">
        <v>52</v>
      </c>
      <c r="T211" s="102" t="s">
        <v>7</v>
      </c>
    </row>
    <row r="212" spans="1:20">
      <c r="A212" s="101" t="s">
        <v>3463</v>
      </c>
      <c r="B212" s="101" t="s">
        <v>3759</v>
      </c>
      <c r="C212" s="101">
        <v>1022</v>
      </c>
      <c r="D212" s="102" t="s">
        <v>7219</v>
      </c>
      <c r="E212" s="102" t="s">
        <v>846</v>
      </c>
      <c r="G212" s="102" t="s">
        <v>3403</v>
      </c>
      <c r="K212" s="102" t="s">
        <v>7220</v>
      </c>
      <c r="S212" s="102" t="s">
        <v>49</v>
      </c>
      <c r="T212" s="102" t="s">
        <v>7</v>
      </c>
    </row>
    <row r="213" spans="1:20">
      <c r="A213" s="101" t="s">
        <v>3463</v>
      </c>
      <c r="B213" s="101" t="s">
        <v>3759</v>
      </c>
      <c r="C213" s="101">
        <v>1023</v>
      </c>
      <c r="D213" s="102" t="s">
        <v>8028</v>
      </c>
      <c r="E213" s="102" t="s">
        <v>846</v>
      </c>
      <c r="G213" s="102" t="s">
        <v>3403</v>
      </c>
      <c r="K213" s="102" t="s">
        <v>8029</v>
      </c>
      <c r="S213" s="102" t="s">
        <v>32</v>
      </c>
      <c r="T213" s="102" t="s">
        <v>7</v>
      </c>
    </row>
    <row r="214" spans="1:20">
      <c r="A214" s="101" t="s">
        <v>3463</v>
      </c>
      <c r="B214" s="101" t="s">
        <v>3759</v>
      </c>
      <c r="C214" s="101">
        <v>1024</v>
      </c>
      <c r="D214" s="102" t="s">
        <v>8030</v>
      </c>
      <c r="E214" s="102" t="s">
        <v>846</v>
      </c>
      <c r="G214" s="102" t="s">
        <v>3403</v>
      </c>
      <c r="J214" s="102" t="s">
        <v>13427</v>
      </c>
      <c r="K214" s="102" t="s">
        <v>8031</v>
      </c>
      <c r="L214" s="102" t="s">
        <v>8032</v>
      </c>
      <c r="S214" s="102" t="s">
        <v>48</v>
      </c>
      <c r="T214" s="102" t="s">
        <v>7</v>
      </c>
    </row>
    <row r="215" spans="1:20">
      <c r="A215" s="101" t="s">
        <v>3463</v>
      </c>
      <c r="B215" s="101" t="s">
        <v>3759</v>
      </c>
      <c r="C215" s="101">
        <v>1025</v>
      </c>
      <c r="D215" s="102" t="s">
        <v>8033</v>
      </c>
      <c r="E215" s="102" t="s">
        <v>846</v>
      </c>
      <c r="G215" s="102" t="s">
        <v>3403</v>
      </c>
      <c r="J215" s="102" t="s">
        <v>13427</v>
      </c>
      <c r="K215" s="102" t="s">
        <v>8034</v>
      </c>
      <c r="L215" s="102" t="s">
        <v>3768</v>
      </c>
      <c r="S215" s="102" t="s">
        <v>8</v>
      </c>
      <c r="T215" s="102" t="s">
        <v>7</v>
      </c>
    </row>
    <row r="216" spans="1:20">
      <c r="A216" s="101" t="s">
        <v>3463</v>
      </c>
      <c r="B216" s="101" t="s">
        <v>3759</v>
      </c>
      <c r="C216" s="101">
        <v>1026</v>
      </c>
      <c r="D216" s="102" t="s">
        <v>8035</v>
      </c>
      <c r="E216" s="102" t="s">
        <v>846</v>
      </c>
      <c r="G216" s="102" t="s">
        <v>3403</v>
      </c>
      <c r="K216" s="102" t="s">
        <v>8036</v>
      </c>
      <c r="L216" s="102" t="s">
        <v>4955</v>
      </c>
      <c r="S216" s="102" t="s">
        <v>45</v>
      </c>
      <c r="T216" s="102" t="s">
        <v>7</v>
      </c>
    </row>
    <row r="217" spans="1:20">
      <c r="A217" s="101" t="s">
        <v>3463</v>
      </c>
      <c r="B217" s="101" t="s">
        <v>3759</v>
      </c>
      <c r="C217" s="101">
        <v>1027</v>
      </c>
      <c r="D217" s="102" t="s">
        <v>8037</v>
      </c>
      <c r="E217" s="102" t="s">
        <v>846</v>
      </c>
      <c r="G217" s="102" t="s">
        <v>3403</v>
      </c>
      <c r="J217" s="102" t="s">
        <v>13427</v>
      </c>
      <c r="K217" s="102" t="s">
        <v>8038</v>
      </c>
      <c r="S217" s="102" t="s">
        <v>174</v>
      </c>
      <c r="T217" s="102" t="s">
        <v>7</v>
      </c>
    </row>
    <row r="218" spans="1:20">
      <c r="A218" s="101" t="s">
        <v>3463</v>
      </c>
      <c r="B218" s="101" t="s">
        <v>3759</v>
      </c>
      <c r="C218" s="101">
        <v>1028</v>
      </c>
      <c r="D218" s="102" t="s">
        <v>8039</v>
      </c>
      <c r="E218" s="102" t="s">
        <v>846</v>
      </c>
      <c r="G218" s="102" t="s">
        <v>3403</v>
      </c>
      <c r="H218" s="102" t="s">
        <v>5180</v>
      </c>
      <c r="K218" s="102" t="s">
        <v>8040</v>
      </c>
      <c r="S218" s="102" t="s">
        <v>183</v>
      </c>
      <c r="T218" s="102" t="s">
        <v>7</v>
      </c>
    </row>
    <row r="219" spans="1:20">
      <c r="A219" s="101" t="s">
        <v>3463</v>
      </c>
      <c r="B219" s="101" t="s">
        <v>3759</v>
      </c>
      <c r="C219" s="101">
        <v>1029</v>
      </c>
      <c r="D219" s="102" t="s">
        <v>8041</v>
      </c>
      <c r="E219" s="102" t="s">
        <v>846</v>
      </c>
      <c r="G219" s="102" t="s">
        <v>3403</v>
      </c>
      <c r="J219" s="102" t="s">
        <v>13427</v>
      </c>
      <c r="K219" s="102" t="s">
        <v>8042</v>
      </c>
      <c r="S219" s="102" t="s">
        <v>34</v>
      </c>
      <c r="T219" s="102" t="s">
        <v>7</v>
      </c>
    </row>
    <row r="220" spans="1:20">
      <c r="A220" s="101" t="s">
        <v>3463</v>
      </c>
      <c r="B220" s="101" t="s">
        <v>3759</v>
      </c>
      <c r="C220" s="101">
        <v>1030</v>
      </c>
      <c r="D220" s="102" t="s">
        <v>8043</v>
      </c>
      <c r="E220" s="102" t="s">
        <v>846</v>
      </c>
      <c r="G220" s="102" t="s">
        <v>3403</v>
      </c>
      <c r="K220" s="102" t="s">
        <v>8044</v>
      </c>
      <c r="S220" s="102" t="s">
        <v>48</v>
      </c>
      <c r="T220" s="102" t="s">
        <v>7</v>
      </c>
    </row>
    <row r="221" spans="1:20">
      <c r="A221" s="101" t="s">
        <v>3463</v>
      </c>
      <c r="B221" s="101" t="s">
        <v>3759</v>
      </c>
      <c r="C221" s="101">
        <v>1031</v>
      </c>
      <c r="D221" s="102" t="s">
        <v>8045</v>
      </c>
      <c r="E221" s="102" t="s">
        <v>846</v>
      </c>
      <c r="G221" s="102" t="s">
        <v>3403</v>
      </c>
      <c r="K221" s="102" t="s">
        <v>8046</v>
      </c>
      <c r="S221" s="102" t="s">
        <v>607</v>
      </c>
      <c r="T221" s="102" t="s">
        <v>7</v>
      </c>
    </row>
    <row r="222" spans="1:20">
      <c r="A222" s="101" t="s">
        <v>3463</v>
      </c>
      <c r="B222" s="101" t="s">
        <v>3759</v>
      </c>
      <c r="C222" s="101">
        <v>1032</v>
      </c>
      <c r="D222" s="102" t="s">
        <v>8047</v>
      </c>
      <c r="E222" s="102" t="s">
        <v>846</v>
      </c>
      <c r="G222" s="102" t="s">
        <v>3403</v>
      </c>
      <c r="K222" s="102" t="s">
        <v>8048</v>
      </c>
      <c r="S222" s="102" t="s">
        <v>53</v>
      </c>
      <c r="T222" s="102" t="s">
        <v>7</v>
      </c>
    </row>
    <row r="223" spans="1:20">
      <c r="A223" s="101" t="s">
        <v>3463</v>
      </c>
      <c r="B223" s="101" t="s">
        <v>3759</v>
      </c>
      <c r="C223" s="101">
        <v>1033</v>
      </c>
      <c r="D223" s="102" t="s">
        <v>8049</v>
      </c>
      <c r="E223" s="102" t="s">
        <v>846</v>
      </c>
      <c r="G223" s="102" t="s">
        <v>3403</v>
      </c>
      <c r="J223" s="102" t="s">
        <v>13427</v>
      </c>
      <c r="K223" s="102" t="s">
        <v>8050</v>
      </c>
      <c r="S223" s="102" t="s">
        <v>29</v>
      </c>
      <c r="T223" s="102" t="s">
        <v>7</v>
      </c>
    </row>
    <row r="224" spans="1:20">
      <c r="A224" s="101" t="s">
        <v>3463</v>
      </c>
      <c r="B224" s="101" t="s">
        <v>3759</v>
      </c>
      <c r="C224" s="101">
        <v>1034</v>
      </c>
      <c r="D224" s="102" t="s">
        <v>8051</v>
      </c>
      <c r="E224" s="102" t="s">
        <v>846</v>
      </c>
      <c r="G224" s="102" t="s">
        <v>3403</v>
      </c>
      <c r="K224" s="102" t="s">
        <v>8052</v>
      </c>
      <c r="S224" s="102" t="s">
        <v>169</v>
      </c>
      <c r="T224" s="102" t="s">
        <v>7</v>
      </c>
    </row>
    <row r="225" spans="1:20">
      <c r="A225" s="101" t="s">
        <v>3463</v>
      </c>
      <c r="B225" s="101" t="s">
        <v>3759</v>
      </c>
      <c r="C225" s="101">
        <v>1035</v>
      </c>
      <c r="D225" s="102" t="s">
        <v>7174</v>
      </c>
      <c r="E225" s="102" t="s">
        <v>846</v>
      </c>
      <c r="G225" s="102" t="s">
        <v>3403</v>
      </c>
      <c r="H225" s="102" t="s">
        <v>5180</v>
      </c>
      <c r="K225" s="102" t="s">
        <v>4235</v>
      </c>
      <c r="L225" s="102" t="s">
        <v>7175</v>
      </c>
      <c r="S225" s="102" t="s">
        <v>175</v>
      </c>
      <c r="T225" s="102" t="s">
        <v>7</v>
      </c>
    </row>
    <row r="226" spans="1:20">
      <c r="A226" s="101" t="s">
        <v>3463</v>
      </c>
      <c r="B226" s="101" t="s">
        <v>3759</v>
      </c>
      <c r="C226" s="101">
        <v>1036</v>
      </c>
      <c r="D226" s="102" t="s">
        <v>8053</v>
      </c>
      <c r="E226" s="102" t="s">
        <v>846</v>
      </c>
      <c r="G226" s="102" t="s">
        <v>3403</v>
      </c>
      <c r="K226" s="102" t="s">
        <v>8054</v>
      </c>
      <c r="S226" s="102" t="s">
        <v>31</v>
      </c>
      <c r="T226" s="102" t="s">
        <v>7</v>
      </c>
    </row>
    <row r="227" spans="1:20">
      <c r="A227" s="101" t="s">
        <v>3463</v>
      </c>
      <c r="B227" s="101" t="s">
        <v>3759</v>
      </c>
      <c r="C227" s="101">
        <v>1037</v>
      </c>
      <c r="D227" s="102" t="s">
        <v>8055</v>
      </c>
      <c r="E227" s="102" t="s">
        <v>846</v>
      </c>
      <c r="G227" s="102" t="s">
        <v>3403</v>
      </c>
      <c r="K227" s="102" t="s">
        <v>8056</v>
      </c>
      <c r="S227" s="102" t="s">
        <v>33</v>
      </c>
      <c r="T227" s="102" t="s">
        <v>7</v>
      </c>
    </row>
    <row r="228" spans="1:20">
      <c r="A228" s="101" t="s">
        <v>3463</v>
      </c>
      <c r="B228" s="101" t="s">
        <v>3759</v>
      </c>
      <c r="C228" s="101">
        <v>1038</v>
      </c>
      <c r="D228" s="102" t="s">
        <v>8057</v>
      </c>
      <c r="E228" s="102" t="s">
        <v>846</v>
      </c>
      <c r="G228" s="102" t="s">
        <v>3403</v>
      </c>
      <c r="K228" s="102" t="s">
        <v>8058</v>
      </c>
      <c r="S228" s="102" t="s">
        <v>39</v>
      </c>
      <c r="T228" s="102" t="s">
        <v>7</v>
      </c>
    </row>
    <row r="229" spans="1:20">
      <c r="A229" s="101" t="s">
        <v>3463</v>
      </c>
      <c r="B229" s="101" t="s">
        <v>3759</v>
      </c>
      <c r="C229" s="101">
        <v>1039</v>
      </c>
      <c r="D229" s="102" t="s">
        <v>7185</v>
      </c>
      <c r="E229" s="102" t="s">
        <v>846</v>
      </c>
      <c r="G229" s="102" t="s">
        <v>3403</v>
      </c>
      <c r="K229" s="102" t="s">
        <v>7186</v>
      </c>
      <c r="S229" s="102" t="s">
        <v>169</v>
      </c>
      <c r="T229" s="102" t="s">
        <v>7</v>
      </c>
    </row>
    <row r="230" spans="1:20">
      <c r="A230" s="101" t="s">
        <v>3463</v>
      </c>
      <c r="B230" s="101" t="s">
        <v>3759</v>
      </c>
      <c r="C230" s="101">
        <v>1040</v>
      </c>
      <c r="D230" s="102" t="s">
        <v>8059</v>
      </c>
      <c r="E230" s="102" t="s">
        <v>846</v>
      </c>
      <c r="G230" s="102" t="s">
        <v>3403</v>
      </c>
      <c r="J230" s="102" t="s">
        <v>13427</v>
      </c>
      <c r="K230" s="102" t="s">
        <v>7283</v>
      </c>
      <c r="L230" s="102" t="s">
        <v>7385</v>
      </c>
      <c r="S230" s="102" t="s">
        <v>17</v>
      </c>
      <c r="T230" s="102" t="s">
        <v>7</v>
      </c>
    </row>
    <row r="231" spans="1:20">
      <c r="A231" s="101" t="s">
        <v>3463</v>
      </c>
      <c r="B231" s="101" t="s">
        <v>3759</v>
      </c>
      <c r="C231" s="101">
        <v>1041</v>
      </c>
      <c r="D231" s="102" t="s">
        <v>8060</v>
      </c>
      <c r="E231" s="102" t="s">
        <v>846</v>
      </c>
      <c r="G231" s="102" t="s">
        <v>3403</v>
      </c>
      <c r="J231" s="102" t="s">
        <v>13427</v>
      </c>
      <c r="K231" s="102" t="s">
        <v>8061</v>
      </c>
      <c r="S231" s="102" t="s">
        <v>53</v>
      </c>
      <c r="T231" s="102" t="s">
        <v>7</v>
      </c>
    </row>
    <row r="232" spans="1:20">
      <c r="A232" s="101" t="s">
        <v>3463</v>
      </c>
      <c r="B232" s="101" t="s">
        <v>3759</v>
      </c>
      <c r="C232" s="101">
        <v>1042</v>
      </c>
      <c r="D232" s="102" t="s">
        <v>8062</v>
      </c>
      <c r="E232" s="102" t="s">
        <v>846</v>
      </c>
      <c r="G232" s="102" t="s">
        <v>3403</v>
      </c>
      <c r="J232" s="102" t="s">
        <v>13427</v>
      </c>
      <c r="K232" s="102" t="s">
        <v>8063</v>
      </c>
      <c r="L232" s="102" t="s">
        <v>3768</v>
      </c>
      <c r="S232" s="102" t="s">
        <v>175</v>
      </c>
      <c r="T232" s="102" t="s">
        <v>7</v>
      </c>
    </row>
    <row r="233" spans="1:20">
      <c r="A233" s="101" t="s">
        <v>3463</v>
      </c>
      <c r="B233" s="101" t="s">
        <v>3759</v>
      </c>
      <c r="C233" s="101">
        <v>1043</v>
      </c>
      <c r="D233" s="102" t="s">
        <v>8064</v>
      </c>
      <c r="E233" s="102" t="s">
        <v>846</v>
      </c>
      <c r="G233" s="102" t="s">
        <v>3403</v>
      </c>
      <c r="J233" s="102" t="s">
        <v>13427</v>
      </c>
      <c r="K233" s="102" t="s">
        <v>8065</v>
      </c>
      <c r="S233" s="102" t="s">
        <v>170</v>
      </c>
      <c r="T233" s="102" t="s">
        <v>7</v>
      </c>
    </row>
    <row r="234" spans="1:20">
      <c r="A234" s="101" t="s">
        <v>3463</v>
      </c>
      <c r="B234" s="101" t="s">
        <v>3759</v>
      </c>
      <c r="C234" s="101">
        <v>1044</v>
      </c>
      <c r="D234" s="102" t="s">
        <v>8066</v>
      </c>
      <c r="E234" s="102" t="s">
        <v>1008</v>
      </c>
      <c r="G234" s="102" t="s">
        <v>3403</v>
      </c>
      <c r="J234" s="102" t="s">
        <v>13427</v>
      </c>
      <c r="K234" s="102" t="s">
        <v>8067</v>
      </c>
      <c r="L234" s="102" t="s">
        <v>8068</v>
      </c>
      <c r="S234" s="102" t="s">
        <v>32</v>
      </c>
      <c r="T234" s="102" t="s">
        <v>7</v>
      </c>
    </row>
    <row r="235" spans="1:20">
      <c r="A235" s="101" t="s">
        <v>3463</v>
      </c>
      <c r="B235" s="101" t="s">
        <v>3759</v>
      </c>
      <c r="C235" s="101">
        <v>1045</v>
      </c>
      <c r="D235" s="102" t="s">
        <v>8069</v>
      </c>
      <c r="E235" s="102" t="s">
        <v>846</v>
      </c>
      <c r="G235" s="102" t="s">
        <v>3403</v>
      </c>
      <c r="K235" s="102" t="s">
        <v>902</v>
      </c>
      <c r="L235" s="102" t="s">
        <v>8070</v>
      </c>
      <c r="S235" s="102" t="s">
        <v>36</v>
      </c>
      <c r="T235" s="102" t="s">
        <v>7</v>
      </c>
    </row>
    <row r="236" spans="1:20">
      <c r="A236" s="101" t="s">
        <v>3463</v>
      </c>
      <c r="B236" s="101" t="s">
        <v>3759</v>
      </c>
      <c r="C236" s="101">
        <v>1046</v>
      </c>
      <c r="D236" s="102" t="s">
        <v>8071</v>
      </c>
      <c r="E236" s="102" t="s">
        <v>846</v>
      </c>
      <c r="G236" s="102" t="s">
        <v>3403</v>
      </c>
      <c r="J236" s="102" t="s">
        <v>13427</v>
      </c>
      <c r="K236" s="102" t="s">
        <v>8072</v>
      </c>
      <c r="S236" s="102" t="s">
        <v>14</v>
      </c>
      <c r="T236" s="102" t="s">
        <v>7</v>
      </c>
    </row>
    <row r="237" spans="1:20">
      <c r="A237" s="101" t="s">
        <v>3463</v>
      </c>
      <c r="B237" s="101" t="s">
        <v>3759</v>
      </c>
      <c r="C237" s="101">
        <v>1047</v>
      </c>
      <c r="D237" s="102" t="s">
        <v>8073</v>
      </c>
      <c r="E237" s="102" t="s">
        <v>1008</v>
      </c>
      <c r="G237" s="102" t="s">
        <v>3403</v>
      </c>
      <c r="J237" s="102" t="s">
        <v>13427</v>
      </c>
      <c r="K237" s="102" t="s">
        <v>8074</v>
      </c>
      <c r="L237" s="102" t="s">
        <v>3765</v>
      </c>
      <c r="S237" s="102" t="s">
        <v>5281</v>
      </c>
      <c r="T237" s="102" t="s">
        <v>7</v>
      </c>
    </row>
    <row r="238" spans="1:20">
      <c r="A238" s="101" t="s">
        <v>3463</v>
      </c>
      <c r="B238" s="101" t="s">
        <v>3759</v>
      </c>
      <c r="C238" s="101">
        <v>1048</v>
      </c>
      <c r="D238" s="102" t="s">
        <v>8075</v>
      </c>
      <c r="E238" s="102" t="s">
        <v>846</v>
      </c>
      <c r="G238" s="102" t="s">
        <v>3403</v>
      </c>
      <c r="J238" s="102" t="s">
        <v>13427</v>
      </c>
      <c r="K238" s="102" t="s">
        <v>8076</v>
      </c>
      <c r="S238" s="102" t="s">
        <v>606</v>
      </c>
      <c r="T238" s="102" t="s">
        <v>7</v>
      </c>
    </row>
    <row r="239" spans="1:20">
      <c r="A239" s="101" t="s">
        <v>3463</v>
      </c>
      <c r="B239" s="101" t="s">
        <v>3759</v>
      </c>
      <c r="C239" s="101">
        <v>1049</v>
      </c>
      <c r="D239" s="102" t="s">
        <v>8077</v>
      </c>
      <c r="E239" s="102" t="s">
        <v>846</v>
      </c>
      <c r="G239" s="102" t="s">
        <v>3403</v>
      </c>
      <c r="J239" s="102" t="s">
        <v>13427</v>
      </c>
      <c r="K239" s="102" t="s">
        <v>8078</v>
      </c>
      <c r="S239" s="102" t="s">
        <v>40</v>
      </c>
      <c r="T239" s="102" t="s">
        <v>7</v>
      </c>
    </row>
    <row r="240" spans="1:20">
      <c r="A240" s="101" t="s">
        <v>3463</v>
      </c>
      <c r="B240" s="101" t="s">
        <v>3759</v>
      </c>
      <c r="C240" s="101">
        <v>1050</v>
      </c>
      <c r="D240" s="102" t="s">
        <v>8079</v>
      </c>
      <c r="E240" s="102" t="s">
        <v>846</v>
      </c>
      <c r="G240" s="102" t="s">
        <v>3403</v>
      </c>
      <c r="J240" s="102" t="s">
        <v>13427</v>
      </c>
      <c r="K240" s="102" t="s">
        <v>7296</v>
      </c>
      <c r="L240" s="102" t="s">
        <v>8080</v>
      </c>
      <c r="S240" s="102" t="s">
        <v>28</v>
      </c>
      <c r="T240" s="102" t="s">
        <v>7</v>
      </c>
    </row>
    <row r="241" spans="1:20">
      <c r="A241" s="101" t="s">
        <v>3463</v>
      </c>
      <c r="B241" s="101" t="s">
        <v>3759</v>
      </c>
      <c r="C241" s="101">
        <v>1051</v>
      </c>
      <c r="D241" s="102" t="s">
        <v>8081</v>
      </c>
      <c r="E241" s="102" t="s">
        <v>846</v>
      </c>
      <c r="G241" s="102" t="s">
        <v>3403</v>
      </c>
      <c r="K241" s="102" t="s">
        <v>8082</v>
      </c>
      <c r="S241" s="102" t="s">
        <v>18</v>
      </c>
      <c r="T241" s="102" t="s">
        <v>7</v>
      </c>
    </row>
    <row r="242" spans="1:20">
      <c r="A242" s="101" t="s">
        <v>3463</v>
      </c>
      <c r="B242" s="101" t="s">
        <v>3759</v>
      </c>
      <c r="C242" s="101">
        <v>1052</v>
      </c>
      <c r="D242" s="102" t="s">
        <v>8083</v>
      </c>
      <c r="E242" s="102" t="s">
        <v>846</v>
      </c>
      <c r="G242" s="102" t="s">
        <v>3403</v>
      </c>
      <c r="K242" s="102" t="s">
        <v>8084</v>
      </c>
      <c r="S242" s="102" t="s">
        <v>46</v>
      </c>
      <c r="T242" s="102" t="s">
        <v>7</v>
      </c>
    </row>
    <row r="243" spans="1:20">
      <c r="A243" s="101" t="s">
        <v>3463</v>
      </c>
      <c r="B243" s="101" t="s">
        <v>3759</v>
      </c>
      <c r="C243" s="101">
        <v>1053</v>
      </c>
      <c r="D243" s="102" t="s">
        <v>8085</v>
      </c>
      <c r="E243" s="102" t="s">
        <v>7196</v>
      </c>
      <c r="G243" s="102" t="s">
        <v>3403</v>
      </c>
      <c r="K243" s="102" t="s">
        <v>4113</v>
      </c>
      <c r="L243" s="102" t="s">
        <v>8086</v>
      </c>
      <c r="M243" s="102" t="s">
        <v>8087</v>
      </c>
      <c r="S243" s="102" t="s">
        <v>170</v>
      </c>
      <c r="T243" s="102" t="s">
        <v>7</v>
      </c>
    </row>
    <row r="244" spans="1:20">
      <c r="A244" s="101" t="s">
        <v>3463</v>
      </c>
      <c r="B244" s="101" t="s">
        <v>3759</v>
      </c>
      <c r="C244" s="101">
        <v>1054</v>
      </c>
      <c r="D244" s="102" t="s">
        <v>8088</v>
      </c>
      <c r="E244" s="102" t="s">
        <v>846</v>
      </c>
      <c r="G244" s="102" t="s">
        <v>3403</v>
      </c>
      <c r="K244" s="102" t="s">
        <v>8089</v>
      </c>
      <c r="S244" s="102" t="s">
        <v>30</v>
      </c>
      <c r="T244" s="102" t="s">
        <v>7</v>
      </c>
    </row>
    <row r="245" spans="1:20">
      <c r="A245" s="101" t="s">
        <v>3463</v>
      </c>
      <c r="B245" s="101" t="s">
        <v>3759</v>
      </c>
      <c r="C245" s="101">
        <v>1055</v>
      </c>
      <c r="D245" s="102" t="s">
        <v>8090</v>
      </c>
      <c r="E245" s="102" t="s">
        <v>848</v>
      </c>
      <c r="G245" s="102" t="s">
        <v>3403</v>
      </c>
      <c r="J245" s="102" t="s">
        <v>13427</v>
      </c>
      <c r="K245" s="102" t="s">
        <v>8091</v>
      </c>
      <c r="L245" s="102" t="s">
        <v>3768</v>
      </c>
      <c r="S245" s="102" t="s">
        <v>5381</v>
      </c>
      <c r="T245" s="102" t="s">
        <v>7</v>
      </c>
    </row>
    <row r="246" spans="1:20">
      <c r="A246" s="101" t="s">
        <v>3463</v>
      </c>
      <c r="B246" s="101" t="s">
        <v>3759</v>
      </c>
      <c r="C246" s="101">
        <v>1056</v>
      </c>
      <c r="D246" s="102" t="s">
        <v>8092</v>
      </c>
      <c r="E246" s="102" t="s">
        <v>848</v>
      </c>
      <c r="G246" s="102" t="s">
        <v>3403</v>
      </c>
      <c r="J246" s="102" t="s">
        <v>13427</v>
      </c>
      <c r="K246" s="102" t="s">
        <v>7296</v>
      </c>
      <c r="L246" s="102" t="s">
        <v>8093</v>
      </c>
      <c r="S246" s="102" t="s">
        <v>37</v>
      </c>
      <c r="T246" s="102" t="s">
        <v>7</v>
      </c>
    </row>
    <row r="247" spans="1:20">
      <c r="A247" s="101" t="s">
        <v>3463</v>
      </c>
      <c r="B247" s="101" t="s">
        <v>3759</v>
      </c>
      <c r="C247" s="101">
        <v>1057</v>
      </c>
      <c r="D247" s="102" t="s">
        <v>8094</v>
      </c>
      <c r="E247" s="102" t="s">
        <v>847</v>
      </c>
      <c r="G247" s="102" t="s">
        <v>3403</v>
      </c>
      <c r="J247" s="102" t="s">
        <v>13427</v>
      </c>
      <c r="K247" s="102" t="s">
        <v>8095</v>
      </c>
      <c r="L247" s="102" t="s">
        <v>8096</v>
      </c>
      <c r="S247" s="102" t="s">
        <v>604</v>
      </c>
      <c r="T247" s="102" t="s">
        <v>7</v>
      </c>
    </row>
    <row r="248" spans="1:20">
      <c r="A248" s="101" t="s">
        <v>3463</v>
      </c>
      <c r="B248" s="101" t="s">
        <v>3759</v>
      </c>
      <c r="C248" s="101">
        <v>1058</v>
      </c>
      <c r="D248" s="102" t="s">
        <v>8097</v>
      </c>
      <c r="E248" s="102" t="s">
        <v>847</v>
      </c>
      <c r="G248" s="102" t="s">
        <v>3403</v>
      </c>
      <c r="K248" s="102" t="s">
        <v>7338</v>
      </c>
      <c r="L248" s="102" t="s">
        <v>8098</v>
      </c>
      <c r="S248" s="102" t="s">
        <v>39</v>
      </c>
      <c r="T248" s="102" t="s">
        <v>7</v>
      </c>
    </row>
    <row r="249" spans="1:20">
      <c r="A249" s="101" t="s">
        <v>3463</v>
      </c>
      <c r="B249" s="101" t="s">
        <v>3759</v>
      </c>
      <c r="C249" s="101">
        <v>1059</v>
      </c>
      <c r="D249" s="102" t="s">
        <v>8099</v>
      </c>
      <c r="E249" s="102" t="s">
        <v>847</v>
      </c>
      <c r="G249" s="102" t="s">
        <v>3403</v>
      </c>
      <c r="J249" s="102" t="s">
        <v>13427</v>
      </c>
      <c r="K249" s="102" t="s">
        <v>8100</v>
      </c>
      <c r="L249" s="102" t="s">
        <v>8101</v>
      </c>
      <c r="S249" s="102" t="s">
        <v>30</v>
      </c>
      <c r="T249" s="102" t="s">
        <v>7</v>
      </c>
    </row>
    <row r="250" spans="1:20">
      <c r="A250" s="101" t="s">
        <v>3463</v>
      </c>
      <c r="B250" s="101" t="s">
        <v>3759</v>
      </c>
      <c r="C250" s="101">
        <v>1060</v>
      </c>
      <c r="D250" s="102" t="s">
        <v>8102</v>
      </c>
      <c r="E250" s="102" t="s">
        <v>848</v>
      </c>
      <c r="G250" s="102" t="s">
        <v>3403</v>
      </c>
      <c r="J250" s="102" t="s">
        <v>13427</v>
      </c>
      <c r="K250" s="102" t="s">
        <v>8103</v>
      </c>
      <c r="S250" s="102" t="s">
        <v>14</v>
      </c>
      <c r="T250" s="102" t="s">
        <v>7</v>
      </c>
    </row>
    <row r="251" spans="1:20">
      <c r="A251" s="101" t="s">
        <v>3463</v>
      </c>
      <c r="B251" s="101" t="s">
        <v>3759</v>
      </c>
      <c r="C251" s="101">
        <v>1061</v>
      </c>
      <c r="D251" s="102" t="s">
        <v>8104</v>
      </c>
      <c r="E251" s="102" t="s">
        <v>848</v>
      </c>
      <c r="G251" s="102" t="s">
        <v>3403</v>
      </c>
      <c r="J251" s="102" t="s">
        <v>13427</v>
      </c>
      <c r="K251" s="102" t="s">
        <v>8105</v>
      </c>
      <c r="L251" s="102" t="s">
        <v>3765</v>
      </c>
      <c r="S251" s="102" t="s">
        <v>26</v>
      </c>
      <c r="T251" s="102" t="s">
        <v>7</v>
      </c>
    </row>
    <row r="252" spans="1:20">
      <c r="A252" s="101" t="s">
        <v>3463</v>
      </c>
      <c r="B252" s="101" t="s">
        <v>3759</v>
      </c>
      <c r="C252" s="101">
        <v>1062</v>
      </c>
      <c r="D252" s="112" t="s">
        <v>3444</v>
      </c>
      <c r="E252" s="112" t="s">
        <v>847</v>
      </c>
      <c r="F252" s="112"/>
      <c r="G252" s="112" t="s">
        <v>3445</v>
      </c>
      <c r="H252" s="112" t="s">
        <v>3071</v>
      </c>
      <c r="I252" s="112"/>
      <c r="J252" s="112"/>
      <c r="K252" s="112" t="s">
        <v>3123</v>
      </c>
      <c r="L252" s="112" t="s">
        <v>3124</v>
      </c>
      <c r="M252" s="112"/>
      <c r="N252" s="112"/>
      <c r="O252" s="112"/>
      <c r="P252" s="112"/>
      <c r="Q252" s="112"/>
      <c r="R252" s="112"/>
      <c r="S252" s="112" t="s">
        <v>3119</v>
      </c>
      <c r="T252" s="102" t="s">
        <v>7</v>
      </c>
    </row>
    <row r="253" spans="1:20">
      <c r="A253" s="101" t="s">
        <v>3463</v>
      </c>
      <c r="B253" s="101" t="s">
        <v>3759</v>
      </c>
      <c r="C253" s="101">
        <v>1063</v>
      </c>
      <c r="D253" s="102" t="s">
        <v>8106</v>
      </c>
      <c r="E253" s="102" t="s">
        <v>847</v>
      </c>
      <c r="G253" s="102" t="s">
        <v>3403</v>
      </c>
      <c r="K253" s="102" t="s">
        <v>4113</v>
      </c>
      <c r="L253" s="102" t="s">
        <v>8107</v>
      </c>
      <c r="M253" s="102" t="s">
        <v>8108</v>
      </c>
      <c r="N253" s="102" t="s">
        <v>8109</v>
      </c>
      <c r="S253" s="102" t="s">
        <v>177</v>
      </c>
      <c r="T253" s="102" t="s">
        <v>7</v>
      </c>
    </row>
    <row r="254" spans="1:20">
      <c r="A254" s="101" t="s">
        <v>3463</v>
      </c>
      <c r="B254" s="101" t="s">
        <v>3759</v>
      </c>
      <c r="C254" s="101">
        <v>1064</v>
      </c>
      <c r="D254" s="102" t="s">
        <v>8110</v>
      </c>
      <c r="E254" s="102" t="s">
        <v>847</v>
      </c>
      <c r="G254" s="102" t="s">
        <v>3403</v>
      </c>
      <c r="J254" s="102" t="s">
        <v>13427</v>
      </c>
      <c r="K254" s="102" t="s">
        <v>4113</v>
      </c>
      <c r="L254" s="102" t="s">
        <v>8111</v>
      </c>
      <c r="M254" s="102" t="s">
        <v>8112</v>
      </c>
      <c r="S254" s="102" t="s">
        <v>29</v>
      </c>
      <c r="T254" s="102" t="s">
        <v>7</v>
      </c>
    </row>
    <row r="255" spans="1:20">
      <c r="A255" s="101" t="s">
        <v>3463</v>
      </c>
      <c r="B255" s="101" t="s">
        <v>3759</v>
      </c>
      <c r="C255" s="101">
        <v>1065</v>
      </c>
      <c r="D255" s="102" t="s">
        <v>8113</v>
      </c>
      <c r="E255" s="102" t="s">
        <v>847</v>
      </c>
      <c r="G255" s="102" t="s">
        <v>3403</v>
      </c>
      <c r="K255" s="102" t="s">
        <v>8114</v>
      </c>
      <c r="S255" s="102" t="s">
        <v>169</v>
      </c>
      <c r="T255" s="102" t="s">
        <v>7</v>
      </c>
    </row>
    <row r="256" spans="1:20">
      <c r="A256" s="101" t="s">
        <v>3463</v>
      </c>
      <c r="B256" s="101" t="s">
        <v>3759</v>
      </c>
      <c r="C256" s="101">
        <v>1066</v>
      </c>
      <c r="D256" s="112" t="s">
        <v>8115</v>
      </c>
      <c r="E256" s="112" t="s">
        <v>848</v>
      </c>
      <c r="F256" s="112"/>
      <c r="G256" s="112" t="s">
        <v>3403</v>
      </c>
      <c r="H256" s="112"/>
      <c r="I256" s="112"/>
      <c r="J256" s="112"/>
      <c r="K256" s="112" t="s">
        <v>7010</v>
      </c>
      <c r="L256" s="112" t="s">
        <v>4334</v>
      </c>
      <c r="M256" s="112"/>
      <c r="N256" s="112"/>
      <c r="O256" s="112"/>
      <c r="P256" s="112"/>
      <c r="Q256" s="112"/>
      <c r="R256" s="112"/>
      <c r="S256" s="112" t="s">
        <v>31</v>
      </c>
      <c r="T256" s="112" t="s">
        <v>7</v>
      </c>
    </row>
    <row r="257" spans="1:20">
      <c r="A257" s="101" t="s">
        <v>3463</v>
      </c>
      <c r="B257" s="101" t="s">
        <v>3759</v>
      </c>
      <c r="C257" s="101">
        <v>1067</v>
      </c>
      <c r="D257" s="102" t="s">
        <v>8116</v>
      </c>
      <c r="E257" s="102" t="s">
        <v>847</v>
      </c>
      <c r="G257" s="102" t="s">
        <v>3403</v>
      </c>
      <c r="J257" s="102" t="s">
        <v>13427</v>
      </c>
      <c r="K257" s="102" t="s">
        <v>8117</v>
      </c>
      <c r="L257" s="102" t="s">
        <v>3768</v>
      </c>
      <c r="S257" s="102" t="s">
        <v>50</v>
      </c>
      <c r="T257" s="102" t="s">
        <v>7</v>
      </c>
    </row>
    <row r="258" spans="1:20">
      <c r="A258" s="101" t="s">
        <v>3463</v>
      </c>
      <c r="B258" s="101" t="s">
        <v>3759</v>
      </c>
      <c r="C258" s="101">
        <v>1068</v>
      </c>
      <c r="D258" s="102" t="s">
        <v>8118</v>
      </c>
      <c r="E258" s="102" t="s">
        <v>847</v>
      </c>
      <c r="G258" s="102" t="s">
        <v>3403</v>
      </c>
      <c r="K258" s="102" t="s">
        <v>8119</v>
      </c>
      <c r="L258" s="102" t="s">
        <v>3768</v>
      </c>
      <c r="S258" s="102" t="s">
        <v>48</v>
      </c>
      <c r="T258" s="102" t="s">
        <v>7</v>
      </c>
    </row>
    <row r="259" spans="1:20">
      <c r="A259" s="101" t="s">
        <v>3463</v>
      </c>
      <c r="B259" s="101" t="s">
        <v>3759</v>
      </c>
      <c r="C259" s="101">
        <v>1069</v>
      </c>
      <c r="D259" s="102" t="s">
        <v>8120</v>
      </c>
      <c r="E259" s="102" t="s">
        <v>848</v>
      </c>
      <c r="G259" s="102" t="s">
        <v>3403</v>
      </c>
      <c r="J259" s="102" t="s">
        <v>13427</v>
      </c>
      <c r="K259" s="102" t="s">
        <v>8121</v>
      </c>
      <c r="L259" s="102" t="s">
        <v>3765</v>
      </c>
      <c r="S259" s="102" t="s">
        <v>5719</v>
      </c>
      <c r="T259" s="102" t="s">
        <v>7</v>
      </c>
    </row>
    <row r="260" spans="1:20">
      <c r="A260" s="101" t="s">
        <v>3463</v>
      </c>
      <c r="B260" s="101" t="s">
        <v>3759</v>
      </c>
      <c r="C260" s="101">
        <v>1070</v>
      </c>
      <c r="D260" s="102" t="s">
        <v>8122</v>
      </c>
      <c r="E260" s="102" t="s">
        <v>847</v>
      </c>
      <c r="G260" s="102" t="s">
        <v>3445</v>
      </c>
      <c r="H260" s="102" t="s">
        <v>3051</v>
      </c>
      <c r="J260" s="102" t="s">
        <v>13427</v>
      </c>
      <c r="K260" s="102" t="s">
        <v>8123</v>
      </c>
      <c r="S260" s="102" t="s">
        <v>3119</v>
      </c>
      <c r="T260" s="102" t="s">
        <v>7</v>
      </c>
    </row>
    <row r="261" spans="1:20">
      <c r="A261" s="101" t="s">
        <v>3463</v>
      </c>
      <c r="B261" s="101" t="s">
        <v>3759</v>
      </c>
      <c r="C261" s="101">
        <v>1071</v>
      </c>
      <c r="D261" s="102" t="s">
        <v>8124</v>
      </c>
      <c r="E261" s="102" t="s">
        <v>847</v>
      </c>
      <c r="G261" s="102" t="s">
        <v>3403</v>
      </c>
      <c r="K261" s="102" t="s">
        <v>8125</v>
      </c>
      <c r="L261" s="102" t="s">
        <v>3768</v>
      </c>
      <c r="S261" s="102" t="s">
        <v>17</v>
      </c>
      <c r="T261" s="102" t="s">
        <v>7</v>
      </c>
    </row>
    <row r="262" spans="1:20">
      <c r="A262" s="101" t="s">
        <v>3463</v>
      </c>
      <c r="B262" s="101" t="s">
        <v>3759</v>
      </c>
      <c r="C262" s="101">
        <v>1072</v>
      </c>
      <c r="D262" s="102" t="s">
        <v>8126</v>
      </c>
      <c r="E262" s="102" t="s">
        <v>847</v>
      </c>
      <c r="G262" s="102" t="s">
        <v>3403</v>
      </c>
      <c r="K262" s="102" t="s">
        <v>8127</v>
      </c>
      <c r="S262" s="102" t="s">
        <v>168</v>
      </c>
      <c r="T262" s="102" t="s">
        <v>7</v>
      </c>
    </row>
    <row r="263" spans="1:20">
      <c r="A263" s="101" t="s">
        <v>3463</v>
      </c>
      <c r="B263" s="101" t="s">
        <v>3759</v>
      </c>
      <c r="C263" s="101">
        <v>1073</v>
      </c>
      <c r="D263" s="102" t="s">
        <v>8128</v>
      </c>
      <c r="E263" s="102" t="s">
        <v>848</v>
      </c>
      <c r="G263" s="102" t="s">
        <v>3403</v>
      </c>
      <c r="J263" s="102" t="s">
        <v>13427</v>
      </c>
      <c r="K263" s="102" t="s">
        <v>3765</v>
      </c>
      <c r="L263" s="102" t="s">
        <v>8098</v>
      </c>
      <c r="S263" s="102" t="s">
        <v>46</v>
      </c>
      <c r="T263" s="102" t="s">
        <v>7</v>
      </c>
    </row>
    <row r="264" spans="1:20">
      <c r="A264" s="101" t="s">
        <v>3463</v>
      </c>
      <c r="B264" s="101" t="s">
        <v>3759</v>
      </c>
      <c r="C264" s="101">
        <v>1074</v>
      </c>
      <c r="D264" s="102" t="s">
        <v>8129</v>
      </c>
      <c r="E264" s="102" t="s">
        <v>847</v>
      </c>
      <c r="G264" s="102" t="s">
        <v>3403</v>
      </c>
      <c r="J264" s="102" t="s">
        <v>13427</v>
      </c>
      <c r="K264" s="102" t="s">
        <v>8130</v>
      </c>
      <c r="S264" s="102" t="s">
        <v>36</v>
      </c>
      <c r="T264" s="102" t="s">
        <v>7</v>
      </c>
    </row>
    <row r="265" spans="1:20">
      <c r="A265" s="101" t="s">
        <v>3463</v>
      </c>
      <c r="B265" s="101" t="s">
        <v>3759</v>
      </c>
      <c r="C265" s="101">
        <v>1075</v>
      </c>
      <c r="D265" s="102" t="s">
        <v>8131</v>
      </c>
      <c r="E265" s="102" t="s">
        <v>847</v>
      </c>
      <c r="G265" s="102" t="s">
        <v>3403</v>
      </c>
      <c r="K265" s="102" t="s">
        <v>8132</v>
      </c>
      <c r="S265" s="102" t="s">
        <v>182</v>
      </c>
      <c r="T265" s="102" t="s">
        <v>7</v>
      </c>
    </row>
    <row r="266" spans="1:20">
      <c r="A266" s="101" t="s">
        <v>3463</v>
      </c>
      <c r="B266" s="101" t="s">
        <v>3759</v>
      </c>
      <c r="C266" s="101">
        <v>1076</v>
      </c>
      <c r="D266" s="102" t="s">
        <v>8133</v>
      </c>
      <c r="E266" s="102" t="s">
        <v>847</v>
      </c>
      <c r="G266" s="102" t="s">
        <v>3403</v>
      </c>
      <c r="K266" s="102" t="s">
        <v>8134</v>
      </c>
      <c r="L266" s="102" t="s">
        <v>8135</v>
      </c>
      <c r="S266" s="102" t="s">
        <v>27</v>
      </c>
      <c r="T266" s="102" t="s">
        <v>7</v>
      </c>
    </row>
    <row r="267" spans="1:20">
      <c r="A267" s="101" t="s">
        <v>3463</v>
      </c>
      <c r="B267" s="101" t="s">
        <v>3759</v>
      </c>
      <c r="C267" s="101">
        <v>1077</v>
      </c>
      <c r="D267" s="102" t="s">
        <v>8136</v>
      </c>
      <c r="E267" s="102" t="s">
        <v>847</v>
      </c>
      <c r="G267" s="102" t="s">
        <v>3403</v>
      </c>
      <c r="K267" s="102" t="s">
        <v>8137</v>
      </c>
      <c r="L267" s="102" t="s">
        <v>7086</v>
      </c>
      <c r="M267" s="102" t="s">
        <v>3768</v>
      </c>
      <c r="S267" s="102" t="s">
        <v>37</v>
      </c>
      <c r="T267" s="102" t="s">
        <v>7</v>
      </c>
    </row>
    <row r="268" spans="1:20">
      <c r="A268" s="101" t="s">
        <v>3463</v>
      </c>
      <c r="B268" s="101" t="s">
        <v>3759</v>
      </c>
      <c r="C268" s="101">
        <v>1078</v>
      </c>
      <c r="D268" s="102" t="s">
        <v>8138</v>
      </c>
      <c r="E268" s="102" t="s">
        <v>847</v>
      </c>
      <c r="G268" s="102" t="s">
        <v>3403</v>
      </c>
      <c r="K268" s="102" t="s">
        <v>7743</v>
      </c>
      <c r="L268" s="102" t="s">
        <v>8139</v>
      </c>
      <c r="S268" s="102" t="s">
        <v>11</v>
      </c>
      <c r="T268" s="102" t="s">
        <v>7</v>
      </c>
    </row>
    <row r="269" spans="1:20">
      <c r="A269" s="101" t="s">
        <v>3463</v>
      </c>
      <c r="B269" s="101" t="s">
        <v>3759</v>
      </c>
      <c r="C269" s="101">
        <v>1079</v>
      </c>
      <c r="D269" s="102" t="s">
        <v>8140</v>
      </c>
      <c r="E269" s="102" t="s">
        <v>848</v>
      </c>
      <c r="G269" s="102" t="s">
        <v>3403</v>
      </c>
      <c r="J269" s="102" t="s">
        <v>13427</v>
      </c>
      <c r="K269" s="102" t="s">
        <v>8141</v>
      </c>
      <c r="S269" s="102" t="s">
        <v>175</v>
      </c>
      <c r="T269" s="102" t="s">
        <v>7</v>
      </c>
    </row>
    <row r="270" spans="1:20">
      <c r="A270" s="101" t="s">
        <v>3463</v>
      </c>
      <c r="B270" s="101" t="s">
        <v>3759</v>
      </c>
      <c r="C270" s="101">
        <v>1080</v>
      </c>
      <c r="D270" s="102" t="s">
        <v>8142</v>
      </c>
      <c r="E270" s="102" t="s">
        <v>848</v>
      </c>
      <c r="G270" s="102" t="s">
        <v>3403</v>
      </c>
      <c r="J270" s="102" t="s">
        <v>13427</v>
      </c>
      <c r="K270" s="102" t="s">
        <v>8143</v>
      </c>
      <c r="S270" s="102" t="s">
        <v>172</v>
      </c>
      <c r="T270" s="102" t="s">
        <v>7</v>
      </c>
    </row>
    <row r="271" spans="1:20">
      <c r="A271" s="101" t="s">
        <v>3463</v>
      </c>
      <c r="B271" s="101" t="s">
        <v>3759</v>
      </c>
      <c r="C271" s="101">
        <v>1081</v>
      </c>
      <c r="D271" s="102" t="s">
        <v>8144</v>
      </c>
      <c r="E271" s="102" t="s">
        <v>847</v>
      </c>
      <c r="G271" s="102" t="s">
        <v>3445</v>
      </c>
      <c r="H271" s="102" t="s">
        <v>5671</v>
      </c>
      <c r="K271" s="102" t="s">
        <v>5321</v>
      </c>
      <c r="L271" s="102" t="s">
        <v>8145</v>
      </c>
      <c r="S271" s="102" t="s">
        <v>5281</v>
      </c>
      <c r="T271" s="102" t="s">
        <v>7</v>
      </c>
    </row>
    <row r="272" spans="1:20">
      <c r="A272" s="101" t="s">
        <v>3463</v>
      </c>
      <c r="B272" s="101" t="s">
        <v>3759</v>
      </c>
      <c r="C272" s="101">
        <v>1082</v>
      </c>
      <c r="D272" s="102" t="s">
        <v>8146</v>
      </c>
      <c r="E272" s="102" t="s">
        <v>847</v>
      </c>
      <c r="G272" s="102" t="s">
        <v>3403</v>
      </c>
      <c r="K272" s="102" t="s">
        <v>8147</v>
      </c>
      <c r="L272" s="102" t="s">
        <v>3768</v>
      </c>
      <c r="S272" s="102" t="s">
        <v>606</v>
      </c>
      <c r="T272" s="102" t="s">
        <v>7</v>
      </c>
    </row>
    <row r="273" spans="1:20">
      <c r="A273" s="101" t="s">
        <v>3463</v>
      </c>
      <c r="B273" s="101" t="s">
        <v>3759</v>
      </c>
      <c r="C273" s="101">
        <v>1083</v>
      </c>
      <c r="D273" s="102" t="s">
        <v>8148</v>
      </c>
      <c r="E273" s="102" t="s">
        <v>850</v>
      </c>
      <c r="G273" s="102" t="s">
        <v>3403</v>
      </c>
      <c r="J273" s="102" t="s">
        <v>13427</v>
      </c>
      <c r="K273" s="102" t="s">
        <v>8149</v>
      </c>
      <c r="S273" s="102" t="s">
        <v>605</v>
      </c>
      <c r="T273" s="102" t="s">
        <v>7</v>
      </c>
    </row>
    <row r="274" spans="1:20">
      <c r="A274" s="101" t="s">
        <v>3463</v>
      </c>
      <c r="B274" s="101" t="s">
        <v>3759</v>
      </c>
      <c r="C274" s="101">
        <v>1084</v>
      </c>
      <c r="D274" s="102" t="s">
        <v>8150</v>
      </c>
      <c r="E274" s="102" t="s">
        <v>850</v>
      </c>
      <c r="G274" s="102" t="s">
        <v>3403</v>
      </c>
      <c r="J274" s="102" t="s">
        <v>13427</v>
      </c>
      <c r="K274" s="102" t="s">
        <v>8151</v>
      </c>
      <c r="S274" s="102" t="s">
        <v>33</v>
      </c>
      <c r="T274" s="102" t="s">
        <v>7</v>
      </c>
    </row>
    <row r="275" spans="1:20">
      <c r="A275" s="101" t="s">
        <v>3463</v>
      </c>
      <c r="B275" s="101" t="s">
        <v>3759</v>
      </c>
      <c r="C275" s="101">
        <v>1085</v>
      </c>
      <c r="D275" s="102" t="s">
        <v>8152</v>
      </c>
      <c r="E275" s="102" t="s">
        <v>850</v>
      </c>
      <c r="G275" s="102" t="s">
        <v>3403</v>
      </c>
      <c r="J275" s="102" t="s">
        <v>13427</v>
      </c>
      <c r="K275" s="102" t="s">
        <v>8153</v>
      </c>
      <c r="S275" s="102" t="s">
        <v>169</v>
      </c>
      <c r="T275" s="102" t="s">
        <v>7</v>
      </c>
    </row>
    <row r="276" spans="1:20">
      <c r="A276" s="101" t="s">
        <v>3463</v>
      </c>
      <c r="B276" s="101" t="s">
        <v>3759</v>
      </c>
      <c r="C276" s="101">
        <v>1086</v>
      </c>
      <c r="D276" s="102" t="s">
        <v>8154</v>
      </c>
      <c r="E276" s="102" t="s">
        <v>850</v>
      </c>
      <c r="G276" s="102" t="s">
        <v>3403</v>
      </c>
      <c r="J276" s="102" t="s">
        <v>13427</v>
      </c>
      <c r="K276" s="102" t="s">
        <v>8155</v>
      </c>
      <c r="S276" s="102" t="s">
        <v>183</v>
      </c>
      <c r="T276" s="102" t="s">
        <v>7</v>
      </c>
    </row>
    <row r="277" spans="1:20">
      <c r="A277" s="101" t="s">
        <v>3463</v>
      </c>
      <c r="B277" s="101" t="s">
        <v>3759</v>
      </c>
      <c r="C277" s="101">
        <v>1087</v>
      </c>
      <c r="D277" s="102" t="s">
        <v>8156</v>
      </c>
      <c r="E277" s="102" t="s">
        <v>849</v>
      </c>
      <c r="G277" s="102" t="s">
        <v>3403</v>
      </c>
      <c r="K277" s="102" t="s">
        <v>6394</v>
      </c>
      <c r="L277" s="102" t="s">
        <v>8157</v>
      </c>
      <c r="S277" s="102" t="s">
        <v>37</v>
      </c>
      <c r="T277" s="102" t="s">
        <v>7</v>
      </c>
    </row>
    <row r="278" spans="1:20">
      <c r="A278" s="101" t="s">
        <v>3463</v>
      </c>
      <c r="B278" s="101" t="s">
        <v>3759</v>
      </c>
      <c r="C278" s="101">
        <v>1088</v>
      </c>
      <c r="D278" s="102" t="s">
        <v>8158</v>
      </c>
      <c r="E278" s="102" t="s">
        <v>850</v>
      </c>
      <c r="G278" s="102" t="s">
        <v>3403</v>
      </c>
      <c r="H278" s="102" t="s">
        <v>5670</v>
      </c>
      <c r="K278" s="102" t="s">
        <v>8159</v>
      </c>
      <c r="L278" s="102" t="s">
        <v>8160</v>
      </c>
      <c r="S278" s="102" t="s">
        <v>604</v>
      </c>
      <c r="T278" s="102" t="s">
        <v>7</v>
      </c>
    </row>
    <row r="279" spans="1:20">
      <c r="A279" s="101" t="s">
        <v>3463</v>
      </c>
      <c r="B279" s="101" t="s">
        <v>3759</v>
      </c>
      <c r="C279" s="101">
        <v>1089</v>
      </c>
      <c r="D279" s="102" t="s">
        <v>8161</v>
      </c>
      <c r="E279" s="102" t="s">
        <v>849</v>
      </c>
      <c r="G279" s="102" t="s">
        <v>3403</v>
      </c>
      <c r="K279" s="102" t="s">
        <v>8162</v>
      </c>
      <c r="S279" s="102" t="s">
        <v>8</v>
      </c>
      <c r="T279" s="102" t="s">
        <v>7</v>
      </c>
    </row>
    <row r="280" spans="1:20">
      <c r="A280" s="101" t="s">
        <v>3463</v>
      </c>
      <c r="B280" s="101" t="s">
        <v>3759</v>
      </c>
      <c r="C280" s="101">
        <v>1090</v>
      </c>
      <c r="D280" s="102" t="s">
        <v>8163</v>
      </c>
      <c r="E280" s="102" t="s">
        <v>850</v>
      </c>
      <c r="G280" s="102" t="s">
        <v>3403</v>
      </c>
      <c r="J280" s="102" t="s">
        <v>13427</v>
      </c>
      <c r="K280" s="102" t="s">
        <v>3765</v>
      </c>
      <c r="L280" s="102" t="s">
        <v>8164</v>
      </c>
      <c r="S280" s="102" t="s">
        <v>49</v>
      </c>
      <c r="T280" s="102" t="s">
        <v>7</v>
      </c>
    </row>
    <row r="281" spans="1:20">
      <c r="A281" s="101" t="s">
        <v>3463</v>
      </c>
      <c r="B281" s="101" t="s">
        <v>3759</v>
      </c>
      <c r="C281" s="101">
        <v>1091</v>
      </c>
      <c r="D281" s="102" t="s">
        <v>8165</v>
      </c>
      <c r="E281" s="102" t="s">
        <v>850</v>
      </c>
      <c r="G281" s="102" t="s">
        <v>3403</v>
      </c>
      <c r="J281" s="102" t="s">
        <v>13427</v>
      </c>
      <c r="K281" s="102" t="s">
        <v>8166</v>
      </c>
      <c r="S281" s="102" t="s">
        <v>5281</v>
      </c>
      <c r="T281" s="102" t="s">
        <v>7</v>
      </c>
    </row>
    <row r="282" spans="1:20">
      <c r="A282" s="101" t="s">
        <v>3463</v>
      </c>
      <c r="B282" s="101" t="s">
        <v>3759</v>
      </c>
      <c r="C282" s="101">
        <v>1092</v>
      </c>
      <c r="D282" s="102" t="s">
        <v>8167</v>
      </c>
      <c r="E282" s="102" t="s">
        <v>850</v>
      </c>
      <c r="G282" s="102" t="s">
        <v>3403</v>
      </c>
      <c r="J282" s="102" t="s">
        <v>13427</v>
      </c>
      <c r="K282" s="102" t="s">
        <v>8168</v>
      </c>
      <c r="S282" s="102" t="s">
        <v>607</v>
      </c>
      <c r="T282" s="102" t="s">
        <v>7</v>
      </c>
    </row>
    <row r="283" spans="1:20">
      <c r="A283" s="101" t="s">
        <v>3463</v>
      </c>
      <c r="B283" s="101" t="s">
        <v>3759</v>
      </c>
      <c r="C283" s="101">
        <v>1093</v>
      </c>
      <c r="D283" s="102" t="s">
        <v>8169</v>
      </c>
      <c r="E283" s="102" t="s">
        <v>850</v>
      </c>
      <c r="G283" s="102" t="s">
        <v>3403</v>
      </c>
      <c r="K283" s="102" t="s">
        <v>8170</v>
      </c>
      <c r="L283" s="102" t="s">
        <v>4953</v>
      </c>
      <c r="S283" s="102" t="s">
        <v>29</v>
      </c>
      <c r="T283" s="102" t="s">
        <v>7</v>
      </c>
    </row>
    <row r="284" spans="1:20">
      <c r="A284" s="101" t="s">
        <v>3463</v>
      </c>
      <c r="B284" s="101" t="s">
        <v>3759</v>
      </c>
      <c r="C284" s="101">
        <v>1094</v>
      </c>
      <c r="D284" s="102" t="s">
        <v>8171</v>
      </c>
      <c r="E284" s="102" t="s">
        <v>849</v>
      </c>
      <c r="G284" s="102" t="s">
        <v>3403</v>
      </c>
      <c r="H284" s="102" t="s">
        <v>5180</v>
      </c>
      <c r="K284" s="102" t="s">
        <v>8172</v>
      </c>
      <c r="L284" s="102" t="s">
        <v>7167</v>
      </c>
      <c r="S284" s="102" t="s">
        <v>179</v>
      </c>
      <c r="T284" s="102" t="s">
        <v>7</v>
      </c>
    </row>
    <row r="285" spans="1:20">
      <c r="A285" s="101" t="s">
        <v>3463</v>
      </c>
      <c r="B285" s="101" t="s">
        <v>3759</v>
      </c>
      <c r="C285" s="101">
        <v>1095</v>
      </c>
      <c r="D285" s="102" t="s">
        <v>8173</v>
      </c>
      <c r="E285" s="102" t="s">
        <v>849</v>
      </c>
      <c r="G285" s="102" t="s">
        <v>3403</v>
      </c>
      <c r="K285" s="102" t="s">
        <v>8174</v>
      </c>
      <c r="L285" s="102" t="s">
        <v>3768</v>
      </c>
      <c r="S285" s="102" t="s">
        <v>35</v>
      </c>
      <c r="T285" s="102" t="s">
        <v>7</v>
      </c>
    </row>
    <row r="286" spans="1:20">
      <c r="A286" s="101" t="s">
        <v>3463</v>
      </c>
      <c r="B286" s="101" t="s">
        <v>3759</v>
      </c>
      <c r="C286" s="101">
        <v>1096</v>
      </c>
      <c r="D286" s="102" t="s">
        <v>8175</v>
      </c>
      <c r="E286" s="102" t="s">
        <v>850</v>
      </c>
      <c r="G286" s="102" t="s">
        <v>3403</v>
      </c>
      <c r="K286" s="102" t="s">
        <v>8176</v>
      </c>
      <c r="S286" s="102" t="s">
        <v>31</v>
      </c>
      <c r="T286" s="102" t="s">
        <v>7</v>
      </c>
    </row>
    <row r="287" spans="1:20">
      <c r="A287" s="101" t="s">
        <v>3463</v>
      </c>
      <c r="B287" s="101" t="s">
        <v>3759</v>
      </c>
      <c r="C287" s="101">
        <v>1097</v>
      </c>
      <c r="D287" s="102" t="s">
        <v>8177</v>
      </c>
      <c r="E287" s="102" t="s">
        <v>849</v>
      </c>
      <c r="G287" s="102" t="s">
        <v>3403</v>
      </c>
      <c r="K287" s="102" t="s">
        <v>8178</v>
      </c>
      <c r="S287" s="102" t="s">
        <v>5</v>
      </c>
      <c r="T287" s="102" t="s">
        <v>7</v>
      </c>
    </row>
    <row r="288" spans="1:20">
      <c r="A288" s="101" t="s">
        <v>3463</v>
      </c>
      <c r="B288" s="101" t="s">
        <v>3759</v>
      </c>
      <c r="C288" s="101">
        <v>1098</v>
      </c>
      <c r="D288" s="102" t="s">
        <v>8179</v>
      </c>
      <c r="E288" s="102" t="s">
        <v>849</v>
      </c>
      <c r="G288" s="102" t="s">
        <v>3403</v>
      </c>
      <c r="K288" s="102" t="s">
        <v>8180</v>
      </c>
      <c r="L288" s="102" t="s">
        <v>3768</v>
      </c>
      <c r="S288" s="102" t="s">
        <v>32</v>
      </c>
      <c r="T288" s="102" t="s">
        <v>7</v>
      </c>
    </row>
    <row r="289" spans="1:20">
      <c r="A289" s="101" t="s">
        <v>3463</v>
      </c>
      <c r="B289" s="101" t="s">
        <v>3759</v>
      </c>
      <c r="C289" s="101">
        <v>1099</v>
      </c>
      <c r="D289" s="102" t="s">
        <v>8181</v>
      </c>
      <c r="E289" s="102" t="s">
        <v>849</v>
      </c>
      <c r="G289" s="102" t="s">
        <v>3403</v>
      </c>
      <c r="K289" s="102" t="s">
        <v>8182</v>
      </c>
      <c r="S289" s="102" t="s">
        <v>39</v>
      </c>
      <c r="T289" s="102" t="s">
        <v>7</v>
      </c>
    </row>
    <row r="290" spans="1:20">
      <c r="A290" s="101" t="s">
        <v>3463</v>
      </c>
      <c r="B290" s="101" t="s">
        <v>3759</v>
      </c>
      <c r="C290" s="101">
        <v>1100</v>
      </c>
      <c r="D290" s="102" t="s">
        <v>8183</v>
      </c>
      <c r="E290" s="102" t="s">
        <v>849</v>
      </c>
      <c r="G290" s="102" t="s">
        <v>3403</v>
      </c>
      <c r="K290" s="102" t="s">
        <v>7296</v>
      </c>
      <c r="L290" s="102" t="s">
        <v>8184</v>
      </c>
      <c r="S290" s="102" t="s">
        <v>28</v>
      </c>
      <c r="T290" s="102" t="s">
        <v>7</v>
      </c>
    </row>
    <row r="291" spans="1:20">
      <c r="A291" s="101" t="s">
        <v>3463</v>
      </c>
      <c r="B291" s="101" t="s">
        <v>3759</v>
      </c>
      <c r="C291" s="101">
        <v>1101</v>
      </c>
      <c r="D291" s="102" t="s">
        <v>8185</v>
      </c>
      <c r="E291" s="102" t="s">
        <v>849</v>
      </c>
      <c r="G291" s="102" t="s">
        <v>3403</v>
      </c>
      <c r="K291" s="102" t="s">
        <v>8186</v>
      </c>
      <c r="S291" s="102" t="s">
        <v>26</v>
      </c>
      <c r="T291" s="102" t="s">
        <v>7</v>
      </c>
    </row>
    <row r="292" spans="1:20">
      <c r="A292" s="101" t="s">
        <v>3463</v>
      </c>
      <c r="B292" s="101" t="s">
        <v>3759</v>
      </c>
      <c r="C292" s="101">
        <v>1102</v>
      </c>
      <c r="D292" s="102" t="s">
        <v>7381</v>
      </c>
      <c r="E292" s="102" t="s">
        <v>850</v>
      </c>
      <c r="G292" s="102" t="s">
        <v>3403</v>
      </c>
      <c r="J292" s="102" t="s">
        <v>13427</v>
      </c>
      <c r="K292" s="102" t="s">
        <v>7382</v>
      </c>
      <c r="S292" s="102" t="s">
        <v>181</v>
      </c>
      <c r="T292" s="102" t="s">
        <v>7</v>
      </c>
    </row>
    <row r="293" spans="1:20">
      <c r="A293" s="101" t="s">
        <v>3463</v>
      </c>
      <c r="B293" s="101" t="s">
        <v>3759</v>
      </c>
      <c r="C293" s="101">
        <v>1103</v>
      </c>
      <c r="D293" s="102" t="s">
        <v>8187</v>
      </c>
      <c r="E293" s="102" t="s">
        <v>849</v>
      </c>
      <c r="G293" s="102" t="s">
        <v>3403</v>
      </c>
      <c r="J293" s="102" t="s">
        <v>13427</v>
      </c>
      <c r="K293" s="102" t="s">
        <v>8188</v>
      </c>
      <c r="S293" s="102" t="s">
        <v>11</v>
      </c>
      <c r="T293" s="102" t="s">
        <v>7</v>
      </c>
    </row>
    <row r="294" spans="1:20">
      <c r="A294" s="101" t="s">
        <v>3463</v>
      </c>
      <c r="B294" s="101" t="s">
        <v>3759</v>
      </c>
      <c r="C294" s="101">
        <v>1104</v>
      </c>
      <c r="D294" s="102" t="s">
        <v>8189</v>
      </c>
      <c r="E294" s="102" t="s">
        <v>851</v>
      </c>
      <c r="G294" s="102" t="s">
        <v>3403</v>
      </c>
      <c r="K294" s="102" t="s">
        <v>8190</v>
      </c>
      <c r="S294" s="102" t="s">
        <v>34</v>
      </c>
      <c r="T294" s="102" t="s">
        <v>7</v>
      </c>
    </row>
    <row r="295" spans="1:20">
      <c r="A295" s="101" t="s">
        <v>3463</v>
      </c>
      <c r="B295" s="101" t="s">
        <v>3759</v>
      </c>
      <c r="C295" s="101">
        <v>1105</v>
      </c>
      <c r="D295" s="102" t="s">
        <v>8191</v>
      </c>
      <c r="E295" s="102" t="s">
        <v>851</v>
      </c>
      <c r="G295" s="102" t="s">
        <v>3403</v>
      </c>
      <c r="K295" s="102" t="s">
        <v>8192</v>
      </c>
      <c r="L295" s="102" t="s">
        <v>3768</v>
      </c>
      <c r="S295" s="102" t="s">
        <v>38</v>
      </c>
      <c r="T295" s="102" t="s">
        <v>7</v>
      </c>
    </row>
    <row r="296" spans="1:20">
      <c r="A296" s="101" t="s">
        <v>3463</v>
      </c>
      <c r="B296" s="101" t="s">
        <v>3759</v>
      </c>
      <c r="C296" s="101">
        <v>1106</v>
      </c>
      <c r="D296" s="102" t="s">
        <v>8193</v>
      </c>
      <c r="E296" s="102" t="s">
        <v>851</v>
      </c>
      <c r="G296" s="102" t="s">
        <v>3403</v>
      </c>
      <c r="K296" s="102" t="s">
        <v>1232</v>
      </c>
      <c r="L296" s="102" t="s">
        <v>8194</v>
      </c>
      <c r="S296" s="102" t="s">
        <v>53</v>
      </c>
      <c r="T296" s="102" t="s">
        <v>7</v>
      </c>
    </row>
    <row r="297" spans="1:20">
      <c r="A297" s="101" t="s">
        <v>3463</v>
      </c>
      <c r="B297" s="101" t="s">
        <v>3759</v>
      </c>
      <c r="C297" s="101">
        <v>1107</v>
      </c>
      <c r="D297" s="102" t="s">
        <v>8195</v>
      </c>
      <c r="E297" s="102" t="s">
        <v>851</v>
      </c>
      <c r="G297" s="102" t="s">
        <v>3403</v>
      </c>
      <c r="K297" s="102" t="s">
        <v>8196</v>
      </c>
      <c r="S297" s="102" t="s">
        <v>6</v>
      </c>
      <c r="T297" s="102" t="s">
        <v>7</v>
      </c>
    </row>
    <row r="298" spans="1:20">
      <c r="A298" s="101" t="s">
        <v>3463</v>
      </c>
      <c r="B298" s="101" t="s">
        <v>3759</v>
      </c>
      <c r="C298" s="101">
        <v>1108</v>
      </c>
      <c r="D298" s="102" t="s">
        <v>8197</v>
      </c>
      <c r="E298" s="102" t="s">
        <v>852</v>
      </c>
      <c r="G298" s="102" t="s">
        <v>3403</v>
      </c>
      <c r="K298" s="102" t="s">
        <v>7432</v>
      </c>
      <c r="S298" s="102" t="s">
        <v>172</v>
      </c>
      <c r="T298" s="102" t="s">
        <v>7</v>
      </c>
    </row>
    <row r="299" spans="1:20">
      <c r="A299" s="101" t="s">
        <v>3463</v>
      </c>
      <c r="B299" s="101" t="s">
        <v>3759</v>
      </c>
      <c r="C299" s="101">
        <v>1109</v>
      </c>
      <c r="D299" s="102" t="s">
        <v>8198</v>
      </c>
      <c r="E299" s="102" t="s">
        <v>851</v>
      </c>
      <c r="G299" s="102" t="s">
        <v>3403</v>
      </c>
      <c r="K299" s="102" t="s">
        <v>7402</v>
      </c>
      <c r="L299" s="102" t="s">
        <v>8199</v>
      </c>
      <c r="S299" s="102" t="s">
        <v>52</v>
      </c>
      <c r="T299" s="102" t="s">
        <v>7</v>
      </c>
    </row>
    <row r="300" spans="1:20">
      <c r="A300" s="101" t="s">
        <v>3463</v>
      </c>
      <c r="B300" s="101" t="s">
        <v>3759</v>
      </c>
      <c r="C300" s="101">
        <v>1110</v>
      </c>
      <c r="D300" s="102" t="s">
        <v>8200</v>
      </c>
      <c r="E300" s="102" t="s">
        <v>944</v>
      </c>
      <c r="G300" s="102" t="s">
        <v>3403</v>
      </c>
      <c r="J300" s="102" t="s">
        <v>13427</v>
      </c>
      <c r="K300" s="102" t="s">
        <v>8201</v>
      </c>
      <c r="S300" s="102" t="s">
        <v>179</v>
      </c>
      <c r="T300" s="102" t="s">
        <v>7</v>
      </c>
    </row>
    <row r="301" spans="1:20">
      <c r="A301" s="101" t="s">
        <v>3463</v>
      </c>
      <c r="B301" s="101" t="s">
        <v>3759</v>
      </c>
      <c r="C301" s="101">
        <v>1111</v>
      </c>
      <c r="D301" s="102" t="s">
        <v>8202</v>
      </c>
      <c r="E301" s="102" t="s">
        <v>944</v>
      </c>
      <c r="G301" s="102" t="s">
        <v>3403</v>
      </c>
      <c r="K301" s="102" t="s">
        <v>8203</v>
      </c>
      <c r="S301" s="102" t="s">
        <v>180</v>
      </c>
      <c r="T301" s="102" t="s">
        <v>7</v>
      </c>
    </row>
    <row r="302" spans="1:20">
      <c r="A302" s="101" t="s">
        <v>3463</v>
      </c>
      <c r="B302" s="101" t="s">
        <v>3759</v>
      </c>
      <c r="C302" s="101">
        <v>1112</v>
      </c>
      <c r="D302" s="102" t="s">
        <v>8204</v>
      </c>
      <c r="E302" s="102" t="s">
        <v>944</v>
      </c>
      <c r="G302" s="102" t="s">
        <v>3403</v>
      </c>
      <c r="K302" s="102" t="s">
        <v>8205</v>
      </c>
      <c r="L302" s="102" t="s">
        <v>7432</v>
      </c>
      <c r="S302" s="102" t="s">
        <v>39</v>
      </c>
      <c r="T302" s="102" t="s">
        <v>7</v>
      </c>
    </row>
    <row r="303" spans="1:20">
      <c r="A303" s="101" t="s">
        <v>3463</v>
      </c>
      <c r="B303" s="101" t="s">
        <v>3759</v>
      </c>
      <c r="C303" s="101">
        <v>1113</v>
      </c>
      <c r="D303" s="102" t="s">
        <v>8206</v>
      </c>
      <c r="E303" s="102" t="s">
        <v>944</v>
      </c>
      <c r="G303" s="102" t="s">
        <v>3403</v>
      </c>
      <c r="K303" s="102" t="s">
        <v>7771</v>
      </c>
      <c r="S303" s="102" t="s">
        <v>38</v>
      </c>
      <c r="T303" s="102" t="s">
        <v>7</v>
      </c>
    </row>
    <row r="304" spans="1:20">
      <c r="A304" s="101" t="s">
        <v>3463</v>
      </c>
      <c r="B304" s="101" t="s">
        <v>3759</v>
      </c>
      <c r="C304" s="101">
        <v>1114</v>
      </c>
      <c r="D304" s="112" t="s">
        <v>8207</v>
      </c>
      <c r="E304" s="112" t="s">
        <v>3139</v>
      </c>
      <c r="F304" s="112"/>
      <c r="G304" s="112" t="s">
        <v>3403</v>
      </c>
      <c r="H304" s="112"/>
      <c r="I304" s="112"/>
      <c r="J304" s="112" t="s">
        <v>13427</v>
      </c>
      <c r="K304" s="112" t="s">
        <v>5044</v>
      </c>
      <c r="L304" s="112" t="s">
        <v>8143</v>
      </c>
      <c r="M304" s="112"/>
      <c r="N304" s="112"/>
      <c r="O304" s="112"/>
      <c r="P304" s="112"/>
      <c r="Q304" s="112"/>
      <c r="R304" s="112"/>
      <c r="S304" s="112" t="s">
        <v>168</v>
      </c>
      <c r="T304" s="102" t="s">
        <v>7</v>
      </c>
    </row>
    <row r="305" spans="1:20" customFormat="1">
      <c r="A305" s="101" t="s">
        <v>3465</v>
      </c>
      <c r="B305" s="101" t="s">
        <v>3759</v>
      </c>
      <c r="C305" s="101">
        <v>2001</v>
      </c>
      <c r="D305" s="109" t="s">
        <v>8591</v>
      </c>
      <c r="E305" s="109" t="s">
        <v>7984</v>
      </c>
      <c r="F305" s="109"/>
      <c r="G305" s="109" t="s">
        <v>3403</v>
      </c>
      <c r="H305" s="109"/>
      <c r="I305" s="109"/>
      <c r="J305" s="110" t="s">
        <v>13427</v>
      </c>
      <c r="K305" s="110" t="s">
        <v>3765</v>
      </c>
      <c r="L305" s="110" t="s">
        <v>8592</v>
      </c>
      <c r="M305" s="110"/>
      <c r="N305" s="110"/>
      <c r="O305" s="110"/>
      <c r="P305" s="110"/>
      <c r="Q305" s="110"/>
      <c r="R305" s="110"/>
      <c r="S305" s="110" t="s">
        <v>34</v>
      </c>
      <c r="T305" s="110" t="s">
        <v>9</v>
      </c>
    </row>
    <row r="306" spans="1:20" customFormat="1">
      <c r="A306" s="101" t="s">
        <v>3465</v>
      </c>
      <c r="B306" s="101" t="s">
        <v>3759</v>
      </c>
      <c r="C306" s="101">
        <v>2002</v>
      </c>
      <c r="D306" s="102" t="s">
        <v>8593</v>
      </c>
      <c r="E306" s="101" t="s">
        <v>845</v>
      </c>
      <c r="F306" s="101"/>
      <c r="G306" s="102" t="s">
        <v>3403</v>
      </c>
      <c r="H306" s="102"/>
      <c r="I306" s="102"/>
      <c r="J306" s="102"/>
      <c r="K306" s="102" t="s">
        <v>8594</v>
      </c>
      <c r="L306" s="102"/>
      <c r="M306" s="102"/>
      <c r="N306" s="102"/>
      <c r="O306" s="102"/>
      <c r="P306" s="102"/>
      <c r="Q306" s="102"/>
      <c r="R306" s="102"/>
      <c r="S306" s="102" t="s">
        <v>177</v>
      </c>
      <c r="T306" s="102" t="s">
        <v>9</v>
      </c>
    </row>
    <row r="307" spans="1:20" customFormat="1">
      <c r="A307" s="101" t="s">
        <v>3465</v>
      </c>
      <c r="B307" s="101" t="s">
        <v>3759</v>
      </c>
      <c r="C307" s="101">
        <v>2003</v>
      </c>
      <c r="D307" s="102" t="s">
        <v>8595</v>
      </c>
      <c r="E307" s="102" t="s">
        <v>845</v>
      </c>
      <c r="F307" s="102"/>
      <c r="G307" s="102" t="s">
        <v>3403</v>
      </c>
      <c r="H307" s="102"/>
      <c r="I307" s="102"/>
      <c r="J307" s="102" t="s">
        <v>13427</v>
      </c>
      <c r="K307" s="102" t="s">
        <v>8596</v>
      </c>
      <c r="L307" s="102"/>
      <c r="M307" s="102"/>
      <c r="N307" s="102"/>
      <c r="O307" s="102"/>
      <c r="P307" s="102"/>
      <c r="Q307" s="102"/>
      <c r="R307" s="102"/>
      <c r="S307" s="102" t="s">
        <v>34</v>
      </c>
      <c r="T307" s="102" t="s">
        <v>9</v>
      </c>
    </row>
    <row r="308" spans="1:20" customFormat="1">
      <c r="A308" s="101" t="s">
        <v>3465</v>
      </c>
      <c r="B308" s="101" t="s">
        <v>3759</v>
      </c>
      <c r="C308" s="101">
        <v>2004</v>
      </c>
      <c r="D308" s="102" t="s">
        <v>8597</v>
      </c>
      <c r="E308" s="102" t="s">
        <v>845</v>
      </c>
      <c r="F308" s="102"/>
      <c r="G308" s="102" t="s">
        <v>3403</v>
      </c>
      <c r="H308" s="102"/>
      <c r="I308" s="102"/>
      <c r="J308" s="102"/>
      <c r="K308" s="102" t="s">
        <v>8598</v>
      </c>
      <c r="L308" s="102"/>
      <c r="M308" s="102"/>
      <c r="N308" s="102"/>
      <c r="O308" s="102"/>
      <c r="P308" s="102"/>
      <c r="Q308" s="102"/>
      <c r="R308" s="102"/>
      <c r="S308" s="102" t="s">
        <v>169</v>
      </c>
      <c r="T308" s="102" t="s">
        <v>9</v>
      </c>
    </row>
    <row r="309" spans="1:20" customFormat="1">
      <c r="A309" s="101" t="s">
        <v>3465</v>
      </c>
      <c r="B309" s="101" t="s">
        <v>3759</v>
      </c>
      <c r="C309" s="101">
        <v>2005</v>
      </c>
      <c r="D309" s="102" t="s">
        <v>8599</v>
      </c>
      <c r="E309" s="102" t="s">
        <v>845</v>
      </c>
      <c r="F309" s="102"/>
      <c r="G309" s="102" t="s">
        <v>3403</v>
      </c>
      <c r="H309" s="102"/>
      <c r="I309" s="102"/>
      <c r="J309" s="102"/>
      <c r="K309" s="102" t="s">
        <v>8600</v>
      </c>
      <c r="L309" s="102" t="s">
        <v>3768</v>
      </c>
      <c r="M309" s="102"/>
      <c r="N309" s="102"/>
      <c r="O309" s="102"/>
      <c r="P309" s="102"/>
      <c r="Q309" s="102"/>
      <c r="R309" s="102"/>
      <c r="S309" s="102" t="s">
        <v>180</v>
      </c>
      <c r="T309" s="102" t="s">
        <v>9</v>
      </c>
    </row>
    <row r="310" spans="1:20" customFormat="1">
      <c r="A310" s="101" t="s">
        <v>3465</v>
      </c>
      <c r="B310" s="101" t="s">
        <v>3759</v>
      </c>
      <c r="C310" s="101">
        <v>2006</v>
      </c>
      <c r="D310" s="102" t="s">
        <v>8601</v>
      </c>
      <c r="E310" s="102" t="s">
        <v>845</v>
      </c>
      <c r="F310" s="102"/>
      <c r="G310" s="102" t="s">
        <v>3403</v>
      </c>
      <c r="H310" s="102"/>
      <c r="I310" s="102"/>
      <c r="J310" s="102"/>
      <c r="K310" s="102" t="s">
        <v>8602</v>
      </c>
      <c r="L310" s="102"/>
      <c r="M310" s="102"/>
      <c r="N310" s="102"/>
      <c r="O310" s="102"/>
      <c r="P310" s="102"/>
      <c r="Q310" s="102"/>
      <c r="R310" s="102"/>
      <c r="S310" s="102" t="s">
        <v>174</v>
      </c>
      <c r="T310" s="102" t="s">
        <v>9</v>
      </c>
    </row>
    <row r="311" spans="1:20" customFormat="1">
      <c r="A311" s="101" t="s">
        <v>3465</v>
      </c>
      <c r="B311" s="101" t="s">
        <v>3759</v>
      </c>
      <c r="C311" s="101">
        <v>2007</v>
      </c>
      <c r="D311" s="102" t="s">
        <v>8603</v>
      </c>
      <c r="E311" s="102" t="s">
        <v>7094</v>
      </c>
      <c r="F311" s="102"/>
      <c r="G311" s="102" t="s">
        <v>3403</v>
      </c>
      <c r="H311" s="102"/>
      <c r="I311" s="102"/>
      <c r="J311" s="102"/>
      <c r="K311" s="102" t="s">
        <v>8604</v>
      </c>
      <c r="L311" s="102"/>
      <c r="M311" s="102"/>
      <c r="N311" s="102"/>
      <c r="O311" s="102"/>
      <c r="P311" s="102"/>
      <c r="Q311" s="102"/>
      <c r="R311" s="102"/>
      <c r="S311" s="102" t="s">
        <v>46</v>
      </c>
      <c r="T311" s="102" t="s">
        <v>9</v>
      </c>
    </row>
    <row r="312" spans="1:20" customFormat="1">
      <c r="A312" s="101" t="s">
        <v>3465</v>
      </c>
      <c r="B312" s="101" t="s">
        <v>3759</v>
      </c>
      <c r="C312" s="101">
        <v>2008</v>
      </c>
      <c r="D312" s="102" t="s">
        <v>8605</v>
      </c>
      <c r="E312" s="102" t="s">
        <v>7094</v>
      </c>
      <c r="F312" s="102"/>
      <c r="G312" s="102" t="s">
        <v>3403</v>
      </c>
      <c r="H312" s="102"/>
      <c r="I312" s="102"/>
      <c r="J312" s="102"/>
      <c r="K312" s="102" t="s">
        <v>8606</v>
      </c>
      <c r="L312" s="102" t="s">
        <v>8607</v>
      </c>
      <c r="M312" s="102"/>
      <c r="N312" s="102"/>
      <c r="O312" s="102"/>
      <c r="P312" s="102"/>
      <c r="Q312" s="102"/>
      <c r="R312" s="102"/>
      <c r="S312" s="102" t="s">
        <v>38</v>
      </c>
      <c r="T312" s="102" t="s">
        <v>9</v>
      </c>
    </row>
    <row r="313" spans="1:20" customFormat="1">
      <c r="A313" s="101" t="s">
        <v>3465</v>
      </c>
      <c r="B313" s="101" t="s">
        <v>3759</v>
      </c>
      <c r="C313" s="101">
        <v>2009</v>
      </c>
      <c r="D313" s="102" t="s">
        <v>8608</v>
      </c>
      <c r="E313" s="102" t="s">
        <v>845</v>
      </c>
      <c r="F313" s="102"/>
      <c r="G313" s="102" t="s">
        <v>3403</v>
      </c>
      <c r="H313" s="102"/>
      <c r="I313" s="102"/>
      <c r="J313" s="102" t="s">
        <v>13427</v>
      </c>
      <c r="K313" s="102" t="s">
        <v>8609</v>
      </c>
      <c r="L313" s="102"/>
      <c r="M313" s="102"/>
      <c r="N313" s="102"/>
      <c r="O313" s="102"/>
      <c r="P313" s="102"/>
      <c r="Q313" s="102"/>
      <c r="R313" s="102"/>
      <c r="S313" s="102" t="s">
        <v>14</v>
      </c>
      <c r="T313" s="102" t="s">
        <v>9</v>
      </c>
    </row>
    <row r="314" spans="1:20" customFormat="1">
      <c r="A314" s="101" t="s">
        <v>3465</v>
      </c>
      <c r="B314" s="101" t="s">
        <v>3759</v>
      </c>
      <c r="C314" s="101">
        <v>2011</v>
      </c>
      <c r="D314" s="102" t="s">
        <v>8610</v>
      </c>
      <c r="E314" s="102" t="s">
        <v>845</v>
      </c>
      <c r="F314" s="102"/>
      <c r="G314" s="102" t="s">
        <v>3403</v>
      </c>
      <c r="H314" s="102"/>
      <c r="I314" s="102"/>
      <c r="J314" s="102"/>
      <c r="K314" s="102" t="s">
        <v>8611</v>
      </c>
      <c r="L314" s="102"/>
      <c r="M314" s="102"/>
      <c r="N314" s="102"/>
      <c r="O314" s="102"/>
      <c r="P314" s="102"/>
      <c r="Q314" s="102"/>
      <c r="R314" s="102"/>
      <c r="S314" s="102" t="s">
        <v>31</v>
      </c>
      <c r="T314" s="102" t="s">
        <v>9</v>
      </c>
    </row>
    <row r="315" spans="1:20" customFormat="1">
      <c r="A315" s="101" t="s">
        <v>3465</v>
      </c>
      <c r="B315" s="101" t="s">
        <v>3759</v>
      </c>
      <c r="C315" s="101">
        <v>2012</v>
      </c>
      <c r="D315" s="102" t="s">
        <v>8612</v>
      </c>
      <c r="E315" s="102" t="s">
        <v>1008</v>
      </c>
      <c r="F315" s="102"/>
      <c r="G315" s="102" t="s">
        <v>3403</v>
      </c>
      <c r="H315" s="102"/>
      <c r="I315" s="102"/>
      <c r="J315" s="102"/>
      <c r="K315" s="102" t="s">
        <v>8613</v>
      </c>
      <c r="L315" s="102"/>
      <c r="M315" s="102"/>
      <c r="N315" s="102"/>
      <c r="O315" s="102"/>
      <c r="P315" s="102"/>
      <c r="Q315" s="102"/>
      <c r="R315" s="102"/>
      <c r="S315" s="102" t="s">
        <v>173</v>
      </c>
      <c r="T315" s="102" t="s">
        <v>9</v>
      </c>
    </row>
    <row r="316" spans="1:20" customFormat="1">
      <c r="A316" s="101" t="s">
        <v>3465</v>
      </c>
      <c r="B316" s="101" t="s">
        <v>3759</v>
      </c>
      <c r="C316" s="101">
        <v>2013</v>
      </c>
      <c r="D316" s="102" t="s">
        <v>8614</v>
      </c>
      <c r="E316" s="102" t="s">
        <v>846</v>
      </c>
      <c r="F316" s="102"/>
      <c r="G316" s="102" t="s">
        <v>3403</v>
      </c>
      <c r="H316" s="102"/>
      <c r="I316" s="102"/>
      <c r="J316" s="102"/>
      <c r="K316" s="102" t="s">
        <v>4113</v>
      </c>
      <c r="L316" s="102" t="s">
        <v>8615</v>
      </c>
      <c r="M316" s="102" t="s">
        <v>8616</v>
      </c>
      <c r="N316" s="102" t="s">
        <v>6335</v>
      </c>
      <c r="O316" s="102"/>
      <c r="P316" s="102"/>
      <c r="Q316" s="102"/>
      <c r="R316" s="102"/>
      <c r="S316" s="102" t="s">
        <v>605</v>
      </c>
      <c r="T316" s="102" t="s">
        <v>9</v>
      </c>
    </row>
    <row r="317" spans="1:20" customFormat="1">
      <c r="A317" s="101" t="s">
        <v>3465</v>
      </c>
      <c r="B317" s="101" t="s">
        <v>3759</v>
      </c>
      <c r="C317" s="101">
        <v>2014</v>
      </c>
      <c r="D317" s="102" t="s">
        <v>8617</v>
      </c>
      <c r="E317" s="102" t="s">
        <v>846</v>
      </c>
      <c r="F317" s="102"/>
      <c r="G317" s="102" t="s">
        <v>3403</v>
      </c>
      <c r="H317" s="102"/>
      <c r="I317" s="102"/>
      <c r="J317" s="102"/>
      <c r="K317" s="102" t="s">
        <v>8618</v>
      </c>
      <c r="L317" s="102" t="s">
        <v>6410</v>
      </c>
      <c r="M317" s="102"/>
      <c r="N317" s="102"/>
      <c r="O317" s="102"/>
      <c r="P317" s="102"/>
      <c r="Q317" s="102"/>
      <c r="R317" s="102"/>
      <c r="S317" s="102" t="s">
        <v>5381</v>
      </c>
      <c r="T317" s="102" t="s">
        <v>9</v>
      </c>
    </row>
    <row r="318" spans="1:20" customFormat="1">
      <c r="A318" s="101" t="s">
        <v>3465</v>
      </c>
      <c r="B318" s="101" t="s">
        <v>3759</v>
      </c>
      <c r="C318" s="101">
        <v>2015</v>
      </c>
      <c r="D318" s="102" t="s">
        <v>8619</v>
      </c>
      <c r="E318" s="102" t="s">
        <v>7196</v>
      </c>
      <c r="F318" s="102"/>
      <c r="G318" s="102" t="s">
        <v>3403</v>
      </c>
      <c r="H318" s="102"/>
      <c r="I318" s="102"/>
      <c r="J318" s="102"/>
      <c r="K318" s="102" t="s">
        <v>8620</v>
      </c>
      <c r="L318" s="102"/>
      <c r="M318" s="102"/>
      <c r="N318" s="102"/>
      <c r="O318" s="102"/>
      <c r="P318" s="102"/>
      <c r="Q318" s="102"/>
      <c r="R318" s="102"/>
      <c r="S318" s="102" t="s">
        <v>17</v>
      </c>
      <c r="T318" s="102" t="s">
        <v>9</v>
      </c>
    </row>
    <row r="319" spans="1:20" customFormat="1">
      <c r="A319" s="101" t="s">
        <v>3465</v>
      </c>
      <c r="B319" s="101" t="s">
        <v>3759</v>
      </c>
      <c r="C319" s="101">
        <v>2016</v>
      </c>
      <c r="D319" s="102" t="s">
        <v>8621</v>
      </c>
      <c r="E319" s="102" t="s">
        <v>7196</v>
      </c>
      <c r="F319" s="102"/>
      <c r="G319" s="102" t="s">
        <v>3403</v>
      </c>
      <c r="H319" s="102" t="s">
        <v>5180</v>
      </c>
      <c r="I319" s="102"/>
      <c r="J319" s="102" t="s">
        <v>13427</v>
      </c>
      <c r="K319" s="102" t="s">
        <v>8622</v>
      </c>
      <c r="L319" s="102" t="s">
        <v>8623</v>
      </c>
      <c r="M319" s="102"/>
      <c r="N319" s="102"/>
      <c r="O319" s="102"/>
      <c r="P319" s="102"/>
      <c r="Q319" s="102"/>
      <c r="R319" s="102"/>
      <c r="S319" s="102" t="s">
        <v>183</v>
      </c>
      <c r="T319" s="102" t="s">
        <v>9</v>
      </c>
    </row>
    <row r="320" spans="1:20" customFormat="1">
      <c r="A320" s="101" t="s">
        <v>3465</v>
      </c>
      <c r="B320" s="101" t="s">
        <v>3759</v>
      </c>
      <c r="C320" s="101">
        <v>2017</v>
      </c>
      <c r="D320" s="102" t="s">
        <v>8624</v>
      </c>
      <c r="E320" s="102" t="s">
        <v>846</v>
      </c>
      <c r="F320" s="102"/>
      <c r="G320" s="102" t="s">
        <v>3403</v>
      </c>
      <c r="H320" s="102"/>
      <c r="I320" s="102"/>
      <c r="J320" s="102"/>
      <c r="K320" s="102" t="s">
        <v>8625</v>
      </c>
      <c r="L320" s="102"/>
      <c r="M320" s="102"/>
      <c r="N320" s="102"/>
      <c r="O320" s="102"/>
      <c r="P320" s="102"/>
      <c r="Q320" s="102"/>
      <c r="R320" s="102"/>
      <c r="S320" s="102" t="s">
        <v>169</v>
      </c>
      <c r="T320" s="102" t="s">
        <v>9</v>
      </c>
    </row>
    <row r="321" spans="1:20" customFormat="1">
      <c r="A321" s="101" t="s">
        <v>3465</v>
      </c>
      <c r="B321" s="101" t="s">
        <v>3759</v>
      </c>
      <c r="C321" s="101">
        <v>2018</v>
      </c>
      <c r="D321" s="102" t="s">
        <v>8626</v>
      </c>
      <c r="E321" s="102" t="s">
        <v>846</v>
      </c>
      <c r="F321" s="102"/>
      <c r="G321" s="102" t="s">
        <v>3403</v>
      </c>
      <c r="H321" s="102"/>
      <c r="I321" s="102"/>
      <c r="J321" s="102" t="s">
        <v>13427</v>
      </c>
      <c r="K321" s="102" t="s">
        <v>7010</v>
      </c>
      <c r="L321" s="102" t="s">
        <v>8627</v>
      </c>
      <c r="M321" s="102"/>
      <c r="N321" s="102"/>
      <c r="O321" s="102"/>
      <c r="P321" s="102"/>
      <c r="Q321" s="102"/>
      <c r="R321" s="102"/>
      <c r="S321" s="102" t="s">
        <v>31</v>
      </c>
      <c r="T321" s="102" t="s">
        <v>9</v>
      </c>
    </row>
    <row r="322" spans="1:20" customFormat="1">
      <c r="A322" s="101" t="s">
        <v>3465</v>
      </c>
      <c r="B322" s="101" t="s">
        <v>3759</v>
      </c>
      <c r="C322" s="101">
        <v>2019</v>
      </c>
      <c r="D322" s="102" t="s">
        <v>8628</v>
      </c>
      <c r="E322" s="102" t="s">
        <v>1008</v>
      </c>
      <c r="F322" s="102"/>
      <c r="G322" s="102" t="s">
        <v>3403</v>
      </c>
      <c r="H322" s="102"/>
      <c r="I322" s="102"/>
      <c r="J322" s="102"/>
      <c r="K322" s="102" t="s">
        <v>8629</v>
      </c>
      <c r="L322" s="102"/>
      <c r="M322" s="102"/>
      <c r="N322" s="102"/>
      <c r="O322" s="102"/>
      <c r="P322" s="102"/>
      <c r="Q322" s="102"/>
      <c r="R322" s="102"/>
      <c r="S322" s="102" t="s">
        <v>181</v>
      </c>
      <c r="T322" s="102" t="s">
        <v>9</v>
      </c>
    </row>
    <row r="323" spans="1:20" customFormat="1">
      <c r="A323" s="101" t="s">
        <v>3465</v>
      </c>
      <c r="B323" s="101" t="s">
        <v>3759</v>
      </c>
      <c r="C323" s="101">
        <v>2020</v>
      </c>
      <c r="D323" s="102" t="s">
        <v>8630</v>
      </c>
      <c r="E323" s="102" t="s">
        <v>846</v>
      </c>
      <c r="F323" s="102"/>
      <c r="G323" s="102" t="s">
        <v>3403</v>
      </c>
      <c r="H323" s="102"/>
      <c r="I323" s="102"/>
      <c r="J323" s="102"/>
      <c r="K323" s="102" t="s">
        <v>8631</v>
      </c>
      <c r="L323" s="102" t="s">
        <v>8632</v>
      </c>
      <c r="M323" s="102"/>
      <c r="N323" s="102"/>
      <c r="O323" s="102"/>
      <c r="P323" s="102"/>
      <c r="Q323" s="102"/>
      <c r="R323" s="102"/>
      <c r="S323" s="102" t="s">
        <v>6</v>
      </c>
      <c r="T323" s="102" t="s">
        <v>9</v>
      </c>
    </row>
    <row r="324" spans="1:20" customFormat="1">
      <c r="A324" s="101" t="s">
        <v>3465</v>
      </c>
      <c r="B324" s="101" t="s">
        <v>3759</v>
      </c>
      <c r="C324" s="101">
        <v>2021</v>
      </c>
      <c r="D324" s="102" t="s">
        <v>8633</v>
      </c>
      <c r="E324" s="102" t="s">
        <v>848</v>
      </c>
      <c r="F324" s="102"/>
      <c r="G324" s="102" t="s">
        <v>3403</v>
      </c>
      <c r="H324" s="102"/>
      <c r="I324" s="102"/>
      <c r="J324" s="102" t="s">
        <v>13427</v>
      </c>
      <c r="K324" s="102" t="s">
        <v>8634</v>
      </c>
      <c r="L324" s="102" t="s">
        <v>3765</v>
      </c>
      <c r="M324" s="102"/>
      <c r="N324" s="102"/>
      <c r="O324" s="102"/>
      <c r="P324" s="102"/>
      <c r="Q324" s="102"/>
      <c r="R324" s="102"/>
      <c r="S324" s="102" t="s">
        <v>36</v>
      </c>
      <c r="T324" s="102" t="s">
        <v>9</v>
      </c>
    </row>
    <row r="325" spans="1:20" customFormat="1">
      <c r="A325" s="101" t="s">
        <v>3465</v>
      </c>
      <c r="B325" s="101" t="s">
        <v>3759</v>
      </c>
      <c r="C325" s="101">
        <v>2022</v>
      </c>
      <c r="D325" s="102" t="s">
        <v>8635</v>
      </c>
      <c r="E325" s="102" t="s">
        <v>8636</v>
      </c>
      <c r="F325" s="102"/>
      <c r="G325" s="102" t="s">
        <v>3403</v>
      </c>
      <c r="H325" s="102"/>
      <c r="I325" s="102"/>
      <c r="J325" s="102"/>
      <c r="K325" s="102" t="s">
        <v>937</v>
      </c>
      <c r="L325" s="102" t="s">
        <v>8637</v>
      </c>
      <c r="M325" s="102"/>
      <c r="N325" s="102"/>
      <c r="O325" s="102"/>
      <c r="P325" s="102"/>
      <c r="Q325" s="102"/>
      <c r="R325" s="102"/>
      <c r="S325" s="102" t="s">
        <v>35</v>
      </c>
      <c r="T325" s="102" t="s">
        <v>9</v>
      </c>
    </row>
    <row r="326" spans="1:20" customFormat="1">
      <c r="A326" s="101" t="s">
        <v>3465</v>
      </c>
      <c r="B326" s="101" t="s">
        <v>3759</v>
      </c>
      <c r="C326" s="101">
        <v>2023</v>
      </c>
      <c r="D326" s="102" t="s">
        <v>8638</v>
      </c>
      <c r="E326" s="102" t="s">
        <v>848</v>
      </c>
      <c r="F326" s="102"/>
      <c r="G326" s="102" t="s">
        <v>3403</v>
      </c>
      <c r="H326" s="102"/>
      <c r="I326" s="102"/>
      <c r="J326" s="102"/>
      <c r="K326" s="102" t="s">
        <v>8639</v>
      </c>
      <c r="L326" s="102" t="s">
        <v>8640</v>
      </c>
      <c r="M326" s="102"/>
      <c r="N326" s="102"/>
      <c r="O326" s="102"/>
      <c r="P326" s="102"/>
      <c r="Q326" s="102"/>
      <c r="R326" s="102"/>
      <c r="S326" s="102" t="s">
        <v>45</v>
      </c>
      <c r="T326" s="102" t="s">
        <v>9</v>
      </c>
    </row>
    <row r="327" spans="1:20" customFormat="1">
      <c r="A327" s="101" t="s">
        <v>3465</v>
      </c>
      <c r="B327" s="101" t="s">
        <v>3759</v>
      </c>
      <c r="C327" s="101">
        <v>2024</v>
      </c>
      <c r="D327" s="102" t="s">
        <v>8641</v>
      </c>
      <c r="E327" s="102" t="s">
        <v>848</v>
      </c>
      <c r="F327" s="102"/>
      <c r="G327" s="102" t="s">
        <v>3403</v>
      </c>
      <c r="H327" s="102"/>
      <c r="I327" s="102"/>
      <c r="J327" s="102"/>
      <c r="K327" s="102" t="s">
        <v>8642</v>
      </c>
      <c r="L327" s="102"/>
      <c r="M327" s="102"/>
      <c r="N327" s="102"/>
      <c r="O327" s="102"/>
      <c r="P327" s="102"/>
      <c r="Q327" s="102"/>
      <c r="R327" s="102"/>
      <c r="S327" s="102" t="s">
        <v>177</v>
      </c>
      <c r="T327" s="102" t="s">
        <v>9</v>
      </c>
    </row>
    <row r="328" spans="1:20" customFormat="1">
      <c r="A328" s="101" t="s">
        <v>3465</v>
      </c>
      <c r="B328" s="101" t="s">
        <v>3759</v>
      </c>
      <c r="C328" s="101">
        <v>2025</v>
      </c>
      <c r="D328" s="102" t="s">
        <v>8643</v>
      </c>
      <c r="E328" s="102" t="s">
        <v>847</v>
      </c>
      <c r="F328" s="102"/>
      <c r="G328" s="102" t="s">
        <v>3403</v>
      </c>
      <c r="H328" s="102"/>
      <c r="I328" s="102"/>
      <c r="J328" s="102"/>
      <c r="K328" s="102" t="s">
        <v>8644</v>
      </c>
      <c r="L328" s="102" t="s">
        <v>8645</v>
      </c>
      <c r="M328" s="102"/>
      <c r="N328" s="102"/>
      <c r="O328" s="102"/>
      <c r="P328" s="102"/>
      <c r="Q328" s="102"/>
      <c r="R328" s="102"/>
      <c r="S328" s="102" t="s">
        <v>27</v>
      </c>
      <c r="T328" s="102" t="s">
        <v>9</v>
      </c>
    </row>
    <row r="329" spans="1:20" customFormat="1">
      <c r="A329" s="101" t="s">
        <v>3465</v>
      </c>
      <c r="B329" s="101" t="s">
        <v>3759</v>
      </c>
      <c r="C329" s="101">
        <v>2026</v>
      </c>
      <c r="D329" s="102" t="s">
        <v>8646</v>
      </c>
      <c r="E329" s="102" t="s">
        <v>848</v>
      </c>
      <c r="F329" s="102"/>
      <c r="G329" s="102" t="s">
        <v>3403</v>
      </c>
      <c r="H329" s="102"/>
      <c r="I329" s="102"/>
      <c r="J329" s="102" t="s">
        <v>13427</v>
      </c>
      <c r="K329" s="102" t="s">
        <v>8647</v>
      </c>
      <c r="L329" s="102"/>
      <c r="M329" s="102"/>
      <c r="N329" s="102"/>
      <c r="O329" s="102"/>
      <c r="P329" s="102"/>
      <c r="Q329" s="102"/>
      <c r="R329" s="102"/>
      <c r="S329" s="102" t="s">
        <v>35</v>
      </c>
      <c r="T329" s="102" t="s">
        <v>9</v>
      </c>
    </row>
    <row r="330" spans="1:20" customFormat="1">
      <c r="A330" s="101" t="s">
        <v>3465</v>
      </c>
      <c r="B330" s="101" t="s">
        <v>3759</v>
      </c>
      <c r="C330" s="101">
        <v>2028</v>
      </c>
      <c r="D330" s="102" t="s">
        <v>8648</v>
      </c>
      <c r="E330" s="102" t="s">
        <v>8449</v>
      </c>
      <c r="F330" s="102"/>
      <c r="G330" s="102" t="s">
        <v>3403</v>
      </c>
      <c r="H330" s="102"/>
      <c r="I330" s="102"/>
      <c r="J330" s="102"/>
      <c r="K330" s="102" t="s">
        <v>8649</v>
      </c>
      <c r="L330" s="102"/>
      <c r="M330" s="102"/>
      <c r="N330" s="102"/>
      <c r="O330" s="102"/>
      <c r="P330" s="102"/>
      <c r="Q330" s="102"/>
      <c r="R330" s="102"/>
      <c r="S330" s="102" t="s">
        <v>40</v>
      </c>
      <c r="T330" s="102" t="s">
        <v>9</v>
      </c>
    </row>
    <row r="331" spans="1:20" customFormat="1">
      <c r="A331" s="101" t="s">
        <v>3465</v>
      </c>
      <c r="B331" s="101" t="s">
        <v>3759</v>
      </c>
      <c r="C331" s="101">
        <v>2029</v>
      </c>
      <c r="D331" s="102" t="s">
        <v>8650</v>
      </c>
      <c r="E331" s="102" t="s">
        <v>8636</v>
      </c>
      <c r="F331" s="102"/>
      <c r="G331" s="102" t="s">
        <v>3403</v>
      </c>
      <c r="H331" s="102"/>
      <c r="I331" s="102"/>
      <c r="J331" s="102"/>
      <c r="K331" s="102" t="s">
        <v>8651</v>
      </c>
      <c r="L331" s="102"/>
      <c r="M331" s="102"/>
      <c r="N331" s="102"/>
      <c r="O331" s="102"/>
      <c r="P331" s="102"/>
      <c r="Q331" s="102"/>
      <c r="R331" s="102"/>
      <c r="S331" s="102" t="s">
        <v>176</v>
      </c>
      <c r="T331" s="102" t="s">
        <v>9</v>
      </c>
    </row>
    <row r="332" spans="1:20" customFormat="1">
      <c r="A332" s="101" t="s">
        <v>3465</v>
      </c>
      <c r="B332" s="101" t="s">
        <v>3759</v>
      </c>
      <c r="C332" s="101">
        <v>2030</v>
      </c>
      <c r="D332" s="110" t="s">
        <v>8652</v>
      </c>
      <c r="E332" s="110" t="s">
        <v>848</v>
      </c>
      <c r="F332" s="110"/>
      <c r="G332" s="110" t="s">
        <v>3403</v>
      </c>
      <c r="H332" s="110"/>
      <c r="I332" s="110"/>
      <c r="J332" s="110" t="s">
        <v>13427</v>
      </c>
      <c r="K332" s="110" t="s">
        <v>3765</v>
      </c>
      <c r="L332" s="110" t="s">
        <v>8653</v>
      </c>
      <c r="M332" s="110"/>
      <c r="N332" s="110"/>
      <c r="O332" s="110"/>
      <c r="P332" s="110"/>
      <c r="Q332" s="110"/>
      <c r="R332" s="110"/>
      <c r="S332" s="110" t="s">
        <v>28</v>
      </c>
      <c r="T332" s="110" t="s">
        <v>9</v>
      </c>
    </row>
    <row r="333" spans="1:20" customFormat="1">
      <c r="A333" s="101" t="s">
        <v>3465</v>
      </c>
      <c r="B333" s="101" t="s">
        <v>3759</v>
      </c>
      <c r="C333" s="101">
        <v>2031</v>
      </c>
      <c r="D333" s="102" t="s">
        <v>8654</v>
      </c>
      <c r="E333" s="102" t="s">
        <v>847</v>
      </c>
      <c r="F333" s="102"/>
      <c r="G333" s="102" t="s">
        <v>3403</v>
      </c>
      <c r="H333" s="102"/>
      <c r="I333" s="102"/>
      <c r="J333" s="102"/>
      <c r="K333" s="102" t="s">
        <v>8655</v>
      </c>
      <c r="L333" s="102"/>
      <c r="M333" s="102"/>
      <c r="N333" s="102"/>
      <c r="O333" s="102"/>
      <c r="P333" s="102"/>
      <c r="Q333" s="102"/>
      <c r="R333" s="102"/>
      <c r="S333" s="102" t="s">
        <v>36</v>
      </c>
      <c r="T333" s="102" t="s">
        <v>9</v>
      </c>
    </row>
    <row r="334" spans="1:20" customFormat="1">
      <c r="A334" s="101" t="s">
        <v>3465</v>
      </c>
      <c r="B334" s="101" t="s">
        <v>3759</v>
      </c>
      <c r="C334" s="101">
        <v>2032</v>
      </c>
      <c r="D334" s="102" t="s">
        <v>8656</v>
      </c>
      <c r="E334" s="102" t="s">
        <v>848</v>
      </c>
      <c r="F334" s="102"/>
      <c r="G334" s="102" t="s">
        <v>3403</v>
      </c>
      <c r="H334" s="102"/>
      <c r="I334" s="102"/>
      <c r="J334" s="102"/>
      <c r="K334" s="102" t="s">
        <v>8657</v>
      </c>
      <c r="L334" s="102"/>
      <c r="M334" s="102"/>
      <c r="N334" s="102"/>
      <c r="O334" s="102"/>
      <c r="P334" s="102"/>
      <c r="Q334" s="102"/>
      <c r="R334" s="102"/>
      <c r="S334" s="102" t="s">
        <v>172</v>
      </c>
      <c r="T334" s="102" t="s">
        <v>9</v>
      </c>
    </row>
    <row r="335" spans="1:20" customFormat="1">
      <c r="A335" s="101" t="s">
        <v>3465</v>
      </c>
      <c r="B335" s="101" t="s">
        <v>3759</v>
      </c>
      <c r="C335" s="101">
        <v>2034</v>
      </c>
      <c r="D335" s="102" t="s">
        <v>8658</v>
      </c>
      <c r="E335" s="102" t="s">
        <v>849</v>
      </c>
      <c r="F335" s="102"/>
      <c r="G335" s="102" t="s">
        <v>3403</v>
      </c>
      <c r="H335" s="102"/>
      <c r="I335" s="102"/>
      <c r="J335" s="102"/>
      <c r="K335" s="102" t="s">
        <v>8659</v>
      </c>
      <c r="L335" s="102" t="s">
        <v>5208</v>
      </c>
      <c r="M335" s="102"/>
      <c r="N335" s="102"/>
      <c r="O335" s="102"/>
      <c r="P335" s="102"/>
      <c r="Q335" s="102"/>
      <c r="R335" s="102"/>
      <c r="S335" s="102" t="s">
        <v>32</v>
      </c>
      <c r="T335" s="102" t="s">
        <v>9</v>
      </c>
    </row>
    <row r="336" spans="1:20" customFormat="1">
      <c r="A336" s="101" t="s">
        <v>3465</v>
      </c>
      <c r="B336" s="101" t="s">
        <v>3759</v>
      </c>
      <c r="C336" s="101">
        <v>2035</v>
      </c>
      <c r="D336" s="102" t="s">
        <v>8660</v>
      </c>
      <c r="E336" s="102" t="s">
        <v>849</v>
      </c>
      <c r="F336" s="102"/>
      <c r="G336" s="102" t="s">
        <v>3403</v>
      </c>
      <c r="H336" s="102"/>
      <c r="I336" s="102"/>
      <c r="J336" s="102"/>
      <c r="K336" s="102" t="s">
        <v>8661</v>
      </c>
      <c r="L336" s="102"/>
      <c r="M336" s="102"/>
      <c r="N336" s="102"/>
      <c r="O336" s="102"/>
      <c r="P336" s="102"/>
      <c r="Q336" s="102"/>
      <c r="R336" s="102"/>
      <c r="S336" s="102" t="s">
        <v>169</v>
      </c>
      <c r="T336" s="102" t="s">
        <v>9</v>
      </c>
    </row>
    <row r="337" spans="1:20" customFormat="1">
      <c r="A337" s="101" t="s">
        <v>3465</v>
      </c>
      <c r="B337" s="101" t="s">
        <v>3759</v>
      </c>
      <c r="C337" s="101">
        <v>2036</v>
      </c>
      <c r="D337" s="102" t="s">
        <v>8662</v>
      </c>
      <c r="E337" s="102" t="s">
        <v>849</v>
      </c>
      <c r="F337" s="102"/>
      <c r="G337" s="102" t="s">
        <v>3403</v>
      </c>
      <c r="H337" s="102"/>
      <c r="I337" s="102"/>
      <c r="J337" s="102"/>
      <c r="K337" s="102" t="s">
        <v>8663</v>
      </c>
      <c r="L337" s="102"/>
      <c r="M337" s="102"/>
      <c r="N337" s="102"/>
      <c r="O337" s="102"/>
      <c r="P337" s="102"/>
      <c r="Q337" s="102"/>
      <c r="R337" s="102"/>
      <c r="S337" s="102" t="s">
        <v>175</v>
      </c>
      <c r="T337" s="102" t="s">
        <v>9</v>
      </c>
    </row>
    <row r="338" spans="1:20" customFormat="1">
      <c r="A338" s="101" t="s">
        <v>3465</v>
      </c>
      <c r="B338" s="101" t="s">
        <v>3759</v>
      </c>
      <c r="C338" s="101">
        <v>2037</v>
      </c>
      <c r="D338" s="102" t="s">
        <v>8664</v>
      </c>
      <c r="E338" s="102" t="s">
        <v>849</v>
      </c>
      <c r="F338" s="102"/>
      <c r="G338" s="102" t="s">
        <v>3403</v>
      </c>
      <c r="H338" s="102"/>
      <c r="I338" s="102"/>
      <c r="J338" s="102"/>
      <c r="K338" s="102" t="s">
        <v>8665</v>
      </c>
      <c r="L338" s="102"/>
      <c r="M338" s="102"/>
      <c r="N338" s="102"/>
      <c r="O338" s="102"/>
      <c r="P338" s="102"/>
      <c r="Q338" s="102"/>
      <c r="R338" s="102"/>
      <c r="S338" s="102" t="s">
        <v>46</v>
      </c>
      <c r="T338" s="102" t="s">
        <v>9</v>
      </c>
    </row>
    <row r="339" spans="1:20" customFormat="1">
      <c r="A339" s="101" t="s">
        <v>3465</v>
      </c>
      <c r="B339" s="101" t="s">
        <v>3759</v>
      </c>
      <c r="C339" s="101">
        <v>2038</v>
      </c>
      <c r="D339" s="102" t="s">
        <v>8666</v>
      </c>
      <c r="E339" s="102" t="s">
        <v>849</v>
      </c>
      <c r="F339" s="102"/>
      <c r="G339" s="102" t="s">
        <v>3403</v>
      </c>
      <c r="H339" s="102"/>
      <c r="I339" s="102"/>
      <c r="J339" s="102" t="s">
        <v>13427</v>
      </c>
      <c r="K339" s="102" t="s">
        <v>8667</v>
      </c>
      <c r="L339" s="102"/>
      <c r="M339" s="102"/>
      <c r="N339" s="102"/>
      <c r="O339" s="102"/>
      <c r="P339" s="102"/>
      <c r="Q339" s="102"/>
      <c r="R339" s="102"/>
      <c r="S339" s="102" t="s">
        <v>33</v>
      </c>
      <c r="T339" s="102" t="s">
        <v>9</v>
      </c>
    </row>
    <row r="340" spans="1:20" customFormat="1">
      <c r="A340" s="101" t="s">
        <v>3465</v>
      </c>
      <c r="B340" s="101" t="s">
        <v>3759</v>
      </c>
      <c r="C340" s="101">
        <v>2039</v>
      </c>
      <c r="D340" s="102" t="s">
        <v>8668</v>
      </c>
      <c r="E340" s="102" t="s">
        <v>849</v>
      </c>
      <c r="F340" s="102"/>
      <c r="G340" s="102" t="s">
        <v>3403</v>
      </c>
      <c r="H340" s="102"/>
      <c r="I340" s="102"/>
      <c r="J340" s="102"/>
      <c r="K340" s="102" t="s">
        <v>8669</v>
      </c>
      <c r="L340" s="102"/>
      <c r="M340" s="102"/>
      <c r="N340" s="102"/>
      <c r="O340" s="102"/>
      <c r="P340" s="102"/>
      <c r="Q340" s="102"/>
      <c r="R340" s="102"/>
      <c r="S340" s="102" t="s">
        <v>26</v>
      </c>
      <c r="T340" s="102" t="s">
        <v>9</v>
      </c>
    </row>
    <row r="341" spans="1:20" customFormat="1">
      <c r="A341" s="101" t="s">
        <v>3465</v>
      </c>
      <c r="B341" s="101" t="s">
        <v>3759</v>
      </c>
      <c r="C341" s="101">
        <v>2040</v>
      </c>
      <c r="D341" s="102" t="s">
        <v>8670</v>
      </c>
      <c r="E341" s="102" t="s">
        <v>849</v>
      </c>
      <c r="F341" s="102"/>
      <c r="G341" s="102" t="s">
        <v>3403</v>
      </c>
      <c r="H341" s="102"/>
      <c r="I341" s="102"/>
      <c r="J341" s="102"/>
      <c r="K341" s="102" t="s">
        <v>8671</v>
      </c>
      <c r="L341" s="102"/>
      <c r="M341" s="102"/>
      <c r="N341" s="102"/>
      <c r="O341" s="102"/>
      <c r="P341" s="102"/>
      <c r="Q341" s="102"/>
      <c r="R341" s="102"/>
      <c r="S341" s="102" t="s">
        <v>182</v>
      </c>
      <c r="T341" s="102" t="s">
        <v>9</v>
      </c>
    </row>
    <row r="342" spans="1:20" customFormat="1">
      <c r="A342" s="101" t="s">
        <v>3465</v>
      </c>
      <c r="B342" s="101" t="s">
        <v>3759</v>
      </c>
      <c r="C342" s="101">
        <v>2041</v>
      </c>
      <c r="D342" s="102" t="s">
        <v>8672</v>
      </c>
      <c r="E342" s="102" t="s">
        <v>850</v>
      </c>
      <c r="F342" s="102"/>
      <c r="G342" s="102" t="s">
        <v>3403</v>
      </c>
      <c r="H342" s="102"/>
      <c r="I342" s="102"/>
      <c r="J342" s="102" t="s">
        <v>13427</v>
      </c>
      <c r="K342" s="102" t="s">
        <v>8673</v>
      </c>
      <c r="L342" s="102" t="s">
        <v>8674</v>
      </c>
      <c r="M342" s="102" t="s">
        <v>3765</v>
      </c>
      <c r="N342" s="102"/>
      <c r="O342" s="102"/>
      <c r="P342" s="102"/>
      <c r="Q342" s="102"/>
      <c r="R342" s="102"/>
      <c r="S342" s="102" t="s">
        <v>37</v>
      </c>
      <c r="T342" s="102" t="s">
        <v>9</v>
      </c>
    </row>
    <row r="343" spans="1:20" customFormat="1">
      <c r="A343" s="101" t="s">
        <v>3465</v>
      </c>
      <c r="B343" s="101" t="s">
        <v>3759</v>
      </c>
      <c r="C343" s="101">
        <v>2042</v>
      </c>
      <c r="D343" s="102" t="s">
        <v>8675</v>
      </c>
      <c r="E343" s="102" t="s">
        <v>850</v>
      </c>
      <c r="F343" s="102"/>
      <c r="G343" s="102" t="s">
        <v>3403</v>
      </c>
      <c r="H343" s="102"/>
      <c r="I343" s="102"/>
      <c r="J343" s="102" t="s">
        <v>13427</v>
      </c>
      <c r="K343" s="102" t="s">
        <v>4113</v>
      </c>
      <c r="L343" s="102" t="s">
        <v>8676</v>
      </c>
      <c r="M343" s="102" t="s">
        <v>8677</v>
      </c>
      <c r="N343" s="102" t="s">
        <v>8678</v>
      </c>
      <c r="O343" s="102"/>
      <c r="P343" s="102"/>
      <c r="Q343" s="102"/>
      <c r="R343" s="102"/>
      <c r="S343" s="102" t="s">
        <v>26</v>
      </c>
      <c r="T343" s="102" t="s">
        <v>9</v>
      </c>
    </row>
    <row r="344" spans="1:20" customFormat="1">
      <c r="A344" s="101" t="s">
        <v>3465</v>
      </c>
      <c r="B344" s="101" t="s">
        <v>3759</v>
      </c>
      <c r="C344" s="101">
        <v>2043</v>
      </c>
      <c r="D344" s="102" t="s">
        <v>8679</v>
      </c>
      <c r="E344" s="102" t="s">
        <v>849</v>
      </c>
      <c r="F344" s="102"/>
      <c r="G344" s="102" t="s">
        <v>3403</v>
      </c>
      <c r="H344" s="102"/>
      <c r="I344" s="102"/>
      <c r="J344" s="102"/>
      <c r="K344" s="102" t="s">
        <v>8680</v>
      </c>
      <c r="L344" s="102"/>
      <c r="M344" s="102"/>
      <c r="N344" s="102"/>
      <c r="O344" s="102"/>
      <c r="P344" s="102"/>
      <c r="Q344" s="102"/>
      <c r="R344" s="102"/>
      <c r="S344" s="102"/>
      <c r="T344" s="102" t="s">
        <v>9</v>
      </c>
    </row>
    <row r="345" spans="1:20" customFormat="1">
      <c r="A345" s="101" t="s">
        <v>3465</v>
      </c>
      <c r="B345" s="101" t="s">
        <v>3759</v>
      </c>
      <c r="C345" s="101">
        <v>2044</v>
      </c>
      <c r="D345" s="102" t="s">
        <v>8681</v>
      </c>
      <c r="E345" s="102" t="s">
        <v>944</v>
      </c>
      <c r="F345" s="102"/>
      <c r="G345" s="102" t="s">
        <v>3399</v>
      </c>
      <c r="H345" s="102"/>
      <c r="I345" s="102"/>
      <c r="J345" s="102"/>
      <c r="K345" s="102" t="s">
        <v>6890</v>
      </c>
      <c r="L345" s="102" t="s">
        <v>8682</v>
      </c>
      <c r="M345" s="102"/>
      <c r="N345" s="102"/>
      <c r="O345" s="102"/>
      <c r="P345" s="102"/>
      <c r="Q345" s="102"/>
      <c r="R345" s="102"/>
      <c r="S345" s="102" t="s">
        <v>17</v>
      </c>
      <c r="T345" s="102" t="s">
        <v>9</v>
      </c>
    </row>
    <row r="346" spans="1:20" customFormat="1">
      <c r="A346" s="101" t="s">
        <v>3465</v>
      </c>
      <c r="B346" s="101" t="s">
        <v>3759</v>
      </c>
      <c r="C346" s="101">
        <v>2045</v>
      </c>
      <c r="D346" s="102" t="s">
        <v>8683</v>
      </c>
      <c r="E346" s="102" t="s">
        <v>849</v>
      </c>
      <c r="F346" s="102"/>
      <c r="G346" s="102" t="s">
        <v>3403</v>
      </c>
      <c r="H346" s="102" t="s">
        <v>5180</v>
      </c>
      <c r="I346" s="102"/>
      <c r="J346" s="102"/>
      <c r="K346" s="102" t="s">
        <v>8684</v>
      </c>
      <c r="L346" s="102"/>
      <c r="M346" s="102"/>
      <c r="N346" s="102"/>
      <c r="O346" s="102"/>
      <c r="P346" s="102"/>
      <c r="Q346" s="102"/>
      <c r="R346" s="102"/>
      <c r="S346" s="102" t="s">
        <v>175</v>
      </c>
      <c r="T346" s="102" t="s">
        <v>9</v>
      </c>
    </row>
    <row r="347" spans="1:20" customFormat="1">
      <c r="A347" s="101" t="s">
        <v>3465</v>
      </c>
      <c r="B347" s="101" t="s">
        <v>3759</v>
      </c>
      <c r="C347" s="101">
        <v>2046</v>
      </c>
      <c r="D347" s="102" t="s">
        <v>8685</v>
      </c>
      <c r="E347" s="102" t="s">
        <v>850</v>
      </c>
      <c r="F347" s="102"/>
      <c r="G347" s="102" t="s">
        <v>3403</v>
      </c>
      <c r="H347" s="102"/>
      <c r="I347" s="102"/>
      <c r="J347" s="102" t="s">
        <v>13427</v>
      </c>
      <c r="K347" s="102" t="s">
        <v>8686</v>
      </c>
      <c r="L347" s="102"/>
      <c r="M347" s="102"/>
      <c r="N347" s="102"/>
      <c r="O347" s="102"/>
      <c r="P347" s="102"/>
      <c r="Q347" s="102"/>
      <c r="R347" s="102"/>
      <c r="S347" s="102" t="s">
        <v>39</v>
      </c>
      <c r="T347" s="102" t="s">
        <v>9</v>
      </c>
    </row>
    <row r="348" spans="1:20" customFormat="1">
      <c r="A348" s="101" t="s">
        <v>3465</v>
      </c>
      <c r="B348" s="101" t="s">
        <v>3759</v>
      </c>
      <c r="C348" s="101">
        <v>2047</v>
      </c>
      <c r="D348" s="102" t="s">
        <v>8687</v>
      </c>
      <c r="E348" s="102" t="s">
        <v>850</v>
      </c>
      <c r="F348" s="102"/>
      <c r="G348" s="102" t="s">
        <v>3403</v>
      </c>
      <c r="H348" s="102"/>
      <c r="I348" s="102"/>
      <c r="J348" s="102" t="s">
        <v>13427</v>
      </c>
      <c r="K348" s="102" t="s">
        <v>8688</v>
      </c>
      <c r="L348" s="102" t="s">
        <v>3765</v>
      </c>
      <c r="M348" s="102"/>
      <c r="N348" s="102"/>
      <c r="O348" s="102"/>
      <c r="P348" s="102"/>
      <c r="Q348" s="102"/>
      <c r="R348" s="102"/>
      <c r="S348" s="102" t="s">
        <v>177</v>
      </c>
      <c r="T348" s="102" t="s">
        <v>9</v>
      </c>
    </row>
    <row r="349" spans="1:20" customFormat="1">
      <c r="A349" s="101" t="s">
        <v>3465</v>
      </c>
      <c r="B349" s="101" t="s">
        <v>3759</v>
      </c>
      <c r="C349" s="101">
        <v>2048</v>
      </c>
      <c r="D349" s="102" t="s">
        <v>8689</v>
      </c>
      <c r="E349" s="102" t="s">
        <v>8690</v>
      </c>
      <c r="F349" s="102"/>
      <c r="G349" s="102" t="s">
        <v>3403</v>
      </c>
      <c r="H349" s="102"/>
      <c r="I349" s="102"/>
      <c r="J349" s="102" t="s">
        <v>13427</v>
      </c>
      <c r="K349" s="102" t="s">
        <v>4162</v>
      </c>
      <c r="L349" s="102" t="s">
        <v>8676</v>
      </c>
      <c r="M349" s="102" t="s">
        <v>4348</v>
      </c>
      <c r="N349" s="102" t="s">
        <v>8691</v>
      </c>
      <c r="O349" s="102" t="s">
        <v>4115</v>
      </c>
      <c r="P349" s="102"/>
      <c r="Q349" s="102"/>
      <c r="R349" s="102"/>
      <c r="S349" s="102" t="s">
        <v>5281</v>
      </c>
      <c r="T349" s="102" t="s">
        <v>9</v>
      </c>
    </row>
    <row r="350" spans="1:20" customFormat="1">
      <c r="A350" s="101" t="s">
        <v>3465</v>
      </c>
      <c r="B350" s="101" t="s">
        <v>3759</v>
      </c>
      <c r="C350" s="101">
        <v>2049</v>
      </c>
      <c r="D350" s="102" t="s">
        <v>8692</v>
      </c>
      <c r="E350" s="102" t="s">
        <v>852</v>
      </c>
      <c r="F350" s="102"/>
      <c r="G350" s="102" t="s">
        <v>3403</v>
      </c>
      <c r="H350" s="102"/>
      <c r="I350" s="102"/>
      <c r="J350" s="102" t="s">
        <v>13427</v>
      </c>
      <c r="K350" s="102" t="s">
        <v>3765</v>
      </c>
      <c r="L350" s="102" t="s">
        <v>8693</v>
      </c>
      <c r="M350" s="102"/>
      <c r="N350" s="102"/>
      <c r="O350" s="102"/>
      <c r="P350" s="102"/>
      <c r="Q350" s="102"/>
      <c r="R350" s="102"/>
      <c r="S350" s="102" t="s">
        <v>46</v>
      </c>
      <c r="T350" s="102" t="s">
        <v>9</v>
      </c>
    </row>
    <row r="351" spans="1:20" customFormat="1">
      <c r="A351" s="101" t="s">
        <v>3465</v>
      </c>
      <c r="B351" s="101" t="s">
        <v>3759</v>
      </c>
      <c r="C351" s="101">
        <v>2050</v>
      </c>
      <c r="D351" s="102" t="s">
        <v>8694</v>
      </c>
      <c r="E351" s="102" t="s">
        <v>852</v>
      </c>
      <c r="F351" s="102"/>
      <c r="G351" s="102" t="s">
        <v>3403</v>
      </c>
      <c r="H351" s="102"/>
      <c r="I351" s="102"/>
      <c r="J351" s="102"/>
      <c r="K351" s="102" t="s">
        <v>8695</v>
      </c>
      <c r="L351" s="102"/>
      <c r="M351" s="102"/>
      <c r="N351" s="102"/>
      <c r="O351" s="102"/>
      <c r="P351" s="102"/>
      <c r="Q351" s="102"/>
      <c r="R351" s="102"/>
      <c r="S351" s="102" t="s">
        <v>172</v>
      </c>
      <c r="T351" s="102" t="s">
        <v>9</v>
      </c>
    </row>
    <row r="352" spans="1:20" customFormat="1">
      <c r="A352" s="101" t="s">
        <v>3465</v>
      </c>
      <c r="B352" s="101" t="s">
        <v>3759</v>
      </c>
      <c r="C352" s="101">
        <v>2051</v>
      </c>
      <c r="D352" s="102" t="s">
        <v>8696</v>
      </c>
      <c r="E352" s="102" t="s">
        <v>852</v>
      </c>
      <c r="F352" s="102"/>
      <c r="G352" s="102" t="s">
        <v>3403</v>
      </c>
      <c r="H352" s="102" t="s">
        <v>5670</v>
      </c>
      <c r="I352" s="102"/>
      <c r="J352" s="102"/>
      <c r="K352" s="102" t="s">
        <v>8697</v>
      </c>
      <c r="L352" s="102" t="s">
        <v>8561</v>
      </c>
      <c r="M352" s="102"/>
      <c r="N352" s="102"/>
      <c r="O352" s="102"/>
      <c r="P352" s="102"/>
      <c r="Q352" s="102"/>
      <c r="R352" s="102"/>
      <c r="S352" s="102" t="s">
        <v>607</v>
      </c>
      <c r="T352" s="102" t="s">
        <v>9</v>
      </c>
    </row>
    <row r="353" spans="1:20" customFormat="1">
      <c r="A353" s="101" t="s">
        <v>3465</v>
      </c>
      <c r="B353" s="101" t="s">
        <v>3759</v>
      </c>
      <c r="C353" s="101">
        <v>2052</v>
      </c>
      <c r="D353" s="102" t="s">
        <v>8698</v>
      </c>
      <c r="E353" s="102" t="s">
        <v>852</v>
      </c>
      <c r="F353" s="102"/>
      <c r="G353" s="102" t="s">
        <v>3403</v>
      </c>
      <c r="H353" s="102"/>
      <c r="I353" s="102"/>
      <c r="J353" s="102" t="s">
        <v>13427</v>
      </c>
      <c r="K353" s="102" t="s">
        <v>8699</v>
      </c>
      <c r="L353" s="102"/>
      <c r="M353" s="102"/>
      <c r="N353" s="102"/>
      <c r="O353" s="102"/>
      <c r="P353" s="102"/>
      <c r="Q353" s="102"/>
      <c r="R353" s="102"/>
      <c r="S353" s="102" t="s">
        <v>30</v>
      </c>
      <c r="T353" s="102" t="s">
        <v>9</v>
      </c>
    </row>
    <row r="354" spans="1:20" customFormat="1">
      <c r="A354" s="101" t="s">
        <v>3465</v>
      </c>
      <c r="B354" s="101" t="s">
        <v>3759</v>
      </c>
      <c r="C354" s="101">
        <v>2053</v>
      </c>
      <c r="D354" s="102" t="s">
        <v>8700</v>
      </c>
      <c r="E354" s="102" t="s">
        <v>852</v>
      </c>
      <c r="F354" s="102"/>
      <c r="G354" s="102" t="s">
        <v>3403</v>
      </c>
      <c r="H354" s="102"/>
      <c r="I354" s="102"/>
      <c r="J354" s="102"/>
      <c r="K354" s="102" t="s">
        <v>8701</v>
      </c>
      <c r="L354" s="102"/>
      <c r="M354" s="102"/>
      <c r="N354" s="102"/>
      <c r="O354" s="102"/>
      <c r="P354" s="102"/>
      <c r="Q354" s="102"/>
      <c r="R354" s="102"/>
      <c r="S354" s="102" t="s">
        <v>169</v>
      </c>
      <c r="T354" s="102" t="s">
        <v>9</v>
      </c>
    </row>
    <row r="355" spans="1:20" customFormat="1">
      <c r="A355" s="101" t="s">
        <v>3465</v>
      </c>
      <c r="B355" s="101" t="s">
        <v>3759</v>
      </c>
      <c r="C355" s="101">
        <v>2054</v>
      </c>
      <c r="D355" s="102" t="s">
        <v>8702</v>
      </c>
      <c r="E355" s="102" t="s">
        <v>852</v>
      </c>
      <c r="F355" s="102"/>
      <c r="G355" s="102" t="s">
        <v>3403</v>
      </c>
      <c r="H355" s="102"/>
      <c r="I355" s="102"/>
      <c r="J355" s="102" t="s">
        <v>13427</v>
      </c>
      <c r="K355" s="102" t="s">
        <v>8703</v>
      </c>
      <c r="L355" s="102"/>
      <c r="M355" s="102"/>
      <c r="N355" s="102"/>
      <c r="O355" s="102"/>
      <c r="P355" s="102"/>
      <c r="Q355" s="102"/>
      <c r="R355" s="102"/>
      <c r="S355" s="102" t="s">
        <v>3747</v>
      </c>
      <c r="T355" s="102" t="s">
        <v>9</v>
      </c>
    </row>
    <row r="356" spans="1:20" customFormat="1">
      <c r="A356" s="101" t="s">
        <v>3465</v>
      </c>
      <c r="B356" s="101" t="s">
        <v>3759</v>
      </c>
      <c r="C356" s="101">
        <v>2055</v>
      </c>
      <c r="D356" s="102" t="s">
        <v>8704</v>
      </c>
      <c r="E356" s="102" t="s">
        <v>4061</v>
      </c>
      <c r="F356" s="102"/>
      <c r="G356" s="102" t="s">
        <v>3403</v>
      </c>
      <c r="H356" s="102" t="s">
        <v>5180</v>
      </c>
      <c r="I356" s="102"/>
      <c r="J356" s="102"/>
      <c r="K356" s="102" t="s">
        <v>8705</v>
      </c>
      <c r="L356" s="102" t="s">
        <v>8706</v>
      </c>
      <c r="M356" s="102"/>
      <c r="N356" s="102"/>
      <c r="O356" s="102"/>
      <c r="P356" s="102"/>
      <c r="Q356" s="102"/>
      <c r="R356" s="102"/>
      <c r="S356" s="102" t="s">
        <v>175</v>
      </c>
      <c r="T356" s="102" t="s">
        <v>9</v>
      </c>
    </row>
    <row r="357" spans="1:20" customFormat="1">
      <c r="A357" s="101" t="s">
        <v>3465</v>
      </c>
      <c r="B357" s="101" t="s">
        <v>3759</v>
      </c>
      <c r="C357" s="101">
        <v>2056</v>
      </c>
      <c r="D357" s="102" t="s">
        <v>8707</v>
      </c>
      <c r="E357" s="102" t="s">
        <v>944</v>
      </c>
      <c r="F357" s="102"/>
      <c r="G357" s="102" t="s">
        <v>3403</v>
      </c>
      <c r="H357" s="102"/>
      <c r="I357" s="102"/>
      <c r="J357" s="102" t="s">
        <v>13427</v>
      </c>
      <c r="K357" s="102" t="s">
        <v>8708</v>
      </c>
      <c r="L357" s="102"/>
      <c r="M357" s="102"/>
      <c r="N357" s="102"/>
      <c r="O357" s="102"/>
      <c r="P357" s="102"/>
      <c r="Q357" s="102"/>
      <c r="R357" s="102"/>
      <c r="S357" s="102" t="s">
        <v>44</v>
      </c>
      <c r="T357" s="102" t="s">
        <v>9</v>
      </c>
    </row>
    <row r="358" spans="1:20" customFormat="1">
      <c r="A358" s="101" t="s">
        <v>3465</v>
      </c>
      <c r="B358" s="101" t="s">
        <v>3759</v>
      </c>
      <c r="C358" s="101">
        <v>2057</v>
      </c>
      <c r="D358" s="102" t="s">
        <v>8709</v>
      </c>
      <c r="E358" s="102" t="s">
        <v>944</v>
      </c>
      <c r="F358" s="102"/>
      <c r="G358" s="102" t="s">
        <v>3403</v>
      </c>
      <c r="H358" s="102"/>
      <c r="I358" s="102"/>
      <c r="J358" s="102"/>
      <c r="K358" s="102" t="s">
        <v>8710</v>
      </c>
      <c r="L358" s="102" t="s">
        <v>8711</v>
      </c>
      <c r="M358" s="102" t="s">
        <v>7778</v>
      </c>
      <c r="N358" s="102"/>
      <c r="O358" s="102"/>
      <c r="P358" s="102"/>
      <c r="Q358" s="102"/>
      <c r="R358" s="102"/>
      <c r="S358" s="102" t="s">
        <v>32</v>
      </c>
      <c r="T358" s="102" t="s">
        <v>9</v>
      </c>
    </row>
    <row r="359" spans="1:20" customFormat="1">
      <c r="A359" s="101" t="s">
        <v>3465</v>
      </c>
      <c r="B359" s="101" t="s">
        <v>3759</v>
      </c>
      <c r="C359" s="101">
        <v>2058</v>
      </c>
      <c r="D359" s="102" t="s">
        <v>8712</v>
      </c>
      <c r="E359" s="102" t="s">
        <v>944</v>
      </c>
      <c r="F359" s="102"/>
      <c r="G359" s="102" t="s">
        <v>3403</v>
      </c>
      <c r="H359" s="102"/>
      <c r="I359" s="102"/>
      <c r="J359" s="102"/>
      <c r="K359" s="102" t="s">
        <v>8713</v>
      </c>
      <c r="L359" s="102"/>
      <c r="M359" s="102"/>
      <c r="N359" s="102"/>
      <c r="O359" s="102"/>
      <c r="P359" s="102"/>
      <c r="Q359" s="102"/>
      <c r="R359" s="102"/>
      <c r="S359" s="102" t="s">
        <v>169</v>
      </c>
      <c r="T359" s="102" t="s">
        <v>9</v>
      </c>
    </row>
    <row r="360" spans="1:20" customFormat="1">
      <c r="A360" s="101" t="s">
        <v>3465</v>
      </c>
      <c r="B360" s="101" t="s">
        <v>3759</v>
      </c>
      <c r="C360" s="101">
        <v>2059</v>
      </c>
      <c r="D360" s="102" t="s">
        <v>8714</v>
      </c>
      <c r="E360" s="102" t="s">
        <v>7979</v>
      </c>
      <c r="F360" s="102"/>
      <c r="G360" s="102" t="s">
        <v>3403</v>
      </c>
      <c r="H360" s="102"/>
      <c r="I360" s="102"/>
      <c r="J360" s="102"/>
      <c r="K360" s="102" t="s">
        <v>8715</v>
      </c>
      <c r="L360" s="102"/>
      <c r="M360" s="102"/>
      <c r="N360" s="102"/>
      <c r="O360" s="102"/>
      <c r="P360" s="102"/>
      <c r="Q360" s="102"/>
      <c r="R360" s="102"/>
      <c r="S360" s="102" t="s">
        <v>15</v>
      </c>
      <c r="T360" s="102" t="s">
        <v>9</v>
      </c>
    </row>
    <row r="361" spans="1:20" customFormat="1">
      <c r="A361" s="101" t="s">
        <v>3465</v>
      </c>
      <c r="B361" s="101" t="s">
        <v>3759</v>
      </c>
      <c r="C361" s="101">
        <v>2060</v>
      </c>
      <c r="D361" s="102" t="s">
        <v>8716</v>
      </c>
      <c r="E361" s="102" t="s">
        <v>944</v>
      </c>
      <c r="F361" s="102"/>
      <c r="G361" s="102" t="s">
        <v>3403</v>
      </c>
      <c r="H361" s="102"/>
      <c r="I361" s="102"/>
      <c r="J361" s="102"/>
      <c r="K361" s="102" t="s">
        <v>8717</v>
      </c>
      <c r="L361" s="102"/>
      <c r="M361" s="102"/>
      <c r="N361" s="102"/>
      <c r="O361" s="102"/>
      <c r="P361" s="102"/>
      <c r="Q361" s="102"/>
      <c r="R361" s="102"/>
      <c r="S361" s="102" t="s">
        <v>53</v>
      </c>
      <c r="T361" s="102" t="s">
        <v>9</v>
      </c>
    </row>
    <row r="362" spans="1:20" customFormat="1">
      <c r="A362" s="101" t="s">
        <v>3465</v>
      </c>
      <c r="B362" s="101" t="s">
        <v>3759</v>
      </c>
      <c r="C362" s="101">
        <v>2061</v>
      </c>
      <c r="D362" s="102" t="s">
        <v>8718</v>
      </c>
      <c r="E362" s="102" t="s">
        <v>3139</v>
      </c>
      <c r="F362" s="102"/>
      <c r="G362" s="102" t="s">
        <v>3403</v>
      </c>
      <c r="H362" s="102"/>
      <c r="I362" s="102"/>
      <c r="J362" s="102"/>
      <c r="K362" s="102" t="s">
        <v>8719</v>
      </c>
      <c r="L362" s="102" t="s">
        <v>8720</v>
      </c>
      <c r="M362" s="102"/>
      <c r="N362" s="102"/>
      <c r="O362" s="102"/>
      <c r="P362" s="102"/>
      <c r="Q362" s="102"/>
      <c r="R362" s="102"/>
      <c r="S362" s="102" t="s">
        <v>49</v>
      </c>
      <c r="T362" s="102" t="s">
        <v>9</v>
      </c>
    </row>
    <row r="363" spans="1:20" customFormat="1">
      <c r="A363" s="101" t="s">
        <v>3465</v>
      </c>
      <c r="B363" s="101" t="s">
        <v>3759</v>
      </c>
      <c r="C363" s="101">
        <v>2063</v>
      </c>
      <c r="D363" s="102" t="s">
        <v>8721</v>
      </c>
      <c r="E363" s="102" t="s">
        <v>8546</v>
      </c>
      <c r="F363" s="102"/>
      <c r="G363" s="102" t="s">
        <v>3403</v>
      </c>
      <c r="H363" s="102"/>
      <c r="I363" s="102"/>
      <c r="J363" s="102"/>
      <c r="K363" s="102" t="s">
        <v>1232</v>
      </c>
      <c r="L363" s="102" t="s">
        <v>8722</v>
      </c>
      <c r="M363" s="102"/>
      <c r="N363" s="102"/>
      <c r="O363" s="102"/>
      <c r="P363" s="102"/>
      <c r="Q363" s="102"/>
      <c r="R363" s="102"/>
      <c r="S363" s="102" t="s">
        <v>38</v>
      </c>
      <c r="T363" s="102" t="s">
        <v>9</v>
      </c>
    </row>
    <row r="364" spans="1:20" customFormat="1">
      <c r="A364" s="101" t="s">
        <v>3465</v>
      </c>
      <c r="B364" s="101" t="s">
        <v>3759</v>
      </c>
      <c r="C364" s="101">
        <v>2064</v>
      </c>
      <c r="D364" s="102" t="s">
        <v>8723</v>
      </c>
      <c r="E364" s="102" t="s">
        <v>8724</v>
      </c>
      <c r="F364" s="102"/>
      <c r="G364" s="102" t="s">
        <v>3403</v>
      </c>
      <c r="H364" s="102"/>
      <c r="I364" s="102"/>
      <c r="J364" s="102"/>
      <c r="K364" s="102" t="s">
        <v>5044</v>
      </c>
      <c r="L364" s="102" t="s">
        <v>8725</v>
      </c>
      <c r="M364" s="102"/>
      <c r="N364" s="102"/>
      <c r="O364" s="102"/>
      <c r="P364" s="102"/>
      <c r="Q364" s="102"/>
      <c r="R364" s="102"/>
      <c r="S364" s="102" t="s">
        <v>605</v>
      </c>
      <c r="T364" s="102" t="s">
        <v>9</v>
      </c>
    </row>
    <row r="365" spans="1:20" customFormat="1">
      <c r="A365" s="101" t="s">
        <v>8732</v>
      </c>
      <c r="B365" s="101" t="s">
        <v>3759</v>
      </c>
      <c r="C365" s="101">
        <v>3033</v>
      </c>
      <c r="D365" s="102" t="s">
        <v>8585</v>
      </c>
      <c r="E365" s="102" t="s">
        <v>850</v>
      </c>
      <c r="F365" s="102"/>
      <c r="G365" s="102" t="s">
        <v>3403</v>
      </c>
      <c r="H365" s="102" t="s">
        <v>5670</v>
      </c>
      <c r="I365" s="102"/>
      <c r="J365" s="102"/>
      <c r="K365" s="102" t="s">
        <v>8586</v>
      </c>
      <c r="L365" s="102" t="s">
        <v>8587</v>
      </c>
      <c r="M365" s="102"/>
      <c r="N365" s="102"/>
      <c r="O365" s="102"/>
      <c r="P365" s="102"/>
      <c r="Q365" s="102"/>
      <c r="R365" s="102"/>
      <c r="S365" s="102" t="s">
        <v>607</v>
      </c>
      <c r="T365" s="102" t="s">
        <v>41</v>
      </c>
    </row>
    <row r="366" spans="1:20" customFormat="1">
      <c r="A366" s="103" t="s">
        <v>8732</v>
      </c>
      <c r="B366" s="103" t="s">
        <v>3759</v>
      </c>
      <c r="C366" s="103">
        <v>3062</v>
      </c>
      <c r="D366" s="104" t="s">
        <v>8588</v>
      </c>
      <c r="E366" s="104" t="s">
        <v>3139</v>
      </c>
      <c r="F366" s="104"/>
      <c r="G366" s="104" t="s">
        <v>3403</v>
      </c>
      <c r="H366" s="104"/>
      <c r="I366" s="104"/>
      <c r="J366" s="104"/>
      <c r="K366" s="104" t="s">
        <v>8589</v>
      </c>
      <c r="L366" s="104" t="s">
        <v>8590</v>
      </c>
      <c r="M366" s="104"/>
      <c r="N366" s="104"/>
      <c r="O366" s="104"/>
      <c r="P366" s="104"/>
      <c r="Q366" s="104"/>
      <c r="R366" s="102"/>
      <c r="S366" s="102" t="s">
        <v>5685</v>
      </c>
      <c r="T366" s="102" t="s">
        <v>41</v>
      </c>
    </row>
    <row r="367" spans="1:20" customFormat="1">
      <c r="A367" s="101" t="s">
        <v>8733</v>
      </c>
      <c r="B367" s="101" t="s">
        <v>3759</v>
      </c>
      <c r="C367" s="101">
        <v>4010</v>
      </c>
      <c r="D367" s="102" t="s">
        <v>8726</v>
      </c>
      <c r="E367" s="102" t="s">
        <v>845</v>
      </c>
      <c r="F367" s="102"/>
      <c r="G367" s="102" t="s">
        <v>3403</v>
      </c>
      <c r="H367" s="102"/>
      <c r="I367" s="102"/>
      <c r="J367" s="102"/>
      <c r="K367" s="102" t="s">
        <v>8727</v>
      </c>
      <c r="L367" s="102" t="s">
        <v>3768</v>
      </c>
      <c r="M367" s="102"/>
      <c r="N367" s="102"/>
      <c r="O367" s="102"/>
      <c r="P367" s="102"/>
      <c r="Q367" s="102"/>
      <c r="R367" s="102"/>
      <c r="S367" s="102" t="s">
        <v>3999</v>
      </c>
      <c r="T367" s="102" t="s">
        <v>4000</v>
      </c>
    </row>
    <row r="368" spans="1:20" customFormat="1">
      <c r="A368" s="101" t="s">
        <v>8733</v>
      </c>
      <c r="B368" s="101" t="s">
        <v>3759</v>
      </c>
      <c r="C368" s="101">
        <v>4027</v>
      </c>
      <c r="D368" s="102" t="s">
        <v>8728</v>
      </c>
      <c r="E368" s="102" t="s">
        <v>847</v>
      </c>
      <c r="F368" s="102"/>
      <c r="G368" s="102" t="s">
        <v>3403</v>
      </c>
      <c r="H368" s="102"/>
      <c r="I368" s="102"/>
      <c r="J368" s="102"/>
      <c r="K368" s="102" t="s">
        <v>8729</v>
      </c>
      <c r="L368" s="102"/>
      <c r="M368" s="102"/>
      <c r="N368" s="102"/>
      <c r="O368" s="102"/>
      <c r="P368" s="102"/>
      <c r="Q368" s="102"/>
      <c r="R368" s="102"/>
      <c r="S368" s="102" t="s">
        <v>3999</v>
      </c>
      <c r="T368" s="102" t="s">
        <v>4000</v>
      </c>
    </row>
    <row r="369" spans="1:20">
      <c r="C369" s="101" t="s">
        <v>3456</v>
      </c>
    </row>
    <row r="370" spans="1:20">
      <c r="A370" s="102" t="s">
        <v>3498</v>
      </c>
      <c r="B370" s="102" t="s">
        <v>3758</v>
      </c>
      <c r="C370" s="101">
        <v>1</v>
      </c>
      <c r="D370" s="102" t="s">
        <v>7409</v>
      </c>
      <c r="E370" s="102" t="s">
        <v>7410</v>
      </c>
      <c r="G370" s="102" t="s">
        <v>3399</v>
      </c>
      <c r="K370" s="102" t="s">
        <v>7411</v>
      </c>
      <c r="L370" s="102" t="s">
        <v>7412</v>
      </c>
      <c r="M370" s="102" t="s">
        <v>3768</v>
      </c>
      <c r="S370" s="102" t="s">
        <v>606</v>
      </c>
      <c r="T370" s="102" t="s">
        <v>4</v>
      </c>
    </row>
    <row r="371" spans="1:20">
      <c r="A371" s="102" t="s">
        <v>3498</v>
      </c>
      <c r="B371" s="102" t="s">
        <v>3758</v>
      </c>
      <c r="C371" s="101">
        <v>2</v>
      </c>
      <c r="D371" s="102" t="s">
        <v>7413</v>
      </c>
      <c r="E371" s="102" t="s">
        <v>845</v>
      </c>
      <c r="G371" s="102" t="s">
        <v>3399</v>
      </c>
      <c r="K371" s="102" t="s">
        <v>7203</v>
      </c>
      <c r="S371" s="102" t="s">
        <v>172</v>
      </c>
      <c r="T371" s="102" t="s">
        <v>4</v>
      </c>
    </row>
    <row r="372" spans="1:20">
      <c r="A372" s="102" t="s">
        <v>3498</v>
      </c>
      <c r="B372" s="102" t="s">
        <v>3758</v>
      </c>
      <c r="C372" s="101">
        <v>3</v>
      </c>
      <c r="D372" s="102" t="s">
        <v>7414</v>
      </c>
      <c r="E372" s="102" t="s">
        <v>845</v>
      </c>
      <c r="G372" s="102" t="s">
        <v>3399</v>
      </c>
      <c r="K372" s="102" t="s">
        <v>7415</v>
      </c>
      <c r="L372" s="102" t="s">
        <v>3768</v>
      </c>
      <c r="S372" s="102" t="s">
        <v>174</v>
      </c>
      <c r="T372" s="102" t="s">
        <v>4</v>
      </c>
    </row>
    <row r="373" spans="1:20">
      <c r="A373" s="102" t="s">
        <v>3498</v>
      </c>
      <c r="B373" s="102" t="s">
        <v>3758</v>
      </c>
      <c r="C373" s="101">
        <v>4</v>
      </c>
      <c r="D373" s="102" t="s">
        <v>7416</v>
      </c>
      <c r="E373" s="102" t="s">
        <v>845</v>
      </c>
      <c r="G373" s="102" t="s">
        <v>3399</v>
      </c>
      <c r="K373" s="102" t="s">
        <v>7296</v>
      </c>
      <c r="L373" s="102" t="s">
        <v>7417</v>
      </c>
      <c r="M373" s="102" t="s">
        <v>3768</v>
      </c>
      <c r="S373" s="102" t="s">
        <v>37</v>
      </c>
      <c r="T373" s="102" t="s">
        <v>4</v>
      </c>
    </row>
    <row r="374" spans="1:20">
      <c r="A374" s="102" t="s">
        <v>3498</v>
      </c>
      <c r="B374" s="102" t="s">
        <v>3758</v>
      </c>
      <c r="C374" s="101">
        <v>5</v>
      </c>
      <c r="D374" s="102" t="s">
        <v>7418</v>
      </c>
      <c r="E374" s="102" t="s">
        <v>845</v>
      </c>
      <c r="G374" s="102" t="s">
        <v>3399</v>
      </c>
      <c r="K374" s="102" t="s">
        <v>7419</v>
      </c>
      <c r="S374" s="102" t="s">
        <v>178</v>
      </c>
      <c r="T374" s="102" t="s">
        <v>4</v>
      </c>
    </row>
    <row r="375" spans="1:20">
      <c r="A375" s="102" t="s">
        <v>3498</v>
      </c>
      <c r="B375" s="102" t="s">
        <v>3758</v>
      </c>
      <c r="C375" s="101">
        <v>6</v>
      </c>
      <c r="D375" s="102" t="s">
        <v>7420</v>
      </c>
      <c r="E375" s="102" t="s">
        <v>845</v>
      </c>
      <c r="G375" s="102" t="s">
        <v>3399</v>
      </c>
      <c r="K375" s="102" t="s">
        <v>7417</v>
      </c>
      <c r="L375" s="102" t="s">
        <v>7421</v>
      </c>
      <c r="S375" s="102" t="s">
        <v>44</v>
      </c>
      <c r="T375" s="102" t="s">
        <v>4</v>
      </c>
    </row>
    <row r="376" spans="1:20">
      <c r="A376" s="102" t="s">
        <v>3498</v>
      </c>
      <c r="B376" s="102" t="s">
        <v>3758</v>
      </c>
      <c r="C376" s="101">
        <v>7</v>
      </c>
      <c r="D376" s="102" t="s">
        <v>7422</v>
      </c>
      <c r="E376" s="102" t="s">
        <v>845</v>
      </c>
      <c r="G376" s="102" t="s">
        <v>3447</v>
      </c>
      <c r="H376" s="102" t="s">
        <v>3082</v>
      </c>
      <c r="K376" s="102" t="s">
        <v>7423</v>
      </c>
      <c r="S376" s="102" t="s">
        <v>5281</v>
      </c>
      <c r="T376" s="102" t="s">
        <v>4</v>
      </c>
    </row>
    <row r="377" spans="1:20">
      <c r="A377" s="102" t="s">
        <v>3498</v>
      </c>
      <c r="B377" s="102" t="s">
        <v>3758</v>
      </c>
      <c r="C377" s="101">
        <v>8</v>
      </c>
      <c r="D377" s="102" t="s">
        <v>7424</v>
      </c>
      <c r="E377" s="102" t="s">
        <v>845</v>
      </c>
      <c r="G377" s="102" t="s">
        <v>3399</v>
      </c>
      <c r="K377" s="102" t="s">
        <v>5064</v>
      </c>
      <c r="L377" s="102" t="s">
        <v>7425</v>
      </c>
      <c r="S377" s="102" t="s">
        <v>28</v>
      </c>
      <c r="T377" s="102" t="s">
        <v>4</v>
      </c>
    </row>
    <row r="378" spans="1:20">
      <c r="A378" s="102" t="s">
        <v>3498</v>
      </c>
      <c r="B378" s="102" t="s">
        <v>3758</v>
      </c>
      <c r="C378" s="101">
        <v>9</v>
      </c>
      <c r="D378" s="102" t="s">
        <v>7426</v>
      </c>
      <c r="E378" s="102" t="s">
        <v>845</v>
      </c>
      <c r="G378" s="102" t="s">
        <v>3399</v>
      </c>
      <c r="K378" s="102" t="s">
        <v>7427</v>
      </c>
      <c r="S378" s="102" t="s">
        <v>605</v>
      </c>
      <c r="T378" s="102" t="s">
        <v>4</v>
      </c>
    </row>
    <row r="379" spans="1:20">
      <c r="A379" s="102" t="s">
        <v>3498</v>
      </c>
      <c r="B379" s="102" t="s">
        <v>3758</v>
      </c>
      <c r="C379" s="101">
        <v>10</v>
      </c>
      <c r="D379" s="102" t="s">
        <v>7428</v>
      </c>
      <c r="E379" s="102" t="s">
        <v>845</v>
      </c>
      <c r="G379" s="102" t="s">
        <v>3399</v>
      </c>
      <c r="K379" s="102" t="s">
        <v>7429</v>
      </c>
      <c r="S379" s="102" t="s">
        <v>180</v>
      </c>
      <c r="T379" s="102" t="s">
        <v>4</v>
      </c>
    </row>
    <row r="380" spans="1:20">
      <c r="A380" s="102" t="s">
        <v>3498</v>
      </c>
      <c r="B380" s="102" t="s">
        <v>3758</v>
      </c>
      <c r="C380" s="101">
        <v>11</v>
      </c>
      <c r="D380" s="102" t="s">
        <v>7430</v>
      </c>
      <c r="E380" s="102" t="s">
        <v>845</v>
      </c>
      <c r="G380" s="102" t="s">
        <v>3399</v>
      </c>
      <c r="K380" s="102" t="s">
        <v>7431</v>
      </c>
      <c r="L380" s="102" t="s">
        <v>7432</v>
      </c>
      <c r="S380" s="102" t="s">
        <v>170</v>
      </c>
      <c r="T380" s="102" t="s">
        <v>4</v>
      </c>
    </row>
    <row r="381" spans="1:20">
      <c r="A381" s="106" t="s">
        <v>3498</v>
      </c>
      <c r="B381" s="106" t="s">
        <v>3758</v>
      </c>
      <c r="C381" s="105">
        <v>12</v>
      </c>
      <c r="D381" s="106" t="s">
        <v>7433</v>
      </c>
      <c r="E381" s="106" t="s">
        <v>845</v>
      </c>
      <c r="F381" s="106"/>
      <c r="G381" s="106" t="s">
        <v>3399</v>
      </c>
      <c r="H381" s="106"/>
      <c r="I381" s="106"/>
      <c r="J381" s="106"/>
      <c r="K381" s="106" t="s">
        <v>3767</v>
      </c>
      <c r="L381" s="106" t="s">
        <v>7434</v>
      </c>
      <c r="M381" s="106"/>
      <c r="N381" s="106"/>
      <c r="O381" s="106"/>
      <c r="P381" s="106"/>
      <c r="Q381" s="106"/>
      <c r="R381" s="106"/>
      <c r="S381" s="102" t="s">
        <v>45</v>
      </c>
      <c r="T381" s="102" t="s">
        <v>4</v>
      </c>
    </row>
    <row r="382" spans="1:20">
      <c r="A382" s="106" t="s">
        <v>3498</v>
      </c>
      <c r="B382" s="106" t="s">
        <v>3758</v>
      </c>
      <c r="C382" s="105">
        <v>13</v>
      </c>
      <c r="D382" s="106" t="s">
        <v>7435</v>
      </c>
      <c r="E382" s="106" t="s">
        <v>845</v>
      </c>
      <c r="F382" s="106"/>
      <c r="G382" s="106" t="s">
        <v>3399</v>
      </c>
      <c r="H382" s="106"/>
      <c r="I382" s="106"/>
      <c r="J382" s="106"/>
      <c r="K382" s="106" t="s">
        <v>7436</v>
      </c>
      <c r="L382" s="106"/>
      <c r="M382" s="106"/>
      <c r="N382" s="106"/>
      <c r="O382" s="106"/>
      <c r="P382" s="106"/>
      <c r="Q382" s="106"/>
      <c r="R382" s="106"/>
      <c r="S382" s="102" t="s">
        <v>181</v>
      </c>
      <c r="T382" s="102" t="s">
        <v>4</v>
      </c>
    </row>
    <row r="383" spans="1:20">
      <c r="A383" s="102" t="s">
        <v>3498</v>
      </c>
      <c r="B383" s="102" t="s">
        <v>3758</v>
      </c>
      <c r="C383" s="101">
        <v>14</v>
      </c>
      <c r="D383" s="102" t="s">
        <v>7437</v>
      </c>
      <c r="E383" s="102" t="s">
        <v>845</v>
      </c>
      <c r="G383" s="102" t="s">
        <v>3399</v>
      </c>
      <c r="K383" s="102" t="s">
        <v>3767</v>
      </c>
      <c r="L383" s="102" t="s">
        <v>7425</v>
      </c>
      <c r="S383" s="102" t="s">
        <v>28</v>
      </c>
      <c r="T383" s="102" t="s">
        <v>4</v>
      </c>
    </row>
    <row r="384" spans="1:20">
      <c r="A384" s="102" t="s">
        <v>3498</v>
      </c>
      <c r="B384" s="102" t="s">
        <v>3758</v>
      </c>
      <c r="C384" s="101">
        <v>15</v>
      </c>
      <c r="D384" s="102" t="s">
        <v>7438</v>
      </c>
      <c r="E384" s="102" t="s">
        <v>845</v>
      </c>
      <c r="G384" s="102" t="s">
        <v>3399</v>
      </c>
      <c r="K384" s="102" t="s">
        <v>7439</v>
      </c>
      <c r="S384" s="102" t="s">
        <v>171</v>
      </c>
      <c r="T384" s="102" t="s">
        <v>4</v>
      </c>
    </row>
    <row r="385" spans="1:20">
      <c r="A385" s="102" t="s">
        <v>3498</v>
      </c>
      <c r="B385" s="102" t="s">
        <v>3758</v>
      </c>
      <c r="C385" s="101">
        <v>16</v>
      </c>
      <c r="D385" s="102" t="s">
        <v>7440</v>
      </c>
      <c r="E385" s="102" t="s">
        <v>845</v>
      </c>
      <c r="G385" s="102" t="s">
        <v>3399</v>
      </c>
      <c r="K385" s="102" t="s">
        <v>7441</v>
      </c>
      <c r="L385" s="102" t="s">
        <v>5208</v>
      </c>
      <c r="S385" s="102" t="s">
        <v>170</v>
      </c>
      <c r="T385" s="102" t="s">
        <v>4</v>
      </c>
    </row>
    <row r="386" spans="1:20">
      <c r="A386" s="102" t="s">
        <v>3498</v>
      </c>
      <c r="B386" s="102" t="s">
        <v>3758</v>
      </c>
      <c r="C386" s="101">
        <v>17</v>
      </c>
      <c r="D386" s="102" t="s">
        <v>7442</v>
      </c>
      <c r="E386" s="102" t="s">
        <v>846</v>
      </c>
      <c r="G386" s="102" t="s">
        <v>3399</v>
      </c>
      <c r="K386" s="102" t="s">
        <v>7443</v>
      </c>
      <c r="S386" s="102" t="s">
        <v>38</v>
      </c>
      <c r="T386" s="102" t="s">
        <v>4</v>
      </c>
    </row>
    <row r="387" spans="1:20">
      <c r="A387" s="102" t="s">
        <v>3498</v>
      </c>
      <c r="B387" s="102" t="s">
        <v>3758</v>
      </c>
      <c r="C387" s="101">
        <v>18</v>
      </c>
      <c r="D387" s="102" t="s">
        <v>7444</v>
      </c>
      <c r="E387" s="102" t="s">
        <v>846</v>
      </c>
      <c r="G387" s="102" t="s">
        <v>3399</v>
      </c>
      <c r="K387" s="102" t="s">
        <v>7445</v>
      </c>
      <c r="S387" s="102" t="s">
        <v>39</v>
      </c>
      <c r="T387" s="102" t="s">
        <v>4</v>
      </c>
    </row>
    <row r="388" spans="1:20">
      <c r="A388" s="102" t="s">
        <v>3498</v>
      </c>
      <c r="B388" s="102" t="s">
        <v>3758</v>
      </c>
      <c r="C388" s="101">
        <v>19</v>
      </c>
      <c r="D388" s="102" t="s">
        <v>7446</v>
      </c>
      <c r="E388" s="102" t="s">
        <v>846</v>
      </c>
      <c r="G388" s="102" t="s">
        <v>3399</v>
      </c>
      <c r="K388" s="102" t="s">
        <v>7447</v>
      </c>
      <c r="L388" s="102" t="s">
        <v>4243</v>
      </c>
      <c r="S388" s="102" t="s">
        <v>5</v>
      </c>
      <c r="T388" s="102" t="s">
        <v>4</v>
      </c>
    </row>
    <row r="389" spans="1:20">
      <c r="A389" s="102" t="s">
        <v>3498</v>
      </c>
      <c r="B389" s="102" t="s">
        <v>3758</v>
      </c>
      <c r="C389" s="101">
        <v>20</v>
      </c>
      <c r="D389" s="102" t="s">
        <v>7448</v>
      </c>
      <c r="E389" s="102" t="s">
        <v>846</v>
      </c>
      <c r="G389" s="102" t="s">
        <v>3399</v>
      </c>
      <c r="K389" s="102" t="s">
        <v>7449</v>
      </c>
      <c r="S389" s="102" t="s">
        <v>604</v>
      </c>
      <c r="T389" s="102" t="s">
        <v>4</v>
      </c>
    </row>
    <row r="390" spans="1:20">
      <c r="A390" s="102" t="s">
        <v>3498</v>
      </c>
      <c r="B390" s="102" t="s">
        <v>3758</v>
      </c>
      <c r="C390" s="101">
        <v>21</v>
      </c>
      <c r="D390" s="102" t="s">
        <v>7450</v>
      </c>
      <c r="E390" s="102" t="s">
        <v>846</v>
      </c>
      <c r="G390" s="102" t="s">
        <v>3399</v>
      </c>
      <c r="K390" s="102" t="s">
        <v>7451</v>
      </c>
      <c r="S390" s="102" t="s">
        <v>39</v>
      </c>
      <c r="T390" s="102" t="s">
        <v>4</v>
      </c>
    </row>
    <row r="391" spans="1:20">
      <c r="A391" s="102" t="s">
        <v>3498</v>
      </c>
      <c r="B391" s="102" t="s">
        <v>3758</v>
      </c>
      <c r="C391" s="101">
        <v>22</v>
      </c>
      <c r="D391" s="102" t="s">
        <v>7452</v>
      </c>
      <c r="E391" s="102" t="s">
        <v>846</v>
      </c>
      <c r="G391" s="102" t="s">
        <v>3399</v>
      </c>
      <c r="K391" s="102" t="s">
        <v>7453</v>
      </c>
      <c r="L391" s="102" t="s">
        <v>3768</v>
      </c>
      <c r="S391" s="102" t="s">
        <v>11</v>
      </c>
      <c r="T391" s="102" t="s">
        <v>4</v>
      </c>
    </row>
    <row r="392" spans="1:20">
      <c r="A392" s="102" t="s">
        <v>3498</v>
      </c>
      <c r="B392" s="102" t="s">
        <v>3758</v>
      </c>
      <c r="C392" s="101">
        <v>23</v>
      </c>
      <c r="D392" s="102" t="s">
        <v>7454</v>
      </c>
      <c r="E392" s="102" t="s">
        <v>1008</v>
      </c>
      <c r="G392" s="102" t="s">
        <v>3399</v>
      </c>
      <c r="H392" s="102" t="s">
        <v>5180</v>
      </c>
      <c r="K392" s="102" t="s">
        <v>4334</v>
      </c>
      <c r="S392" s="102" t="s">
        <v>175</v>
      </c>
      <c r="T392" s="102" t="s">
        <v>4</v>
      </c>
    </row>
    <row r="393" spans="1:20">
      <c r="A393" s="102" t="s">
        <v>3498</v>
      </c>
      <c r="B393" s="102" t="s">
        <v>3758</v>
      </c>
      <c r="C393" s="101">
        <v>24</v>
      </c>
      <c r="D393" s="102" t="s">
        <v>7455</v>
      </c>
      <c r="E393" s="102" t="s">
        <v>846</v>
      </c>
      <c r="G393" s="102" t="s">
        <v>3399</v>
      </c>
      <c r="K393" s="102" t="s">
        <v>7456</v>
      </c>
      <c r="S393" s="102" t="s">
        <v>607</v>
      </c>
      <c r="T393" s="102" t="s">
        <v>4</v>
      </c>
    </row>
    <row r="394" spans="1:20">
      <c r="A394" s="102" t="s">
        <v>3498</v>
      </c>
      <c r="B394" s="102" t="s">
        <v>3758</v>
      </c>
      <c r="C394" s="101">
        <v>25</v>
      </c>
      <c r="D394" s="108" t="s">
        <v>7457</v>
      </c>
      <c r="E394" s="108" t="s">
        <v>846</v>
      </c>
      <c r="F394" s="108"/>
      <c r="G394" s="108" t="s">
        <v>3399</v>
      </c>
      <c r="H394" s="108"/>
      <c r="I394" s="108"/>
      <c r="J394" s="108"/>
      <c r="K394" s="108" t="s">
        <v>7458</v>
      </c>
      <c r="L394" s="108" t="s">
        <v>3768</v>
      </c>
      <c r="M394" s="108"/>
      <c r="N394" s="108"/>
      <c r="O394" s="108"/>
      <c r="P394" s="108"/>
      <c r="Q394" s="108"/>
      <c r="R394" s="108"/>
      <c r="S394" s="108" t="s">
        <v>6</v>
      </c>
      <c r="T394" s="102" t="s">
        <v>4</v>
      </c>
    </row>
    <row r="395" spans="1:20">
      <c r="A395" s="102" t="s">
        <v>3498</v>
      </c>
      <c r="B395" s="102" t="s">
        <v>3758</v>
      </c>
      <c r="C395" s="101">
        <v>26</v>
      </c>
      <c r="D395" s="102" t="s">
        <v>5063</v>
      </c>
      <c r="E395" s="102" t="s">
        <v>846</v>
      </c>
      <c r="G395" s="102" t="s">
        <v>3399</v>
      </c>
      <c r="K395" s="102" t="s">
        <v>5064</v>
      </c>
      <c r="L395" s="102" t="s">
        <v>4931</v>
      </c>
      <c r="S395" s="102" t="s">
        <v>46</v>
      </c>
      <c r="T395" s="102" t="s">
        <v>4</v>
      </c>
    </row>
    <row r="396" spans="1:20">
      <c r="A396" s="102" t="s">
        <v>3498</v>
      </c>
      <c r="B396" s="102" t="s">
        <v>3758</v>
      </c>
      <c r="C396" s="101">
        <v>27</v>
      </c>
      <c r="D396" s="102" t="s">
        <v>7459</v>
      </c>
      <c r="E396" s="102" t="s">
        <v>1008</v>
      </c>
      <c r="G396" s="102" t="s">
        <v>3399</v>
      </c>
      <c r="H396" s="102" t="s">
        <v>5180</v>
      </c>
      <c r="K396" s="102" t="s">
        <v>7460</v>
      </c>
      <c r="S396" s="102" t="s">
        <v>179</v>
      </c>
      <c r="T396" s="102" t="s">
        <v>4</v>
      </c>
    </row>
    <row r="397" spans="1:20">
      <c r="A397" s="102" t="s">
        <v>3498</v>
      </c>
      <c r="B397" s="102" t="s">
        <v>3758</v>
      </c>
      <c r="C397" s="101">
        <v>28</v>
      </c>
      <c r="D397" s="102" t="s">
        <v>7461</v>
      </c>
      <c r="E397" s="102" t="s">
        <v>846</v>
      </c>
      <c r="G397" s="102" t="s">
        <v>3399</v>
      </c>
      <c r="K397" s="102" t="s">
        <v>7462</v>
      </c>
      <c r="L397" s="102" t="s">
        <v>7385</v>
      </c>
      <c r="S397" s="102" t="s">
        <v>17</v>
      </c>
      <c r="T397" s="102" t="s">
        <v>4</v>
      </c>
    </row>
    <row r="398" spans="1:20">
      <c r="A398" s="102" t="s">
        <v>3498</v>
      </c>
      <c r="B398" s="102" t="s">
        <v>3758</v>
      </c>
      <c r="C398" s="101">
        <v>29</v>
      </c>
      <c r="D398" s="102" t="s">
        <v>7463</v>
      </c>
      <c r="E398" s="102" t="s">
        <v>846</v>
      </c>
      <c r="G398" s="102" t="s">
        <v>3399</v>
      </c>
      <c r="K398" s="102" t="s">
        <v>7464</v>
      </c>
      <c r="S398" s="102" t="s">
        <v>172</v>
      </c>
      <c r="T398" s="102" t="s">
        <v>4</v>
      </c>
    </row>
    <row r="399" spans="1:20">
      <c r="A399" s="102" t="s">
        <v>3498</v>
      </c>
      <c r="B399" s="102" t="s">
        <v>3758</v>
      </c>
      <c r="C399" s="101">
        <v>30</v>
      </c>
      <c r="D399" s="102" t="s">
        <v>7465</v>
      </c>
      <c r="E399" s="102" t="s">
        <v>846</v>
      </c>
      <c r="G399" s="102" t="s">
        <v>3399</v>
      </c>
      <c r="K399" s="102" t="s">
        <v>7466</v>
      </c>
      <c r="S399" s="102" t="s">
        <v>29</v>
      </c>
      <c r="T399" s="102" t="s">
        <v>4</v>
      </c>
    </row>
    <row r="400" spans="1:20">
      <c r="A400" s="102" t="s">
        <v>3498</v>
      </c>
      <c r="B400" s="102" t="s">
        <v>3758</v>
      </c>
      <c r="C400" s="101">
        <v>31</v>
      </c>
      <c r="D400" s="102" t="s">
        <v>7467</v>
      </c>
      <c r="E400" s="102" t="s">
        <v>846</v>
      </c>
      <c r="G400" s="102" t="s">
        <v>3399</v>
      </c>
      <c r="K400" s="102" t="s">
        <v>7468</v>
      </c>
      <c r="S400" s="102" t="s">
        <v>170</v>
      </c>
      <c r="T400" s="102" t="s">
        <v>4</v>
      </c>
    </row>
    <row r="401" spans="1:20">
      <c r="A401" s="102" t="s">
        <v>3498</v>
      </c>
      <c r="B401" s="102" t="s">
        <v>3758</v>
      </c>
      <c r="C401" s="101">
        <v>32</v>
      </c>
      <c r="D401" s="102" t="s">
        <v>7469</v>
      </c>
      <c r="E401" s="102" t="s">
        <v>846</v>
      </c>
      <c r="G401" s="102" t="s">
        <v>3399</v>
      </c>
      <c r="K401" s="102" t="s">
        <v>7470</v>
      </c>
      <c r="S401" s="102" t="s">
        <v>5685</v>
      </c>
      <c r="T401" s="102" t="s">
        <v>4</v>
      </c>
    </row>
    <row r="402" spans="1:20">
      <c r="A402" s="102" t="s">
        <v>3498</v>
      </c>
      <c r="B402" s="102" t="s">
        <v>3758</v>
      </c>
      <c r="C402" s="101">
        <v>33</v>
      </c>
      <c r="D402" s="102" t="s">
        <v>7471</v>
      </c>
      <c r="E402" s="102" t="s">
        <v>846</v>
      </c>
      <c r="G402" s="102" t="s">
        <v>3399</v>
      </c>
      <c r="K402" s="102" t="s">
        <v>7472</v>
      </c>
      <c r="L402" s="102" t="s">
        <v>4243</v>
      </c>
      <c r="S402" s="102" t="s">
        <v>16</v>
      </c>
      <c r="T402" s="102" t="s">
        <v>4</v>
      </c>
    </row>
    <row r="403" spans="1:20">
      <c r="A403" s="102" t="s">
        <v>3498</v>
      </c>
      <c r="B403" s="102" t="s">
        <v>3758</v>
      </c>
      <c r="C403" s="101">
        <v>34</v>
      </c>
      <c r="D403" s="102" t="s">
        <v>7473</v>
      </c>
      <c r="E403" s="102" t="s">
        <v>846</v>
      </c>
      <c r="G403" s="102" t="s">
        <v>3399</v>
      </c>
      <c r="K403" s="102" t="s">
        <v>7474</v>
      </c>
      <c r="L403" s="102" t="s">
        <v>7475</v>
      </c>
      <c r="S403" s="102" t="s">
        <v>46</v>
      </c>
      <c r="T403" s="102" t="s">
        <v>4</v>
      </c>
    </row>
    <row r="404" spans="1:20">
      <c r="A404" s="102" t="s">
        <v>3498</v>
      </c>
      <c r="B404" s="102" t="s">
        <v>3758</v>
      </c>
      <c r="C404" s="101">
        <v>35</v>
      </c>
      <c r="D404" s="102" t="s">
        <v>7476</v>
      </c>
      <c r="E404" s="102" t="s">
        <v>847</v>
      </c>
      <c r="G404" s="102" t="s">
        <v>3399</v>
      </c>
      <c r="K404" s="102" t="s">
        <v>7477</v>
      </c>
      <c r="L404" s="102" t="s">
        <v>3767</v>
      </c>
      <c r="M404" s="102" t="s">
        <v>3768</v>
      </c>
      <c r="S404" s="102" t="s">
        <v>36</v>
      </c>
      <c r="T404" s="102" t="s">
        <v>4</v>
      </c>
    </row>
    <row r="405" spans="1:20">
      <c r="A405" s="102" t="s">
        <v>3498</v>
      </c>
      <c r="B405" s="102" t="s">
        <v>3758</v>
      </c>
      <c r="C405" s="101">
        <v>36</v>
      </c>
      <c r="D405" s="102" t="s">
        <v>7478</v>
      </c>
      <c r="E405" s="102" t="s">
        <v>847</v>
      </c>
      <c r="G405" s="102" t="s">
        <v>3399</v>
      </c>
      <c r="K405" s="102" t="s">
        <v>4152</v>
      </c>
      <c r="S405" s="102" t="s">
        <v>180</v>
      </c>
      <c r="T405" s="102" t="s">
        <v>4</v>
      </c>
    </row>
    <row r="406" spans="1:20">
      <c r="A406" s="102" t="s">
        <v>3498</v>
      </c>
      <c r="B406" s="102" t="s">
        <v>3758</v>
      </c>
      <c r="C406" s="101">
        <v>37</v>
      </c>
      <c r="D406" s="102" t="s">
        <v>7479</v>
      </c>
      <c r="E406" s="102" t="s">
        <v>847</v>
      </c>
      <c r="G406" s="102" t="s">
        <v>3399</v>
      </c>
      <c r="K406" s="102" t="s">
        <v>3767</v>
      </c>
      <c r="L406" s="102" t="s">
        <v>3768</v>
      </c>
      <c r="S406" s="102" t="s">
        <v>39</v>
      </c>
      <c r="T406" s="102" t="s">
        <v>4</v>
      </c>
    </row>
    <row r="407" spans="1:20">
      <c r="A407" s="102" t="s">
        <v>3498</v>
      </c>
      <c r="B407" s="102" t="s">
        <v>3758</v>
      </c>
      <c r="C407" s="101">
        <v>38</v>
      </c>
      <c r="D407" s="102" t="s">
        <v>7480</v>
      </c>
      <c r="E407" s="102" t="s">
        <v>847</v>
      </c>
      <c r="G407" s="102" t="s">
        <v>3399</v>
      </c>
      <c r="K407" s="102" t="s">
        <v>7481</v>
      </c>
      <c r="S407" s="102" t="s">
        <v>8</v>
      </c>
      <c r="T407" s="102" t="s">
        <v>4</v>
      </c>
    </row>
    <row r="408" spans="1:20">
      <c r="A408" s="102" t="s">
        <v>3498</v>
      </c>
      <c r="B408" s="102" t="s">
        <v>3758</v>
      </c>
      <c r="C408" s="101">
        <v>39</v>
      </c>
      <c r="D408" s="102" t="s">
        <v>7482</v>
      </c>
      <c r="E408" s="102" t="s">
        <v>847</v>
      </c>
      <c r="G408" s="102" t="s">
        <v>3399</v>
      </c>
      <c r="K408" s="102" t="s">
        <v>7483</v>
      </c>
      <c r="S408" s="102" t="s">
        <v>53</v>
      </c>
      <c r="T408" s="102" t="s">
        <v>4</v>
      </c>
    </row>
    <row r="409" spans="1:20">
      <c r="A409" s="102" t="s">
        <v>3498</v>
      </c>
      <c r="B409" s="102" t="s">
        <v>3758</v>
      </c>
      <c r="C409" s="101">
        <v>40</v>
      </c>
      <c r="D409" s="102" t="s">
        <v>7484</v>
      </c>
      <c r="E409" s="102" t="s">
        <v>847</v>
      </c>
      <c r="G409" s="102" t="s">
        <v>3399</v>
      </c>
      <c r="K409" s="102" t="s">
        <v>7485</v>
      </c>
      <c r="S409" s="102" t="s">
        <v>5719</v>
      </c>
      <c r="T409" s="102" t="s">
        <v>4</v>
      </c>
    </row>
    <row r="410" spans="1:20">
      <c r="A410" s="102" t="s">
        <v>3498</v>
      </c>
      <c r="B410" s="102" t="s">
        <v>3758</v>
      </c>
      <c r="C410" s="101">
        <v>41</v>
      </c>
      <c r="D410" s="102" t="s">
        <v>7486</v>
      </c>
      <c r="E410" s="102" t="s">
        <v>847</v>
      </c>
      <c r="G410" s="102" t="s">
        <v>3399</v>
      </c>
      <c r="K410" s="102" t="s">
        <v>4240</v>
      </c>
      <c r="S410" s="102" t="s">
        <v>5685</v>
      </c>
      <c r="T410" s="102" t="s">
        <v>4</v>
      </c>
    </row>
    <row r="411" spans="1:20">
      <c r="A411" s="102" t="s">
        <v>3498</v>
      </c>
      <c r="B411" s="102" t="s">
        <v>3758</v>
      </c>
      <c r="C411" s="101">
        <v>42</v>
      </c>
      <c r="D411" s="102" t="s">
        <v>7487</v>
      </c>
      <c r="E411" s="102" t="s">
        <v>847</v>
      </c>
      <c r="G411" s="102" t="s">
        <v>3399</v>
      </c>
      <c r="K411" s="102" t="s">
        <v>7488</v>
      </c>
      <c r="S411" s="102" t="s">
        <v>16</v>
      </c>
      <c r="T411" s="102" t="s">
        <v>4</v>
      </c>
    </row>
    <row r="412" spans="1:20">
      <c r="A412" s="102" t="s">
        <v>3498</v>
      </c>
      <c r="B412" s="102" t="s">
        <v>3758</v>
      </c>
      <c r="C412" s="101">
        <v>43</v>
      </c>
      <c r="D412" s="102" t="s">
        <v>7489</v>
      </c>
      <c r="E412" s="102" t="s">
        <v>847</v>
      </c>
      <c r="G412" s="102" t="s">
        <v>3399</v>
      </c>
      <c r="K412" s="102" t="s">
        <v>7490</v>
      </c>
      <c r="S412" s="102" t="s">
        <v>46</v>
      </c>
      <c r="T412" s="102" t="s">
        <v>4</v>
      </c>
    </row>
    <row r="413" spans="1:20">
      <c r="A413" s="102" t="s">
        <v>3498</v>
      </c>
      <c r="B413" s="102" t="s">
        <v>3758</v>
      </c>
      <c r="C413" s="101">
        <v>44</v>
      </c>
      <c r="D413" s="102" t="s">
        <v>7491</v>
      </c>
      <c r="E413" s="102" t="s">
        <v>847</v>
      </c>
      <c r="G413" s="102" t="s">
        <v>3399</v>
      </c>
      <c r="K413" s="102" t="s">
        <v>7492</v>
      </c>
      <c r="S413" s="102" t="s">
        <v>33</v>
      </c>
      <c r="T413" s="102" t="s">
        <v>4</v>
      </c>
    </row>
    <row r="414" spans="1:20">
      <c r="A414" s="102" t="s">
        <v>3498</v>
      </c>
      <c r="B414" s="102" t="s">
        <v>3758</v>
      </c>
      <c r="C414" s="101">
        <v>45</v>
      </c>
      <c r="D414" s="102" t="s">
        <v>7493</v>
      </c>
      <c r="E414" s="102" t="s">
        <v>848</v>
      </c>
      <c r="G414" s="102" t="s">
        <v>3399</v>
      </c>
      <c r="K414" s="102" t="s">
        <v>902</v>
      </c>
      <c r="L414" s="102" t="s">
        <v>7494</v>
      </c>
      <c r="S414" s="102" t="s">
        <v>36</v>
      </c>
      <c r="T414" s="102" t="s">
        <v>4</v>
      </c>
    </row>
    <row r="415" spans="1:20">
      <c r="A415" s="102" t="s">
        <v>3498</v>
      </c>
      <c r="B415" s="102" t="s">
        <v>3758</v>
      </c>
      <c r="C415" s="101">
        <v>46</v>
      </c>
      <c r="D415" s="102" t="s">
        <v>7495</v>
      </c>
      <c r="E415" s="102" t="s">
        <v>847</v>
      </c>
      <c r="G415" s="102" t="s">
        <v>3399</v>
      </c>
      <c r="K415" s="102" t="s">
        <v>7288</v>
      </c>
      <c r="L415" s="102" t="s">
        <v>4534</v>
      </c>
      <c r="S415" s="102" t="s">
        <v>3747</v>
      </c>
      <c r="T415" s="102" t="s">
        <v>4</v>
      </c>
    </row>
    <row r="416" spans="1:20">
      <c r="A416" s="102" t="s">
        <v>3498</v>
      </c>
      <c r="B416" s="102" t="s">
        <v>3758</v>
      </c>
      <c r="C416" s="101">
        <v>47</v>
      </c>
      <c r="D416" s="102" t="s">
        <v>7496</v>
      </c>
      <c r="E416" s="102" t="s">
        <v>847</v>
      </c>
      <c r="G416" s="102" t="s">
        <v>3399</v>
      </c>
      <c r="K416" s="102" t="s">
        <v>4240</v>
      </c>
      <c r="S416" s="102" t="s">
        <v>169</v>
      </c>
      <c r="T416" s="102" t="s">
        <v>4</v>
      </c>
    </row>
    <row r="417" spans="1:20">
      <c r="A417" s="102" t="s">
        <v>3498</v>
      </c>
      <c r="B417" s="102" t="s">
        <v>3758</v>
      </c>
      <c r="C417" s="101">
        <v>48</v>
      </c>
      <c r="D417" s="102" t="s">
        <v>7497</v>
      </c>
      <c r="E417" s="102" t="s">
        <v>850</v>
      </c>
      <c r="G417" s="102" t="s">
        <v>3399</v>
      </c>
      <c r="K417" s="102" t="s">
        <v>7498</v>
      </c>
      <c r="S417" s="102" t="s">
        <v>31</v>
      </c>
      <c r="T417" s="102" t="s">
        <v>4</v>
      </c>
    </row>
    <row r="418" spans="1:20">
      <c r="A418" s="102" t="s">
        <v>3498</v>
      </c>
      <c r="B418" s="102" t="s">
        <v>3758</v>
      </c>
      <c r="C418" s="101">
        <v>49</v>
      </c>
      <c r="D418" s="102" t="s">
        <v>7499</v>
      </c>
      <c r="E418" s="102" t="s">
        <v>849</v>
      </c>
      <c r="G418" s="102" t="s">
        <v>3399</v>
      </c>
      <c r="K418" s="102" t="s">
        <v>7500</v>
      </c>
      <c r="S418" s="102" t="s">
        <v>48</v>
      </c>
      <c r="T418" s="102" t="s">
        <v>4</v>
      </c>
    </row>
    <row r="419" spans="1:20">
      <c r="A419" s="102" t="s">
        <v>3498</v>
      </c>
      <c r="B419" s="102" t="s">
        <v>3758</v>
      </c>
      <c r="C419" s="101">
        <v>50</v>
      </c>
      <c r="D419" s="102" t="s">
        <v>7501</v>
      </c>
      <c r="E419" s="102" t="s">
        <v>849</v>
      </c>
      <c r="G419" s="102" t="s">
        <v>3399</v>
      </c>
      <c r="K419" s="102" t="s">
        <v>7502</v>
      </c>
      <c r="L419" s="102" t="s">
        <v>5208</v>
      </c>
      <c r="S419" s="102" t="s">
        <v>32</v>
      </c>
      <c r="T419" s="102" t="s">
        <v>4</v>
      </c>
    </row>
    <row r="420" spans="1:20">
      <c r="A420" s="102" t="s">
        <v>3498</v>
      </c>
      <c r="B420" s="102" t="s">
        <v>3758</v>
      </c>
      <c r="C420" s="101">
        <v>51</v>
      </c>
      <c r="D420" s="102" t="s">
        <v>7503</v>
      </c>
      <c r="E420" s="102" t="s">
        <v>849</v>
      </c>
      <c r="G420" s="102" t="s">
        <v>3399</v>
      </c>
      <c r="K420" s="102" t="s">
        <v>7504</v>
      </c>
      <c r="S420" s="102" t="s">
        <v>3119</v>
      </c>
      <c r="T420" s="102" t="s">
        <v>4</v>
      </c>
    </row>
    <row r="421" spans="1:20">
      <c r="A421" s="102" t="s">
        <v>3498</v>
      </c>
      <c r="B421" s="102" t="s">
        <v>3758</v>
      </c>
      <c r="C421" s="101">
        <v>52</v>
      </c>
      <c r="D421" s="102" t="s">
        <v>7505</v>
      </c>
      <c r="E421" s="102" t="s">
        <v>849</v>
      </c>
      <c r="G421" s="102" t="s">
        <v>3399</v>
      </c>
      <c r="K421" s="102" t="s">
        <v>7506</v>
      </c>
      <c r="L421" s="102" t="s">
        <v>7432</v>
      </c>
      <c r="S421" s="102" t="s">
        <v>176</v>
      </c>
      <c r="T421" s="102" t="s">
        <v>4</v>
      </c>
    </row>
    <row r="422" spans="1:20">
      <c r="A422" s="102" t="s">
        <v>3498</v>
      </c>
      <c r="B422" s="102" t="s">
        <v>3758</v>
      </c>
      <c r="C422" s="101">
        <v>53</v>
      </c>
      <c r="D422" s="102" t="s">
        <v>7507</v>
      </c>
      <c r="E422" s="102" t="s">
        <v>849</v>
      </c>
      <c r="G422" s="102" t="s">
        <v>3399</v>
      </c>
      <c r="K422" s="102" t="s">
        <v>7508</v>
      </c>
      <c r="S422" s="102" t="s">
        <v>52</v>
      </c>
      <c r="T422" s="102" t="s">
        <v>4</v>
      </c>
    </row>
    <row r="423" spans="1:20">
      <c r="A423" s="102" t="s">
        <v>3498</v>
      </c>
      <c r="B423" s="102" t="s">
        <v>3758</v>
      </c>
      <c r="C423" s="101">
        <v>54</v>
      </c>
      <c r="D423" s="102" t="s">
        <v>5101</v>
      </c>
      <c r="E423" s="102" t="s">
        <v>849</v>
      </c>
      <c r="G423" s="102" t="s">
        <v>3399</v>
      </c>
      <c r="K423" s="102" t="s">
        <v>5102</v>
      </c>
      <c r="S423" s="102" t="s">
        <v>30</v>
      </c>
      <c r="T423" s="102" t="s">
        <v>4</v>
      </c>
    </row>
    <row r="424" spans="1:20">
      <c r="A424" s="102" t="s">
        <v>3498</v>
      </c>
      <c r="B424" s="102" t="s">
        <v>3758</v>
      </c>
      <c r="C424" s="101">
        <v>55</v>
      </c>
      <c r="D424" s="102" t="s">
        <v>7509</v>
      </c>
      <c r="E424" s="102" t="s">
        <v>849</v>
      </c>
      <c r="G424" s="102" t="s">
        <v>3399</v>
      </c>
      <c r="K424" s="102" t="s">
        <v>3768</v>
      </c>
      <c r="L424" s="102" t="s">
        <v>4243</v>
      </c>
      <c r="S424" s="102" t="s">
        <v>5</v>
      </c>
      <c r="T424" s="102" t="s">
        <v>4</v>
      </c>
    </row>
    <row r="425" spans="1:20">
      <c r="A425" s="102" t="s">
        <v>3498</v>
      </c>
      <c r="B425" s="102" t="s">
        <v>3758</v>
      </c>
      <c r="C425" s="101">
        <v>56</v>
      </c>
      <c r="D425" s="102" t="s">
        <v>7510</v>
      </c>
      <c r="E425" s="102" t="s">
        <v>849</v>
      </c>
      <c r="G425" s="102" t="s">
        <v>3399</v>
      </c>
      <c r="K425" s="102" t="s">
        <v>7511</v>
      </c>
      <c r="S425" s="102" t="s">
        <v>32</v>
      </c>
      <c r="T425" s="102" t="s">
        <v>4</v>
      </c>
    </row>
    <row r="426" spans="1:20">
      <c r="A426" s="102" t="s">
        <v>3498</v>
      </c>
      <c r="B426" s="102" t="s">
        <v>3758</v>
      </c>
      <c r="C426" s="101">
        <v>57</v>
      </c>
      <c r="D426" s="102" t="s">
        <v>7512</v>
      </c>
      <c r="E426" s="102" t="s">
        <v>849</v>
      </c>
      <c r="G426" s="102" t="s">
        <v>3399</v>
      </c>
      <c r="K426" s="102" t="s">
        <v>7396</v>
      </c>
      <c r="S426" s="102" t="s">
        <v>169</v>
      </c>
      <c r="T426" s="102" t="s">
        <v>4</v>
      </c>
    </row>
    <row r="427" spans="1:20">
      <c r="A427" s="102" t="s">
        <v>3498</v>
      </c>
      <c r="B427" s="102" t="s">
        <v>3758</v>
      </c>
      <c r="C427" s="101">
        <v>58</v>
      </c>
      <c r="D427" s="102" t="s">
        <v>7513</v>
      </c>
      <c r="E427" s="102" t="s">
        <v>849</v>
      </c>
      <c r="G427" s="102" t="s">
        <v>3399</v>
      </c>
      <c r="K427" s="102" t="s">
        <v>7514</v>
      </c>
      <c r="S427" s="102" t="s">
        <v>178</v>
      </c>
      <c r="T427" s="102" t="s">
        <v>4</v>
      </c>
    </row>
    <row r="428" spans="1:20">
      <c r="A428" s="102" t="s">
        <v>3498</v>
      </c>
      <c r="B428" s="102" t="s">
        <v>3758</v>
      </c>
      <c r="C428" s="101">
        <v>59</v>
      </c>
      <c r="D428" s="102" t="s">
        <v>7515</v>
      </c>
      <c r="E428" s="102" t="s">
        <v>849</v>
      </c>
      <c r="G428" s="102" t="s">
        <v>3399</v>
      </c>
      <c r="K428" s="102" t="s">
        <v>7516</v>
      </c>
      <c r="S428" s="102" t="s">
        <v>28</v>
      </c>
      <c r="T428" s="102" t="s">
        <v>4</v>
      </c>
    </row>
    <row r="429" spans="1:20">
      <c r="A429" s="102" t="s">
        <v>3498</v>
      </c>
      <c r="B429" s="102" t="s">
        <v>3758</v>
      </c>
      <c r="C429" s="101">
        <v>60</v>
      </c>
      <c r="D429" s="102" t="s">
        <v>7517</v>
      </c>
      <c r="E429" s="102" t="s">
        <v>849</v>
      </c>
      <c r="G429" s="102" t="s">
        <v>3399</v>
      </c>
      <c r="K429" s="102" t="s">
        <v>4152</v>
      </c>
      <c r="L429" s="102" t="s">
        <v>7518</v>
      </c>
      <c r="S429" s="102" t="s">
        <v>844</v>
      </c>
      <c r="T429" s="102" t="s">
        <v>4</v>
      </c>
    </row>
    <row r="430" spans="1:20">
      <c r="A430" s="102" t="s">
        <v>3498</v>
      </c>
      <c r="B430" s="102" t="s">
        <v>3758</v>
      </c>
      <c r="C430" s="101">
        <v>61</v>
      </c>
      <c r="D430" s="102" t="s">
        <v>5107</v>
      </c>
      <c r="E430" s="102" t="s">
        <v>851</v>
      </c>
      <c r="G430" s="102" t="s">
        <v>3399</v>
      </c>
      <c r="K430" s="102" t="s">
        <v>5108</v>
      </c>
      <c r="L430" s="102" t="s">
        <v>4931</v>
      </c>
      <c r="S430" s="102" t="s">
        <v>46</v>
      </c>
      <c r="T430" s="102" t="s">
        <v>4</v>
      </c>
    </row>
    <row r="431" spans="1:20">
      <c r="A431" s="102" t="s">
        <v>3498</v>
      </c>
      <c r="B431" s="102" t="s">
        <v>3758</v>
      </c>
      <c r="C431" s="101">
        <v>62</v>
      </c>
      <c r="D431" s="102" t="s">
        <v>7519</v>
      </c>
      <c r="E431" s="102" t="s">
        <v>851</v>
      </c>
      <c r="G431" s="102" t="s">
        <v>3399</v>
      </c>
      <c r="H431" s="102" t="s">
        <v>5180</v>
      </c>
      <c r="K431" s="102" t="s">
        <v>7520</v>
      </c>
      <c r="S431" s="102" t="s">
        <v>768</v>
      </c>
      <c r="T431" s="102" t="s">
        <v>4</v>
      </c>
    </row>
    <row r="432" spans="1:20">
      <c r="A432" s="102" t="s">
        <v>3498</v>
      </c>
      <c r="B432" s="102" t="s">
        <v>3758</v>
      </c>
      <c r="C432" s="101">
        <v>63</v>
      </c>
      <c r="D432" s="102" t="s">
        <v>7521</v>
      </c>
      <c r="E432" s="102" t="s">
        <v>852</v>
      </c>
      <c r="G432" s="102" t="s">
        <v>3399</v>
      </c>
      <c r="K432" s="102" t="s">
        <v>7522</v>
      </c>
      <c r="L432" s="102" t="s">
        <v>5208</v>
      </c>
      <c r="S432" s="102" t="s">
        <v>32</v>
      </c>
      <c r="T432" s="102" t="s">
        <v>4</v>
      </c>
    </row>
    <row r="433" spans="1:20">
      <c r="A433" s="102" t="s">
        <v>3498</v>
      </c>
      <c r="B433" s="102" t="s">
        <v>3758</v>
      </c>
      <c r="C433" s="101">
        <v>64</v>
      </c>
      <c r="D433" s="102" t="s">
        <v>5122</v>
      </c>
      <c r="E433" s="102" t="s">
        <v>851</v>
      </c>
      <c r="G433" s="102" t="s">
        <v>3399</v>
      </c>
      <c r="K433" s="102" t="s">
        <v>5044</v>
      </c>
      <c r="L433" s="102" t="s">
        <v>4240</v>
      </c>
      <c r="S433" s="102" t="s">
        <v>168</v>
      </c>
      <c r="T433" s="102" t="s">
        <v>4</v>
      </c>
    </row>
    <row r="434" spans="1:20">
      <c r="A434" s="102" t="s">
        <v>3498</v>
      </c>
      <c r="B434" s="102" t="s">
        <v>3758</v>
      </c>
      <c r="C434" s="101">
        <v>65</v>
      </c>
      <c r="D434" s="102" t="s">
        <v>7523</v>
      </c>
      <c r="E434" s="102" t="s">
        <v>851</v>
      </c>
      <c r="G434" s="102" t="s">
        <v>3399</v>
      </c>
      <c r="H434" s="102" t="s">
        <v>5180</v>
      </c>
      <c r="K434" s="102" t="s">
        <v>7524</v>
      </c>
      <c r="S434" s="102" t="s">
        <v>183</v>
      </c>
      <c r="T434" s="102" t="s">
        <v>4</v>
      </c>
    </row>
    <row r="435" spans="1:20">
      <c r="A435" s="102" t="s">
        <v>3498</v>
      </c>
      <c r="B435" s="102" t="s">
        <v>3758</v>
      </c>
      <c r="C435" s="101">
        <v>66</v>
      </c>
      <c r="D435" s="102" t="s">
        <v>5111</v>
      </c>
      <c r="E435" s="102" t="s">
        <v>852</v>
      </c>
      <c r="G435" s="102" t="s">
        <v>3399</v>
      </c>
      <c r="K435" s="102" t="s">
        <v>5112</v>
      </c>
      <c r="S435" s="102" t="s">
        <v>26</v>
      </c>
      <c r="T435" s="102" t="s">
        <v>4</v>
      </c>
    </row>
    <row r="436" spans="1:20">
      <c r="A436" s="102" t="s">
        <v>3498</v>
      </c>
      <c r="B436" s="102" t="s">
        <v>3758</v>
      </c>
      <c r="C436" s="101">
        <v>67</v>
      </c>
      <c r="D436" s="102" t="s">
        <v>7525</v>
      </c>
      <c r="E436" s="102" t="s">
        <v>944</v>
      </c>
      <c r="G436" s="102" t="s">
        <v>3399</v>
      </c>
      <c r="K436" s="102" t="s">
        <v>7526</v>
      </c>
      <c r="S436" s="102" t="s">
        <v>27</v>
      </c>
      <c r="T436" s="102" t="s">
        <v>4</v>
      </c>
    </row>
    <row r="437" spans="1:20">
      <c r="A437" s="102" t="s">
        <v>3498</v>
      </c>
      <c r="B437" s="102" t="s">
        <v>3758</v>
      </c>
      <c r="C437" s="101">
        <v>68</v>
      </c>
      <c r="D437" s="102" t="s">
        <v>7527</v>
      </c>
      <c r="E437" s="102" t="s">
        <v>944</v>
      </c>
      <c r="G437" s="102" t="s">
        <v>3399</v>
      </c>
      <c r="K437" s="102" t="s">
        <v>7528</v>
      </c>
      <c r="L437" s="102" t="s">
        <v>4953</v>
      </c>
      <c r="S437" s="102" t="s">
        <v>17</v>
      </c>
      <c r="T437" s="102" t="s">
        <v>4</v>
      </c>
    </row>
    <row r="438" spans="1:20">
      <c r="A438" s="102" t="s">
        <v>3498</v>
      </c>
      <c r="B438" s="102" t="s">
        <v>3758</v>
      </c>
      <c r="C438" s="101">
        <v>69</v>
      </c>
      <c r="D438" s="102" t="s">
        <v>7529</v>
      </c>
      <c r="E438" s="102" t="s">
        <v>4061</v>
      </c>
      <c r="G438" s="102" t="s">
        <v>3399</v>
      </c>
      <c r="K438" s="102" t="s">
        <v>7530</v>
      </c>
      <c r="S438" s="102" t="s">
        <v>14</v>
      </c>
      <c r="T438" s="102" t="s">
        <v>4</v>
      </c>
    </row>
    <row r="439" spans="1:20">
      <c r="A439" s="108" t="s">
        <v>3498</v>
      </c>
      <c r="B439" s="108" t="s">
        <v>3758</v>
      </c>
      <c r="C439" s="107">
        <v>70</v>
      </c>
      <c r="D439" s="108" t="s">
        <v>7531</v>
      </c>
      <c r="E439" s="108" t="s">
        <v>4042</v>
      </c>
      <c r="F439" s="108"/>
      <c r="G439" s="108" t="s">
        <v>3399</v>
      </c>
      <c r="H439" s="108"/>
      <c r="I439" s="108"/>
      <c r="J439" s="108"/>
      <c r="K439" s="108" t="s">
        <v>1232</v>
      </c>
      <c r="L439" s="108" t="s">
        <v>7432</v>
      </c>
      <c r="M439" s="108"/>
      <c r="N439" s="108"/>
      <c r="O439" s="108"/>
      <c r="P439" s="108"/>
      <c r="Q439" s="108"/>
      <c r="S439" s="102" t="s">
        <v>38</v>
      </c>
      <c r="T439" s="102" t="s">
        <v>4</v>
      </c>
    </row>
    <row r="440" spans="1:20">
      <c r="A440" s="101" t="s">
        <v>3463</v>
      </c>
      <c r="B440" s="101" t="s">
        <v>3758</v>
      </c>
      <c r="C440" s="101">
        <v>1001</v>
      </c>
      <c r="D440" s="101" t="s">
        <v>7707</v>
      </c>
      <c r="E440" s="101" t="s">
        <v>845</v>
      </c>
      <c r="F440" s="101"/>
      <c r="G440" s="101" t="s">
        <v>3399</v>
      </c>
      <c r="H440" s="101"/>
      <c r="I440" s="101"/>
      <c r="J440" s="101"/>
      <c r="K440" s="101" t="s">
        <v>7708</v>
      </c>
      <c r="L440" s="101" t="s">
        <v>7709</v>
      </c>
      <c r="M440" s="101"/>
      <c r="N440" s="101"/>
      <c r="O440" s="101"/>
      <c r="P440" s="101"/>
      <c r="Q440" s="101"/>
      <c r="R440" s="101"/>
      <c r="S440" s="101" t="s">
        <v>34</v>
      </c>
      <c r="T440" s="101" t="s">
        <v>7</v>
      </c>
    </row>
    <row r="441" spans="1:20">
      <c r="A441" s="101" t="s">
        <v>3463</v>
      </c>
      <c r="B441" s="101" t="s">
        <v>3758</v>
      </c>
      <c r="C441" s="101">
        <v>1002</v>
      </c>
      <c r="D441" s="101" t="s">
        <v>7426</v>
      </c>
      <c r="E441" s="101" t="s">
        <v>845</v>
      </c>
      <c r="F441" s="101"/>
      <c r="G441" s="101" t="s">
        <v>3399</v>
      </c>
      <c r="H441" s="101"/>
      <c r="I441" s="101"/>
      <c r="J441" s="101"/>
      <c r="K441" s="102" t="s">
        <v>7427</v>
      </c>
      <c r="S441" s="102" t="s">
        <v>4056</v>
      </c>
      <c r="T441" s="102" t="s">
        <v>7</v>
      </c>
    </row>
    <row r="442" spans="1:20">
      <c r="A442" s="101" t="s">
        <v>3463</v>
      </c>
      <c r="B442" s="101" t="s">
        <v>3758</v>
      </c>
      <c r="C442" s="101">
        <v>1003</v>
      </c>
      <c r="D442" s="102" t="s">
        <v>7710</v>
      </c>
      <c r="E442" s="102" t="s">
        <v>846</v>
      </c>
      <c r="G442" s="102" t="s">
        <v>3399</v>
      </c>
      <c r="K442" s="102" t="s">
        <v>7711</v>
      </c>
      <c r="S442" s="102" t="s">
        <v>30</v>
      </c>
      <c r="T442" s="102" t="s">
        <v>7</v>
      </c>
    </row>
    <row r="443" spans="1:20">
      <c r="A443" s="101" t="s">
        <v>3463</v>
      </c>
      <c r="B443" s="101" t="s">
        <v>3758</v>
      </c>
      <c r="C443" s="101">
        <v>1004</v>
      </c>
      <c r="D443" s="102" t="s">
        <v>7712</v>
      </c>
      <c r="E443" s="102" t="s">
        <v>7196</v>
      </c>
      <c r="G443" s="102" t="s">
        <v>3399</v>
      </c>
      <c r="K443" s="102" t="s">
        <v>7713</v>
      </c>
      <c r="L443" s="102" t="s">
        <v>7714</v>
      </c>
      <c r="S443" s="102" t="s">
        <v>10</v>
      </c>
      <c r="T443" s="102" t="s">
        <v>7</v>
      </c>
    </row>
    <row r="444" spans="1:20">
      <c r="A444" s="101" t="s">
        <v>3463</v>
      </c>
      <c r="B444" s="101" t="s">
        <v>3758</v>
      </c>
      <c r="C444" s="101">
        <v>1005</v>
      </c>
      <c r="D444" s="102" t="s">
        <v>7715</v>
      </c>
      <c r="E444" s="102" t="s">
        <v>7196</v>
      </c>
      <c r="G444" s="102" t="s">
        <v>3399</v>
      </c>
      <c r="K444" s="102" t="s">
        <v>7716</v>
      </c>
      <c r="S444" s="102" t="s">
        <v>17</v>
      </c>
      <c r="T444" s="102" t="s">
        <v>7</v>
      </c>
    </row>
    <row r="445" spans="1:20">
      <c r="A445" s="101" t="s">
        <v>3463</v>
      </c>
      <c r="B445" s="101" t="s">
        <v>3758</v>
      </c>
      <c r="C445" s="101">
        <v>1006</v>
      </c>
      <c r="D445" s="102" t="s">
        <v>7717</v>
      </c>
      <c r="E445" s="102" t="s">
        <v>7196</v>
      </c>
      <c r="G445" s="102" t="s">
        <v>3399</v>
      </c>
      <c r="K445" s="102" t="s">
        <v>4113</v>
      </c>
      <c r="L445" s="102" t="s">
        <v>7718</v>
      </c>
      <c r="M445" s="102" t="s">
        <v>7719</v>
      </c>
      <c r="S445" s="102" t="s">
        <v>53</v>
      </c>
      <c r="T445" s="102" t="s">
        <v>7</v>
      </c>
    </row>
    <row r="446" spans="1:20">
      <c r="A446" s="101" t="s">
        <v>3463</v>
      </c>
      <c r="B446" s="101" t="s">
        <v>3758</v>
      </c>
      <c r="C446" s="101">
        <v>1007</v>
      </c>
      <c r="D446" s="102" t="s">
        <v>7720</v>
      </c>
      <c r="E446" s="102" t="s">
        <v>846</v>
      </c>
      <c r="G446" s="102" t="s">
        <v>3399</v>
      </c>
      <c r="K446" s="102" t="s">
        <v>7721</v>
      </c>
      <c r="S446" s="102" t="s">
        <v>182</v>
      </c>
      <c r="T446" s="102" t="s">
        <v>7</v>
      </c>
    </row>
    <row r="447" spans="1:20">
      <c r="A447" s="101" t="s">
        <v>3463</v>
      </c>
      <c r="B447" s="101" t="s">
        <v>3758</v>
      </c>
      <c r="C447" s="101">
        <v>1008</v>
      </c>
      <c r="D447" s="102" t="s">
        <v>7722</v>
      </c>
      <c r="E447" s="102" t="s">
        <v>846</v>
      </c>
      <c r="G447" s="102" t="s">
        <v>3399</v>
      </c>
      <c r="K447" s="102" t="s">
        <v>7723</v>
      </c>
      <c r="S447" s="102" t="s">
        <v>3119</v>
      </c>
      <c r="T447" s="102" t="s">
        <v>7</v>
      </c>
    </row>
    <row r="448" spans="1:20">
      <c r="A448" s="101" t="s">
        <v>3463</v>
      </c>
      <c r="B448" s="101" t="s">
        <v>3758</v>
      </c>
      <c r="C448" s="101">
        <v>1009</v>
      </c>
      <c r="D448" s="102" t="s">
        <v>7724</v>
      </c>
      <c r="E448" s="102" t="s">
        <v>1008</v>
      </c>
      <c r="G448" s="102" t="s">
        <v>3399</v>
      </c>
      <c r="K448" s="102" t="s">
        <v>7725</v>
      </c>
      <c r="S448" s="102" t="s">
        <v>36</v>
      </c>
      <c r="T448" s="102" t="s">
        <v>7</v>
      </c>
    </row>
    <row r="449" spans="1:20">
      <c r="A449" s="101" t="s">
        <v>3463</v>
      </c>
      <c r="B449" s="101" t="s">
        <v>3758</v>
      </c>
      <c r="C449" s="101">
        <v>1010</v>
      </c>
      <c r="D449" s="102" t="s">
        <v>7726</v>
      </c>
      <c r="E449" s="102" t="s">
        <v>847</v>
      </c>
      <c r="G449" s="102" t="s">
        <v>3399</v>
      </c>
      <c r="K449" s="102" t="s">
        <v>7727</v>
      </c>
      <c r="S449" s="102" t="s">
        <v>173</v>
      </c>
      <c r="T449" s="102" t="s">
        <v>7</v>
      </c>
    </row>
    <row r="450" spans="1:20">
      <c r="A450" s="101" t="s">
        <v>3463</v>
      </c>
      <c r="B450" s="101" t="s">
        <v>3758</v>
      </c>
      <c r="C450" s="101">
        <v>1011</v>
      </c>
      <c r="D450" s="102" t="s">
        <v>7728</v>
      </c>
      <c r="E450" s="102" t="s">
        <v>847</v>
      </c>
      <c r="G450" s="102" t="s">
        <v>3399</v>
      </c>
      <c r="K450" s="102" t="s">
        <v>7729</v>
      </c>
      <c r="S450" s="102" t="s">
        <v>606</v>
      </c>
      <c r="T450" s="102" t="s">
        <v>7</v>
      </c>
    </row>
    <row r="451" spans="1:20">
      <c r="A451" s="101" t="s">
        <v>3463</v>
      </c>
      <c r="B451" s="101" t="s">
        <v>3758</v>
      </c>
      <c r="C451" s="101">
        <v>1012</v>
      </c>
      <c r="D451" s="102" t="s">
        <v>7730</v>
      </c>
      <c r="E451" s="102" t="s">
        <v>847</v>
      </c>
      <c r="G451" s="102" t="s">
        <v>3399</v>
      </c>
      <c r="K451" s="102" t="s">
        <v>7731</v>
      </c>
      <c r="L451" s="102" t="s">
        <v>7518</v>
      </c>
      <c r="S451" s="102" t="s">
        <v>44</v>
      </c>
      <c r="T451" s="102" t="s">
        <v>7</v>
      </c>
    </row>
    <row r="452" spans="1:20">
      <c r="A452" s="101" t="s">
        <v>3463</v>
      </c>
      <c r="B452" s="101" t="s">
        <v>3758</v>
      </c>
      <c r="C452" s="101">
        <v>1013</v>
      </c>
      <c r="D452" s="102" t="s">
        <v>7732</v>
      </c>
      <c r="E452" s="102" t="s">
        <v>847</v>
      </c>
      <c r="G452" s="102" t="s">
        <v>3399</v>
      </c>
      <c r="K452" s="102" t="s">
        <v>7733</v>
      </c>
      <c r="S452" s="102" t="s">
        <v>171</v>
      </c>
      <c r="T452" s="102" t="s">
        <v>7</v>
      </c>
    </row>
    <row r="453" spans="1:20">
      <c r="A453" s="101" t="s">
        <v>3463</v>
      </c>
      <c r="B453" s="101" t="s">
        <v>3758</v>
      </c>
      <c r="C453" s="101">
        <v>1014</v>
      </c>
      <c r="D453" s="102" t="s">
        <v>7734</v>
      </c>
      <c r="E453" s="102" t="s">
        <v>847</v>
      </c>
      <c r="G453" s="102" t="s">
        <v>3399</v>
      </c>
      <c r="K453" s="102" t="s">
        <v>7735</v>
      </c>
      <c r="S453" s="102" t="s">
        <v>171</v>
      </c>
      <c r="T453" s="102" t="s">
        <v>7</v>
      </c>
    </row>
    <row r="454" spans="1:20">
      <c r="A454" s="101" t="s">
        <v>3463</v>
      </c>
      <c r="B454" s="101" t="s">
        <v>3758</v>
      </c>
      <c r="C454" s="101">
        <v>1015</v>
      </c>
      <c r="D454" s="102" t="s">
        <v>7736</v>
      </c>
      <c r="E454" s="102" t="s">
        <v>847</v>
      </c>
      <c r="G454" s="102" t="s">
        <v>3399</v>
      </c>
      <c r="K454" s="102" t="s">
        <v>7737</v>
      </c>
      <c r="S454" s="102" t="s">
        <v>178</v>
      </c>
      <c r="T454" s="102" t="s">
        <v>7</v>
      </c>
    </row>
    <row r="455" spans="1:20">
      <c r="A455" s="101" t="s">
        <v>3463</v>
      </c>
      <c r="B455" s="101" t="s">
        <v>3758</v>
      </c>
      <c r="C455" s="101">
        <v>1016</v>
      </c>
      <c r="D455" s="102" t="s">
        <v>7738</v>
      </c>
      <c r="E455" s="102" t="s">
        <v>847</v>
      </c>
      <c r="G455" s="102" t="s">
        <v>3399</v>
      </c>
      <c r="K455" s="102" t="s">
        <v>7739</v>
      </c>
      <c r="S455" s="102" t="s">
        <v>45</v>
      </c>
      <c r="T455" s="102" t="s">
        <v>7</v>
      </c>
    </row>
    <row r="456" spans="1:20">
      <c r="A456" s="101" t="s">
        <v>3463</v>
      </c>
      <c r="B456" s="101" t="s">
        <v>3758</v>
      </c>
      <c r="C456" s="101">
        <v>1017</v>
      </c>
      <c r="D456" s="102" t="s">
        <v>7740</v>
      </c>
      <c r="E456" s="102" t="s">
        <v>847</v>
      </c>
      <c r="G456" s="102" t="s">
        <v>3399</v>
      </c>
      <c r="K456" s="102" t="s">
        <v>7741</v>
      </c>
      <c r="S456" s="102" t="s">
        <v>171</v>
      </c>
      <c r="T456" s="102" t="s">
        <v>7</v>
      </c>
    </row>
    <row r="457" spans="1:20">
      <c r="A457" s="101" t="s">
        <v>3463</v>
      </c>
      <c r="B457" s="101" t="s">
        <v>3758</v>
      </c>
      <c r="C457" s="101">
        <v>1018</v>
      </c>
      <c r="D457" s="102" t="s">
        <v>3431</v>
      </c>
      <c r="E457" s="102" t="s">
        <v>847</v>
      </c>
      <c r="G457" s="102" t="s">
        <v>3399</v>
      </c>
      <c r="K457" s="102" t="s">
        <v>3432</v>
      </c>
      <c r="S457" s="102" t="s">
        <v>52</v>
      </c>
      <c r="T457" s="102" t="s">
        <v>7</v>
      </c>
    </row>
    <row r="458" spans="1:20">
      <c r="A458" s="101" t="s">
        <v>3463</v>
      </c>
      <c r="B458" s="101" t="s">
        <v>3758</v>
      </c>
      <c r="C458" s="101">
        <v>1019</v>
      </c>
      <c r="D458" s="102" t="s">
        <v>7742</v>
      </c>
      <c r="E458" s="102" t="s">
        <v>847</v>
      </c>
      <c r="G458" s="102" t="s">
        <v>3399</v>
      </c>
      <c r="K458" s="102" t="s">
        <v>7743</v>
      </c>
      <c r="L458" s="102" t="s">
        <v>3767</v>
      </c>
      <c r="S458" s="102" t="s">
        <v>11</v>
      </c>
      <c r="T458" s="102" t="s">
        <v>7</v>
      </c>
    </row>
    <row r="459" spans="1:20">
      <c r="A459" s="101" t="s">
        <v>3463</v>
      </c>
      <c r="B459" s="101" t="s">
        <v>3758</v>
      </c>
      <c r="C459" s="101">
        <v>1020</v>
      </c>
      <c r="D459" s="102" t="s">
        <v>7744</v>
      </c>
      <c r="E459" s="102" t="s">
        <v>847</v>
      </c>
      <c r="G459" s="102" t="s">
        <v>3399</v>
      </c>
      <c r="K459" s="102" t="s">
        <v>7745</v>
      </c>
      <c r="S459" s="102" t="s">
        <v>180</v>
      </c>
      <c r="T459" s="102" t="s">
        <v>7</v>
      </c>
    </row>
    <row r="460" spans="1:20">
      <c r="A460" s="101" t="s">
        <v>3463</v>
      </c>
      <c r="B460" s="101" t="s">
        <v>3758</v>
      </c>
      <c r="C460" s="101">
        <v>1021</v>
      </c>
      <c r="D460" s="102" t="s">
        <v>7746</v>
      </c>
      <c r="E460" s="102" t="s">
        <v>847</v>
      </c>
      <c r="G460" s="102" t="s">
        <v>3399</v>
      </c>
      <c r="K460" s="102" t="s">
        <v>7747</v>
      </c>
      <c r="S460" s="102" t="s">
        <v>169</v>
      </c>
      <c r="T460" s="102" t="s">
        <v>7</v>
      </c>
    </row>
    <row r="461" spans="1:20">
      <c r="A461" s="101" t="s">
        <v>3463</v>
      </c>
      <c r="B461" s="101" t="s">
        <v>3758</v>
      </c>
      <c r="C461" s="101">
        <v>1022</v>
      </c>
      <c r="D461" s="102" t="s">
        <v>7748</v>
      </c>
      <c r="E461" s="102" t="s">
        <v>847</v>
      </c>
      <c r="G461" s="102" t="s">
        <v>3399</v>
      </c>
      <c r="H461" s="102" t="s">
        <v>5180</v>
      </c>
      <c r="K461" s="102" t="s">
        <v>7749</v>
      </c>
      <c r="S461" s="102" t="s">
        <v>175</v>
      </c>
      <c r="T461" s="102" t="s">
        <v>7</v>
      </c>
    </row>
    <row r="462" spans="1:20">
      <c r="A462" s="101" t="s">
        <v>3463</v>
      </c>
      <c r="B462" s="101" t="s">
        <v>3758</v>
      </c>
      <c r="C462" s="101">
        <v>1023</v>
      </c>
      <c r="D462" s="102" t="s">
        <v>7750</v>
      </c>
      <c r="E462" s="102" t="s">
        <v>847</v>
      </c>
      <c r="G462" s="102" t="s">
        <v>3399</v>
      </c>
      <c r="K462" s="102" t="s">
        <v>7751</v>
      </c>
      <c r="S462" s="102" t="s">
        <v>48</v>
      </c>
      <c r="T462" s="102" t="s">
        <v>7</v>
      </c>
    </row>
    <row r="463" spans="1:20">
      <c r="A463" s="101" t="s">
        <v>3463</v>
      </c>
      <c r="B463" s="101" t="s">
        <v>3758</v>
      </c>
      <c r="C463" s="101">
        <v>1024</v>
      </c>
      <c r="D463" s="102" t="s">
        <v>7480</v>
      </c>
      <c r="E463" s="102" t="s">
        <v>847</v>
      </c>
      <c r="G463" s="102" t="s">
        <v>3399</v>
      </c>
      <c r="K463" s="102" t="s">
        <v>7481</v>
      </c>
      <c r="S463" s="102" t="s">
        <v>844</v>
      </c>
      <c r="T463" s="102" t="s">
        <v>7</v>
      </c>
    </row>
    <row r="464" spans="1:20">
      <c r="A464" s="101" t="s">
        <v>3463</v>
      </c>
      <c r="B464" s="101" t="s">
        <v>3758</v>
      </c>
      <c r="C464" s="101">
        <v>1025</v>
      </c>
      <c r="D464" s="102" t="s">
        <v>7752</v>
      </c>
      <c r="E464" s="102" t="s">
        <v>849</v>
      </c>
      <c r="G464" s="102" t="s">
        <v>3399</v>
      </c>
      <c r="K464" s="102" t="s">
        <v>7753</v>
      </c>
      <c r="L464" s="102" t="s">
        <v>4243</v>
      </c>
      <c r="S464" s="102" t="s">
        <v>5</v>
      </c>
      <c r="T464" s="102" t="s">
        <v>7</v>
      </c>
    </row>
    <row r="465" spans="1:20">
      <c r="A465" s="101" t="s">
        <v>3463</v>
      </c>
      <c r="B465" s="101" t="s">
        <v>3758</v>
      </c>
      <c r="C465" s="101">
        <v>1026</v>
      </c>
      <c r="D465" s="102" t="s">
        <v>7754</v>
      </c>
      <c r="E465" s="102" t="s">
        <v>850</v>
      </c>
      <c r="G465" s="102" t="s">
        <v>3399</v>
      </c>
      <c r="K465" s="102" t="s">
        <v>7755</v>
      </c>
      <c r="S465" s="102" t="s">
        <v>27</v>
      </c>
      <c r="T465" s="102" t="s">
        <v>7</v>
      </c>
    </row>
    <row r="466" spans="1:20">
      <c r="A466" s="101" t="s">
        <v>3463</v>
      </c>
      <c r="B466" s="101" t="s">
        <v>3758</v>
      </c>
      <c r="C466" s="101">
        <v>1027</v>
      </c>
      <c r="D466" s="102" t="s">
        <v>7756</v>
      </c>
      <c r="E466" s="102" t="s">
        <v>850</v>
      </c>
      <c r="G466" s="102" t="s">
        <v>3399</v>
      </c>
      <c r="K466" s="102" t="s">
        <v>7757</v>
      </c>
      <c r="S466" s="102" t="s">
        <v>181</v>
      </c>
      <c r="T466" s="102" t="s">
        <v>7</v>
      </c>
    </row>
    <row r="467" spans="1:20">
      <c r="A467" s="101" t="s">
        <v>3463</v>
      </c>
      <c r="B467" s="101" t="s">
        <v>3758</v>
      </c>
      <c r="C467" s="101">
        <v>1028</v>
      </c>
      <c r="D467" s="102" t="s">
        <v>7758</v>
      </c>
      <c r="E467" s="102" t="s">
        <v>849</v>
      </c>
      <c r="G467" s="102" t="s">
        <v>3399</v>
      </c>
      <c r="K467" s="102" t="s">
        <v>7759</v>
      </c>
      <c r="L467" s="102" t="s">
        <v>5208</v>
      </c>
      <c r="S467" s="102" t="s">
        <v>32</v>
      </c>
      <c r="T467" s="102" t="s">
        <v>7</v>
      </c>
    </row>
    <row r="468" spans="1:20">
      <c r="A468" s="101" t="s">
        <v>3463</v>
      </c>
      <c r="B468" s="101" t="s">
        <v>3758</v>
      </c>
      <c r="C468" s="101">
        <v>1029</v>
      </c>
      <c r="D468" s="102" t="s">
        <v>7760</v>
      </c>
      <c r="E468" s="102" t="s">
        <v>850</v>
      </c>
      <c r="G468" s="102" t="s">
        <v>3399</v>
      </c>
      <c r="K468" s="102" t="s">
        <v>7432</v>
      </c>
      <c r="S468" s="102" t="s">
        <v>182</v>
      </c>
      <c r="T468" s="102" t="s">
        <v>7</v>
      </c>
    </row>
    <row r="469" spans="1:20">
      <c r="A469" s="101" t="s">
        <v>3463</v>
      </c>
      <c r="B469" s="101" t="s">
        <v>3758</v>
      </c>
      <c r="C469" s="101">
        <v>1030</v>
      </c>
      <c r="D469" s="102" t="s">
        <v>7761</v>
      </c>
      <c r="E469" s="102" t="s">
        <v>849</v>
      </c>
      <c r="G469" s="102" t="s">
        <v>3399</v>
      </c>
      <c r="K469" s="102" t="s">
        <v>7762</v>
      </c>
      <c r="S469" s="102" t="s">
        <v>17</v>
      </c>
      <c r="T469" s="102" t="s">
        <v>7</v>
      </c>
    </row>
    <row r="470" spans="1:20">
      <c r="A470" s="101" t="s">
        <v>3463</v>
      </c>
      <c r="B470" s="101" t="s">
        <v>3758</v>
      </c>
      <c r="C470" s="101">
        <v>1031</v>
      </c>
      <c r="D470" s="102" t="s">
        <v>7763</v>
      </c>
      <c r="E470" s="102" t="s">
        <v>850</v>
      </c>
      <c r="G470" s="102" t="s">
        <v>3399</v>
      </c>
      <c r="K470" s="102" t="s">
        <v>7764</v>
      </c>
      <c r="S470" s="102" t="s">
        <v>5685</v>
      </c>
      <c r="T470" s="102" t="s">
        <v>7</v>
      </c>
    </row>
    <row r="471" spans="1:20">
      <c r="A471" s="101" t="s">
        <v>3463</v>
      </c>
      <c r="B471" s="101" t="s">
        <v>3758</v>
      </c>
      <c r="C471" s="101">
        <v>1032</v>
      </c>
      <c r="D471" s="102" t="s">
        <v>7517</v>
      </c>
      <c r="E471" s="102" t="s">
        <v>849</v>
      </c>
      <c r="G471" s="102" t="s">
        <v>3399</v>
      </c>
      <c r="K471" s="102" t="s">
        <v>4152</v>
      </c>
      <c r="L471" s="102" t="s">
        <v>7518</v>
      </c>
      <c r="S471" s="102" t="s">
        <v>45</v>
      </c>
      <c r="T471" s="102" t="s">
        <v>7</v>
      </c>
    </row>
    <row r="472" spans="1:20">
      <c r="A472" s="101" t="s">
        <v>3463</v>
      </c>
      <c r="B472" s="101" t="s">
        <v>3758</v>
      </c>
      <c r="C472" s="101">
        <v>1033</v>
      </c>
      <c r="D472" s="102" t="s">
        <v>7765</v>
      </c>
      <c r="E472" s="102" t="s">
        <v>850</v>
      </c>
      <c r="G472" s="102" t="s">
        <v>3399</v>
      </c>
      <c r="K472" s="102" t="s">
        <v>7766</v>
      </c>
      <c r="S472" s="102" t="s">
        <v>175</v>
      </c>
      <c r="T472" s="102" t="s">
        <v>7</v>
      </c>
    </row>
    <row r="473" spans="1:20">
      <c r="A473" s="101" t="s">
        <v>3463</v>
      </c>
      <c r="B473" s="101" t="s">
        <v>3758</v>
      </c>
      <c r="C473" s="101">
        <v>1034</v>
      </c>
      <c r="D473" s="102" t="s">
        <v>7767</v>
      </c>
      <c r="E473" s="102" t="s">
        <v>7768</v>
      </c>
      <c r="G473" s="102" t="s">
        <v>3399</v>
      </c>
      <c r="K473" s="102" t="s">
        <v>7411</v>
      </c>
      <c r="L473" s="102" t="s">
        <v>7769</v>
      </c>
      <c r="S473" s="102" t="s">
        <v>606</v>
      </c>
      <c r="T473" s="102" t="s">
        <v>7</v>
      </c>
    </row>
    <row r="474" spans="1:20">
      <c r="A474" s="101" t="s">
        <v>3463</v>
      </c>
      <c r="B474" s="101" t="s">
        <v>3758</v>
      </c>
      <c r="C474" s="101">
        <v>1035</v>
      </c>
      <c r="D474" s="102" t="s">
        <v>7770</v>
      </c>
      <c r="E474" s="102" t="s">
        <v>849</v>
      </c>
      <c r="G474" s="102" t="s">
        <v>3399</v>
      </c>
      <c r="K474" s="102" t="s">
        <v>7771</v>
      </c>
      <c r="S474" s="102" t="s">
        <v>172</v>
      </c>
      <c r="T474" s="102" t="s">
        <v>7</v>
      </c>
    </row>
    <row r="475" spans="1:20">
      <c r="A475" s="101" t="s">
        <v>3463</v>
      </c>
      <c r="B475" s="101" t="s">
        <v>3758</v>
      </c>
      <c r="C475" s="101">
        <v>1036</v>
      </c>
      <c r="D475" s="102" t="s">
        <v>7772</v>
      </c>
      <c r="E475" s="102" t="s">
        <v>849</v>
      </c>
      <c r="G475" s="102" t="s">
        <v>3399</v>
      </c>
      <c r="K475" s="102" t="s">
        <v>4240</v>
      </c>
      <c r="L475" s="102" t="s">
        <v>7773</v>
      </c>
      <c r="S475" s="102" t="s">
        <v>28</v>
      </c>
      <c r="T475" s="102" t="s">
        <v>7</v>
      </c>
    </row>
    <row r="476" spans="1:20">
      <c r="A476" s="101" t="s">
        <v>3463</v>
      </c>
      <c r="B476" s="101" t="s">
        <v>3758</v>
      </c>
      <c r="C476" s="101">
        <v>1037</v>
      </c>
      <c r="D476" s="102" t="s">
        <v>7774</v>
      </c>
      <c r="E476" s="102" t="s">
        <v>849</v>
      </c>
      <c r="G476" s="102" t="s">
        <v>3399</v>
      </c>
      <c r="K476" s="102" t="s">
        <v>7737</v>
      </c>
      <c r="L476" s="102" t="s">
        <v>5330</v>
      </c>
      <c r="S476" s="102" t="s">
        <v>44</v>
      </c>
      <c r="T476" s="102" t="s">
        <v>7</v>
      </c>
    </row>
    <row r="477" spans="1:20">
      <c r="A477" s="101" t="s">
        <v>3463</v>
      </c>
      <c r="B477" s="101" t="s">
        <v>3758</v>
      </c>
      <c r="C477" s="101">
        <v>1038</v>
      </c>
      <c r="D477" s="102" t="s">
        <v>7775</v>
      </c>
      <c r="E477" s="102" t="s">
        <v>851</v>
      </c>
      <c r="G477" s="102" t="s">
        <v>3399</v>
      </c>
      <c r="K477" s="102" t="s">
        <v>7776</v>
      </c>
      <c r="S477" s="102" t="s">
        <v>26</v>
      </c>
      <c r="T477" s="102" t="s">
        <v>7</v>
      </c>
    </row>
    <row r="478" spans="1:20">
      <c r="A478" s="101" t="s">
        <v>3463</v>
      </c>
      <c r="B478" s="101" t="s">
        <v>3758</v>
      </c>
      <c r="C478" s="101">
        <v>1039</v>
      </c>
      <c r="D478" s="102" t="s">
        <v>7777</v>
      </c>
      <c r="E478" s="102" t="s">
        <v>852</v>
      </c>
      <c r="G478" s="102" t="s">
        <v>3399</v>
      </c>
      <c r="K478" s="102" t="s">
        <v>7778</v>
      </c>
      <c r="S478" s="102" t="s">
        <v>169</v>
      </c>
      <c r="T478" s="102" t="s">
        <v>7</v>
      </c>
    </row>
    <row r="479" spans="1:20">
      <c r="A479" s="101" t="s">
        <v>3463</v>
      </c>
      <c r="B479" s="101" t="s">
        <v>3758</v>
      </c>
      <c r="C479" s="101">
        <v>1040</v>
      </c>
      <c r="D479" s="102" t="s">
        <v>7779</v>
      </c>
      <c r="E479" s="102" t="s">
        <v>851</v>
      </c>
      <c r="G479" s="102" t="s">
        <v>3399</v>
      </c>
      <c r="K479" s="102" t="s">
        <v>7203</v>
      </c>
      <c r="L479" s="102" t="s">
        <v>5208</v>
      </c>
      <c r="S479" s="102" t="s">
        <v>32</v>
      </c>
      <c r="T479" s="102" t="s">
        <v>7</v>
      </c>
    </row>
    <row r="480" spans="1:20">
      <c r="A480" s="101" t="s">
        <v>3463</v>
      </c>
      <c r="B480" s="101" t="s">
        <v>3758</v>
      </c>
      <c r="C480" s="101">
        <v>1041</v>
      </c>
      <c r="D480" s="102" t="s">
        <v>7780</v>
      </c>
      <c r="E480" s="102" t="s">
        <v>852</v>
      </c>
      <c r="G480" s="102" t="s">
        <v>3399</v>
      </c>
      <c r="H480" s="102" t="s">
        <v>5180</v>
      </c>
      <c r="K480" s="102" t="s">
        <v>7781</v>
      </c>
      <c r="S480" s="102" t="s">
        <v>183</v>
      </c>
      <c r="T480" s="102" t="s">
        <v>7</v>
      </c>
    </row>
    <row r="481" spans="1:20">
      <c r="A481" s="101" t="s">
        <v>3463</v>
      </c>
      <c r="B481" s="101" t="s">
        <v>3758</v>
      </c>
      <c r="C481" s="101">
        <v>1042</v>
      </c>
      <c r="D481" s="102" t="s">
        <v>7519</v>
      </c>
      <c r="E481" s="102" t="s">
        <v>851</v>
      </c>
      <c r="G481" s="102" t="s">
        <v>3399</v>
      </c>
      <c r="H481" s="102" t="s">
        <v>5180</v>
      </c>
      <c r="K481" s="102" t="s">
        <v>7520</v>
      </c>
      <c r="S481" s="102" t="s">
        <v>175</v>
      </c>
      <c r="T481" s="102" t="s">
        <v>7</v>
      </c>
    </row>
    <row r="482" spans="1:20">
      <c r="A482" s="101" t="s">
        <v>3463</v>
      </c>
      <c r="B482" s="101" t="s">
        <v>3758</v>
      </c>
      <c r="C482" s="101">
        <v>1043</v>
      </c>
      <c r="D482" s="102" t="s">
        <v>7782</v>
      </c>
      <c r="E482" s="102" t="s">
        <v>851</v>
      </c>
      <c r="G482" s="102" t="s">
        <v>3399</v>
      </c>
      <c r="K482" s="102" t="s">
        <v>7783</v>
      </c>
      <c r="S482" s="102" t="s">
        <v>5685</v>
      </c>
      <c r="T482" s="102" t="s">
        <v>7</v>
      </c>
    </row>
    <row r="483" spans="1:20">
      <c r="A483" s="101" t="s">
        <v>3463</v>
      </c>
      <c r="B483" s="101" t="s">
        <v>3758</v>
      </c>
      <c r="C483" s="101">
        <v>1044</v>
      </c>
      <c r="D483" s="102" t="s">
        <v>7784</v>
      </c>
      <c r="E483" s="102" t="s">
        <v>852</v>
      </c>
      <c r="G483" s="102" t="s">
        <v>3399</v>
      </c>
      <c r="K483" s="102" t="s">
        <v>7785</v>
      </c>
      <c r="S483" s="102" t="s">
        <v>46</v>
      </c>
      <c r="T483" s="102" t="s">
        <v>7</v>
      </c>
    </row>
    <row r="484" spans="1:20">
      <c r="A484" s="101" t="s">
        <v>3463</v>
      </c>
      <c r="B484" s="101" t="s">
        <v>3758</v>
      </c>
      <c r="C484" s="101">
        <v>1045</v>
      </c>
      <c r="D484" s="102" t="s">
        <v>7786</v>
      </c>
      <c r="E484" s="102" t="s">
        <v>852</v>
      </c>
      <c r="G484" s="102" t="s">
        <v>3399</v>
      </c>
      <c r="K484" s="102" t="s">
        <v>7787</v>
      </c>
      <c r="S484" s="102" t="s">
        <v>5719</v>
      </c>
      <c r="T484" s="102" t="s">
        <v>7</v>
      </c>
    </row>
    <row r="485" spans="1:20">
      <c r="A485" s="101" t="s">
        <v>3463</v>
      </c>
      <c r="B485" s="101" t="s">
        <v>3758</v>
      </c>
      <c r="C485" s="101">
        <v>1046</v>
      </c>
      <c r="D485" s="102" t="s">
        <v>7788</v>
      </c>
      <c r="E485" s="102" t="s">
        <v>852</v>
      </c>
      <c r="G485" s="102" t="s">
        <v>3399</v>
      </c>
      <c r="K485" s="102" t="s">
        <v>937</v>
      </c>
      <c r="L485" s="102" t="s">
        <v>7432</v>
      </c>
      <c r="S485" s="102" t="s">
        <v>35</v>
      </c>
      <c r="T485" s="102" t="s">
        <v>7</v>
      </c>
    </row>
    <row r="486" spans="1:20">
      <c r="A486" s="101" t="s">
        <v>3463</v>
      </c>
      <c r="B486" s="101" t="s">
        <v>3758</v>
      </c>
      <c r="C486" s="101">
        <v>1047</v>
      </c>
      <c r="D486" s="102" t="s">
        <v>7789</v>
      </c>
      <c r="E486" s="102" t="s">
        <v>944</v>
      </c>
      <c r="G486" s="102" t="s">
        <v>3399</v>
      </c>
      <c r="K486" s="102" t="s">
        <v>7790</v>
      </c>
      <c r="L486" s="102" t="s">
        <v>7791</v>
      </c>
      <c r="S486" s="102" t="s">
        <v>34</v>
      </c>
      <c r="T486" s="102" t="s">
        <v>7</v>
      </c>
    </row>
    <row r="487" spans="1:20">
      <c r="A487" s="101" t="s">
        <v>3463</v>
      </c>
      <c r="B487" s="101" t="s">
        <v>3758</v>
      </c>
      <c r="C487" s="101">
        <v>1048</v>
      </c>
      <c r="D487" s="102" t="s">
        <v>7792</v>
      </c>
      <c r="E487" s="102" t="s">
        <v>4061</v>
      </c>
      <c r="G487" s="102" t="s">
        <v>3399</v>
      </c>
      <c r="K487" s="102" t="s">
        <v>7793</v>
      </c>
      <c r="S487" s="102" t="s">
        <v>46</v>
      </c>
      <c r="T487" s="102" t="s">
        <v>7</v>
      </c>
    </row>
    <row r="488" spans="1:20">
      <c r="A488" s="101" t="s">
        <v>3463</v>
      </c>
      <c r="B488" s="101" t="s">
        <v>3758</v>
      </c>
      <c r="C488" s="101">
        <v>1049</v>
      </c>
      <c r="D488" s="102" t="s">
        <v>7794</v>
      </c>
      <c r="E488" s="102" t="s">
        <v>4061</v>
      </c>
      <c r="G488" s="102" t="s">
        <v>3399</v>
      </c>
      <c r="K488" s="102" t="s">
        <v>7795</v>
      </c>
      <c r="S488" s="102" t="s">
        <v>27</v>
      </c>
      <c r="T488" s="102" t="s">
        <v>7</v>
      </c>
    </row>
    <row r="489" spans="1:20">
      <c r="A489" s="101" t="s">
        <v>3463</v>
      </c>
      <c r="B489" s="101" t="s">
        <v>3758</v>
      </c>
      <c r="C489" s="101">
        <v>1050</v>
      </c>
      <c r="D489" s="102" t="s">
        <v>7796</v>
      </c>
      <c r="E489" s="102" t="s">
        <v>4061</v>
      </c>
      <c r="G489" s="102" t="s">
        <v>3399</v>
      </c>
      <c r="K489" s="102" t="s">
        <v>7797</v>
      </c>
      <c r="S489" s="102" t="s">
        <v>14</v>
      </c>
      <c r="T489" s="102" t="s">
        <v>7</v>
      </c>
    </row>
    <row r="490" spans="1:20">
      <c r="A490" s="101" t="s">
        <v>3463</v>
      </c>
      <c r="B490" s="101" t="s">
        <v>3758</v>
      </c>
      <c r="C490" s="101">
        <v>1051</v>
      </c>
      <c r="D490" s="102" t="s">
        <v>7798</v>
      </c>
      <c r="E490" s="102" t="s">
        <v>4061</v>
      </c>
      <c r="G490" s="102" t="s">
        <v>3399</v>
      </c>
      <c r="K490" s="102" t="s">
        <v>7799</v>
      </c>
      <c r="S490" s="102" t="s">
        <v>53</v>
      </c>
      <c r="T490" s="102" t="s">
        <v>7</v>
      </c>
    </row>
    <row r="491" spans="1:20">
      <c r="A491" s="101" t="s">
        <v>3463</v>
      </c>
      <c r="B491" s="101" t="s">
        <v>3758</v>
      </c>
      <c r="C491" s="101">
        <v>1052</v>
      </c>
      <c r="D491" s="102" t="s">
        <v>7800</v>
      </c>
      <c r="E491" s="102" t="s">
        <v>7801</v>
      </c>
      <c r="G491" s="102" t="s">
        <v>3399</v>
      </c>
      <c r="K491" s="102" t="s">
        <v>7802</v>
      </c>
      <c r="L491" s="102" t="s">
        <v>7803</v>
      </c>
      <c r="S491" s="102" t="s">
        <v>3747</v>
      </c>
      <c r="T491" s="102" t="s">
        <v>7</v>
      </c>
    </row>
    <row r="492" spans="1:20">
      <c r="A492" s="101" t="s">
        <v>3463</v>
      </c>
      <c r="B492" s="101" t="s">
        <v>3758</v>
      </c>
      <c r="C492" s="101">
        <v>1053</v>
      </c>
      <c r="D492" s="102" t="s">
        <v>7804</v>
      </c>
      <c r="E492" s="102" t="s">
        <v>4061</v>
      </c>
      <c r="G492" s="102" t="s">
        <v>3399</v>
      </c>
      <c r="K492" s="102" t="s">
        <v>7805</v>
      </c>
      <c r="S492" s="102" t="s">
        <v>3747</v>
      </c>
      <c r="T492" s="102" t="s">
        <v>7</v>
      </c>
    </row>
    <row r="493" spans="1:20">
      <c r="A493" s="101" t="s">
        <v>3463</v>
      </c>
      <c r="B493" s="101" t="s">
        <v>3758</v>
      </c>
      <c r="C493" s="101">
        <v>1054</v>
      </c>
      <c r="D493" s="102" t="s">
        <v>7806</v>
      </c>
      <c r="E493" s="102" t="s">
        <v>4061</v>
      </c>
      <c r="G493" s="102" t="s">
        <v>3399</v>
      </c>
      <c r="K493" s="102" t="s">
        <v>7807</v>
      </c>
      <c r="S493" s="102" t="s">
        <v>606</v>
      </c>
      <c r="T493" s="102" t="s">
        <v>7</v>
      </c>
    </row>
    <row r="494" spans="1:20">
      <c r="A494" s="101" t="s">
        <v>3463</v>
      </c>
      <c r="B494" s="101" t="s">
        <v>3758</v>
      </c>
      <c r="C494" s="101">
        <v>1055</v>
      </c>
      <c r="D494" s="102" t="s">
        <v>7808</v>
      </c>
      <c r="E494" s="102" t="s">
        <v>4061</v>
      </c>
      <c r="G494" s="102" t="s">
        <v>3399</v>
      </c>
      <c r="K494" s="102" t="s">
        <v>1232</v>
      </c>
      <c r="L494" s="102" t="s">
        <v>7402</v>
      </c>
      <c r="S494" s="102" t="s">
        <v>38</v>
      </c>
      <c r="T494" s="102" t="s">
        <v>7</v>
      </c>
    </row>
    <row r="495" spans="1:20">
      <c r="A495" s="101" t="s">
        <v>3463</v>
      </c>
      <c r="B495" s="101" t="s">
        <v>3758</v>
      </c>
      <c r="C495" s="101">
        <v>1056</v>
      </c>
      <c r="D495" s="102" t="s">
        <v>7809</v>
      </c>
      <c r="E495" s="102" t="s">
        <v>3139</v>
      </c>
      <c r="G495" s="102" t="s">
        <v>3399</v>
      </c>
      <c r="K495" s="102" t="s">
        <v>7810</v>
      </c>
      <c r="S495" s="102" t="s">
        <v>37</v>
      </c>
      <c r="T495" s="102" t="s">
        <v>7</v>
      </c>
    </row>
    <row r="496" spans="1:20" customFormat="1">
      <c r="A496" s="101" t="s">
        <v>3465</v>
      </c>
      <c r="B496" s="101" t="s">
        <v>3758</v>
      </c>
      <c r="C496" s="101">
        <v>2001</v>
      </c>
      <c r="D496" s="101" t="s">
        <v>8426</v>
      </c>
      <c r="E496" s="101" t="s">
        <v>7984</v>
      </c>
      <c r="F496" s="101"/>
      <c r="G496" s="102" t="s">
        <v>3399</v>
      </c>
      <c r="H496" s="102"/>
      <c r="I496" s="102"/>
      <c r="J496" s="102"/>
      <c r="K496" s="102" t="s">
        <v>8427</v>
      </c>
      <c r="L496" s="102" t="s">
        <v>8428</v>
      </c>
      <c r="M496" s="102"/>
      <c r="N496" s="102"/>
      <c r="O496" s="102"/>
      <c r="P496" s="102"/>
      <c r="Q496" s="102"/>
      <c r="R496" s="102"/>
      <c r="S496" s="102" t="s">
        <v>31</v>
      </c>
      <c r="T496" s="102" t="s">
        <v>9</v>
      </c>
    </row>
    <row r="497" spans="1:20" customFormat="1">
      <c r="A497" s="101" t="s">
        <v>3465</v>
      </c>
      <c r="B497" s="101" t="s">
        <v>3758</v>
      </c>
      <c r="C497" s="101">
        <v>2002</v>
      </c>
      <c r="D497" s="102" t="s">
        <v>8429</v>
      </c>
      <c r="E497" s="102" t="s">
        <v>845</v>
      </c>
      <c r="F497" s="102"/>
      <c r="G497" s="102" t="s">
        <v>3399</v>
      </c>
      <c r="H497" s="102"/>
      <c r="I497" s="102"/>
      <c r="J497" s="102"/>
      <c r="K497" s="102" t="s">
        <v>8430</v>
      </c>
      <c r="L497" s="102" t="s">
        <v>4243</v>
      </c>
      <c r="M497" s="102"/>
      <c r="N497" s="102"/>
      <c r="O497" s="102"/>
      <c r="P497" s="102"/>
      <c r="Q497" s="102"/>
      <c r="R497" s="102"/>
      <c r="S497" s="102" t="s">
        <v>16</v>
      </c>
      <c r="T497" s="102" t="s">
        <v>9</v>
      </c>
    </row>
    <row r="498" spans="1:20" customFormat="1">
      <c r="A498" s="101" t="s">
        <v>3465</v>
      </c>
      <c r="B498" s="101" t="s">
        <v>3758</v>
      </c>
      <c r="C498" s="101">
        <v>2003</v>
      </c>
      <c r="D498" s="102" t="s">
        <v>8431</v>
      </c>
      <c r="E498" s="102" t="s">
        <v>7094</v>
      </c>
      <c r="F498" s="102"/>
      <c r="G498" s="102" t="s">
        <v>3399</v>
      </c>
      <c r="H498" s="102"/>
      <c r="I498" s="102"/>
      <c r="J498" s="102"/>
      <c r="K498" s="102" t="s">
        <v>8432</v>
      </c>
      <c r="L498" s="102" t="s">
        <v>8433</v>
      </c>
      <c r="M498" s="102"/>
      <c r="N498" s="102"/>
      <c r="O498" s="102"/>
      <c r="P498" s="102"/>
      <c r="Q498" s="102"/>
      <c r="R498" s="102"/>
      <c r="S498" s="102" t="s">
        <v>44</v>
      </c>
      <c r="T498" s="102" t="s">
        <v>9</v>
      </c>
    </row>
    <row r="499" spans="1:20" customFormat="1">
      <c r="A499" s="101" t="s">
        <v>3465</v>
      </c>
      <c r="B499" s="101" t="s">
        <v>3758</v>
      </c>
      <c r="C499" s="101">
        <v>2004</v>
      </c>
      <c r="D499" s="102" t="s">
        <v>8434</v>
      </c>
      <c r="E499" s="102" t="s">
        <v>7196</v>
      </c>
      <c r="F499" s="102"/>
      <c r="G499" s="102" t="s">
        <v>3399</v>
      </c>
      <c r="H499" s="102"/>
      <c r="I499" s="102"/>
      <c r="J499" s="102"/>
      <c r="K499" s="102" t="s">
        <v>8435</v>
      </c>
      <c r="L499" s="102"/>
      <c r="M499" s="102"/>
      <c r="N499" s="102"/>
      <c r="O499" s="102"/>
      <c r="P499" s="102"/>
      <c r="Q499" s="102"/>
      <c r="R499" s="102"/>
      <c r="S499" s="102" t="s">
        <v>48</v>
      </c>
      <c r="T499" s="102" t="s">
        <v>9</v>
      </c>
    </row>
    <row r="500" spans="1:20" customFormat="1">
      <c r="A500" s="101" t="s">
        <v>3465</v>
      </c>
      <c r="B500" s="101" t="s">
        <v>3758</v>
      </c>
      <c r="C500" s="101">
        <v>2005</v>
      </c>
      <c r="D500" s="102" t="s">
        <v>8436</v>
      </c>
      <c r="E500" s="102" t="s">
        <v>7196</v>
      </c>
      <c r="F500" s="102"/>
      <c r="G500" s="102" t="s">
        <v>3399</v>
      </c>
      <c r="H500" s="102"/>
      <c r="I500" s="102"/>
      <c r="J500" s="102"/>
      <c r="K500" s="102" t="s">
        <v>8437</v>
      </c>
      <c r="L500" s="102"/>
      <c r="M500" s="102"/>
      <c r="N500" s="102"/>
      <c r="O500" s="102"/>
      <c r="P500" s="102"/>
      <c r="Q500" s="102"/>
      <c r="R500" s="102"/>
      <c r="S500" s="102" t="s">
        <v>173</v>
      </c>
      <c r="T500" s="102" t="s">
        <v>9</v>
      </c>
    </row>
    <row r="501" spans="1:20" customFormat="1">
      <c r="A501" s="101" t="s">
        <v>3465</v>
      </c>
      <c r="B501" s="101" t="s">
        <v>3758</v>
      </c>
      <c r="C501" s="101">
        <v>2006</v>
      </c>
      <c r="D501" s="102" t="s">
        <v>8438</v>
      </c>
      <c r="E501" s="102" t="s">
        <v>7196</v>
      </c>
      <c r="F501" s="102"/>
      <c r="G501" s="102" t="s">
        <v>3399</v>
      </c>
      <c r="H501" s="102"/>
      <c r="I501" s="102"/>
      <c r="J501" s="102"/>
      <c r="K501" s="102" t="s">
        <v>8439</v>
      </c>
      <c r="L501" s="102"/>
      <c r="M501" s="102"/>
      <c r="N501" s="102"/>
      <c r="O501" s="102"/>
      <c r="P501" s="102"/>
      <c r="Q501" s="102"/>
      <c r="R501" s="102"/>
      <c r="S501" s="102" t="s">
        <v>30</v>
      </c>
      <c r="T501" s="102" t="s">
        <v>9</v>
      </c>
    </row>
    <row r="502" spans="1:20" customFormat="1">
      <c r="A502" s="101" t="s">
        <v>3465</v>
      </c>
      <c r="B502" s="101" t="s">
        <v>3758</v>
      </c>
      <c r="C502" s="101">
        <v>2007</v>
      </c>
      <c r="D502" s="102" t="s">
        <v>8440</v>
      </c>
      <c r="E502" s="102" t="s">
        <v>7196</v>
      </c>
      <c r="F502" s="102"/>
      <c r="G502" s="102" t="s">
        <v>3399</v>
      </c>
      <c r="H502" s="102"/>
      <c r="I502" s="102"/>
      <c r="J502" s="102"/>
      <c r="K502" s="102" t="s">
        <v>8441</v>
      </c>
      <c r="L502" s="102" t="s">
        <v>8442</v>
      </c>
      <c r="M502" s="102"/>
      <c r="N502" s="102"/>
      <c r="O502" s="102"/>
      <c r="P502" s="102"/>
      <c r="Q502" s="102"/>
      <c r="R502" s="102"/>
      <c r="S502" s="102" t="s">
        <v>177</v>
      </c>
      <c r="T502" s="102" t="s">
        <v>9</v>
      </c>
    </row>
    <row r="503" spans="1:20" customFormat="1">
      <c r="A503" s="101" t="s">
        <v>3465</v>
      </c>
      <c r="B503" s="101" t="s">
        <v>3758</v>
      </c>
      <c r="C503" s="101">
        <v>2008</v>
      </c>
      <c r="D503" s="102" t="s">
        <v>8443</v>
      </c>
      <c r="E503" s="102" t="s">
        <v>7196</v>
      </c>
      <c r="F503" s="102"/>
      <c r="G503" s="102" t="s">
        <v>3399</v>
      </c>
      <c r="H503" s="102"/>
      <c r="I503" s="102"/>
      <c r="J503" s="102"/>
      <c r="K503" s="102" t="s">
        <v>8444</v>
      </c>
      <c r="L503" s="102"/>
      <c r="M503" s="102"/>
      <c r="N503" s="102"/>
      <c r="O503" s="102"/>
      <c r="P503" s="102"/>
      <c r="Q503" s="102"/>
      <c r="R503" s="102"/>
      <c r="S503" s="102" t="s">
        <v>14</v>
      </c>
      <c r="T503" s="102" t="s">
        <v>9</v>
      </c>
    </row>
    <row r="504" spans="1:20" customFormat="1">
      <c r="A504" s="101" t="s">
        <v>3465</v>
      </c>
      <c r="B504" s="101" t="s">
        <v>3758</v>
      </c>
      <c r="C504" s="101">
        <v>2009</v>
      </c>
      <c r="D504" s="102" t="s">
        <v>8445</v>
      </c>
      <c r="E504" s="102" t="s">
        <v>8446</v>
      </c>
      <c r="F504" s="102"/>
      <c r="G504" s="102" t="s">
        <v>3399</v>
      </c>
      <c r="H504" s="102"/>
      <c r="I504" s="102"/>
      <c r="J504" s="102"/>
      <c r="K504" s="102" t="s">
        <v>8447</v>
      </c>
      <c r="L504" s="102"/>
      <c r="M504" s="102"/>
      <c r="N504" s="102"/>
      <c r="O504" s="102"/>
      <c r="P504" s="102"/>
      <c r="Q504" s="102"/>
      <c r="R504" s="102"/>
      <c r="S504" s="102" t="s">
        <v>29</v>
      </c>
      <c r="T504" s="102" t="s">
        <v>9</v>
      </c>
    </row>
    <row r="505" spans="1:20" customFormat="1">
      <c r="A505" s="101" t="s">
        <v>3465</v>
      </c>
      <c r="B505" s="101" t="s">
        <v>3758</v>
      </c>
      <c r="C505" s="101">
        <v>2010</v>
      </c>
      <c r="D505" s="102" t="s">
        <v>8448</v>
      </c>
      <c r="E505" s="102" t="s">
        <v>8449</v>
      </c>
      <c r="F505" s="102"/>
      <c r="G505" s="102" t="s">
        <v>3399</v>
      </c>
      <c r="H505" s="102"/>
      <c r="I505" s="102"/>
      <c r="J505" s="102"/>
      <c r="K505" s="102" t="s">
        <v>8450</v>
      </c>
      <c r="L505" s="102"/>
      <c r="M505" s="102"/>
      <c r="N505" s="102"/>
      <c r="O505" s="102"/>
      <c r="P505" s="102"/>
      <c r="Q505" s="102"/>
      <c r="R505" s="102"/>
      <c r="S505" s="102" t="s">
        <v>5381</v>
      </c>
      <c r="T505" s="102" t="s">
        <v>9</v>
      </c>
    </row>
    <row r="506" spans="1:20" customFormat="1">
      <c r="A506" s="101" t="s">
        <v>3465</v>
      </c>
      <c r="B506" s="101" t="s">
        <v>3758</v>
      </c>
      <c r="C506" s="101">
        <v>2011</v>
      </c>
      <c r="D506" s="102" t="s">
        <v>8451</v>
      </c>
      <c r="E506" s="102" t="s">
        <v>847</v>
      </c>
      <c r="F506" s="102"/>
      <c r="G506" s="102" t="s">
        <v>3399</v>
      </c>
      <c r="H506" s="102"/>
      <c r="I506" s="102"/>
      <c r="J506" s="102"/>
      <c r="K506" s="102" t="s">
        <v>8452</v>
      </c>
      <c r="L506" s="102"/>
      <c r="M506" s="102"/>
      <c r="N506" s="102"/>
      <c r="O506" s="102"/>
      <c r="P506" s="102"/>
      <c r="Q506" s="102"/>
      <c r="R506" s="102"/>
      <c r="S506" s="102" t="s">
        <v>39</v>
      </c>
      <c r="T506" s="102" t="s">
        <v>9</v>
      </c>
    </row>
    <row r="507" spans="1:20" customFormat="1">
      <c r="A507" s="101" t="s">
        <v>3465</v>
      </c>
      <c r="B507" s="101" t="s">
        <v>3758</v>
      </c>
      <c r="C507" s="101">
        <v>2012</v>
      </c>
      <c r="D507" s="102" t="s">
        <v>8453</v>
      </c>
      <c r="E507" s="102" t="s">
        <v>848</v>
      </c>
      <c r="F507" s="102"/>
      <c r="G507" s="102" t="s">
        <v>3399</v>
      </c>
      <c r="H507" s="102"/>
      <c r="I507" s="102"/>
      <c r="J507" s="102"/>
      <c r="K507" s="102" t="s">
        <v>8454</v>
      </c>
      <c r="L507" s="102"/>
      <c r="M507" s="102"/>
      <c r="N507" s="102"/>
      <c r="O507" s="102"/>
      <c r="P507" s="102"/>
      <c r="Q507" s="102"/>
      <c r="R507" s="102"/>
      <c r="S507" s="102" t="s">
        <v>176</v>
      </c>
      <c r="T507" s="102" t="s">
        <v>9</v>
      </c>
    </row>
    <row r="508" spans="1:20" customFormat="1">
      <c r="A508" s="101" t="s">
        <v>3465</v>
      </c>
      <c r="B508" s="101" t="s">
        <v>3758</v>
      </c>
      <c r="C508" s="101">
        <v>2013</v>
      </c>
      <c r="D508" s="102" t="s">
        <v>8455</v>
      </c>
      <c r="E508" s="102" t="s">
        <v>848</v>
      </c>
      <c r="F508" s="102"/>
      <c r="G508" s="102" t="s">
        <v>3399</v>
      </c>
      <c r="H508" s="102"/>
      <c r="I508" s="102"/>
      <c r="J508" s="102"/>
      <c r="K508" s="102" t="s">
        <v>8456</v>
      </c>
      <c r="L508" s="102"/>
      <c r="M508" s="102"/>
      <c r="N508" s="102"/>
      <c r="O508" s="102"/>
      <c r="P508" s="102"/>
      <c r="Q508" s="102"/>
      <c r="R508" s="102"/>
      <c r="S508" s="102" t="s">
        <v>3747</v>
      </c>
      <c r="T508" s="102" t="s">
        <v>9</v>
      </c>
    </row>
    <row r="509" spans="1:20" customFormat="1">
      <c r="A509" s="101" t="s">
        <v>3465</v>
      </c>
      <c r="B509" s="101" t="s">
        <v>3758</v>
      </c>
      <c r="C509" s="101">
        <v>2015</v>
      </c>
      <c r="D509" s="102" t="s">
        <v>8457</v>
      </c>
      <c r="E509" s="102" t="s">
        <v>850</v>
      </c>
      <c r="F509" s="102"/>
      <c r="G509" s="102" t="s">
        <v>3399</v>
      </c>
      <c r="H509" s="102"/>
      <c r="I509" s="102"/>
      <c r="J509" s="102"/>
      <c r="K509" s="102" t="s">
        <v>8458</v>
      </c>
      <c r="L509" s="102"/>
      <c r="M509" s="102"/>
      <c r="N509" s="102"/>
      <c r="O509" s="102"/>
      <c r="P509" s="102"/>
      <c r="Q509" s="102"/>
      <c r="R509" s="102"/>
      <c r="S509" s="102" t="s">
        <v>29</v>
      </c>
      <c r="T509" s="102" t="s">
        <v>9</v>
      </c>
    </row>
    <row r="510" spans="1:20" customFormat="1">
      <c r="A510" s="101" t="s">
        <v>3465</v>
      </c>
      <c r="B510" s="101" t="s">
        <v>3758</v>
      </c>
      <c r="C510" s="101">
        <v>2016</v>
      </c>
      <c r="D510" s="102" t="s">
        <v>8459</v>
      </c>
      <c r="E510" s="102" t="s">
        <v>849</v>
      </c>
      <c r="F510" s="102"/>
      <c r="G510" s="102" t="s">
        <v>3399</v>
      </c>
      <c r="H510" s="102"/>
      <c r="I510" s="102"/>
      <c r="J510" s="102"/>
      <c r="K510" s="102" t="s">
        <v>8460</v>
      </c>
      <c r="L510" s="102" t="s">
        <v>8461</v>
      </c>
      <c r="M510" s="102"/>
      <c r="N510" s="102"/>
      <c r="O510" s="102"/>
      <c r="P510" s="102"/>
      <c r="Q510" s="102"/>
      <c r="R510" s="102"/>
      <c r="S510" s="102" t="s">
        <v>11</v>
      </c>
      <c r="T510" s="102" t="s">
        <v>9</v>
      </c>
    </row>
    <row r="511" spans="1:20" customFormat="1">
      <c r="A511" s="101" t="s">
        <v>3465</v>
      </c>
      <c r="B511" s="101" t="s">
        <v>3758</v>
      </c>
      <c r="C511" s="101">
        <v>2017</v>
      </c>
      <c r="D511" s="102" t="s">
        <v>8462</v>
      </c>
      <c r="E511" s="102" t="s">
        <v>850</v>
      </c>
      <c r="F511" s="102"/>
      <c r="G511" s="102" t="s">
        <v>3399</v>
      </c>
      <c r="H511" s="102"/>
      <c r="I511" s="102"/>
      <c r="J511" s="102"/>
      <c r="K511" s="102" t="s">
        <v>8463</v>
      </c>
      <c r="L511" s="102" t="s">
        <v>8464</v>
      </c>
      <c r="M511" s="102"/>
      <c r="N511" s="102"/>
      <c r="O511" s="102"/>
      <c r="P511" s="102"/>
      <c r="Q511" s="102"/>
      <c r="R511" s="102"/>
      <c r="S511" s="102" t="s">
        <v>46</v>
      </c>
      <c r="T511" s="102" t="s">
        <v>9</v>
      </c>
    </row>
    <row r="512" spans="1:20" customFormat="1">
      <c r="A512" s="101" t="s">
        <v>3465</v>
      </c>
      <c r="B512" s="101" t="s">
        <v>3758</v>
      </c>
      <c r="C512" s="101">
        <v>2018</v>
      </c>
      <c r="D512" s="102" t="s">
        <v>8465</v>
      </c>
      <c r="E512" s="102" t="s">
        <v>849</v>
      </c>
      <c r="F512" s="102"/>
      <c r="G512" s="102" t="s">
        <v>3399</v>
      </c>
      <c r="H512" s="102"/>
      <c r="I512" s="102"/>
      <c r="J512" s="102"/>
      <c r="K512" s="102" t="s">
        <v>8466</v>
      </c>
      <c r="L512" s="102"/>
      <c r="M512" s="102"/>
      <c r="N512" s="102"/>
      <c r="O512" s="102"/>
      <c r="P512" s="102"/>
      <c r="Q512" s="102"/>
      <c r="R512" s="102"/>
      <c r="S512" s="102" t="s">
        <v>604</v>
      </c>
      <c r="T512" s="102" t="s">
        <v>9</v>
      </c>
    </row>
    <row r="513" spans="1:20" customFormat="1">
      <c r="A513" s="101" t="s">
        <v>3465</v>
      </c>
      <c r="B513" s="101" t="s">
        <v>3758</v>
      </c>
      <c r="C513" s="101">
        <v>2019</v>
      </c>
      <c r="D513" s="102" t="s">
        <v>8467</v>
      </c>
      <c r="E513" s="102" t="s">
        <v>850</v>
      </c>
      <c r="F513" s="102"/>
      <c r="G513" s="102" t="s">
        <v>3399</v>
      </c>
      <c r="H513" s="102"/>
      <c r="I513" s="102"/>
      <c r="J513" s="102"/>
      <c r="K513" s="102" t="s">
        <v>8468</v>
      </c>
      <c r="L513" s="102"/>
      <c r="M513" s="102"/>
      <c r="N513" s="102"/>
      <c r="O513" s="102"/>
      <c r="P513" s="102"/>
      <c r="Q513" s="102"/>
      <c r="R513" s="102"/>
      <c r="S513" s="102" t="s">
        <v>40</v>
      </c>
      <c r="T513" s="102" t="s">
        <v>9</v>
      </c>
    </row>
    <row r="514" spans="1:20" customFormat="1">
      <c r="A514" s="101" t="s">
        <v>3465</v>
      </c>
      <c r="B514" s="101" t="s">
        <v>3758</v>
      </c>
      <c r="C514" s="101">
        <v>2020</v>
      </c>
      <c r="D514" s="102" t="s">
        <v>8469</v>
      </c>
      <c r="E514" s="102" t="s">
        <v>850</v>
      </c>
      <c r="F514" s="102"/>
      <c r="G514" s="102" t="s">
        <v>3399</v>
      </c>
      <c r="H514" s="102"/>
      <c r="I514" s="102"/>
      <c r="J514" s="102"/>
      <c r="K514" s="102" t="s">
        <v>8470</v>
      </c>
      <c r="L514" s="102"/>
      <c r="M514" s="102"/>
      <c r="N514" s="102"/>
      <c r="O514" s="102"/>
      <c r="P514" s="102"/>
      <c r="Q514" s="102"/>
      <c r="R514" s="102"/>
      <c r="S514" s="102" t="s">
        <v>176</v>
      </c>
      <c r="T514" s="102" t="s">
        <v>9</v>
      </c>
    </row>
    <row r="515" spans="1:20" customFormat="1">
      <c r="A515" s="101" t="s">
        <v>3465</v>
      </c>
      <c r="B515" s="101" t="s">
        <v>3758</v>
      </c>
      <c r="C515" s="101">
        <v>2021</v>
      </c>
      <c r="D515" s="102" t="s">
        <v>8471</v>
      </c>
      <c r="E515" s="102" t="s">
        <v>850</v>
      </c>
      <c r="F515" s="102"/>
      <c r="G515" s="102" t="s">
        <v>3399</v>
      </c>
      <c r="H515" s="102"/>
      <c r="I515" s="102"/>
      <c r="J515" s="102"/>
      <c r="K515" s="102" t="s">
        <v>8472</v>
      </c>
      <c r="L515" s="102" t="s">
        <v>8473</v>
      </c>
      <c r="M515" s="102"/>
      <c r="N515" s="102"/>
      <c r="O515" s="102"/>
      <c r="P515" s="102"/>
      <c r="Q515" s="102"/>
      <c r="R515" s="102"/>
      <c r="S515" s="102" t="s">
        <v>48</v>
      </c>
      <c r="T515" s="102" t="s">
        <v>9</v>
      </c>
    </row>
    <row r="516" spans="1:20" customFormat="1">
      <c r="A516" s="103" t="s">
        <v>3465</v>
      </c>
      <c r="B516" s="103" t="s">
        <v>3758</v>
      </c>
      <c r="C516" s="103">
        <v>2024</v>
      </c>
      <c r="D516" s="104" t="s">
        <v>8474</v>
      </c>
      <c r="E516" s="104" t="s">
        <v>849</v>
      </c>
      <c r="F516" s="104"/>
      <c r="G516" s="104" t="s">
        <v>3399</v>
      </c>
      <c r="H516" s="104"/>
      <c r="I516" s="104"/>
      <c r="J516" s="104"/>
      <c r="K516" s="104" t="s">
        <v>8475</v>
      </c>
      <c r="L516" s="104"/>
      <c r="M516" s="104"/>
      <c r="N516" s="104"/>
      <c r="O516" s="104"/>
      <c r="P516" s="104"/>
      <c r="Q516" s="104"/>
      <c r="R516" s="102"/>
      <c r="S516" s="102" t="s">
        <v>5685</v>
      </c>
      <c r="T516" s="102" t="s">
        <v>9</v>
      </c>
    </row>
    <row r="517" spans="1:20" customFormat="1">
      <c r="A517" s="101" t="s">
        <v>3465</v>
      </c>
      <c r="B517" s="101" t="s">
        <v>3758</v>
      </c>
      <c r="C517" s="101">
        <v>2025</v>
      </c>
      <c r="D517" s="102" t="s">
        <v>8476</v>
      </c>
      <c r="E517" s="102" t="s">
        <v>850</v>
      </c>
      <c r="F517" s="102"/>
      <c r="G517" s="102" t="s">
        <v>3399</v>
      </c>
      <c r="H517" s="102"/>
      <c r="I517" s="102"/>
      <c r="J517" s="102"/>
      <c r="K517" s="102" t="s">
        <v>8477</v>
      </c>
      <c r="L517" s="102" t="s">
        <v>8478</v>
      </c>
      <c r="M517" s="102"/>
      <c r="N517" s="102"/>
      <c r="O517" s="102"/>
      <c r="P517" s="102"/>
      <c r="Q517" s="102"/>
      <c r="R517" s="102"/>
      <c r="S517" s="102" t="s">
        <v>607</v>
      </c>
      <c r="T517" s="102" t="s">
        <v>9</v>
      </c>
    </row>
    <row r="518" spans="1:20" customFormat="1">
      <c r="A518" s="101" t="s">
        <v>3465</v>
      </c>
      <c r="B518" s="101" t="s">
        <v>3758</v>
      </c>
      <c r="C518" s="101">
        <v>2026</v>
      </c>
      <c r="D518" s="102" t="s">
        <v>8479</v>
      </c>
      <c r="E518" s="102" t="s">
        <v>849</v>
      </c>
      <c r="F518" s="102"/>
      <c r="G518" s="102" t="s">
        <v>3399</v>
      </c>
      <c r="H518" s="102"/>
      <c r="I518" s="102"/>
      <c r="J518" s="102"/>
      <c r="K518" s="102" t="s">
        <v>8480</v>
      </c>
      <c r="L518" s="102"/>
      <c r="M518" s="102"/>
      <c r="N518" s="102"/>
      <c r="O518" s="102"/>
      <c r="P518" s="102"/>
      <c r="Q518" s="102"/>
      <c r="R518" s="102"/>
      <c r="S518" s="102" t="s">
        <v>173</v>
      </c>
      <c r="T518" s="102" t="s">
        <v>9</v>
      </c>
    </row>
    <row r="519" spans="1:20" customFormat="1">
      <c r="A519" s="101" t="s">
        <v>3465</v>
      </c>
      <c r="B519" s="101" t="s">
        <v>3758</v>
      </c>
      <c r="C519" s="101">
        <v>2027</v>
      </c>
      <c r="D519" s="102" t="s">
        <v>8481</v>
      </c>
      <c r="E519" s="102" t="s">
        <v>849</v>
      </c>
      <c r="F519" s="102"/>
      <c r="G519" s="102" t="s">
        <v>3399</v>
      </c>
      <c r="H519" s="102"/>
      <c r="I519" s="102"/>
      <c r="J519" s="102"/>
      <c r="K519" s="102" t="s">
        <v>8482</v>
      </c>
      <c r="L519" s="102"/>
      <c r="M519" s="102"/>
      <c r="N519" s="102"/>
      <c r="O519" s="102"/>
      <c r="P519" s="102"/>
      <c r="Q519" s="102"/>
      <c r="R519" s="102"/>
      <c r="S519" s="102" t="s">
        <v>50</v>
      </c>
      <c r="T519" s="102" t="s">
        <v>9</v>
      </c>
    </row>
    <row r="520" spans="1:20" customFormat="1">
      <c r="A520" s="101" t="s">
        <v>3465</v>
      </c>
      <c r="B520" s="101" t="s">
        <v>3758</v>
      </c>
      <c r="C520" s="101">
        <v>2028</v>
      </c>
      <c r="D520" s="102" t="s">
        <v>8483</v>
      </c>
      <c r="E520" s="102" t="s">
        <v>849</v>
      </c>
      <c r="F520" s="102"/>
      <c r="G520" s="102" t="s">
        <v>3447</v>
      </c>
      <c r="H520" s="102" t="s">
        <v>3071</v>
      </c>
      <c r="I520" s="102"/>
      <c r="J520" s="102"/>
      <c r="K520" s="102" t="s">
        <v>3128</v>
      </c>
      <c r="L520" s="102" t="s">
        <v>3129</v>
      </c>
      <c r="M520" s="102"/>
      <c r="N520" s="102"/>
      <c r="O520" s="102"/>
      <c r="P520" s="102"/>
      <c r="Q520" s="102"/>
      <c r="R520" s="102"/>
      <c r="S520" s="102" t="s">
        <v>3119</v>
      </c>
      <c r="T520" s="102" t="s">
        <v>9</v>
      </c>
    </row>
    <row r="521" spans="1:20" customFormat="1">
      <c r="A521" s="101" t="s">
        <v>3465</v>
      </c>
      <c r="B521" s="101" t="s">
        <v>3758</v>
      </c>
      <c r="C521" s="101">
        <v>2029</v>
      </c>
      <c r="D521" s="102" t="s">
        <v>8484</v>
      </c>
      <c r="E521" s="102" t="s">
        <v>849</v>
      </c>
      <c r="F521" s="102"/>
      <c r="G521" s="102" t="s">
        <v>3399</v>
      </c>
      <c r="H521" s="102"/>
      <c r="I521" s="102"/>
      <c r="J521" s="102"/>
      <c r="K521" s="102" t="s">
        <v>8485</v>
      </c>
      <c r="L521" s="102"/>
      <c r="M521" s="102"/>
      <c r="N521" s="102"/>
      <c r="O521" s="102"/>
      <c r="P521" s="102"/>
      <c r="Q521" s="102"/>
      <c r="R521" s="102"/>
      <c r="S521" s="102" t="s">
        <v>52</v>
      </c>
      <c r="T521" s="102" t="s">
        <v>9</v>
      </c>
    </row>
    <row r="522" spans="1:20" customFormat="1">
      <c r="A522" s="101" t="s">
        <v>3465</v>
      </c>
      <c r="B522" s="101" t="s">
        <v>3758</v>
      </c>
      <c r="C522" s="101">
        <v>2030</v>
      </c>
      <c r="D522" s="102" t="s">
        <v>8486</v>
      </c>
      <c r="E522" s="102" t="s">
        <v>852</v>
      </c>
      <c r="F522" s="102"/>
      <c r="G522" s="102" t="s">
        <v>3399</v>
      </c>
      <c r="H522" s="102"/>
      <c r="I522" s="102"/>
      <c r="J522" s="102"/>
      <c r="K522" s="102" t="s">
        <v>8487</v>
      </c>
      <c r="L522" s="102"/>
      <c r="M522" s="102"/>
      <c r="N522" s="102"/>
      <c r="O522" s="102"/>
      <c r="P522" s="102"/>
      <c r="Q522" s="102"/>
      <c r="R522" s="102"/>
      <c r="S522" s="102" t="s">
        <v>183</v>
      </c>
      <c r="T522" s="102" t="s">
        <v>9</v>
      </c>
    </row>
    <row r="523" spans="1:20" customFormat="1">
      <c r="A523" s="101" t="s">
        <v>3465</v>
      </c>
      <c r="B523" s="101" t="s">
        <v>3758</v>
      </c>
      <c r="C523" s="101">
        <v>2031</v>
      </c>
      <c r="D523" s="102" t="s">
        <v>8488</v>
      </c>
      <c r="E523" s="102" t="s">
        <v>852</v>
      </c>
      <c r="F523" s="102"/>
      <c r="G523" s="102" t="s">
        <v>3399</v>
      </c>
      <c r="H523" s="102"/>
      <c r="I523" s="102"/>
      <c r="J523" s="102"/>
      <c r="K523" s="102" t="s">
        <v>8489</v>
      </c>
      <c r="L523" s="102"/>
      <c r="M523" s="102"/>
      <c r="N523" s="102"/>
      <c r="O523" s="102"/>
      <c r="P523" s="102"/>
      <c r="Q523" s="102"/>
      <c r="R523" s="102"/>
      <c r="S523" s="102" t="s">
        <v>18</v>
      </c>
      <c r="T523" s="102" t="s">
        <v>9</v>
      </c>
    </row>
    <row r="524" spans="1:20" customFormat="1">
      <c r="A524" s="101" t="s">
        <v>3465</v>
      </c>
      <c r="B524" s="101" t="s">
        <v>3758</v>
      </c>
      <c r="C524" s="101">
        <v>2032</v>
      </c>
      <c r="D524" s="102" t="s">
        <v>8490</v>
      </c>
      <c r="E524" s="102" t="s">
        <v>852</v>
      </c>
      <c r="F524" s="102"/>
      <c r="G524" s="102" t="s">
        <v>3399</v>
      </c>
      <c r="H524" s="102"/>
      <c r="I524" s="102"/>
      <c r="J524" s="102"/>
      <c r="K524" s="102" t="s">
        <v>8491</v>
      </c>
      <c r="L524" s="102"/>
      <c r="M524" s="102"/>
      <c r="N524" s="102"/>
      <c r="O524" s="102"/>
      <c r="P524" s="102"/>
      <c r="Q524" s="102"/>
      <c r="R524" s="102"/>
      <c r="S524" s="102" t="s">
        <v>182</v>
      </c>
      <c r="T524" s="102" t="s">
        <v>9</v>
      </c>
    </row>
    <row r="525" spans="1:20" customFormat="1">
      <c r="A525" s="101" t="s">
        <v>3465</v>
      </c>
      <c r="B525" s="101" t="s">
        <v>3758</v>
      </c>
      <c r="C525" s="101">
        <v>2034</v>
      </c>
      <c r="D525" s="102" t="s">
        <v>8492</v>
      </c>
      <c r="E525" s="102" t="s">
        <v>852</v>
      </c>
      <c r="F525" s="102"/>
      <c r="G525" s="102" t="s">
        <v>3399</v>
      </c>
      <c r="H525" s="102"/>
      <c r="I525" s="102"/>
      <c r="J525" s="102"/>
      <c r="K525" s="102" t="s">
        <v>8493</v>
      </c>
      <c r="L525" s="102"/>
      <c r="M525" s="102"/>
      <c r="N525" s="102"/>
      <c r="O525" s="102"/>
      <c r="P525" s="102"/>
      <c r="Q525" s="102"/>
      <c r="R525" s="102"/>
      <c r="S525" s="102" t="s">
        <v>180</v>
      </c>
      <c r="T525" s="102" t="s">
        <v>9</v>
      </c>
    </row>
    <row r="526" spans="1:20" customFormat="1">
      <c r="A526" s="101" t="s">
        <v>3465</v>
      </c>
      <c r="B526" s="101" t="s">
        <v>3758</v>
      </c>
      <c r="C526" s="101">
        <v>2035</v>
      </c>
      <c r="D526" s="102" t="s">
        <v>8494</v>
      </c>
      <c r="E526" s="102" t="s">
        <v>852</v>
      </c>
      <c r="F526" s="102"/>
      <c r="G526" s="102" t="s">
        <v>3399</v>
      </c>
      <c r="H526" s="102"/>
      <c r="I526" s="102"/>
      <c r="J526" s="102"/>
      <c r="K526" s="102" t="s">
        <v>8495</v>
      </c>
      <c r="L526" s="102" t="s">
        <v>8496</v>
      </c>
      <c r="M526" s="102"/>
      <c r="N526" s="102"/>
      <c r="O526" s="102"/>
      <c r="P526" s="102"/>
      <c r="Q526" s="102"/>
      <c r="R526" s="102"/>
      <c r="S526" s="102" t="s">
        <v>52</v>
      </c>
      <c r="T526" s="102" t="s">
        <v>9</v>
      </c>
    </row>
    <row r="527" spans="1:20" customFormat="1">
      <c r="A527" s="101" t="s">
        <v>3465</v>
      </c>
      <c r="B527" s="101" t="s">
        <v>3758</v>
      </c>
      <c r="C527" s="101">
        <v>2036</v>
      </c>
      <c r="D527" s="102" t="s">
        <v>8497</v>
      </c>
      <c r="E527" s="102" t="s">
        <v>852</v>
      </c>
      <c r="F527" s="102"/>
      <c r="G527" s="102" t="s">
        <v>3399</v>
      </c>
      <c r="H527" s="102"/>
      <c r="I527" s="102"/>
      <c r="J527" s="102"/>
      <c r="K527" s="102" t="s">
        <v>8498</v>
      </c>
      <c r="L527" s="102"/>
      <c r="M527" s="102"/>
      <c r="N527" s="102"/>
      <c r="O527" s="102"/>
      <c r="P527" s="102"/>
      <c r="Q527" s="102"/>
      <c r="R527" s="102"/>
      <c r="S527" s="102" t="s">
        <v>28</v>
      </c>
      <c r="T527" s="102" t="s">
        <v>9</v>
      </c>
    </row>
    <row r="528" spans="1:20" customFormat="1">
      <c r="A528" s="101" t="s">
        <v>3465</v>
      </c>
      <c r="B528" s="101" t="s">
        <v>3758</v>
      </c>
      <c r="C528" s="101">
        <v>2037</v>
      </c>
      <c r="D528" s="102" t="s">
        <v>8499</v>
      </c>
      <c r="E528" s="102" t="s">
        <v>851</v>
      </c>
      <c r="F528" s="102"/>
      <c r="G528" s="102" t="s">
        <v>3399</v>
      </c>
      <c r="H528" s="102"/>
      <c r="I528" s="102"/>
      <c r="J528" s="102"/>
      <c r="K528" s="102" t="s">
        <v>8500</v>
      </c>
      <c r="L528" s="102"/>
      <c r="M528" s="102"/>
      <c r="N528" s="102"/>
      <c r="O528" s="102"/>
      <c r="P528" s="102"/>
      <c r="Q528" s="102"/>
      <c r="R528" s="102"/>
      <c r="S528" s="102" t="s">
        <v>15</v>
      </c>
      <c r="T528" s="102" t="s">
        <v>9</v>
      </c>
    </row>
    <row r="529" spans="1:20" customFormat="1">
      <c r="A529" s="101" t="s">
        <v>3465</v>
      </c>
      <c r="B529" s="101" t="s">
        <v>3758</v>
      </c>
      <c r="C529" s="101">
        <v>2038</v>
      </c>
      <c r="D529" s="102" t="s">
        <v>8501</v>
      </c>
      <c r="E529" s="102" t="s">
        <v>852</v>
      </c>
      <c r="F529" s="102"/>
      <c r="G529" s="102" t="s">
        <v>3399</v>
      </c>
      <c r="H529" s="102"/>
      <c r="I529" s="102"/>
      <c r="J529" s="102"/>
      <c r="K529" s="102" t="s">
        <v>8502</v>
      </c>
      <c r="L529" s="102"/>
      <c r="M529" s="102"/>
      <c r="N529" s="102"/>
      <c r="O529" s="102"/>
      <c r="P529" s="102"/>
      <c r="Q529" s="102"/>
      <c r="R529" s="102"/>
      <c r="S529" s="102" t="s">
        <v>26</v>
      </c>
      <c r="T529" s="102" t="s">
        <v>9</v>
      </c>
    </row>
    <row r="530" spans="1:20" customFormat="1">
      <c r="A530" s="101" t="s">
        <v>3465</v>
      </c>
      <c r="B530" s="101" t="s">
        <v>3758</v>
      </c>
      <c r="C530" s="101">
        <v>2040</v>
      </c>
      <c r="D530" s="102" t="s">
        <v>8503</v>
      </c>
      <c r="E530" s="102" t="s">
        <v>852</v>
      </c>
      <c r="F530" s="102"/>
      <c r="G530" s="102" t="s">
        <v>3399</v>
      </c>
      <c r="H530" s="102"/>
      <c r="I530" s="102"/>
      <c r="J530" s="102"/>
      <c r="K530" s="102" t="s">
        <v>8504</v>
      </c>
      <c r="L530" s="102"/>
      <c r="M530" s="102"/>
      <c r="N530" s="102"/>
      <c r="O530" s="102"/>
      <c r="P530" s="102"/>
      <c r="Q530" s="102"/>
      <c r="R530" s="102"/>
      <c r="S530" s="102" t="s">
        <v>5281</v>
      </c>
      <c r="T530" s="102" t="s">
        <v>9</v>
      </c>
    </row>
    <row r="531" spans="1:20" customFormat="1">
      <c r="A531" s="101" t="s">
        <v>3465</v>
      </c>
      <c r="B531" s="101" t="s">
        <v>3758</v>
      </c>
      <c r="C531" s="101">
        <v>2041</v>
      </c>
      <c r="D531" s="102" t="s">
        <v>8505</v>
      </c>
      <c r="E531" s="102" t="s">
        <v>851</v>
      </c>
      <c r="F531" s="102"/>
      <c r="G531" s="102" t="s">
        <v>3399</v>
      </c>
      <c r="H531" s="102"/>
      <c r="I531" s="102"/>
      <c r="J531" s="102"/>
      <c r="K531" s="102" t="s">
        <v>8506</v>
      </c>
      <c r="L531" s="102"/>
      <c r="M531" s="102"/>
      <c r="N531" s="102"/>
      <c r="O531" s="102"/>
      <c r="P531" s="102"/>
      <c r="Q531" s="102"/>
      <c r="R531" s="102"/>
      <c r="S531" s="102" t="s">
        <v>28</v>
      </c>
      <c r="T531" s="102" t="s">
        <v>9</v>
      </c>
    </row>
    <row r="532" spans="1:20" customFormat="1">
      <c r="A532" s="101" t="s">
        <v>3465</v>
      </c>
      <c r="B532" s="101" t="s">
        <v>3758</v>
      </c>
      <c r="C532" s="101">
        <v>2042</v>
      </c>
      <c r="D532" s="102" t="s">
        <v>8507</v>
      </c>
      <c r="E532" s="102" t="s">
        <v>852</v>
      </c>
      <c r="F532" s="102"/>
      <c r="G532" s="102" t="s">
        <v>3399</v>
      </c>
      <c r="H532" s="102"/>
      <c r="I532" s="102"/>
      <c r="J532" s="102"/>
      <c r="K532" s="102" t="s">
        <v>8508</v>
      </c>
      <c r="L532" s="102"/>
      <c r="M532" s="102"/>
      <c r="N532" s="102"/>
      <c r="O532" s="102"/>
      <c r="P532" s="102"/>
      <c r="Q532" s="102"/>
      <c r="R532" s="102"/>
      <c r="S532" s="102" t="s">
        <v>605</v>
      </c>
      <c r="T532" s="102" t="s">
        <v>9</v>
      </c>
    </row>
    <row r="533" spans="1:20" customFormat="1">
      <c r="A533" s="101" t="s">
        <v>3465</v>
      </c>
      <c r="B533" s="101" t="s">
        <v>3758</v>
      </c>
      <c r="C533" s="101">
        <v>2043</v>
      </c>
      <c r="D533" s="102" t="s">
        <v>8509</v>
      </c>
      <c r="E533" s="102" t="s">
        <v>851</v>
      </c>
      <c r="F533" s="102"/>
      <c r="G533" s="102" t="s">
        <v>3399</v>
      </c>
      <c r="H533" s="102"/>
      <c r="I533" s="102"/>
      <c r="J533" s="102"/>
      <c r="K533" s="102" t="s">
        <v>7528</v>
      </c>
      <c r="L533" s="102" t="s">
        <v>8510</v>
      </c>
      <c r="M533" s="102"/>
      <c r="N533" s="102"/>
      <c r="O533" s="102"/>
      <c r="P533" s="102"/>
      <c r="Q533" s="102"/>
      <c r="R533" s="102"/>
      <c r="S533" s="102" t="s">
        <v>30</v>
      </c>
      <c r="T533" s="102" t="s">
        <v>9</v>
      </c>
    </row>
    <row r="534" spans="1:20" customFormat="1">
      <c r="A534" s="101" t="s">
        <v>3465</v>
      </c>
      <c r="B534" s="101" t="s">
        <v>3758</v>
      </c>
      <c r="C534" s="101">
        <v>2044</v>
      </c>
      <c r="D534" s="102" t="s">
        <v>8511</v>
      </c>
      <c r="E534" s="102" t="s">
        <v>852</v>
      </c>
      <c r="F534" s="102"/>
      <c r="G534" s="102" t="s">
        <v>3399</v>
      </c>
      <c r="H534" s="102"/>
      <c r="I534" s="102"/>
      <c r="J534" s="102"/>
      <c r="K534" s="102" t="s">
        <v>8512</v>
      </c>
      <c r="L534" s="102" t="s">
        <v>8513</v>
      </c>
      <c r="M534" s="102"/>
      <c r="N534" s="102"/>
      <c r="O534" s="102"/>
      <c r="P534" s="102"/>
      <c r="Q534" s="102"/>
      <c r="R534" s="102"/>
      <c r="S534" s="102" t="s">
        <v>35</v>
      </c>
      <c r="T534" s="102" t="s">
        <v>9</v>
      </c>
    </row>
    <row r="535" spans="1:20" customFormat="1">
      <c r="A535" s="101" t="s">
        <v>3465</v>
      </c>
      <c r="B535" s="101" t="s">
        <v>3758</v>
      </c>
      <c r="C535" s="101">
        <v>2045</v>
      </c>
      <c r="D535" s="102" t="s">
        <v>8514</v>
      </c>
      <c r="E535" s="102" t="s">
        <v>852</v>
      </c>
      <c r="F535" s="102"/>
      <c r="G535" s="102" t="s">
        <v>3399</v>
      </c>
      <c r="H535" s="102"/>
      <c r="I535" s="102"/>
      <c r="J535" s="102"/>
      <c r="K535" s="102" t="s">
        <v>8515</v>
      </c>
      <c r="L535" s="102"/>
      <c r="M535" s="102"/>
      <c r="N535" s="102"/>
      <c r="O535" s="102"/>
      <c r="P535" s="102"/>
      <c r="Q535" s="102"/>
      <c r="R535" s="102"/>
      <c r="S535" s="102" t="s">
        <v>182</v>
      </c>
      <c r="T535" s="102" t="s">
        <v>9</v>
      </c>
    </row>
    <row r="536" spans="1:20" customFormat="1">
      <c r="A536" s="101" t="s">
        <v>3465</v>
      </c>
      <c r="B536" s="101" t="s">
        <v>3758</v>
      </c>
      <c r="C536" s="101">
        <v>2046</v>
      </c>
      <c r="D536" s="102" t="s">
        <v>8516</v>
      </c>
      <c r="E536" s="102" t="s">
        <v>944</v>
      </c>
      <c r="F536" s="102"/>
      <c r="G536" s="102" t="s">
        <v>3399</v>
      </c>
      <c r="H536" s="102"/>
      <c r="I536" s="102"/>
      <c r="J536" s="102"/>
      <c r="K536" s="102" t="s">
        <v>4277</v>
      </c>
      <c r="L536" s="102" t="s">
        <v>8517</v>
      </c>
      <c r="M536" s="102" t="s">
        <v>8518</v>
      </c>
      <c r="N536" s="102"/>
      <c r="O536" s="102"/>
      <c r="P536" s="102"/>
      <c r="Q536" s="102"/>
      <c r="R536" s="102"/>
      <c r="S536" s="102" t="s">
        <v>26</v>
      </c>
      <c r="T536" s="102" t="s">
        <v>9</v>
      </c>
    </row>
    <row r="537" spans="1:20" customFormat="1">
      <c r="A537" s="101" t="s">
        <v>3465</v>
      </c>
      <c r="B537" s="101" t="s">
        <v>3758</v>
      </c>
      <c r="C537" s="101">
        <v>2047</v>
      </c>
      <c r="D537" s="102" t="s">
        <v>8519</v>
      </c>
      <c r="E537" s="102" t="s">
        <v>944</v>
      </c>
      <c r="F537" s="102"/>
      <c r="G537" s="102" t="s">
        <v>3399</v>
      </c>
      <c r="H537" s="102"/>
      <c r="I537" s="102"/>
      <c r="J537" s="102"/>
      <c r="K537" s="102" t="s">
        <v>8520</v>
      </c>
      <c r="L537" s="102"/>
      <c r="M537" s="102"/>
      <c r="N537" s="102"/>
      <c r="O537" s="102"/>
      <c r="P537" s="102"/>
      <c r="Q537" s="102"/>
      <c r="R537" s="102"/>
      <c r="S537" s="102" t="s">
        <v>30</v>
      </c>
      <c r="T537" s="102" t="s">
        <v>9</v>
      </c>
    </row>
    <row r="538" spans="1:20" customFormat="1">
      <c r="A538" s="101" t="s">
        <v>3465</v>
      </c>
      <c r="B538" s="101" t="s">
        <v>3758</v>
      </c>
      <c r="C538" s="101">
        <v>2048</v>
      </c>
      <c r="D538" s="102" t="s">
        <v>8521</v>
      </c>
      <c r="E538" s="102" t="s">
        <v>4061</v>
      </c>
      <c r="F538" s="102"/>
      <c r="G538" s="102" t="s">
        <v>3399</v>
      </c>
      <c r="H538" s="102"/>
      <c r="I538" s="102"/>
      <c r="J538" s="102"/>
      <c r="K538" s="102" t="s">
        <v>8522</v>
      </c>
      <c r="L538" s="102" t="s">
        <v>8523</v>
      </c>
      <c r="M538" s="102"/>
      <c r="N538" s="102"/>
      <c r="O538" s="102"/>
      <c r="P538" s="102"/>
      <c r="Q538" s="102"/>
      <c r="R538" s="102"/>
      <c r="S538" s="102" t="s">
        <v>10</v>
      </c>
      <c r="T538" s="102" t="s">
        <v>9</v>
      </c>
    </row>
    <row r="539" spans="1:20" customFormat="1">
      <c r="A539" s="101" t="s">
        <v>3465</v>
      </c>
      <c r="B539" s="101" t="s">
        <v>3758</v>
      </c>
      <c r="C539" s="101">
        <v>2049</v>
      </c>
      <c r="D539" s="102" t="s">
        <v>8524</v>
      </c>
      <c r="E539" s="102" t="s">
        <v>4061</v>
      </c>
      <c r="F539" s="102"/>
      <c r="G539" s="102" t="s">
        <v>3399</v>
      </c>
      <c r="H539" s="102"/>
      <c r="I539" s="102"/>
      <c r="J539" s="102"/>
      <c r="K539" s="102" t="s">
        <v>8525</v>
      </c>
      <c r="L539" s="102"/>
      <c r="M539" s="102"/>
      <c r="N539" s="102"/>
      <c r="O539" s="102"/>
      <c r="P539" s="102"/>
      <c r="Q539" s="102"/>
      <c r="R539" s="102"/>
      <c r="S539" s="102" t="s">
        <v>178</v>
      </c>
      <c r="T539" s="102" t="s">
        <v>9</v>
      </c>
    </row>
    <row r="540" spans="1:20" customFormat="1">
      <c r="A540" s="101" t="s">
        <v>3465</v>
      </c>
      <c r="B540" s="101" t="s">
        <v>3758</v>
      </c>
      <c r="C540" s="101">
        <v>2051</v>
      </c>
      <c r="D540" s="102" t="s">
        <v>8526</v>
      </c>
      <c r="E540" s="102" t="s">
        <v>944</v>
      </c>
      <c r="F540" s="102"/>
      <c r="G540" s="102" t="s">
        <v>3399</v>
      </c>
      <c r="H540" s="102"/>
      <c r="I540" s="102"/>
      <c r="J540" s="102"/>
      <c r="K540" s="102" t="s">
        <v>8527</v>
      </c>
      <c r="L540" s="102" t="s">
        <v>4243</v>
      </c>
      <c r="M540" s="102"/>
      <c r="N540" s="102"/>
      <c r="O540" s="102"/>
      <c r="P540" s="102"/>
      <c r="Q540" s="102"/>
      <c r="R540" s="102"/>
      <c r="S540" s="102" t="s">
        <v>5</v>
      </c>
      <c r="T540" s="102" t="s">
        <v>9</v>
      </c>
    </row>
    <row r="541" spans="1:20" customFormat="1">
      <c r="A541" s="101" t="s">
        <v>3465</v>
      </c>
      <c r="B541" s="101" t="s">
        <v>3758</v>
      </c>
      <c r="C541" s="101">
        <v>2052</v>
      </c>
      <c r="D541" s="102" t="s">
        <v>8528</v>
      </c>
      <c r="E541" s="102" t="s">
        <v>944</v>
      </c>
      <c r="F541" s="102"/>
      <c r="G541" s="102" t="s">
        <v>3399</v>
      </c>
      <c r="H541" s="102"/>
      <c r="I541" s="102"/>
      <c r="J541" s="102"/>
      <c r="K541" s="102" t="s">
        <v>8529</v>
      </c>
      <c r="L541" s="102" t="s">
        <v>5208</v>
      </c>
      <c r="M541" s="102"/>
      <c r="N541" s="102"/>
      <c r="O541" s="102"/>
      <c r="P541" s="102"/>
      <c r="Q541" s="102"/>
      <c r="R541" s="102"/>
      <c r="S541" s="102" t="s">
        <v>170</v>
      </c>
      <c r="T541" s="102" t="s">
        <v>9</v>
      </c>
    </row>
    <row r="542" spans="1:20" customFormat="1">
      <c r="A542" s="101" t="s">
        <v>3465</v>
      </c>
      <c r="B542" s="101" t="s">
        <v>3758</v>
      </c>
      <c r="C542" s="101">
        <v>2053</v>
      </c>
      <c r="D542" s="102" t="s">
        <v>8530</v>
      </c>
      <c r="E542" s="102" t="s">
        <v>7979</v>
      </c>
      <c r="F542" s="102"/>
      <c r="G542" s="102" t="s">
        <v>3399</v>
      </c>
      <c r="H542" s="102"/>
      <c r="I542" s="102"/>
      <c r="J542" s="102"/>
      <c r="K542" s="102" t="s">
        <v>8531</v>
      </c>
      <c r="L542" s="102"/>
      <c r="M542" s="102"/>
      <c r="N542" s="102"/>
      <c r="O542" s="102"/>
      <c r="P542" s="102"/>
      <c r="Q542" s="102"/>
      <c r="R542" s="102"/>
      <c r="S542" s="102" t="s">
        <v>5381</v>
      </c>
      <c r="T542" s="102" t="s">
        <v>9</v>
      </c>
    </row>
    <row r="543" spans="1:20" customFormat="1">
      <c r="A543" s="101" t="s">
        <v>3465</v>
      </c>
      <c r="B543" s="101" t="s">
        <v>3758</v>
      </c>
      <c r="C543" s="101">
        <v>2054</v>
      </c>
      <c r="D543" s="102" t="s">
        <v>8532</v>
      </c>
      <c r="E543" s="102" t="s">
        <v>4061</v>
      </c>
      <c r="F543" s="102"/>
      <c r="G543" s="102" t="s">
        <v>3399</v>
      </c>
      <c r="H543" s="102"/>
      <c r="I543" s="102"/>
      <c r="J543" s="102"/>
      <c r="K543" s="102" t="s">
        <v>8533</v>
      </c>
      <c r="L543" s="102"/>
      <c r="M543" s="102"/>
      <c r="N543" s="102"/>
      <c r="O543" s="102"/>
      <c r="P543" s="102"/>
      <c r="Q543" s="102"/>
      <c r="R543" s="102"/>
      <c r="S543" s="102" t="s">
        <v>181</v>
      </c>
      <c r="T543" s="102" t="s">
        <v>9</v>
      </c>
    </row>
    <row r="544" spans="1:20" customFormat="1">
      <c r="A544" s="101" t="s">
        <v>3465</v>
      </c>
      <c r="B544" s="101" t="s">
        <v>3758</v>
      </c>
      <c r="C544" s="101">
        <v>2055</v>
      </c>
      <c r="D544" s="102" t="s">
        <v>8534</v>
      </c>
      <c r="E544" s="102" t="s">
        <v>4061</v>
      </c>
      <c r="F544" s="102"/>
      <c r="G544" s="102" t="s">
        <v>3399</v>
      </c>
      <c r="H544" s="102"/>
      <c r="I544" s="102"/>
      <c r="J544" s="102"/>
      <c r="K544" s="102" t="s">
        <v>8535</v>
      </c>
      <c r="L544" s="102"/>
      <c r="M544" s="102"/>
      <c r="N544" s="102"/>
      <c r="O544" s="102"/>
      <c r="P544" s="102"/>
      <c r="Q544" s="102"/>
      <c r="R544" s="102"/>
      <c r="S544" s="102" t="s">
        <v>8</v>
      </c>
      <c r="T544" s="102" t="s">
        <v>9</v>
      </c>
    </row>
    <row r="545" spans="1:20" customFormat="1">
      <c r="A545" s="101" t="s">
        <v>3465</v>
      </c>
      <c r="B545" s="101" t="s">
        <v>3758</v>
      </c>
      <c r="C545" s="101">
        <v>2058</v>
      </c>
      <c r="D545" s="102" t="s">
        <v>8536</v>
      </c>
      <c r="E545" s="102" t="s">
        <v>944</v>
      </c>
      <c r="F545" s="102"/>
      <c r="G545" s="102" t="s">
        <v>3399</v>
      </c>
      <c r="H545" s="102"/>
      <c r="I545" s="102"/>
      <c r="J545" s="102"/>
      <c r="K545" s="102" t="s">
        <v>8537</v>
      </c>
      <c r="L545" s="102" t="s">
        <v>8538</v>
      </c>
      <c r="M545" s="102"/>
      <c r="N545" s="102"/>
      <c r="O545" s="102"/>
      <c r="P545" s="102"/>
      <c r="Q545" s="102"/>
      <c r="R545" s="102"/>
      <c r="S545" s="102" t="s">
        <v>31</v>
      </c>
      <c r="T545" s="102" t="s">
        <v>9</v>
      </c>
    </row>
    <row r="546" spans="1:20" customFormat="1">
      <c r="A546" s="103" t="s">
        <v>3465</v>
      </c>
      <c r="B546" s="103" t="s">
        <v>3758</v>
      </c>
      <c r="C546" s="103">
        <v>2060</v>
      </c>
      <c r="D546" s="104" t="s">
        <v>8539</v>
      </c>
      <c r="E546" s="104" t="s">
        <v>944</v>
      </c>
      <c r="F546" s="104"/>
      <c r="G546" s="104" t="s">
        <v>6910</v>
      </c>
      <c r="H546" s="104"/>
      <c r="I546" s="104"/>
      <c r="J546" s="104"/>
      <c r="K546" s="104" t="s">
        <v>6911</v>
      </c>
      <c r="L546" s="104" t="s">
        <v>8540</v>
      </c>
      <c r="M546" s="104"/>
      <c r="N546" s="104"/>
      <c r="O546" s="104"/>
      <c r="P546" s="104"/>
      <c r="Q546" s="104"/>
      <c r="R546" s="102"/>
      <c r="S546" s="102" t="s">
        <v>5719</v>
      </c>
      <c r="T546" s="102" t="s">
        <v>9</v>
      </c>
    </row>
    <row r="547" spans="1:20" customFormat="1">
      <c r="A547" s="101" t="s">
        <v>3465</v>
      </c>
      <c r="B547" s="101" t="s">
        <v>3758</v>
      </c>
      <c r="C547" s="101">
        <v>2061</v>
      </c>
      <c r="D547" s="102" t="s">
        <v>8541</v>
      </c>
      <c r="E547" s="102" t="s">
        <v>3139</v>
      </c>
      <c r="F547" s="102"/>
      <c r="G547" s="102" t="s">
        <v>3447</v>
      </c>
      <c r="H547" s="102" t="s">
        <v>3071</v>
      </c>
      <c r="I547" s="102"/>
      <c r="J547" s="102"/>
      <c r="K547" s="102" t="s">
        <v>3140</v>
      </c>
      <c r="L547" s="102" t="s">
        <v>3141</v>
      </c>
      <c r="M547" s="102"/>
      <c r="N547" s="102"/>
      <c r="O547" s="102"/>
      <c r="P547" s="102"/>
      <c r="Q547" s="102"/>
      <c r="R547" s="102"/>
      <c r="S547" s="102" t="s">
        <v>3119</v>
      </c>
      <c r="T547" s="102" t="s">
        <v>9</v>
      </c>
    </row>
    <row r="548" spans="1:20" customFormat="1">
      <c r="A548" s="101" t="s">
        <v>3465</v>
      </c>
      <c r="B548" s="101" t="s">
        <v>3758</v>
      </c>
      <c r="C548" s="101">
        <v>2063</v>
      </c>
      <c r="D548" s="102" t="s">
        <v>8542</v>
      </c>
      <c r="E548" s="102" t="s">
        <v>3139</v>
      </c>
      <c r="F548" s="102"/>
      <c r="G548" s="102" t="s">
        <v>3399</v>
      </c>
      <c r="H548" s="102"/>
      <c r="I548" s="102"/>
      <c r="J548" s="102"/>
      <c r="K548" s="102" t="s">
        <v>4113</v>
      </c>
      <c r="L548" s="102" t="s">
        <v>8543</v>
      </c>
      <c r="M548" s="102" t="s">
        <v>8544</v>
      </c>
      <c r="N548" s="102" t="s">
        <v>6335</v>
      </c>
      <c r="O548" s="102"/>
      <c r="P548" s="102"/>
      <c r="Q548" s="102"/>
      <c r="R548" s="102"/>
      <c r="S548" s="102" t="s">
        <v>168</v>
      </c>
      <c r="T548" s="102" t="s">
        <v>9</v>
      </c>
    </row>
    <row r="549" spans="1:20" customFormat="1">
      <c r="A549" s="101" t="s">
        <v>3465</v>
      </c>
      <c r="B549" s="101" t="s">
        <v>3758</v>
      </c>
      <c r="C549" s="101">
        <v>2065</v>
      </c>
      <c r="D549" s="102" t="s">
        <v>8545</v>
      </c>
      <c r="E549" s="102" t="s">
        <v>8546</v>
      </c>
      <c r="F549" s="102"/>
      <c r="G549" s="102" t="s">
        <v>3399</v>
      </c>
      <c r="H549" s="102"/>
      <c r="I549" s="102"/>
      <c r="J549" s="102"/>
      <c r="K549" s="102" t="s">
        <v>8547</v>
      </c>
      <c r="L549" s="102"/>
      <c r="M549" s="102"/>
      <c r="N549" s="102"/>
      <c r="O549" s="102"/>
      <c r="P549" s="102"/>
      <c r="Q549" s="102"/>
      <c r="R549" s="102"/>
      <c r="S549" s="102" t="s">
        <v>605</v>
      </c>
      <c r="T549" s="102" t="s">
        <v>9</v>
      </c>
    </row>
    <row r="550" spans="1:20" customFormat="1">
      <c r="A550" s="101" t="s">
        <v>3465</v>
      </c>
      <c r="B550" s="101" t="s">
        <v>3758</v>
      </c>
      <c r="C550" s="101">
        <v>2067</v>
      </c>
      <c r="D550" s="102" t="s">
        <v>8548</v>
      </c>
      <c r="E550" s="102" t="s">
        <v>8549</v>
      </c>
      <c r="F550" s="102"/>
      <c r="G550" s="102" t="s">
        <v>3399</v>
      </c>
      <c r="H550" s="102"/>
      <c r="I550" s="102"/>
      <c r="J550" s="102"/>
      <c r="K550" s="102" t="s">
        <v>8550</v>
      </c>
      <c r="L550" s="102" t="s">
        <v>8551</v>
      </c>
      <c r="M550" s="102"/>
      <c r="N550" s="102"/>
      <c r="O550" s="102"/>
      <c r="P550" s="102"/>
      <c r="Q550" s="102"/>
      <c r="R550" s="102"/>
      <c r="S550" s="102" t="s">
        <v>33</v>
      </c>
      <c r="T550" s="102" t="s">
        <v>9</v>
      </c>
    </row>
    <row r="551" spans="1:20" customFormat="1">
      <c r="A551" s="101" t="s">
        <v>3465</v>
      </c>
      <c r="B551" s="101" t="s">
        <v>3758</v>
      </c>
      <c r="C551" s="101">
        <v>2068</v>
      </c>
      <c r="D551" s="102" t="s">
        <v>8552</v>
      </c>
      <c r="E551" s="102" t="s">
        <v>8553</v>
      </c>
      <c r="F551" s="102"/>
      <c r="G551" s="102" t="s">
        <v>3399</v>
      </c>
      <c r="H551" s="102"/>
      <c r="I551" s="102"/>
      <c r="J551" s="102"/>
      <c r="K551" s="102" t="s">
        <v>8554</v>
      </c>
      <c r="L551" s="102"/>
      <c r="M551" s="102"/>
      <c r="N551" s="102"/>
      <c r="O551" s="102"/>
      <c r="P551" s="102"/>
      <c r="Q551" s="102"/>
      <c r="R551" s="102"/>
      <c r="S551" s="102" t="s">
        <v>183</v>
      </c>
      <c r="T551" s="102" t="s">
        <v>9</v>
      </c>
    </row>
    <row r="552" spans="1:20" customFormat="1">
      <c r="A552" s="101" t="s">
        <v>3465</v>
      </c>
      <c r="B552" s="101" t="s">
        <v>3758</v>
      </c>
      <c r="C552" s="101">
        <v>2069</v>
      </c>
      <c r="D552" s="102" t="s">
        <v>8555</v>
      </c>
      <c r="E552" s="102" t="s">
        <v>8553</v>
      </c>
      <c r="F552" s="102"/>
      <c r="G552" s="102" t="s">
        <v>3399</v>
      </c>
      <c r="H552" s="102"/>
      <c r="I552" s="102"/>
      <c r="J552" s="102"/>
      <c r="K552" s="102" t="s">
        <v>8556</v>
      </c>
      <c r="L552" s="102"/>
      <c r="M552" s="102"/>
      <c r="N552" s="102"/>
      <c r="O552" s="102"/>
      <c r="P552" s="102"/>
      <c r="Q552" s="102"/>
      <c r="R552" s="102"/>
      <c r="S552" s="102" t="s">
        <v>169</v>
      </c>
      <c r="T552" s="102" t="s">
        <v>9</v>
      </c>
    </row>
    <row r="553" spans="1:20" customFormat="1">
      <c r="A553" s="101" t="s">
        <v>3465</v>
      </c>
      <c r="B553" s="101" t="s">
        <v>3758</v>
      </c>
      <c r="C553" s="101">
        <v>2070</v>
      </c>
      <c r="D553" s="102" t="s">
        <v>8557</v>
      </c>
      <c r="E553" s="102" t="s">
        <v>8424</v>
      </c>
      <c r="F553" s="102"/>
      <c r="G553" s="102" t="s">
        <v>3399</v>
      </c>
      <c r="H553" s="102"/>
      <c r="I553" s="102"/>
      <c r="J553" s="102"/>
      <c r="K553" s="102" t="s">
        <v>8558</v>
      </c>
      <c r="L553" s="102" t="s">
        <v>6957</v>
      </c>
      <c r="M553" s="102"/>
      <c r="N553" s="102"/>
      <c r="O553" s="102"/>
      <c r="P553" s="102"/>
      <c r="Q553" s="102"/>
      <c r="R553" s="102"/>
      <c r="S553" s="102" t="s">
        <v>179</v>
      </c>
      <c r="T553" s="102" t="s">
        <v>9</v>
      </c>
    </row>
    <row r="554" spans="1:20" customFormat="1">
      <c r="A554" s="101" t="s">
        <v>8732</v>
      </c>
      <c r="B554" s="101" t="s">
        <v>3758</v>
      </c>
      <c r="C554" s="101">
        <v>3014</v>
      </c>
      <c r="D554" s="102" t="s">
        <v>8559</v>
      </c>
      <c r="E554" s="102" t="s">
        <v>847</v>
      </c>
      <c r="F554" s="102"/>
      <c r="G554" s="102" t="s">
        <v>3399</v>
      </c>
      <c r="H554" s="102"/>
      <c r="I554" s="102"/>
      <c r="J554" s="102"/>
      <c r="K554" s="102" t="s">
        <v>8560</v>
      </c>
      <c r="L554" s="102"/>
      <c r="M554" s="102"/>
      <c r="N554" s="102"/>
      <c r="O554" s="102"/>
      <c r="P554" s="102"/>
      <c r="Q554" s="102"/>
      <c r="R554" s="102"/>
      <c r="S554" s="102" t="s">
        <v>48</v>
      </c>
      <c r="T554" s="102" t="s">
        <v>41</v>
      </c>
    </row>
    <row r="555" spans="1:20" customFormat="1">
      <c r="A555" s="101" t="s">
        <v>8732</v>
      </c>
      <c r="B555" s="101" t="s">
        <v>3758</v>
      </c>
      <c r="C555" s="101">
        <v>3022</v>
      </c>
      <c r="D555" s="102" t="s">
        <v>4765</v>
      </c>
      <c r="E555" s="102" t="s">
        <v>850</v>
      </c>
      <c r="F555" s="102"/>
      <c r="G555" s="102" t="s">
        <v>3399</v>
      </c>
      <c r="H555" s="102"/>
      <c r="I555" s="102"/>
      <c r="J555" s="102"/>
      <c r="K555" s="102" t="s">
        <v>8561</v>
      </c>
      <c r="L555" s="102" t="s">
        <v>8562</v>
      </c>
      <c r="M555" s="102"/>
      <c r="N555" s="102"/>
      <c r="O555" s="102"/>
      <c r="P555" s="102"/>
      <c r="Q555" s="102"/>
      <c r="R555" s="102"/>
      <c r="S555" s="102"/>
      <c r="T555" s="102" t="s">
        <v>41</v>
      </c>
    </row>
    <row r="556" spans="1:20" customFormat="1">
      <c r="A556" s="101" t="s">
        <v>8732</v>
      </c>
      <c r="B556" s="101" t="s">
        <v>3758</v>
      </c>
      <c r="C556" s="101">
        <v>3023</v>
      </c>
      <c r="D556" s="102" t="s">
        <v>5185</v>
      </c>
      <c r="E556" s="102" t="s">
        <v>7984</v>
      </c>
      <c r="F556" s="102"/>
      <c r="G556" s="102" t="s">
        <v>3083</v>
      </c>
      <c r="H556" s="102" t="s">
        <v>13385</v>
      </c>
      <c r="I556" s="102"/>
      <c r="J556" s="102"/>
      <c r="K556" s="102" t="s">
        <v>963</v>
      </c>
      <c r="L556" s="102" t="s">
        <v>8563</v>
      </c>
      <c r="N556" s="102"/>
      <c r="O556" s="102"/>
      <c r="P556" s="102" t="s">
        <v>155</v>
      </c>
      <c r="Q556" s="102"/>
      <c r="R556" s="102"/>
      <c r="S556" s="102" t="s">
        <v>46</v>
      </c>
      <c r="T556" s="102" t="s">
        <v>41</v>
      </c>
    </row>
    <row r="557" spans="1:20" customFormat="1">
      <c r="A557" s="101" t="s">
        <v>8732</v>
      </c>
      <c r="B557" s="101" t="s">
        <v>3758</v>
      </c>
      <c r="C557" s="101">
        <v>3033</v>
      </c>
      <c r="D557" s="102" t="s">
        <v>8564</v>
      </c>
      <c r="E557" s="102" t="s">
        <v>852</v>
      </c>
      <c r="F557" s="102"/>
      <c r="G557" s="102" t="s">
        <v>3399</v>
      </c>
      <c r="H557" s="102"/>
      <c r="I557" s="102"/>
      <c r="J557" s="102"/>
      <c r="K557" s="102" t="s">
        <v>8565</v>
      </c>
      <c r="L557" s="102"/>
      <c r="M557" s="102"/>
      <c r="N557" s="102"/>
      <c r="O557" s="102"/>
      <c r="P557" s="102"/>
      <c r="Q557" s="102"/>
      <c r="R557" s="102"/>
      <c r="S557" s="102" t="s">
        <v>174</v>
      </c>
      <c r="T557" s="102" t="s">
        <v>41</v>
      </c>
    </row>
    <row r="558" spans="1:20" customFormat="1">
      <c r="A558" s="101" t="s">
        <v>8732</v>
      </c>
      <c r="B558" s="101" t="s">
        <v>3758</v>
      </c>
      <c r="C558" s="101">
        <v>3039</v>
      </c>
      <c r="D558" s="102" t="s">
        <v>8566</v>
      </c>
      <c r="E558" s="102" t="s">
        <v>852</v>
      </c>
      <c r="F558" s="102"/>
      <c r="G558" s="102" t="s">
        <v>3399</v>
      </c>
      <c r="H558" s="102"/>
      <c r="I558" s="102"/>
      <c r="J558" s="102"/>
      <c r="K558" s="102" t="s">
        <v>8538</v>
      </c>
      <c r="L558" s="102"/>
      <c r="M558" s="102"/>
      <c r="N558" s="102"/>
      <c r="O558" s="102"/>
      <c r="P558" s="102"/>
      <c r="Q558" s="102"/>
      <c r="R558" s="102"/>
      <c r="S558" s="102" t="s">
        <v>173</v>
      </c>
      <c r="T558" s="102" t="s">
        <v>41</v>
      </c>
    </row>
    <row r="559" spans="1:20" customFormat="1">
      <c r="A559" s="101" t="s">
        <v>8732</v>
      </c>
      <c r="B559" s="101" t="s">
        <v>3758</v>
      </c>
      <c r="C559" s="101">
        <v>3050</v>
      </c>
      <c r="D559" s="102" t="s">
        <v>8567</v>
      </c>
      <c r="E559" s="102" t="s">
        <v>944</v>
      </c>
      <c r="F559" s="102"/>
      <c r="G559" s="102" t="s">
        <v>3399</v>
      </c>
      <c r="H559" s="102"/>
      <c r="I559" s="102"/>
      <c r="J559" s="102"/>
      <c r="K559" s="102" t="s">
        <v>8568</v>
      </c>
      <c r="L559" s="102" t="s">
        <v>8569</v>
      </c>
      <c r="M559" s="102"/>
      <c r="N559" s="102"/>
      <c r="O559" s="102"/>
      <c r="P559" s="102"/>
      <c r="Q559" s="102"/>
      <c r="R559" s="102"/>
      <c r="S559" s="102" t="s">
        <v>28</v>
      </c>
      <c r="T559" s="102" t="s">
        <v>41</v>
      </c>
    </row>
    <row r="560" spans="1:20" customFormat="1">
      <c r="A560" s="101" t="s">
        <v>8732</v>
      </c>
      <c r="B560" s="101" t="s">
        <v>3758</v>
      </c>
      <c r="C560" s="101">
        <v>3059</v>
      </c>
      <c r="D560" s="102" t="s">
        <v>8570</v>
      </c>
      <c r="E560" s="102" t="s">
        <v>944</v>
      </c>
      <c r="F560" s="102"/>
      <c r="G560" s="102" t="s">
        <v>3399</v>
      </c>
      <c r="H560" s="102"/>
      <c r="I560" s="102"/>
      <c r="J560" s="102"/>
      <c r="K560" s="102" t="s">
        <v>8571</v>
      </c>
      <c r="L560" s="102" t="s">
        <v>8572</v>
      </c>
      <c r="M560" s="102"/>
      <c r="N560" s="102"/>
      <c r="O560" s="102"/>
      <c r="P560" s="102"/>
      <c r="Q560" s="102"/>
      <c r="R560" s="102"/>
      <c r="S560" s="102" t="s">
        <v>37</v>
      </c>
      <c r="T560" s="102" t="s">
        <v>41</v>
      </c>
    </row>
    <row r="561" spans="1:20" customFormat="1">
      <c r="A561" s="101" t="s">
        <v>8732</v>
      </c>
      <c r="B561" s="101" t="s">
        <v>3758</v>
      </c>
      <c r="C561" s="101">
        <v>3062</v>
      </c>
      <c r="D561" s="102" t="s">
        <v>8573</v>
      </c>
      <c r="E561" s="102" t="s">
        <v>8398</v>
      </c>
      <c r="F561" s="102"/>
      <c r="G561" s="102" t="s">
        <v>3399</v>
      </c>
      <c r="H561" s="102"/>
      <c r="I561" s="102"/>
      <c r="J561" s="102"/>
      <c r="K561" s="102" t="s">
        <v>8574</v>
      </c>
      <c r="L561" s="102"/>
      <c r="M561" s="102"/>
      <c r="N561" s="102"/>
      <c r="O561" s="102"/>
      <c r="P561" s="102"/>
      <c r="Q561" s="102"/>
      <c r="R561" s="102"/>
      <c r="S561" s="102" t="s">
        <v>30</v>
      </c>
      <c r="T561" s="102" t="s">
        <v>41</v>
      </c>
    </row>
    <row r="562" spans="1:20" customFormat="1">
      <c r="A562" s="101" t="s">
        <v>8732</v>
      </c>
      <c r="B562" s="101" t="s">
        <v>3758</v>
      </c>
      <c r="C562" s="101">
        <v>3064</v>
      </c>
      <c r="D562" s="102" t="s">
        <v>8575</v>
      </c>
      <c r="E562" s="102" t="s">
        <v>3139</v>
      </c>
      <c r="F562" s="102"/>
      <c r="G562" s="102" t="s">
        <v>3399</v>
      </c>
      <c r="H562" s="102"/>
      <c r="I562" s="102"/>
      <c r="J562" s="102"/>
      <c r="K562" s="102" t="s">
        <v>8576</v>
      </c>
      <c r="L562" s="102" t="s">
        <v>8496</v>
      </c>
      <c r="M562" s="102"/>
      <c r="N562" s="102"/>
      <c r="O562" s="102"/>
      <c r="P562" s="102"/>
      <c r="Q562" s="102"/>
      <c r="R562" s="102"/>
      <c r="S562" s="102" t="s">
        <v>52</v>
      </c>
      <c r="T562" s="102" t="s">
        <v>41</v>
      </c>
    </row>
    <row r="563" spans="1:20" customFormat="1">
      <c r="A563" s="101" t="s">
        <v>8732</v>
      </c>
      <c r="B563" s="101" t="s">
        <v>3758</v>
      </c>
      <c r="C563" s="101">
        <v>3066</v>
      </c>
      <c r="D563" s="102" t="s">
        <v>8577</v>
      </c>
      <c r="E563" s="102" t="s">
        <v>8549</v>
      </c>
      <c r="F563" s="102"/>
      <c r="G563" s="102" t="s">
        <v>3399</v>
      </c>
      <c r="H563" s="102"/>
      <c r="I563" s="102"/>
      <c r="J563" s="102"/>
      <c r="K563" s="102" t="s">
        <v>8578</v>
      </c>
      <c r="L563" s="102"/>
      <c r="M563" s="102"/>
      <c r="N563" s="102"/>
      <c r="O563" s="102"/>
      <c r="P563" s="102"/>
      <c r="Q563" s="102"/>
      <c r="R563" s="102"/>
      <c r="S563" s="102" t="s">
        <v>32</v>
      </c>
      <c r="T563" s="102" t="s">
        <v>41</v>
      </c>
    </row>
    <row r="564" spans="1:20" customFormat="1">
      <c r="A564" s="101" t="s">
        <v>8732</v>
      </c>
      <c r="B564" s="101" t="s">
        <v>3758</v>
      </c>
      <c r="C564" s="101">
        <v>3071</v>
      </c>
      <c r="D564" s="102" t="s">
        <v>8579</v>
      </c>
      <c r="E564" s="102" t="s">
        <v>8580</v>
      </c>
      <c r="F564" s="102"/>
      <c r="G564" s="102" t="s">
        <v>3399</v>
      </c>
      <c r="H564" s="102"/>
      <c r="I564" s="102"/>
      <c r="J564" s="102"/>
      <c r="K564" s="102" t="s">
        <v>1232</v>
      </c>
      <c r="L564" s="102" t="s">
        <v>8581</v>
      </c>
      <c r="M564" s="102"/>
      <c r="N564" s="102"/>
      <c r="O564" s="102"/>
      <c r="P564" s="102"/>
      <c r="Q564" s="102"/>
      <c r="R564" s="102"/>
      <c r="S564" s="102" t="s">
        <v>53</v>
      </c>
      <c r="T564" s="102" t="s">
        <v>41</v>
      </c>
    </row>
    <row r="565" spans="1:20" customFormat="1">
      <c r="A565" s="101" t="s">
        <v>8732</v>
      </c>
      <c r="B565" s="101" t="s">
        <v>3758</v>
      </c>
      <c r="C565" s="101">
        <v>3072</v>
      </c>
      <c r="D565" s="102" t="s">
        <v>8582</v>
      </c>
      <c r="E565" s="102" t="s">
        <v>8583</v>
      </c>
      <c r="F565" s="102"/>
      <c r="G565" s="102" t="s">
        <v>3399</v>
      </c>
      <c r="H565" s="102"/>
      <c r="I565" s="102"/>
      <c r="J565" s="102"/>
      <c r="K565" s="102" t="s">
        <v>8584</v>
      </c>
      <c r="L565" s="102"/>
      <c r="M565" s="102"/>
      <c r="N565" s="102"/>
      <c r="O565" s="102"/>
      <c r="P565" s="102"/>
      <c r="Q565" s="102"/>
      <c r="R565" s="102"/>
      <c r="S565" s="102" t="s">
        <v>5</v>
      </c>
      <c r="T565" s="102" t="s">
        <v>41</v>
      </c>
    </row>
    <row r="566" spans="1:20">
      <c r="C566" s="101" t="s">
        <v>3456</v>
      </c>
    </row>
    <row r="567" spans="1:20">
      <c r="A567" s="102" t="s">
        <v>3498</v>
      </c>
      <c r="B567" s="102" t="s">
        <v>8730</v>
      </c>
      <c r="C567" s="101">
        <v>1</v>
      </c>
      <c r="D567" s="102" t="s">
        <v>7532</v>
      </c>
      <c r="E567" s="102" t="s">
        <v>845</v>
      </c>
      <c r="G567" s="102" t="s">
        <v>3434</v>
      </c>
      <c r="H567" s="102" t="s">
        <v>3402</v>
      </c>
      <c r="K567" s="102" t="s">
        <v>5489</v>
      </c>
      <c r="L567" s="102" t="s">
        <v>7533</v>
      </c>
      <c r="M567" s="102" t="s">
        <v>7534</v>
      </c>
      <c r="S567" s="102" t="s">
        <v>169</v>
      </c>
      <c r="T567" s="102" t="s">
        <v>4</v>
      </c>
    </row>
    <row r="568" spans="1:20">
      <c r="A568" s="102" t="s">
        <v>3498</v>
      </c>
      <c r="B568" s="102" t="s">
        <v>8730</v>
      </c>
      <c r="C568" s="101">
        <v>2</v>
      </c>
      <c r="D568" s="102" t="s">
        <v>7535</v>
      </c>
      <c r="E568" s="102" t="s">
        <v>845</v>
      </c>
      <c r="G568" s="102" t="s">
        <v>3434</v>
      </c>
      <c r="H568" s="102" t="s">
        <v>3402</v>
      </c>
      <c r="K568" s="102" t="s">
        <v>5600</v>
      </c>
      <c r="L568" s="102" t="s">
        <v>7536</v>
      </c>
      <c r="M568" s="102" t="s">
        <v>6533</v>
      </c>
      <c r="S568" s="102" t="s">
        <v>604</v>
      </c>
      <c r="T568" s="102" t="s">
        <v>4</v>
      </c>
    </row>
    <row r="569" spans="1:20">
      <c r="A569" s="102" t="s">
        <v>3498</v>
      </c>
      <c r="B569" s="102" t="s">
        <v>8730</v>
      </c>
      <c r="C569" s="101">
        <v>3</v>
      </c>
      <c r="D569" s="102" t="s">
        <v>7537</v>
      </c>
      <c r="E569" s="102" t="s">
        <v>845</v>
      </c>
      <c r="G569" s="102" t="s">
        <v>3434</v>
      </c>
      <c r="H569" s="102" t="s">
        <v>3402</v>
      </c>
      <c r="K569" s="102" t="s">
        <v>7538</v>
      </c>
      <c r="L569" s="102" t="s">
        <v>7539</v>
      </c>
      <c r="S569" s="102" t="s">
        <v>171</v>
      </c>
      <c r="T569" s="102" t="s">
        <v>4</v>
      </c>
    </row>
    <row r="570" spans="1:20">
      <c r="A570" s="102" t="s">
        <v>3498</v>
      </c>
      <c r="B570" s="102" t="s">
        <v>8730</v>
      </c>
      <c r="C570" s="101">
        <v>4</v>
      </c>
      <c r="D570" s="102" t="s">
        <v>7540</v>
      </c>
      <c r="E570" s="102" t="s">
        <v>845</v>
      </c>
      <c r="G570" s="102" t="s">
        <v>3434</v>
      </c>
      <c r="H570" s="102" t="s">
        <v>3402</v>
      </c>
      <c r="K570" s="102" t="s">
        <v>3401</v>
      </c>
      <c r="L570" s="102" t="s">
        <v>7541</v>
      </c>
      <c r="S570" s="102" t="s">
        <v>606</v>
      </c>
      <c r="T570" s="102" t="s">
        <v>4</v>
      </c>
    </row>
    <row r="571" spans="1:20">
      <c r="A571" s="102" t="s">
        <v>3498</v>
      </c>
      <c r="B571" s="102" t="s">
        <v>8730</v>
      </c>
      <c r="C571" s="101">
        <v>5</v>
      </c>
      <c r="D571" s="102" t="s">
        <v>7542</v>
      </c>
      <c r="E571" s="102" t="s">
        <v>845</v>
      </c>
      <c r="G571" s="102" t="s">
        <v>3434</v>
      </c>
      <c r="H571" s="102" t="s">
        <v>3402</v>
      </c>
      <c r="K571" s="102" t="s">
        <v>3401</v>
      </c>
      <c r="L571" s="102" t="s">
        <v>7543</v>
      </c>
      <c r="M571" s="102" t="s">
        <v>7544</v>
      </c>
      <c r="S571" s="102" t="s">
        <v>14</v>
      </c>
      <c r="T571" s="102" t="s">
        <v>4</v>
      </c>
    </row>
    <row r="572" spans="1:20">
      <c r="A572" s="102" t="s">
        <v>3498</v>
      </c>
      <c r="B572" s="102" t="s">
        <v>8730</v>
      </c>
      <c r="C572" s="101">
        <v>6</v>
      </c>
      <c r="D572" s="102" t="s">
        <v>7545</v>
      </c>
      <c r="E572" s="102" t="s">
        <v>845</v>
      </c>
      <c r="G572" s="102" t="s">
        <v>3434</v>
      </c>
      <c r="H572" s="102" t="s">
        <v>3402</v>
      </c>
      <c r="K572" s="102" t="s">
        <v>3401</v>
      </c>
      <c r="L572" s="102" t="s">
        <v>7546</v>
      </c>
      <c r="S572" s="102" t="s">
        <v>5719</v>
      </c>
      <c r="T572" s="102" t="s">
        <v>4</v>
      </c>
    </row>
    <row r="573" spans="1:20">
      <c r="A573" s="102" t="s">
        <v>3498</v>
      </c>
      <c r="B573" s="102" t="s">
        <v>8730</v>
      </c>
      <c r="C573" s="101">
        <v>7</v>
      </c>
      <c r="D573" s="102" t="s">
        <v>7547</v>
      </c>
      <c r="E573" s="102" t="s">
        <v>845</v>
      </c>
      <c r="G573" s="102" t="s">
        <v>3434</v>
      </c>
      <c r="H573" s="102" t="s">
        <v>3402</v>
      </c>
      <c r="K573" s="102" t="s">
        <v>12</v>
      </c>
      <c r="L573" s="102" t="s">
        <v>3401</v>
      </c>
      <c r="M573" s="102" t="s">
        <v>7548</v>
      </c>
      <c r="S573" s="102" t="s">
        <v>39</v>
      </c>
      <c r="T573" s="102" t="s">
        <v>4</v>
      </c>
    </row>
    <row r="574" spans="1:20">
      <c r="A574" s="102" t="s">
        <v>3498</v>
      </c>
      <c r="B574" s="102" t="s">
        <v>8730</v>
      </c>
      <c r="C574" s="101">
        <v>8</v>
      </c>
      <c r="D574" s="102" t="s">
        <v>7549</v>
      </c>
      <c r="E574" s="102" t="s">
        <v>845</v>
      </c>
      <c r="G574" s="102" t="s">
        <v>3434</v>
      </c>
      <c r="H574" s="102" t="s">
        <v>3402</v>
      </c>
      <c r="K574" s="102" t="s">
        <v>5489</v>
      </c>
      <c r="L574" s="102" t="s">
        <v>7550</v>
      </c>
      <c r="S574" s="102" t="s">
        <v>169</v>
      </c>
      <c r="T574" s="102" t="s">
        <v>4</v>
      </c>
    </row>
    <row r="575" spans="1:20">
      <c r="A575" s="102" t="s">
        <v>3498</v>
      </c>
      <c r="B575" s="102" t="s">
        <v>8730</v>
      </c>
      <c r="C575" s="101">
        <v>9</v>
      </c>
      <c r="D575" s="102" t="s">
        <v>7551</v>
      </c>
      <c r="E575" s="102" t="s">
        <v>845</v>
      </c>
      <c r="G575" s="102" t="s">
        <v>3434</v>
      </c>
      <c r="H575" s="102" t="s">
        <v>3402</v>
      </c>
      <c r="K575" s="102" t="s">
        <v>3401</v>
      </c>
      <c r="L575" s="102" t="s">
        <v>4295</v>
      </c>
      <c r="S575" s="102" t="s">
        <v>180</v>
      </c>
      <c r="T575" s="102" t="s">
        <v>4</v>
      </c>
    </row>
    <row r="576" spans="1:20">
      <c r="A576" s="102" t="s">
        <v>3498</v>
      </c>
      <c r="B576" s="102" t="s">
        <v>8730</v>
      </c>
      <c r="C576" s="101">
        <v>10</v>
      </c>
      <c r="D576" s="102" t="s">
        <v>1</v>
      </c>
      <c r="E576" s="102" t="s">
        <v>845</v>
      </c>
      <c r="G576" s="102" t="s">
        <v>3434</v>
      </c>
      <c r="H576" s="102" t="s">
        <v>3402</v>
      </c>
      <c r="K576" s="102" t="s">
        <v>3401</v>
      </c>
      <c r="L576" s="102" t="s">
        <v>4136</v>
      </c>
      <c r="S576" s="102" t="s">
        <v>174</v>
      </c>
      <c r="T576" s="102" t="s">
        <v>4</v>
      </c>
    </row>
    <row r="577" spans="1:20">
      <c r="A577" s="102" t="s">
        <v>3498</v>
      </c>
      <c r="B577" s="102" t="s">
        <v>8730</v>
      </c>
      <c r="C577" s="101">
        <v>11</v>
      </c>
      <c r="D577" s="102" t="s">
        <v>7552</v>
      </c>
      <c r="E577" s="102" t="s">
        <v>845</v>
      </c>
      <c r="G577" s="102" t="s">
        <v>3434</v>
      </c>
      <c r="H577" s="102" t="s">
        <v>3402</v>
      </c>
      <c r="K577" s="102" t="s">
        <v>3401</v>
      </c>
      <c r="L577" s="102" t="s">
        <v>7553</v>
      </c>
      <c r="S577" s="102" t="s">
        <v>40</v>
      </c>
      <c r="T577" s="102" t="s">
        <v>4</v>
      </c>
    </row>
    <row r="578" spans="1:20">
      <c r="A578" s="102" t="s">
        <v>3498</v>
      </c>
      <c r="B578" s="102" t="s">
        <v>8730</v>
      </c>
      <c r="C578" s="101">
        <v>12</v>
      </c>
      <c r="D578" s="102" t="s">
        <v>7554</v>
      </c>
      <c r="E578" s="102" t="s">
        <v>845</v>
      </c>
      <c r="G578" s="102" t="s">
        <v>3434</v>
      </c>
      <c r="H578" s="102" t="s">
        <v>3402</v>
      </c>
      <c r="K578" s="102" t="s">
        <v>3</v>
      </c>
      <c r="L578" s="102" t="s">
        <v>3401</v>
      </c>
      <c r="M578" s="102" t="s">
        <v>7555</v>
      </c>
      <c r="S578" s="102" t="s">
        <v>36</v>
      </c>
      <c r="T578" s="102" t="s">
        <v>4</v>
      </c>
    </row>
    <row r="579" spans="1:20">
      <c r="A579" s="102" t="s">
        <v>3498</v>
      </c>
      <c r="B579" s="102" t="s">
        <v>8730</v>
      </c>
      <c r="C579" s="101">
        <v>13</v>
      </c>
      <c r="D579" s="102" t="s">
        <v>7556</v>
      </c>
      <c r="E579" s="102" t="s">
        <v>845</v>
      </c>
      <c r="G579" s="102" t="s">
        <v>3434</v>
      </c>
      <c r="H579" s="102" t="s">
        <v>3402</v>
      </c>
      <c r="K579" s="102" t="s">
        <v>3401</v>
      </c>
      <c r="L579" s="102" t="s">
        <v>7557</v>
      </c>
      <c r="M579" s="102" t="s">
        <v>7558</v>
      </c>
      <c r="S579" s="102" t="s">
        <v>10</v>
      </c>
      <c r="T579" s="102" t="s">
        <v>4</v>
      </c>
    </row>
    <row r="580" spans="1:20">
      <c r="A580" s="102" t="s">
        <v>3498</v>
      </c>
      <c r="B580" s="102" t="s">
        <v>8730</v>
      </c>
      <c r="C580" s="101">
        <v>14</v>
      </c>
      <c r="D580" s="102" t="s">
        <v>7559</v>
      </c>
      <c r="E580" s="102" t="s">
        <v>846</v>
      </c>
      <c r="G580" s="102" t="s">
        <v>3434</v>
      </c>
      <c r="H580" s="102" t="s">
        <v>3402</v>
      </c>
      <c r="K580" s="102" t="s">
        <v>7560</v>
      </c>
      <c r="L580" s="102" t="s">
        <v>7561</v>
      </c>
      <c r="S580" s="102" t="s">
        <v>35</v>
      </c>
      <c r="T580" s="102" t="s">
        <v>4</v>
      </c>
    </row>
    <row r="581" spans="1:20">
      <c r="A581" s="102" t="s">
        <v>3498</v>
      </c>
      <c r="B581" s="102" t="s">
        <v>8730</v>
      </c>
      <c r="C581" s="101">
        <v>15</v>
      </c>
      <c r="D581" s="102" t="s">
        <v>7562</v>
      </c>
      <c r="E581" s="102" t="s">
        <v>846</v>
      </c>
      <c r="G581" s="102" t="s">
        <v>3434</v>
      </c>
      <c r="H581" s="102" t="s">
        <v>3402</v>
      </c>
      <c r="K581" s="102" t="s">
        <v>3401</v>
      </c>
      <c r="L581" s="102" t="s">
        <v>7563</v>
      </c>
      <c r="S581" s="102" t="s">
        <v>27</v>
      </c>
      <c r="T581" s="102" t="s">
        <v>4</v>
      </c>
    </row>
    <row r="582" spans="1:20">
      <c r="A582" s="102" t="s">
        <v>3498</v>
      </c>
      <c r="B582" s="102" t="s">
        <v>8730</v>
      </c>
      <c r="C582" s="101">
        <v>16</v>
      </c>
      <c r="D582" s="102" t="s">
        <v>7564</v>
      </c>
      <c r="E582" s="102" t="s">
        <v>846</v>
      </c>
      <c r="G582" s="102" t="s">
        <v>3434</v>
      </c>
      <c r="H582" s="102" t="s">
        <v>3402</v>
      </c>
      <c r="K582" s="102" t="s">
        <v>3401</v>
      </c>
      <c r="L582" s="102" t="s">
        <v>5574</v>
      </c>
      <c r="S582" s="102" t="s">
        <v>30</v>
      </c>
      <c r="T582" s="102" t="s">
        <v>4</v>
      </c>
    </row>
    <row r="583" spans="1:20">
      <c r="A583" s="102" t="s">
        <v>3498</v>
      </c>
      <c r="B583" s="102" t="s">
        <v>8730</v>
      </c>
      <c r="C583" s="101">
        <v>17</v>
      </c>
      <c r="D583" s="102" t="s">
        <v>7565</v>
      </c>
      <c r="E583" s="102" t="s">
        <v>846</v>
      </c>
      <c r="G583" s="102" t="s">
        <v>3434</v>
      </c>
      <c r="H583" s="102" t="s">
        <v>3402</v>
      </c>
      <c r="K583" s="102" t="s">
        <v>5600</v>
      </c>
      <c r="L583" s="102" t="s">
        <v>7566</v>
      </c>
      <c r="M583" s="102" t="s">
        <v>7567</v>
      </c>
      <c r="S583" s="102" t="s">
        <v>173</v>
      </c>
      <c r="T583" s="102" t="s">
        <v>4</v>
      </c>
    </row>
    <row r="584" spans="1:20">
      <c r="A584" s="102" t="s">
        <v>3498</v>
      </c>
      <c r="B584" s="102" t="s">
        <v>8730</v>
      </c>
      <c r="C584" s="101">
        <v>18</v>
      </c>
      <c r="D584" s="102" t="s">
        <v>7568</v>
      </c>
      <c r="E584" s="102" t="s">
        <v>846</v>
      </c>
      <c r="G584" s="102" t="s">
        <v>3434</v>
      </c>
      <c r="H584" s="102" t="s">
        <v>3402</v>
      </c>
      <c r="K584" s="102" t="s">
        <v>3401</v>
      </c>
      <c r="L584" s="102" t="s">
        <v>7569</v>
      </c>
      <c r="S584" s="102" t="s">
        <v>28</v>
      </c>
      <c r="T584" s="102" t="s">
        <v>4</v>
      </c>
    </row>
    <row r="585" spans="1:20">
      <c r="A585" s="102" t="s">
        <v>3498</v>
      </c>
      <c r="B585" s="102" t="s">
        <v>8730</v>
      </c>
      <c r="C585" s="101">
        <v>19</v>
      </c>
      <c r="D585" s="102" t="s">
        <v>7570</v>
      </c>
      <c r="E585" s="102" t="s">
        <v>846</v>
      </c>
      <c r="G585" s="102" t="s">
        <v>3434</v>
      </c>
      <c r="K585" s="102" t="s">
        <v>7571</v>
      </c>
      <c r="S585" s="102" t="s">
        <v>27</v>
      </c>
      <c r="T585" s="102" t="s">
        <v>4</v>
      </c>
    </row>
    <row r="586" spans="1:20">
      <c r="A586" s="102" t="s">
        <v>3498</v>
      </c>
      <c r="B586" s="102" t="s">
        <v>8730</v>
      </c>
      <c r="C586" s="101">
        <v>20</v>
      </c>
      <c r="D586" s="102" t="s">
        <v>7572</v>
      </c>
      <c r="E586" s="102" t="s">
        <v>846</v>
      </c>
      <c r="G586" s="102" t="s">
        <v>3434</v>
      </c>
      <c r="H586" s="102" t="s">
        <v>3402</v>
      </c>
      <c r="K586" s="102" t="s">
        <v>3401</v>
      </c>
      <c r="L586" s="102" t="s">
        <v>7573</v>
      </c>
      <c r="S586" s="102" t="s">
        <v>45</v>
      </c>
      <c r="T586" s="102" t="s">
        <v>4</v>
      </c>
    </row>
    <row r="587" spans="1:20">
      <c r="A587" s="102" t="s">
        <v>3498</v>
      </c>
      <c r="B587" s="102" t="s">
        <v>8730</v>
      </c>
      <c r="C587" s="101">
        <v>21</v>
      </c>
      <c r="D587" s="102" t="s">
        <v>7574</v>
      </c>
      <c r="E587" s="102" t="s">
        <v>846</v>
      </c>
      <c r="G587" s="102" t="s">
        <v>3434</v>
      </c>
      <c r="H587" s="102" t="s">
        <v>3402</v>
      </c>
      <c r="K587" s="102" t="s">
        <v>5600</v>
      </c>
      <c r="L587" s="102" t="s">
        <v>7575</v>
      </c>
      <c r="M587" s="102" t="s">
        <v>7539</v>
      </c>
      <c r="S587" s="102" t="s">
        <v>607</v>
      </c>
      <c r="T587" s="102" t="s">
        <v>4</v>
      </c>
    </row>
    <row r="588" spans="1:20">
      <c r="A588" s="102" t="s">
        <v>3498</v>
      </c>
      <c r="B588" s="102" t="s">
        <v>8730</v>
      </c>
      <c r="C588" s="101">
        <v>22</v>
      </c>
      <c r="D588" s="102" t="s">
        <v>7576</v>
      </c>
      <c r="E588" s="102" t="s">
        <v>846</v>
      </c>
      <c r="G588" s="102" t="s">
        <v>3434</v>
      </c>
      <c r="H588" s="102" t="s">
        <v>3402</v>
      </c>
      <c r="K588" s="102" t="s">
        <v>5600</v>
      </c>
      <c r="L588" s="102" t="s">
        <v>7577</v>
      </c>
      <c r="S588" s="102" t="s">
        <v>6</v>
      </c>
      <c r="T588" s="102" t="s">
        <v>4</v>
      </c>
    </row>
    <row r="589" spans="1:20">
      <c r="A589" s="102" t="s">
        <v>3498</v>
      </c>
      <c r="B589" s="102" t="s">
        <v>8730</v>
      </c>
      <c r="C589" s="101">
        <v>23</v>
      </c>
      <c r="D589" s="102" t="s">
        <v>7578</v>
      </c>
      <c r="E589" s="102" t="s">
        <v>846</v>
      </c>
      <c r="G589" s="102" t="s">
        <v>3434</v>
      </c>
      <c r="H589" s="102" t="s">
        <v>3402</v>
      </c>
      <c r="K589" s="102" t="s">
        <v>3401</v>
      </c>
      <c r="L589" s="102" t="s">
        <v>7579</v>
      </c>
      <c r="M589" s="102" t="s">
        <v>7580</v>
      </c>
      <c r="S589" s="102" t="s">
        <v>14</v>
      </c>
      <c r="T589" s="102" t="s">
        <v>4</v>
      </c>
    </row>
    <row r="590" spans="1:20">
      <c r="A590" s="106" t="s">
        <v>3498</v>
      </c>
      <c r="B590" s="106" t="s">
        <v>8730</v>
      </c>
      <c r="C590" s="105">
        <v>24</v>
      </c>
      <c r="D590" s="106" t="s">
        <v>7581</v>
      </c>
      <c r="E590" s="106" t="s">
        <v>846</v>
      </c>
      <c r="F590" s="106"/>
      <c r="G590" s="106" t="s">
        <v>3434</v>
      </c>
      <c r="H590" s="106" t="s">
        <v>3402</v>
      </c>
      <c r="I590" s="106"/>
      <c r="J590" s="106"/>
      <c r="K590" s="106" t="s">
        <v>3401</v>
      </c>
      <c r="L590" s="106" t="s">
        <v>7582</v>
      </c>
      <c r="M590" s="106" t="s">
        <v>7533</v>
      </c>
      <c r="N590" s="106" t="s">
        <v>7583</v>
      </c>
      <c r="O590" s="106"/>
      <c r="P590" s="106"/>
      <c r="Q590" s="106"/>
      <c r="R590" s="106"/>
      <c r="S590" s="102" t="s">
        <v>48</v>
      </c>
      <c r="T590" s="102" t="s">
        <v>4</v>
      </c>
    </row>
    <row r="591" spans="1:20">
      <c r="A591" s="102" t="s">
        <v>3498</v>
      </c>
      <c r="B591" s="102" t="s">
        <v>8730</v>
      </c>
      <c r="C591" s="101">
        <v>25</v>
      </c>
      <c r="D591" s="102" t="s">
        <v>7584</v>
      </c>
      <c r="E591" s="102" t="s">
        <v>846</v>
      </c>
      <c r="G591" s="102" t="s">
        <v>3434</v>
      </c>
      <c r="H591" s="102" t="s">
        <v>3402</v>
      </c>
      <c r="K591" s="102" t="s">
        <v>3401</v>
      </c>
      <c r="L591" s="102" t="s">
        <v>7585</v>
      </c>
      <c r="M591" s="102" t="s">
        <v>4145</v>
      </c>
      <c r="S591" s="102" t="s">
        <v>29</v>
      </c>
      <c r="T591" s="102" t="s">
        <v>4</v>
      </c>
    </row>
    <row r="592" spans="1:20">
      <c r="A592" s="102" t="s">
        <v>3498</v>
      </c>
      <c r="B592" s="102" t="s">
        <v>8730</v>
      </c>
      <c r="C592" s="101">
        <v>26</v>
      </c>
      <c r="D592" s="102" t="s">
        <v>7586</v>
      </c>
      <c r="E592" s="102" t="s">
        <v>1008</v>
      </c>
      <c r="G592" s="102" t="s">
        <v>3434</v>
      </c>
      <c r="H592" s="102" t="s">
        <v>3402</v>
      </c>
      <c r="K592" s="102" t="s">
        <v>3401</v>
      </c>
      <c r="L592" s="102" t="s">
        <v>7587</v>
      </c>
      <c r="S592" s="102" t="s">
        <v>172</v>
      </c>
      <c r="T592" s="102" t="s">
        <v>4</v>
      </c>
    </row>
    <row r="593" spans="1:20">
      <c r="A593" s="102" t="s">
        <v>3498</v>
      </c>
      <c r="B593" s="102" t="s">
        <v>8730</v>
      </c>
      <c r="C593" s="101">
        <v>27</v>
      </c>
      <c r="D593" s="102" t="s">
        <v>7588</v>
      </c>
      <c r="E593" s="102" t="s">
        <v>846</v>
      </c>
      <c r="G593" s="102" t="s">
        <v>3434</v>
      </c>
      <c r="K593" s="102" t="s">
        <v>7589</v>
      </c>
      <c r="S593" s="102" t="s">
        <v>46</v>
      </c>
      <c r="T593" s="102" t="s">
        <v>4</v>
      </c>
    </row>
    <row r="594" spans="1:20">
      <c r="A594" s="102" t="s">
        <v>3498</v>
      </c>
      <c r="B594" s="102" t="s">
        <v>8730</v>
      </c>
      <c r="C594" s="101">
        <v>28</v>
      </c>
      <c r="D594" s="102" t="s">
        <v>7590</v>
      </c>
      <c r="E594" s="102" t="s">
        <v>846</v>
      </c>
      <c r="G594" s="102" t="s">
        <v>3434</v>
      </c>
      <c r="H594" s="102" t="s">
        <v>3402</v>
      </c>
      <c r="K594" s="102" t="s">
        <v>3401</v>
      </c>
      <c r="L594" s="102" t="s">
        <v>4136</v>
      </c>
      <c r="M594" s="102" t="s">
        <v>7591</v>
      </c>
      <c r="S594" s="102" t="s">
        <v>183</v>
      </c>
      <c r="T594" s="102" t="s">
        <v>4</v>
      </c>
    </row>
    <row r="595" spans="1:20">
      <c r="A595" s="102" t="s">
        <v>3498</v>
      </c>
      <c r="B595" s="102" t="s">
        <v>8730</v>
      </c>
      <c r="C595" s="101">
        <v>29</v>
      </c>
      <c r="D595" s="102" t="s">
        <v>7592</v>
      </c>
      <c r="E595" s="102" t="s">
        <v>846</v>
      </c>
      <c r="G595" s="102" t="s">
        <v>3434</v>
      </c>
      <c r="K595" s="102" t="s">
        <v>7593</v>
      </c>
      <c r="S595" s="102" t="s">
        <v>174</v>
      </c>
      <c r="T595" s="102" t="s">
        <v>4</v>
      </c>
    </row>
    <row r="596" spans="1:20">
      <c r="A596" s="102" t="s">
        <v>3498</v>
      </c>
      <c r="B596" s="102" t="s">
        <v>8730</v>
      </c>
      <c r="C596" s="101">
        <v>30</v>
      </c>
      <c r="D596" s="102" t="s">
        <v>7594</v>
      </c>
      <c r="E596" s="102" t="s">
        <v>846</v>
      </c>
      <c r="G596" s="102" t="s">
        <v>3434</v>
      </c>
      <c r="K596" s="102" t="s">
        <v>7595</v>
      </c>
      <c r="S596" s="102" t="s">
        <v>180</v>
      </c>
      <c r="T596" s="102" t="s">
        <v>4</v>
      </c>
    </row>
    <row r="597" spans="1:20">
      <c r="A597" s="102" t="s">
        <v>3498</v>
      </c>
      <c r="B597" s="102" t="s">
        <v>8730</v>
      </c>
      <c r="C597" s="101">
        <v>31</v>
      </c>
      <c r="D597" s="102" t="s">
        <v>7596</v>
      </c>
      <c r="E597" s="102" t="s">
        <v>846</v>
      </c>
      <c r="G597" s="102" t="s">
        <v>3434</v>
      </c>
      <c r="H597" s="102" t="s">
        <v>3402</v>
      </c>
      <c r="K597" s="102" t="s">
        <v>3401</v>
      </c>
      <c r="L597" s="102" t="s">
        <v>7597</v>
      </c>
      <c r="S597" s="102" t="s">
        <v>5281</v>
      </c>
      <c r="T597" s="102" t="s">
        <v>4</v>
      </c>
    </row>
    <row r="598" spans="1:20">
      <c r="A598" s="102" t="s">
        <v>3498</v>
      </c>
      <c r="B598" s="102" t="s">
        <v>8730</v>
      </c>
      <c r="C598" s="101">
        <v>32</v>
      </c>
      <c r="D598" s="102" t="s">
        <v>7598</v>
      </c>
      <c r="E598" s="102" t="s">
        <v>846</v>
      </c>
      <c r="G598" s="102" t="s">
        <v>3434</v>
      </c>
      <c r="H598" s="102" t="s">
        <v>3402</v>
      </c>
      <c r="K598" s="102" t="s">
        <v>3401</v>
      </c>
      <c r="L598" s="102" t="s">
        <v>7599</v>
      </c>
      <c r="M598" s="102" t="s">
        <v>4145</v>
      </c>
      <c r="N598" s="102" t="s">
        <v>7600</v>
      </c>
      <c r="S598" s="102" t="s">
        <v>38</v>
      </c>
      <c r="T598" s="102" t="s">
        <v>4</v>
      </c>
    </row>
    <row r="599" spans="1:20">
      <c r="A599" s="102" t="s">
        <v>3498</v>
      </c>
      <c r="B599" s="102" t="s">
        <v>8730</v>
      </c>
      <c r="C599" s="101">
        <v>33</v>
      </c>
      <c r="D599" s="102" t="s">
        <v>7601</v>
      </c>
      <c r="E599" s="102" t="s">
        <v>846</v>
      </c>
      <c r="G599" s="102" t="s">
        <v>3434</v>
      </c>
      <c r="K599" s="102" t="s">
        <v>7602</v>
      </c>
      <c r="L599" s="102" t="s">
        <v>7603</v>
      </c>
      <c r="S599" s="102" t="s">
        <v>607</v>
      </c>
      <c r="T599" s="102" t="s">
        <v>4</v>
      </c>
    </row>
    <row r="600" spans="1:20">
      <c r="A600" s="102" t="s">
        <v>3498</v>
      </c>
      <c r="B600" s="102" t="s">
        <v>8730</v>
      </c>
      <c r="C600" s="101">
        <v>34</v>
      </c>
      <c r="D600" s="102" t="s">
        <v>7604</v>
      </c>
      <c r="E600" s="102" t="s">
        <v>846</v>
      </c>
      <c r="G600" s="102" t="s">
        <v>3434</v>
      </c>
      <c r="H600" s="102" t="s">
        <v>3402</v>
      </c>
      <c r="K600" s="102" t="s">
        <v>4273</v>
      </c>
      <c r="L600" s="102" t="s">
        <v>7605</v>
      </c>
      <c r="S600" s="102" t="s">
        <v>168</v>
      </c>
      <c r="T600" s="102" t="s">
        <v>4</v>
      </c>
    </row>
    <row r="601" spans="1:20">
      <c r="A601" s="102" t="s">
        <v>3498</v>
      </c>
      <c r="B601" s="102" t="s">
        <v>8730</v>
      </c>
      <c r="C601" s="101">
        <v>35</v>
      </c>
      <c r="D601" s="102" t="s">
        <v>7606</v>
      </c>
      <c r="E601" s="102" t="s">
        <v>846</v>
      </c>
      <c r="G601" s="102" t="s">
        <v>3434</v>
      </c>
      <c r="H601" s="102" t="s">
        <v>3402</v>
      </c>
      <c r="K601" s="102" t="s">
        <v>3401</v>
      </c>
      <c r="L601" s="102" t="s">
        <v>7607</v>
      </c>
      <c r="S601" s="102" t="s">
        <v>170</v>
      </c>
      <c r="T601" s="102" t="s">
        <v>4</v>
      </c>
    </row>
    <row r="602" spans="1:20">
      <c r="A602" s="102" t="s">
        <v>3498</v>
      </c>
      <c r="B602" s="102" t="s">
        <v>8730</v>
      </c>
      <c r="C602" s="101">
        <v>36</v>
      </c>
      <c r="D602" s="102" t="s">
        <v>7608</v>
      </c>
      <c r="E602" s="102" t="s">
        <v>846</v>
      </c>
      <c r="G602" s="102" t="s">
        <v>3434</v>
      </c>
      <c r="H602" s="102" t="s">
        <v>3402</v>
      </c>
      <c r="K602" s="102" t="s">
        <v>7609</v>
      </c>
      <c r="L602" s="102" t="s">
        <v>7610</v>
      </c>
      <c r="M602" s="102" t="s">
        <v>4145</v>
      </c>
      <c r="S602" s="102" t="s">
        <v>16</v>
      </c>
      <c r="T602" s="102" t="s">
        <v>4</v>
      </c>
    </row>
    <row r="603" spans="1:20">
      <c r="A603" s="102" t="s">
        <v>3498</v>
      </c>
      <c r="B603" s="102" t="s">
        <v>8730</v>
      </c>
      <c r="C603" s="101">
        <v>37</v>
      </c>
      <c r="D603" s="102" t="s">
        <v>7611</v>
      </c>
      <c r="E603" s="102" t="s">
        <v>846</v>
      </c>
      <c r="G603" s="102" t="s">
        <v>3434</v>
      </c>
      <c r="H603" s="102" t="s">
        <v>13388</v>
      </c>
      <c r="K603" s="102" t="s">
        <v>5508</v>
      </c>
      <c r="L603" s="102" t="s">
        <v>7612</v>
      </c>
      <c r="M603" s="102" t="s">
        <v>7613</v>
      </c>
      <c r="S603" s="102" t="s">
        <v>17</v>
      </c>
      <c r="T603" s="102" t="s">
        <v>4</v>
      </c>
    </row>
    <row r="604" spans="1:20">
      <c r="A604" s="102" t="s">
        <v>3498</v>
      </c>
      <c r="B604" s="102" t="s">
        <v>8730</v>
      </c>
      <c r="C604" s="101">
        <v>38</v>
      </c>
      <c r="D604" s="102" t="s">
        <v>7614</v>
      </c>
      <c r="E604" s="102" t="s">
        <v>846</v>
      </c>
      <c r="G604" s="102" t="s">
        <v>3434</v>
      </c>
      <c r="H604" s="102" t="s">
        <v>3402</v>
      </c>
      <c r="K604" s="102" t="s">
        <v>5489</v>
      </c>
      <c r="L604" s="102" t="s">
        <v>7615</v>
      </c>
      <c r="S604" s="102" t="s">
        <v>171</v>
      </c>
      <c r="T604" s="102" t="s">
        <v>4</v>
      </c>
    </row>
    <row r="605" spans="1:20">
      <c r="A605" s="102" t="s">
        <v>3498</v>
      </c>
      <c r="B605" s="102" t="s">
        <v>8730</v>
      </c>
      <c r="C605" s="101">
        <v>39</v>
      </c>
      <c r="D605" s="102" t="s">
        <v>7616</v>
      </c>
      <c r="E605" s="102" t="s">
        <v>846</v>
      </c>
      <c r="G605" s="102" t="s">
        <v>3434</v>
      </c>
      <c r="H605" s="102" t="s">
        <v>3402</v>
      </c>
      <c r="K605" s="102" t="s">
        <v>3401</v>
      </c>
      <c r="L605" s="102" t="s">
        <v>7617</v>
      </c>
      <c r="M605" s="102" t="s">
        <v>7618</v>
      </c>
      <c r="S605" s="102" t="s">
        <v>174</v>
      </c>
      <c r="T605" s="102" t="s">
        <v>4</v>
      </c>
    </row>
    <row r="606" spans="1:20">
      <c r="A606" s="102" t="s">
        <v>3498</v>
      </c>
      <c r="B606" s="102" t="s">
        <v>8730</v>
      </c>
      <c r="C606" s="101">
        <v>40</v>
      </c>
      <c r="D606" s="102" t="s">
        <v>7619</v>
      </c>
      <c r="E606" s="102" t="s">
        <v>846</v>
      </c>
      <c r="G606" s="102" t="s">
        <v>3434</v>
      </c>
      <c r="H606" s="102" t="s">
        <v>3402</v>
      </c>
      <c r="K606" s="102" t="s">
        <v>3401</v>
      </c>
      <c r="L606" s="102" t="s">
        <v>4145</v>
      </c>
      <c r="M606" s="102" t="s">
        <v>7620</v>
      </c>
      <c r="S606" s="102" t="s">
        <v>52</v>
      </c>
      <c r="T606" s="102" t="s">
        <v>4</v>
      </c>
    </row>
    <row r="607" spans="1:20">
      <c r="A607" s="102" t="s">
        <v>3498</v>
      </c>
      <c r="B607" s="102" t="s">
        <v>8730</v>
      </c>
      <c r="C607" s="101">
        <v>41</v>
      </c>
      <c r="D607" s="102" t="s">
        <v>7621</v>
      </c>
      <c r="E607" s="102" t="s">
        <v>846</v>
      </c>
      <c r="G607" s="102" t="s">
        <v>3434</v>
      </c>
      <c r="H607" s="102" t="s">
        <v>3402</v>
      </c>
      <c r="K607" s="102" t="s">
        <v>3401</v>
      </c>
      <c r="L607" s="102" t="s">
        <v>7546</v>
      </c>
      <c r="M607" s="102" t="s">
        <v>7622</v>
      </c>
      <c r="S607" s="102" t="s">
        <v>46</v>
      </c>
      <c r="T607" s="102" t="s">
        <v>4</v>
      </c>
    </row>
    <row r="608" spans="1:20">
      <c r="A608" s="102" t="s">
        <v>3498</v>
      </c>
      <c r="B608" s="102" t="s">
        <v>8730</v>
      </c>
      <c r="C608" s="101">
        <v>42</v>
      </c>
      <c r="D608" s="102" t="s">
        <v>7623</v>
      </c>
      <c r="E608" s="102" t="s">
        <v>846</v>
      </c>
      <c r="G608" s="102" t="s">
        <v>3434</v>
      </c>
      <c r="H608" s="102" t="s">
        <v>3402</v>
      </c>
      <c r="K608" s="102" t="s">
        <v>12</v>
      </c>
      <c r="L608" s="102" t="s">
        <v>3401</v>
      </c>
      <c r="M608" s="102" t="s">
        <v>6457</v>
      </c>
      <c r="N608" s="102" t="s">
        <v>5666</v>
      </c>
      <c r="S608" s="102" t="s">
        <v>170</v>
      </c>
      <c r="T608" s="102" t="s">
        <v>4</v>
      </c>
    </row>
    <row r="609" spans="1:20">
      <c r="A609" s="102" t="s">
        <v>3498</v>
      </c>
      <c r="B609" s="102" t="s">
        <v>8730</v>
      </c>
      <c r="C609" s="101">
        <v>43</v>
      </c>
      <c r="D609" s="102" t="s">
        <v>7624</v>
      </c>
      <c r="E609" s="102" t="s">
        <v>846</v>
      </c>
      <c r="G609" s="102" t="s">
        <v>3434</v>
      </c>
      <c r="H609" s="102" t="s">
        <v>3402</v>
      </c>
      <c r="K609" s="102" t="s">
        <v>5600</v>
      </c>
      <c r="L609" s="102" t="s">
        <v>7625</v>
      </c>
      <c r="S609" s="102" t="s">
        <v>5</v>
      </c>
      <c r="T609" s="102" t="s">
        <v>4</v>
      </c>
    </row>
    <row r="610" spans="1:20">
      <c r="A610" s="102" t="s">
        <v>3498</v>
      </c>
      <c r="B610" s="102" t="s">
        <v>8730</v>
      </c>
      <c r="C610" s="101">
        <v>44</v>
      </c>
      <c r="D610" s="102" t="s">
        <v>7626</v>
      </c>
      <c r="E610" s="102" t="s">
        <v>847</v>
      </c>
      <c r="G610" s="102" t="s">
        <v>3434</v>
      </c>
      <c r="H610" s="102" t="s">
        <v>3402</v>
      </c>
      <c r="K610" s="102" t="s">
        <v>7627</v>
      </c>
      <c r="L610" s="102" t="s">
        <v>4145</v>
      </c>
      <c r="S610" s="102" t="s">
        <v>5281</v>
      </c>
      <c r="T610" s="102" t="s">
        <v>4</v>
      </c>
    </row>
    <row r="611" spans="1:20">
      <c r="A611" s="102" t="s">
        <v>3498</v>
      </c>
      <c r="B611" s="102" t="s">
        <v>8730</v>
      </c>
      <c r="C611" s="101">
        <v>45</v>
      </c>
      <c r="D611" s="102" t="s">
        <v>7628</v>
      </c>
      <c r="E611" s="102" t="s">
        <v>847</v>
      </c>
      <c r="G611" s="102" t="s">
        <v>3086</v>
      </c>
      <c r="H611" s="102" t="s">
        <v>13389</v>
      </c>
      <c r="K611" s="102" t="s">
        <v>7629</v>
      </c>
      <c r="L611" s="102" t="s">
        <v>1</v>
      </c>
      <c r="M611" s="102" t="s">
        <v>5574</v>
      </c>
      <c r="P611" s="102" t="s">
        <v>154</v>
      </c>
      <c r="S611" s="102" t="s">
        <v>14</v>
      </c>
      <c r="T611" s="102" t="s">
        <v>4</v>
      </c>
    </row>
    <row r="612" spans="1:20">
      <c r="A612" s="102" t="s">
        <v>3498</v>
      </c>
      <c r="B612" s="102" t="s">
        <v>8730</v>
      </c>
      <c r="C612" s="101">
        <v>46</v>
      </c>
      <c r="D612" s="102" t="s">
        <v>7630</v>
      </c>
      <c r="E612" s="102" t="s">
        <v>847</v>
      </c>
      <c r="G612" s="102" t="s">
        <v>3434</v>
      </c>
      <c r="H612" s="102" t="s">
        <v>3402</v>
      </c>
      <c r="K612" s="102" t="s">
        <v>3401</v>
      </c>
      <c r="L612" s="102" t="s">
        <v>7631</v>
      </c>
      <c r="S612" s="102" t="s">
        <v>44</v>
      </c>
      <c r="T612" s="102" t="s">
        <v>4</v>
      </c>
    </row>
    <row r="613" spans="1:20">
      <c r="A613" s="102" t="s">
        <v>3498</v>
      </c>
      <c r="B613" s="102" t="s">
        <v>8730</v>
      </c>
      <c r="C613" s="101">
        <v>47</v>
      </c>
      <c r="D613" s="102" t="s">
        <v>7632</v>
      </c>
      <c r="E613" s="102" t="s">
        <v>847</v>
      </c>
      <c r="G613" s="102" t="s">
        <v>3434</v>
      </c>
      <c r="H613" s="102" t="s">
        <v>3402</v>
      </c>
      <c r="K613" s="102" t="s">
        <v>3401</v>
      </c>
      <c r="L613" s="102" t="s">
        <v>7563</v>
      </c>
      <c r="M613" s="102" t="s">
        <v>7633</v>
      </c>
      <c r="S613" s="102" t="s">
        <v>5685</v>
      </c>
      <c r="T613" s="102" t="s">
        <v>4</v>
      </c>
    </row>
    <row r="614" spans="1:20">
      <c r="A614" s="102" t="s">
        <v>3498</v>
      </c>
      <c r="B614" s="102" t="s">
        <v>8730</v>
      </c>
      <c r="C614" s="101">
        <v>48</v>
      </c>
      <c r="D614" s="102" t="s">
        <v>7634</v>
      </c>
      <c r="E614" s="102" t="s">
        <v>848</v>
      </c>
      <c r="G614" s="102" t="s">
        <v>3434</v>
      </c>
      <c r="H614" s="102" t="s">
        <v>3402</v>
      </c>
      <c r="K614" s="102" t="s">
        <v>3401</v>
      </c>
      <c r="L614" s="102" t="s">
        <v>4145</v>
      </c>
      <c r="M614" s="102" t="s">
        <v>7635</v>
      </c>
      <c r="S614" s="102" t="s">
        <v>49</v>
      </c>
      <c r="T614" s="102" t="s">
        <v>4</v>
      </c>
    </row>
    <row r="615" spans="1:20">
      <c r="A615" s="102" t="s">
        <v>3498</v>
      </c>
      <c r="B615" s="102" t="s">
        <v>8730</v>
      </c>
      <c r="C615" s="101">
        <v>49</v>
      </c>
      <c r="D615" s="102" t="s">
        <v>7636</v>
      </c>
      <c r="E615" s="102" t="s">
        <v>847</v>
      </c>
      <c r="G615" s="102" t="s">
        <v>3434</v>
      </c>
      <c r="H615" s="102" t="s">
        <v>3402</v>
      </c>
      <c r="K615" s="102" t="s">
        <v>12</v>
      </c>
      <c r="L615" s="102" t="s">
        <v>3401</v>
      </c>
      <c r="M615" s="102" t="s">
        <v>7637</v>
      </c>
      <c r="S615" s="102" t="s">
        <v>34</v>
      </c>
      <c r="T615" s="102" t="s">
        <v>4</v>
      </c>
    </row>
    <row r="616" spans="1:20">
      <c r="A616" s="102" t="s">
        <v>3498</v>
      </c>
      <c r="B616" s="102" t="s">
        <v>8730</v>
      </c>
      <c r="C616" s="101">
        <v>50</v>
      </c>
      <c r="D616" s="102" t="s">
        <v>7638</v>
      </c>
      <c r="E616" s="102" t="s">
        <v>847</v>
      </c>
      <c r="G616" s="102" t="s">
        <v>3434</v>
      </c>
      <c r="H616" s="102" t="s">
        <v>3402</v>
      </c>
      <c r="K616" s="102" t="s">
        <v>3401</v>
      </c>
      <c r="L616" s="102" t="s">
        <v>7639</v>
      </c>
      <c r="M616" s="102" t="s">
        <v>7640</v>
      </c>
      <c r="S616" s="102" t="s">
        <v>175</v>
      </c>
      <c r="T616" s="102" t="s">
        <v>4</v>
      </c>
    </row>
    <row r="617" spans="1:20">
      <c r="A617" s="102" t="s">
        <v>3498</v>
      </c>
      <c r="B617" s="102" t="s">
        <v>8730</v>
      </c>
      <c r="C617" s="101">
        <v>51</v>
      </c>
      <c r="D617" s="102" t="s">
        <v>7641</v>
      </c>
      <c r="E617" s="102" t="s">
        <v>847</v>
      </c>
      <c r="G617" s="102" t="s">
        <v>3434</v>
      </c>
      <c r="H617" s="102" t="s">
        <v>3402</v>
      </c>
      <c r="K617" s="102" t="s">
        <v>3401</v>
      </c>
      <c r="L617" s="102" t="s">
        <v>7642</v>
      </c>
      <c r="S617" s="102" t="s">
        <v>32</v>
      </c>
      <c r="T617" s="102" t="s">
        <v>4</v>
      </c>
    </row>
    <row r="618" spans="1:20">
      <c r="A618" s="102" t="s">
        <v>3498</v>
      </c>
      <c r="B618" s="102" t="s">
        <v>8730</v>
      </c>
      <c r="C618" s="101">
        <v>52</v>
      </c>
      <c r="D618" s="102" t="s">
        <v>7643</v>
      </c>
      <c r="E618" s="102" t="s">
        <v>847</v>
      </c>
      <c r="G618" s="102" t="s">
        <v>3434</v>
      </c>
      <c r="H618" s="102" t="s">
        <v>3402</v>
      </c>
      <c r="K618" s="102" t="s">
        <v>3401</v>
      </c>
      <c r="L618" s="102" t="s">
        <v>7644</v>
      </c>
      <c r="S618" s="102" t="s">
        <v>11</v>
      </c>
      <c r="T618" s="102" t="s">
        <v>4</v>
      </c>
    </row>
    <row r="619" spans="1:20">
      <c r="A619" s="102" t="s">
        <v>3498</v>
      </c>
      <c r="B619" s="102" t="s">
        <v>8730</v>
      </c>
      <c r="C619" s="101">
        <v>53</v>
      </c>
      <c r="D619" s="102" t="s">
        <v>7645</v>
      </c>
      <c r="E619" s="102" t="s">
        <v>847</v>
      </c>
      <c r="G619" s="102" t="s">
        <v>3434</v>
      </c>
      <c r="H619" s="102" t="s">
        <v>3402</v>
      </c>
      <c r="K619" s="102" t="s">
        <v>6575</v>
      </c>
      <c r="L619" s="102" t="s">
        <v>7646</v>
      </c>
      <c r="M619" s="102" t="s">
        <v>7647</v>
      </c>
      <c r="S619" s="102" t="s">
        <v>33</v>
      </c>
      <c r="T619" s="102" t="s">
        <v>4</v>
      </c>
    </row>
    <row r="620" spans="1:20">
      <c r="A620" s="102" t="s">
        <v>3498</v>
      </c>
      <c r="B620" s="102" t="s">
        <v>8730</v>
      </c>
      <c r="C620" s="101">
        <v>54</v>
      </c>
      <c r="D620" s="102" t="s">
        <v>7648</v>
      </c>
      <c r="E620" s="102" t="s">
        <v>847</v>
      </c>
      <c r="G620" s="102" t="s">
        <v>3434</v>
      </c>
      <c r="H620" s="102" t="s">
        <v>3402</v>
      </c>
      <c r="K620" s="102" t="s">
        <v>3401</v>
      </c>
      <c r="L620" s="102" t="s">
        <v>7649</v>
      </c>
      <c r="M620" s="102" t="s">
        <v>7650</v>
      </c>
      <c r="S620" s="102" t="s">
        <v>3747</v>
      </c>
      <c r="T620" s="102" t="s">
        <v>4</v>
      </c>
    </row>
    <row r="621" spans="1:20">
      <c r="A621" s="102" t="s">
        <v>3498</v>
      </c>
      <c r="B621" s="102" t="s">
        <v>8730</v>
      </c>
      <c r="C621" s="101">
        <v>55</v>
      </c>
      <c r="D621" s="102" t="s">
        <v>7651</v>
      </c>
      <c r="E621" s="102" t="s">
        <v>847</v>
      </c>
      <c r="G621" s="102" t="s">
        <v>3434</v>
      </c>
      <c r="H621" s="102" t="s">
        <v>3402</v>
      </c>
      <c r="K621" s="102" t="s">
        <v>3401</v>
      </c>
      <c r="L621" s="102" t="s">
        <v>5654</v>
      </c>
      <c r="M621" s="102" t="s">
        <v>7652</v>
      </c>
      <c r="S621" s="102" t="s">
        <v>53</v>
      </c>
      <c r="T621" s="102" t="s">
        <v>4</v>
      </c>
    </row>
    <row r="622" spans="1:20">
      <c r="A622" s="102" t="s">
        <v>3498</v>
      </c>
      <c r="B622" s="102" t="s">
        <v>8730</v>
      </c>
      <c r="C622" s="101">
        <v>56</v>
      </c>
      <c r="D622" s="102" t="s">
        <v>7653</v>
      </c>
      <c r="E622" s="102" t="s">
        <v>847</v>
      </c>
      <c r="G622" s="102" t="s">
        <v>3434</v>
      </c>
      <c r="H622" s="102" t="s">
        <v>3402</v>
      </c>
      <c r="K622" s="102" t="s">
        <v>3401</v>
      </c>
      <c r="L622" s="102" t="s">
        <v>7654</v>
      </c>
      <c r="S622" s="102" t="s">
        <v>5719</v>
      </c>
      <c r="T622" s="102" t="s">
        <v>4</v>
      </c>
    </row>
    <row r="623" spans="1:20">
      <c r="A623" s="102" t="s">
        <v>3498</v>
      </c>
      <c r="B623" s="102" t="s">
        <v>8730</v>
      </c>
      <c r="C623" s="101">
        <v>57</v>
      </c>
      <c r="D623" s="102" t="s">
        <v>7655</v>
      </c>
      <c r="E623" s="102" t="s">
        <v>847</v>
      </c>
      <c r="G623" s="102" t="s">
        <v>3434</v>
      </c>
      <c r="H623" s="102" t="s">
        <v>3402</v>
      </c>
      <c r="K623" s="102" t="s">
        <v>3401</v>
      </c>
      <c r="L623" s="102" t="s">
        <v>7656</v>
      </c>
      <c r="S623" s="102" t="s">
        <v>6</v>
      </c>
      <c r="T623" s="102" t="s">
        <v>4</v>
      </c>
    </row>
    <row r="624" spans="1:20">
      <c r="A624" s="102" t="s">
        <v>3498</v>
      </c>
      <c r="B624" s="102" t="s">
        <v>8730</v>
      </c>
      <c r="C624" s="101">
        <v>58</v>
      </c>
      <c r="D624" s="102" t="s">
        <v>7657</v>
      </c>
      <c r="E624" s="102" t="s">
        <v>847</v>
      </c>
      <c r="G624" s="102" t="s">
        <v>3434</v>
      </c>
      <c r="H624" s="102" t="s">
        <v>3402</v>
      </c>
      <c r="K624" s="102" t="s">
        <v>12</v>
      </c>
      <c r="L624" s="102" t="s">
        <v>3401</v>
      </c>
      <c r="M624" s="102" t="s">
        <v>7658</v>
      </c>
      <c r="S624" s="102" t="s">
        <v>31</v>
      </c>
      <c r="T624" s="102" t="s">
        <v>4</v>
      </c>
    </row>
    <row r="625" spans="1:20">
      <c r="A625" s="102" t="s">
        <v>3498</v>
      </c>
      <c r="B625" s="102" t="s">
        <v>8730</v>
      </c>
      <c r="C625" s="101">
        <v>59</v>
      </c>
      <c r="D625" s="102" t="s">
        <v>7659</v>
      </c>
      <c r="E625" s="102" t="s">
        <v>847</v>
      </c>
      <c r="G625" s="102" t="s">
        <v>3086</v>
      </c>
      <c r="H625" s="102" t="s">
        <v>3082</v>
      </c>
      <c r="K625" s="102" t="s">
        <v>7629</v>
      </c>
      <c r="L625" s="102" t="s">
        <v>7660</v>
      </c>
      <c r="P625" s="102" t="s">
        <v>161</v>
      </c>
      <c r="S625" s="102" t="s">
        <v>40</v>
      </c>
      <c r="T625" s="102" t="s">
        <v>4</v>
      </c>
    </row>
    <row r="626" spans="1:20">
      <c r="A626" s="102" t="s">
        <v>3498</v>
      </c>
      <c r="B626" s="102" t="s">
        <v>8730</v>
      </c>
      <c r="C626" s="101">
        <v>60</v>
      </c>
      <c r="D626" s="102" t="s">
        <v>7661</v>
      </c>
      <c r="E626" s="102" t="s">
        <v>847</v>
      </c>
      <c r="G626" s="102" t="s">
        <v>3434</v>
      </c>
      <c r="H626" s="102" t="s">
        <v>3402</v>
      </c>
      <c r="K626" s="102" t="s">
        <v>3401</v>
      </c>
      <c r="L626" s="102" t="s">
        <v>7642</v>
      </c>
      <c r="S626" s="102" t="s">
        <v>17</v>
      </c>
      <c r="T626" s="102" t="s">
        <v>4</v>
      </c>
    </row>
    <row r="627" spans="1:20">
      <c r="A627" s="102" t="s">
        <v>3498</v>
      </c>
      <c r="B627" s="102" t="s">
        <v>8730</v>
      </c>
      <c r="C627" s="101">
        <v>61</v>
      </c>
      <c r="D627" s="102" t="s">
        <v>7662</v>
      </c>
      <c r="E627" s="102" t="s">
        <v>847</v>
      </c>
      <c r="G627" s="102" t="s">
        <v>3434</v>
      </c>
      <c r="H627" s="102" t="s">
        <v>13397</v>
      </c>
      <c r="K627" s="102" t="s">
        <v>1168</v>
      </c>
      <c r="L627" s="102" t="s">
        <v>7663</v>
      </c>
      <c r="S627" s="102" t="s">
        <v>45</v>
      </c>
      <c r="T627" s="102" t="s">
        <v>4</v>
      </c>
    </row>
    <row r="628" spans="1:20">
      <c r="A628" s="102" t="s">
        <v>3498</v>
      </c>
      <c r="B628" s="102" t="s">
        <v>8730</v>
      </c>
      <c r="C628" s="101">
        <v>62</v>
      </c>
      <c r="D628" s="102" t="s">
        <v>7664</v>
      </c>
      <c r="E628" s="102" t="s">
        <v>848</v>
      </c>
      <c r="G628" s="102" t="s">
        <v>3434</v>
      </c>
      <c r="H628" s="102" t="s">
        <v>3402</v>
      </c>
      <c r="K628" s="102" t="s">
        <v>3401</v>
      </c>
      <c r="L628" s="102" t="s">
        <v>7665</v>
      </c>
      <c r="M628" s="102" t="s">
        <v>4145</v>
      </c>
      <c r="S628" s="102" t="s">
        <v>5685</v>
      </c>
      <c r="T628" s="102" t="s">
        <v>4</v>
      </c>
    </row>
    <row r="629" spans="1:20">
      <c r="A629" s="102" t="s">
        <v>3498</v>
      </c>
      <c r="B629" s="102" t="s">
        <v>8730</v>
      </c>
      <c r="C629" s="101">
        <v>63</v>
      </c>
      <c r="D629" s="102" t="s">
        <v>7666</v>
      </c>
      <c r="E629" s="102" t="s">
        <v>848</v>
      </c>
      <c r="G629" s="102" t="s">
        <v>3434</v>
      </c>
      <c r="H629" s="102" t="s">
        <v>3402</v>
      </c>
      <c r="K629" s="102" t="s">
        <v>7560</v>
      </c>
      <c r="L629" s="102" t="s">
        <v>7667</v>
      </c>
      <c r="S629" s="102" t="s">
        <v>172</v>
      </c>
      <c r="T629" s="102" t="s">
        <v>4</v>
      </c>
    </row>
    <row r="630" spans="1:20">
      <c r="A630" s="108" t="s">
        <v>3498</v>
      </c>
      <c r="B630" s="108" t="s">
        <v>8730</v>
      </c>
      <c r="C630" s="107">
        <v>64</v>
      </c>
      <c r="D630" s="108" t="s">
        <v>7668</v>
      </c>
      <c r="E630" s="108" t="s">
        <v>848</v>
      </c>
      <c r="F630" s="108"/>
      <c r="G630" s="108" t="s">
        <v>3434</v>
      </c>
      <c r="H630" s="108" t="s">
        <v>3402</v>
      </c>
      <c r="I630" s="108"/>
      <c r="J630" s="108"/>
      <c r="K630" s="108" t="s">
        <v>3401</v>
      </c>
      <c r="L630" s="108" t="s">
        <v>7669</v>
      </c>
      <c r="M630" s="108" t="s">
        <v>4145</v>
      </c>
      <c r="N630" s="108"/>
      <c r="O630" s="108"/>
      <c r="P630" s="108"/>
      <c r="Q630" s="108"/>
      <c r="S630" s="102" t="s">
        <v>48</v>
      </c>
      <c r="T630" s="102" t="s">
        <v>4</v>
      </c>
    </row>
    <row r="631" spans="1:20">
      <c r="A631" s="102" t="s">
        <v>3498</v>
      </c>
      <c r="B631" s="102" t="s">
        <v>8730</v>
      </c>
      <c r="C631" s="101">
        <v>65</v>
      </c>
      <c r="D631" s="102" t="s">
        <v>7670</v>
      </c>
      <c r="E631" s="102" t="s">
        <v>847</v>
      </c>
      <c r="G631" s="102" t="s">
        <v>3434</v>
      </c>
      <c r="H631" s="102" t="s">
        <v>3402</v>
      </c>
      <c r="K631" s="102" t="s">
        <v>3401</v>
      </c>
      <c r="L631" s="102" t="s">
        <v>7671</v>
      </c>
      <c r="M631" s="102" t="s">
        <v>7672</v>
      </c>
      <c r="S631" s="102" t="s">
        <v>179</v>
      </c>
      <c r="T631" s="102" t="s">
        <v>4</v>
      </c>
    </row>
    <row r="632" spans="1:20">
      <c r="A632" s="102" t="s">
        <v>3498</v>
      </c>
      <c r="B632" s="102" t="s">
        <v>8730</v>
      </c>
      <c r="C632" s="101">
        <v>66</v>
      </c>
      <c r="D632" s="102" t="s">
        <v>7673</v>
      </c>
      <c r="E632" s="102" t="s">
        <v>847</v>
      </c>
      <c r="G632" s="102" t="s">
        <v>3434</v>
      </c>
      <c r="H632" s="102" t="s">
        <v>3402</v>
      </c>
      <c r="K632" s="102" t="s">
        <v>7674</v>
      </c>
      <c r="L632" s="102" t="s">
        <v>3401</v>
      </c>
      <c r="M632" s="102" t="s">
        <v>4145</v>
      </c>
      <c r="S632" s="102" t="s">
        <v>37</v>
      </c>
      <c r="T632" s="102" t="s">
        <v>4</v>
      </c>
    </row>
    <row r="633" spans="1:20">
      <c r="A633" s="102" t="s">
        <v>3498</v>
      </c>
      <c r="B633" s="102" t="s">
        <v>8730</v>
      </c>
      <c r="C633" s="101">
        <v>67</v>
      </c>
      <c r="D633" s="102" t="s">
        <v>7675</v>
      </c>
      <c r="E633" s="102" t="s">
        <v>850</v>
      </c>
      <c r="G633" s="102" t="s">
        <v>3434</v>
      </c>
      <c r="H633" s="102" t="s">
        <v>3402</v>
      </c>
      <c r="K633" s="102" t="s">
        <v>3</v>
      </c>
      <c r="L633" s="102" t="s">
        <v>3401</v>
      </c>
      <c r="M633" s="102" t="s">
        <v>7676</v>
      </c>
      <c r="N633" s="102" t="s">
        <v>4145</v>
      </c>
      <c r="S633" s="102" t="s">
        <v>175</v>
      </c>
      <c r="T633" s="102" t="s">
        <v>4</v>
      </c>
    </row>
    <row r="634" spans="1:20">
      <c r="A634" s="102" t="s">
        <v>3498</v>
      </c>
      <c r="B634" s="102" t="s">
        <v>8730</v>
      </c>
      <c r="C634" s="101">
        <v>68</v>
      </c>
      <c r="D634" s="102" t="s">
        <v>7677</v>
      </c>
      <c r="E634" s="102" t="s">
        <v>849</v>
      </c>
      <c r="G634" s="102" t="s">
        <v>3434</v>
      </c>
      <c r="H634" s="102" t="s">
        <v>3402</v>
      </c>
      <c r="K634" s="102" t="s">
        <v>3401</v>
      </c>
      <c r="L634" s="102" t="s">
        <v>7678</v>
      </c>
      <c r="M634" s="102" t="s">
        <v>7679</v>
      </c>
      <c r="S634" s="102" t="s">
        <v>10</v>
      </c>
      <c r="T634" s="102" t="s">
        <v>4</v>
      </c>
    </row>
    <row r="635" spans="1:20">
      <c r="A635" s="102" t="s">
        <v>3498</v>
      </c>
      <c r="B635" s="102" t="s">
        <v>8730</v>
      </c>
      <c r="C635" s="101">
        <v>69</v>
      </c>
      <c r="D635" s="102" t="s">
        <v>7680</v>
      </c>
      <c r="E635" s="102" t="s">
        <v>849</v>
      </c>
      <c r="G635" s="102" t="s">
        <v>3434</v>
      </c>
      <c r="H635" s="102" t="s">
        <v>3402</v>
      </c>
      <c r="K635" s="102" t="s">
        <v>3401</v>
      </c>
      <c r="L635" s="102" t="s">
        <v>5654</v>
      </c>
      <c r="M635" s="102" t="s">
        <v>7681</v>
      </c>
      <c r="S635" s="102" t="s">
        <v>5</v>
      </c>
      <c r="T635" s="102" t="s">
        <v>4</v>
      </c>
    </row>
    <row r="636" spans="1:20">
      <c r="A636" s="102" t="s">
        <v>3498</v>
      </c>
      <c r="B636" s="102" t="s">
        <v>8730</v>
      </c>
      <c r="C636" s="101">
        <v>70</v>
      </c>
      <c r="D636" s="102" t="s">
        <v>7682</v>
      </c>
      <c r="E636" s="102" t="s">
        <v>849</v>
      </c>
      <c r="G636" s="102" t="s">
        <v>3434</v>
      </c>
      <c r="H636" s="102" t="s">
        <v>3402</v>
      </c>
      <c r="K636" s="102" t="s">
        <v>7560</v>
      </c>
      <c r="L636" s="102" t="s">
        <v>7683</v>
      </c>
      <c r="M636" s="102" t="s">
        <v>7561</v>
      </c>
      <c r="S636" s="102" t="s">
        <v>26</v>
      </c>
      <c r="T636" s="102" t="s">
        <v>4</v>
      </c>
    </row>
    <row r="637" spans="1:20">
      <c r="A637" s="102" t="s">
        <v>3498</v>
      </c>
      <c r="B637" s="102" t="s">
        <v>8730</v>
      </c>
      <c r="C637" s="101">
        <v>71</v>
      </c>
      <c r="D637" s="102" t="s">
        <v>7684</v>
      </c>
      <c r="E637" s="102" t="s">
        <v>849</v>
      </c>
      <c r="G637" s="102" t="s">
        <v>3434</v>
      </c>
      <c r="H637" s="102" t="s">
        <v>3402</v>
      </c>
      <c r="K637" s="102" t="s">
        <v>3401</v>
      </c>
      <c r="L637" s="102" t="s">
        <v>7685</v>
      </c>
      <c r="M637" s="102" t="s">
        <v>4145</v>
      </c>
      <c r="S637" s="102" t="s">
        <v>30</v>
      </c>
      <c r="T637" s="102" t="s">
        <v>4</v>
      </c>
    </row>
    <row r="638" spans="1:20">
      <c r="A638" s="102" t="s">
        <v>3498</v>
      </c>
      <c r="B638" s="102" t="s">
        <v>8730</v>
      </c>
      <c r="C638" s="101">
        <v>72</v>
      </c>
      <c r="D638" s="102" t="s">
        <v>7686</v>
      </c>
      <c r="E638" s="102" t="s">
        <v>849</v>
      </c>
      <c r="G638" s="102" t="s">
        <v>3434</v>
      </c>
      <c r="H638" s="102" t="s">
        <v>3402</v>
      </c>
      <c r="K638" s="102" t="s">
        <v>5489</v>
      </c>
      <c r="L638" s="102" t="s">
        <v>4145</v>
      </c>
      <c r="S638" s="102" t="s">
        <v>169</v>
      </c>
      <c r="T638" s="102" t="s">
        <v>4</v>
      </c>
    </row>
    <row r="639" spans="1:20">
      <c r="A639" s="102" t="s">
        <v>3498</v>
      </c>
      <c r="B639" s="102" t="s">
        <v>8730</v>
      </c>
      <c r="C639" s="101">
        <v>73</v>
      </c>
      <c r="D639" s="102" t="s">
        <v>7687</v>
      </c>
      <c r="E639" s="102" t="s">
        <v>849</v>
      </c>
      <c r="G639" s="102" t="s">
        <v>3434</v>
      </c>
      <c r="H639" s="102" t="s">
        <v>3402</v>
      </c>
      <c r="K639" s="102" t="s">
        <v>12</v>
      </c>
      <c r="L639" s="102" t="s">
        <v>3401</v>
      </c>
      <c r="M639" s="102" t="s">
        <v>4145</v>
      </c>
      <c r="S639" s="102" t="s">
        <v>50</v>
      </c>
      <c r="T639" s="102" t="s">
        <v>4</v>
      </c>
    </row>
    <row r="640" spans="1:20">
      <c r="A640" s="102" t="s">
        <v>3498</v>
      </c>
      <c r="B640" s="102" t="s">
        <v>8730</v>
      </c>
      <c r="C640" s="101">
        <v>74</v>
      </c>
      <c r="D640" s="102" t="s">
        <v>7688</v>
      </c>
      <c r="E640" s="102" t="s">
        <v>849</v>
      </c>
      <c r="G640" s="102" t="s">
        <v>3434</v>
      </c>
      <c r="H640" s="102" t="s">
        <v>3402</v>
      </c>
      <c r="K640" s="102" t="s">
        <v>3401</v>
      </c>
      <c r="L640" s="102" t="s">
        <v>7689</v>
      </c>
      <c r="M640" s="102" t="s">
        <v>4136</v>
      </c>
      <c r="S640" s="102" t="s">
        <v>8</v>
      </c>
      <c r="T640" s="102" t="s">
        <v>4</v>
      </c>
    </row>
    <row r="641" spans="1:20">
      <c r="A641" s="102" t="s">
        <v>3498</v>
      </c>
      <c r="B641" s="102" t="s">
        <v>8730</v>
      </c>
      <c r="C641" s="101">
        <v>75</v>
      </c>
      <c r="D641" s="102" t="s">
        <v>7690</v>
      </c>
      <c r="E641" s="102" t="s">
        <v>849</v>
      </c>
      <c r="G641" s="102" t="s">
        <v>3434</v>
      </c>
      <c r="H641" s="102" t="s">
        <v>3402</v>
      </c>
      <c r="K641" s="102" t="s">
        <v>3401</v>
      </c>
      <c r="L641" s="102" t="s">
        <v>7691</v>
      </c>
      <c r="S641" s="102" t="s">
        <v>181</v>
      </c>
      <c r="T641" s="102" t="s">
        <v>4</v>
      </c>
    </row>
    <row r="642" spans="1:20">
      <c r="A642" s="102" t="s">
        <v>3498</v>
      </c>
      <c r="B642" s="102" t="s">
        <v>8730</v>
      </c>
      <c r="C642" s="101">
        <v>76</v>
      </c>
      <c r="D642" s="102" t="s">
        <v>7692</v>
      </c>
      <c r="E642" s="102" t="s">
        <v>849</v>
      </c>
      <c r="G642" s="102" t="s">
        <v>3434</v>
      </c>
      <c r="H642" s="102" t="s">
        <v>3402</v>
      </c>
      <c r="K642" s="102" t="s">
        <v>3401</v>
      </c>
      <c r="L642" s="102" t="s">
        <v>7693</v>
      </c>
      <c r="M642" s="102" t="s">
        <v>4145</v>
      </c>
      <c r="S642" s="102" t="s">
        <v>46</v>
      </c>
      <c r="T642" s="102" t="s">
        <v>4</v>
      </c>
    </row>
    <row r="643" spans="1:20">
      <c r="A643" s="102" t="s">
        <v>3498</v>
      </c>
      <c r="B643" s="102" t="s">
        <v>8730</v>
      </c>
      <c r="C643" s="101">
        <v>77</v>
      </c>
      <c r="D643" s="102" t="s">
        <v>7694</v>
      </c>
      <c r="E643" s="102" t="s">
        <v>849</v>
      </c>
      <c r="G643" s="102" t="s">
        <v>3434</v>
      </c>
      <c r="H643" s="102" t="s">
        <v>3402</v>
      </c>
      <c r="K643" s="102" t="s">
        <v>3401</v>
      </c>
      <c r="L643" s="102" t="s">
        <v>7695</v>
      </c>
      <c r="S643" s="102" t="s">
        <v>5281</v>
      </c>
      <c r="T643" s="102" t="s">
        <v>4</v>
      </c>
    </row>
    <row r="644" spans="1:20">
      <c r="A644" s="102" t="s">
        <v>3498</v>
      </c>
      <c r="B644" s="102" t="s">
        <v>8730</v>
      </c>
      <c r="C644" s="101">
        <v>78</v>
      </c>
      <c r="D644" s="102" t="s">
        <v>7696</v>
      </c>
      <c r="E644" s="102" t="s">
        <v>852</v>
      </c>
      <c r="G644" s="102" t="s">
        <v>3434</v>
      </c>
      <c r="H644" s="102" t="s">
        <v>3402</v>
      </c>
      <c r="K644" s="102" t="s">
        <v>7560</v>
      </c>
      <c r="L644" s="102" t="s">
        <v>7697</v>
      </c>
      <c r="M644" s="102" t="s">
        <v>7698</v>
      </c>
      <c r="S644" s="102" t="s">
        <v>606</v>
      </c>
      <c r="T644" s="102" t="s">
        <v>4</v>
      </c>
    </row>
    <row r="645" spans="1:20">
      <c r="A645" s="102" t="s">
        <v>3498</v>
      </c>
      <c r="B645" s="102" t="s">
        <v>8730</v>
      </c>
      <c r="C645" s="101">
        <v>79</v>
      </c>
      <c r="D645" s="102" t="s">
        <v>7699</v>
      </c>
      <c r="E645" s="102" t="s">
        <v>851</v>
      </c>
      <c r="G645" s="102" t="s">
        <v>3434</v>
      </c>
      <c r="H645" s="102" t="s">
        <v>3402</v>
      </c>
      <c r="K645" s="102" t="s">
        <v>7560</v>
      </c>
      <c r="L645" s="102" t="s">
        <v>7697</v>
      </c>
      <c r="S645" s="102" t="s">
        <v>15</v>
      </c>
      <c r="T645" s="102" t="s">
        <v>4</v>
      </c>
    </row>
    <row r="646" spans="1:20">
      <c r="A646" s="102" t="s">
        <v>3498</v>
      </c>
      <c r="B646" s="102" t="s">
        <v>8730</v>
      </c>
      <c r="C646" s="101">
        <v>80</v>
      </c>
      <c r="D646" s="102" t="s">
        <v>7700</v>
      </c>
      <c r="E646" s="102" t="s">
        <v>851</v>
      </c>
      <c r="G646" s="102" t="s">
        <v>3434</v>
      </c>
      <c r="H646" s="102" t="s">
        <v>3402</v>
      </c>
      <c r="K646" s="102" t="s">
        <v>3401</v>
      </c>
      <c r="L646" s="102" t="s">
        <v>4145</v>
      </c>
      <c r="M646" s="102" t="s">
        <v>7701</v>
      </c>
      <c r="S646" s="102" t="s">
        <v>8</v>
      </c>
      <c r="T646" s="102" t="s">
        <v>4</v>
      </c>
    </row>
    <row r="647" spans="1:20">
      <c r="A647" s="102" t="s">
        <v>3498</v>
      </c>
      <c r="B647" s="102" t="s">
        <v>8730</v>
      </c>
      <c r="C647" s="101">
        <v>81</v>
      </c>
      <c r="D647" s="102" t="s">
        <v>7702</v>
      </c>
      <c r="E647" s="102" t="s">
        <v>851</v>
      </c>
      <c r="G647" s="102" t="s">
        <v>3086</v>
      </c>
      <c r="H647" s="102" t="s">
        <v>13391</v>
      </c>
      <c r="K647" s="102" t="s">
        <v>7703</v>
      </c>
      <c r="P647" s="102" t="s">
        <v>7704</v>
      </c>
      <c r="S647" s="102" t="s">
        <v>27</v>
      </c>
      <c r="T647" s="102" t="s">
        <v>4</v>
      </c>
    </row>
    <row r="648" spans="1:20">
      <c r="A648" s="102" t="s">
        <v>3498</v>
      </c>
      <c r="B648" s="102" t="s">
        <v>8730</v>
      </c>
      <c r="C648" s="101">
        <v>82</v>
      </c>
      <c r="D648" s="102" t="s">
        <v>7705</v>
      </c>
      <c r="E648" s="102" t="s">
        <v>4061</v>
      </c>
      <c r="G648" s="102" t="s">
        <v>3434</v>
      </c>
      <c r="H648" s="102" t="s">
        <v>3402</v>
      </c>
      <c r="K648" s="102" t="s">
        <v>3401</v>
      </c>
      <c r="L648" s="102" t="s">
        <v>7706</v>
      </c>
      <c r="M648" s="102" t="s">
        <v>4145</v>
      </c>
      <c r="S648" s="102" t="s">
        <v>31</v>
      </c>
      <c r="T648" s="102" t="s">
        <v>4</v>
      </c>
    </row>
    <row r="649" spans="1:20">
      <c r="A649" s="101" t="s">
        <v>3463</v>
      </c>
      <c r="B649" s="101" t="s">
        <v>8730</v>
      </c>
      <c r="C649" s="101">
        <v>1001</v>
      </c>
      <c r="D649" s="101" t="s">
        <v>7811</v>
      </c>
      <c r="E649" s="101" t="s">
        <v>845</v>
      </c>
      <c r="F649" s="101"/>
      <c r="G649" s="101" t="s">
        <v>3434</v>
      </c>
      <c r="H649" s="101" t="s">
        <v>3402</v>
      </c>
      <c r="I649" s="101"/>
      <c r="J649" s="101"/>
      <c r="K649" s="101" t="s">
        <v>3401</v>
      </c>
      <c r="L649" s="101" t="s">
        <v>7812</v>
      </c>
      <c r="M649" s="101"/>
      <c r="N649" s="101"/>
      <c r="O649" s="101"/>
      <c r="P649" s="101"/>
      <c r="Q649" s="101"/>
      <c r="R649" s="101"/>
      <c r="S649" s="102" t="s">
        <v>8</v>
      </c>
      <c r="T649" s="101" t="s">
        <v>7</v>
      </c>
    </row>
    <row r="650" spans="1:20">
      <c r="A650" s="101" t="s">
        <v>3463</v>
      </c>
      <c r="B650" s="101" t="s">
        <v>8730</v>
      </c>
      <c r="C650" s="101">
        <v>1002</v>
      </c>
      <c r="D650" s="101" t="s">
        <v>7813</v>
      </c>
      <c r="E650" s="101" t="s">
        <v>845</v>
      </c>
      <c r="F650" s="101"/>
      <c r="G650" s="101" t="s">
        <v>3434</v>
      </c>
      <c r="H650" s="101"/>
      <c r="I650" s="101"/>
      <c r="J650" s="101"/>
      <c r="K650" s="102" t="s">
        <v>7814</v>
      </c>
      <c r="S650" s="102" t="s">
        <v>27</v>
      </c>
      <c r="T650" s="102" t="s">
        <v>7</v>
      </c>
    </row>
    <row r="651" spans="1:20">
      <c r="A651" s="101" t="s">
        <v>3463</v>
      </c>
      <c r="B651" s="101" t="s">
        <v>8730</v>
      </c>
      <c r="C651" s="101">
        <v>1003</v>
      </c>
      <c r="D651" s="102" t="s">
        <v>7815</v>
      </c>
      <c r="E651" s="102" t="s">
        <v>845</v>
      </c>
      <c r="G651" s="102" t="s">
        <v>3434</v>
      </c>
      <c r="H651" s="102" t="s">
        <v>3402</v>
      </c>
      <c r="K651" s="102" t="s">
        <v>3401</v>
      </c>
      <c r="L651" s="102" t="s">
        <v>7658</v>
      </c>
      <c r="S651" s="102" t="s">
        <v>45</v>
      </c>
      <c r="T651" s="102" t="s">
        <v>7</v>
      </c>
    </row>
    <row r="652" spans="1:20">
      <c r="A652" s="101" t="s">
        <v>3463</v>
      </c>
      <c r="B652" s="101" t="s">
        <v>8730</v>
      </c>
      <c r="C652" s="101">
        <v>1004</v>
      </c>
      <c r="D652" s="102" t="s">
        <v>7816</v>
      </c>
      <c r="E652" s="102" t="s">
        <v>845</v>
      </c>
      <c r="G652" s="102" t="s">
        <v>3434</v>
      </c>
      <c r="H652" s="102" t="s">
        <v>3402</v>
      </c>
      <c r="K652" s="102" t="s">
        <v>7817</v>
      </c>
      <c r="L652" s="102" t="s">
        <v>7656</v>
      </c>
      <c r="S652" s="102" t="s">
        <v>18</v>
      </c>
      <c r="T652" s="102" t="s">
        <v>7</v>
      </c>
    </row>
    <row r="653" spans="1:20">
      <c r="A653" s="101" t="s">
        <v>3463</v>
      </c>
      <c r="B653" s="101" t="s">
        <v>8730</v>
      </c>
      <c r="C653" s="101">
        <v>1005</v>
      </c>
      <c r="D653" s="102" t="s">
        <v>7818</v>
      </c>
      <c r="E653" s="102" t="s">
        <v>845</v>
      </c>
      <c r="G653" s="102" t="s">
        <v>3434</v>
      </c>
      <c r="H653" s="102" t="s">
        <v>3402</v>
      </c>
      <c r="K653" s="102" t="s">
        <v>7819</v>
      </c>
      <c r="L653" s="102" t="s">
        <v>7820</v>
      </c>
      <c r="M653" s="102" t="s">
        <v>7821</v>
      </c>
      <c r="S653" s="102" t="s">
        <v>183</v>
      </c>
      <c r="T653" s="102" t="s">
        <v>7</v>
      </c>
    </row>
    <row r="654" spans="1:20">
      <c r="A654" s="101" t="s">
        <v>3463</v>
      </c>
      <c r="B654" s="101" t="s">
        <v>8730</v>
      </c>
      <c r="C654" s="101">
        <v>1006</v>
      </c>
      <c r="D654" s="102" t="s">
        <v>7822</v>
      </c>
      <c r="E654" s="102" t="s">
        <v>845</v>
      </c>
      <c r="G654" s="102" t="s">
        <v>3434</v>
      </c>
      <c r="K654" s="102" t="s">
        <v>7823</v>
      </c>
      <c r="S654" s="102" t="s">
        <v>173</v>
      </c>
      <c r="T654" s="102" t="s">
        <v>7</v>
      </c>
    </row>
    <row r="655" spans="1:20">
      <c r="A655" s="101" t="s">
        <v>3463</v>
      </c>
      <c r="B655" s="101" t="s">
        <v>8730</v>
      </c>
      <c r="C655" s="101">
        <v>1007</v>
      </c>
      <c r="D655" s="102" t="s">
        <v>7824</v>
      </c>
      <c r="E655" s="102" t="s">
        <v>845</v>
      </c>
      <c r="G655" s="102" t="s">
        <v>3434</v>
      </c>
      <c r="H655" s="102" t="s">
        <v>3402</v>
      </c>
      <c r="K655" s="102" t="s">
        <v>3401</v>
      </c>
      <c r="L655" s="102" t="s">
        <v>7825</v>
      </c>
      <c r="M655" s="102" t="s">
        <v>5666</v>
      </c>
      <c r="S655" s="102" t="s">
        <v>170</v>
      </c>
      <c r="T655" s="102" t="s">
        <v>7</v>
      </c>
    </row>
    <row r="656" spans="1:20">
      <c r="A656" s="101" t="s">
        <v>3463</v>
      </c>
      <c r="B656" s="101" t="s">
        <v>8730</v>
      </c>
      <c r="C656" s="101">
        <v>1008</v>
      </c>
      <c r="D656" s="102" t="s">
        <v>7826</v>
      </c>
      <c r="E656" s="102" t="s">
        <v>845</v>
      </c>
      <c r="G656" s="102" t="s">
        <v>3434</v>
      </c>
      <c r="H656" s="102" t="s">
        <v>3402</v>
      </c>
      <c r="K656" s="102" t="s">
        <v>3401</v>
      </c>
      <c r="L656" s="102" t="s">
        <v>7827</v>
      </c>
      <c r="M656" s="102" t="s">
        <v>7828</v>
      </c>
      <c r="S656" s="102" t="s">
        <v>36</v>
      </c>
      <c r="T656" s="102" t="s">
        <v>7</v>
      </c>
    </row>
    <row r="657" spans="1:20">
      <c r="A657" s="101" t="s">
        <v>3463</v>
      </c>
      <c r="B657" s="101" t="s">
        <v>8730</v>
      </c>
      <c r="C657" s="101">
        <v>1009</v>
      </c>
      <c r="D657" s="102" t="s">
        <v>7829</v>
      </c>
      <c r="E657" s="102" t="s">
        <v>845</v>
      </c>
      <c r="G657" s="102" t="s">
        <v>3434</v>
      </c>
      <c r="K657" s="102" t="s">
        <v>7830</v>
      </c>
      <c r="L657" s="102" t="s">
        <v>7831</v>
      </c>
      <c r="S657" s="102" t="s">
        <v>607</v>
      </c>
      <c r="T657" s="102" t="s">
        <v>7</v>
      </c>
    </row>
    <row r="658" spans="1:20">
      <c r="A658" s="101" t="s">
        <v>3463</v>
      </c>
      <c r="B658" s="101" t="s">
        <v>8730</v>
      </c>
      <c r="C658" s="101">
        <v>1010</v>
      </c>
      <c r="D658" s="102" t="s">
        <v>7832</v>
      </c>
      <c r="E658" s="102" t="s">
        <v>846</v>
      </c>
      <c r="G658" s="102" t="s">
        <v>3434</v>
      </c>
      <c r="H658" s="102" t="s">
        <v>3402</v>
      </c>
      <c r="K658" s="102" t="s">
        <v>12</v>
      </c>
      <c r="L658" s="102" t="s">
        <v>7817</v>
      </c>
      <c r="M658" s="102" t="s">
        <v>7833</v>
      </c>
      <c r="N658" s="102" t="s">
        <v>4145</v>
      </c>
      <c r="S658" s="102" t="s">
        <v>32</v>
      </c>
      <c r="T658" s="102" t="s">
        <v>7</v>
      </c>
    </row>
    <row r="659" spans="1:20">
      <c r="A659" s="101" t="s">
        <v>3463</v>
      </c>
      <c r="B659" s="101" t="s">
        <v>8730</v>
      </c>
      <c r="C659" s="101">
        <v>1011</v>
      </c>
      <c r="D659" s="102" t="s">
        <v>7834</v>
      </c>
      <c r="E659" s="102" t="s">
        <v>846</v>
      </c>
      <c r="G659" s="102" t="s">
        <v>3434</v>
      </c>
      <c r="H659" s="102" t="s">
        <v>3402</v>
      </c>
      <c r="K659" s="102" t="s">
        <v>3401</v>
      </c>
      <c r="L659" s="102" t="s">
        <v>7835</v>
      </c>
      <c r="S659" s="102" t="s">
        <v>52</v>
      </c>
      <c r="T659" s="102" t="s">
        <v>7</v>
      </c>
    </row>
    <row r="660" spans="1:20">
      <c r="A660" s="101" t="s">
        <v>3463</v>
      </c>
      <c r="B660" s="101" t="s">
        <v>8730</v>
      </c>
      <c r="C660" s="101">
        <v>1012</v>
      </c>
      <c r="D660" s="102" t="s">
        <v>7836</v>
      </c>
      <c r="E660" s="102" t="s">
        <v>846</v>
      </c>
      <c r="G660" s="102" t="s">
        <v>3434</v>
      </c>
      <c r="K660" s="102" t="s">
        <v>7837</v>
      </c>
      <c r="L660" s="102" t="s">
        <v>7838</v>
      </c>
      <c r="S660" s="102" t="s">
        <v>26</v>
      </c>
      <c r="T660" s="102" t="s">
        <v>7</v>
      </c>
    </row>
    <row r="661" spans="1:20">
      <c r="A661" s="101" t="s">
        <v>3463</v>
      </c>
      <c r="B661" s="101" t="s">
        <v>8730</v>
      </c>
      <c r="C661" s="101">
        <v>1013</v>
      </c>
      <c r="D661" s="102" t="s">
        <v>7839</v>
      </c>
      <c r="E661" s="102" t="s">
        <v>846</v>
      </c>
      <c r="G661" s="102" t="s">
        <v>3434</v>
      </c>
      <c r="K661" s="102" t="s">
        <v>7840</v>
      </c>
      <c r="S661" s="102" t="s">
        <v>30</v>
      </c>
      <c r="T661" s="102" t="s">
        <v>7</v>
      </c>
    </row>
    <row r="662" spans="1:20">
      <c r="A662" s="101" t="s">
        <v>3463</v>
      </c>
      <c r="B662" s="101" t="s">
        <v>8730</v>
      </c>
      <c r="C662" s="101">
        <v>1014</v>
      </c>
      <c r="D662" s="102" t="s">
        <v>7841</v>
      </c>
      <c r="E662" s="102" t="s">
        <v>846</v>
      </c>
      <c r="G662" s="102" t="s">
        <v>3434</v>
      </c>
      <c r="H662" s="102" t="s">
        <v>3402</v>
      </c>
      <c r="K662" s="102" t="s">
        <v>12</v>
      </c>
      <c r="L662" s="102" t="s">
        <v>5662</v>
      </c>
      <c r="M662" s="102" t="s">
        <v>7842</v>
      </c>
      <c r="N662" s="102" t="s">
        <v>7843</v>
      </c>
      <c r="S662" s="102" t="s">
        <v>26</v>
      </c>
      <c r="T662" s="102" t="s">
        <v>7</v>
      </c>
    </row>
    <row r="663" spans="1:20">
      <c r="A663" s="101" t="s">
        <v>3463</v>
      </c>
      <c r="B663" s="101" t="s">
        <v>8730</v>
      </c>
      <c r="C663" s="101">
        <v>1015</v>
      </c>
      <c r="D663" s="102" t="s">
        <v>7844</v>
      </c>
      <c r="E663" s="102" t="s">
        <v>846</v>
      </c>
      <c r="G663" s="102" t="s">
        <v>3434</v>
      </c>
      <c r="K663" s="102" t="s">
        <v>7845</v>
      </c>
      <c r="L663" s="102" t="s">
        <v>7846</v>
      </c>
      <c r="S663" s="102" t="s">
        <v>29</v>
      </c>
      <c r="T663" s="102" t="s">
        <v>7</v>
      </c>
    </row>
    <row r="664" spans="1:20">
      <c r="A664" s="101" t="s">
        <v>3463</v>
      </c>
      <c r="B664" s="101" t="s">
        <v>8730</v>
      </c>
      <c r="C664" s="101">
        <v>1016</v>
      </c>
      <c r="D664" s="102" t="s">
        <v>7847</v>
      </c>
      <c r="E664" s="102" t="s">
        <v>846</v>
      </c>
      <c r="G664" s="102" t="s">
        <v>3434</v>
      </c>
      <c r="H664" s="102" t="s">
        <v>3402</v>
      </c>
      <c r="K664" s="102" t="s">
        <v>3401</v>
      </c>
      <c r="L664" s="102" t="s">
        <v>4136</v>
      </c>
      <c r="M664" s="102" t="s">
        <v>7848</v>
      </c>
      <c r="S664" s="102" t="s">
        <v>34</v>
      </c>
      <c r="T664" s="102" t="s">
        <v>7</v>
      </c>
    </row>
    <row r="665" spans="1:20">
      <c r="A665" s="101" t="s">
        <v>3463</v>
      </c>
      <c r="B665" s="101" t="s">
        <v>8730</v>
      </c>
      <c r="C665" s="101">
        <v>1017</v>
      </c>
      <c r="D665" s="102" t="s">
        <v>7849</v>
      </c>
      <c r="E665" s="102" t="s">
        <v>846</v>
      </c>
      <c r="G665" s="102" t="s">
        <v>3434</v>
      </c>
      <c r="H665" s="102" t="s">
        <v>3402</v>
      </c>
      <c r="K665" s="102" t="s">
        <v>3401</v>
      </c>
      <c r="L665" s="102" t="s">
        <v>7850</v>
      </c>
      <c r="M665" s="102" t="s">
        <v>7851</v>
      </c>
      <c r="S665" s="102" t="s">
        <v>14</v>
      </c>
      <c r="T665" s="102" t="s">
        <v>7</v>
      </c>
    </row>
    <row r="666" spans="1:20">
      <c r="A666" s="101" t="s">
        <v>3463</v>
      </c>
      <c r="B666" s="101" t="s">
        <v>8730</v>
      </c>
      <c r="C666" s="101">
        <v>1018</v>
      </c>
      <c r="D666" s="102" t="s">
        <v>7852</v>
      </c>
      <c r="E666" s="102" t="s">
        <v>846</v>
      </c>
      <c r="G666" s="102" t="s">
        <v>3434</v>
      </c>
      <c r="K666" s="102" t="s">
        <v>7853</v>
      </c>
      <c r="S666" s="102" t="s">
        <v>172</v>
      </c>
      <c r="T666" s="102" t="s">
        <v>7</v>
      </c>
    </row>
    <row r="667" spans="1:20">
      <c r="A667" s="101" t="s">
        <v>3463</v>
      </c>
      <c r="B667" s="101" t="s">
        <v>8730</v>
      </c>
      <c r="C667" s="101">
        <v>1019</v>
      </c>
      <c r="D667" s="102" t="s">
        <v>7854</v>
      </c>
      <c r="E667" s="102" t="s">
        <v>1008</v>
      </c>
      <c r="G667" s="102" t="s">
        <v>3434</v>
      </c>
      <c r="H667" s="102" t="s">
        <v>3402</v>
      </c>
      <c r="K667" s="102" t="s">
        <v>7855</v>
      </c>
      <c r="L667" s="102" t="s">
        <v>7856</v>
      </c>
      <c r="M667" s="102" t="s">
        <v>7857</v>
      </c>
      <c r="S667" s="102" t="s">
        <v>177</v>
      </c>
      <c r="T667" s="102" t="s">
        <v>7</v>
      </c>
    </row>
    <row r="668" spans="1:20">
      <c r="A668" s="101" t="s">
        <v>3463</v>
      </c>
      <c r="B668" s="101" t="s">
        <v>8730</v>
      </c>
      <c r="C668" s="101">
        <v>1020</v>
      </c>
      <c r="D668" s="102" t="s">
        <v>7858</v>
      </c>
      <c r="E668" s="102" t="s">
        <v>846</v>
      </c>
      <c r="G668" s="102" t="s">
        <v>3434</v>
      </c>
      <c r="H668" s="102" t="s">
        <v>3402</v>
      </c>
      <c r="K668" s="102" t="s">
        <v>4273</v>
      </c>
      <c r="L668" s="102" t="s">
        <v>4274</v>
      </c>
      <c r="S668" s="102" t="s">
        <v>172</v>
      </c>
      <c r="T668" s="102" t="s">
        <v>7</v>
      </c>
    </row>
    <row r="669" spans="1:20">
      <c r="A669" s="101" t="s">
        <v>3463</v>
      </c>
      <c r="B669" s="101" t="s">
        <v>8730</v>
      </c>
      <c r="C669" s="101">
        <v>1021</v>
      </c>
      <c r="D669" s="102" t="s">
        <v>7859</v>
      </c>
      <c r="E669" s="102" t="s">
        <v>1008</v>
      </c>
      <c r="G669" s="102" t="s">
        <v>3434</v>
      </c>
      <c r="H669" s="102" t="s">
        <v>3402</v>
      </c>
      <c r="K669" s="102" t="s">
        <v>3401</v>
      </c>
      <c r="L669" s="102" t="s">
        <v>7860</v>
      </c>
      <c r="S669" s="102" t="s">
        <v>175</v>
      </c>
      <c r="T669" s="102" t="s">
        <v>7</v>
      </c>
    </row>
    <row r="670" spans="1:20">
      <c r="A670" s="101" t="s">
        <v>3463</v>
      </c>
      <c r="B670" s="101" t="s">
        <v>8730</v>
      </c>
      <c r="C670" s="101">
        <v>1022</v>
      </c>
      <c r="D670" s="102" t="s">
        <v>7861</v>
      </c>
      <c r="E670" s="102" t="s">
        <v>846</v>
      </c>
      <c r="G670" s="102" t="s">
        <v>5673</v>
      </c>
      <c r="H670" s="102" t="s">
        <v>3082</v>
      </c>
      <c r="K670" s="102" t="s">
        <v>7862</v>
      </c>
      <c r="S670" s="102" t="s">
        <v>5281</v>
      </c>
      <c r="T670" s="102" t="s">
        <v>7</v>
      </c>
    </row>
    <row r="671" spans="1:20">
      <c r="A671" s="101" t="s">
        <v>3463</v>
      </c>
      <c r="B671" s="101" t="s">
        <v>8730</v>
      </c>
      <c r="C671" s="101">
        <v>1023</v>
      </c>
      <c r="D671" s="102" t="s">
        <v>7863</v>
      </c>
      <c r="E671" s="102" t="s">
        <v>846</v>
      </c>
      <c r="G671" s="102" t="s">
        <v>3434</v>
      </c>
      <c r="H671" s="102" t="s">
        <v>3402</v>
      </c>
      <c r="K671" s="102" t="s">
        <v>3401</v>
      </c>
      <c r="L671" s="102" t="s">
        <v>7864</v>
      </c>
      <c r="M671" s="102" t="s">
        <v>7865</v>
      </c>
      <c r="S671" s="102" t="s">
        <v>5</v>
      </c>
      <c r="T671" s="102" t="s">
        <v>7</v>
      </c>
    </row>
    <row r="672" spans="1:20">
      <c r="A672" s="101" t="s">
        <v>3463</v>
      </c>
      <c r="B672" s="101" t="s">
        <v>8730</v>
      </c>
      <c r="C672" s="101">
        <v>1024</v>
      </c>
      <c r="D672" s="102" t="s">
        <v>7866</v>
      </c>
      <c r="E672" s="102" t="s">
        <v>846</v>
      </c>
      <c r="G672" s="102" t="s">
        <v>3434</v>
      </c>
      <c r="K672" s="102" t="s">
        <v>7867</v>
      </c>
      <c r="L672" s="102" t="s">
        <v>7868</v>
      </c>
      <c r="S672" s="102" t="s">
        <v>46</v>
      </c>
      <c r="T672" s="102" t="s">
        <v>7</v>
      </c>
    </row>
    <row r="673" spans="1:20">
      <c r="A673" s="101" t="s">
        <v>3463</v>
      </c>
      <c r="B673" s="101" t="s">
        <v>8730</v>
      </c>
      <c r="C673" s="101">
        <v>1025</v>
      </c>
      <c r="D673" s="102" t="s">
        <v>7869</v>
      </c>
      <c r="E673" s="102" t="s">
        <v>1008</v>
      </c>
      <c r="G673" s="102" t="s">
        <v>3434</v>
      </c>
      <c r="J673" s="102" t="s">
        <v>13427</v>
      </c>
      <c r="K673" s="102" t="s">
        <v>7870</v>
      </c>
      <c r="S673" s="102" t="s">
        <v>49</v>
      </c>
      <c r="T673" s="102" t="s">
        <v>7</v>
      </c>
    </row>
    <row r="674" spans="1:20">
      <c r="A674" s="101" t="s">
        <v>3463</v>
      </c>
      <c r="B674" s="101" t="s">
        <v>8730</v>
      </c>
      <c r="C674" s="101">
        <v>1026</v>
      </c>
      <c r="D674" s="102" t="s">
        <v>7586</v>
      </c>
      <c r="E674" s="102" t="s">
        <v>1008</v>
      </c>
      <c r="G674" s="102" t="s">
        <v>3434</v>
      </c>
      <c r="H674" s="102" t="s">
        <v>3402</v>
      </c>
      <c r="K674" s="102" t="s">
        <v>3401</v>
      </c>
      <c r="L674" s="102" t="s">
        <v>7587</v>
      </c>
      <c r="S674" s="102" t="s">
        <v>182</v>
      </c>
      <c r="T674" s="102" t="s">
        <v>7</v>
      </c>
    </row>
    <row r="675" spans="1:20">
      <c r="A675" s="101" t="s">
        <v>3463</v>
      </c>
      <c r="B675" s="101" t="s">
        <v>8730</v>
      </c>
      <c r="C675" s="101">
        <v>1027</v>
      </c>
      <c r="D675" s="102" t="s">
        <v>7871</v>
      </c>
      <c r="E675" s="102" t="s">
        <v>847</v>
      </c>
      <c r="G675" s="102" t="s">
        <v>3434</v>
      </c>
      <c r="K675" s="102" t="s">
        <v>7872</v>
      </c>
      <c r="S675" s="102" t="s">
        <v>30</v>
      </c>
      <c r="T675" s="102" t="s">
        <v>7</v>
      </c>
    </row>
    <row r="676" spans="1:20">
      <c r="A676" s="101" t="s">
        <v>3463</v>
      </c>
      <c r="B676" s="101" t="s">
        <v>8730</v>
      </c>
      <c r="C676" s="101">
        <v>1028</v>
      </c>
      <c r="D676" s="102" t="s">
        <v>7873</v>
      </c>
      <c r="E676" s="102" t="s">
        <v>847</v>
      </c>
      <c r="G676" s="102" t="s">
        <v>3434</v>
      </c>
      <c r="H676" s="102" t="s">
        <v>3402</v>
      </c>
      <c r="K676" s="102" t="s">
        <v>4273</v>
      </c>
      <c r="L676" s="102" t="s">
        <v>7874</v>
      </c>
      <c r="S676" s="102" t="s">
        <v>605</v>
      </c>
      <c r="T676" s="102" t="s">
        <v>7</v>
      </c>
    </row>
    <row r="677" spans="1:20">
      <c r="A677" s="101" t="s">
        <v>3463</v>
      </c>
      <c r="B677" s="101" t="s">
        <v>8730</v>
      </c>
      <c r="C677" s="101">
        <v>1029</v>
      </c>
      <c r="D677" s="102" t="s">
        <v>7875</v>
      </c>
      <c r="E677" s="102" t="s">
        <v>847</v>
      </c>
      <c r="G677" s="102" t="s">
        <v>3434</v>
      </c>
      <c r="H677" s="102" t="s">
        <v>3402</v>
      </c>
      <c r="K677" s="102" t="s">
        <v>3401</v>
      </c>
      <c r="L677" s="102" t="s">
        <v>7876</v>
      </c>
      <c r="S677" s="102" t="s">
        <v>5281</v>
      </c>
      <c r="T677" s="102" t="s">
        <v>7</v>
      </c>
    </row>
    <row r="678" spans="1:20">
      <c r="A678" s="101" t="s">
        <v>3463</v>
      </c>
      <c r="B678" s="101" t="s">
        <v>8730</v>
      </c>
      <c r="C678" s="101">
        <v>1030</v>
      </c>
      <c r="D678" s="102" t="s">
        <v>7877</v>
      </c>
      <c r="E678" s="102" t="s">
        <v>847</v>
      </c>
      <c r="G678" s="102" t="s">
        <v>3434</v>
      </c>
      <c r="K678" s="102" t="s">
        <v>7878</v>
      </c>
      <c r="L678" s="102" t="s">
        <v>7879</v>
      </c>
      <c r="S678" s="102" t="s">
        <v>46</v>
      </c>
      <c r="T678" s="102" t="s">
        <v>7</v>
      </c>
    </row>
    <row r="679" spans="1:20">
      <c r="A679" s="101" t="s">
        <v>3463</v>
      </c>
      <c r="B679" s="101" t="s">
        <v>8730</v>
      </c>
      <c r="C679" s="101">
        <v>1031</v>
      </c>
      <c r="D679" s="102" t="s">
        <v>7880</v>
      </c>
      <c r="E679" s="102" t="s">
        <v>848</v>
      </c>
      <c r="G679" s="102" t="s">
        <v>3434</v>
      </c>
      <c r="H679" s="102" t="s">
        <v>3402</v>
      </c>
      <c r="K679" s="102" t="s">
        <v>7881</v>
      </c>
      <c r="L679" s="102" t="s">
        <v>7882</v>
      </c>
      <c r="S679" s="102" t="s">
        <v>168</v>
      </c>
      <c r="T679" s="102" t="s">
        <v>7</v>
      </c>
    </row>
    <row r="680" spans="1:20">
      <c r="A680" s="101" t="s">
        <v>3463</v>
      </c>
      <c r="B680" s="101" t="s">
        <v>8730</v>
      </c>
      <c r="C680" s="101">
        <v>1032</v>
      </c>
      <c r="D680" s="102" t="s">
        <v>5188</v>
      </c>
      <c r="E680" s="102" t="s">
        <v>848</v>
      </c>
      <c r="G680" s="102" t="s">
        <v>3434</v>
      </c>
      <c r="K680" s="102" t="s">
        <v>7883</v>
      </c>
      <c r="L680" s="102" t="s">
        <v>7884</v>
      </c>
      <c r="S680" s="102" t="s">
        <v>53</v>
      </c>
      <c r="T680" s="102" t="s">
        <v>7</v>
      </c>
    </row>
    <row r="681" spans="1:20">
      <c r="A681" s="101" t="s">
        <v>3463</v>
      </c>
      <c r="B681" s="101" t="s">
        <v>8730</v>
      </c>
      <c r="C681" s="101">
        <v>1033</v>
      </c>
      <c r="D681" s="102" t="s">
        <v>7885</v>
      </c>
      <c r="E681" s="102" t="s">
        <v>847</v>
      </c>
      <c r="G681" s="102" t="s">
        <v>3434</v>
      </c>
      <c r="K681" s="102" t="s">
        <v>7886</v>
      </c>
      <c r="S681" s="102" t="s">
        <v>30</v>
      </c>
      <c r="T681" s="102" t="s">
        <v>7</v>
      </c>
    </row>
    <row r="682" spans="1:20">
      <c r="A682" s="101" t="s">
        <v>3463</v>
      </c>
      <c r="B682" s="101" t="s">
        <v>8730</v>
      </c>
      <c r="C682" s="101">
        <v>1034</v>
      </c>
      <c r="D682" s="102" t="s">
        <v>7887</v>
      </c>
      <c r="E682" s="102" t="s">
        <v>847</v>
      </c>
      <c r="G682" s="102" t="s">
        <v>3434</v>
      </c>
      <c r="K682" s="102" t="s">
        <v>7888</v>
      </c>
      <c r="S682" s="102" t="s">
        <v>605</v>
      </c>
      <c r="T682" s="102" t="s">
        <v>7</v>
      </c>
    </row>
    <row r="683" spans="1:20">
      <c r="A683" s="101" t="s">
        <v>3463</v>
      </c>
      <c r="B683" s="101" t="s">
        <v>8730</v>
      </c>
      <c r="C683" s="101">
        <v>1035</v>
      </c>
      <c r="D683" s="102" t="s">
        <v>7889</v>
      </c>
      <c r="E683" s="102" t="s">
        <v>847</v>
      </c>
      <c r="G683" s="102" t="s">
        <v>3434</v>
      </c>
      <c r="H683" s="102" t="s">
        <v>3402</v>
      </c>
      <c r="K683" s="102" t="s">
        <v>3401</v>
      </c>
      <c r="L683" s="102" t="s">
        <v>7890</v>
      </c>
      <c r="M683" s="102" t="s">
        <v>7891</v>
      </c>
      <c r="S683" s="102" t="s">
        <v>34</v>
      </c>
      <c r="T683" s="102" t="s">
        <v>7</v>
      </c>
    </row>
    <row r="684" spans="1:20">
      <c r="A684" s="101" t="s">
        <v>3463</v>
      </c>
      <c r="B684" s="101" t="s">
        <v>8730</v>
      </c>
      <c r="C684" s="101">
        <v>1036</v>
      </c>
      <c r="D684" s="102" t="s">
        <v>7892</v>
      </c>
      <c r="E684" s="102" t="s">
        <v>847</v>
      </c>
      <c r="G684" s="102" t="s">
        <v>3434</v>
      </c>
      <c r="K684" s="102" t="s">
        <v>5621</v>
      </c>
      <c r="L684" s="102" t="s">
        <v>7893</v>
      </c>
      <c r="M684" s="102" t="s">
        <v>7894</v>
      </c>
      <c r="S684" s="102" t="s">
        <v>28</v>
      </c>
      <c r="T684" s="102" t="s">
        <v>7</v>
      </c>
    </row>
    <row r="685" spans="1:20">
      <c r="A685" s="101" t="s">
        <v>3463</v>
      </c>
      <c r="B685" s="101" t="s">
        <v>8730</v>
      </c>
      <c r="C685" s="101">
        <v>1037</v>
      </c>
      <c r="D685" s="102" t="s">
        <v>7895</v>
      </c>
      <c r="E685" s="102" t="s">
        <v>848</v>
      </c>
      <c r="G685" s="102" t="s">
        <v>3434</v>
      </c>
      <c r="K685" s="102" t="s">
        <v>7896</v>
      </c>
      <c r="S685" s="102" t="s">
        <v>8</v>
      </c>
      <c r="T685" s="102" t="s">
        <v>7</v>
      </c>
    </row>
    <row r="686" spans="1:20">
      <c r="A686" s="101" t="s">
        <v>3463</v>
      </c>
      <c r="B686" s="101" t="s">
        <v>8730</v>
      </c>
      <c r="C686" s="101">
        <v>1038</v>
      </c>
      <c r="D686" s="102" t="s">
        <v>7897</v>
      </c>
      <c r="E686" s="102" t="s">
        <v>847</v>
      </c>
      <c r="G686" s="102" t="s">
        <v>3434</v>
      </c>
      <c r="K686" s="102" t="s">
        <v>7898</v>
      </c>
      <c r="S686" s="102" t="s">
        <v>38</v>
      </c>
      <c r="T686" s="102" t="s">
        <v>7</v>
      </c>
    </row>
    <row r="687" spans="1:20">
      <c r="A687" s="101" t="s">
        <v>3463</v>
      </c>
      <c r="B687" s="101" t="s">
        <v>8730</v>
      </c>
      <c r="C687" s="101">
        <v>1039</v>
      </c>
      <c r="D687" s="102" t="s">
        <v>7899</v>
      </c>
      <c r="E687" s="102" t="s">
        <v>847</v>
      </c>
      <c r="G687" s="102" t="s">
        <v>3434</v>
      </c>
      <c r="K687" s="102" t="s">
        <v>7900</v>
      </c>
      <c r="S687" s="102" t="s">
        <v>44</v>
      </c>
      <c r="T687" s="102" t="s">
        <v>7</v>
      </c>
    </row>
    <row r="688" spans="1:20">
      <c r="A688" s="103" t="s">
        <v>3463</v>
      </c>
      <c r="B688" s="103" t="s">
        <v>8730</v>
      </c>
      <c r="C688" s="103">
        <v>1040</v>
      </c>
      <c r="D688" s="104" t="s">
        <v>7901</v>
      </c>
      <c r="E688" s="104" t="s">
        <v>847</v>
      </c>
      <c r="F688" s="104"/>
      <c r="G688" s="104" t="s">
        <v>3434</v>
      </c>
      <c r="H688" s="104" t="s">
        <v>3402</v>
      </c>
      <c r="I688" s="104"/>
      <c r="J688" s="104"/>
      <c r="K688" s="104" t="s">
        <v>6575</v>
      </c>
      <c r="L688" s="104" t="s">
        <v>7902</v>
      </c>
      <c r="M688" s="104" t="s">
        <v>7903</v>
      </c>
      <c r="N688" s="104"/>
      <c r="O688" s="104"/>
      <c r="P688" s="104"/>
      <c r="Q688" s="104"/>
      <c r="S688" s="102" t="s">
        <v>5719</v>
      </c>
      <c r="T688" s="102" t="s">
        <v>7</v>
      </c>
    </row>
    <row r="689" spans="1:20">
      <c r="A689" s="101" t="s">
        <v>3463</v>
      </c>
      <c r="B689" s="101" t="s">
        <v>8730</v>
      </c>
      <c r="C689" s="101">
        <v>1041</v>
      </c>
      <c r="D689" s="102" t="s">
        <v>7904</v>
      </c>
      <c r="E689" s="102" t="s">
        <v>847</v>
      </c>
      <c r="G689" s="102" t="s">
        <v>3434</v>
      </c>
      <c r="J689" s="102" t="s">
        <v>13427</v>
      </c>
      <c r="K689" s="102" t="s">
        <v>7905</v>
      </c>
      <c r="S689" s="102" t="s">
        <v>39</v>
      </c>
      <c r="T689" s="102" t="s">
        <v>7</v>
      </c>
    </row>
    <row r="690" spans="1:20">
      <c r="A690" s="101" t="s">
        <v>3463</v>
      </c>
      <c r="B690" s="101" t="s">
        <v>8730</v>
      </c>
      <c r="C690" s="101">
        <v>1042</v>
      </c>
      <c r="D690" s="102" t="s">
        <v>7906</v>
      </c>
      <c r="E690" s="102" t="s">
        <v>847</v>
      </c>
      <c r="G690" s="102" t="s">
        <v>3434</v>
      </c>
      <c r="H690" s="102" t="s">
        <v>3402</v>
      </c>
      <c r="K690" s="102" t="s">
        <v>1168</v>
      </c>
      <c r="L690" s="102" t="s">
        <v>7907</v>
      </c>
      <c r="S690" s="102" t="s">
        <v>31</v>
      </c>
      <c r="T690" s="102" t="s">
        <v>7</v>
      </c>
    </row>
    <row r="691" spans="1:20">
      <c r="A691" s="101" t="s">
        <v>3463</v>
      </c>
      <c r="B691" s="101" t="s">
        <v>8730</v>
      </c>
      <c r="C691" s="101">
        <v>1043</v>
      </c>
      <c r="D691" s="102" t="s">
        <v>7908</v>
      </c>
      <c r="E691" s="102" t="s">
        <v>847</v>
      </c>
      <c r="G691" s="102" t="s">
        <v>3434</v>
      </c>
      <c r="K691" s="102" t="s">
        <v>7909</v>
      </c>
      <c r="L691" s="102" t="s">
        <v>7910</v>
      </c>
      <c r="S691" s="102" t="s">
        <v>48</v>
      </c>
      <c r="T691" s="102" t="s">
        <v>7</v>
      </c>
    </row>
    <row r="692" spans="1:20">
      <c r="A692" s="101" t="s">
        <v>3463</v>
      </c>
      <c r="B692" s="101" t="s">
        <v>8730</v>
      </c>
      <c r="C692" s="101">
        <v>1044</v>
      </c>
      <c r="D692" s="102" t="s">
        <v>7911</v>
      </c>
      <c r="E692" s="102" t="s">
        <v>847</v>
      </c>
      <c r="G692" s="102" t="s">
        <v>3434</v>
      </c>
      <c r="K692" s="102" t="s">
        <v>7912</v>
      </c>
      <c r="S692" s="102" t="s">
        <v>46</v>
      </c>
      <c r="T692" s="102" t="s">
        <v>7</v>
      </c>
    </row>
    <row r="693" spans="1:20">
      <c r="A693" s="103" t="s">
        <v>3463</v>
      </c>
      <c r="B693" s="103" t="s">
        <v>8730</v>
      </c>
      <c r="C693" s="103">
        <v>1045</v>
      </c>
      <c r="D693" s="104" t="s">
        <v>7913</v>
      </c>
      <c r="E693" s="104" t="s">
        <v>849</v>
      </c>
      <c r="F693" s="104"/>
      <c r="G693" s="104" t="s">
        <v>3434</v>
      </c>
      <c r="H693" s="104" t="s">
        <v>13394</v>
      </c>
      <c r="I693" s="104"/>
      <c r="J693" s="104"/>
      <c r="K693" s="104" t="s">
        <v>6806</v>
      </c>
      <c r="L693" s="104" t="s">
        <v>7914</v>
      </c>
      <c r="M693" s="104" t="s">
        <v>7915</v>
      </c>
      <c r="N693" s="104"/>
      <c r="O693" s="104"/>
      <c r="P693" s="104"/>
      <c r="Q693" s="104"/>
      <c r="S693" s="102" t="s">
        <v>5719</v>
      </c>
      <c r="T693" s="102" t="s">
        <v>7</v>
      </c>
    </row>
    <row r="694" spans="1:20">
      <c r="A694" s="101" t="s">
        <v>3463</v>
      </c>
      <c r="B694" s="101" t="s">
        <v>8730</v>
      </c>
      <c r="C694" s="101">
        <v>1046</v>
      </c>
      <c r="D694" s="102" t="s">
        <v>7916</v>
      </c>
      <c r="E694" s="102" t="s">
        <v>850</v>
      </c>
      <c r="G694" s="102" t="s">
        <v>3434</v>
      </c>
      <c r="K694" s="102" t="s">
        <v>7917</v>
      </c>
      <c r="S694" s="102" t="s">
        <v>171</v>
      </c>
      <c r="T694" s="102" t="s">
        <v>7</v>
      </c>
    </row>
    <row r="695" spans="1:20">
      <c r="A695" s="101" t="s">
        <v>3463</v>
      </c>
      <c r="B695" s="101" t="s">
        <v>8730</v>
      </c>
      <c r="C695" s="101">
        <v>1047</v>
      </c>
      <c r="D695" s="102" t="s">
        <v>7918</v>
      </c>
      <c r="E695" s="102" t="s">
        <v>850</v>
      </c>
      <c r="G695" s="102" t="s">
        <v>3434</v>
      </c>
      <c r="H695" s="102" t="s">
        <v>3402</v>
      </c>
      <c r="K695" s="102" t="s">
        <v>3401</v>
      </c>
      <c r="L695" s="102" t="s">
        <v>4313</v>
      </c>
      <c r="M695" s="102" t="s">
        <v>7919</v>
      </c>
      <c r="S695" s="102" t="s">
        <v>170</v>
      </c>
      <c r="T695" s="102" t="s">
        <v>7</v>
      </c>
    </row>
    <row r="696" spans="1:20">
      <c r="A696" s="101" t="s">
        <v>3463</v>
      </c>
      <c r="B696" s="101" t="s">
        <v>8730</v>
      </c>
      <c r="C696" s="101">
        <v>1048</v>
      </c>
      <c r="D696" s="102" t="s">
        <v>7920</v>
      </c>
      <c r="E696" s="102" t="s">
        <v>849</v>
      </c>
      <c r="G696" s="102" t="s">
        <v>3434</v>
      </c>
      <c r="H696" s="102" t="s">
        <v>3402</v>
      </c>
      <c r="K696" s="102" t="s">
        <v>6575</v>
      </c>
      <c r="L696" s="102" t="s">
        <v>7921</v>
      </c>
      <c r="M696" s="102" t="s">
        <v>7561</v>
      </c>
      <c r="N696" s="102" t="s">
        <v>7922</v>
      </c>
      <c r="S696" s="102" t="s">
        <v>177</v>
      </c>
      <c r="T696" s="102" t="s">
        <v>7</v>
      </c>
    </row>
    <row r="697" spans="1:20">
      <c r="A697" s="101" t="s">
        <v>3463</v>
      </c>
      <c r="B697" s="101" t="s">
        <v>8730</v>
      </c>
      <c r="C697" s="101">
        <v>1049</v>
      </c>
      <c r="D697" s="102" t="s">
        <v>7923</v>
      </c>
      <c r="E697" s="102" t="s">
        <v>849</v>
      </c>
      <c r="G697" s="102" t="s">
        <v>3434</v>
      </c>
      <c r="K697" s="102" t="s">
        <v>7924</v>
      </c>
      <c r="S697" s="102" t="s">
        <v>28</v>
      </c>
      <c r="T697" s="102" t="s">
        <v>7</v>
      </c>
    </row>
    <row r="698" spans="1:20">
      <c r="A698" s="101" t="s">
        <v>3463</v>
      </c>
      <c r="B698" s="101" t="s">
        <v>8730</v>
      </c>
      <c r="C698" s="101">
        <v>1050</v>
      </c>
      <c r="D698" s="102" t="s">
        <v>7925</v>
      </c>
      <c r="E698" s="102" t="s">
        <v>849</v>
      </c>
      <c r="G698" s="102" t="s">
        <v>3434</v>
      </c>
      <c r="K698" s="102" t="s">
        <v>7926</v>
      </c>
      <c r="S698" s="102" t="s">
        <v>5381</v>
      </c>
      <c r="T698" s="102" t="s">
        <v>7</v>
      </c>
    </row>
    <row r="699" spans="1:20">
      <c r="A699" s="101" t="s">
        <v>3463</v>
      </c>
      <c r="B699" s="101" t="s">
        <v>8730</v>
      </c>
      <c r="C699" s="101">
        <v>1051</v>
      </c>
      <c r="D699" s="102" t="s">
        <v>7927</v>
      </c>
      <c r="E699" s="102" t="s">
        <v>849</v>
      </c>
      <c r="G699" s="102" t="s">
        <v>3434</v>
      </c>
      <c r="K699" s="102" t="s">
        <v>7928</v>
      </c>
      <c r="L699" s="102" t="s">
        <v>7929</v>
      </c>
      <c r="S699" s="102" t="s">
        <v>17</v>
      </c>
      <c r="T699" s="102" t="s">
        <v>7</v>
      </c>
    </row>
    <row r="700" spans="1:20">
      <c r="A700" s="101" t="s">
        <v>3463</v>
      </c>
      <c r="B700" s="101" t="s">
        <v>8730</v>
      </c>
      <c r="C700" s="101">
        <v>1052</v>
      </c>
      <c r="D700" s="102" t="s">
        <v>7930</v>
      </c>
      <c r="E700" s="102" t="s">
        <v>849</v>
      </c>
      <c r="G700" s="102" t="s">
        <v>3434</v>
      </c>
      <c r="K700" s="102" t="s">
        <v>7931</v>
      </c>
      <c r="L700" s="102" t="s">
        <v>7932</v>
      </c>
      <c r="S700" s="102" t="s">
        <v>36</v>
      </c>
      <c r="T700" s="102" t="s">
        <v>7</v>
      </c>
    </row>
    <row r="701" spans="1:20">
      <c r="A701" s="101" t="s">
        <v>3463</v>
      </c>
      <c r="B701" s="101" t="s">
        <v>8730</v>
      </c>
      <c r="C701" s="101">
        <v>1053</v>
      </c>
      <c r="D701" s="102" t="s">
        <v>7933</v>
      </c>
      <c r="E701" s="102" t="s">
        <v>850</v>
      </c>
      <c r="G701" s="102" t="s">
        <v>3434</v>
      </c>
      <c r="H701" s="102" t="s">
        <v>3402</v>
      </c>
      <c r="K701" s="102" t="s">
        <v>7538</v>
      </c>
      <c r="L701" s="102" t="s">
        <v>7934</v>
      </c>
      <c r="S701" s="102" t="s">
        <v>171</v>
      </c>
      <c r="T701" s="102" t="s">
        <v>7</v>
      </c>
    </row>
    <row r="702" spans="1:20">
      <c r="A702" s="101" t="s">
        <v>3463</v>
      </c>
      <c r="B702" s="101" t="s">
        <v>8730</v>
      </c>
      <c r="C702" s="101">
        <v>1054</v>
      </c>
      <c r="D702" s="102" t="s">
        <v>7935</v>
      </c>
      <c r="E702" s="102" t="s">
        <v>849</v>
      </c>
      <c r="G702" s="102" t="s">
        <v>3434</v>
      </c>
      <c r="H702" s="102" t="s">
        <v>3402</v>
      </c>
      <c r="K702" s="102" t="s">
        <v>3401</v>
      </c>
      <c r="L702" s="102" t="s">
        <v>7936</v>
      </c>
      <c r="S702" s="102" t="s">
        <v>40</v>
      </c>
      <c r="T702" s="102" t="s">
        <v>7</v>
      </c>
    </row>
    <row r="703" spans="1:20">
      <c r="A703" s="101" t="s">
        <v>3463</v>
      </c>
      <c r="B703" s="101" t="s">
        <v>8730</v>
      </c>
      <c r="C703" s="101">
        <v>1055</v>
      </c>
      <c r="D703" s="102" t="s">
        <v>7937</v>
      </c>
      <c r="E703" s="102" t="s">
        <v>849</v>
      </c>
      <c r="G703" s="102" t="s">
        <v>3434</v>
      </c>
      <c r="H703" s="102" t="s">
        <v>3402</v>
      </c>
      <c r="K703" s="102" t="s">
        <v>3401</v>
      </c>
      <c r="L703" s="102" t="s">
        <v>7938</v>
      </c>
      <c r="M703" s="102" t="s">
        <v>4313</v>
      </c>
      <c r="N703" s="102" t="s">
        <v>7939</v>
      </c>
      <c r="S703" s="102" t="s">
        <v>49</v>
      </c>
      <c r="T703" s="102" t="s">
        <v>7</v>
      </c>
    </row>
    <row r="704" spans="1:20">
      <c r="A704" s="101" t="s">
        <v>3463</v>
      </c>
      <c r="B704" s="101" t="s">
        <v>8730</v>
      </c>
      <c r="C704" s="101">
        <v>1056</v>
      </c>
      <c r="D704" s="102" t="s">
        <v>7940</v>
      </c>
      <c r="E704" s="102" t="s">
        <v>850</v>
      </c>
      <c r="G704" s="102" t="s">
        <v>3434</v>
      </c>
      <c r="H704" s="102" t="s">
        <v>3402</v>
      </c>
      <c r="K704" s="102" t="s">
        <v>4273</v>
      </c>
      <c r="L704" s="102" t="s">
        <v>7941</v>
      </c>
      <c r="S704" s="102" t="s">
        <v>182</v>
      </c>
      <c r="T704" s="102" t="s">
        <v>7</v>
      </c>
    </row>
    <row r="705" spans="1:20">
      <c r="A705" s="101" t="s">
        <v>3463</v>
      </c>
      <c r="B705" s="101" t="s">
        <v>8730</v>
      </c>
      <c r="C705" s="101">
        <v>1057</v>
      </c>
      <c r="D705" s="102" t="s">
        <v>7942</v>
      </c>
      <c r="E705" s="102" t="s">
        <v>849</v>
      </c>
      <c r="G705" s="102" t="s">
        <v>3434</v>
      </c>
      <c r="K705" s="102" t="s">
        <v>7943</v>
      </c>
      <c r="S705" s="102" t="s">
        <v>33</v>
      </c>
      <c r="T705" s="102" t="s">
        <v>7</v>
      </c>
    </row>
    <row r="706" spans="1:20">
      <c r="A706" s="101" t="s">
        <v>3463</v>
      </c>
      <c r="B706" s="101" t="s">
        <v>8730</v>
      </c>
      <c r="C706" s="101">
        <v>1058</v>
      </c>
      <c r="D706" s="102" t="s">
        <v>7944</v>
      </c>
      <c r="E706" s="102" t="s">
        <v>849</v>
      </c>
      <c r="G706" s="102" t="s">
        <v>3434</v>
      </c>
      <c r="K706" s="102" t="s">
        <v>7945</v>
      </c>
      <c r="S706" s="102" t="s">
        <v>32</v>
      </c>
      <c r="T706" s="102" t="s">
        <v>7</v>
      </c>
    </row>
    <row r="707" spans="1:20">
      <c r="A707" s="101" t="s">
        <v>3463</v>
      </c>
      <c r="B707" s="101" t="s">
        <v>8730</v>
      </c>
      <c r="C707" s="101">
        <v>1059</v>
      </c>
      <c r="D707" s="102" t="s">
        <v>7946</v>
      </c>
      <c r="E707" s="102" t="s">
        <v>850</v>
      </c>
      <c r="G707" s="102" t="s">
        <v>3434</v>
      </c>
      <c r="K707" s="102" t="s">
        <v>887</v>
      </c>
      <c r="S707" s="102" t="s">
        <v>174</v>
      </c>
      <c r="T707" s="102" t="s">
        <v>7</v>
      </c>
    </row>
    <row r="708" spans="1:20">
      <c r="A708" s="101" t="s">
        <v>3463</v>
      </c>
      <c r="B708" s="101" t="s">
        <v>8730</v>
      </c>
      <c r="C708" s="101">
        <v>1060</v>
      </c>
      <c r="D708" s="102" t="s">
        <v>7947</v>
      </c>
      <c r="E708" s="102" t="s">
        <v>849</v>
      </c>
      <c r="G708" s="102" t="s">
        <v>3434</v>
      </c>
      <c r="K708" s="102" t="s">
        <v>7948</v>
      </c>
      <c r="S708" s="102" t="s">
        <v>35</v>
      </c>
      <c r="T708" s="102" t="s">
        <v>7</v>
      </c>
    </row>
    <row r="709" spans="1:20">
      <c r="A709" s="101" t="s">
        <v>3463</v>
      </c>
      <c r="B709" s="101" t="s">
        <v>8730</v>
      </c>
      <c r="C709" s="101">
        <v>1061</v>
      </c>
      <c r="D709" s="102" t="s">
        <v>7949</v>
      </c>
      <c r="E709" s="102" t="s">
        <v>850</v>
      </c>
      <c r="G709" s="102" t="s">
        <v>3434</v>
      </c>
      <c r="H709" s="102" t="s">
        <v>3402</v>
      </c>
      <c r="K709" s="102" t="s">
        <v>3401</v>
      </c>
      <c r="L709" s="102" t="s">
        <v>7950</v>
      </c>
      <c r="S709" s="102" t="s">
        <v>33</v>
      </c>
      <c r="T709" s="102" t="s">
        <v>7</v>
      </c>
    </row>
    <row r="710" spans="1:20">
      <c r="A710" s="101" t="s">
        <v>3463</v>
      </c>
      <c r="B710" s="101" t="s">
        <v>8730</v>
      </c>
      <c r="C710" s="101">
        <v>1062</v>
      </c>
      <c r="D710" s="102" t="s">
        <v>7951</v>
      </c>
      <c r="E710" s="102" t="s">
        <v>852</v>
      </c>
      <c r="G710" s="102" t="s">
        <v>3434</v>
      </c>
      <c r="H710" s="102" t="s">
        <v>3402</v>
      </c>
      <c r="K710" s="102" t="s">
        <v>3401</v>
      </c>
      <c r="L710" s="102" t="s">
        <v>4313</v>
      </c>
      <c r="S710" s="102" t="s">
        <v>174</v>
      </c>
      <c r="T710" s="102" t="s">
        <v>7</v>
      </c>
    </row>
    <row r="711" spans="1:20">
      <c r="A711" s="101" t="s">
        <v>3463</v>
      </c>
      <c r="B711" s="101" t="s">
        <v>8730</v>
      </c>
      <c r="C711" s="101">
        <v>1063</v>
      </c>
      <c r="D711" s="102" t="s">
        <v>7952</v>
      </c>
      <c r="E711" s="102" t="s">
        <v>852</v>
      </c>
      <c r="G711" s="102" t="s">
        <v>3434</v>
      </c>
      <c r="K711" s="102" t="s">
        <v>7953</v>
      </c>
      <c r="L711" s="102" t="s">
        <v>7954</v>
      </c>
      <c r="S711" s="102" t="s">
        <v>182</v>
      </c>
      <c r="T711" s="102" t="s">
        <v>7</v>
      </c>
    </row>
    <row r="712" spans="1:20">
      <c r="A712" s="101" t="s">
        <v>3463</v>
      </c>
      <c r="B712" s="101" t="s">
        <v>8730</v>
      </c>
      <c r="C712" s="101">
        <v>1064</v>
      </c>
      <c r="D712" s="102" t="s">
        <v>7955</v>
      </c>
      <c r="E712" s="102" t="s">
        <v>851</v>
      </c>
      <c r="G712" s="102" t="s">
        <v>3434</v>
      </c>
      <c r="H712" s="102" t="s">
        <v>3402</v>
      </c>
      <c r="K712" s="102" t="s">
        <v>3401</v>
      </c>
      <c r="L712" s="102" t="s">
        <v>7956</v>
      </c>
      <c r="M712" s="102" t="s">
        <v>7957</v>
      </c>
      <c r="S712" s="102" t="s">
        <v>31</v>
      </c>
      <c r="T712" s="102" t="s">
        <v>7</v>
      </c>
    </row>
    <row r="713" spans="1:20">
      <c r="A713" s="101" t="s">
        <v>3463</v>
      </c>
      <c r="B713" s="101" t="s">
        <v>8730</v>
      </c>
      <c r="C713" s="101">
        <v>1065</v>
      </c>
      <c r="D713" s="102" t="s">
        <v>7958</v>
      </c>
      <c r="E713" s="102" t="s">
        <v>851</v>
      </c>
      <c r="G713" s="102" t="s">
        <v>3434</v>
      </c>
      <c r="H713" s="102" t="s">
        <v>3402</v>
      </c>
      <c r="K713" s="102" t="s">
        <v>3401</v>
      </c>
      <c r="L713" s="102" t="s">
        <v>7959</v>
      </c>
      <c r="M713" s="102" t="s">
        <v>5666</v>
      </c>
      <c r="S713" s="102" t="s">
        <v>170</v>
      </c>
      <c r="T713" s="102" t="s">
        <v>7</v>
      </c>
    </row>
    <row r="714" spans="1:20">
      <c r="A714" s="101" t="s">
        <v>3463</v>
      </c>
      <c r="B714" s="101" t="s">
        <v>8730</v>
      </c>
      <c r="C714" s="101">
        <v>1066</v>
      </c>
      <c r="D714" s="102" t="s">
        <v>7960</v>
      </c>
      <c r="E714" s="102" t="s">
        <v>851</v>
      </c>
      <c r="G714" s="102" t="s">
        <v>1526</v>
      </c>
      <c r="H714" s="102" t="s">
        <v>5674</v>
      </c>
      <c r="K714" s="102" t="s">
        <v>7961</v>
      </c>
      <c r="S714" s="102" t="s">
        <v>175</v>
      </c>
      <c r="T714" s="102" t="s">
        <v>7</v>
      </c>
    </row>
    <row r="715" spans="1:20">
      <c r="A715" s="101" t="s">
        <v>3463</v>
      </c>
      <c r="B715" s="101" t="s">
        <v>8730</v>
      </c>
      <c r="C715" s="101">
        <v>1067</v>
      </c>
      <c r="D715" s="102" t="s">
        <v>7962</v>
      </c>
      <c r="E715" s="102" t="s">
        <v>851</v>
      </c>
      <c r="G715" s="102" t="s">
        <v>3434</v>
      </c>
      <c r="H715" s="102" t="s">
        <v>3402</v>
      </c>
      <c r="K715" s="102" t="s">
        <v>3401</v>
      </c>
      <c r="L715" s="102" t="s">
        <v>4313</v>
      </c>
      <c r="M715" s="102" t="s">
        <v>7963</v>
      </c>
      <c r="S715" s="102" t="s">
        <v>3747</v>
      </c>
      <c r="T715" s="102" t="s">
        <v>7</v>
      </c>
    </row>
    <row r="716" spans="1:20">
      <c r="A716" s="101" t="s">
        <v>3463</v>
      </c>
      <c r="B716" s="101" t="s">
        <v>8730</v>
      </c>
      <c r="C716" s="101">
        <v>1068</v>
      </c>
      <c r="D716" s="102" t="s">
        <v>7964</v>
      </c>
      <c r="E716" s="102" t="s">
        <v>851</v>
      </c>
      <c r="G716" s="102" t="s">
        <v>3434</v>
      </c>
      <c r="H716" s="102" t="s">
        <v>3402</v>
      </c>
      <c r="K716" s="102" t="s">
        <v>3401</v>
      </c>
      <c r="L716" s="102" t="s">
        <v>7965</v>
      </c>
      <c r="M716" s="102" t="s">
        <v>7966</v>
      </c>
      <c r="S716" s="102" t="s">
        <v>180</v>
      </c>
      <c r="T716" s="102" t="s">
        <v>7</v>
      </c>
    </row>
    <row r="717" spans="1:20">
      <c r="A717" s="101" t="s">
        <v>3463</v>
      </c>
      <c r="B717" s="101" t="s">
        <v>8730</v>
      </c>
      <c r="C717" s="101">
        <v>1069</v>
      </c>
      <c r="D717" s="102" t="s">
        <v>7967</v>
      </c>
      <c r="E717" s="102" t="s">
        <v>852</v>
      </c>
      <c r="G717" s="102" t="s">
        <v>3434</v>
      </c>
      <c r="H717" s="102" t="s">
        <v>3402</v>
      </c>
      <c r="K717" s="102" t="s">
        <v>5489</v>
      </c>
      <c r="L717" s="102" t="s">
        <v>4313</v>
      </c>
      <c r="S717" s="102" t="s">
        <v>169</v>
      </c>
      <c r="T717" s="102" t="s">
        <v>7</v>
      </c>
    </row>
    <row r="718" spans="1:20">
      <c r="A718" s="101" t="s">
        <v>3463</v>
      </c>
      <c r="B718" s="101" t="s">
        <v>8730</v>
      </c>
      <c r="C718" s="101">
        <v>1070</v>
      </c>
      <c r="D718" s="102" t="s">
        <v>7968</v>
      </c>
      <c r="E718" s="102" t="s">
        <v>851</v>
      </c>
      <c r="G718" s="102" t="s">
        <v>3434</v>
      </c>
      <c r="H718" s="102" t="s">
        <v>3402</v>
      </c>
      <c r="K718" s="102" t="s">
        <v>3401</v>
      </c>
      <c r="L718" s="102" t="s">
        <v>4313</v>
      </c>
      <c r="M718" s="102" t="s">
        <v>7969</v>
      </c>
      <c r="S718" s="102" t="s">
        <v>604</v>
      </c>
      <c r="T718" s="102" t="s">
        <v>7</v>
      </c>
    </row>
    <row r="719" spans="1:20">
      <c r="A719" s="101" t="s">
        <v>3463</v>
      </c>
      <c r="B719" s="101" t="s">
        <v>8730</v>
      </c>
      <c r="C719" s="101">
        <v>1071</v>
      </c>
      <c r="D719" s="102" t="s">
        <v>7970</v>
      </c>
      <c r="E719" s="102" t="s">
        <v>852</v>
      </c>
      <c r="G719" s="102" t="s">
        <v>3434</v>
      </c>
      <c r="H719" s="102" t="s">
        <v>3402</v>
      </c>
      <c r="K719" s="102" t="s">
        <v>3401</v>
      </c>
      <c r="L719" s="102" t="s">
        <v>4313</v>
      </c>
      <c r="M719" s="102" t="s">
        <v>7971</v>
      </c>
      <c r="S719" s="102" t="s">
        <v>176</v>
      </c>
      <c r="T719" s="102" t="s">
        <v>7</v>
      </c>
    </row>
    <row r="720" spans="1:20">
      <c r="A720" s="103" t="s">
        <v>3463</v>
      </c>
      <c r="B720" s="103" t="s">
        <v>8730</v>
      </c>
      <c r="C720" s="103">
        <v>1072</v>
      </c>
      <c r="D720" s="104" t="s">
        <v>7972</v>
      </c>
      <c r="E720" s="104" t="s">
        <v>944</v>
      </c>
      <c r="F720" s="104"/>
      <c r="G720" s="104" t="s">
        <v>1526</v>
      </c>
      <c r="H720" s="104" t="s">
        <v>3402</v>
      </c>
      <c r="I720" s="104"/>
      <c r="J720" s="104"/>
      <c r="K720" s="104" t="s">
        <v>6575</v>
      </c>
      <c r="L720" s="104" t="s">
        <v>7973</v>
      </c>
      <c r="M720" s="104" t="s">
        <v>7974</v>
      </c>
      <c r="N720" s="104"/>
      <c r="O720" s="104"/>
      <c r="P720" s="104"/>
      <c r="Q720" s="104"/>
      <c r="S720" s="102" t="s">
        <v>5719</v>
      </c>
      <c r="T720" s="102" t="s">
        <v>7</v>
      </c>
    </row>
    <row r="721" spans="1:20">
      <c r="A721" s="101" t="s">
        <v>3463</v>
      </c>
      <c r="B721" s="101" t="s">
        <v>8730</v>
      </c>
      <c r="C721" s="101">
        <v>1073</v>
      </c>
      <c r="D721" s="102" t="s">
        <v>7705</v>
      </c>
      <c r="E721" s="102" t="s">
        <v>4061</v>
      </c>
      <c r="G721" s="102" t="s">
        <v>3434</v>
      </c>
      <c r="H721" s="102" t="s">
        <v>3402</v>
      </c>
      <c r="K721" s="102" t="s">
        <v>3401</v>
      </c>
      <c r="L721" s="102" t="s">
        <v>7706</v>
      </c>
      <c r="M721" s="102" t="s">
        <v>4145</v>
      </c>
      <c r="S721" s="102" t="s">
        <v>40</v>
      </c>
      <c r="T721" s="102" t="s">
        <v>7</v>
      </c>
    </row>
    <row r="722" spans="1:20">
      <c r="A722" s="101" t="s">
        <v>3463</v>
      </c>
      <c r="B722" s="101" t="s">
        <v>8730</v>
      </c>
      <c r="C722" s="101">
        <v>1074</v>
      </c>
      <c r="D722" s="102" t="s">
        <v>7975</v>
      </c>
      <c r="E722" s="102" t="s">
        <v>944</v>
      </c>
      <c r="G722" s="102" t="s">
        <v>3434</v>
      </c>
      <c r="H722" s="102" t="s">
        <v>3402</v>
      </c>
      <c r="K722" s="102" t="s">
        <v>7976</v>
      </c>
      <c r="L722" s="102" t="s">
        <v>7977</v>
      </c>
      <c r="S722" s="102" t="s">
        <v>171</v>
      </c>
      <c r="T722" s="102" t="s">
        <v>7</v>
      </c>
    </row>
    <row r="723" spans="1:20">
      <c r="A723" s="101" t="s">
        <v>3463</v>
      </c>
      <c r="B723" s="101" t="s">
        <v>8730</v>
      </c>
      <c r="C723" s="101">
        <v>1075</v>
      </c>
      <c r="D723" s="102" t="s">
        <v>7978</v>
      </c>
      <c r="E723" s="102" t="s">
        <v>7979</v>
      </c>
      <c r="G723" s="102" t="s">
        <v>3434</v>
      </c>
      <c r="H723" s="102" t="s">
        <v>3402</v>
      </c>
      <c r="K723" s="102" t="s">
        <v>6575</v>
      </c>
      <c r="L723" s="102" t="s">
        <v>7980</v>
      </c>
      <c r="M723" s="102" t="s">
        <v>7973</v>
      </c>
      <c r="S723" s="102" t="s">
        <v>50</v>
      </c>
      <c r="T723" s="102" t="s">
        <v>7</v>
      </c>
    </row>
    <row r="724" spans="1:20">
      <c r="A724" s="101" t="s">
        <v>3463</v>
      </c>
      <c r="B724" s="101" t="s">
        <v>8730</v>
      </c>
      <c r="C724" s="101">
        <v>1076</v>
      </c>
      <c r="D724" s="102" t="s">
        <v>7981</v>
      </c>
      <c r="E724" s="102" t="s">
        <v>3139</v>
      </c>
      <c r="G724" s="102" t="s">
        <v>3434</v>
      </c>
      <c r="H724" s="102" t="s">
        <v>3402</v>
      </c>
      <c r="K724" s="102" t="s">
        <v>7010</v>
      </c>
      <c r="L724" s="102" t="s">
        <v>6575</v>
      </c>
      <c r="M724" s="102" t="s">
        <v>7973</v>
      </c>
      <c r="S724" s="102" t="s">
        <v>768</v>
      </c>
      <c r="T724" s="102" t="s">
        <v>7</v>
      </c>
    </row>
    <row r="725" spans="1:20">
      <c r="A725" s="101" t="s">
        <v>3463</v>
      </c>
      <c r="B725" s="101" t="s">
        <v>8730</v>
      </c>
      <c r="C725" s="101">
        <v>1077</v>
      </c>
      <c r="D725" s="102" t="s">
        <v>7982</v>
      </c>
      <c r="E725" s="102" t="s">
        <v>3139</v>
      </c>
      <c r="G725" s="102" t="s">
        <v>3434</v>
      </c>
      <c r="H725" s="102" t="s">
        <v>3402</v>
      </c>
      <c r="K725" s="102" t="s">
        <v>6575</v>
      </c>
      <c r="L725" s="102" t="s">
        <v>7973</v>
      </c>
      <c r="M725" s="102" t="s">
        <v>4953</v>
      </c>
      <c r="S725" s="102" t="s">
        <v>17</v>
      </c>
      <c r="T725" s="102" t="s">
        <v>7</v>
      </c>
    </row>
    <row r="726" spans="1:20">
      <c r="A726" s="102" t="s">
        <v>3465</v>
      </c>
      <c r="B726" s="102" t="s">
        <v>8730</v>
      </c>
      <c r="C726" s="101">
        <v>2001</v>
      </c>
      <c r="D726" s="102" t="s">
        <v>8208</v>
      </c>
      <c r="E726" s="102" t="s">
        <v>845</v>
      </c>
      <c r="G726" s="102" t="s">
        <v>3434</v>
      </c>
      <c r="K726" s="102" t="s">
        <v>8209</v>
      </c>
      <c r="L726" s="102" t="s">
        <v>8210</v>
      </c>
      <c r="S726" s="102" t="s">
        <v>604</v>
      </c>
      <c r="T726" s="102" t="s">
        <v>9</v>
      </c>
    </row>
    <row r="727" spans="1:20">
      <c r="A727" s="102" t="s">
        <v>3465</v>
      </c>
      <c r="B727" s="102" t="s">
        <v>8730</v>
      </c>
      <c r="C727" s="101">
        <v>2002</v>
      </c>
      <c r="D727" s="102" t="s">
        <v>8211</v>
      </c>
      <c r="E727" s="102" t="s">
        <v>845</v>
      </c>
      <c r="G727" s="102" t="s">
        <v>3086</v>
      </c>
      <c r="H727" s="102" t="s">
        <v>13399</v>
      </c>
      <c r="K727" s="102" t="s">
        <v>8212</v>
      </c>
      <c r="L727" s="102" t="s">
        <v>1</v>
      </c>
      <c r="M727" s="102" t="s">
        <v>4313</v>
      </c>
      <c r="N727" s="102" t="s">
        <v>7546</v>
      </c>
      <c r="P727" s="102" t="s">
        <v>155</v>
      </c>
      <c r="S727" s="102" t="s">
        <v>27</v>
      </c>
      <c r="T727" s="102" t="s">
        <v>9</v>
      </c>
    </row>
    <row r="728" spans="1:20">
      <c r="A728" s="102" t="s">
        <v>3465</v>
      </c>
      <c r="B728" s="102" t="s">
        <v>8730</v>
      </c>
      <c r="C728" s="101">
        <v>2003</v>
      </c>
      <c r="D728" s="102" t="s">
        <v>8213</v>
      </c>
      <c r="E728" s="102" t="s">
        <v>845</v>
      </c>
      <c r="G728" s="102" t="s">
        <v>3434</v>
      </c>
      <c r="K728" s="102" t="s">
        <v>8214</v>
      </c>
      <c r="S728" s="102" t="s">
        <v>170</v>
      </c>
      <c r="T728" s="102" t="s">
        <v>9</v>
      </c>
    </row>
    <row r="729" spans="1:20">
      <c r="A729" s="102" t="s">
        <v>3465</v>
      </c>
      <c r="B729" s="102" t="s">
        <v>8730</v>
      </c>
      <c r="C729" s="101">
        <v>2005</v>
      </c>
      <c r="D729" s="102" t="s">
        <v>8215</v>
      </c>
      <c r="E729" s="102" t="s">
        <v>846</v>
      </c>
      <c r="G729" s="102" t="s">
        <v>3434</v>
      </c>
      <c r="K729" s="102" t="s">
        <v>8216</v>
      </c>
      <c r="S729" s="102" t="s">
        <v>605</v>
      </c>
      <c r="T729" s="102" t="s">
        <v>9</v>
      </c>
    </row>
    <row r="730" spans="1:20">
      <c r="A730" s="102" t="s">
        <v>3465</v>
      </c>
      <c r="B730" s="102" t="s">
        <v>8730</v>
      </c>
      <c r="C730" s="101">
        <v>2006</v>
      </c>
      <c r="D730" s="102" t="s">
        <v>8217</v>
      </c>
      <c r="E730" s="102" t="s">
        <v>1008</v>
      </c>
      <c r="G730" s="102" t="s">
        <v>3434</v>
      </c>
      <c r="J730" s="102" t="s">
        <v>13427</v>
      </c>
      <c r="K730" s="102" t="s">
        <v>8218</v>
      </c>
      <c r="L730" s="102" t="s">
        <v>8219</v>
      </c>
      <c r="S730" s="102" t="s">
        <v>3119</v>
      </c>
      <c r="T730" s="102" t="s">
        <v>9</v>
      </c>
    </row>
    <row r="731" spans="1:20">
      <c r="A731" s="102" t="s">
        <v>3465</v>
      </c>
      <c r="B731" s="102" t="s">
        <v>8730</v>
      </c>
      <c r="C731" s="101">
        <v>2007</v>
      </c>
      <c r="D731" s="102" t="s">
        <v>8220</v>
      </c>
      <c r="E731" s="102" t="s">
        <v>846</v>
      </c>
      <c r="G731" s="102" t="s">
        <v>3434</v>
      </c>
      <c r="K731" s="102" t="s">
        <v>8221</v>
      </c>
      <c r="S731" s="102" t="s">
        <v>11</v>
      </c>
      <c r="T731" s="102" t="s">
        <v>9</v>
      </c>
    </row>
    <row r="732" spans="1:20">
      <c r="A732" s="104" t="s">
        <v>3465</v>
      </c>
      <c r="B732" s="104" t="s">
        <v>8730</v>
      </c>
      <c r="C732" s="103">
        <v>2008</v>
      </c>
      <c r="D732" s="104" t="s">
        <v>8222</v>
      </c>
      <c r="E732" s="104" t="s">
        <v>846</v>
      </c>
      <c r="F732" s="104"/>
      <c r="G732" s="104" t="s">
        <v>3434</v>
      </c>
      <c r="H732" s="104" t="s">
        <v>3402</v>
      </c>
      <c r="I732" s="104"/>
      <c r="J732" s="104"/>
      <c r="K732" s="104" t="s">
        <v>3401</v>
      </c>
      <c r="L732" s="104" t="s">
        <v>8223</v>
      </c>
      <c r="M732" s="104" t="s">
        <v>8224</v>
      </c>
      <c r="N732" s="104"/>
      <c r="O732" s="104"/>
      <c r="P732" s="104"/>
      <c r="Q732" s="104"/>
      <c r="S732" s="102" t="s">
        <v>5685</v>
      </c>
      <c r="T732" s="102" t="s">
        <v>9</v>
      </c>
    </row>
    <row r="733" spans="1:20">
      <c r="A733" s="102" t="s">
        <v>3465</v>
      </c>
      <c r="B733" s="102" t="s">
        <v>8730</v>
      </c>
      <c r="C733" s="101">
        <v>2009</v>
      </c>
      <c r="D733" s="102" t="s">
        <v>8225</v>
      </c>
      <c r="E733" s="102" t="s">
        <v>846</v>
      </c>
      <c r="G733" s="102" t="s">
        <v>3434</v>
      </c>
      <c r="K733" s="102" t="s">
        <v>8226</v>
      </c>
      <c r="S733" s="102" t="s">
        <v>606</v>
      </c>
      <c r="T733" s="102" t="s">
        <v>9</v>
      </c>
    </row>
    <row r="734" spans="1:20">
      <c r="A734" s="102" t="s">
        <v>3465</v>
      </c>
      <c r="B734" s="102" t="s">
        <v>8730</v>
      </c>
      <c r="C734" s="101">
        <v>2010</v>
      </c>
      <c r="D734" s="102" t="s">
        <v>8227</v>
      </c>
      <c r="E734" s="102" t="s">
        <v>846</v>
      </c>
      <c r="G734" s="102" t="s">
        <v>3434</v>
      </c>
      <c r="H734" s="102" t="s">
        <v>3402</v>
      </c>
      <c r="K734" s="102" t="s">
        <v>3401</v>
      </c>
      <c r="L734" s="102" t="s">
        <v>8228</v>
      </c>
      <c r="S734" s="102" t="s">
        <v>32</v>
      </c>
      <c r="T734" s="102" t="s">
        <v>9</v>
      </c>
    </row>
    <row r="735" spans="1:20">
      <c r="A735" s="102" t="s">
        <v>3465</v>
      </c>
      <c r="B735" s="102" t="s">
        <v>8730</v>
      </c>
      <c r="C735" s="101">
        <v>2011</v>
      </c>
      <c r="D735" s="102" t="s">
        <v>8229</v>
      </c>
      <c r="E735" s="102" t="s">
        <v>846</v>
      </c>
      <c r="G735" s="102" t="s">
        <v>1526</v>
      </c>
      <c r="K735" s="102" t="s">
        <v>8230</v>
      </c>
      <c r="T735" s="102" t="s">
        <v>9</v>
      </c>
    </row>
    <row r="736" spans="1:20">
      <c r="A736" s="102" t="s">
        <v>3465</v>
      </c>
      <c r="B736" s="102" t="s">
        <v>8730</v>
      </c>
      <c r="C736" s="101">
        <v>2012</v>
      </c>
      <c r="D736" s="102" t="s">
        <v>8231</v>
      </c>
      <c r="E736" s="102" t="s">
        <v>13449</v>
      </c>
      <c r="F736" s="102" t="s">
        <v>13449</v>
      </c>
      <c r="G736" s="102" t="s">
        <v>3617</v>
      </c>
      <c r="K736" s="102" t="s">
        <v>8232</v>
      </c>
      <c r="L736" s="102" t="s">
        <v>5778</v>
      </c>
      <c r="M736" s="102" t="s">
        <v>8233</v>
      </c>
      <c r="S736" s="102" t="s">
        <v>30</v>
      </c>
      <c r="T736" s="102" t="s">
        <v>9</v>
      </c>
    </row>
    <row r="737" spans="1:20">
      <c r="A737" s="102" t="s">
        <v>3465</v>
      </c>
      <c r="B737" s="102" t="s">
        <v>8730</v>
      </c>
      <c r="C737" s="101">
        <v>2013</v>
      </c>
      <c r="D737" s="102" t="s">
        <v>8234</v>
      </c>
      <c r="E737" s="102" t="s">
        <v>846</v>
      </c>
      <c r="G737" s="102" t="s">
        <v>3087</v>
      </c>
      <c r="H737" s="102" t="s">
        <v>13400</v>
      </c>
      <c r="K737" s="102" t="s">
        <v>1</v>
      </c>
      <c r="L737" s="102" t="s">
        <v>8235</v>
      </c>
      <c r="P737" s="102" t="s">
        <v>155</v>
      </c>
      <c r="T737" s="102" t="s">
        <v>9</v>
      </c>
    </row>
    <row r="738" spans="1:20">
      <c r="A738" s="102" t="s">
        <v>3465</v>
      </c>
      <c r="B738" s="102" t="s">
        <v>8730</v>
      </c>
      <c r="C738" s="101">
        <v>2014</v>
      </c>
      <c r="D738" s="102" t="s">
        <v>8236</v>
      </c>
      <c r="E738" s="102" t="s">
        <v>846</v>
      </c>
      <c r="G738" s="102" t="s">
        <v>1526</v>
      </c>
      <c r="J738" s="102" t="s">
        <v>13427</v>
      </c>
      <c r="K738" s="102" t="s">
        <v>8237</v>
      </c>
      <c r="S738" s="102" t="s">
        <v>179</v>
      </c>
      <c r="T738" s="102" t="s">
        <v>9</v>
      </c>
    </row>
    <row r="739" spans="1:20">
      <c r="A739" s="102" t="s">
        <v>3465</v>
      </c>
      <c r="B739" s="102" t="s">
        <v>8730</v>
      </c>
      <c r="C739" s="101">
        <v>2015</v>
      </c>
      <c r="D739" s="102" t="s">
        <v>8238</v>
      </c>
      <c r="E739" s="102" t="s">
        <v>846</v>
      </c>
      <c r="G739" s="102" t="s">
        <v>3434</v>
      </c>
      <c r="K739" s="102" t="s">
        <v>8239</v>
      </c>
      <c r="L739" s="102" t="s">
        <v>8240</v>
      </c>
      <c r="S739" s="102" t="s">
        <v>171</v>
      </c>
      <c r="T739" s="102" t="s">
        <v>9</v>
      </c>
    </row>
    <row r="740" spans="1:20">
      <c r="A740" s="102" t="s">
        <v>3465</v>
      </c>
      <c r="B740" s="102" t="s">
        <v>8730</v>
      </c>
      <c r="C740" s="101">
        <v>2016</v>
      </c>
      <c r="D740" s="102" t="s">
        <v>8241</v>
      </c>
      <c r="E740" s="102" t="s">
        <v>847</v>
      </c>
      <c r="G740" s="102" t="s">
        <v>3434</v>
      </c>
      <c r="K740" s="102" t="s">
        <v>8242</v>
      </c>
      <c r="L740" s="102" t="s">
        <v>8243</v>
      </c>
      <c r="M740" s="102" t="s">
        <v>8244</v>
      </c>
      <c r="S740" s="102" t="s">
        <v>53</v>
      </c>
      <c r="T740" s="102" t="s">
        <v>9</v>
      </c>
    </row>
    <row r="741" spans="1:20">
      <c r="A741" s="102" t="s">
        <v>3465</v>
      </c>
      <c r="B741" s="102" t="s">
        <v>8730</v>
      </c>
      <c r="C741" s="101">
        <v>2017</v>
      </c>
      <c r="D741" s="102" t="s">
        <v>8245</v>
      </c>
      <c r="E741" s="102" t="s">
        <v>847</v>
      </c>
      <c r="G741" s="102" t="s">
        <v>3434</v>
      </c>
      <c r="K741" s="102" t="s">
        <v>8246</v>
      </c>
      <c r="L741" s="102" t="s">
        <v>8247</v>
      </c>
      <c r="S741" s="102" t="s">
        <v>182</v>
      </c>
      <c r="T741" s="102" t="s">
        <v>9</v>
      </c>
    </row>
    <row r="742" spans="1:20">
      <c r="A742" s="102" t="s">
        <v>3465</v>
      </c>
      <c r="B742" s="102" t="s">
        <v>8730</v>
      </c>
      <c r="C742" s="101">
        <v>2018</v>
      </c>
      <c r="D742" s="102" t="s">
        <v>8248</v>
      </c>
      <c r="E742" s="102" t="s">
        <v>847</v>
      </c>
      <c r="G742" s="102" t="s">
        <v>3434</v>
      </c>
      <c r="H742" s="102" t="s">
        <v>13397</v>
      </c>
      <c r="K742" s="102" t="s">
        <v>1168</v>
      </c>
      <c r="L742" s="102" t="s">
        <v>8249</v>
      </c>
      <c r="S742" s="102" t="s">
        <v>29</v>
      </c>
      <c r="T742" s="102" t="s">
        <v>9</v>
      </c>
    </row>
    <row r="743" spans="1:20">
      <c r="A743" s="102" t="s">
        <v>3465</v>
      </c>
      <c r="B743" s="102" t="s">
        <v>8730</v>
      </c>
      <c r="C743" s="101">
        <v>2019</v>
      </c>
      <c r="D743" s="102" t="s">
        <v>8250</v>
      </c>
      <c r="E743" s="102" t="s">
        <v>847</v>
      </c>
      <c r="G743" s="102" t="s">
        <v>3434</v>
      </c>
      <c r="K743" s="102" t="s">
        <v>8251</v>
      </c>
      <c r="S743" s="102" t="s">
        <v>8</v>
      </c>
      <c r="T743" s="102" t="s">
        <v>9</v>
      </c>
    </row>
    <row r="744" spans="1:20">
      <c r="A744" s="102" t="s">
        <v>3465</v>
      </c>
      <c r="B744" s="102" t="s">
        <v>8730</v>
      </c>
      <c r="C744" s="101">
        <v>2020</v>
      </c>
      <c r="D744" s="102" t="s">
        <v>8252</v>
      </c>
      <c r="E744" s="102" t="s">
        <v>847</v>
      </c>
      <c r="G744" s="102" t="s">
        <v>3434</v>
      </c>
      <c r="K744" s="102" t="s">
        <v>8253</v>
      </c>
      <c r="L744" s="102" t="s">
        <v>8254</v>
      </c>
      <c r="S744" s="102" t="s">
        <v>607</v>
      </c>
      <c r="T744" s="102" t="s">
        <v>9</v>
      </c>
    </row>
    <row r="745" spans="1:20">
      <c r="A745" s="102" t="s">
        <v>3465</v>
      </c>
      <c r="B745" s="102" t="s">
        <v>8730</v>
      </c>
      <c r="C745" s="101">
        <v>2021</v>
      </c>
      <c r="D745" s="102" t="s">
        <v>8255</v>
      </c>
      <c r="E745" s="102" t="s">
        <v>848</v>
      </c>
      <c r="G745" s="102" t="s">
        <v>3434</v>
      </c>
      <c r="K745" s="102" t="s">
        <v>3</v>
      </c>
      <c r="L745" s="102" t="s">
        <v>8256</v>
      </c>
      <c r="S745" s="102" t="s">
        <v>27</v>
      </c>
      <c r="T745" s="102" t="s">
        <v>9</v>
      </c>
    </row>
    <row r="746" spans="1:20">
      <c r="A746" s="102" t="s">
        <v>3465</v>
      </c>
      <c r="B746" s="102" t="s">
        <v>8730</v>
      </c>
      <c r="C746" s="101">
        <v>2022</v>
      </c>
      <c r="D746" s="102" t="s">
        <v>8257</v>
      </c>
      <c r="E746" s="102" t="s">
        <v>847</v>
      </c>
      <c r="G746" s="102" t="s">
        <v>3434</v>
      </c>
      <c r="K746" s="102" t="s">
        <v>8258</v>
      </c>
      <c r="L746" s="102" t="s">
        <v>8259</v>
      </c>
      <c r="S746" s="102" t="s">
        <v>36</v>
      </c>
      <c r="T746" s="102" t="s">
        <v>9</v>
      </c>
    </row>
    <row r="747" spans="1:20">
      <c r="A747" s="102" t="s">
        <v>3465</v>
      </c>
      <c r="B747" s="102" t="s">
        <v>8730</v>
      </c>
      <c r="C747" s="101">
        <v>2023</v>
      </c>
      <c r="D747" s="102" t="s">
        <v>8260</v>
      </c>
      <c r="E747" s="102" t="s">
        <v>847</v>
      </c>
      <c r="G747" s="102" t="s">
        <v>3434</v>
      </c>
      <c r="H747" s="102" t="s">
        <v>3402</v>
      </c>
      <c r="K747" s="102" t="s">
        <v>8261</v>
      </c>
      <c r="L747" s="102" t="s">
        <v>8262</v>
      </c>
      <c r="S747" s="102" t="s">
        <v>39</v>
      </c>
      <c r="T747" s="102" t="s">
        <v>9</v>
      </c>
    </row>
    <row r="748" spans="1:20">
      <c r="A748" s="102" t="s">
        <v>3465</v>
      </c>
      <c r="B748" s="102" t="s">
        <v>8730</v>
      </c>
      <c r="C748" s="101">
        <v>2025</v>
      </c>
      <c r="D748" s="102" t="s">
        <v>8263</v>
      </c>
      <c r="E748" s="102" t="s">
        <v>848</v>
      </c>
      <c r="G748" s="102" t="s">
        <v>3434</v>
      </c>
      <c r="K748" s="102" t="s">
        <v>8264</v>
      </c>
      <c r="S748" s="102" t="s">
        <v>15</v>
      </c>
      <c r="T748" s="102" t="s">
        <v>9</v>
      </c>
    </row>
    <row r="749" spans="1:20">
      <c r="A749" s="102" t="s">
        <v>3465</v>
      </c>
      <c r="B749" s="102" t="s">
        <v>8730</v>
      </c>
      <c r="C749" s="101">
        <v>2026</v>
      </c>
      <c r="D749" s="102" t="s">
        <v>8265</v>
      </c>
      <c r="E749" s="102" t="s">
        <v>847</v>
      </c>
      <c r="G749" s="102" t="s">
        <v>1526</v>
      </c>
      <c r="K749" s="102" t="s">
        <v>8266</v>
      </c>
      <c r="L749" s="102" t="s">
        <v>8267</v>
      </c>
      <c r="S749" s="102" t="s">
        <v>37</v>
      </c>
      <c r="T749" s="102" t="s">
        <v>9</v>
      </c>
    </row>
    <row r="750" spans="1:20">
      <c r="A750" s="102" t="s">
        <v>3465</v>
      </c>
      <c r="B750" s="102" t="s">
        <v>8730</v>
      </c>
      <c r="C750" s="101">
        <v>2027</v>
      </c>
      <c r="D750" s="102" t="s">
        <v>8268</v>
      </c>
      <c r="E750" s="102" t="s">
        <v>847</v>
      </c>
      <c r="G750" s="102" t="s">
        <v>3434</v>
      </c>
      <c r="K750" s="102" t="s">
        <v>8269</v>
      </c>
      <c r="L750" s="102" t="s">
        <v>8270</v>
      </c>
      <c r="S750" s="102" t="s">
        <v>182</v>
      </c>
      <c r="T750" s="102" t="s">
        <v>9</v>
      </c>
    </row>
    <row r="751" spans="1:20">
      <c r="A751" s="102" t="s">
        <v>3465</v>
      </c>
      <c r="B751" s="102" t="s">
        <v>8730</v>
      </c>
      <c r="C751" s="101">
        <v>2029</v>
      </c>
      <c r="D751" s="102" t="s">
        <v>8271</v>
      </c>
      <c r="E751" s="102" t="s">
        <v>847</v>
      </c>
      <c r="G751" s="102" t="s">
        <v>3434</v>
      </c>
      <c r="K751" s="102" t="s">
        <v>8272</v>
      </c>
      <c r="S751" s="102" t="s">
        <v>17</v>
      </c>
      <c r="T751" s="102" t="s">
        <v>9</v>
      </c>
    </row>
    <row r="752" spans="1:20">
      <c r="A752" s="102" t="s">
        <v>3465</v>
      </c>
      <c r="B752" s="102" t="s">
        <v>8730</v>
      </c>
      <c r="C752" s="101">
        <v>2030</v>
      </c>
      <c r="D752" s="102" t="s">
        <v>8273</v>
      </c>
      <c r="E752" s="102" t="s">
        <v>847</v>
      </c>
      <c r="G752" s="102" t="s">
        <v>3434</v>
      </c>
      <c r="K752" s="102" t="s">
        <v>8274</v>
      </c>
      <c r="L752" s="102" t="s">
        <v>8275</v>
      </c>
      <c r="S752" s="102" t="s">
        <v>30</v>
      </c>
      <c r="T752" s="102" t="s">
        <v>9</v>
      </c>
    </row>
    <row r="753" spans="1:20">
      <c r="A753" s="102" t="s">
        <v>3465</v>
      </c>
      <c r="B753" s="102" t="s">
        <v>8730</v>
      </c>
      <c r="C753" s="101">
        <v>2031</v>
      </c>
      <c r="D753" s="102" t="s">
        <v>8276</v>
      </c>
      <c r="E753" s="102" t="s">
        <v>848</v>
      </c>
      <c r="G753" s="102" t="s">
        <v>3434</v>
      </c>
      <c r="H753" s="102" t="s">
        <v>3402</v>
      </c>
      <c r="K753" s="102" t="s">
        <v>8277</v>
      </c>
      <c r="L753" s="102" t="s">
        <v>4313</v>
      </c>
      <c r="S753" s="102" t="s">
        <v>183</v>
      </c>
      <c r="T753" s="102" t="s">
        <v>9</v>
      </c>
    </row>
    <row r="754" spans="1:20">
      <c r="A754" s="102" t="s">
        <v>3465</v>
      </c>
      <c r="B754" s="102" t="s">
        <v>8730</v>
      </c>
      <c r="C754" s="101">
        <v>2032</v>
      </c>
      <c r="D754" s="102" t="s">
        <v>8278</v>
      </c>
      <c r="E754" s="102" t="s">
        <v>847</v>
      </c>
      <c r="G754" s="102" t="s">
        <v>3434</v>
      </c>
      <c r="K754" s="102" t="s">
        <v>8279</v>
      </c>
      <c r="L754" s="102" t="s">
        <v>8280</v>
      </c>
      <c r="M754" s="102" t="s">
        <v>8281</v>
      </c>
      <c r="S754" s="102" t="s">
        <v>37</v>
      </c>
      <c r="T754" s="102" t="s">
        <v>9</v>
      </c>
    </row>
    <row r="755" spans="1:20">
      <c r="A755" s="102" t="s">
        <v>3465</v>
      </c>
      <c r="B755" s="102" t="s">
        <v>8730</v>
      </c>
      <c r="C755" s="101">
        <v>2033</v>
      </c>
      <c r="D755" s="102" t="s">
        <v>8282</v>
      </c>
      <c r="E755" s="102" t="s">
        <v>850</v>
      </c>
      <c r="G755" s="102" t="s">
        <v>6685</v>
      </c>
      <c r="K755" s="102" t="s">
        <v>8283</v>
      </c>
      <c r="L755" s="102" t="s">
        <v>8284</v>
      </c>
      <c r="S755" s="102" t="s">
        <v>14</v>
      </c>
      <c r="T755" s="102" t="s">
        <v>9</v>
      </c>
    </row>
    <row r="756" spans="1:20">
      <c r="A756" s="102" t="s">
        <v>3465</v>
      </c>
      <c r="B756" s="102" t="s">
        <v>8730</v>
      </c>
      <c r="C756" s="101">
        <v>2035</v>
      </c>
      <c r="D756" s="102" t="s">
        <v>8285</v>
      </c>
      <c r="E756" s="102" t="s">
        <v>850</v>
      </c>
      <c r="G756" s="102" t="s">
        <v>3434</v>
      </c>
      <c r="K756" s="102" t="s">
        <v>8286</v>
      </c>
      <c r="S756" s="102" t="s">
        <v>50</v>
      </c>
      <c r="T756" s="102" t="s">
        <v>9</v>
      </c>
    </row>
    <row r="757" spans="1:20">
      <c r="A757" s="102" t="s">
        <v>3465</v>
      </c>
      <c r="B757" s="102" t="s">
        <v>8730</v>
      </c>
      <c r="C757" s="101">
        <v>2036</v>
      </c>
      <c r="D757" s="102" t="s">
        <v>8287</v>
      </c>
      <c r="E757" s="102" t="s">
        <v>850</v>
      </c>
      <c r="G757" s="102" t="s">
        <v>3434</v>
      </c>
      <c r="K757" s="102" t="s">
        <v>8288</v>
      </c>
      <c r="L757" s="102" t="s">
        <v>8289</v>
      </c>
      <c r="S757" s="102" t="s">
        <v>175</v>
      </c>
      <c r="T757" s="102" t="s">
        <v>9</v>
      </c>
    </row>
    <row r="758" spans="1:20">
      <c r="A758" s="102" t="s">
        <v>3465</v>
      </c>
      <c r="B758" s="102" t="s">
        <v>8730</v>
      </c>
      <c r="C758" s="101">
        <v>2037</v>
      </c>
      <c r="D758" s="102" t="s">
        <v>8290</v>
      </c>
      <c r="E758" s="102" t="s">
        <v>849</v>
      </c>
      <c r="G758" s="102" t="s">
        <v>3434</v>
      </c>
      <c r="K758" s="102" t="s">
        <v>8291</v>
      </c>
      <c r="S758" s="102" t="s">
        <v>3747</v>
      </c>
      <c r="T758" s="102" t="s">
        <v>9</v>
      </c>
    </row>
    <row r="759" spans="1:20">
      <c r="A759" s="102" t="s">
        <v>3465</v>
      </c>
      <c r="B759" s="102" t="s">
        <v>8730</v>
      </c>
      <c r="C759" s="101">
        <v>2038</v>
      </c>
      <c r="D759" s="102" t="s">
        <v>8292</v>
      </c>
      <c r="E759" s="102" t="s">
        <v>849</v>
      </c>
      <c r="G759" s="102" t="s">
        <v>3434</v>
      </c>
      <c r="K759" s="102" t="s">
        <v>8293</v>
      </c>
      <c r="L759" s="102" t="s">
        <v>8294</v>
      </c>
      <c r="M759" s="102" t="s">
        <v>8295</v>
      </c>
      <c r="S759" s="102" t="s">
        <v>5719</v>
      </c>
      <c r="T759" s="102" t="s">
        <v>9</v>
      </c>
    </row>
    <row r="760" spans="1:20">
      <c r="A760" s="102" t="s">
        <v>3465</v>
      </c>
      <c r="B760" s="102" t="s">
        <v>8730</v>
      </c>
      <c r="C760" s="101">
        <v>2039</v>
      </c>
      <c r="D760" s="102" t="s">
        <v>8296</v>
      </c>
      <c r="E760" s="102" t="s">
        <v>850</v>
      </c>
      <c r="G760" s="102" t="s">
        <v>3434</v>
      </c>
      <c r="K760" s="102" t="s">
        <v>8297</v>
      </c>
      <c r="S760" s="102" t="s">
        <v>182</v>
      </c>
      <c r="T760" s="102" t="s">
        <v>9</v>
      </c>
    </row>
    <row r="761" spans="1:20">
      <c r="A761" s="102" t="s">
        <v>3465</v>
      </c>
      <c r="B761" s="102" t="s">
        <v>8730</v>
      </c>
      <c r="C761" s="101">
        <v>2040</v>
      </c>
      <c r="D761" s="102" t="s">
        <v>8298</v>
      </c>
      <c r="E761" s="102" t="s">
        <v>850</v>
      </c>
      <c r="G761" s="102" t="s">
        <v>3434</v>
      </c>
      <c r="H761" s="102" t="s">
        <v>3402</v>
      </c>
      <c r="K761" s="102" t="s">
        <v>8299</v>
      </c>
      <c r="L761" s="102" t="s">
        <v>8300</v>
      </c>
      <c r="M761" s="102" t="s">
        <v>8301</v>
      </c>
      <c r="S761" s="102" t="s">
        <v>10</v>
      </c>
      <c r="T761" s="102" t="s">
        <v>9</v>
      </c>
    </row>
    <row r="762" spans="1:20">
      <c r="A762" s="102" t="s">
        <v>3465</v>
      </c>
      <c r="B762" s="102" t="s">
        <v>8730</v>
      </c>
      <c r="C762" s="101">
        <v>2041</v>
      </c>
      <c r="D762" s="102" t="s">
        <v>8302</v>
      </c>
      <c r="E762" s="102" t="s">
        <v>850</v>
      </c>
      <c r="G762" s="102" t="s">
        <v>3434</v>
      </c>
      <c r="K762" s="102" t="s">
        <v>8303</v>
      </c>
      <c r="L762" s="102" t="s">
        <v>8304</v>
      </c>
      <c r="S762" s="102" t="s">
        <v>178</v>
      </c>
      <c r="T762" s="102" t="s">
        <v>9</v>
      </c>
    </row>
    <row r="763" spans="1:20">
      <c r="A763" s="102" t="s">
        <v>3465</v>
      </c>
      <c r="B763" s="102" t="s">
        <v>8730</v>
      </c>
      <c r="C763" s="101">
        <v>2042</v>
      </c>
      <c r="D763" s="102" t="s">
        <v>8305</v>
      </c>
      <c r="E763" s="102" t="s">
        <v>850</v>
      </c>
      <c r="G763" s="102" t="s">
        <v>3434</v>
      </c>
      <c r="K763" s="102" t="s">
        <v>8306</v>
      </c>
      <c r="L763" s="102" t="s">
        <v>8307</v>
      </c>
      <c r="S763" s="102" t="s">
        <v>48</v>
      </c>
      <c r="T763" s="102" t="s">
        <v>9</v>
      </c>
    </row>
    <row r="764" spans="1:20">
      <c r="A764" s="102" t="s">
        <v>3465</v>
      </c>
      <c r="B764" s="102" t="s">
        <v>8730</v>
      </c>
      <c r="C764" s="101">
        <v>2043</v>
      </c>
      <c r="D764" s="102" t="s">
        <v>8308</v>
      </c>
      <c r="E764" s="102" t="s">
        <v>850</v>
      </c>
      <c r="G764" s="102" t="s">
        <v>3434</v>
      </c>
      <c r="K764" s="102" t="s">
        <v>902</v>
      </c>
      <c r="L764" s="102" t="s">
        <v>8309</v>
      </c>
      <c r="S764" s="102" t="s">
        <v>36</v>
      </c>
      <c r="T764" s="102" t="s">
        <v>9</v>
      </c>
    </row>
    <row r="765" spans="1:20">
      <c r="A765" s="102" t="s">
        <v>3465</v>
      </c>
      <c r="B765" s="102" t="s">
        <v>8730</v>
      </c>
      <c r="C765" s="101">
        <v>2044</v>
      </c>
      <c r="D765" s="102" t="s">
        <v>8310</v>
      </c>
      <c r="E765" s="102" t="s">
        <v>849</v>
      </c>
      <c r="G765" s="102" t="s">
        <v>3434</v>
      </c>
      <c r="K765" s="102" t="s">
        <v>973</v>
      </c>
      <c r="L765" s="102" t="s">
        <v>8311</v>
      </c>
      <c r="S765" s="102" t="s">
        <v>48</v>
      </c>
      <c r="T765" s="102" t="s">
        <v>9</v>
      </c>
    </row>
    <row r="766" spans="1:20">
      <c r="A766" s="102" t="s">
        <v>3465</v>
      </c>
      <c r="B766" s="102" t="s">
        <v>8730</v>
      </c>
      <c r="C766" s="101">
        <v>2045</v>
      </c>
      <c r="D766" s="102" t="s">
        <v>8312</v>
      </c>
      <c r="E766" s="102" t="s">
        <v>849</v>
      </c>
      <c r="G766" s="102" t="s">
        <v>3434</v>
      </c>
      <c r="K766" s="102" t="s">
        <v>8313</v>
      </c>
      <c r="S766" s="102" t="s">
        <v>169</v>
      </c>
      <c r="T766" s="102" t="s">
        <v>9</v>
      </c>
    </row>
    <row r="767" spans="1:20">
      <c r="A767" s="102" t="s">
        <v>3465</v>
      </c>
      <c r="B767" s="102" t="s">
        <v>8730</v>
      </c>
      <c r="C767" s="101">
        <v>2046</v>
      </c>
      <c r="D767" s="102" t="s">
        <v>8314</v>
      </c>
      <c r="E767" s="102" t="s">
        <v>850</v>
      </c>
      <c r="G767" s="102" t="s">
        <v>3434</v>
      </c>
      <c r="K767" s="102" t="s">
        <v>8315</v>
      </c>
      <c r="L767" s="102" t="s">
        <v>8316</v>
      </c>
      <c r="S767" s="102" t="s">
        <v>11</v>
      </c>
      <c r="T767" s="102" t="s">
        <v>9</v>
      </c>
    </row>
    <row r="768" spans="1:20">
      <c r="A768" s="102" t="s">
        <v>3465</v>
      </c>
      <c r="B768" s="102" t="s">
        <v>8730</v>
      </c>
      <c r="C768" s="101">
        <v>2047</v>
      </c>
      <c r="D768" s="102" t="s">
        <v>8317</v>
      </c>
      <c r="E768" s="102" t="s">
        <v>849</v>
      </c>
      <c r="G768" s="102" t="s">
        <v>3434</v>
      </c>
      <c r="K768" s="102" t="s">
        <v>8318</v>
      </c>
      <c r="L768" s="102" t="s">
        <v>8319</v>
      </c>
      <c r="S768" s="102" t="s">
        <v>171</v>
      </c>
      <c r="T768" s="102" t="s">
        <v>9</v>
      </c>
    </row>
    <row r="769" spans="1:20">
      <c r="A769" s="102" t="s">
        <v>3465</v>
      </c>
      <c r="B769" s="102" t="s">
        <v>8730</v>
      </c>
      <c r="C769" s="101">
        <v>2048</v>
      </c>
      <c r="D769" s="102" t="s">
        <v>8320</v>
      </c>
      <c r="E769" s="102" t="s">
        <v>849</v>
      </c>
      <c r="G769" s="102" t="s">
        <v>3434</v>
      </c>
      <c r="H769" s="102" t="s">
        <v>3402</v>
      </c>
      <c r="K769" s="102" t="s">
        <v>3401</v>
      </c>
      <c r="L769" s="102" t="s">
        <v>8321</v>
      </c>
      <c r="S769" s="102" t="s">
        <v>44</v>
      </c>
      <c r="T769" s="102" t="s">
        <v>9</v>
      </c>
    </row>
    <row r="770" spans="1:20">
      <c r="A770" s="102" t="s">
        <v>3465</v>
      </c>
      <c r="B770" s="102" t="s">
        <v>8730</v>
      </c>
      <c r="C770" s="101">
        <v>2049</v>
      </c>
      <c r="D770" s="102" t="s">
        <v>7918</v>
      </c>
      <c r="E770" s="102" t="s">
        <v>850</v>
      </c>
      <c r="G770" s="102" t="s">
        <v>3434</v>
      </c>
      <c r="H770" s="102" t="s">
        <v>3402</v>
      </c>
      <c r="K770" s="102" t="s">
        <v>3401</v>
      </c>
      <c r="L770" s="102" t="s">
        <v>4313</v>
      </c>
      <c r="M770" s="102" t="s">
        <v>7919</v>
      </c>
      <c r="S770" s="102" t="s">
        <v>180</v>
      </c>
      <c r="T770" s="102" t="s">
        <v>9</v>
      </c>
    </row>
    <row r="771" spans="1:20">
      <c r="A771" s="102" t="s">
        <v>3465</v>
      </c>
      <c r="B771" s="102" t="s">
        <v>8730</v>
      </c>
      <c r="C771" s="101">
        <v>2050</v>
      </c>
      <c r="D771" s="102" t="s">
        <v>8322</v>
      </c>
      <c r="E771" s="102" t="s">
        <v>850</v>
      </c>
      <c r="G771" s="102" t="s">
        <v>3434</v>
      </c>
      <c r="K771" s="102" t="s">
        <v>8323</v>
      </c>
      <c r="S771" s="102" t="s">
        <v>34</v>
      </c>
      <c r="T771" s="102" t="s">
        <v>9</v>
      </c>
    </row>
    <row r="772" spans="1:20">
      <c r="A772" s="104" t="s">
        <v>3465</v>
      </c>
      <c r="B772" s="104" t="s">
        <v>8730</v>
      </c>
      <c r="C772" s="103">
        <v>2051</v>
      </c>
      <c r="D772" s="104" t="s">
        <v>8324</v>
      </c>
      <c r="E772" s="104" t="s">
        <v>849</v>
      </c>
      <c r="F772" s="104"/>
      <c r="G772" s="104" t="s">
        <v>3434</v>
      </c>
      <c r="H772" s="104" t="s">
        <v>13394</v>
      </c>
      <c r="I772" s="104"/>
      <c r="J772" s="104"/>
      <c r="K772" s="104" t="s">
        <v>6806</v>
      </c>
      <c r="L772" s="104" t="s">
        <v>8325</v>
      </c>
      <c r="M772" s="104" t="s">
        <v>8326</v>
      </c>
      <c r="N772" s="104"/>
      <c r="O772" s="104"/>
      <c r="P772" s="104"/>
      <c r="Q772" s="104"/>
      <c r="S772" s="102" t="s">
        <v>5719</v>
      </c>
      <c r="T772" s="102" t="s">
        <v>9</v>
      </c>
    </row>
    <row r="773" spans="1:20">
      <c r="A773" s="102" t="s">
        <v>3465</v>
      </c>
      <c r="B773" s="102" t="s">
        <v>8730</v>
      </c>
      <c r="C773" s="101">
        <v>2052</v>
      </c>
      <c r="D773" s="102" t="s">
        <v>8327</v>
      </c>
      <c r="E773" s="102" t="s">
        <v>852</v>
      </c>
      <c r="G773" s="102" t="s">
        <v>3434</v>
      </c>
      <c r="K773" s="102" t="s">
        <v>8328</v>
      </c>
      <c r="S773" s="102" t="s">
        <v>169</v>
      </c>
      <c r="T773" s="102" t="s">
        <v>9</v>
      </c>
    </row>
    <row r="774" spans="1:20">
      <c r="A774" s="102" t="s">
        <v>3465</v>
      </c>
      <c r="B774" s="102" t="s">
        <v>8730</v>
      </c>
      <c r="C774" s="101">
        <v>2053</v>
      </c>
      <c r="D774" s="102" t="s">
        <v>8329</v>
      </c>
      <c r="E774" s="102" t="s">
        <v>851</v>
      </c>
      <c r="G774" s="102" t="s">
        <v>3434</v>
      </c>
      <c r="K774" s="102" t="s">
        <v>8330</v>
      </c>
      <c r="L774" s="102" t="s">
        <v>8331</v>
      </c>
      <c r="M774" s="102" t="s">
        <v>8332</v>
      </c>
      <c r="S774" s="102" t="s">
        <v>28</v>
      </c>
      <c r="T774" s="102" t="s">
        <v>9</v>
      </c>
    </row>
    <row r="775" spans="1:20">
      <c r="A775" s="102" t="s">
        <v>3465</v>
      </c>
      <c r="B775" s="102" t="s">
        <v>8730</v>
      </c>
      <c r="C775" s="101">
        <v>2055</v>
      </c>
      <c r="D775" s="102" t="s">
        <v>8333</v>
      </c>
      <c r="E775" s="102" t="s">
        <v>851</v>
      </c>
      <c r="G775" s="102" t="s">
        <v>3434</v>
      </c>
      <c r="K775" s="102" t="s">
        <v>8334</v>
      </c>
      <c r="S775" s="102" t="s">
        <v>52</v>
      </c>
      <c r="T775" s="102" t="s">
        <v>9</v>
      </c>
    </row>
    <row r="776" spans="1:20">
      <c r="A776" s="102" t="s">
        <v>3465</v>
      </c>
      <c r="B776" s="102" t="s">
        <v>8730</v>
      </c>
      <c r="C776" s="101">
        <v>2056</v>
      </c>
      <c r="D776" s="102" t="s">
        <v>8335</v>
      </c>
      <c r="E776" s="102" t="s">
        <v>852</v>
      </c>
      <c r="G776" s="102" t="s">
        <v>3434</v>
      </c>
      <c r="K776" s="102" t="s">
        <v>8336</v>
      </c>
      <c r="S776" s="102" t="s">
        <v>181</v>
      </c>
      <c r="T776" s="102" t="s">
        <v>9</v>
      </c>
    </row>
    <row r="777" spans="1:20">
      <c r="A777" s="102" t="s">
        <v>3465</v>
      </c>
      <c r="B777" s="102" t="s">
        <v>8730</v>
      </c>
      <c r="C777" s="101">
        <v>2057</v>
      </c>
      <c r="D777" s="102" t="s">
        <v>8337</v>
      </c>
      <c r="E777" s="102" t="s">
        <v>851</v>
      </c>
      <c r="G777" s="102" t="s">
        <v>3434</v>
      </c>
      <c r="K777" s="102" t="s">
        <v>8338</v>
      </c>
      <c r="L777" s="102" t="s">
        <v>8339</v>
      </c>
      <c r="S777" s="102" t="s">
        <v>6</v>
      </c>
      <c r="T777" s="102" t="s">
        <v>9</v>
      </c>
    </row>
    <row r="778" spans="1:20">
      <c r="A778" s="102" t="s">
        <v>3465</v>
      </c>
      <c r="B778" s="102" t="s">
        <v>8730</v>
      </c>
      <c r="C778" s="101">
        <v>2058</v>
      </c>
      <c r="D778" s="102" t="s">
        <v>8340</v>
      </c>
      <c r="E778" s="102" t="s">
        <v>852</v>
      </c>
      <c r="G778" s="102" t="s">
        <v>3434</v>
      </c>
      <c r="K778" s="102" t="s">
        <v>8341</v>
      </c>
      <c r="S778" s="102" t="s">
        <v>5685</v>
      </c>
      <c r="T778" s="102" t="s">
        <v>9</v>
      </c>
    </row>
    <row r="779" spans="1:20">
      <c r="A779" s="102" t="s">
        <v>3465</v>
      </c>
      <c r="B779" s="102" t="s">
        <v>8730</v>
      </c>
      <c r="C779" s="101">
        <v>2059</v>
      </c>
      <c r="D779" s="102" t="s">
        <v>8342</v>
      </c>
      <c r="E779" s="102" t="s">
        <v>851</v>
      </c>
      <c r="G779" s="102" t="s">
        <v>3434</v>
      </c>
      <c r="K779" s="102" t="s">
        <v>8343</v>
      </c>
      <c r="L779" s="102" t="s">
        <v>8344</v>
      </c>
      <c r="S779" s="102" t="s">
        <v>168</v>
      </c>
      <c r="T779" s="102" t="s">
        <v>9</v>
      </c>
    </row>
    <row r="780" spans="1:20">
      <c r="A780" s="102" t="s">
        <v>3465</v>
      </c>
      <c r="B780" s="102" t="s">
        <v>8730</v>
      </c>
      <c r="C780" s="101">
        <v>2060</v>
      </c>
      <c r="D780" s="102" t="s">
        <v>8345</v>
      </c>
      <c r="E780" s="102" t="s">
        <v>851</v>
      </c>
      <c r="G780" s="102" t="s">
        <v>3434</v>
      </c>
      <c r="K780" s="102" t="s">
        <v>8346</v>
      </c>
      <c r="L780" s="102" t="s">
        <v>8347</v>
      </c>
      <c r="S780" s="102" t="s">
        <v>606</v>
      </c>
      <c r="T780" s="102" t="s">
        <v>9</v>
      </c>
    </row>
    <row r="781" spans="1:20">
      <c r="A781" s="102" t="s">
        <v>3465</v>
      </c>
      <c r="B781" s="102" t="s">
        <v>8730</v>
      </c>
      <c r="C781" s="101">
        <v>2061</v>
      </c>
      <c r="D781" s="102" t="s">
        <v>8348</v>
      </c>
      <c r="E781" s="102" t="s">
        <v>851</v>
      </c>
      <c r="G781" s="102" t="s">
        <v>3434</v>
      </c>
      <c r="H781" s="102" t="s">
        <v>13397</v>
      </c>
      <c r="K781" s="102" t="s">
        <v>1168</v>
      </c>
      <c r="L781" s="102" t="s">
        <v>8349</v>
      </c>
      <c r="S781" s="102" t="s">
        <v>44</v>
      </c>
      <c r="T781" s="102" t="s">
        <v>9</v>
      </c>
    </row>
    <row r="782" spans="1:20">
      <c r="A782" s="102" t="s">
        <v>3465</v>
      </c>
      <c r="B782" s="102" t="s">
        <v>8730</v>
      </c>
      <c r="C782" s="101">
        <v>2062</v>
      </c>
      <c r="D782" s="102" t="s">
        <v>8350</v>
      </c>
      <c r="E782" s="102" t="s">
        <v>852</v>
      </c>
      <c r="G782" s="102" t="s">
        <v>3434</v>
      </c>
      <c r="K782" s="102" t="s">
        <v>8351</v>
      </c>
      <c r="L782" s="102" t="s">
        <v>8352</v>
      </c>
      <c r="S782" s="102" t="s">
        <v>170</v>
      </c>
      <c r="T782" s="102" t="s">
        <v>9</v>
      </c>
    </row>
    <row r="783" spans="1:20">
      <c r="A783" s="102" t="s">
        <v>3465</v>
      </c>
      <c r="B783" s="102" t="s">
        <v>8730</v>
      </c>
      <c r="C783" s="101">
        <v>2063</v>
      </c>
      <c r="D783" s="102" t="s">
        <v>8353</v>
      </c>
      <c r="E783" s="102" t="s">
        <v>851</v>
      </c>
      <c r="G783" s="102" t="s">
        <v>3086</v>
      </c>
      <c r="H783" s="102" t="s">
        <v>13401</v>
      </c>
      <c r="K783" s="102" t="s">
        <v>8354</v>
      </c>
      <c r="P783" s="102" t="s">
        <v>166</v>
      </c>
      <c r="S783" s="102" t="s">
        <v>40</v>
      </c>
      <c r="T783" s="102" t="s">
        <v>9</v>
      </c>
    </row>
    <row r="784" spans="1:20">
      <c r="A784" s="102" t="s">
        <v>3465</v>
      </c>
      <c r="B784" s="102" t="s">
        <v>8730</v>
      </c>
      <c r="C784" s="101">
        <v>2064</v>
      </c>
      <c r="D784" s="102" t="s">
        <v>8355</v>
      </c>
      <c r="E784" s="102" t="s">
        <v>852</v>
      </c>
      <c r="G784" s="102" t="s">
        <v>3434</v>
      </c>
      <c r="H784" s="102" t="s">
        <v>3402</v>
      </c>
      <c r="K784" s="102" t="s">
        <v>8356</v>
      </c>
      <c r="L784" s="102" t="s">
        <v>8357</v>
      </c>
      <c r="S784" s="102" t="s">
        <v>34</v>
      </c>
      <c r="T784" s="102" t="s">
        <v>9</v>
      </c>
    </row>
    <row r="785" spans="1:20">
      <c r="A785" s="104" t="s">
        <v>3465</v>
      </c>
      <c r="B785" s="104" t="s">
        <v>8730</v>
      </c>
      <c r="C785" s="103">
        <v>2065</v>
      </c>
      <c r="D785" s="104" t="s">
        <v>8358</v>
      </c>
      <c r="E785" s="104" t="s">
        <v>851</v>
      </c>
      <c r="F785" s="104"/>
      <c r="G785" s="104" t="s">
        <v>3434</v>
      </c>
      <c r="H785" s="104" t="s">
        <v>13394</v>
      </c>
      <c r="I785" s="104"/>
      <c r="J785" s="104"/>
      <c r="K785" s="104" t="s">
        <v>6806</v>
      </c>
      <c r="L785" s="104" t="s">
        <v>8359</v>
      </c>
      <c r="M785" s="104" t="s">
        <v>8360</v>
      </c>
      <c r="N785" s="104" t="s">
        <v>8361</v>
      </c>
      <c r="O785" s="104"/>
      <c r="P785" s="104"/>
      <c r="Q785" s="104"/>
      <c r="S785" s="102" t="s">
        <v>5719</v>
      </c>
      <c r="T785" s="102" t="s">
        <v>9</v>
      </c>
    </row>
    <row r="786" spans="1:20">
      <c r="A786" s="102" t="s">
        <v>3465</v>
      </c>
      <c r="B786" s="102" t="s">
        <v>8730</v>
      </c>
      <c r="C786" s="101">
        <v>2066</v>
      </c>
      <c r="D786" s="102" t="s">
        <v>8362</v>
      </c>
      <c r="E786" s="102" t="s">
        <v>852</v>
      </c>
      <c r="G786" s="102" t="s">
        <v>3434</v>
      </c>
      <c r="H786" s="102" t="s">
        <v>3402</v>
      </c>
      <c r="K786" s="102" t="s">
        <v>3401</v>
      </c>
      <c r="L786" s="102" t="s">
        <v>8363</v>
      </c>
      <c r="S786" s="102" t="s">
        <v>8</v>
      </c>
      <c r="T786" s="102" t="s">
        <v>9</v>
      </c>
    </row>
    <row r="787" spans="1:20">
      <c r="A787" s="102" t="s">
        <v>3465</v>
      </c>
      <c r="B787" s="102" t="s">
        <v>8730</v>
      </c>
      <c r="C787" s="101">
        <v>2067</v>
      </c>
      <c r="D787" s="102" t="s">
        <v>8364</v>
      </c>
      <c r="E787" s="102" t="s">
        <v>852</v>
      </c>
      <c r="G787" s="102" t="s">
        <v>3434</v>
      </c>
      <c r="K787" s="102" t="s">
        <v>8365</v>
      </c>
      <c r="S787" s="102" t="s">
        <v>50</v>
      </c>
      <c r="T787" s="102" t="s">
        <v>9</v>
      </c>
    </row>
    <row r="788" spans="1:20">
      <c r="A788" s="102" t="s">
        <v>3465</v>
      </c>
      <c r="B788" s="102" t="s">
        <v>8730</v>
      </c>
      <c r="C788" s="101">
        <v>2068</v>
      </c>
      <c r="D788" s="102" t="s">
        <v>8366</v>
      </c>
      <c r="E788" s="102" t="s">
        <v>852</v>
      </c>
      <c r="G788" s="102" t="s">
        <v>3434</v>
      </c>
      <c r="H788" s="102" t="s">
        <v>3402</v>
      </c>
      <c r="K788" s="102" t="s">
        <v>3401</v>
      </c>
      <c r="L788" s="102" t="s">
        <v>4313</v>
      </c>
      <c r="M788" s="102" t="s">
        <v>8367</v>
      </c>
      <c r="S788" s="102" t="s">
        <v>32</v>
      </c>
      <c r="T788" s="102" t="s">
        <v>9</v>
      </c>
    </row>
    <row r="789" spans="1:20">
      <c r="A789" s="102" t="s">
        <v>3465</v>
      </c>
      <c r="B789" s="102" t="s">
        <v>8730</v>
      </c>
      <c r="C789" s="101">
        <v>2069</v>
      </c>
      <c r="D789" s="102" t="s">
        <v>8368</v>
      </c>
      <c r="E789" s="102" t="s">
        <v>852</v>
      </c>
      <c r="G789" s="102" t="s">
        <v>3434</v>
      </c>
      <c r="K789" s="102" t="s">
        <v>8369</v>
      </c>
      <c r="S789" s="102" t="s">
        <v>171</v>
      </c>
      <c r="T789" s="102" t="s">
        <v>9</v>
      </c>
    </row>
    <row r="790" spans="1:20">
      <c r="A790" s="102" t="s">
        <v>3465</v>
      </c>
      <c r="B790" s="102" t="s">
        <v>8730</v>
      </c>
      <c r="C790" s="101">
        <v>2070</v>
      </c>
      <c r="D790" s="102" t="s">
        <v>8370</v>
      </c>
      <c r="E790" s="102" t="s">
        <v>852</v>
      </c>
      <c r="G790" s="102" t="s">
        <v>3434</v>
      </c>
      <c r="H790" s="102" t="s">
        <v>3402</v>
      </c>
      <c r="K790" s="102" t="s">
        <v>6575</v>
      </c>
      <c r="L790" s="102" t="s">
        <v>8371</v>
      </c>
      <c r="M790" s="102" t="s">
        <v>7973</v>
      </c>
      <c r="S790" s="102" t="s">
        <v>8</v>
      </c>
      <c r="T790" s="102" t="s">
        <v>9</v>
      </c>
    </row>
    <row r="791" spans="1:20">
      <c r="A791" s="102" t="s">
        <v>3465</v>
      </c>
      <c r="B791" s="102" t="s">
        <v>8730</v>
      </c>
      <c r="C791" s="101">
        <v>2071</v>
      </c>
      <c r="D791" s="102" t="s">
        <v>8372</v>
      </c>
      <c r="E791" s="102" t="s">
        <v>944</v>
      </c>
      <c r="G791" s="102" t="s">
        <v>3434</v>
      </c>
      <c r="K791" s="102" t="s">
        <v>8373</v>
      </c>
      <c r="S791" s="102" t="s">
        <v>45</v>
      </c>
      <c r="T791" s="102" t="s">
        <v>9</v>
      </c>
    </row>
    <row r="792" spans="1:20">
      <c r="A792" s="102" t="s">
        <v>3465</v>
      </c>
      <c r="B792" s="102" t="s">
        <v>8730</v>
      </c>
      <c r="C792" s="101">
        <v>2072</v>
      </c>
      <c r="D792" s="102" t="s">
        <v>8374</v>
      </c>
      <c r="E792" s="102" t="s">
        <v>4061</v>
      </c>
      <c r="G792" s="102" t="s">
        <v>3434</v>
      </c>
      <c r="H792" s="102" t="s">
        <v>3402</v>
      </c>
      <c r="K792" s="102" t="s">
        <v>3401</v>
      </c>
      <c r="L792" s="102" t="s">
        <v>8375</v>
      </c>
      <c r="M792" s="102" t="s">
        <v>8376</v>
      </c>
      <c r="S792" s="102" t="s">
        <v>52</v>
      </c>
      <c r="T792" s="102" t="s">
        <v>9</v>
      </c>
    </row>
    <row r="793" spans="1:20">
      <c r="A793" s="102" t="s">
        <v>3465</v>
      </c>
      <c r="B793" s="102" t="s">
        <v>8730</v>
      </c>
      <c r="C793" s="101">
        <v>2073</v>
      </c>
      <c r="D793" s="102" t="s">
        <v>8377</v>
      </c>
      <c r="E793" s="102" t="s">
        <v>944</v>
      </c>
      <c r="G793" s="102" t="s">
        <v>3434</v>
      </c>
      <c r="K793" s="102" t="s">
        <v>8378</v>
      </c>
      <c r="S793" s="102" t="s">
        <v>174</v>
      </c>
      <c r="T793" s="102" t="s">
        <v>9</v>
      </c>
    </row>
    <row r="794" spans="1:20">
      <c r="A794" s="102" t="s">
        <v>3465</v>
      </c>
      <c r="B794" s="102" t="s">
        <v>8730</v>
      </c>
      <c r="C794" s="101">
        <v>2074</v>
      </c>
      <c r="D794" s="102" t="s">
        <v>8379</v>
      </c>
      <c r="E794" s="102" t="s">
        <v>4061</v>
      </c>
      <c r="G794" s="102" t="s">
        <v>3434</v>
      </c>
      <c r="K794" s="102" t="s">
        <v>8380</v>
      </c>
      <c r="L794" s="102" t="s">
        <v>8381</v>
      </c>
      <c r="S794" s="102" t="s">
        <v>17</v>
      </c>
      <c r="T794" s="102" t="s">
        <v>9</v>
      </c>
    </row>
    <row r="795" spans="1:20">
      <c r="A795" s="102" t="s">
        <v>3465</v>
      </c>
      <c r="B795" s="102" t="s">
        <v>8730</v>
      </c>
      <c r="C795" s="101">
        <v>2075</v>
      </c>
      <c r="D795" s="102" t="s">
        <v>8382</v>
      </c>
      <c r="E795" s="102" t="s">
        <v>944</v>
      </c>
      <c r="G795" s="102" t="s">
        <v>3434</v>
      </c>
      <c r="K795" s="102" t="s">
        <v>8383</v>
      </c>
      <c r="S795" s="102" t="s">
        <v>5281</v>
      </c>
      <c r="T795" s="102" t="s">
        <v>9</v>
      </c>
    </row>
    <row r="796" spans="1:20">
      <c r="A796" s="102" t="s">
        <v>3465</v>
      </c>
      <c r="B796" s="102" t="s">
        <v>8730</v>
      </c>
      <c r="C796" s="101">
        <v>2076</v>
      </c>
      <c r="D796" s="102" t="s">
        <v>8384</v>
      </c>
      <c r="E796" s="102" t="s">
        <v>4061</v>
      </c>
      <c r="G796" s="102" t="s">
        <v>3434</v>
      </c>
      <c r="K796" s="102" t="s">
        <v>8385</v>
      </c>
      <c r="S796" s="102" t="s">
        <v>173</v>
      </c>
      <c r="T796" s="102" t="s">
        <v>9</v>
      </c>
    </row>
    <row r="797" spans="1:20">
      <c r="A797" s="102" t="s">
        <v>3465</v>
      </c>
      <c r="B797" s="102" t="s">
        <v>8730</v>
      </c>
      <c r="C797" s="101">
        <v>2077</v>
      </c>
      <c r="D797" s="102" t="s">
        <v>8386</v>
      </c>
      <c r="E797" s="102" t="s">
        <v>4061</v>
      </c>
      <c r="G797" s="102" t="s">
        <v>3434</v>
      </c>
      <c r="K797" s="102" t="s">
        <v>8387</v>
      </c>
      <c r="S797" s="102" t="s">
        <v>6</v>
      </c>
      <c r="T797" s="102" t="s">
        <v>9</v>
      </c>
    </row>
    <row r="798" spans="1:20">
      <c r="A798" s="102" t="s">
        <v>3465</v>
      </c>
      <c r="B798" s="102" t="s">
        <v>8730</v>
      </c>
      <c r="C798" s="101">
        <v>2078</v>
      </c>
      <c r="D798" s="102" t="s">
        <v>8388</v>
      </c>
      <c r="E798" s="102" t="s">
        <v>4061</v>
      </c>
      <c r="G798" s="102" t="s">
        <v>3434</v>
      </c>
      <c r="K798" s="102" t="s">
        <v>8389</v>
      </c>
      <c r="S798" s="102" t="s">
        <v>45</v>
      </c>
      <c r="T798" s="102" t="s">
        <v>9</v>
      </c>
    </row>
    <row r="799" spans="1:20">
      <c r="A799" s="102" t="s">
        <v>3465</v>
      </c>
      <c r="B799" s="102" t="s">
        <v>8730</v>
      </c>
      <c r="C799" s="101">
        <v>2079</v>
      </c>
      <c r="D799" s="102" t="s">
        <v>7981</v>
      </c>
      <c r="E799" s="102" t="s">
        <v>3139</v>
      </c>
      <c r="G799" s="102" t="s">
        <v>3434</v>
      </c>
      <c r="H799" s="102" t="s">
        <v>3402</v>
      </c>
      <c r="K799" s="102" t="s">
        <v>7010</v>
      </c>
      <c r="L799" s="102" t="s">
        <v>6575</v>
      </c>
      <c r="M799" s="102" t="s">
        <v>7973</v>
      </c>
      <c r="S799" s="102" t="s">
        <v>34</v>
      </c>
      <c r="T799" s="102" t="s">
        <v>9</v>
      </c>
    </row>
    <row r="800" spans="1:20">
      <c r="A800" s="102" t="s">
        <v>3465</v>
      </c>
      <c r="B800" s="102" t="s">
        <v>8730</v>
      </c>
      <c r="C800" s="101">
        <v>2080</v>
      </c>
      <c r="D800" s="102" t="s">
        <v>8390</v>
      </c>
      <c r="E800" s="102" t="s">
        <v>8391</v>
      </c>
      <c r="G800" s="102" t="s">
        <v>3434</v>
      </c>
      <c r="K800" s="102" t="s">
        <v>8392</v>
      </c>
      <c r="S800" s="102" t="s">
        <v>29</v>
      </c>
      <c r="T800" s="102" t="s">
        <v>9</v>
      </c>
    </row>
    <row r="801" spans="1:20">
      <c r="A801" s="102" t="s">
        <v>3465</v>
      </c>
      <c r="B801" s="102" t="s">
        <v>8730</v>
      </c>
      <c r="C801" s="101">
        <v>2081</v>
      </c>
      <c r="D801" s="102" t="s">
        <v>8393</v>
      </c>
      <c r="E801" s="102" t="s">
        <v>3139</v>
      </c>
      <c r="G801" s="102" t="s">
        <v>3434</v>
      </c>
      <c r="K801" s="102" t="s">
        <v>8394</v>
      </c>
      <c r="S801" s="102" t="s">
        <v>8</v>
      </c>
      <c r="T801" s="102" t="s">
        <v>9</v>
      </c>
    </row>
    <row r="802" spans="1:20">
      <c r="A802" s="102" t="s">
        <v>3465</v>
      </c>
      <c r="B802" s="102" t="s">
        <v>8730</v>
      </c>
      <c r="C802" s="101">
        <v>2082</v>
      </c>
      <c r="D802" s="102" t="s">
        <v>8395</v>
      </c>
      <c r="E802" s="102" t="s">
        <v>8391</v>
      </c>
      <c r="G802" s="102" t="s">
        <v>3434</v>
      </c>
      <c r="K802" s="102" t="s">
        <v>8396</v>
      </c>
      <c r="S802" s="102" t="s">
        <v>180</v>
      </c>
      <c r="T802" s="102" t="s">
        <v>9</v>
      </c>
    </row>
    <row r="803" spans="1:20">
      <c r="A803" s="102" t="s">
        <v>3465</v>
      </c>
      <c r="B803" s="102" t="s">
        <v>8730</v>
      </c>
      <c r="C803" s="101">
        <v>2084</v>
      </c>
      <c r="D803" s="102" t="s">
        <v>8397</v>
      </c>
      <c r="E803" s="102" t="s">
        <v>8398</v>
      </c>
      <c r="G803" s="102" t="s">
        <v>1526</v>
      </c>
      <c r="K803" s="102" t="s">
        <v>8399</v>
      </c>
      <c r="S803" s="102" t="s">
        <v>179</v>
      </c>
      <c r="T803" s="102" t="s">
        <v>9</v>
      </c>
    </row>
    <row r="804" spans="1:20">
      <c r="A804" s="102" t="s">
        <v>3465</v>
      </c>
      <c r="B804" s="102" t="s">
        <v>8730</v>
      </c>
      <c r="C804" s="101">
        <v>2085</v>
      </c>
      <c r="D804" s="102" t="s">
        <v>8400</v>
      </c>
      <c r="E804" s="102" t="s">
        <v>8398</v>
      </c>
      <c r="G804" s="102" t="s">
        <v>3434</v>
      </c>
      <c r="K804" s="102" t="s">
        <v>8401</v>
      </c>
      <c r="S804" s="102" t="s">
        <v>3747</v>
      </c>
      <c r="T804" s="102" t="s">
        <v>9</v>
      </c>
    </row>
    <row r="805" spans="1:20">
      <c r="A805" s="102" t="s">
        <v>3465</v>
      </c>
      <c r="B805" s="102" t="s">
        <v>8730</v>
      </c>
      <c r="C805" s="101">
        <v>2086</v>
      </c>
      <c r="D805" s="102" t="s">
        <v>8402</v>
      </c>
      <c r="E805" s="102" t="s">
        <v>3139</v>
      </c>
      <c r="G805" s="102" t="s">
        <v>3434</v>
      </c>
      <c r="H805" s="102" t="s">
        <v>3402</v>
      </c>
      <c r="K805" s="102" t="s">
        <v>3401</v>
      </c>
      <c r="L805" s="102" t="s">
        <v>4313</v>
      </c>
      <c r="M805" s="102" t="s">
        <v>5574</v>
      </c>
      <c r="S805" s="102" t="s">
        <v>52</v>
      </c>
      <c r="T805" s="102" t="s">
        <v>9</v>
      </c>
    </row>
    <row r="806" spans="1:20">
      <c r="A806" s="102" t="s">
        <v>8732</v>
      </c>
      <c r="B806" s="102" t="s">
        <v>8730</v>
      </c>
      <c r="C806" s="101">
        <v>3024</v>
      </c>
      <c r="D806" s="102" t="s">
        <v>8405</v>
      </c>
      <c r="E806" s="102" t="s">
        <v>847</v>
      </c>
      <c r="G806" s="102" t="s">
        <v>3434</v>
      </c>
      <c r="K806" s="102" t="s">
        <v>8406</v>
      </c>
      <c r="L806" s="102" t="s">
        <v>8407</v>
      </c>
      <c r="S806" s="102" t="s">
        <v>17</v>
      </c>
      <c r="T806" s="102" t="s">
        <v>41</v>
      </c>
    </row>
    <row r="807" spans="1:20">
      <c r="A807" s="102" t="s">
        <v>8732</v>
      </c>
      <c r="B807" s="102" t="s">
        <v>8730</v>
      </c>
      <c r="C807" s="101">
        <v>3028</v>
      </c>
      <c r="D807" s="102" t="s">
        <v>8408</v>
      </c>
      <c r="E807" s="102" t="s">
        <v>847</v>
      </c>
      <c r="G807" s="102" t="s">
        <v>13395</v>
      </c>
      <c r="H807" s="102" t="s">
        <v>13396</v>
      </c>
      <c r="K807" s="102" t="s">
        <v>1989</v>
      </c>
      <c r="L807" s="102" t="s">
        <v>8409</v>
      </c>
      <c r="M807" s="102" t="s">
        <v>8410</v>
      </c>
      <c r="N807" s="102" t="s">
        <v>8411</v>
      </c>
      <c r="P807" s="102" t="s">
        <v>8412</v>
      </c>
      <c r="S807" s="102" t="s">
        <v>14</v>
      </c>
      <c r="T807" s="102" t="s">
        <v>41</v>
      </c>
    </row>
    <row r="808" spans="1:20">
      <c r="A808" s="102" t="s">
        <v>8732</v>
      </c>
      <c r="B808" s="102" t="s">
        <v>8730</v>
      </c>
      <c r="C808" s="101">
        <v>3034</v>
      </c>
      <c r="D808" s="102" t="s">
        <v>8413</v>
      </c>
      <c r="E808" s="102" t="s">
        <v>850</v>
      </c>
      <c r="G808" s="102" t="s">
        <v>3434</v>
      </c>
      <c r="H808" s="102" t="s">
        <v>3402</v>
      </c>
      <c r="K808" s="102" t="s">
        <v>8414</v>
      </c>
      <c r="L808" s="102" t="s">
        <v>8415</v>
      </c>
      <c r="S808" s="102" t="s">
        <v>35</v>
      </c>
      <c r="T808" s="102" t="s">
        <v>41</v>
      </c>
    </row>
    <row r="809" spans="1:20">
      <c r="A809" s="102" t="s">
        <v>8732</v>
      </c>
      <c r="B809" s="102" t="s">
        <v>8730</v>
      </c>
      <c r="C809" s="101">
        <v>3054</v>
      </c>
      <c r="D809" s="102" t="s">
        <v>8416</v>
      </c>
      <c r="E809" s="102" t="s">
        <v>852</v>
      </c>
      <c r="G809" s="102" t="s">
        <v>3434</v>
      </c>
      <c r="K809" s="102" t="s">
        <v>8417</v>
      </c>
      <c r="L809" s="102" t="s">
        <v>8418</v>
      </c>
      <c r="S809" s="102" t="s">
        <v>26</v>
      </c>
      <c r="T809" s="102" t="s">
        <v>41</v>
      </c>
    </row>
    <row r="810" spans="1:20">
      <c r="A810" s="102" t="s">
        <v>8732</v>
      </c>
      <c r="B810" s="102" t="s">
        <v>8730</v>
      </c>
      <c r="C810" s="101">
        <v>3083</v>
      </c>
      <c r="D810" s="102" t="s">
        <v>8419</v>
      </c>
      <c r="E810" s="102" t="s">
        <v>3139</v>
      </c>
      <c r="G810" s="102" t="s">
        <v>3434</v>
      </c>
      <c r="K810" s="102" t="s">
        <v>8420</v>
      </c>
      <c r="S810" s="102" t="s">
        <v>39</v>
      </c>
      <c r="T810" s="102" t="s">
        <v>41</v>
      </c>
    </row>
    <row r="811" spans="1:20">
      <c r="A811" s="102" t="s">
        <v>8732</v>
      </c>
      <c r="B811" s="102" t="s">
        <v>8730</v>
      </c>
      <c r="C811" s="101">
        <v>3087</v>
      </c>
      <c r="D811" s="102" t="s">
        <v>8421</v>
      </c>
      <c r="E811" s="102" t="s">
        <v>8398</v>
      </c>
      <c r="G811" s="102" t="s">
        <v>3434</v>
      </c>
      <c r="K811" s="102" t="s">
        <v>8422</v>
      </c>
      <c r="S811" s="102" t="s">
        <v>170</v>
      </c>
      <c r="T811" s="102" t="s">
        <v>41</v>
      </c>
    </row>
    <row r="812" spans="1:20">
      <c r="A812" s="102" t="s">
        <v>8732</v>
      </c>
      <c r="B812" s="102" t="s">
        <v>8730</v>
      </c>
      <c r="C812" s="101">
        <v>3088</v>
      </c>
      <c r="D812" s="102" t="s">
        <v>8423</v>
      </c>
      <c r="E812" s="102" t="s">
        <v>8424</v>
      </c>
      <c r="G812" s="102" t="s">
        <v>3434</v>
      </c>
      <c r="K812" s="102" t="s">
        <v>8425</v>
      </c>
      <c r="S812" s="102" t="s">
        <v>5685</v>
      </c>
      <c r="T812" s="102" t="s">
        <v>41</v>
      </c>
    </row>
    <row r="813" spans="1:20">
      <c r="A813" s="102" t="s">
        <v>8733</v>
      </c>
      <c r="B813" s="102" t="s">
        <v>8730</v>
      </c>
      <c r="C813" s="101">
        <v>4004</v>
      </c>
      <c r="D813" s="102" t="s">
        <v>8403</v>
      </c>
      <c r="E813" s="102" t="s">
        <v>845</v>
      </c>
      <c r="G813" s="102" t="s">
        <v>3434</v>
      </c>
      <c r="H813" s="102" t="s">
        <v>3402</v>
      </c>
      <c r="K813" s="102" t="s">
        <v>3401</v>
      </c>
      <c r="L813" s="102" t="s">
        <v>3440</v>
      </c>
      <c r="M813" s="102" t="s">
        <v>8404</v>
      </c>
      <c r="S813" s="102" t="s">
        <v>3999</v>
      </c>
      <c r="T813" s="102" t="s">
        <v>4000</v>
      </c>
    </row>
  </sheetData>
  <autoFilter ref="A1:T813"/>
  <phoneticPr fontId="1"/>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Y745"/>
  <sheetViews>
    <sheetView zoomScale="85" zoomScaleNormal="85" workbookViewId="0">
      <pane ySplit="1" topLeftCell="A140" activePane="bottomLeft" state="frozen"/>
      <selection pane="bottomLeft" sqref="A1:XFD1048576"/>
    </sheetView>
  </sheetViews>
  <sheetFormatPr defaultRowHeight="13.5"/>
  <cols>
    <col min="1" max="1" width="2.875" bestFit="1" customWidth="1"/>
    <col min="2" max="2" width="2.625" bestFit="1" customWidth="1"/>
    <col min="3" max="3" width="5.5" bestFit="1" customWidth="1"/>
  </cols>
  <sheetData>
    <row r="1" spans="1:25" s="1" customFormat="1">
      <c r="D1" s="1" t="s">
        <v>3151</v>
      </c>
      <c r="E1" s="1" t="s">
        <v>3152</v>
      </c>
      <c r="F1" s="1" t="s">
        <v>3160</v>
      </c>
      <c r="G1" s="1" t="s">
        <v>3153</v>
      </c>
      <c r="I1" s="1" t="s">
        <v>3155</v>
      </c>
      <c r="J1" s="1" t="s">
        <v>3156</v>
      </c>
      <c r="K1" s="1" t="s">
        <v>3157</v>
      </c>
      <c r="P1" s="2" t="s">
        <v>3456</v>
      </c>
      <c r="Q1" s="64" t="s">
        <v>4051</v>
      </c>
      <c r="R1" s="64" t="s">
        <v>4052</v>
      </c>
      <c r="S1" s="1" t="s">
        <v>3159</v>
      </c>
      <c r="V1" s="4" t="s">
        <v>3881</v>
      </c>
      <c r="W1" s="8" t="s">
        <v>3882</v>
      </c>
      <c r="X1" s="9" t="s">
        <v>3906</v>
      </c>
      <c r="Y1" s="10" t="s">
        <v>3907</v>
      </c>
    </row>
    <row r="2" spans="1:25" s="1" customFormat="1">
      <c r="A2" s="78" t="s">
        <v>3498</v>
      </c>
      <c r="B2" s="78" t="s">
        <v>3759</v>
      </c>
      <c r="C2" s="4">
        <v>0</v>
      </c>
      <c r="D2" s="4" t="s">
        <v>3632</v>
      </c>
      <c r="E2" s="4" t="s">
        <v>3464</v>
      </c>
      <c r="F2" s="4">
        <v>1</v>
      </c>
      <c r="G2" s="4" t="s">
        <v>3403</v>
      </c>
      <c r="H2" s="4"/>
      <c r="I2" s="4"/>
      <c r="J2" s="4"/>
      <c r="K2" s="4" t="s">
        <v>13331</v>
      </c>
      <c r="L2" s="4" t="s">
        <v>13332</v>
      </c>
      <c r="M2" s="4" t="s">
        <v>13333</v>
      </c>
      <c r="N2" s="4"/>
      <c r="O2" s="4"/>
      <c r="P2" s="5"/>
      <c r="Q2" s="65"/>
      <c r="R2" s="64"/>
      <c r="S2" s="1" t="s">
        <v>3733</v>
      </c>
      <c r="V2" s="4"/>
      <c r="W2" s="8"/>
      <c r="X2" s="9"/>
      <c r="Y2" s="10"/>
    </row>
    <row r="3" spans="1:25">
      <c r="A3" t="s">
        <v>3498</v>
      </c>
      <c r="B3" t="s">
        <v>3759</v>
      </c>
      <c r="C3" s="1">
        <v>1</v>
      </c>
      <c r="D3" t="s">
        <v>8734</v>
      </c>
      <c r="E3" t="s">
        <v>1099</v>
      </c>
      <c r="G3" t="s">
        <v>3403</v>
      </c>
      <c r="K3" t="s">
        <v>8735</v>
      </c>
      <c r="S3" t="s">
        <v>180</v>
      </c>
      <c r="T3" t="s">
        <v>4</v>
      </c>
    </row>
    <row r="4" spans="1:25">
      <c r="A4" t="s">
        <v>3498</v>
      </c>
      <c r="B4" t="s">
        <v>3759</v>
      </c>
      <c r="C4" s="101">
        <v>2</v>
      </c>
      <c r="D4" t="s">
        <v>8736</v>
      </c>
      <c r="E4" t="s">
        <v>1099</v>
      </c>
      <c r="G4" t="s">
        <v>3403</v>
      </c>
      <c r="K4" t="s">
        <v>8737</v>
      </c>
      <c r="S4" t="s">
        <v>32</v>
      </c>
      <c r="T4" t="s">
        <v>4</v>
      </c>
    </row>
    <row r="5" spans="1:25">
      <c r="A5" t="s">
        <v>3498</v>
      </c>
      <c r="B5" t="s">
        <v>3759</v>
      </c>
      <c r="C5" s="101">
        <v>3</v>
      </c>
      <c r="D5" t="s">
        <v>8738</v>
      </c>
      <c r="E5" t="s">
        <v>1099</v>
      </c>
      <c r="G5" t="s">
        <v>3445</v>
      </c>
      <c r="H5" t="s">
        <v>13398</v>
      </c>
      <c r="K5" t="s">
        <v>8739</v>
      </c>
      <c r="S5" t="s">
        <v>5281</v>
      </c>
      <c r="T5" t="s">
        <v>4</v>
      </c>
    </row>
    <row r="6" spans="1:25">
      <c r="A6" t="s">
        <v>3498</v>
      </c>
      <c r="B6" t="s">
        <v>3759</v>
      </c>
      <c r="C6" s="101">
        <v>4</v>
      </c>
      <c r="D6" t="s">
        <v>8740</v>
      </c>
      <c r="E6" t="s">
        <v>1099</v>
      </c>
      <c r="G6" t="s">
        <v>3403</v>
      </c>
      <c r="K6" t="s">
        <v>8741</v>
      </c>
      <c r="S6" t="s">
        <v>50</v>
      </c>
      <c r="T6" t="s">
        <v>4</v>
      </c>
    </row>
    <row r="7" spans="1:25">
      <c r="A7" t="s">
        <v>3498</v>
      </c>
      <c r="B7" t="s">
        <v>3759</v>
      </c>
      <c r="C7" s="101">
        <v>5</v>
      </c>
      <c r="D7" t="s">
        <v>8742</v>
      </c>
      <c r="E7" t="s">
        <v>1099</v>
      </c>
      <c r="G7" t="s">
        <v>3403</v>
      </c>
      <c r="K7" t="s">
        <v>8743</v>
      </c>
      <c r="S7" t="s">
        <v>48</v>
      </c>
      <c r="T7" t="s">
        <v>4</v>
      </c>
    </row>
    <row r="8" spans="1:25">
      <c r="A8" t="s">
        <v>3498</v>
      </c>
      <c r="B8" t="s">
        <v>3759</v>
      </c>
      <c r="C8" s="101">
        <v>6</v>
      </c>
      <c r="D8" t="s">
        <v>8744</v>
      </c>
      <c r="E8" t="s">
        <v>1099</v>
      </c>
      <c r="G8" t="s">
        <v>3403</v>
      </c>
      <c r="K8" t="s">
        <v>8745</v>
      </c>
      <c r="L8" t="s">
        <v>8746</v>
      </c>
      <c r="S8" t="s">
        <v>44</v>
      </c>
      <c r="T8" t="s">
        <v>4</v>
      </c>
    </row>
    <row r="9" spans="1:25">
      <c r="A9" t="s">
        <v>3498</v>
      </c>
      <c r="B9" t="s">
        <v>3759</v>
      </c>
      <c r="C9" s="101">
        <v>7</v>
      </c>
      <c r="D9" t="s">
        <v>8747</v>
      </c>
      <c r="E9" t="s">
        <v>1099</v>
      </c>
      <c r="G9" t="s">
        <v>3403</v>
      </c>
      <c r="K9" t="s">
        <v>8748</v>
      </c>
      <c r="S9" t="s">
        <v>5719</v>
      </c>
      <c r="T9" t="s">
        <v>4</v>
      </c>
    </row>
    <row r="10" spans="1:25">
      <c r="A10" t="s">
        <v>3498</v>
      </c>
      <c r="B10" t="s">
        <v>3759</v>
      </c>
      <c r="C10" s="101">
        <v>8</v>
      </c>
      <c r="D10" t="s">
        <v>8749</v>
      </c>
      <c r="E10" t="s">
        <v>8750</v>
      </c>
      <c r="G10" t="s">
        <v>3403</v>
      </c>
      <c r="K10" t="s">
        <v>8751</v>
      </c>
      <c r="S10" t="s">
        <v>8</v>
      </c>
      <c r="T10" t="s">
        <v>4</v>
      </c>
    </row>
    <row r="11" spans="1:25">
      <c r="A11" t="s">
        <v>3498</v>
      </c>
      <c r="B11" t="s">
        <v>3759</v>
      </c>
      <c r="C11" s="101">
        <v>9</v>
      </c>
      <c r="D11" t="s">
        <v>8752</v>
      </c>
      <c r="E11" t="s">
        <v>1099</v>
      </c>
      <c r="G11" t="s">
        <v>3403</v>
      </c>
      <c r="K11" t="s">
        <v>8753</v>
      </c>
      <c r="S11" t="s">
        <v>15</v>
      </c>
      <c r="T11" t="s">
        <v>4</v>
      </c>
    </row>
    <row r="12" spans="1:25">
      <c r="A12" t="s">
        <v>3498</v>
      </c>
      <c r="B12" t="s">
        <v>3759</v>
      </c>
      <c r="C12" s="101">
        <v>10</v>
      </c>
      <c r="D12" t="s">
        <v>8754</v>
      </c>
      <c r="E12" t="s">
        <v>1099</v>
      </c>
      <c r="G12" t="s">
        <v>3403</v>
      </c>
      <c r="K12" t="s">
        <v>8755</v>
      </c>
      <c r="S12" t="s">
        <v>180</v>
      </c>
      <c r="T12" t="s">
        <v>4</v>
      </c>
    </row>
    <row r="13" spans="1:25">
      <c r="A13" t="s">
        <v>3498</v>
      </c>
      <c r="B13" t="s">
        <v>3759</v>
      </c>
      <c r="C13" s="101">
        <v>11</v>
      </c>
      <c r="D13" t="s">
        <v>8756</v>
      </c>
      <c r="E13" t="s">
        <v>1099</v>
      </c>
      <c r="G13" t="s">
        <v>3403</v>
      </c>
      <c r="K13" t="s">
        <v>8757</v>
      </c>
      <c r="S13" t="s">
        <v>40</v>
      </c>
      <c r="T13" t="s">
        <v>4</v>
      </c>
    </row>
    <row r="14" spans="1:25">
      <c r="A14" t="s">
        <v>3498</v>
      </c>
      <c r="B14" t="s">
        <v>3759</v>
      </c>
      <c r="C14" s="101">
        <v>12</v>
      </c>
      <c r="D14" t="s">
        <v>8758</v>
      </c>
      <c r="E14" t="s">
        <v>1099</v>
      </c>
      <c r="G14" t="s">
        <v>3403</v>
      </c>
      <c r="K14" t="s">
        <v>8759</v>
      </c>
      <c r="L14" t="s">
        <v>8760</v>
      </c>
      <c r="S14" t="s">
        <v>607</v>
      </c>
      <c r="T14" t="s">
        <v>4</v>
      </c>
    </row>
    <row r="15" spans="1:25">
      <c r="A15" t="s">
        <v>3498</v>
      </c>
      <c r="B15" t="s">
        <v>3759</v>
      </c>
      <c r="C15" s="101">
        <v>13</v>
      </c>
      <c r="D15" t="s">
        <v>8761</v>
      </c>
      <c r="E15" t="s">
        <v>1099</v>
      </c>
      <c r="G15" t="s">
        <v>3403</v>
      </c>
      <c r="K15" t="s">
        <v>5270</v>
      </c>
      <c r="L15" t="s">
        <v>4277</v>
      </c>
      <c r="M15" t="s">
        <v>8762</v>
      </c>
      <c r="N15" t="s">
        <v>8763</v>
      </c>
      <c r="S15" t="s">
        <v>39</v>
      </c>
      <c r="T15" t="s">
        <v>4</v>
      </c>
    </row>
    <row r="16" spans="1:25">
      <c r="A16" t="s">
        <v>3498</v>
      </c>
      <c r="B16" t="s">
        <v>3759</v>
      </c>
      <c r="C16" s="101">
        <v>14</v>
      </c>
      <c r="D16" t="s">
        <v>8764</v>
      </c>
      <c r="E16" t="s">
        <v>1099</v>
      </c>
      <c r="G16" t="s">
        <v>3403</v>
      </c>
      <c r="K16" t="s">
        <v>8765</v>
      </c>
      <c r="L16" t="s">
        <v>3768</v>
      </c>
      <c r="S16" t="s">
        <v>6</v>
      </c>
      <c r="T16" t="s">
        <v>4</v>
      </c>
    </row>
    <row r="17" spans="1:20">
      <c r="A17" t="s">
        <v>3498</v>
      </c>
      <c r="B17" t="s">
        <v>3759</v>
      </c>
      <c r="C17" s="101">
        <v>15</v>
      </c>
      <c r="D17" t="s">
        <v>8766</v>
      </c>
      <c r="E17" t="s">
        <v>1099</v>
      </c>
      <c r="G17" t="s">
        <v>3403</v>
      </c>
      <c r="K17" t="s">
        <v>8767</v>
      </c>
      <c r="S17" t="s">
        <v>32</v>
      </c>
      <c r="T17" t="s">
        <v>4</v>
      </c>
    </row>
    <row r="18" spans="1:20">
      <c r="A18" t="s">
        <v>3498</v>
      </c>
      <c r="B18" t="s">
        <v>3759</v>
      </c>
      <c r="C18" s="101">
        <v>16</v>
      </c>
      <c r="D18" t="s">
        <v>8768</v>
      </c>
      <c r="E18" t="s">
        <v>1099</v>
      </c>
      <c r="G18" t="s">
        <v>3403</v>
      </c>
      <c r="K18" t="s">
        <v>4917</v>
      </c>
      <c r="L18" t="s">
        <v>3768</v>
      </c>
      <c r="S18" t="s">
        <v>3747</v>
      </c>
      <c r="T18" t="s">
        <v>4</v>
      </c>
    </row>
    <row r="19" spans="1:20">
      <c r="A19" t="s">
        <v>3498</v>
      </c>
      <c r="B19" t="s">
        <v>3759</v>
      </c>
      <c r="C19" s="101">
        <v>17</v>
      </c>
      <c r="D19" t="s">
        <v>8769</v>
      </c>
      <c r="E19" t="s">
        <v>1099</v>
      </c>
      <c r="G19" t="s">
        <v>3403</v>
      </c>
      <c r="K19" t="s">
        <v>8770</v>
      </c>
      <c r="S19" t="s">
        <v>17</v>
      </c>
      <c r="T19" t="s">
        <v>4</v>
      </c>
    </row>
    <row r="20" spans="1:20">
      <c r="A20" t="s">
        <v>3498</v>
      </c>
      <c r="B20" t="s">
        <v>3759</v>
      </c>
      <c r="C20" s="101">
        <v>18</v>
      </c>
      <c r="D20" t="s">
        <v>8771</v>
      </c>
      <c r="E20" t="s">
        <v>1099</v>
      </c>
      <c r="G20" t="s">
        <v>3403</v>
      </c>
      <c r="K20" t="s">
        <v>8772</v>
      </c>
      <c r="S20" t="s">
        <v>178</v>
      </c>
      <c r="T20" t="s">
        <v>4</v>
      </c>
    </row>
    <row r="21" spans="1:20">
      <c r="A21" t="s">
        <v>3498</v>
      </c>
      <c r="B21" t="s">
        <v>3759</v>
      </c>
      <c r="C21" s="101">
        <v>19</v>
      </c>
      <c r="D21" t="s">
        <v>8773</v>
      </c>
      <c r="E21" t="s">
        <v>1099</v>
      </c>
      <c r="G21" t="s">
        <v>3403</v>
      </c>
      <c r="K21" t="s">
        <v>8774</v>
      </c>
      <c r="S21" t="s">
        <v>170</v>
      </c>
      <c r="T21" t="s">
        <v>4</v>
      </c>
    </row>
    <row r="22" spans="1:20">
      <c r="A22" t="s">
        <v>3498</v>
      </c>
      <c r="B22" t="s">
        <v>3759</v>
      </c>
      <c r="C22" s="101">
        <v>20</v>
      </c>
      <c r="D22" t="s">
        <v>8775</v>
      </c>
      <c r="E22" t="s">
        <v>1099</v>
      </c>
      <c r="G22" t="s">
        <v>3403</v>
      </c>
      <c r="K22" t="s">
        <v>8776</v>
      </c>
      <c r="S22" t="s">
        <v>607</v>
      </c>
      <c r="T22" t="s">
        <v>4</v>
      </c>
    </row>
    <row r="23" spans="1:20">
      <c r="A23" t="s">
        <v>3498</v>
      </c>
      <c r="B23" t="s">
        <v>3759</v>
      </c>
      <c r="C23" s="101">
        <v>21</v>
      </c>
      <c r="D23" t="s">
        <v>8777</v>
      </c>
      <c r="E23" t="s">
        <v>8750</v>
      </c>
      <c r="G23" t="s">
        <v>3403</v>
      </c>
      <c r="K23" t="s">
        <v>8778</v>
      </c>
      <c r="S23" t="s">
        <v>52</v>
      </c>
      <c r="T23" t="s">
        <v>4</v>
      </c>
    </row>
    <row r="24" spans="1:20">
      <c r="A24" t="s">
        <v>3498</v>
      </c>
      <c r="B24" t="s">
        <v>3759</v>
      </c>
      <c r="C24" s="101">
        <v>22</v>
      </c>
      <c r="D24" t="s">
        <v>8779</v>
      </c>
      <c r="E24" t="s">
        <v>1099</v>
      </c>
      <c r="G24" t="s">
        <v>3403</v>
      </c>
      <c r="K24" t="s">
        <v>8780</v>
      </c>
      <c r="S24" t="s">
        <v>30</v>
      </c>
      <c r="T24" t="s">
        <v>4</v>
      </c>
    </row>
    <row r="25" spans="1:20">
      <c r="A25" t="s">
        <v>3498</v>
      </c>
      <c r="B25" t="s">
        <v>3759</v>
      </c>
      <c r="C25" s="101">
        <v>23</v>
      </c>
      <c r="D25" t="s">
        <v>8781</v>
      </c>
      <c r="E25" t="s">
        <v>1099</v>
      </c>
      <c r="G25" t="s">
        <v>3403</v>
      </c>
      <c r="K25" t="s">
        <v>8782</v>
      </c>
      <c r="S25" t="s">
        <v>5719</v>
      </c>
      <c r="T25" t="s">
        <v>4</v>
      </c>
    </row>
    <row r="26" spans="1:20">
      <c r="A26" t="s">
        <v>3498</v>
      </c>
      <c r="B26" t="s">
        <v>3759</v>
      </c>
      <c r="C26" s="101">
        <v>24</v>
      </c>
      <c r="D26" t="s">
        <v>8783</v>
      </c>
      <c r="E26" t="s">
        <v>1099</v>
      </c>
      <c r="G26" t="s">
        <v>3403</v>
      </c>
      <c r="K26" t="s">
        <v>8784</v>
      </c>
      <c r="S26" t="s">
        <v>176</v>
      </c>
      <c r="T26" t="s">
        <v>4</v>
      </c>
    </row>
    <row r="27" spans="1:20">
      <c r="A27" t="s">
        <v>3498</v>
      </c>
      <c r="B27" t="s">
        <v>3759</v>
      </c>
      <c r="C27" s="101">
        <v>25</v>
      </c>
      <c r="D27" t="s">
        <v>8785</v>
      </c>
      <c r="E27" t="s">
        <v>1099</v>
      </c>
      <c r="G27" t="s">
        <v>3403</v>
      </c>
      <c r="K27" t="s">
        <v>8786</v>
      </c>
      <c r="S27" t="s">
        <v>14</v>
      </c>
      <c r="T27" t="s">
        <v>4</v>
      </c>
    </row>
    <row r="28" spans="1:20">
      <c r="A28" t="s">
        <v>3498</v>
      </c>
      <c r="B28" t="s">
        <v>3759</v>
      </c>
      <c r="C28" s="101">
        <v>26</v>
      </c>
      <c r="D28" t="s">
        <v>8787</v>
      </c>
      <c r="E28" t="s">
        <v>1099</v>
      </c>
      <c r="G28" t="s">
        <v>3403</v>
      </c>
      <c r="K28" t="s">
        <v>8788</v>
      </c>
      <c r="L28" t="s">
        <v>8789</v>
      </c>
      <c r="S28" t="s">
        <v>17</v>
      </c>
      <c r="T28" t="s">
        <v>4</v>
      </c>
    </row>
    <row r="29" spans="1:20">
      <c r="A29" t="s">
        <v>3498</v>
      </c>
      <c r="B29" t="s">
        <v>3759</v>
      </c>
      <c r="C29" s="101">
        <v>27</v>
      </c>
      <c r="D29" t="s">
        <v>8790</v>
      </c>
      <c r="E29" t="s">
        <v>1099</v>
      </c>
      <c r="G29" t="s">
        <v>3403</v>
      </c>
      <c r="K29" t="s">
        <v>8791</v>
      </c>
      <c r="S29" t="s">
        <v>605</v>
      </c>
      <c r="T29" t="s">
        <v>4</v>
      </c>
    </row>
    <row r="30" spans="1:20">
      <c r="A30" t="s">
        <v>3498</v>
      </c>
      <c r="B30" t="s">
        <v>3759</v>
      </c>
      <c r="C30" s="101">
        <v>28</v>
      </c>
      <c r="D30" t="s">
        <v>8792</v>
      </c>
      <c r="E30" t="s">
        <v>1099</v>
      </c>
      <c r="G30" t="s">
        <v>3403</v>
      </c>
      <c r="K30" t="s">
        <v>8793</v>
      </c>
      <c r="S30" t="s">
        <v>44</v>
      </c>
      <c r="T30" t="s">
        <v>4</v>
      </c>
    </row>
    <row r="31" spans="1:20">
      <c r="A31" t="s">
        <v>3498</v>
      </c>
      <c r="B31" t="s">
        <v>3759</v>
      </c>
      <c r="C31" s="101">
        <v>29</v>
      </c>
      <c r="D31" t="s">
        <v>8794</v>
      </c>
      <c r="E31" t="s">
        <v>1099</v>
      </c>
      <c r="G31" t="s">
        <v>3403</v>
      </c>
      <c r="K31" t="s">
        <v>8795</v>
      </c>
      <c r="L31" t="s">
        <v>8796</v>
      </c>
      <c r="S31" t="s">
        <v>27</v>
      </c>
      <c r="T31" t="s">
        <v>4</v>
      </c>
    </row>
    <row r="32" spans="1:20">
      <c r="A32" t="s">
        <v>3498</v>
      </c>
      <c r="B32" t="s">
        <v>3759</v>
      </c>
      <c r="C32" s="101">
        <v>30</v>
      </c>
      <c r="D32" t="s">
        <v>8797</v>
      </c>
      <c r="E32" t="s">
        <v>1099</v>
      </c>
      <c r="G32" t="s">
        <v>3403</v>
      </c>
      <c r="K32" t="s">
        <v>7296</v>
      </c>
      <c r="L32" t="s">
        <v>8798</v>
      </c>
      <c r="S32" t="s">
        <v>37</v>
      </c>
      <c r="T32" t="s">
        <v>4</v>
      </c>
    </row>
    <row r="33" spans="1:20">
      <c r="A33" t="s">
        <v>3498</v>
      </c>
      <c r="B33" t="s">
        <v>3759</v>
      </c>
      <c r="C33" s="101">
        <v>31</v>
      </c>
      <c r="D33" t="s">
        <v>8799</v>
      </c>
      <c r="E33" t="s">
        <v>1099</v>
      </c>
      <c r="G33" t="s">
        <v>3403</v>
      </c>
      <c r="K33" t="s">
        <v>4113</v>
      </c>
      <c r="L33" t="s">
        <v>8800</v>
      </c>
      <c r="M33" t="s">
        <v>8801</v>
      </c>
      <c r="N33" t="s">
        <v>579</v>
      </c>
      <c r="S33" t="s">
        <v>33</v>
      </c>
      <c r="T33" t="s">
        <v>4</v>
      </c>
    </row>
    <row r="34" spans="1:20">
      <c r="A34" s="78" t="s">
        <v>3498</v>
      </c>
      <c r="B34" s="78" t="s">
        <v>3759</v>
      </c>
      <c r="C34" s="107">
        <v>32</v>
      </c>
      <c r="D34" s="78" t="s">
        <v>8802</v>
      </c>
      <c r="E34" s="78" t="s">
        <v>1100</v>
      </c>
      <c r="F34" s="78"/>
      <c r="G34" s="78" t="s">
        <v>3403</v>
      </c>
      <c r="H34" s="78"/>
      <c r="I34" s="78"/>
      <c r="J34" s="78"/>
      <c r="K34" s="78" t="s">
        <v>8803</v>
      </c>
      <c r="L34" s="78"/>
      <c r="M34" s="78"/>
      <c r="N34" s="78"/>
      <c r="O34" s="78"/>
      <c r="P34" s="78"/>
      <c r="Q34" s="78"/>
      <c r="S34" t="s">
        <v>26</v>
      </c>
      <c r="T34" t="s">
        <v>4</v>
      </c>
    </row>
    <row r="35" spans="1:20">
      <c r="A35" t="s">
        <v>3498</v>
      </c>
      <c r="B35" t="s">
        <v>3759</v>
      </c>
      <c r="C35" s="101">
        <v>33</v>
      </c>
      <c r="D35" t="s">
        <v>8804</v>
      </c>
      <c r="E35" t="s">
        <v>1100</v>
      </c>
      <c r="G35" t="s">
        <v>3403</v>
      </c>
      <c r="K35" t="s">
        <v>8805</v>
      </c>
      <c r="S35" t="s">
        <v>8</v>
      </c>
      <c r="T35" t="s">
        <v>4</v>
      </c>
    </row>
    <row r="36" spans="1:20">
      <c r="A36" t="s">
        <v>3498</v>
      </c>
      <c r="B36" t="s">
        <v>3759</v>
      </c>
      <c r="C36" s="101">
        <v>34</v>
      </c>
      <c r="D36" t="s">
        <v>8806</v>
      </c>
      <c r="E36" t="s">
        <v>1181</v>
      </c>
      <c r="G36" t="s">
        <v>3403</v>
      </c>
      <c r="K36" t="s">
        <v>8807</v>
      </c>
      <c r="S36" t="s">
        <v>174</v>
      </c>
      <c r="T36" t="s">
        <v>4</v>
      </c>
    </row>
    <row r="37" spans="1:20">
      <c r="A37" t="s">
        <v>3498</v>
      </c>
      <c r="B37" t="s">
        <v>3759</v>
      </c>
      <c r="C37" s="101">
        <v>35</v>
      </c>
      <c r="D37" t="s">
        <v>8808</v>
      </c>
      <c r="E37" t="s">
        <v>1100</v>
      </c>
      <c r="G37" t="s">
        <v>3403</v>
      </c>
      <c r="K37" t="s">
        <v>8809</v>
      </c>
      <c r="S37" t="s">
        <v>27</v>
      </c>
      <c r="T37" t="s">
        <v>4</v>
      </c>
    </row>
    <row r="38" spans="1:20">
      <c r="A38" t="s">
        <v>3498</v>
      </c>
      <c r="B38" t="s">
        <v>3759</v>
      </c>
      <c r="C38" s="101">
        <v>36</v>
      </c>
      <c r="D38" t="s">
        <v>8810</v>
      </c>
      <c r="E38" t="s">
        <v>1100</v>
      </c>
      <c r="G38" t="s">
        <v>3403</v>
      </c>
      <c r="K38" t="s">
        <v>8811</v>
      </c>
      <c r="L38" t="s">
        <v>4953</v>
      </c>
      <c r="S38" t="s">
        <v>29</v>
      </c>
      <c r="T38" t="s">
        <v>4</v>
      </c>
    </row>
    <row r="39" spans="1:20">
      <c r="A39" t="s">
        <v>3498</v>
      </c>
      <c r="B39" t="s">
        <v>3759</v>
      </c>
      <c r="C39" s="101">
        <v>37</v>
      </c>
      <c r="D39" t="s">
        <v>8812</v>
      </c>
      <c r="E39" t="s">
        <v>1181</v>
      </c>
      <c r="G39" t="s">
        <v>3403</v>
      </c>
      <c r="K39" t="s">
        <v>8813</v>
      </c>
      <c r="L39" t="s">
        <v>3765</v>
      </c>
      <c r="S39" t="s">
        <v>33</v>
      </c>
      <c r="T39" t="s">
        <v>4</v>
      </c>
    </row>
    <row r="40" spans="1:20">
      <c r="A40" t="s">
        <v>3498</v>
      </c>
      <c r="B40" t="s">
        <v>3759</v>
      </c>
      <c r="C40" s="101">
        <v>38</v>
      </c>
      <c r="D40" t="s">
        <v>8814</v>
      </c>
      <c r="E40" t="s">
        <v>1100</v>
      </c>
      <c r="G40" t="s">
        <v>3445</v>
      </c>
      <c r="H40" t="s">
        <v>5671</v>
      </c>
      <c r="K40" t="s">
        <v>5321</v>
      </c>
      <c r="L40" t="s">
        <v>8815</v>
      </c>
      <c r="S40" t="s">
        <v>5281</v>
      </c>
      <c r="T40" t="s">
        <v>4</v>
      </c>
    </row>
    <row r="41" spans="1:20">
      <c r="A41" t="s">
        <v>3498</v>
      </c>
      <c r="B41" t="s">
        <v>3759</v>
      </c>
      <c r="C41" s="101">
        <v>39</v>
      </c>
      <c r="D41" t="s">
        <v>8816</v>
      </c>
      <c r="E41" t="s">
        <v>1100</v>
      </c>
      <c r="G41" t="s">
        <v>3403</v>
      </c>
      <c r="K41" t="s">
        <v>8817</v>
      </c>
      <c r="S41" t="s">
        <v>177</v>
      </c>
      <c r="T41" t="s">
        <v>4</v>
      </c>
    </row>
    <row r="42" spans="1:20">
      <c r="A42" t="s">
        <v>3498</v>
      </c>
      <c r="B42" t="s">
        <v>3759</v>
      </c>
      <c r="C42" s="101">
        <v>40</v>
      </c>
      <c r="D42" t="s">
        <v>8818</v>
      </c>
      <c r="E42" t="s">
        <v>1100</v>
      </c>
      <c r="G42" t="s">
        <v>3403</v>
      </c>
      <c r="K42" t="s">
        <v>8819</v>
      </c>
      <c r="L42" t="s">
        <v>8820</v>
      </c>
      <c r="S42" t="s">
        <v>49</v>
      </c>
      <c r="T42" t="s">
        <v>4</v>
      </c>
    </row>
    <row r="43" spans="1:20">
      <c r="A43" t="s">
        <v>3498</v>
      </c>
      <c r="B43" t="s">
        <v>3759</v>
      </c>
      <c r="C43" s="101">
        <v>41</v>
      </c>
      <c r="D43" t="s">
        <v>8821</v>
      </c>
      <c r="E43" t="s">
        <v>1100</v>
      </c>
      <c r="G43" t="s">
        <v>3403</v>
      </c>
      <c r="K43" t="s">
        <v>8822</v>
      </c>
      <c r="S43" t="s">
        <v>37</v>
      </c>
      <c r="T43" t="s">
        <v>4</v>
      </c>
    </row>
    <row r="44" spans="1:20">
      <c r="A44" t="s">
        <v>3498</v>
      </c>
      <c r="B44" t="s">
        <v>3759</v>
      </c>
      <c r="C44" s="101">
        <v>42</v>
      </c>
      <c r="D44" t="s">
        <v>8823</v>
      </c>
      <c r="E44" t="s">
        <v>1100</v>
      </c>
      <c r="G44" t="s">
        <v>3403</v>
      </c>
      <c r="H44" t="s">
        <v>5180</v>
      </c>
      <c r="K44" t="s">
        <v>8819</v>
      </c>
      <c r="L44" t="s">
        <v>8824</v>
      </c>
      <c r="S44" t="s">
        <v>175</v>
      </c>
      <c r="T44" t="s">
        <v>4</v>
      </c>
    </row>
    <row r="45" spans="1:20">
      <c r="A45" t="s">
        <v>3498</v>
      </c>
      <c r="B45" t="s">
        <v>3759</v>
      </c>
      <c r="C45" s="101">
        <v>43</v>
      </c>
      <c r="D45" t="s">
        <v>8825</v>
      </c>
      <c r="E45" t="s">
        <v>1100</v>
      </c>
      <c r="G45" t="s">
        <v>3403</v>
      </c>
      <c r="K45" t="s">
        <v>8826</v>
      </c>
      <c r="S45" t="s">
        <v>33</v>
      </c>
      <c r="T45" t="s">
        <v>4</v>
      </c>
    </row>
    <row r="46" spans="1:20">
      <c r="A46" t="s">
        <v>3498</v>
      </c>
      <c r="B46" t="s">
        <v>3759</v>
      </c>
      <c r="C46" s="101">
        <v>44</v>
      </c>
      <c r="D46" t="s">
        <v>8827</v>
      </c>
      <c r="E46" t="s">
        <v>1100</v>
      </c>
      <c r="G46" t="s">
        <v>3403</v>
      </c>
      <c r="K46" t="s">
        <v>8828</v>
      </c>
      <c r="S46" t="s">
        <v>36</v>
      </c>
      <c r="T46" t="s">
        <v>4</v>
      </c>
    </row>
    <row r="47" spans="1:20">
      <c r="A47" t="s">
        <v>3498</v>
      </c>
      <c r="B47" t="s">
        <v>3759</v>
      </c>
      <c r="C47" s="101">
        <v>45</v>
      </c>
      <c r="D47" t="s">
        <v>8829</v>
      </c>
      <c r="E47" t="s">
        <v>1181</v>
      </c>
      <c r="G47" t="s">
        <v>3403</v>
      </c>
      <c r="K47" t="s">
        <v>8830</v>
      </c>
      <c r="S47" t="s">
        <v>50</v>
      </c>
      <c r="T47" t="s">
        <v>4</v>
      </c>
    </row>
    <row r="48" spans="1:20">
      <c r="A48" t="s">
        <v>3498</v>
      </c>
      <c r="B48" t="s">
        <v>3759</v>
      </c>
      <c r="C48" s="101">
        <v>46</v>
      </c>
      <c r="D48" t="s">
        <v>8831</v>
      </c>
      <c r="E48" t="s">
        <v>1100</v>
      </c>
      <c r="G48" t="s">
        <v>3403</v>
      </c>
      <c r="K48" t="s">
        <v>8832</v>
      </c>
      <c r="S48" t="s">
        <v>5</v>
      </c>
      <c r="T48" t="s">
        <v>4</v>
      </c>
    </row>
    <row r="49" spans="1:20">
      <c r="A49" t="s">
        <v>3498</v>
      </c>
      <c r="B49" t="s">
        <v>3759</v>
      </c>
      <c r="C49" s="101">
        <v>47</v>
      </c>
      <c r="D49" t="s">
        <v>8833</v>
      </c>
      <c r="E49" t="s">
        <v>1100</v>
      </c>
      <c r="G49" t="s">
        <v>3403</v>
      </c>
      <c r="K49" t="s">
        <v>8834</v>
      </c>
      <c r="S49" t="s">
        <v>5685</v>
      </c>
      <c r="T49" t="s">
        <v>4</v>
      </c>
    </row>
    <row r="50" spans="1:20">
      <c r="A50" t="s">
        <v>3498</v>
      </c>
      <c r="B50" t="s">
        <v>3759</v>
      </c>
      <c r="C50" s="101">
        <v>48</v>
      </c>
      <c r="D50" t="s">
        <v>8835</v>
      </c>
      <c r="E50" t="s">
        <v>1181</v>
      </c>
      <c r="G50" t="s">
        <v>3403</v>
      </c>
      <c r="K50" t="s">
        <v>8836</v>
      </c>
      <c r="S50" t="s">
        <v>14</v>
      </c>
      <c r="T50" t="s">
        <v>4</v>
      </c>
    </row>
    <row r="51" spans="1:20">
      <c r="A51" t="s">
        <v>3498</v>
      </c>
      <c r="B51" t="s">
        <v>3759</v>
      </c>
      <c r="C51" s="101">
        <v>49</v>
      </c>
      <c r="D51" t="s">
        <v>8837</v>
      </c>
      <c r="E51" t="s">
        <v>1181</v>
      </c>
      <c r="G51" t="s">
        <v>3403</v>
      </c>
      <c r="K51" t="s">
        <v>8838</v>
      </c>
      <c r="S51" t="s">
        <v>45</v>
      </c>
      <c r="T51" t="s">
        <v>4</v>
      </c>
    </row>
    <row r="52" spans="1:20">
      <c r="A52" t="s">
        <v>3498</v>
      </c>
      <c r="B52" t="s">
        <v>3759</v>
      </c>
      <c r="C52" s="101">
        <v>50</v>
      </c>
      <c r="D52" t="s">
        <v>8839</v>
      </c>
      <c r="E52" t="s">
        <v>8840</v>
      </c>
      <c r="G52" t="s">
        <v>3403</v>
      </c>
      <c r="H52" t="s">
        <v>5180</v>
      </c>
      <c r="K52" t="s">
        <v>8841</v>
      </c>
      <c r="S52" t="s">
        <v>179</v>
      </c>
      <c r="T52" t="s">
        <v>4</v>
      </c>
    </row>
    <row r="53" spans="1:20">
      <c r="A53" t="s">
        <v>3498</v>
      </c>
      <c r="B53" t="s">
        <v>3759</v>
      </c>
      <c r="C53" s="101">
        <v>51</v>
      </c>
      <c r="D53" t="s">
        <v>8842</v>
      </c>
      <c r="E53" t="s">
        <v>1100</v>
      </c>
      <c r="G53" t="s">
        <v>3403</v>
      </c>
      <c r="K53" t="s">
        <v>8843</v>
      </c>
      <c r="M53" t="s">
        <v>8844</v>
      </c>
      <c r="S53" t="s">
        <v>5719</v>
      </c>
      <c r="T53" t="s">
        <v>4</v>
      </c>
    </row>
    <row r="54" spans="1:20">
      <c r="A54" t="s">
        <v>3498</v>
      </c>
      <c r="B54" t="s">
        <v>3759</v>
      </c>
      <c r="C54" s="101">
        <v>52</v>
      </c>
      <c r="D54" t="s">
        <v>8845</v>
      </c>
      <c r="E54" t="s">
        <v>1181</v>
      </c>
      <c r="G54" t="s">
        <v>3403</v>
      </c>
      <c r="K54" t="s">
        <v>8846</v>
      </c>
      <c r="S54" t="s">
        <v>606</v>
      </c>
      <c r="T54" t="s">
        <v>4</v>
      </c>
    </row>
    <row r="55" spans="1:20">
      <c r="A55" t="s">
        <v>3498</v>
      </c>
      <c r="B55" t="s">
        <v>3759</v>
      </c>
      <c r="C55" s="101">
        <v>53</v>
      </c>
      <c r="D55" t="s">
        <v>8847</v>
      </c>
      <c r="E55" t="s">
        <v>1100</v>
      </c>
      <c r="G55" t="s">
        <v>3403</v>
      </c>
      <c r="K55" t="s">
        <v>8848</v>
      </c>
      <c r="S55" t="s">
        <v>46</v>
      </c>
      <c r="T55" t="s">
        <v>4</v>
      </c>
    </row>
    <row r="56" spans="1:20">
      <c r="A56" t="s">
        <v>3498</v>
      </c>
      <c r="B56" t="s">
        <v>3759</v>
      </c>
      <c r="C56" s="101">
        <v>54</v>
      </c>
      <c r="D56" t="s">
        <v>8849</v>
      </c>
      <c r="E56" t="s">
        <v>1100</v>
      </c>
      <c r="G56" t="s">
        <v>3403</v>
      </c>
      <c r="K56" t="s">
        <v>4277</v>
      </c>
      <c r="L56" t="s">
        <v>8763</v>
      </c>
      <c r="M56" t="s">
        <v>4619</v>
      </c>
      <c r="S56" t="s">
        <v>26</v>
      </c>
      <c r="T56" t="s">
        <v>4</v>
      </c>
    </row>
    <row r="57" spans="1:20">
      <c r="A57" t="s">
        <v>3498</v>
      </c>
      <c r="B57" t="s">
        <v>3759</v>
      </c>
      <c r="C57" s="101">
        <v>55</v>
      </c>
      <c r="D57" t="s">
        <v>8850</v>
      </c>
      <c r="E57" t="s">
        <v>1100</v>
      </c>
      <c r="G57" t="s">
        <v>3403</v>
      </c>
      <c r="K57" t="s">
        <v>4937</v>
      </c>
      <c r="S57" t="s">
        <v>169</v>
      </c>
      <c r="T57" t="s">
        <v>4</v>
      </c>
    </row>
    <row r="58" spans="1:20">
      <c r="A58" t="s">
        <v>3498</v>
      </c>
      <c r="B58" t="s">
        <v>3759</v>
      </c>
      <c r="C58" s="101">
        <v>56</v>
      </c>
      <c r="D58" t="s">
        <v>8851</v>
      </c>
      <c r="E58" t="s">
        <v>1100</v>
      </c>
      <c r="G58" t="s">
        <v>3403</v>
      </c>
      <c r="K58" t="s">
        <v>8852</v>
      </c>
      <c r="L58" t="s">
        <v>8853</v>
      </c>
      <c r="S58" t="s">
        <v>8</v>
      </c>
      <c r="T58" t="s">
        <v>4</v>
      </c>
    </row>
    <row r="59" spans="1:20">
      <c r="A59" t="s">
        <v>3498</v>
      </c>
      <c r="B59" t="s">
        <v>3759</v>
      </c>
      <c r="C59" s="101">
        <v>57</v>
      </c>
      <c r="D59" t="s">
        <v>8854</v>
      </c>
      <c r="E59" t="s">
        <v>1100</v>
      </c>
      <c r="G59" t="s">
        <v>3403</v>
      </c>
      <c r="K59" t="s">
        <v>8855</v>
      </c>
      <c r="S59" t="s">
        <v>3119</v>
      </c>
      <c r="T59" t="s">
        <v>4</v>
      </c>
    </row>
    <row r="60" spans="1:20">
      <c r="A60" t="s">
        <v>3498</v>
      </c>
      <c r="B60" t="s">
        <v>3759</v>
      </c>
      <c r="C60" s="101">
        <v>58</v>
      </c>
      <c r="D60" t="s">
        <v>8856</v>
      </c>
      <c r="E60" t="s">
        <v>1100</v>
      </c>
      <c r="G60" t="s">
        <v>3403</v>
      </c>
      <c r="K60" t="s">
        <v>8857</v>
      </c>
      <c r="S60" t="s">
        <v>174</v>
      </c>
      <c r="T60" t="s">
        <v>4</v>
      </c>
    </row>
    <row r="61" spans="1:20">
      <c r="A61" t="s">
        <v>3498</v>
      </c>
      <c r="B61" t="s">
        <v>3759</v>
      </c>
      <c r="C61" s="101">
        <v>59</v>
      </c>
      <c r="D61" t="s">
        <v>8858</v>
      </c>
      <c r="E61" t="s">
        <v>1100</v>
      </c>
      <c r="G61" t="s">
        <v>3403</v>
      </c>
      <c r="K61" t="s">
        <v>8859</v>
      </c>
      <c r="L61" t="s">
        <v>4240</v>
      </c>
      <c r="S61" t="s">
        <v>28</v>
      </c>
      <c r="T61" t="s">
        <v>4</v>
      </c>
    </row>
    <row r="62" spans="1:20">
      <c r="A62" t="s">
        <v>3498</v>
      </c>
      <c r="B62" t="s">
        <v>3759</v>
      </c>
      <c r="C62" s="101">
        <v>60</v>
      </c>
      <c r="D62" t="s">
        <v>8860</v>
      </c>
      <c r="E62" t="s">
        <v>1100</v>
      </c>
      <c r="G62" t="s">
        <v>3403</v>
      </c>
      <c r="K62" t="s">
        <v>8861</v>
      </c>
      <c r="L62" t="s">
        <v>4240</v>
      </c>
      <c r="S62" t="s">
        <v>30</v>
      </c>
      <c r="T62" t="s">
        <v>4</v>
      </c>
    </row>
    <row r="63" spans="1:20">
      <c r="A63" t="s">
        <v>3498</v>
      </c>
      <c r="B63" t="s">
        <v>3759</v>
      </c>
      <c r="C63" s="101">
        <v>61</v>
      </c>
      <c r="D63" t="s">
        <v>8862</v>
      </c>
      <c r="E63" t="s">
        <v>1101</v>
      </c>
      <c r="G63" t="s">
        <v>3403</v>
      </c>
      <c r="K63" t="s">
        <v>8863</v>
      </c>
      <c r="S63" t="s">
        <v>16</v>
      </c>
      <c r="T63" t="s">
        <v>4</v>
      </c>
    </row>
    <row r="64" spans="1:20">
      <c r="A64" t="s">
        <v>3498</v>
      </c>
      <c r="B64" t="s">
        <v>3759</v>
      </c>
      <c r="C64" s="101">
        <v>62</v>
      </c>
      <c r="D64" t="s">
        <v>8864</v>
      </c>
      <c r="E64" t="s">
        <v>1101</v>
      </c>
      <c r="G64" t="s">
        <v>3403</v>
      </c>
      <c r="K64" t="s">
        <v>8865</v>
      </c>
      <c r="L64" t="s">
        <v>8866</v>
      </c>
      <c r="S64" t="s">
        <v>31</v>
      </c>
      <c r="T64" t="s">
        <v>4</v>
      </c>
    </row>
    <row r="65" spans="1:20">
      <c r="A65" t="s">
        <v>3498</v>
      </c>
      <c r="B65" t="s">
        <v>3759</v>
      </c>
      <c r="C65" s="101">
        <v>63</v>
      </c>
      <c r="D65" t="s">
        <v>8867</v>
      </c>
      <c r="E65" t="s">
        <v>1101</v>
      </c>
      <c r="G65" t="s">
        <v>3403</v>
      </c>
      <c r="K65" t="s">
        <v>8868</v>
      </c>
      <c r="S65" t="s">
        <v>18</v>
      </c>
      <c r="T65" t="s">
        <v>4</v>
      </c>
    </row>
    <row r="66" spans="1:20">
      <c r="A66" t="s">
        <v>3498</v>
      </c>
      <c r="B66" t="s">
        <v>3759</v>
      </c>
      <c r="C66" s="101">
        <v>64</v>
      </c>
      <c r="D66" t="s">
        <v>8869</v>
      </c>
      <c r="E66" t="s">
        <v>1101</v>
      </c>
      <c r="G66" t="s">
        <v>3403</v>
      </c>
      <c r="K66" t="s">
        <v>8870</v>
      </c>
      <c r="S66" t="s">
        <v>37</v>
      </c>
      <c r="T66" t="s">
        <v>4</v>
      </c>
    </row>
    <row r="67" spans="1:20">
      <c r="A67" t="s">
        <v>3498</v>
      </c>
      <c r="B67" t="s">
        <v>3759</v>
      </c>
      <c r="C67" s="101">
        <v>65</v>
      </c>
      <c r="D67" t="s">
        <v>8871</v>
      </c>
      <c r="E67" t="s">
        <v>1101</v>
      </c>
      <c r="G67" t="s">
        <v>3403</v>
      </c>
      <c r="K67" t="s">
        <v>8776</v>
      </c>
      <c r="L67" t="s">
        <v>8872</v>
      </c>
      <c r="S67" t="s">
        <v>604</v>
      </c>
      <c r="T67" t="s">
        <v>4</v>
      </c>
    </row>
    <row r="68" spans="1:20">
      <c r="A68" t="s">
        <v>3498</v>
      </c>
      <c r="B68" t="s">
        <v>3759</v>
      </c>
      <c r="C68" s="101">
        <v>66</v>
      </c>
      <c r="D68" t="s">
        <v>8873</v>
      </c>
      <c r="E68" t="s">
        <v>1102</v>
      </c>
      <c r="G68" t="s">
        <v>3403</v>
      </c>
      <c r="K68" t="s">
        <v>8874</v>
      </c>
      <c r="S68" t="s">
        <v>181</v>
      </c>
      <c r="T68" t="s">
        <v>4</v>
      </c>
    </row>
    <row r="69" spans="1:20">
      <c r="A69" t="s">
        <v>3498</v>
      </c>
      <c r="B69" t="s">
        <v>3759</v>
      </c>
      <c r="C69" s="101">
        <v>67</v>
      </c>
      <c r="D69" t="s">
        <v>8875</v>
      </c>
      <c r="E69" t="s">
        <v>1102</v>
      </c>
      <c r="G69" t="s">
        <v>3403</v>
      </c>
      <c r="K69" t="s">
        <v>8876</v>
      </c>
      <c r="S69" t="s">
        <v>39</v>
      </c>
      <c r="T69" t="s">
        <v>4</v>
      </c>
    </row>
    <row r="70" spans="1:20">
      <c r="A70" t="s">
        <v>3498</v>
      </c>
      <c r="B70" t="s">
        <v>3759</v>
      </c>
      <c r="C70" s="101">
        <v>68</v>
      </c>
      <c r="D70" t="s">
        <v>8877</v>
      </c>
      <c r="E70" t="s">
        <v>1101</v>
      </c>
      <c r="G70" t="s">
        <v>3403</v>
      </c>
      <c r="K70" t="s">
        <v>8878</v>
      </c>
      <c r="S70" t="s">
        <v>171</v>
      </c>
      <c r="T70" t="s">
        <v>4</v>
      </c>
    </row>
    <row r="71" spans="1:20">
      <c r="A71" t="s">
        <v>3498</v>
      </c>
      <c r="B71" t="s">
        <v>3759</v>
      </c>
      <c r="C71" s="101">
        <v>69</v>
      </c>
      <c r="D71" t="s">
        <v>8879</v>
      </c>
      <c r="E71" t="s">
        <v>1101</v>
      </c>
      <c r="G71" t="s">
        <v>3403</v>
      </c>
      <c r="K71" t="s">
        <v>8880</v>
      </c>
      <c r="L71" t="s">
        <v>8881</v>
      </c>
      <c r="S71" t="s">
        <v>48</v>
      </c>
      <c r="T71" t="s">
        <v>4</v>
      </c>
    </row>
    <row r="72" spans="1:20">
      <c r="A72" t="s">
        <v>3498</v>
      </c>
      <c r="B72" t="s">
        <v>3759</v>
      </c>
      <c r="C72" s="101">
        <v>70</v>
      </c>
      <c r="D72" t="s">
        <v>8882</v>
      </c>
      <c r="E72" t="s">
        <v>1101</v>
      </c>
      <c r="G72" t="s">
        <v>3403</v>
      </c>
      <c r="K72" t="s">
        <v>4981</v>
      </c>
      <c r="S72" t="s">
        <v>35</v>
      </c>
      <c r="T72" t="s">
        <v>4</v>
      </c>
    </row>
    <row r="73" spans="1:20">
      <c r="A73" t="s">
        <v>3498</v>
      </c>
      <c r="B73" t="s">
        <v>3759</v>
      </c>
      <c r="C73" s="101">
        <v>71</v>
      </c>
      <c r="D73" t="s">
        <v>8883</v>
      </c>
      <c r="E73" t="s">
        <v>1101</v>
      </c>
      <c r="G73" t="s">
        <v>3403</v>
      </c>
      <c r="K73" t="s">
        <v>8884</v>
      </c>
      <c r="L73" t="s">
        <v>3768</v>
      </c>
      <c r="S73" t="s">
        <v>32</v>
      </c>
      <c r="T73" t="s">
        <v>4</v>
      </c>
    </row>
    <row r="74" spans="1:20">
      <c r="A74" t="s">
        <v>3498</v>
      </c>
      <c r="B74" t="s">
        <v>3759</v>
      </c>
      <c r="C74" s="101">
        <v>72</v>
      </c>
      <c r="D74" t="s">
        <v>8885</v>
      </c>
      <c r="E74" t="s">
        <v>1102</v>
      </c>
      <c r="G74" t="s">
        <v>3403</v>
      </c>
      <c r="K74" t="s">
        <v>8886</v>
      </c>
      <c r="S74" t="s">
        <v>844</v>
      </c>
      <c r="T74" t="s">
        <v>4</v>
      </c>
    </row>
    <row r="75" spans="1:20">
      <c r="A75" t="s">
        <v>3498</v>
      </c>
      <c r="B75" t="s">
        <v>3759</v>
      </c>
      <c r="C75" s="101">
        <v>73</v>
      </c>
      <c r="D75" t="s">
        <v>8887</v>
      </c>
      <c r="E75" t="s">
        <v>1101</v>
      </c>
      <c r="G75" t="s">
        <v>3403</v>
      </c>
      <c r="K75" t="s">
        <v>8888</v>
      </c>
      <c r="L75" t="s">
        <v>3768</v>
      </c>
      <c r="S75" t="s">
        <v>5281</v>
      </c>
      <c r="T75" t="s">
        <v>4</v>
      </c>
    </row>
    <row r="76" spans="1:20">
      <c r="A76" t="s">
        <v>3498</v>
      </c>
      <c r="B76" t="s">
        <v>3759</v>
      </c>
      <c r="C76" s="101">
        <v>74</v>
      </c>
      <c r="D76" t="s">
        <v>8889</v>
      </c>
      <c r="E76" t="s">
        <v>1101</v>
      </c>
      <c r="G76" t="s">
        <v>3403</v>
      </c>
      <c r="K76" t="s">
        <v>8890</v>
      </c>
      <c r="S76" t="s">
        <v>35</v>
      </c>
      <c r="T76" t="s">
        <v>4</v>
      </c>
    </row>
    <row r="77" spans="1:20">
      <c r="A77" t="s">
        <v>3498</v>
      </c>
      <c r="B77" t="s">
        <v>3759</v>
      </c>
      <c r="C77" s="101">
        <v>75</v>
      </c>
      <c r="D77" t="s">
        <v>8891</v>
      </c>
      <c r="E77" t="s">
        <v>1101</v>
      </c>
      <c r="G77" t="s">
        <v>3403</v>
      </c>
      <c r="K77" t="s">
        <v>4113</v>
      </c>
      <c r="L77" t="s">
        <v>8892</v>
      </c>
      <c r="M77" t="s">
        <v>8893</v>
      </c>
      <c r="N77" t="s">
        <v>8894</v>
      </c>
      <c r="S77" t="s">
        <v>168</v>
      </c>
      <c r="T77" t="s">
        <v>4</v>
      </c>
    </row>
    <row r="78" spans="1:20">
      <c r="A78" t="s">
        <v>3498</v>
      </c>
      <c r="B78" t="s">
        <v>3759</v>
      </c>
      <c r="C78" s="101">
        <v>76</v>
      </c>
      <c r="D78" t="s">
        <v>8895</v>
      </c>
      <c r="E78" t="s">
        <v>1101</v>
      </c>
      <c r="G78" t="s">
        <v>3403</v>
      </c>
      <c r="K78" t="s">
        <v>8896</v>
      </c>
      <c r="S78" t="s">
        <v>606</v>
      </c>
      <c r="T78" t="s">
        <v>4</v>
      </c>
    </row>
    <row r="79" spans="1:20">
      <c r="A79" t="s">
        <v>3498</v>
      </c>
      <c r="B79" t="s">
        <v>3759</v>
      </c>
      <c r="C79" s="101">
        <v>77</v>
      </c>
      <c r="D79" t="s">
        <v>8897</v>
      </c>
      <c r="E79" t="s">
        <v>1101</v>
      </c>
      <c r="G79" t="s">
        <v>3403</v>
      </c>
      <c r="K79" t="s">
        <v>7296</v>
      </c>
      <c r="L79" t="s">
        <v>8898</v>
      </c>
      <c r="M79" t="s">
        <v>3768</v>
      </c>
      <c r="S79" t="s">
        <v>28</v>
      </c>
      <c r="T79" t="s">
        <v>4</v>
      </c>
    </row>
    <row r="80" spans="1:20">
      <c r="A80" s="76" t="s">
        <v>3498</v>
      </c>
      <c r="B80" s="76" t="s">
        <v>3759</v>
      </c>
      <c r="C80" s="103">
        <v>78</v>
      </c>
      <c r="D80" s="76" t="s">
        <v>8899</v>
      </c>
      <c r="E80" s="76" t="s">
        <v>1101</v>
      </c>
      <c r="F80" s="76"/>
      <c r="G80" s="76" t="s">
        <v>3403</v>
      </c>
      <c r="H80" s="76"/>
      <c r="I80" s="76"/>
      <c r="J80" s="76"/>
      <c r="K80" s="76" t="s">
        <v>8900</v>
      </c>
      <c r="L80" s="76"/>
      <c r="M80" s="76"/>
      <c r="N80" s="76"/>
      <c r="O80" s="76"/>
      <c r="P80" s="76"/>
      <c r="Q80" s="76"/>
      <c r="S80" t="s">
        <v>175</v>
      </c>
      <c r="T80" t="s">
        <v>4</v>
      </c>
    </row>
    <row r="81" spans="1:20">
      <c r="A81" t="s">
        <v>3498</v>
      </c>
      <c r="B81" t="s">
        <v>3759</v>
      </c>
      <c r="C81" s="101">
        <v>79</v>
      </c>
      <c r="D81" t="s">
        <v>8901</v>
      </c>
      <c r="E81" t="s">
        <v>1102</v>
      </c>
      <c r="G81" t="s">
        <v>3403</v>
      </c>
      <c r="K81" t="s">
        <v>8902</v>
      </c>
      <c r="S81" t="s">
        <v>607</v>
      </c>
      <c r="T81" t="s">
        <v>4</v>
      </c>
    </row>
    <row r="82" spans="1:20">
      <c r="A82" t="s">
        <v>3498</v>
      </c>
      <c r="B82" t="s">
        <v>3759</v>
      </c>
      <c r="C82" s="101">
        <v>80</v>
      </c>
      <c r="D82" t="s">
        <v>8903</v>
      </c>
      <c r="E82" t="s">
        <v>1101</v>
      </c>
      <c r="G82" t="s">
        <v>3403</v>
      </c>
      <c r="K82" t="s">
        <v>8904</v>
      </c>
      <c r="S82" t="s">
        <v>172</v>
      </c>
      <c r="T82" t="s">
        <v>4</v>
      </c>
    </row>
    <row r="83" spans="1:20">
      <c r="A83" t="s">
        <v>3498</v>
      </c>
      <c r="B83" t="s">
        <v>3759</v>
      </c>
      <c r="C83" s="101">
        <v>81</v>
      </c>
      <c r="D83" t="s">
        <v>8905</v>
      </c>
      <c r="E83" t="s">
        <v>1101</v>
      </c>
      <c r="G83" t="s">
        <v>3403</v>
      </c>
      <c r="K83" t="s">
        <v>8906</v>
      </c>
      <c r="L83" t="s">
        <v>4240</v>
      </c>
      <c r="S83" t="s">
        <v>46</v>
      </c>
      <c r="T83" t="s">
        <v>4</v>
      </c>
    </row>
    <row r="84" spans="1:20">
      <c r="A84" t="s">
        <v>3498</v>
      </c>
      <c r="B84" t="s">
        <v>3759</v>
      </c>
      <c r="C84" s="101">
        <v>82</v>
      </c>
      <c r="D84" t="s">
        <v>8907</v>
      </c>
      <c r="E84" t="s">
        <v>1101</v>
      </c>
      <c r="G84" t="s">
        <v>3403</v>
      </c>
      <c r="K84" t="s">
        <v>8908</v>
      </c>
      <c r="S84" t="s">
        <v>30</v>
      </c>
      <c r="T84" t="s">
        <v>4</v>
      </c>
    </row>
    <row r="85" spans="1:20">
      <c r="A85" t="s">
        <v>3498</v>
      </c>
      <c r="B85" t="s">
        <v>3759</v>
      </c>
      <c r="C85" s="101">
        <v>83</v>
      </c>
      <c r="D85" t="s">
        <v>8909</v>
      </c>
      <c r="E85" t="s">
        <v>1101</v>
      </c>
      <c r="G85" t="s">
        <v>3403</v>
      </c>
      <c r="K85" t="s">
        <v>8745</v>
      </c>
      <c r="L85" t="s">
        <v>3768</v>
      </c>
      <c r="S85" t="s">
        <v>169</v>
      </c>
      <c r="T85" t="s">
        <v>4</v>
      </c>
    </row>
    <row r="86" spans="1:20">
      <c r="A86" t="s">
        <v>3498</v>
      </c>
      <c r="B86" t="s">
        <v>3759</v>
      </c>
      <c r="C86" s="101">
        <v>84</v>
      </c>
      <c r="D86" t="s">
        <v>8910</v>
      </c>
      <c r="E86" t="s">
        <v>1101</v>
      </c>
      <c r="G86" t="s">
        <v>3445</v>
      </c>
      <c r="H86" t="s">
        <v>13402</v>
      </c>
      <c r="K86" t="s">
        <v>8911</v>
      </c>
      <c r="S86" t="s">
        <v>5281</v>
      </c>
      <c r="T86" t="s">
        <v>4</v>
      </c>
    </row>
    <row r="87" spans="1:20">
      <c r="A87" t="s">
        <v>3498</v>
      </c>
      <c r="B87" t="s">
        <v>3759</v>
      </c>
      <c r="C87" s="101">
        <v>85</v>
      </c>
      <c r="D87" t="s">
        <v>8912</v>
      </c>
      <c r="E87" t="s">
        <v>1101</v>
      </c>
      <c r="G87" t="s">
        <v>3403</v>
      </c>
      <c r="K87" t="s">
        <v>8913</v>
      </c>
      <c r="S87" t="s">
        <v>53</v>
      </c>
      <c r="T87" t="s">
        <v>4</v>
      </c>
    </row>
    <row r="88" spans="1:20">
      <c r="A88" t="s">
        <v>3498</v>
      </c>
      <c r="B88" t="s">
        <v>3759</v>
      </c>
      <c r="C88" s="101">
        <v>86</v>
      </c>
      <c r="D88" t="s">
        <v>8914</v>
      </c>
      <c r="E88" t="s">
        <v>1101</v>
      </c>
      <c r="G88" t="s">
        <v>3403</v>
      </c>
      <c r="K88" t="s">
        <v>7296</v>
      </c>
      <c r="L88" t="s">
        <v>8915</v>
      </c>
      <c r="S88" t="s">
        <v>28</v>
      </c>
      <c r="T88" t="s">
        <v>4</v>
      </c>
    </row>
    <row r="89" spans="1:20">
      <c r="A89" t="s">
        <v>3498</v>
      </c>
      <c r="B89" t="s">
        <v>3759</v>
      </c>
      <c r="C89" s="101">
        <v>87</v>
      </c>
      <c r="D89" t="s">
        <v>8916</v>
      </c>
      <c r="E89" t="s">
        <v>1101</v>
      </c>
      <c r="G89" t="s">
        <v>3403</v>
      </c>
      <c r="K89" t="s">
        <v>8917</v>
      </c>
      <c r="S89" t="s">
        <v>17</v>
      </c>
      <c r="T89" t="s">
        <v>4</v>
      </c>
    </row>
    <row r="90" spans="1:20">
      <c r="A90" s="76" t="s">
        <v>3498</v>
      </c>
      <c r="B90" s="76" t="s">
        <v>3759</v>
      </c>
      <c r="C90" s="103">
        <v>88</v>
      </c>
      <c r="D90" s="76" t="s">
        <v>8918</v>
      </c>
      <c r="E90" s="76" t="s">
        <v>1101</v>
      </c>
      <c r="F90" s="76"/>
      <c r="G90" s="76" t="s">
        <v>3403</v>
      </c>
      <c r="H90" s="76" t="s">
        <v>5180</v>
      </c>
      <c r="I90" s="76"/>
      <c r="J90" s="76"/>
      <c r="K90" s="76" t="s">
        <v>8919</v>
      </c>
      <c r="L90" s="76"/>
      <c r="M90" s="76"/>
      <c r="N90" s="76"/>
      <c r="O90" s="76"/>
      <c r="P90" s="76"/>
      <c r="Q90" s="76"/>
      <c r="S90" t="s">
        <v>175</v>
      </c>
      <c r="T90" t="s">
        <v>4</v>
      </c>
    </row>
    <row r="91" spans="1:20">
      <c r="A91" t="s">
        <v>3498</v>
      </c>
      <c r="B91" t="s">
        <v>3759</v>
      </c>
      <c r="C91" s="101">
        <v>89</v>
      </c>
      <c r="D91" t="s">
        <v>8920</v>
      </c>
      <c r="E91" t="s">
        <v>1101</v>
      </c>
      <c r="G91" t="s">
        <v>3403</v>
      </c>
      <c r="K91" t="s">
        <v>8921</v>
      </c>
      <c r="L91" t="s">
        <v>8922</v>
      </c>
      <c r="S91" t="s">
        <v>45</v>
      </c>
      <c r="T91" t="s">
        <v>4</v>
      </c>
    </row>
    <row r="92" spans="1:20">
      <c r="A92" t="s">
        <v>3498</v>
      </c>
      <c r="B92" t="s">
        <v>3759</v>
      </c>
      <c r="C92" s="101">
        <v>90</v>
      </c>
      <c r="D92" t="s">
        <v>8923</v>
      </c>
      <c r="E92" t="s">
        <v>1101</v>
      </c>
      <c r="G92" t="s">
        <v>3403</v>
      </c>
      <c r="K92" t="s">
        <v>8924</v>
      </c>
      <c r="S92" t="s">
        <v>170</v>
      </c>
      <c r="T92" t="s">
        <v>4</v>
      </c>
    </row>
    <row r="93" spans="1:20">
      <c r="A93" t="s">
        <v>3498</v>
      </c>
      <c r="B93" t="s">
        <v>3759</v>
      </c>
      <c r="C93" s="101">
        <v>91</v>
      </c>
      <c r="D93" t="s">
        <v>8925</v>
      </c>
      <c r="E93" t="s">
        <v>1101</v>
      </c>
      <c r="G93" t="s">
        <v>3403</v>
      </c>
      <c r="K93" t="s">
        <v>8926</v>
      </c>
      <c r="S93" t="s">
        <v>32</v>
      </c>
      <c r="T93" t="s">
        <v>4</v>
      </c>
    </row>
    <row r="94" spans="1:20">
      <c r="A94" t="s">
        <v>3498</v>
      </c>
      <c r="B94" t="s">
        <v>3759</v>
      </c>
      <c r="C94" s="101">
        <v>92</v>
      </c>
      <c r="D94" t="s">
        <v>8927</v>
      </c>
      <c r="E94" t="s">
        <v>1102</v>
      </c>
      <c r="G94" t="s">
        <v>3403</v>
      </c>
      <c r="H94" t="s">
        <v>5180</v>
      </c>
      <c r="K94" t="s">
        <v>8928</v>
      </c>
      <c r="L94" t="s">
        <v>8929</v>
      </c>
      <c r="S94" t="s">
        <v>183</v>
      </c>
      <c r="T94" t="s">
        <v>4</v>
      </c>
    </row>
    <row r="95" spans="1:20">
      <c r="A95" t="s">
        <v>3498</v>
      </c>
      <c r="B95" t="s">
        <v>3759</v>
      </c>
      <c r="C95" s="101">
        <v>93</v>
      </c>
      <c r="D95" t="s">
        <v>8930</v>
      </c>
      <c r="E95" t="s">
        <v>1101</v>
      </c>
      <c r="G95" t="s">
        <v>3403</v>
      </c>
      <c r="K95" t="s">
        <v>8931</v>
      </c>
      <c r="L95" t="s">
        <v>8932</v>
      </c>
      <c r="S95" t="s">
        <v>170</v>
      </c>
      <c r="T95" t="s">
        <v>4</v>
      </c>
    </row>
    <row r="96" spans="1:20">
      <c r="A96" t="s">
        <v>3498</v>
      </c>
      <c r="B96" t="s">
        <v>3759</v>
      </c>
      <c r="C96" s="101">
        <v>94</v>
      </c>
      <c r="D96" t="s">
        <v>8933</v>
      </c>
      <c r="E96" t="s">
        <v>1104</v>
      </c>
      <c r="G96" t="s">
        <v>3403</v>
      </c>
      <c r="K96" t="s">
        <v>8934</v>
      </c>
      <c r="S96" t="s">
        <v>5719</v>
      </c>
      <c r="T96" t="s">
        <v>4</v>
      </c>
    </row>
    <row r="97" spans="1:20">
      <c r="A97" t="s">
        <v>3498</v>
      </c>
      <c r="B97" t="s">
        <v>3759</v>
      </c>
      <c r="C97" s="101">
        <v>95</v>
      </c>
      <c r="D97" t="s">
        <v>8935</v>
      </c>
      <c r="E97" t="s">
        <v>1104</v>
      </c>
      <c r="G97" t="s">
        <v>3403</v>
      </c>
      <c r="K97" t="s">
        <v>5023</v>
      </c>
      <c r="S97" t="s">
        <v>168</v>
      </c>
      <c r="T97" t="s">
        <v>4</v>
      </c>
    </row>
    <row r="98" spans="1:20">
      <c r="A98" t="s">
        <v>3498</v>
      </c>
      <c r="B98" t="s">
        <v>3759</v>
      </c>
      <c r="C98" s="101">
        <v>96</v>
      </c>
      <c r="D98" t="s">
        <v>8936</v>
      </c>
      <c r="E98" t="s">
        <v>1104</v>
      </c>
      <c r="G98" t="s">
        <v>3403</v>
      </c>
      <c r="K98" t="s">
        <v>5027</v>
      </c>
      <c r="S98" t="s">
        <v>177</v>
      </c>
      <c r="T98" t="s">
        <v>4</v>
      </c>
    </row>
    <row r="99" spans="1:20">
      <c r="A99" t="s">
        <v>3498</v>
      </c>
      <c r="B99" t="s">
        <v>3759</v>
      </c>
      <c r="C99" s="101">
        <v>97</v>
      </c>
      <c r="D99" t="s">
        <v>8937</v>
      </c>
      <c r="E99" t="s">
        <v>1104</v>
      </c>
      <c r="G99" t="s">
        <v>3403</v>
      </c>
      <c r="K99" t="s">
        <v>4363</v>
      </c>
      <c r="L99" t="s">
        <v>3768</v>
      </c>
      <c r="S99" t="s">
        <v>50</v>
      </c>
      <c r="T99" t="s">
        <v>4</v>
      </c>
    </row>
    <row r="100" spans="1:20">
      <c r="A100" t="s">
        <v>3498</v>
      </c>
      <c r="B100" t="s">
        <v>3759</v>
      </c>
      <c r="C100" s="101">
        <v>98</v>
      </c>
      <c r="D100" t="s">
        <v>8938</v>
      </c>
      <c r="E100" t="s">
        <v>1104</v>
      </c>
      <c r="G100" t="s">
        <v>3403</v>
      </c>
      <c r="K100" t="s">
        <v>8939</v>
      </c>
      <c r="S100" t="s">
        <v>16</v>
      </c>
      <c r="T100" t="s">
        <v>4</v>
      </c>
    </row>
    <row r="101" spans="1:20">
      <c r="A101" t="s">
        <v>3498</v>
      </c>
      <c r="B101" t="s">
        <v>3759</v>
      </c>
      <c r="C101" s="101">
        <v>99</v>
      </c>
      <c r="D101" t="s">
        <v>8940</v>
      </c>
      <c r="E101" t="s">
        <v>1104</v>
      </c>
      <c r="G101" t="s">
        <v>3403</v>
      </c>
      <c r="K101" t="s">
        <v>8941</v>
      </c>
      <c r="S101" t="s">
        <v>5685</v>
      </c>
      <c r="T101" t="s">
        <v>4</v>
      </c>
    </row>
    <row r="102" spans="1:20">
      <c r="A102" t="s">
        <v>3498</v>
      </c>
      <c r="B102" t="s">
        <v>3759</v>
      </c>
      <c r="C102" s="101">
        <v>100</v>
      </c>
      <c r="D102" t="s">
        <v>8942</v>
      </c>
      <c r="E102" t="s">
        <v>1103</v>
      </c>
      <c r="G102" t="s">
        <v>3403</v>
      </c>
      <c r="K102" t="s">
        <v>8943</v>
      </c>
      <c r="S102" t="s">
        <v>29</v>
      </c>
      <c r="T102" t="s">
        <v>4</v>
      </c>
    </row>
    <row r="103" spans="1:20">
      <c r="A103" t="s">
        <v>3498</v>
      </c>
      <c r="B103" t="s">
        <v>3759</v>
      </c>
      <c r="C103" s="101">
        <v>101</v>
      </c>
      <c r="D103" t="s">
        <v>8944</v>
      </c>
      <c r="E103" t="s">
        <v>1104</v>
      </c>
      <c r="G103" t="s">
        <v>3403</v>
      </c>
      <c r="K103" t="s">
        <v>8945</v>
      </c>
      <c r="S103" t="s">
        <v>49</v>
      </c>
      <c r="T103" t="s">
        <v>4</v>
      </c>
    </row>
    <row r="104" spans="1:20">
      <c r="A104" t="s">
        <v>3498</v>
      </c>
      <c r="B104" t="s">
        <v>3759</v>
      </c>
      <c r="C104" s="101">
        <v>102</v>
      </c>
      <c r="D104" t="s">
        <v>8946</v>
      </c>
      <c r="E104" t="s">
        <v>1103</v>
      </c>
      <c r="G104" t="s">
        <v>3403</v>
      </c>
      <c r="K104" t="s">
        <v>5029</v>
      </c>
      <c r="S104" t="s">
        <v>5</v>
      </c>
      <c r="T104" t="s">
        <v>4</v>
      </c>
    </row>
    <row r="105" spans="1:20">
      <c r="A105" t="s">
        <v>3498</v>
      </c>
      <c r="B105" t="s">
        <v>3759</v>
      </c>
      <c r="C105" s="101">
        <v>103</v>
      </c>
      <c r="D105" t="s">
        <v>8947</v>
      </c>
      <c r="E105" t="s">
        <v>1104</v>
      </c>
      <c r="G105" t="s">
        <v>3403</v>
      </c>
      <c r="K105" t="s">
        <v>8830</v>
      </c>
      <c r="S105" t="s">
        <v>32</v>
      </c>
      <c r="T105" t="s">
        <v>4</v>
      </c>
    </row>
    <row r="106" spans="1:20">
      <c r="A106" t="s">
        <v>3498</v>
      </c>
      <c r="B106" t="s">
        <v>3759</v>
      </c>
      <c r="C106" s="101">
        <v>104</v>
      </c>
      <c r="D106" t="s">
        <v>8948</v>
      </c>
      <c r="E106" t="s">
        <v>1104</v>
      </c>
      <c r="G106" t="s">
        <v>3403</v>
      </c>
      <c r="K106" t="s">
        <v>8949</v>
      </c>
      <c r="S106" t="s">
        <v>173</v>
      </c>
      <c r="T106" t="s">
        <v>4</v>
      </c>
    </row>
    <row r="107" spans="1:20">
      <c r="A107" t="s">
        <v>3498</v>
      </c>
      <c r="B107" t="s">
        <v>3759</v>
      </c>
      <c r="C107" s="101">
        <v>105</v>
      </c>
      <c r="D107" t="s">
        <v>8950</v>
      </c>
      <c r="E107" t="s">
        <v>1104</v>
      </c>
      <c r="G107" t="s">
        <v>3403</v>
      </c>
      <c r="K107" t="s">
        <v>8859</v>
      </c>
      <c r="L107" t="s">
        <v>8951</v>
      </c>
      <c r="S107" t="s">
        <v>6</v>
      </c>
      <c r="T107" t="s">
        <v>4</v>
      </c>
    </row>
    <row r="108" spans="1:20">
      <c r="A108" t="s">
        <v>3498</v>
      </c>
      <c r="B108" t="s">
        <v>3759</v>
      </c>
      <c r="C108" s="101">
        <v>106</v>
      </c>
      <c r="D108" t="s">
        <v>8952</v>
      </c>
      <c r="E108" t="s">
        <v>1105</v>
      </c>
      <c r="G108" t="s">
        <v>3403</v>
      </c>
      <c r="K108" t="s">
        <v>6365</v>
      </c>
      <c r="S108" t="s">
        <v>17</v>
      </c>
      <c r="T108" t="s">
        <v>4</v>
      </c>
    </row>
    <row r="109" spans="1:20">
      <c r="A109" t="s">
        <v>3498</v>
      </c>
      <c r="B109" t="s">
        <v>3759</v>
      </c>
      <c r="C109" s="101">
        <v>107</v>
      </c>
      <c r="D109" t="s">
        <v>8953</v>
      </c>
      <c r="E109" t="s">
        <v>1105</v>
      </c>
      <c r="G109" t="s">
        <v>3403</v>
      </c>
      <c r="K109" t="s">
        <v>8954</v>
      </c>
      <c r="S109" t="s">
        <v>53</v>
      </c>
      <c r="T109" t="s">
        <v>4</v>
      </c>
    </row>
    <row r="110" spans="1:20">
      <c r="A110" t="s">
        <v>3498</v>
      </c>
      <c r="B110" t="s">
        <v>3759</v>
      </c>
      <c r="C110" s="101">
        <v>108</v>
      </c>
      <c r="D110" t="s">
        <v>8955</v>
      </c>
      <c r="E110" t="s">
        <v>1105</v>
      </c>
      <c r="G110" t="s">
        <v>3403</v>
      </c>
      <c r="K110" t="s">
        <v>8830</v>
      </c>
      <c r="S110" t="s">
        <v>46</v>
      </c>
      <c r="T110" t="s">
        <v>4</v>
      </c>
    </row>
    <row r="111" spans="1:20">
      <c r="A111" t="s">
        <v>3498</v>
      </c>
      <c r="B111" t="s">
        <v>3759</v>
      </c>
      <c r="C111" s="101">
        <v>109</v>
      </c>
      <c r="D111" t="s">
        <v>8956</v>
      </c>
      <c r="E111" t="s">
        <v>1105</v>
      </c>
      <c r="G111" t="s">
        <v>3403</v>
      </c>
      <c r="H111" t="s">
        <v>5180</v>
      </c>
      <c r="K111" t="s">
        <v>8957</v>
      </c>
      <c r="L111" t="s">
        <v>8958</v>
      </c>
      <c r="S111" t="s">
        <v>179</v>
      </c>
      <c r="T111" t="s">
        <v>4</v>
      </c>
    </row>
    <row r="112" spans="1:20">
      <c r="A112" t="s">
        <v>3498</v>
      </c>
      <c r="B112" t="s">
        <v>3759</v>
      </c>
      <c r="C112" s="101">
        <v>110</v>
      </c>
      <c r="D112" t="s">
        <v>8959</v>
      </c>
      <c r="E112" t="s">
        <v>1105</v>
      </c>
      <c r="G112" t="s">
        <v>3403</v>
      </c>
      <c r="K112" t="s">
        <v>8960</v>
      </c>
      <c r="L112" t="s">
        <v>5432</v>
      </c>
      <c r="S112" t="s">
        <v>31</v>
      </c>
      <c r="T112" t="s">
        <v>4</v>
      </c>
    </row>
    <row r="113" spans="1:20">
      <c r="A113" t="s">
        <v>3498</v>
      </c>
      <c r="B113" t="s">
        <v>3759</v>
      </c>
      <c r="C113" s="101">
        <v>111</v>
      </c>
      <c r="D113" t="s">
        <v>8961</v>
      </c>
      <c r="E113" t="s">
        <v>1105</v>
      </c>
      <c r="G113" t="s">
        <v>3403</v>
      </c>
      <c r="K113" t="s">
        <v>5014</v>
      </c>
      <c r="L113" t="s">
        <v>8962</v>
      </c>
      <c r="S113" t="s">
        <v>172</v>
      </c>
      <c r="T113" t="s">
        <v>4</v>
      </c>
    </row>
    <row r="114" spans="1:20">
      <c r="A114" t="s">
        <v>3498</v>
      </c>
      <c r="B114" t="s">
        <v>3759</v>
      </c>
      <c r="C114" s="101">
        <v>112</v>
      </c>
      <c r="D114" t="s">
        <v>8963</v>
      </c>
      <c r="E114" t="s">
        <v>1248</v>
      </c>
      <c r="G114" t="s">
        <v>3403</v>
      </c>
      <c r="K114" t="s">
        <v>5037</v>
      </c>
      <c r="S114" t="s">
        <v>26</v>
      </c>
      <c r="T114" t="s">
        <v>4</v>
      </c>
    </row>
    <row r="115" spans="1:20">
      <c r="A115" t="s">
        <v>3498</v>
      </c>
      <c r="B115" t="s">
        <v>3759</v>
      </c>
      <c r="C115" s="101">
        <v>113</v>
      </c>
      <c r="D115" t="s">
        <v>8964</v>
      </c>
      <c r="E115" t="s">
        <v>1105</v>
      </c>
      <c r="G115" t="s">
        <v>3445</v>
      </c>
      <c r="H115" t="s">
        <v>13398</v>
      </c>
      <c r="K115" t="s">
        <v>8965</v>
      </c>
      <c r="S115" t="s">
        <v>3119</v>
      </c>
      <c r="T115" t="s">
        <v>4</v>
      </c>
    </row>
    <row r="116" spans="1:20">
      <c r="A116" t="s">
        <v>3498</v>
      </c>
      <c r="B116" t="s">
        <v>3759</v>
      </c>
      <c r="C116" s="101">
        <v>114</v>
      </c>
      <c r="D116" t="s">
        <v>8966</v>
      </c>
      <c r="E116" t="s">
        <v>1105</v>
      </c>
      <c r="G116" t="s">
        <v>3403</v>
      </c>
      <c r="K116" t="s">
        <v>8967</v>
      </c>
      <c r="S116" t="s">
        <v>14</v>
      </c>
      <c r="T116" t="s">
        <v>4</v>
      </c>
    </row>
    <row r="117" spans="1:20">
      <c r="A117" t="s">
        <v>3498</v>
      </c>
      <c r="B117" t="s">
        <v>3759</v>
      </c>
      <c r="C117" s="101">
        <v>115</v>
      </c>
      <c r="D117" t="s">
        <v>8968</v>
      </c>
      <c r="E117" t="s">
        <v>1248</v>
      </c>
      <c r="G117" t="s">
        <v>3403</v>
      </c>
      <c r="K117" t="s">
        <v>4382</v>
      </c>
      <c r="S117" t="s">
        <v>172</v>
      </c>
      <c r="T117" t="s">
        <v>4</v>
      </c>
    </row>
    <row r="118" spans="1:20">
      <c r="A118" t="s">
        <v>3498</v>
      </c>
      <c r="B118" t="s">
        <v>3759</v>
      </c>
      <c r="C118" s="101">
        <v>116</v>
      </c>
      <c r="D118" t="s">
        <v>8969</v>
      </c>
      <c r="E118" t="s">
        <v>1105</v>
      </c>
      <c r="G118" t="s">
        <v>3403</v>
      </c>
      <c r="H118" t="s">
        <v>5180</v>
      </c>
      <c r="K118" t="s">
        <v>8859</v>
      </c>
      <c r="L118" t="s">
        <v>8970</v>
      </c>
      <c r="S118" t="s">
        <v>183</v>
      </c>
      <c r="T118" t="s">
        <v>4</v>
      </c>
    </row>
    <row r="119" spans="1:20">
      <c r="A119" t="s">
        <v>3498</v>
      </c>
      <c r="B119" t="s">
        <v>3759</v>
      </c>
      <c r="C119" s="101">
        <v>117</v>
      </c>
      <c r="D119" t="s">
        <v>8971</v>
      </c>
      <c r="E119" t="s">
        <v>1248</v>
      </c>
      <c r="G119" t="s">
        <v>3403</v>
      </c>
      <c r="K119" t="s">
        <v>8874</v>
      </c>
      <c r="L119" t="s">
        <v>8972</v>
      </c>
      <c r="S119" t="s">
        <v>48</v>
      </c>
      <c r="T119" t="s">
        <v>4</v>
      </c>
    </row>
    <row r="120" spans="1:20">
      <c r="A120" t="s">
        <v>3498</v>
      </c>
      <c r="B120" t="s">
        <v>3759</v>
      </c>
      <c r="C120" s="101">
        <v>118</v>
      </c>
      <c r="D120" t="s">
        <v>8973</v>
      </c>
      <c r="E120" t="s">
        <v>1250</v>
      </c>
      <c r="G120" t="s">
        <v>3403</v>
      </c>
      <c r="H120" t="s">
        <v>5180</v>
      </c>
      <c r="K120" t="s">
        <v>8974</v>
      </c>
      <c r="S120" t="s">
        <v>175</v>
      </c>
      <c r="T120" t="s">
        <v>4</v>
      </c>
    </row>
    <row r="121" spans="1:20">
      <c r="A121" t="s">
        <v>3498</v>
      </c>
      <c r="B121" t="s">
        <v>3759</v>
      </c>
      <c r="C121" s="101">
        <v>119</v>
      </c>
      <c r="D121" t="s">
        <v>8975</v>
      </c>
      <c r="E121" t="s">
        <v>1250</v>
      </c>
      <c r="G121" t="s">
        <v>3403</v>
      </c>
      <c r="K121" t="s">
        <v>1232</v>
      </c>
      <c r="L121" t="s">
        <v>8976</v>
      </c>
      <c r="S121" t="s">
        <v>34</v>
      </c>
      <c r="T121" t="s">
        <v>4</v>
      </c>
    </row>
    <row r="122" spans="1:20">
      <c r="A122" t="s">
        <v>3498</v>
      </c>
      <c r="B122" t="s">
        <v>3759</v>
      </c>
      <c r="C122" s="101">
        <v>120</v>
      </c>
      <c r="D122" t="s">
        <v>8977</v>
      </c>
      <c r="E122" t="s">
        <v>1194</v>
      </c>
      <c r="G122" t="s">
        <v>3403</v>
      </c>
      <c r="K122" t="s">
        <v>8857</v>
      </c>
      <c r="L122" t="s">
        <v>1190</v>
      </c>
      <c r="S122" t="s">
        <v>31</v>
      </c>
      <c r="T122" t="s">
        <v>4</v>
      </c>
    </row>
    <row r="123" spans="1:20">
      <c r="A123" s="2" t="s">
        <v>3463</v>
      </c>
      <c r="B123" s="2" t="s">
        <v>3759</v>
      </c>
      <c r="C123" s="111">
        <v>1001</v>
      </c>
      <c r="D123" s="75" t="s">
        <v>3429</v>
      </c>
      <c r="E123" s="75" t="s">
        <v>1099</v>
      </c>
      <c r="F123" s="75"/>
      <c r="G123" s="75" t="s">
        <v>3403</v>
      </c>
      <c r="H123" s="75"/>
      <c r="I123" s="75"/>
      <c r="J123" s="75"/>
      <c r="K123" s="75" t="s">
        <v>3430</v>
      </c>
      <c r="L123" s="75"/>
      <c r="M123" s="75"/>
      <c r="N123" s="75"/>
      <c r="O123" s="75"/>
      <c r="P123" s="75"/>
      <c r="Q123" s="75"/>
      <c r="R123" s="75"/>
      <c r="S123" s="75" t="s">
        <v>52</v>
      </c>
      <c r="T123" s="2" t="s">
        <v>7</v>
      </c>
    </row>
    <row r="124" spans="1:20">
      <c r="A124" s="2" t="s">
        <v>3463</v>
      </c>
      <c r="B124" s="2" t="s">
        <v>3759</v>
      </c>
      <c r="C124" s="101">
        <v>1002</v>
      </c>
      <c r="D124" s="2" t="s">
        <v>9369</v>
      </c>
      <c r="E124" s="2" t="s">
        <v>8750</v>
      </c>
      <c r="F124" s="2"/>
      <c r="G124" s="2" t="s">
        <v>3403</v>
      </c>
      <c r="H124" s="2"/>
      <c r="I124" s="2"/>
      <c r="J124" s="2"/>
      <c r="K124" s="2" t="s">
        <v>9370</v>
      </c>
      <c r="L124" s="2"/>
      <c r="M124" s="2"/>
      <c r="N124" s="2"/>
      <c r="O124" s="2"/>
      <c r="P124" s="2"/>
      <c r="Q124" s="2"/>
      <c r="R124" s="2"/>
      <c r="S124" s="1" t="s">
        <v>5</v>
      </c>
      <c r="T124" s="1" t="s">
        <v>7</v>
      </c>
    </row>
    <row r="125" spans="1:20">
      <c r="A125" s="2" t="s">
        <v>3463</v>
      </c>
      <c r="B125" s="2" t="s">
        <v>3759</v>
      </c>
      <c r="C125" s="101">
        <v>1003</v>
      </c>
      <c r="D125" s="1" t="s">
        <v>9371</v>
      </c>
      <c r="E125" s="1" t="s">
        <v>1099</v>
      </c>
      <c r="F125" s="1"/>
      <c r="G125" s="1" t="s">
        <v>3403</v>
      </c>
      <c r="H125" s="1"/>
      <c r="I125" s="1"/>
      <c r="J125" s="1"/>
      <c r="K125" s="1" t="s">
        <v>9372</v>
      </c>
      <c r="L125" s="1" t="s">
        <v>5208</v>
      </c>
      <c r="M125" s="1"/>
      <c r="N125" s="1"/>
      <c r="O125" s="1"/>
      <c r="P125" s="1"/>
      <c r="Q125" s="1"/>
      <c r="R125" s="1"/>
      <c r="S125" s="1" t="s">
        <v>170</v>
      </c>
      <c r="T125" s="1" t="s">
        <v>7</v>
      </c>
    </row>
    <row r="126" spans="1:20">
      <c r="A126" s="2" t="s">
        <v>3463</v>
      </c>
      <c r="B126" s="2" t="s">
        <v>3759</v>
      </c>
      <c r="C126" s="101">
        <v>1004</v>
      </c>
      <c r="D126" s="1" t="s">
        <v>9373</v>
      </c>
      <c r="E126" s="1" t="s">
        <v>8750</v>
      </c>
      <c r="F126" s="1"/>
      <c r="G126" s="1" t="s">
        <v>3403</v>
      </c>
      <c r="H126" s="1"/>
      <c r="I126" s="1"/>
      <c r="J126" s="1"/>
      <c r="K126" s="1" t="s">
        <v>8778</v>
      </c>
      <c r="L126" s="1"/>
      <c r="M126" s="1"/>
      <c r="N126" s="1"/>
      <c r="O126" s="1"/>
      <c r="P126" s="1"/>
      <c r="Q126" s="1"/>
      <c r="R126" s="1"/>
      <c r="S126" s="1" t="s">
        <v>32</v>
      </c>
      <c r="T126" s="1" t="s">
        <v>7</v>
      </c>
    </row>
    <row r="127" spans="1:20">
      <c r="A127" s="2" t="s">
        <v>3463</v>
      </c>
      <c r="B127" s="2" t="s">
        <v>3759</v>
      </c>
      <c r="C127" s="101">
        <v>1005</v>
      </c>
      <c r="D127" s="1" t="s">
        <v>9374</v>
      </c>
      <c r="E127" s="1" t="s">
        <v>1099</v>
      </c>
      <c r="F127" s="1"/>
      <c r="G127" s="1" t="s">
        <v>3403</v>
      </c>
      <c r="H127" s="1"/>
      <c r="I127" s="1"/>
      <c r="J127" s="1"/>
      <c r="K127" s="1" t="s">
        <v>9375</v>
      </c>
      <c r="L127" s="1" t="s">
        <v>9376</v>
      </c>
      <c r="M127" s="1"/>
      <c r="N127" s="1"/>
      <c r="O127" s="1"/>
      <c r="P127" s="1"/>
      <c r="Q127" s="1"/>
      <c r="R127" s="1"/>
      <c r="S127" s="1" t="s">
        <v>35</v>
      </c>
      <c r="T127" s="1" t="s">
        <v>7</v>
      </c>
    </row>
    <row r="128" spans="1:20">
      <c r="A128" s="2" t="s">
        <v>3463</v>
      </c>
      <c r="B128" s="2" t="s">
        <v>3759</v>
      </c>
      <c r="C128" s="101">
        <v>1006</v>
      </c>
      <c r="D128" s="1" t="s">
        <v>9377</v>
      </c>
      <c r="E128" s="1" t="s">
        <v>8750</v>
      </c>
      <c r="F128" s="1"/>
      <c r="G128" s="1" t="s">
        <v>3403</v>
      </c>
      <c r="H128" s="1"/>
      <c r="I128" s="1"/>
      <c r="J128" s="1"/>
      <c r="K128" s="1" t="s">
        <v>9378</v>
      </c>
      <c r="L128" s="1"/>
      <c r="M128" s="1"/>
      <c r="N128" s="1"/>
      <c r="O128" s="1"/>
      <c r="P128" s="1"/>
      <c r="Q128" s="1"/>
      <c r="R128" s="1"/>
      <c r="S128" s="1" t="s">
        <v>170</v>
      </c>
      <c r="T128" s="1" t="s">
        <v>7</v>
      </c>
    </row>
    <row r="129" spans="1:20">
      <c r="A129" s="2" t="s">
        <v>3463</v>
      </c>
      <c r="B129" s="2" t="s">
        <v>3759</v>
      </c>
      <c r="C129" s="101">
        <v>1007</v>
      </c>
      <c r="D129" s="1" t="s">
        <v>9379</v>
      </c>
      <c r="E129" s="1" t="s">
        <v>1099</v>
      </c>
      <c r="F129" s="1"/>
      <c r="G129" s="1" t="s">
        <v>3403</v>
      </c>
      <c r="H129" s="1"/>
      <c r="I129" s="1"/>
      <c r="J129" s="1"/>
      <c r="K129" s="1" t="s">
        <v>9380</v>
      </c>
      <c r="L129" s="1"/>
      <c r="M129" s="1"/>
      <c r="N129" s="1"/>
      <c r="O129" s="1"/>
      <c r="P129" s="1"/>
      <c r="Q129" s="1"/>
      <c r="R129" s="1"/>
      <c r="S129" s="1" t="s">
        <v>172</v>
      </c>
      <c r="T129" s="1" t="s">
        <v>7</v>
      </c>
    </row>
    <row r="130" spans="1:20">
      <c r="A130" s="2" t="s">
        <v>3463</v>
      </c>
      <c r="B130" s="2" t="s">
        <v>3759</v>
      </c>
      <c r="C130" s="101">
        <v>1008</v>
      </c>
      <c r="D130" s="1" t="s">
        <v>9381</v>
      </c>
      <c r="E130" s="1" t="s">
        <v>1099</v>
      </c>
      <c r="F130" s="1"/>
      <c r="G130" s="1" t="s">
        <v>3403</v>
      </c>
      <c r="H130" s="1"/>
      <c r="I130" s="1"/>
      <c r="J130" s="1"/>
      <c r="K130" s="1" t="s">
        <v>9382</v>
      </c>
      <c r="L130" s="1"/>
      <c r="M130" s="1"/>
      <c r="N130" s="1"/>
      <c r="O130" s="1"/>
      <c r="P130" s="1"/>
      <c r="Q130" s="1"/>
      <c r="R130" s="1"/>
      <c r="S130" s="1" t="s">
        <v>14</v>
      </c>
      <c r="T130" s="1" t="s">
        <v>7</v>
      </c>
    </row>
    <row r="131" spans="1:20">
      <c r="A131" s="2" t="s">
        <v>3463</v>
      </c>
      <c r="B131" s="2" t="s">
        <v>3759</v>
      </c>
      <c r="C131" s="101">
        <v>1009</v>
      </c>
      <c r="D131" s="1" t="s">
        <v>9383</v>
      </c>
      <c r="E131" s="1" t="s">
        <v>1099</v>
      </c>
      <c r="F131" s="1"/>
      <c r="G131" s="1" t="s">
        <v>3403</v>
      </c>
      <c r="H131" s="1"/>
      <c r="I131" s="1"/>
      <c r="J131" s="1"/>
      <c r="K131" s="1" t="s">
        <v>8745</v>
      </c>
      <c r="L131" s="1" t="s">
        <v>9384</v>
      </c>
      <c r="M131" s="1"/>
      <c r="N131" s="1"/>
      <c r="O131" s="1"/>
      <c r="P131" s="1"/>
      <c r="Q131" s="1"/>
      <c r="R131" s="1"/>
      <c r="S131" s="1" t="s">
        <v>8</v>
      </c>
      <c r="T131" s="1" t="s">
        <v>7</v>
      </c>
    </row>
    <row r="132" spans="1:20">
      <c r="A132" s="2" t="s">
        <v>3463</v>
      </c>
      <c r="B132" s="2" t="s">
        <v>3759</v>
      </c>
      <c r="C132" s="101">
        <v>1010</v>
      </c>
      <c r="D132" s="1" t="s">
        <v>9385</v>
      </c>
      <c r="E132" s="1" t="s">
        <v>1100</v>
      </c>
      <c r="F132" s="1"/>
      <c r="G132" s="1" t="s">
        <v>3403</v>
      </c>
      <c r="H132" s="1"/>
      <c r="I132" s="1"/>
      <c r="J132" s="1"/>
      <c r="K132" s="1" t="s">
        <v>8857</v>
      </c>
      <c r="L132" s="1"/>
      <c r="M132" s="1"/>
      <c r="N132" s="1"/>
      <c r="O132" s="1"/>
      <c r="P132" s="1"/>
      <c r="Q132" s="1"/>
      <c r="R132" s="1"/>
      <c r="S132" s="1" t="s">
        <v>180</v>
      </c>
      <c r="T132" s="1" t="s">
        <v>7</v>
      </c>
    </row>
    <row r="133" spans="1:20">
      <c r="A133" s="2" t="s">
        <v>3463</v>
      </c>
      <c r="B133" s="2" t="s">
        <v>3759</v>
      </c>
      <c r="C133" s="101">
        <v>1011</v>
      </c>
      <c r="D133" s="1" t="s">
        <v>9386</v>
      </c>
      <c r="E133" s="1" t="s">
        <v>1100</v>
      </c>
      <c r="F133" s="1"/>
      <c r="G133" s="1" t="s">
        <v>3403</v>
      </c>
      <c r="H133" s="1"/>
      <c r="I133" s="1"/>
      <c r="J133" s="1"/>
      <c r="K133" s="1" t="s">
        <v>9387</v>
      </c>
      <c r="L133" s="1"/>
      <c r="M133" s="1"/>
      <c r="N133" s="1"/>
      <c r="O133" s="1"/>
      <c r="P133" s="1"/>
      <c r="Q133" s="1"/>
      <c r="R133" s="1"/>
      <c r="S133" s="1" t="s">
        <v>32</v>
      </c>
      <c r="T133" s="1" t="s">
        <v>7</v>
      </c>
    </row>
    <row r="134" spans="1:20">
      <c r="A134" s="2" t="s">
        <v>3463</v>
      </c>
      <c r="B134" s="2" t="s">
        <v>3759</v>
      </c>
      <c r="C134" s="101">
        <v>1012</v>
      </c>
      <c r="D134" s="1" t="s">
        <v>9388</v>
      </c>
      <c r="E134" s="1" t="s">
        <v>1100</v>
      </c>
      <c r="F134" s="1"/>
      <c r="G134" s="1" t="s">
        <v>3403</v>
      </c>
      <c r="H134" s="1"/>
      <c r="I134" s="1"/>
      <c r="J134" s="1"/>
      <c r="K134" s="1" t="s">
        <v>9389</v>
      </c>
      <c r="L134" s="1"/>
      <c r="M134" s="1"/>
      <c r="N134" s="1"/>
      <c r="O134" s="1"/>
      <c r="P134" s="1"/>
      <c r="Q134" s="1"/>
      <c r="R134" s="1"/>
      <c r="S134" s="1" t="s">
        <v>5719</v>
      </c>
      <c r="T134" s="1" t="s">
        <v>7</v>
      </c>
    </row>
    <row r="135" spans="1:20">
      <c r="A135" s="2" t="s">
        <v>3463</v>
      </c>
      <c r="B135" s="2" t="s">
        <v>3759</v>
      </c>
      <c r="C135" s="101">
        <v>1013</v>
      </c>
      <c r="D135" s="1" t="s">
        <v>9390</v>
      </c>
      <c r="E135" s="1" t="s">
        <v>1181</v>
      </c>
      <c r="F135" s="1"/>
      <c r="G135" s="1" t="s">
        <v>3403</v>
      </c>
      <c r="H135" s="1"/>
      <c r="I135" s="1"/>
      <c r="J135" s="1"/>
      <c r="K135" s="1" t="s">
        <v>9391</v>
      </c>
      <c r="L135" s="1"/>
      <c r="M135" s="1"/>
      <c r="N135" s="1"/>
      <c r="O135" s="1"/>
      <c r="P135" s="1"/>
      <c r="Q135" s="1"/>
      <c r="R135" s="1"/>
      <c r="S135" s="1" t="s">
        <v>605</v>
      </c>
      <c r="T135" s="1" t="s">
        <v>7</v>
      </c>
    </row>
    <row r="136" spans="1:20">
      <c r="A136" s="2" t="s">
        <v>3463</v>
      </c>
      <c r="B136" s="2" t="s">
        <v>3759</v>
      </c>
      <c r="C136" s="101">
        <v>1014</v>
      </c>
      <c r="D136" s="1" t="s">
        <v>9392</v>
      </c>
      <c r="E136" s="1" t="s">
        <v>1181</v>
      </c>
      <c r="F136" s="1"/>
      <c r="G136" s="1" t="s">
        <v>3403</v>
      </c>
      <c r="H136" s="1"/>
      <c r="I136" s="1"/>
      <c r="J136" s="1"/>
      <c r="K136" s="1" t="s">
        <v>9393</v>
      </c>
      <c r="L136" s="1"/>
      <c r="M136" s="1"/>
      <c r="N136" s="1"/>
      <c r="O136" s="1"/>
      <c r="P136" s="1"/>
      <c r="Q136" s="1"/>
      <c r="R136" s="1"/>
      <c r="S136" s="1" t="s">
        <v>604</v>
      </c>
      <c r="T136" s="1" t="s">
        <v>7</v>
      </c>
    </row>
    <row r="137" spans="1:20">
      <c r="A137" s="2" t="s">
        <v>3463</v>
      </c>
      <c r="B137" s="2" t="s">
        <v>3759</v>
      </c>
      <c r="C137" s="101">
        <v>1015</v>
      </c>
      <c r="D137" s="1" t="s">
        <v>9394</v>
      </c>
      <c r="E137" s="1" t="s">
        <v>1181</v>
      </c>
      <c r="F137" s="1"/>
      <c r="G137" s="1" t="s">
        <v>3403</v>
      </c>
      <c r="H137" s="1"/>
      <c r="I137" s="1"/>
      <c r="J137" s="1"/>
      <c r="K137" s="1" t="s">
        <v>9395</v>
      </c>
      <c r="L137" s="1"/>
      <c r="M137" s="1"/>
      <c r="N137" s="1"/>
      <c r="O137" s="1"/>
      <c r="P137" s="1"/>
      <c r="Q137" s="1"/>
      <c r="R137" s="1"/>
      <c r="S137" s="1" t="s">
        <v>10</v>
      </c>
      <c r="T137" s="1" t="s">
        <v>7</v>
      </c>
    </row>
    <row r="138" spans="1:20">
      <c r="A138" s="2" t="s">
        <v>3463</v>
      </c>
      <c r="B138" s="2" t="s">
        <v>3759</v>
      </c>
      <c r="C138" s="101">
        <v>1016</v>
      </c>
      <c r="D138" s="1" t="s">
        <v>9396</v>
      </c>
      <c r="E138" s="1" t="s">
        <v>1100</v>
      </c>
      <c r="F138" s="1"/>
      <c r="G138" s="1" t="s">
        <v>3403</v>
      </c>
      <c r="H138" s="1"/>
      <c r="I138" s="1"/>
      <c r="J138" s="1"/>
      <c r="K138" s="1" t="s">
        <v>9397</v>
      </c>
      <c r="L138" s="1"/>
      <c r="M138" s="1"/>
      <c r="N138" s="1"/>
      <c r="O138" s="1"/>
      <c r="P138" s="1"/>
      <c r="Q138" s="1"/>
      <c r="R138" s="1"/>
      <c r="S138" s="1" t="s">
        <v>176</v>
      </c>
      <c r="T138" s="1" t="s">
        <v>7</v>
      </c>
    </row>
    <row r="139" spans="1:20">
      <c r="A139" s="2" t="s">
        <v>3463</v>
      </c>
      <c r="B139" s="2" t="s">
        <v>3759</v>
      </c>
      <c r="C139" s="101">
        <v>1017</v>
      </c>
      <c r="D139" s="1" t="s">
        <v>9398</v>
      </c>
      <c r="E139" s="1" t="s">
        <v>1100</v>
      </c>
      <c r="F139" s="1"/>
      <c r="G139" s="1" t="s">
        <v>3403</v>
      </c>
      <c r="H139" s="1"/>
      <c r="I139" s="1"/>
      <c r="J139" s="1"/>
      <c r="K139" s="1" t="s">
        <v>9399</v>
      </c>
      <c r="L139" s="1"/>
      <c r="M139" s="1"/>
      <c r="N139" s="1"/>
      <c r="O139" s="1"/>
      <c r="P139" s="1"/>
      <c r="Q139" s="1"/>
      <c r="R139" s="1"/>
      <c r="S139" s="1" t="s">
        <v>604</v>
      </c>
      <c r="T139" s="1" t="s">
        <v>7</v>
      </c>
    </row>
    <row r="140" spans="1:20">
      <c r="A140" s="2" t="s">
        <v>3463</v>
      </c>
      <c r="B140" s="2" t="s">
        <v>3759</v>
      </c>
      <c r="C140" s="101">
        <v>1018</v>
      </c>
      <c r="D140" s="1" t="s">
        <v>9400</v>
      </c>
      <c r="E140" s="1" t="s">
        <v>1181</v>
      </c>
      <c r="F140" s="1"/>
      <c r="G140" s="1" t="s">
        <v>3403</v>
      </c>
      <c r="H140" s="1"/>
      <c r="I140" s="1"/>
      <c r="J140" s="1"/>
      <c r="K140" s="1" t="s">
        <v>8830</v>
      </c>
      <c r="L140" s="1"/>
      <c r="M140" s="1"/>
      <c r="N140" s="1"/>
      <c r="O140" s="1"/>
      <c r="P140" s="1"/>
      <c r="Q140" s="1"/>
      <c r="R140" s="1"/>
      <c r="S140" s="1" t="s">
        <v>37</v>
      </c>
      <c r="T140" s="1" t="s">
        <v>7</v>
      </c>
    </row>
    <row r="141" spans="1:20">
      <c r="A141" s="2" t="s">
        <v>3463</v>
      </c>
      <c r="B141" s="2" t="s">
        <v>3759</v>
      </c>
      <c r="C141" s="101">
        <v>1019</v>
      </c>
      <c r="D141" s="1" t="s">
        <v>9401</v>
      </c>
      <c r="E141" s="1" t="s">
        <v>1181</v>
      </c>
      <c r="F141" s="1"/>
      <c r="G141" s="1" t="s">
        <v>3403</v>
      </c>
      <c r="H141" s="1"/>
      <c r="I141" s="1"/>
      <c r="J141" s="1"/>
      <c r="K141" s="1" t="s">
        <v>9402</v>
      </c>
      <c r="L141" s="1"/>
      <c r="M141" s="1"/>
      <c r="N141" s="1"/>
      <c r="O141" s="1"/>
      <c r="P141" s="1"/>
      <c r="Q141" s="1"/>
      <c r="R141" s="1"/>
      <c r="S141" s="1" t="s">
        <v>40</v>
      </c>
      <c r="T141" s="1" t="s">
        <v>7</v>
      </c>
    </row>
    <row r="142" spans="1:20">
      <c r="A142" s="2" t="s">
        <v>3463</v>
      </c>
      <c r="B142" s="2" t="s">
        <v>3759</v>
      </c>
      <c r="C142" s="101">
        <v>1020</v>
      </c>
      <c r="D142" s="1" t="s">
        <v>9403</v>
      </c>
      <c r="E142" s="1" t="s">
        <v>1101</v>
      </c>
      <c r="F142" s="1"/>
      <c r="G142" s="1" t="s">
        <v>3403</v>
      </c>
      <c r="H142" s="1"/>
      <c r="I142" s="1"/>
      <c r="J142" s="1"/>
      <c r="K142" s="1" t="s">
        <v>8710</v>
      </c>
      <c r="L142" s="1" t="s">
        <v>9404</v>
      </c>
      <c r="M142" s="1"/>
      <c r="N142" s="1"/>
      <c r="O142" s="1"/>
      <c r="P142" s="1"/>
      <c r="Q142" s="1"/>
      <c r="R142" s="1"/>
      <c r="S142" s="1" t="s">
        <v>32</v>
      </c>
      <c r="T142" s="1" t="s">
        <v>7</v>
      </c>
    </row>
    <row r="143" spans="1:20">
      <c r="A143" s="2" t="s">
        <v>3463</v>
      </c>
      <c r="B143" s="2" t="s">
        <v>3759</v>
      </c>
      <c r="C143" s="101">
        <v>1021</v>
      </c>
      <c r="D143" s="1" t="s">
        <v>9405</v>
      </c>
      <c r="E143" s="1" t="s">
        <v>1101</v>
      </c>
      <c r="F143" s="1"/>
      <c r="G143" s="1" t="s">
        <v>3403</v>
      </c>
      <c r="H143" s="1"/>
      <c r="I143" s="1"/>
      <c r="J143" s="1"/>
      <c r="K143" s="1" t="s">
        <v>9406</v>
      </c>
      <c r="L143" s="1" t="s">
        <v>3768</v>
      </c>
      <c r="M143" s="1"/>
      <c r="N143" s="1"/>
      <c r="O143" s="1"/>
      <c r="P143" s="1"/>
      <c r="Q143" s="1"/>
      <c r="R143" s="1"/>
      <c r="S143" s="1" t="s">
        <v>171</v>
      </c>
      <c r="T143" s="1" t="s">
        <v>7</v>
      </c>
    </row>
    <row r="144" spans="1:20">
      <c r="A144" s="2" t="s">
        <v>3463</v>
      </c>
      <c r="B144" s="2" t="s">
        <v>3759</v>
      </c>
      <c r="C144" s="101">
        <v>1022</v>
      </c>
      <c r="D144" s="1" t="s">
        <v>9407</v>
      </c>
      <c r="E144" s="1" t="s">
        <v>1102</v>
      </c>
      <c r="F144" s="1"/>
      <c r="G144" s="1" t="s">
        <v>3403</v>
      </c>
      <c r="H144" s="1" t="s">
        <v>5180</v>
      </c>
      <c r="I144" s="1"/>
      <c r="J144" s="1"/>
      <c r="K144" s="1" t="s">
        <v>8928</v>
      </c>
      <c r="L144" s="1" t="s">
        <v>8929</v>
      </c>
      <c r="M144" s="1"/>
      <c r="N144" s="1"/>
      <c r="O144" s="1"/>
      <c r="P144" s="1"/>
      <c r="Q144" s="1"/>
      <c r="R144" s="1"/>
      <c r="S144" s="1" t="s">
        <v>768</v>
      </c>
      <c r="T144" s="1" t="s">
        <v>7</v>
      </c>
    </row>
    <row r="145" spans="1:20">
      <c r="A145" s="2" t="s">
        <v>3463</v>
      </c>
      <c r="B145" s="2" t="s">
        <v>3759</v>
      </c>
      <c r="C145" s="101">
        <v>1023</v>
      </c>
      <c r="D145" s="1" t="s">
        <v>9408</v>
      </c>
      <c r="E145" s="1" t="s">
        <v>1101</v>
      </c>
      <c r="F145" s="1"/>
      <c r="G145" s="1" t="s">
        <v>3403</v>
      </c>
      <c r="H145" s="1"/>
      <c r="I145" s="1"/>
      <c r="J145" s="1"/>
      <c r="K145" s="1" t="s">
        <v>9409</v>
      </c>
      <c r="L145" s="1" t="s">
        <v>3768</v>
      </c>
      <c r="M145" s="1"/>
      <c r="N145" s="1"/>
      <c r="O145" s="1"/>
      <c r="P145" s="1"/>
      <c r="Q145" s="1"/>
      <c r="R145" s="1"/>
      <c r="S145" s="1" t="s">
        <v>171</v>
      </c>
      <c r="T145" s="1" t="s">
        <v>7</v>
      </c>
    </row>
    <row r="146" spans="1:20">
      <c r="A146" s="2" t="s">
        <v>3463</v>
      </c>
      <c r="B146" s="2" t="s">
        <v>3759</v>
      </c>
      <c r="C146" s="101">
        <v>1024</v>
      </c>
      <c r="D146" s="1" t="s">
        <v>9410</v>
      </c>
      <c r="E146" s="1" t="s">
        <v>1102</v>
      </c>
      <c r="F146" s="1"/>
      <c r="G146" s="1" t="s">
        <v>3403</v>
      </c>
      <c r="H146" s="1"/>
      <c r="I146" s="1"/>
      <c r="J146" s="1"/>
      <c r="K146" s="1" t="s">
        <v>7010</v>
      </c>
      <c r="L146" s="1" t="s">
        <v>8967</v>
      </c>
      <c r="M146" s="1"/>
      <c r="N146" s="1"/>
      <c r="O146" s="1"/>
      <c r="P146" s="1"/>
      <c r="Q146" s="1"/>
      <c r="R146" s="1"/>
      <c r="S146" s="1" t="s">
        <v>31</v>
      </c>
      <c r="T146" s="1" t="s">
        <v>7</v>
      </c>
    </row>
    <row r="147" spans="1:20">
      <c r="A147" s="2" t="s">
        <v>3463</v>
      </c>
      <c r="B147" s="2" t="s">
        <v>3759</v>
      </c>
      <c r="C147" s="101">
        <v>1025</v>
      </c>
      <c r="D147" s="1" t="s">
        <v>9411</v>
      </c>
      <c r="E147" s="1" t="s">
        <v>1101</v>
      </c>
      <c r="F147" s="1"/>
      <c r="G147" s="1" t="s">
        <v>3403</v>
      </c>
      <c r="H147" s="1"/>
      <c r="I147" s="1"/>
      <c r="J147" s="1"/>
      <c r="K147" s="1" t="s">
        <v>9412</v>
      </c>
      <c r="L147" s="1"/>
      <c r="M147" s="1"/>
      <c r="N147" s="1"/>
      <c r="O147" s="1"/>
      <c r="P147" s="1"/>
      <c r="Q147" s="1"/>
      <c r="R147" s="1"/>
      <c r="S147" s="1" t="s">
        <v>45</v>
      </c>
      <c r="T147" s="1" t="s">
        <v>7</v>
      </c>
    </row>
    <row r="148" spans="1:20">
      <c r="A148" s="2" t="s">
        <v>3463</v>
      </c>
      <c r="B148" s="2" t="s">
        <v>3759</v>
      </c>
      <c r="C148" s="101">
        <v>1026</v>
      </c>
      <c r="D148" s="1" t="s">
        <v>9413</v>
      </c>
      <c r="E148" s="1" t="s">
        <v>1101</v>
      </c>
      <c r="F148" s="1"/>
      <c r="G148" s="1" t="s">
        <v>3403</v>
      </c>
      <c r="H148" s="1"/>
      <c r="I148" s="1"/>
      <c r="J148" s="1"/>
      <c r="K148" s="1" t="s">
        <v>9414</v>
      </c>
      <c r="L148" s="1"/>
      <c r="M148" s="1"/>
      <c r="N148" s="1"/>
      <c r="O148" s="1"/>
      <c r="P148" s="1"/>
      <c r="Q148" s="1"/>
      <c r="R148" s="1"/>
      <c r="S148" s="1" t="s">
        <v>26</v>
      </c>
      <c r="T148" s="1" t="s">
        <v>7</v>
      </c>
    </row>
    <row r="149" spans="1:20">
      <c r="A149" s="2" t="s">
        <v>3463</v>
      </c>
      <c r="B149" s="2" t="s">
        <v>3759</v>
      </c>
      <c r="C149" s="101">
        <v>1027</v>
      </c>
      <c r="D149" s="1" t="s">
        <v>9415</v>
      </c>
      <c r="E149" s="1" t="s">
        <v>1101</v>
      </c>
      <c r="F149" s="1"/>
      <c r="G149" s="1" t="s">
        <v>3403</v>
      </c>
      <c r="H149" s="1"/>
      <c r="I149" s="1"/>
      <c r="J149" s="1"/>
      <c r="K149" s="1" t="s">
        <v>8915</v>
      </c>
      <c r="L149" s="1"/>
      <c r="M149" s="1"/>
      <c r="N149" s="1"/>
      <c r="O149" s="1"/>
      <c r="P149" s="1"/>
      <c r="Q149" s="1"/>
      <c r="R149" s="1"/>
      <c r="S149" s="1" t="s">
        <v>36</v>
      </c>
      <c r="T149" s="1" t="s">
        <v>7</v>
      </c>
    </row>
    <row r="150" spans="1:20">
      <c r="A150" s="2" t="s">
        <v>3463</v>
      </c>
      <c r="B150" s="2" t="s">
        <v>3759</v>
      </c>
      <c r="C150" s="101">
        <v>1028</v>
      </c>
      <c r="D150" s="1" t="s">
        <v>9416</v>
      </c>
      <c r="E150" s="1" t="s">
        <v>1101</v>
      </c>
      <c r="F150" s="1"/>
      <c r="G150" s="1" t="s">
        <v>3403</v>
      </c>
      <c r="H150" s="1"/>
      <c r="I150" s="1"/>
      <c r="J150" s="1"/>
      <c r="K150" s="1" t="s">
        <v>9048</v>
      </c>
      <c r="L150" s="1" t="s">
        <v>9417</v>
      </c>
      <c r="M150" s="1"/>
      <c r="N150" s="1"/>
      <c r="O150" s="1"/>
      <c r="P150" s="1"/>
      <c r="Q150" s="1"/>
      <c r="R150" s="1"/>
      <c r="S150" s="1" t="s">
        <v>49</v>
      </c>
      <c r="T150" s="1" t="s">
        <v>7</v>
      </c>
    </row>
    <row r="151" spans="1:20">
      <c r="A151" s="2" t="s">
        <v>3463</v>
      </c>
      <c r="B151" s="2" t="s">
        <v>3759</v>
      </c>
      <c r="C151" s="101">
        <v>1029</v>
      </c>
      <c r="D151" s="1" t="s">
        <v>9418</v>
      </c>
      <c r="E151" s="1" t="s">
        <v>9419</v>
      </c>
      <c r="F151" s="1"/>
      <c r="G151" s="1" t="s">
        <v>3403</v>
      </c>
      <c r="H151" s="1"/>
      <c r="I151" s="1"/>
      <c r="J151" s="1"/>
      <c r="K151" s="1" t="s">
        <v>9420</v>
      </c>
      <c r="L151" s="1" t="s">
        <v>8974</v>
      </c>
      <c r="M151" s="1"/>
      <c r="N151" s="1"/>
      <c r="O151" s="1"/>
      <c r="P151" s="1"/>
      <c r="Q151" s="1"/>
      <c r="R151" s="1"/>
      <c r="S151" s="1" t="s">
        <v>606</v>
      </c>
      <c r="T151" s="1" t="s">
        <v>7</v>
      </c>
    </row>
    <row r="152" spans="1:20">
      <c r="A152" s="2" t="s">
        <v>3463</v>
      </c>
      <c r="B152" s="2" t="s">
        <v>3759</v>
      </c>
      <c r="C152" s="101">
        <v>1030</v>
      </c>
      <c r="D152" s="1" t="s">
        <v>9421</v>
      </c>
      <c r="E152" s="1" t="s">
        <v>1102</v>
      </c>
      <c r="F152" s="1"/>
      <c r="G152" s="1" t="s">
        <v>3403</v>
      </c>
      <c r="H152" s="1"/>
      <c r="I152" s="1"/>
      <c r="J152" s="1"/>
      <c r="K152" s="1" t="s">
        <v>8874</v>
      </c>
      <c r="L152" s="1"/>
      <c r="M152" s="1"/>
      <c r="N152" s="1"/>
      <c r="O152" s="1"/>
      <c r="P152" s="1"/>
      <c r="Q152" s="1"/>
      <c r="R152" s="1"/>
      <c r="S152" s="1" t="s">
        <v>5685</v>
      </c>
      <c r="T152" s="1" t="s">
        <v>7</v>
      </c>
    </row>
    <row r="153" spans="1:20">
      <c r="A153" s="2" t="s">
        <v>3463</v>
      </c>
      <c r="B153" s="2" t="s">
        <v>3759</v>
      </c>
      <c r="C153" s="101">
        <v>1031</v>
      </c>
      <c r="D153" s="1" t="s">
        <v>9422</v>
      </c>
      <c r="E153" s="1" t="s">
        <v>1102</v>
      </c>
      <c r="F153" s="1"/>
      <c r="G153" s="1" t="s">
        <v>3403</v>
      </c>
      <c r="H153" s="1"/>
      <c r="I153" s="1"/>
      <c r="J153" s="1"/>
      <c r="K153" s="1" t="s">
        <v>9423</v>
      </c>
      <c r="L153" s="1"/>
      <c r="M153" s="1"/>
      <c r="N153" s="1"/>
      <c r="O153" s="1"/>
      <c r="P153" s="1"/>
      <c r="Q153" s="1"/>
      <c r="R153" s="1"/>
      <c r="S153" s="1" t="s">
        <v>26</v>
      </c>
      <c r="T153" s="1" t="s">
        <v>7</v>
      </c>
    </row>
    <row r="154" spans="1:20">
      <c r="A154" s="2" t="s">
        <v>3463</v>
      </c>
      <c r="B154" s="2" t="s">
        <v>3759</v>
      </c>
      <c r="C154" s="101">
        <v>1032</v>
      </c>
      <c r="D154" s="1" t="s">
        <v>9424</v>
      </c>
      <c r="E154" s="1" t="s">
        <v>1101</v>
      </c>
      <c r="F154" s="1"/>
      <c r="G154" s="1" t="s">
        <v>3403</v>
      </c>
      <c r="H154" s="1"/>
      <c r="I154" s="1"/>
      <c r="J154" s="1"/>
      <c r="K154" s="1" t="s">
        <v>9425</v>
      </c>
      <c r="L154" s="1"/>
      <c r="M154" s="1"/>
      <c r="N154" s="1"/>
      <c r="O154" s="1"/>
      <c r="P154" s="1"/>
      <c r="Q154" s="1"/>
      <c r="R154" s="1"/>
      <c r="S154" s="1" t="s">
        <v>27</v>
      </c>
      <c r="T154" s="1" t="s">
        <v>7</v>
      </c>
    </row>
    <row r="155" spans="1:20">
      <c r="A155" s="2" t="s">
        <v>3463</v>
      </c>
      <c r="B155" s="2" t="s">
        <v>3759</v>
      </c>
      <c r="C155" s="101">
        <v>1033</v>
      </c>
      <c r="D155" s="1" t="s">
        <v>9426</v>
      </c>
      <c r="E155" s="1" t="s">
        <v>1101</v>
      </c>
      <c r="F155" s="1"/>
      <c r="G155" s="1" t="s">
        <v>3403</v>
      </c>
      <c r="H155" s="1"/>
      <c r="I155" s="1"/>
      <c r="J155" s="1"/>
      <c r="K155" s="1" t="s">
        <v>9427</v>
      </c>
      <c r="L155" s="1"/>
      <c r="M155" s="1"/>
      <c r="N155" s="1"/>
      <c r="O155" s="1"/>
      <c r="P155" s="1"/>
      <c r="Q155" s="1"/>
      <c r="R155" s="1"/>
      <c r="S155" s="1" t="s">
        <v>33</v>
      </c>
      <c r="T155" s="1" t="s">
        <v>7</v>
      </c>
    </row>
    <row r="156" spans="1:20">
      <c r="A156" s="2" t="s">
        <v>3463</v>
      </c>
      <c r="B156" s="2" t="s">
        <v>3759</v>
      </c>
      <c r="C156" s="101">
        <v>1034</v>
      </c>
      <c r="D156" s="1" t="s">
        <v>9428</v>
      </c>
      <c r="E156" s="1" t="s">
        <v>1102</v>
      </c>
      <c r="F156" s="1"/>
      <c r="G156" s="1" t="s">
        <v>3403</v>
      </c>
      <c r="H156" s="1"/>
      <c r="I156" s="1"/>
      <c r="J156" s="1"/>
      <c r="K156" s="1" t="s">
        <v>8886</v>
      </c>
      <c r="L156" s="1"/>
      <c r="M156" s="1"/>
      <c r="N156" s="1"/>
      <c r="O156" s="1"/>
      <c r="P156" s="1"/>
      <c r="Q156" s="1"/>
      <c r="R156" s="1"/>
      <c r="S156" s="1" t="s">
        <v>181</v>
      </c>
      <c r="T156" s="1" t="s">
        <v>7</v>
      </c>
    </row>
    <row r="157" spans="1:20">
      <c r="A157" s="2" t="s">
        <v>3463</v>
      </c>
      <c r="B157" s="2" t="s">
        <v>3759</v>
      </c>
      <c r="C157" s="101">
        <v>1035</v>
      </c>
      <c r="D157" s="1" t="s">
        <v>9429</v>
      </c>
      <c r="E157" s="1" t="s">
        <v>1103</v>
      </c>
      <c r="F157" s="1"/>
      <c r="G157" s="1" t="s">
        <v>3403</v>
      </c>
      <c r="H157" s="1" t="s">
        <v>5180</v>
      </c>
      <c r="I157" s="1"/>
      <c r="J157" s="1"/>
      <c r="K157" s="1" t="s">
        <v>9430</v>
      </c>
      <c r="L157" s="1" t="s">
        <v>9431</v>
      </c>
      <c r="M157" s="1"/>
      <c r="N157" s="1"/>
      <c r="O157" s="1"/>
      <c r="P157" s="1"/>
      <c r="Q157" s="1"/>
      <c r="R157" s="1"/>
      <c r="S157" s="1" t="s">
        <v>175</v>
      </c>
      <c r="T157" s="1" t="s">
        <v>7</v>
      </c>
    </row>
    <row r="158" spans="1:20">
      <c r="A158" s="2" t="s">
        <v>3463</v>
      </c>
      <c r="B158" s="2" t="s">
        <v>3759</v>
      </c>
      <c r="C158" s="101">
        <v>1036</v>
      </c>
      <c r="D158" s="1" t="s">
        <v>9432</v>
      </c>
      <c r="E158" s="1" t="s">
        <v>1104</v>
      </c>
      <c r="F158" s="1"/>
      <c r="G158" s="1" t="s">
        <v>3403</v>
      </c>
      <c r="H158" s="1"/>
      <c r="I158" s="1"/>
      <c r="J158" s="1"/>
      <c r="K158" s="1" t="s">
        <v>9433</v>
      </c>
      <c r="L158" s="1"/>
      <c r="M158" s="1"/>
      <c r="N158" s="1"/>
      <c r="O158" s="1"/>
      <c r="P158" s="1"/>
      <c r="Q158" s="1"/>
      <c r="R158" s="1"/>
      <c r="S158" s="1" t="s">
        <v>14</v>
      </c>
      <c r="T158" s="1" t="s">
        <v>7</v>
      </c>
    </row>
    <row r="159" spans="1:20">
      <c r="A159" s="2" t="s">
        <v>3463</v>
      </c>
      <c r="B159" s="2" t="s">
        <v>3759</v>
      </c>
      <c r="C159" s="101">
        <v>1037</v>
      </c>
      <c r="D159" s="1" t="s">
        <v>9434</v>
      </c>
      <c r="E159" s="1" t="s">
        <v>1104</v>
      </c>
      <c r="F159" s="1"/>
      <c r="G159" s="1" t="s">
        <v>3403</v>
      </c>
      <c r="H159" s="1"/>
      <c r="I159" s="1"/>
      <c r="J159" s="1"/>
      <c r="K159" s="1" t="s">
        <v>9435</v>
      </c>
      <c r="L159" s="1"/>
      <c r="M159" s="1"/>
      <c r="N159" s="1"/>
      <c r="O159" s="1"/>
      <c r="P159" s="1"/>
      <c r="Q159" s="1"/>
      <c r="R159" s="1"/>
      <c r="S159" s="1" t="s">
        <v>5281</v>
      </c>
      <c r="T159" s="1" t="s">
        <v>7</v>
      </c>
    </row>
    <row r="160" spans="1:20">
      <c r="A160" s="2" t="s">
        <v>3463</v>
      </c>
      <c r="B160" s="2" t="s">
        <v>3759</v>
      </c>
      <c r="C160" s="101">
        <v>1038</v>
      </c>
      <c r="D160" s="1" t="s">
        <v>9436</v>
      </c>
      <c r="E160" s="1" t="s">
        <v>1104</v>
      </c>
      <c r="F160" s="1"/>
      <c r="G160" s="1" t="s">
        <v>3403</v>
      </c>
      <c r="H160" s="1"/>
      <c r="I160" s="1"/>
      <c r="J160" s="1"/>
      <c r="K160" s="1" t="s">
        <v>9437</v>
      </c>
      <c r="L160" s="1"/>
      <c r="M160" s="1"/>
      <c r="N160" s="1"/>
      <c r="O160" s="1"/>
      <c r="P160" s="1"/>
      <c r="Q160" s="1"/>
      <c r="R160" s="1"/>
      <c r="S160" s="1" t="s">
        <v>27</v>
      </c>
      <c r="T160" s="1" t="s">
        <v>7</v>
      </c>
    </row>
    <row r="161" spans="1:20">
      <c r="A161" s="2" t="s">
        <v>3463</v>
      </c>
      <c r="B161" s="2" t="s">
        <v>3759</v>
      </c>
      <c r="C161" s="101">
        <v>1039</v>
      </c>
      <c r="D161" s="1" t="s">
        <v>9438</v>
      </c>
      <c r="E161" s="1" t="s">
        <v>1103</v>
      </c>
      <c r="F161" s="1"/>
      <c r="G161" s="1" t="s">
        <v>3403</v>
      </c>
      <c r="H161" s="1" t="s">
        <v>5670</v>
      </c>
      <c r="I161" s="1"/>
      <c r="J161" s="1"/>
      <c r="K161" s="1" t="s">
        <v>9439</v>
      </c>
      <c r="L161" s="1" t="s">
        <v>9440</v>
      </c>
      <c r="M161" s="1"/>
      <c r="N161" s="1"/>
      <c r="O161" s="1"/>
      <c r="P161" s="1"/>
      <c r="Q161" s="1"/>
      <c r="R161" s="1"/>
      <c r="S161" s="1" t="s">
        <v>607</v>
      </c>
      <c r="T161" s="1" t="s">
        <v>7</v>
      </c>
    </row>
    <row r="162" spans="1:20">
      <c r="A162" s="2" t="s">
        <v>3463</v>
      </c>
      <c r="B162" s="2" t="s">
        <v>3759</v>
      </c>
      <c r="C162" s="101">
        <v>1040</v>
      </c>
      <c r="D162" s="1" t="s">
        <v>9441</v>
      </c>
      <c r="E162" s="1" t="s">
        <v>1105</v>
      </c>
      <c r="F162" s="1"/>
      <c r="G162" s="1" t="s">
        <v>3403</v>
      </c>
      <c r="H162" s="1"/>
      <c r="I162" s="1"/>
      <c r="J162" s="1"/>
      <c r="K162" s="1" t="s">
        <v>9442</v>
      </c>
      <c r="L162" s="1"/>
      <c r="M162" s="1"/>
      <c r="N162" s="1"/>
      <c r="O162" s="1"/>
      <c r="P162" s="1"/>
      <c r="Q162" s="1"/>
      <c r="R162" s="1"/>
      <c r="S162" s="1" t="s">
        <v>33</v>
      </c>
      <c r="T162" s="1" t="s">
        <v>7</v>
      </c>
    </row>
    <row r="163" spans="1:20">
      <c r="A163" s="2" t="s">
        <v>3463</v>
      </c>
      <c r="B163" s="2" t="s">
        <v>3759</v>
      </c>
      <c r="C163" s="101">
        <v>1041</v>
      </c>
      <c r="D163" s="1" t="s">
        <v>9443</v>
      </c>
      <c r="E163" s="1" t="s">
        <v>1105</v>
      </c>
      <c r="F163" s="1"/>
      <c r="G163" s="1" t="s">
        <v>3403</v>
      </c>
      <c r="H163" s="1"/>
      <c r="I163" s="1"/>
      <c r="J163" s="1"/>
      <c r="K163" s="1" t="s">
        <v>9444</v>
      </c>
      <c r="L163" s="1"/>
      <c r="M163" s="1"/>
      <c r="N163" s="1"/>
      <c r="O163" s="1"/>
      <c r="P163" s="1"/>
      <c r="Q163" s="1"/>
      <c r="R163" s="1"/>
      <c r="S163" s="1" t="s">
        <v>35</v>
      </c>
      <c r="T163" s="1" t="s">
        <v>7</v>
      </c>
    </row>
    <row r="164" spans="1:20">
      <c r="A164" s="2" t="s">
        <v>3463</v>
      </c>
      <c r="B164" s="2" t="s">
        <v>3759</v>
      </c>
      <c r="C164" s="101">
        <v>1042</v>
      </c>
      <c r="D164" s="1" t="s">
        <v>9445</v>
      </c>
      <c r="E164" s="1" t="s">
        <v>1105</v>
      </c>
      <c r="F164" s="1"/>
      <c r="G164" s="1" t="s">
        <v>3403</v>
      </c>
      <c r="H164" s="1"/>
      <c r="I164" s="1"/>
      <c r="J164" s="1"/>
      <c r="K164" s="1" t="s">
        <v>9446</v>
      </c>
      <c r="L164" s="1" t="s">
        <v>9447</v>
      </c>
      <c r="M164" s="1"/>
      <c r="N164" s="1"/>
      <c r="O164" s="1"/>
      <c r="P164" s="1"/>
      <c r="Q164" s="1"/>
      <c r="R164" s="1"/>
      <c r="S164" s="1" t="s">
        <v>14</v>
      </c>
      <c r="T164" s="1" t="s">
        <v>7</v>
      </c>
    </row>
    <row r="165" spans="1:20">
      <c r="A165" s="2" t="s">
        <v>3463</v>
      </c>
      <c r="B165" s="2" t="s">
        <v>3759</v>
      </c>
      <c r="C165" s="101">
        <v>1043</v>
      </c>
      <c r="D165" s="1" t="s">
        <v>9448</v>
      </c>
      <c r="E165" s="1" t="s">
        <v>1105</v>
      </c>
      <c r="F165" s="1"/>
      <c r="G165" s="1" t="s">
        <v>3403</v>
      </c>
      <c r="H165" s="1"/>
      <c r="I165" s="1"/>
      <c r="J165" s="1"/>
      <c r="K165" s="1" t="s">
        <v>1232</v>
      </c>
      <c r="L165" s="1" t="s">
        <v>8874</v>
      </c>
      <c r="M165" s="1"/>
      <c r="N165" s="1"/>
      <c r="O165" s="1"/>
      <c r="P165" s="1"/>
      <c r="Q165" s="1"/>
      <c r="R165" s="1"/>
      <c r="S165" s="1" t="s">
        <v>38</v>
      </c>
      <c r="T165" s="1" t="s">
        <v>7</v>
      </c>
    </row>
    <row r="166" spans="1:20">
      <c r="A166" s="2" t="s">
        <v>3463</v>
      </c>
      <c r="B166" s="2" t="s">
        <v>3759</v>
      </c>
      <c r="C166" s="101">
        <v>1044</v>
      </c>
      <c r="D166" s="1" t="s">
        <v>9449</v>
      </c>
      <c r="E166" s="1" t="s">
        <v>1105</v>
      </c>
      <c r="F166" s="1"/>
      <c r="G166" s="1" t="s">
        <v>3403</v>
      </c>
      <c r="H166" s="1"/>
      <c r="I166" s="1"/>
      <c r="J166" s="1"/>
      <c r="K166" s="1" t="s">
        <v>9450</v>
      </c>
      <c r="L166" s="1"/>
      <c r="M166" s="1"/>
      <c r="N166" s="1"/>
      <c r="O166" s="1"/>
      <c r="P166" s="1"/>
      <c r="Q166" s="1"/>
      <c r="R166" s="1"/>
      <c r="S166" s="1" t="s">
        <v>48</v>
      </c>
      <c r="T166" s="1" t="s">
        <v>7</v>
      </c>
    </row>
    <row r="167" spans="1:20">
      <c r="A167" s="2" t="s">
        <v>3463</v>
      </c>
      <c r="B167" s="2" t="s">
        <v>3759</v>
      </c>
      <c r="C167" s="101">
        <v>1045</v>
      </c>
      <c r="D167" s="1" t="s">
        <v>9451</v>
      </c>
      <c r="E167" s="1" t="s">
        <v>1105</v>
      </c>
      <c r="F167" s="1"/>
      <c r="G167" s="1" t="s">
        <v>3403</v>
      </c>
      <c r="H167" s="1"/>
      <c r="I167" s="1"/>
      <c r="J167" s="1"/>
      <c r="K167" s="1" t="s">
        <v>9452</v>
      </c>
      <c r="L167" s="1"/>
      <c r="M167" s="1"/>
      <c r="N167" s="1"/>
      <c r="O167" s="1"/>
      <c r="P167" s="1"/>
      <c r="Q167" s="1"/>
      <c r="R167" s="1"/>
      <c r="S167" s="1" t="s">
        <v>30</v>
      </c>
      <c r="T167" s="1" t="s">
        <v>7</v>
      </c>
    </row>
    <row r="168" spans="1:20">
      <c r="A168" s="2" t="s">
        <v>3463</v>
      </c>
      <c r="B168" s="2" t="s">
        <v>3759</v>
      </c>
      <c r="C168" s="101">
        <v>1046</v>
      </c>
      <c r="D168" s="1" t="s">
        <v>9453</v>
      </c>
      <c r="E168" s="1" t="s">
        <v>1194</v>
      </c>
      <c r="F168" s="1"/>
      <c r="G168" s="1" t="s">
        <v>3403</v>
      </c>
      <c r="H168" s="1"/>
      <c r="I168" s="1"/>
      <c r="J168" s="1"/>
      <c r="K168" s="1" t="s">
        <v>9454</v>
      </c>
      <c r="L168" s="1"/>
      <c r="M168" s="1"/>
      <c r="N168" s="1"/>
      <c r="O168" s="1"/>
      <c r="P168" s="1"/>
      <c r="Q168" s="1"/>
      <c r="R168" s="1"/>
      <c r="S168" s="1" t="s">
        <v>31</v>
      </c>
      <c r="T168" s="1" t="s">
        <v>7</v>
      </c>
    </row>
    <row r="169" spans="1:20">
      <c r="A169" s="2" t="s">
        <v>3463</v>
      </c>
      <c r="B169" s="2" t="s">
        <v>3759</v>
      </c>
      <c r="C169" s="101">
        <v>1047</v>
      </c>
      <c r="D169" s="1" t="s">
        <v>9455</v>
      </c>
      <c r="E169" s="1" t="s">
        <v>1250</v>
      </c>
      <c r="F169" s="1"/>
      <c r="G169" s="1" t="s">
        <v>3403</v>
      </c>
      <c r="H169" s="1"/>
      <c r="I169" s="1"/>
      <c r="J169" s="1"/>
      <c r="K169" s="1" t="s">
        <v>9456</v>
      </c>
      <c r="L169" s="1"/>
      <c r="M169" s="1"/>
      <c r="N169" s="1"/>
      <c r="O169" s="1"/>
      <c r="P169" s="1"/>
      <c r="Q169" s="1"/>
      <c r="R169" s="1"/>
      <c r="S169" s="1" t="s">
        <v>181</v>
      </c>
      <c r="T169" s="1" t="s">
        <v>7</v>
      </c>
    </row>
    <row r="170" spans="1:20">
      <c r="A170" s="2" t="s">
        <v>3463</v>
      </c>
      <c r="B170" s="2" t="s">
        <v>3759</v>
      </c>
      <c r="C170" s="101">
        <v>1048</v>
      </c>
      <c r="D170" s="1" t="s">
        <v>9457</v>
      </c>
      <c r="E170" s="1" t="s">
        <v>1250</v>
      </c>
      <c r="F170" s="1"/>
      <c r="G170" s="1" t="s">
        <v>3403</v>
      </c>
      <c r="H170" s="1"/>
      <c r="I170" s="1"/>
      <c r="J170" s="1"/>
      <c r="K170" s="1" t="s">
        <v>4113</v>
      </c>
      <c r="L170" s="1" t="s">
        <v>9458</v>
      </c>
      <c r="M170" s="1" t="s">
        <v>9459</v>
      </c>
      <c r="N170" s="1" t="s">
        <v>9460</v>
      </c>
      <c r="O170" s="1"/>
      <c r="P170" s="1"/>
      <c r="Q170" s="1"/>
      <c r="R170" s="1"/>
      <c r="S170" s="1" t="s">
        <v>168</v>
      </c>
      <c r="T170" s="1" t="s">
        <v>7</v>
      </c>
    </row>
    <row r="171" spans="1:20">
      <c r="A171" s="2" t="s">
        <v>3463</v>
      </c>
      <c r="B171" s="2" t="s">
        <v>3759</v>
      </c>
      <c r="C171" s="101">
        <v>1049</v>
      </c>
      <c r="D171" s="1" t="s">
        <v>9461</v>
      </c>
      <c r="E171" s="1" t="s">
        <v>1250</v>
      </c>
      <c r="F171" s="1"/>
      <c r="G171" s="1" t="s">
        <v>3403</v>
      </c>
      <c r="H171" s="1"/>
      <c r="I171" s="1"/>
      <c r="J171" s="1"/>
      <c r="K171" s="1" t="s">
        <v>1232</v>
      </c>
      <c r="L171" s="1" t="s">
        <v>8976</v>
      </c>
      <c r="M171" s="1"/>
      <c r="N171" s="1"/>
      <c r="O171" s="1"/>
      <c r="P171" s="1"/>
      <c r="Q171" s="1"/>
      <c r="R171" s="1"/>
      <c r="S171" s="1" t="s">
        <v>768</v>
      </c>
      <c r="T171" s="1" t="s">
        <v>7</v>
      </c>
    </row>
    <row r="172" spans="1:20">
      <c r="A172" s="2" t="s">
        <v>3463</v>
      </c>
      <c r="B172" s="2" t="s">
        <v>3759</v>
      </c>
      <c r="C172" s="101">
        <v>1050</v>
      </c>
      <c r="D172" s="1" t="s">
        <v>9462</v>
      </c>
      <c r="E172" s="1" t="s">
        <v>1250</v>
      </c>
      <c r="F172" s="1"/>
      <c r="G172" s="1" t="s">
        <v>3403</v>
      </c>
      <c r="H172" s="1"/>
      <c r="I172" s="1"/>
      <c r="J172" s="1"/>
      <c r="K172" s="1" t="s">
        <v>9463</v>
      </c>
      <c r="L172" s="1"/>
      <c r="M172" s="1"/>
      <c r="N172" s="1"/>
      <c r="O172" s="1"/>
      <c r="P172" s="1"/>
      <c r="Q172" s="1"/>
      <c r="R172" s="1"/>
      <c r="S172" s="1" t="s">
        <v>177</v>
      </c>
      <c r="T172" s="1" t="s">
        <v>7</v>
      </c>
    </row>
    <row r="173" spans="1:20">
      <c r="A173" s="2" t="s">
        <v>3463</v>
      </c>
      <c r="B173" s="2" t="s">
        <v>3759</v>
      </c>
      <c r="C173" s="101">
        <v>1051</v>
      </c>
      <c r="D173" s="1" t="s">
        <v>9464</v>
      </c>
      <c r="E173" s="1" t="s">
        <v>1194</v>
      </c>
      <c r="F173" s="1"/>
      <c r="G173" s="1" t="s">
        <v>3403</v>
      </c>
      <c r="H173" s="1" t="s">
        <v>5670</v>
      </c>
      <c r="I173" s="1"/>
      <c r="J173" s="1"/>
      <c r="K173" s="1" t="s">
        <v>9465</v>
      </c>
      <c r="L173" s="1" t="s">
        <v>9466</v>
      </c>
      <c r="M173" s="1"/>
      <c r="N173" s="1"/>
      <c r="O173" s="1"/>
      <c r="P173" s="1"/>
      <c r="Q173" s="1"/>
      <c r="R173" s="1"/>
      <c r="S173" s="1" t="s">
        <v>604</v>
      </c>
      <c r="T173" s="1" t="s">
        <v>7</v>
      </c>
    </row>
    <row r="174" spans="1:20">
      <c r="A174" s="2" t="s">
        <v>3463</v>
      </c>
      <c r="B174" s="2" t="s">
        <v>3759</v>
      </c>
      <c r="C174" s="101">
        <v>1052</v>
      </c>
      <c r="D174" s="1" t="s">
        <v>9467</v>
      </c>
      <c r="E174" s="1" t="s">
        <v>1194</v>
      </c>
      <c r="F174" s="1"/>
      <c r="G174" s="1" t="s">
        <v>3403</v>
      </c>
      <c r="H174" s="1"/>
      <c r="I174" s="1"/>
      <c r="J174" s="1"/>
      <c r="K174" s="1" t="s">
        <v>7296</v>
      </c>
      <c r="L174" s="1" t="s">
        <v>9468</v>
      </c>
      <c r="M174" s="1"/>
      <c r="N174" s="1"/>
      <c r="O174" s="1"/>
      <c r="P174" s="1"/>
      <c r="Q174" s="1"/>
      <c r="R174" s="1"/>
      <c r="S174" s="1" t="s">
        <v>28</v>
      </c>
      <c r="T174" s="1" t="s">
        <v>7</v>
      </c>
    </row>
    <row r="175" spans="1:20">
      <c r="A175" s="2" t="s">
        <v>3463</v>
      </c>
      <c r="B175" s="2" t="s">
        <v>3759</v>
      </c>
      <c r="C175" s="101">
        <v>1053</v>
      </c>
      <c r="D175" s="1" t="s">
        <v>9469</v>
      </c>
      <c r="E175" s="1" t="s">
        <v>1251</v>
      </c>
      <c r="F175" s="1"/>
      <c r="G175" s="1" t="s">
        <v>3403</v>
      </c>
      <c r="H175" s="1" t="s">
        <v>5670</v>
      </c>
      <c r="I175" s="1"/>
      <c r="J175" s="1"/>
      <c r="K175" s="1" t="s">
        <v>9470</v>
      </c>
      <c r="L175" s="1" t="s">
        <v>9471</v>
      </c>
      <c r="M175" s="1"/>
      <c r="N175" s="1"/>
      <c r="O175" s="1"/>
      <c r="P175" s="1"/>
      <c r="Q175" s="1"/>
      <c r="R175" s="1"/>
      <c r="S175" s="1" t="s">
        <v>607</v>
      </c>
      <c r="T175" s="1" t="s">
        <v>7</v>
      </c>
    </row>
    <row r="176" spans="1:20">
      <c r="A176" s="101" t="s">
        <v>3465</v>
      </c>
      <c r="B176" s="101" t="s">
        <v>3759</v>
      </c>
      <c r="C176" s="101">
        <v>2001</v>
      </c>
      <c r="D176" s="101" t="s">
        <v>10252</v>
      </c>
      <c r="E176" s="102" t="s">
        <v>4746</v>
      </c>
      <c r="F176" s="102"/>
      <c r="G176" s="102" t="s">
        <v>3403</v>
      </c>
      <c r="H176" s="102"/>
      <c r="I176" s="102"/>
      <c r="J176" s="102"/>
      <c r="K176" s="102" t="s">
        <v>8857</v>
      </c>
      <c r="L176" s="102" t="s">
        <v>10253</v>
      </c>
      <c r="M176" s="102"/>
      <c r="N176" s="102"/>
      <c r="O176" s="102"/>
      <c r="P176" s="102"/>
      <c r="Q176" s="102"/>
      <c r="R176" s="102"/>
      <c r="S176" s="102" t="s">
        <v>34</v>
      </c>
      <c r="T176" s="102" t="s">
        <v>9</v>
      </c>
    </row>
    <row r="177" spans="1:20">
      <c r="A177" s="101" t="s">
        <v>3465</v>
      </c>
      <c r="B177" s="101" t="s">
        <v>3759</v>
      </c>
      <c r="C177" s="101">
        <v>2002</v>
      </c>
      <c r="D177" s="102" t="s">
        <v>10254</v>
      </c>
      <c r="E177" s="102" t="s">
        <v>1099</v>
      </c>
      <c r="F177" s="102"/>
      <c r="G177" s="102" t="s">
        <v>3403</v>
      </c>
      <c r="H177" s="102"/>
      <c r="I177" s="102"/>
      <c r="J177" s="102"/>
      <c r="K177" s="102" t="s">
        <v>7010</v>
      </c>
      <c r="L177" s="102" t="s">
        <v>10255</v>
      </c>
      <c r="M177" s="102"/>
      <c r="N177" s="102"/>
      <c r="O177" s="102"/>
      <c r="P177" s="102"/>
      <c r="Q177" s="102"/>
      <c r="R177" s="102"/>
      <c r="S177" s="102" t="s">
        <v>33</v>
      </c>
      <c r="T177" s="102" t="s">
        <v>9</v>
      </c>
    </row>
    <row r="178" spans="1:20">
      <c r="A178" s="101" t="s">
        <v>3465</v>
      </c>
      <c r="B178" s="101" t="s">
        <v>3759</v>
      </c>
      <c r="C178" s="101">
        <v>2004</v>
      </c>
      <c r="D178" s="102" t="s">
        <v>10256</v>
      </c>
      <c r="E178" s="102" t="s">
        <v>10257</v>
      </c>
      <c r="F178" s="102"/>
      <c r="G178" s="102" t="s">
        <v>3403</v>
      </c>
      <c r="H178" s="102"/>
      <c r="I178" s="102"/>
      <c r="J178" s="102"/>
      <c r="K178" s="102" t="s">
        <v>9420</v>
      </c>
      <c r="L178" s="102" t="s">
        <v>10258</v>
      </c>
      <c r="M178" s="102"/>
      <c r="N178" s="102"/>
      <c r="O178" s="102"/>
      <c r="P178" s="102"/>
      <c r="Q178" s="102"/>
      <c r="R178" s="102"/>
      <c r="S178" s="102" t="s">
        <v>606</v>
      </c>
      <c r="T178" s="102" t="s">
        <v>9</v>
      </c>
    </row>
    <row r="179" spans="1:20">
      <c r="A179" s="101" t="s">
        <v>3465</v>
      </c>
      <c r="B179" s="101" t="s">
        <v>3759</v>
      </c>
      <c r="C179" s="101">
        <v>2005</v>
      </c>
      <c r="D179" s="102" t="s">
        <v>10259</v>
      </c>
      <c r="E179" s="102" t="s">
        <v>1099</v>
      </c>
      <c r="F179" s="102"/>
      <c r="G179" s="102" t="s">
        <v>3403</v>
      </c>
      <c r="H179" s="102"/>
      <c r="I179" s="102"/>
      <c r="J179" s="102"/>
      <c r="K179" s="102" t="s">
        <v>10260</v>
      </c>
      <c r="L179" s="102"/>
      <c r="M179" s="102"/>
      <c r="N179" s="102"/>
      <c r="O179" s="102"/>
      <c r="P179" s="102"/>
      <c r="Q179" s="102"/>
      <c r="R179" s="102"/>
      <c r="S179" s="102" t="s">
        <v>168</v>
      </c>
      <c r="T179" s="102" t="s">
        <v>9</v>
      </c>
    </row>
    <row r="180" spans="1:20">
      <c r="A180" s="101" t="s">
        <v>3465</v>
      </c>
      <c r="B180" s="101" t="s">
        <v>3759</v>
      </c>
      <c r="C180" s="101">
        <v>2007</v>
      </c>
      <c r="D180" s="102" t="s">
        <v>10261</v>
      </c>
      <c r="E180" s="102" t="s">
        <v>1099</v>
      </c>
      <c r="F180" s="102"/>
      <c r="G180" s="102" t="s">
        <v>3403</v>
      </c>
      <c r="H180" s="102"/>
      <c r="I180" s="102"/>
      <c r="J180" s="102"/>
      <c r="K180" s="102" t="s">
        <v>10262</v>
      </c>
      <c r="L180" s="102"/>
      <c r="M180" s="102"/>
      <c r="N180" s="102"/>
      <c r="O180" s="102"/>
      <c r="P180" s="102"/>
      <c r="Q180" s="102"/>
      <c r="R180" s="102"/>
      <c r="S180" s="102" t="s">
        <v>5685</v>
      </c>
      <c r="T180" s="102" t="s">
        <v>9</v>
      </c>
    </row>
    <row r="181" spans="1:20">
      <c r="A181" s="101" t="s">
        <v>3465</v>
      </c>
      <c r="B181" s="101" t="s">
        <v>3759</v>
      </c>
      <c r="C181" s="101">
        <v>2008</v>
      </c>
      <c r="D181" s="102" t="s">
        <v>10263</v>
      </c>
      <c r="E181" s="102" t="s">
        <v>1099</v>
      </c>
      <c r="F181" s="102"/>
      <c r="G181" s="102" t="s">
        <v>3403</v>
      </c>
      <c r="H181" s="102"/>
      <c r="I181" s="102"/>
      <c r="J181" s="102"/>
      <c r="K181" s="102" t="s">
        <v>10264</v>
      </c>
      <c r="L181" s="102"/>
      <c r="M181" s="102"/>
      <c r="N181" s="102"/>
      <c r="O181" s="102"/>
      <c r="P181" s="102"/>
      <c r="Q181" s="102"/>
      <c r="R181" s="102"/>
      <c r="S181" s="102" t="s">
        <v>179</v>
      </c>
      <c r="T181" s="102" t="s">
        <v>9</v>
      </c>
    </row>
    <row r="182" spans="1:20">
      <c r="A182" s="101" t="s">
        <v>3465</v>
      </c>
      <c r="B182" s="101" t="s">
        <v>3759</v>
      </c>
      <c r="C182" s="101">
        <v>2009</v>
      </c>
      <c r="D182" s="102" t="s">
        <v>10265</v>
      </c>
      <c r="E182" s="102" t="s">
        <v>1100</v>
      </c>
      <c r="F182" s="102"/>
      <c r="G182" s="102" t="s">
        <v>3403</v>
      </c>
      <c r="H182" s="102"/>
      <c r="I182" s="102"/>
      <c r="J182" s="102"/>
      <c r="K182" s="102" t="s">
        <v>10266</v>
      </c>
      <c r="L182" s="102"/>
      <c r="M182" s="102"/>
      <c r="N182" s="102"/>
      <c r="O182" s="102"/>
      <c r="P182" s="102"/>
      <c r="Q182" s="102"/>
      <c r="R182" s="102"/>
      <c r="S182" s="102" t="s">
        <v>183</v>
      </c>
      <c r="T182" s="102" t="s">
        <v>9</v>
      </c>
    </row>
    <row r="183" spans="1:20">
      <c r="A183" s="101" t="s">
        <v>3465</v>
      </c>
      <c r="B183" s="101" t="s">
        <v>3759</v>
      </c>
      <c r="C183" s="101">
        <v>2010</v>
      </c>
      <c r="D183" s="102" t="s">
        <v>10267</v>
      </c>
      <c r="E183" s="102" t="s">
        <v>8840</v>
      </c>
      <c r="F183" s="102"/>
      <c r="G183" s="102" t="s">
        <v>3403</v>
      </c>
      <c r="H183" s="102" t="s">
        <v>5180</v>
      </c>
      <c r="I183" s="102"/>
      <c r="J183" s="102"/>
      <c r="K183" s="102" t="s">
        <v>10268</v>
      </c>
      <c r="L183" s="102" t="s">
        <v>10269</v>
      </c>
      <c r="M183" s="102"/>
      <c r="N183" s="102"/>
      <c r="O183" s="102"/>
      <c r="P183" s="102"/>
      <c r="Q183" s="102"/>
      <c r="R183" s="102"/>
      <c r="S183" s="102" t="s">
        <v>183</v>
      </c>
      <c r="T183" s="102" t="s">
        <v>9</v>
      </c>
    </row>
    <row r="184" spans="1:20">
      <c r="A184" s="101" t="s">
        <v>3465</v>
      </c>
      <c r="B184" s="101" t="s">
        <v>3759</v>
      </c>
      <c r="C184" s="101">
        <v>2011</v>
      </c>
      <c r="D184" s="102" t="s">
        <v>10270</v>
      </c>
      <c r="E184" s="102" t="s">
        <v>1100</v>
      </c>
      <c r="F184" s="102"/>
      <c r="G184" s="102" t="s">
        <v>3403</v>
      </c>
      <c r="H184" s="102" t="s">
        <v>5180</v>
      </c>
      <c r="I184" s="102"/>
      <c r="J184" s="102"/>
      <c r="K184" s="102" t="s">
        <v>10271</v>
      </c>
      <c r="L184" s="102" t="s">
        <v>10272</v>
      </c>
      <c r="M184" s="102"/>
      <c r="N184" s="102"/>
      <c r="O184" s="102"/>
      <c r="P184" s="102"/>
      <c r="Q184" s="102"/>
      <c r="R184" s="102"/>
      <c r="S184" s="102" t="s">
        <v>183</v>
      </c>
      <c r="T184" s="102" t="s">
        <v>9</v>
      </c>
    </row>
    <row r="185" spans="1:20">
      <c r="A185" s="101" t="s">
        <v>3465</v>
      </c>
      <c r="B185" s="101" t="s">
        <v>3759</v>
      </c>
      <c r="C185" s="101">
        <v>2012</v>
      </c>
      <c r="D185" s="102" t="s">
        <v>10273</v>
      </c>
      <c r="E185" s="102" t="s">
        <v>1100</v>
      </c>
      <c r="F185" s="102"/>
      <c r="G185" s="102" t="s">
        <v>3403</v>
      </c>
      <c r="H185" s="102"/>
      <c r="I185" s="102"/>
      <c r="J185" s="102"/>
      <c r="K185" s="102" t="s">
        <v>10274</v>
      </c>
      <c r="L185" s="102"/>
      <c r="M185" s="102"/>
      <c r="N185" s="102"/>
      <c r="O185" s="102"/>
      <c r="P185" s="102"/>
      <c r="Q185" s="102"/>
      <c r="R185" s="102"/>
      <c r="S185" s="102" t="s">
        <v>17</v>
      </c>
      <c r="T185" s="102" t="s">
        <v>9</v>
      </c>
    </row>
    <row r="186" spans="1:20">
      <c r="A186" s="101" t="s">
        <v>3465</v>
      </c>
      <c r="B186" s="101" t="s">
        <v>3759</v>
      </c>
      <c r="C186" s="101">
        <v>2013</v>
      </c>
      <c r="D186" s="102" t="s">
        <v>10275</v>
      </c>
      <c r="E186" s="102" t="s">
        <v>1100</v>
      </c>
      <c r="F186" s="102"/>
      <c r="G186" s="102" t="s">
        <v>3403</v>
      </c>
      <c r="H186" s="102"/>
      <c r="I186" s="102"/>
      <c r="J186" s="102"/>
      <c r="K186" s="102" t="s">
        <v>4113</v>
      </c>
      <c r="L186" s="102" t="s">
        <v>10276</v>
      </c>
      <c r="M186" s="102" t="s">
        <v>10277</v>
      </c>
      <c r="N186" s="102" t="s">
        <v>10278</v>
      </c>
      <c r="O186" s="102"/>
      <c r="P186" s="102"/>
      <c r="Q186" s="102"/>
      <c r="R186" s="102"/>
      <c r="S186" s="102" t="s">
        <v>605</v>
      </c>
      <c r="T186" s="102" t="s">
        <v>9</v>
      </c>
    </row>
    <row r="187" spans="1:20">
      <c r="A187" s="101" t="s">
        <v>3465</v>
      </c>
      <c r="B187" s="101" t="s">
        <v>3759</v>
      </c>
      <c r="C187" s="101">
        <v>2014</v>
      </c>
      <c r="D187" s="102" t="s">
        <v>10279</v>
      </c>
      <c r="E187" s="102" t="s">
        <v>1100</v>
      </c>
      <c r="F187" s="102"/>
      <c r="G187" s="102" t="s">
        <v>3403</v>
      </c>
      <c r="H187" s="102"/>
      <c r="I187" s="102"/>
      <c r="J187" s="102"/>
      <c r="K187" s="102" t="s">
        <v>10280</v>
      </c>
      <c r="L187" s="102"/>
      <c r="M187" s="102"/>
      <c r="N187" s="102"/>
      <c r="O187" s="102"/>
      <c r="P187" s="102"/>
      <c r="Q187" s="102"/>
      <c r="R187" s="102"/>
      <c r="S187" s="102" t="s">
        <v>33</v>
      </c>
      <c r="T187" s="102" t="s">
        <v>9</v>
      </c>
    </row>
    <row r="188" spans="1:20">
      <c r="A188" s="101" t="s">
        <v>3465</v>
      </c>
      <c r="B188" s="101" t="s">
        <v>3759</v>
      </c>
      <c r="C188" s="101">
        <v>2015</v>
      </c>
      <c r="D188" s="102" t="s">
        <v>10281</v>
      </c>
      <c r="E188" s="102" t="s">
        <v>1101</v>
      </c>
      <c r="F188" s="102"/>
      <c r="G188" s="102" t="s">
        <v>3403</v>
      </c>
      <c r="H188" s="102"/>
      <c r="I188" s="102"/>
      <c r="J188" s="102"/>
      <c r="K188" s="102" t="s">
        <v>902</v>
      </c>
      <c r="L188" s="102" t="s">
        <v>10282</v>
      </c>
      <c r="M188" s="102"/>
      <c r="N188" s="102"/>
      <c r="O188" s="102"/>
      <c r="P188" s="102"/>
      <c r="Q188" s="102"/>
      <c r="R188" s="102"/>
      <c r="S188" s="102" t="s">
        <v>36</v>
      </c>
      <c r="T188" s="102" t="s">
        <v>9</v>
      </c>
    </row>
    <row r="189" spans="1:20">
      <c r="A189" s="101" t="s">
        <v>3465</v>
      </c>
      <c r="B189" s="101" t="s">
        <v>3759</v>
      </c>
      <c r="C189" s="101">
        <v>2016</v>
      </c>
      <c r="D189" s="102" t="s">
        <v>10283</v>
      </c>
      <c r="E189" s="102" t="s">
        <v>1102</v>
      </c>
      <c r="F189" s="102"/>
      <c r="G189" s="102" t="s">
        <v>3403</v>
      </c>
      <c r="H189" s="102"/>
      <c r="I189" s="102"/>
      <c r="J189" s="102"/>
      <c r="K189" s="102" t="s">
        <v>7010</v>
      </c>
      <c r="L189" s="102" t="s">
        <v>10284</v>
      </c>
      <c r="M189" s="102"/>
      <c r="N189" s="102"/>
      <c r="O189" s="102"/>
      <c r="P189" s="102"/>
      <c r="Q189" s="102"/>
      <c r="R189" s="102"/>
      <c r="S189" s="102" t="s">
        <v>31</v>
      </c>
      <c r="T189" s="102" t="s">
        <v>9</v>
      </c>
    </row>
    <row r="190" spans="1:20">
      <c r="A190" s="101" t="s">
        <v>3465</v>
      </c>
      <c r="B190" s="101" t="s">
        <v>3759</v>
      </c>
      <c r="C190" s="101">
        <v>2017</v>
      </c>
      <c r="D190" s="102" t="s">
        <v>10285</v>
      </c>
      <c r="E190" s="102" t="s">
        <v>1101</v>
      </c>
      <c r="F190" s="102"/>
      <c r="G190" s="102" t="s">
        <v>3403</v>
      </c>
      <c r="H190" s="102"/>
      <c r="I190" s="102"/>
      <c r="J190" s="102"/>
      <c r="K190" s="102" t="s">
        <v>10286</v>
      </c>
      <c r="L190" s="102" t="s">
        <v>10287</v>
      </c>
      <c r="M190" s="102"/>
      <c r="N190" s="102"/>
      <c r="O190" s="102"/>
      <c r="P190" s="102"/>
      <c r="Q190" s="102"/>
      <c r="R190" s="102"/>
      <c r="S190" s="102" t="s">
        <v>168</v>
      </c>
      <c r="T190" s="102" t="s">
        <v>9</v>
      </c>
    </row>
    <row r="191" spans="1:20">
      <c r="A191" s="101" t="s">
        <v>3465</v>
      </c>
      <c r="B191" s="101" t="s">
        <v>3759</v>
      </c>
      <c r="C191" s="101">
        <v>2018</v>
      </c>
      <c r="D191" s="102" t="s">
        <v>10288</v>
      </c>
      <c r="E191" s="102" t="s">
        <v>1102</v>
      </c>
      <c r="F191" s="102"/>
      <c r="G191" s="102" t="s">
        <v>3403</v>
      </c>
      <c r="H191" s="102"/>
      <c r="I191" s="102"/>
      <c r="J191" s="102"/>
      <c r="K191" s="102" t="s">
        <v>4374</v>
      </c>
      <c r="L191" s="102"/>
      <c r="M191" s="102"/>
      <c r="N191" s="102"/>
      <c r="O191" s="102"/>
      <c r="P191" s="102"/>
      <c r="Q191" s="102"/>
      <c r="R191" s="102"/>
      <c r="S191" s="102" t="s">
        <v>14</v>
      </c>
      <c r="T191" s="102" t="s">
        <v>9</v>
      </c>
    </row>
    <row r="192" spans="1:20">
      <c r="A192" s="101" t="s">
        <v>3465</v>
      </c>
      <c r="B192" s="101" t="s">
        <v>3759</v>
      </c>
      <c r="C192" s="101">
        <v>2019</v>
      </c>
      <c r="D192" s="102" t="s">
        <v>10289</v>
      </c>
      <c r="E192" s="102" t="s">
        <v>1101</v>
      </c>
      <c r="F192" s="102"/>
      <c r="G192" s="102" t="s">
        <v>3403</v>
      </c>
      <c r="H192" s="102"/>
      <c r="I192" s="102"/>
      <c r="J192" s="102"/>
      <c r="K192" s="102" t="s">
        <v>10290</v>
      </c>
      <c r="L192" s="102" t="s">
        <v>10291</v>
      </c>
      <c r="M192" s="102"/>
      <c r="N192" s="102"/>
      <c r="O192" s="102"/>
      <c r="P192" s="102"/>
      <c r="Q192" s="102"/>
      <c r="R192" s="102"/>
      <c r="S192" s="102" t="s">
        <v>46</v>
      </c>
      <c r="T192" s="102" t="s">
        <v>9</v>
      </c>
    </row>
    <row r="193" spans="1:20">
      <c r="A193" s="101" t="s">
        <v>3465</v>
      </c>
      <c r="B193" s="101" t="s">
        <v>3759</v>
      </c>
      <c r="C193" s="101">
        <v>2020</v>
      </c>
      <c r="D193" s="102" t="s">
        <v>10292</v>
      </c>
      <c r="E193" s="102" t="s">
        <v>1101</v>
      </c>
      <c r="F193" s="102"/>
      <c r="G193" s="102" t="s">
        <v>3403</v>
      </c>
      <c r="H193" s="102"/>
      <c r="I193" s="102"/>
      <c r="J193" s="102"/>
      <c r="K193" s="102" t="s">
        <v>10293</v>
      </c>
      <c r="L193" s="102"/>
      <c r="M193" s="102"/>
      <c r="N193" s="102"/>
      <c r="O193" s="102"/>
      <c r="P193" s="102"/>
      <c r="Q193" s="102"/>
      <c r="R193" s="102"/>
      <c r="S193" s="102" t="s">
        <v>180</v>
      </c>
      <c r="T193" s="102" t="s">
        <v>9</v>
      </c>
    </row>
    <row r="194" spans="1:20">
      <c r="A194" s="101" t="s">
        <v>3465</v>
      </c>
      <c r="B194" s="101" t="s">
        <v>3759</v>
      </c>
      <c r="C194" s="101">
        <v>2022</v>
      </c>
      <c r="D194" s="102" t="s">
        <v>10294</v>
      </c>
      <c r="E194" s="102" t="s">
        <v>1103</v>
      </c>
      <c r="F194" s="102"/>
      <c r="G194" s="102" t="s">
        <v>3403</v>
      </c>
      <c r="H194" s="102"/>
      <c r="I194" s="102"/>
      <c r="J194" s="102"/>
      <c r="K194" s="102" t="s">
        <v>10295</v>
      </c>
      <c r="L194" s="102"/>
      <c r="M194" s="102"/>
      <c r="N194" s="102"/>
      <c r="O194" s="102"/>
      <c r="P194" s="102"/>
      <c r="Q194" s="102"/>
      <c r="R194" s="102"/>
      <c r="S194" s="102" t="s">
        <v>30</v>
      </c>
      <c r="T194" s="102" t="s">
        <v>9</v>
      </c>
    </row>
    <row r="195" spans="1:20">
      <c r="A195" s="101" t="s">
        <v>3465</v>
      </c>
      <c r="B195" s="101" t="s">
        <v>3759</v>
      </c>
      <c r="C195" s="101">
        <v>2023</v>
      </c>
      <c r="D195" s="102" t="s">
        <v>10296</v>
      </c>
      <c r="E195" s="102" t="s">
        <v>1103</v>
      </c>
      <c r="F195" s="102"/>
      <c r="G195" s="102" t="s">
        <v>3403</v>
      </c>
      <c r="H195" s="102"/>
      <c r="I195" s="102"/>
      <c r="J195" s="102"/>
      <c r="K195" s="102" t="s">
        <v>10297</v>
      </c>
      <c r="L195" s="102" t="s">
        <v>10298</v>
      </c>
      <c r="M195" s="102"/>
      <c r="N195" s="102"/>
      <c r="O195" s="102"/>
      <c r="P195" s="102"/>
      <c r="Q195" s="102"/>
      <c r="R195" s="102"/>
      <c r="S195" s="102" t="s">
        <v>27</v>
      </c>
      <c r="T195" s="102" t="s">
        <v>9</v>
      </c>
    </row>
    <row r="196" spans="1:20">
      <c r="A196" s="101" t="s">
        <v>3465</v>
      </c>
      <c r="B196" s="101" t="s">
        <v>3759</v>
      </c>
      <c r="C196" s="101">
        <v>2024</v>
      </c>
      <c r="D196" s="102" t="s">
        <v>10299</v>
      </c>
      <c r="E196" s="102" t="s">
        <v>1104</v>
      </c>
      <c r="F196" s="102"/>
      <c r="G196" s="102" t="s">
        <v>3403</v>
      </c>
      <c r="H196" s="102"/>
      <c r="I196" s="102"/>
      <c r="J196" s="102"/>
      <c r="K196" s="102" t="s">
        <v>10300</v>
      </c>
      <c r="L196" s="102"/>
      <c r="M196" s="102"/>
      <c r="N196" s="102"/>
      <c r="O196" s="102"/>
      <c r="P196" s="102"/>
      <c r="Q196" s="102"/>
      <c r="R196" s="102"/>
      <c r="S196" s="102" t="s">
        <v>29</v>
      </c>
      <c r="T196" s="102" t="s">
        <v>9</v>
      </c>
    </row>
    <row r="197" spans="1:20">
      <c r="A197" s="101" t="s">
        <v>3465</v>
      </c>
      <c r="B197" s="101" t="s">
        <v>3759</v>
      </c>
      <c r="C197" s="101">
        <v>2025</v>
      </c>
      <c r="D197" s="102" t="s">
        <v>13431</v>
      </c>
      <c r="E197" s="102" t="s">
        <v>1103</v>
      </c>
      <c r="F197" s="102"/>
      <c r="G197" s="102" t="s">
        <v>3403</v>
      </c>
      <c r="H197" s="102"/>
      <c r="I197" s="102"/>
      <c r="J197" s="102"/>
      <c r="K197" s="102" t="s">
        <v>10301</v>
      </c>
      <c r="L197" s="102" t="s">
        <v>6370</v>
      </c>
      <c r="M197" s="102" t="s">
        <v>10302</v>
      </c>
      <c r="N197" s="102"/>
      <c r="O197" s="102"/>
      <c r="P197" s="102"/>
      <c r="Q197" s="102"/>
      <c r="R197" s="102"/>
      <c r="S197" s="102" t="s">
        <v>11</v>
      </c>
      <c r="T197" s="102" t="s">
        <v>9</v>
      </c>
    </row>
    <row r="198" spans="1:20">
      <c r="A198" s="101" t="s">
        <v>3465</v>
      </c>
      <c r="B198" s="101" t="s">
        <v>3759</v>
      </c>
      <c r="C198" s="101">
        <v>2026</v>
      </c>
      <c r="D198" s="102" t="s">
        <v>10303</v>
      </c>
      <c r="E198" s="102" t="s">
        <v>1103</v>
      </c>
      <c r="F198" s="102"/>
      <c r="G198" s="102" t="s">
        <v>3403</v>
      </c>
      <c r="H198" s="102"/>
      <c r="I198" s="102"/>
      <c r="J198" s="102"/>
      <c r="K198" s="102" t="s">
        <v>4113</v>
      </c>
      <c r="L198" s="102" t="s">
        <v>10304</v>
      </c>
      <c r="M198" s="102" t="s">
        <v>10305</v>
      </c>
      <c r="N198" s="102" t="s">
        <v>10306</v>
      </c>
      <c r="O198" s="102"/>
      <c r="P198" s="102"/>
      <c r="Q198" s="102"/>
      <c r="R198" s="102"/>
      <c r="S198" s="102" t="s">
        <v>177</v>
      </c>
      <c r="T198" s="102" t="s">
        <v>9</v>
      </c>
    </row>
    <row r="199" spans="1:20">
      <c r="A199" s="101" t="s">
        <v>3465</v>
      </c>
      <c r="B199" s="101" t="s">
        <v>3759</v>
      </c>
      <c r="C199" s="101">
        <v>2027</v>
      </c>
      <c r="D199" s="102" t="s">
        <v>10307</v>
      </c>
      <c r="E199" s="102" t="s">
        <v>1104</v>
      </c>
      <c r="F199" s="102"/>
      <c r="G199" s="102" t="s">
        <v>3403</v>
      </c>
      <c r="H199" s="102"/>
      <c r="I199" s="102"/>
      <c r="J199" s="102"/>
      <c r="K199" s="102" t="s">
        <v>8819</v>
      </c>
      <c r="L199" s="102" t="s">
        <v>10308</v>
      </c>
      <c r="M199" s="102"/>
      <c r="N199" s="102"/>
      <c r="O199" s="102"/>
      <c r="P199" s="102"/>
      <c r="Q199" s="102"/>
      <c r="R199" s="102"/>
      <c r="S199" s="102" t="s">
        <v>32</v>
      </c>
      <c r="T199" s="102" t="s">
        <v>9</v>
      </c>
    </row>
    <row r="200" spans="1:20">
      <c r="A200" s="101" t="s">
        <v>3465</v>
      </c>
      <c r="B200" s="101" t="s">
        <v>3759</v>
      </c>
      <c r="C200" s="101">
        <v>2028</v>
      </c>
      <c r="D200" s="102" t="s">
        <v>10309</v>
      </c>
      <c r="E200" s="102" t="s">
        <v>1248</v>
      </c>
      <c r="F200" s="102"/>
      <c r="G200" s="102" t="s">
        <v>3403</v>
      </c>
      <c r="H200" s="102"/>
      <c r="I200" s="102"/>
      <c r="J200" s="102"/>
      <c r="K200" s="102" t="s">
        <v>10310</v>
      </c>
      <c r="L200" s="102"/>
      <c r="M200" s="102"/>
      <c r="N200" s="102"/>
      <c r="O200" s="102"/>
      <c r="P200" s="102"/>
      <c r="Q200" s="102"/>
      <c r="R200" s="102"/>
      <c r="S200" s="102" t="s">
        <v>170</v>
      </c>
      <c r="T200" s="102" t="s">
        <v>9</v>
      </c>
    </row>
    <row r="201" spans="1:20">
      <c r="A201" s="101" t="s">
        <v>3465</v>
      </c>
      <c r="B201" s="101" t="s">
        <v>3759</v>
      </c>
      <c r="C201" s="101">
        <v>2029</v>
      </c>
      <c r="D201" s="102" t="s">
        <v>10311</v>
      </c>
      <c r="E201" s="102" t="s">
        <v>1248</v>
      </c>
      <c r="F201" s="102"/>
      <c r="G201" s="102" t="s">
        <v>3403</v>
      </c>
      <c r="H201" s="102"/>
      <c r="I201" s="102"/>
      <c r="J201" s="102"/>
      <c r="K201" s="102" t="s">
        <v>10312</v>
      </c>
      <c r="L201" s="102"/>
      <c r="M201" s="102"/>
      <c r="N201" s="102"/>
      <c r="O201" s="102"/>
      <c r="P201" s="102"/>
      <c r="Q201" s="102"/>
      <c r="R201" s="102"/>
      <c r="S201" s="102" t="s">
        <v>15</v>
      </c>
      <c r="T201" s="102" t="s">
        <v>9</v>
      </c>
    </row>
    <row r="202" spans="1:20">
      <c r="A202" s="101" t="s">
        <v>3465</v>
      </c>
      <c r="B202" s="101" t="s">
        <v>3759</v>
      </c>
      <c r="C202" s="101">
        <v>2030</v>
      </c>
      <c r="D202" s="102" t="s">
        <v>10313</v>
      </c>
      <c r="E202" s="102" t="s">
        <v>1248</v>
      </c>
      <c r="F202" s="102"/>
      <c r="G202" s="102" t="s">
        <v>3403</v>
      </c>
      <c r="H202" s="102"/>
      <c r="I202" s="102"/>
      <c r="J202" s="102"/>
      <c r="K202" s="102" t="s">
        <v>10314</v>
      </c>
      <c r="L202" s="102"/>
      <c r="M202" s="102"/>
      <c r="N202" s="102"/>
      <c r="O202" s="102"/>
      <c r="P202" s="102"/>
      <c r="Q202" s="102"/>
      <c r="R202" s="102"/>
      <c r="S202" s="102" t="s">
        <v>8</v>
      </c>
      <c r="T202" s="102" t="s">
        <v>9</v>
      </c>
    </row>
    <row r="203" spans="1:20">
      <c r="A203" s="101" t="s">
        <v>3465</v>
      </c>
      <c r="B203" s="101" t="s">
        <v>3759</v>
      </c>
      <c r="C203" s="101">
        <v>2031</v>
      </c>
      <c r="D203" s="102" t="s">
        <v>10315</v>
      </c>
      <c r="E203" s="102" t="s">
        <v>1251</v>
      </c>
      <c r="F203" s="102"/>
      <c r="G203" s="102" t="s">
        <v>3403</v>
      </c>
      <c r="H203" s="102"/>
      <c r="I203" s="102"/>
      <c r="J203" s="102"/>
      <c r="K203" s="102" t="s">
        <v>10316</v>
      </c>
      <c r="L203" s="102" t="s">
        <v>10317</v>
      </c>
      <c r="M203" s="102"/>
      <c r="N203" s="102"/>
      <c r="O203" s="102"/>
      <c r="P203" s="102"/>
      <c r="Q203" s="102"/>
      <c r="R203" s="102"/>
      <c r="S203" s="102" t="s">
        <v>49</v>
      </c>
      <c r="T203" s="102" t="s">
        <v>9</v>
      </c>
    </row>
    <row r="204" spans="1:20">
      <c r="A204" s="101" t="s">
        <v>3465</v>
      </c>
      <c r="B204" s="101" t="s">
        <v>3759</v>
      </c>
      <c r="C204" s="101">
        <v>2032</v>
      </c>
      <c r="D204" s="102" t="s">
        <v>10318</v>
      </c>
      <c r="E204" s="102" t="s">
        <v>10025</v>
      </c>
      <c r="F204" s="102"/>
      <c r="G204" s="102" t="s">
        <v>3403</v>
      </c>
      <c r="H204" s="102"/>
      <c r="I204" s="102"/>
      <c r="J204" s="102"/>
      <c r="K204" s="102" t="s">
        <v>10319</v>
      </c>
      <c r="L204" s="102"/>
      <c r="M204" s="102"/>
      <c r="N204" s="102"/>
      <c r="O204" s="102"/>
      <c r="P204" s="102"/>
      <c r="Q204" s="102"/>
      <c r="R204" s="102"/>
      <c r="S204" s="102" t="s">
        <v>40</v>
      </c>
      <c r="T204" s="102" t="s">
        <v>9</v>
      </c>
    </row>
    <row r="205" spans="1:20">
      <c r="A205" s="101" t="s">
        <v>4768</v>
      </c>
      <c r="B205" s="101" t="s">
        <v>3759</v>
      </c>
      <c r="C205" s="101">
        <v>3021</v>
      </c>
      <c r="D205" s="102" t="s">
        <v>10320</v>
      </c>
      <c r="E205" s="102" t="s">
        <v>10321</v>
      </c>
      <c r="F205" s="102"/>
      <c r="G205" s="102" t="s">
        <v>3403</v>
      </c>
      <c r="H205" s="102"/>
      <c r="I205" s="102"/>
      <c r="J205" s="102"/>
      <c r="K205" s="102" t="s">
        <v>1232</v>
      </c>
      <c r="L205" s="102" t="s">
        <v>10322</v>
      </c>
      <c r="M205" s="102"/>
      <c r="N205" s="102"/>
      <c r="O205" s="102"/>
      <c r="P205" s="102"/>
      <c r="Q205" s="102"/>
      <c r="R205" s="102"/>
      <c r="S205" s="102" t="s">
        <v>38</v>
      </c>
      <c r="T205" s="102" t="s">
        <v>41</v>
      </c>
    </row>
    <row r="206" spans="1:20">
      <c r="A206" s="101" t="s">
        <v>4053</v>
      </c>
      <c r="B206" s="101" t="s">
        <v>3759</v>
      </c>
      <c r="C206" s="101">
        <v>4003</v>
      </c>
      <c r="D206" s="102" t="s">
        <v>10249</v>
      </c>
      <c r="E206" s="102" t="s">
        <v>1099</v>
      </c>
      <c r="F206" s="102"/>
      <c r="G206" s="102" t="s">
        <v>3403</v>
      </c>
      <c r="H206" s="102"/>
      <c r="I206" s="102"/>
      <c r="J206" s="102"/>
      <c r="K206" s="102" t="s">
        <v>6078</v>
      </c>
      <c r="L206" s="102"/>
      <c r="M206" s="102"/>
      <c r="N206" s="102"/>
      <c r="O206" s="102"/>
      <c r="P206" s="102"/>
      <c r="Q206" s="102"/>
      <c r="R206" s="102"/>
      <c r="S206" s="102" t="s">
        <v>3999</v>
      </c>
      <c r="T206" s="102" t="s">
        <v>4000</v>
      </c>
    </row>
    <row r="207" spans="1:20">
      <c r="A207" s="101" t="s">
        <v>4053</v>
      </c>
      <c r="B207" s="101" t="s">
        <v>3759</v>
      </c>
      <c r="C207" s="101">
        <v>4006</v>
      </c>
      <c r="D207" s="102" t="s">
        <v>10250</v>
      </c>
      <c r="E207" s="102" t="s">
        <v>1099</v>
      </c>
      <c r="F207" s="102"/>
      <c r="G207" s="102" t="s">
        <v>3403</v>
      </c>
      <c r="H207" s="102"/>
      <c r="I207" s="102"/>
      <c r="J207" s="102"/>
      <c r="K207" s="102" t="s">
        <v>4113</v>
      </c>
      <c r="L207" s="102" t="s">
        <v>4403</v>
      </c>
      <c r="M207" s="102" t="s">
        <v>7149</v>
      </c>
      <c r="N207" s="102" t="s">
        <v>10251</v>
      </c>
      <c r="O207" s="102"/>
      <c r="P207" s="102"/>
      <c r="Q207" s="102"/>
      <c r="R207" s="102"/>
      <c r="S207" s="102" t="s">
        <v>3999</v>
      </c>
      <c r="T207" s="102" t="s">
        <v>4000</v>
      </c>
    </row>
    <row r="208" spans="1:20">
      <c r="C208" s="101" t="s">
        <v>3456</v>
      </c>
    </row>
    <row r="209" spans="1:20">
      <c r="A209" t="s">
        <v>3498</v>
      </c>
      <c r="B209" t="s">
        <v>3758</v>
      </c>
      <c r="C209" s="101">
        <v>1</v>
      </c>
      <c r="D209" t="s">
        <v>8978</v>
      </c>
      <c r="E209" t="s">
        <v>1099</v>
      </c>
      <c r="G209" t="s">
        <v>3399</v>
      </c>
      <c r="K209" t="s">
        <v>8979</v>
      </c>
      <c r="S209" t="s">
        <v>49</v>
      </c>
      <c r="T209" t="s">
        <v>4</v>
      </c>
    </row>
    <row r="210" spans="1:20">
      <c r="A210" t="s">
        <v>3498</v>
      </c>
      <c r="B210" t="s">
        <v>3758</v>
      </c>
      <c r="C210" s="101">
        <v>2</v>
      </c>
      <c r="D210" t="s">
        <v>8980</v>
      </c>
      <c r="E210" t="s">
        <v>1099</v>
      </c>
      <c r="G210" t="s">
        <v>3399</v>
      </c>
      <c r="K210" t="s">
        <v>8981</v>
      </c>
      <c r="L210" t="s">
        <v>6410</v>
      </c>
      <c r="S210" t="s">
        <v>5381</v>
      </c>
      <c r="T210" t="s">
        <v>4</v>
      </c>
    </row>
    <row r="211" spans="1:20">
      <c r="A211" t="s">
        <v>3498</v>
      </c>
      <c r="B211" t="s">
        <v>3758</v>
      </c>
      <c r="C211" s="101">
        <v>3</v>
      </c>
      <c r="D211" t="s">
        <v>8982</v>
      </c>
      <c r="E211" t="s">
        <v>1099</v>
      </c>
      <c r="G211" t="s">
        <v>3399</v>
      </c>
      <c r="K211" t="s">
        <v>4113</v>
      </c>
      <c r="L211" t="s">
        <v>4278</v>
      </c>
      <c r="M211" t="s">
        <v>8983</v>
      </c>
      <c r="S211" t="s">
        <v>45</v>
      </c>
      <c r="T211" t="s">
        <v>4</v>
      </c>
    </row>
    <row r="212" spans="1:20">
      <c r="A212" t="s">
        <v>3498</v>
      </c>
      <c r="B212" t="s">
        <v>3758</v>
      </c>
      <c r="C212" s="101">
        <v>4</v>
      </c>
      <c r="D212" t="s">
        <v>8984</v>
      </c>
      <c r="E212" t="s">
        <v>1099</v>
      </c>
      <c r="G212" t="s">
        <v>3399</v>
      </c>
      <c r="K212" t="s">
        <v>8985</v>
      </c>
      <c r="L212" t="s">
        <v>3768</v>
      </c>
      <c r="S212" t="s">
        <v>170</v>
      </c>
      <c r="T212" t="s">
        <v>4</v>
      </c>
    </row>
    <row r="213" spans="1:20">
      <c r="A213" t="s">
        <v>3498</v>
      </c>
      <c r="B213" t="s">
        <v>3758</v>
      </c>
      <c r="C213" s="101">
        <v>5</v>
      </c>
      <c r="D213" t="s">
        <v>8986</v>
      </c>
      <c r="E213" t="s">
        <v>1099</v>
      </c>
      <c r="G213" t="s">
        <v>3399</v>
      </c>
      <c r="K213" t="s">
        <v>8819</v>
      </c>
      <c r="S213" t="s">
        <v>171</v>
      </c>
      <c r="T213" t="s">
        <v>4</v>
      </c>
    </row>
    <row r="214" spans="1:20">
      <c r="A214" t="s">
        <v>3498</v>
      </c>
      <c r="B214" t="s">
        <v>3758</v>
      </c>
      <c r="C214" s="101">
        <v>6</v>
      </c>
      <c r="D214" t="s">
        <v>8987</v>
      </c>
      <c r="E214" t="s">
        <v>1099</v>
      </c>
      <c r="G214" t="s">
        <v>3399</v>
      </c>
      <c r="K214" t="s">
        <v>8859</v>
      </c>
      <c r="L214" t="s">
        <v>8874</v>
      </c>
      <c r="S214" t="s">
        <v>28</v>
      </c>
      <c r="T214" t="s">
        <v>4</v>
      </c>
    </row>
    <row r="215" spans="1:20">
      <c r="A215" t="s">
        <v>3498</v>
      </c>
      <c r="B215" t="s">
        <v>3758</v>
      </c>
      <c r="C215" s="101">
        <v>7</v>
      </c>
      <c r="D215" t="s">
        <v>8988</v>
      </c>
      <c r="E215" t="s">
        <v>1099</v>
      </c>
      <c r="G215" t="s">
        <v>3399</v>
      </c>
      <c r="K215" t="s">
        <v>8989</v>
      </c>
      <c r="S215" t="s">
        <v>176</v>
      </c>
      <c r="T215" t="s">
        <v>4</v>
      </c>
    </row>
    <row r="216" spans="1:20">
      <c r="A216" t="s">
        <v>3498</v>
      </c>
      <c r="B216" t="s">
        <v>3758</v>
      </c>
      <c r="C216" s="101">
        <v>8</v>
      </c>
      <c r="D216" t="s">
        <v>8990</v>
      </c>
      <c r="E216" t="s">
        <v>1099</v>
      </c>
      <c r="G216" t="s">
        <v>3399</v>
      </c>
      <c r="K216" t="s">
        <v>8991</v>
      </c>
      <c r="S216" t="s">
        <v>183</v>
      </c>
      <c r="T216" t="s">
        <v>4</v>
      </c>
    </row>
    <row r="217" spans="1:20">
      <c r="A217" t="s">
        <v>3498</v>
      </c>
      <c r="B217" t="s">
        <v>3758</v>
      </c>
      <c r="C217" s="101">
        <v>9</v>
      </c>
      <c r="D217" t="s">
        <v>8992</v>
      </c>
      <c r="E217" t="s">
        <v>1099</v>
      </c>
      <c r="G217" t="s">
        <v>3399</v>
      </c>
      <c r="K217" t="s">
        <v>8993</v>
      </c>
      <c r="L217" t="s">
        <v>8866</v>
      </c>
      <c r="S217" t="s">
        <v>45</v>
      </c>
      <c r="T217" t="s">
        <v>4</v>
      </c>
    </row>
    <row r="218" spans="1:20">
      <c r="A218" t="s">
        <v>3498</v>
      </c>
      <c r="B218" t="s">
        <v>3758</v>
      </c>
      <c r="C218" s="101">
        <v>10</v>
      </c>
      <c r="D218" t="s">
        <v>8994</v>
      </c>
      <c r="E218" t="s">
        <v>1099</v>
      </c>
      <c r="G218" t="s">
        <v>3399</v>
      </c>
      <c r="K218" t="s">
        <v>8995</v>
      </c>
      <c r="S218" t="s">
        <v>5685</v>
      </c>
      <c r="T218" t="s">
        <v>4</v>
      </c>
    </row>
    <row r="219" spans="1:20">
      <c r="A219" t="s">
        <v>3498</v>
      </c>
      <c r="B219" t="s">
        <v>3758</v>
      </c>
      <c r="C219" s="101">
        <v>11</v>
      </c>
      <c r="D219" t="s">
        <v>8996</v>
      </c>
      <c r="E219" t="s">
        <v>1099</v>
      </c>
      <c r="G219" t="s">
        <v>3399</v>
      </c>
      <c r="K219" t="s">
        <v>8997</v>
      </c>
      <c r="S219" t="s">
        <v>5719</v>
      </c>
      <c r="T219" t="s">
        <v>4</v>
      </c>
    </row>
    <row r="220" spans="1:20">
      <c r="A220" t="s">
        <v>3498</v>
      </c>
      <c r="B220" t="s">
        <v>3758</v>
      </c>
      <c r="C220" s="101">
        <v>12</v>
      </c>
      <c r="D220" t="s">
        <v>8998</v>
      </c>
      <c r="E220" t="s">
        <v>8750</v>
      </c>
      <c r="G220" t="s">
        <v>3399</v>
      </c>
      <c r="K220" t="s">
        <v>8999</v>
      </c>
      <c r="S220" t="s">
        <v>183</v>
      </c>
      <c r="T220" t="s">
        <v>4</v>
      </c>
    </row>
    <row r="221" spans="1:20">
      <c r="A221" t="s">
        <v>3498</v>
      </c>
      <c r="B221" t="s">
        <v>3758</v>
      </c>
      <c r="C221" s="101">
        <v>13</v>
      </c>
      <c r="D221" t="s">
        <v>9000</v>
      </c>
      <c r="E221" t="s">
        <v>1099</v>
      </c>
      <c r="G221" t="s">
        <v>3399</v>
      </c>
      <c r="K221" t="s">
        <v>8819</v>
      </c>
      <c r="S221" t="s">
        <v>181</v>
      </c>
      <c r="T221" t="s">
        <v>4</v>
      </c>
    </row>
    <row r="222" spans="1:20">
      <c r="A222" t="s">
        <v>3498</v>
      </c>
      <c r="B222" t="s">
        <v>3758</v>
      </c>
      <c r="C222" s="101">
        <v>14</v>
      </c>
      <c r="D222" t="s">
        <v>9001</v>
      </c>
      <c r="E222" t="s">
        <v>1099</v>
      </c>
      <c r="G222" t="s">
        <v>3399</v>
      </c>
      <c r="K222" t="s">
        <v>4113</v>
      </c>
      <c r="L222" t="s">
        <v>5075</v>
      </c>
      <c r="M222" t="s">
        <v>9002</v>
      </c>
      <c r="S222" t="s">
        <v>30</v>
      </c>
      <c r="T222" t="s">
        <v>4</v>
      </c>
    </row>
    <row r="223" spans="1:20">
      <c r="A223" t="s">
        <v>3498</v>
      </c>
      <c r="B223" t="s">
        <v>3758</v>
      </c>
      <c r="C223" s="101">
        <v>15</v>
      </c>
      <c r="D223" t="s">
        <v>9003</v>
      </c>
      <c r="E223" t="s">
        <v>1099</v>
      </c>
      <c r="G223" t="s">
        <v>3399</v>
      </c>
      <c r="K223" t="s">
        <v>9004</v>
      </c>
      <c r="S223" t="s">
        <v>604</v>
      </c>
      <c r="T223" t="s">
        <v>4</v>
      </c>
    </row>
    <row r="224" spans="1:20">
      <c r="A224" t="s">
        <v>3498</v>
      </c>
      <c r="B224" t="s">
        <v>3758</v>
      </c>
      <c r="C224" s="101">
        <v>16</v>
      </c>
      <c r="D224" t="s">
        <v>9005</v>
      </c>
      <c r="E224" t="s">
        <v>1099</v>
      </c>
      <c r="G224" t="s">
        <v>3399</v>
      </c>
      <c r="K224" t="s">
        <v>9006</v>
      </c>
      <c r="L224" t="s">
        <v>9007</v>
      </c>
      <c r="S224" t="s">
        <v>31</v>
      </c>
      <c r="T224" t="s">
        <v>4</v>
      </c>
    </row>
    <row r="225" spans="1:20">
      <c r="A225" t="s">
        <v>3498</v>
      </c>
      <c r="B225" t="s">
        <v>3758</v>
      </c>
      <c r="C225" s="101">
        <v>17</v>
      </c>
      <c r="D225" t="s">
        <v>9008</v>
      </c>
      <c r="E225" t="s">
        <v>1099</v>
      </c>
      <c r="G225" t="s">
        <v>3447</v>
      </c>
      <c r="H225" t="s">
        <v>13403</v>
      </c>
      <c r="K225" t="s">
        <v>9009</v>
      </c>
      <c r="S225" t="s">
        <v>5281</v>
      </c>
      <c r="T225" t="s">
        <v>4</v>
      </c>
    </row>
    <row r="226" spans="1:20">
      <c r="A226" t="s">
        <v>3498</v>
      </c>
      <c r="B226" t="s">
        <v>3758</v>
      </c>
      <c r="C226" s="101">
        <v>18</v>
      </c>
      <c r="D226" t="s">
        <v>9010</v>
      </c>
      <c r="E226" t="s">
        <v>1099</v>
      </c>
      <c r="G226" t="s">
        <v>3399</v>
      </c>
      <c r="K226" t="s">
        <v>9011</v>
      </c>
      <c r="S226" t="s">
        <v>18</v>
      </c>
      <c r="T226" t="s">
        <v>4</v>
      </c>
    </row>
    <row r="227" spans="1:20">
      <c r="A227" t="s">
        <v>3498</v>
      </c>
      <c r="B227" t="s">
        <v>3758</v>
      </c>
      <c r="C227" s="101">
        <v>19</v>
      </c>
      <c r="D227" t="s">
        <v>9012</v>
      </c>
      <c r="E227" t="s">
        <v>1099</v>
      </c>
      <c r="G227" t="s">
        <v>3399</v>
      </c>
      <c r="K227" t="s">
        <v>9013</v>
      </c>
      <c r="S227" t="s">
        <v>174</v>
      </c>
      <c r="T227" t="s">
        <v>4</v>
      </c>
    </row>
    <row r="228" spans="1:20">
      <c r="A228" t="s">
        <v>3498</v>
      </c>
      <c r="B228" t="s">
        <v>3758</v>
      </c>
      <c r="C228" s="101">
        <v>20</v>
      </c>
      <c r="D228" t="s">
        <v>9014</v>
      </c>
      <c r="E228" t="s">
        <v>1099</v>
      </c>
      <c r="G228" t="s">
        <v>3399</v>
      </c>
      <c r="K228" t="s">
        <v>8981</v>
      </c>
      <c r="L228" t="s">
        <v>6370</v>
      </c>
      <c r="M228" t="s">
        <v>9015</v>
      </c>
      <c r="S228" t="s">
        <v>11</v>
      </c>
      <c r="T228" t="s">
        <v>4</v>
      </c>
    </row>
    <row r="229" spans="1:20">
      <c r="A229" t="s">
        <v>3498</v>
      </c>
      <c r="B229" t="s">
        <v>3758</v>
      </c>
      <c r="C229" s="101">
        <v>21</v>
      </c>
      <c r="D229" t="s">
        <v>9016</v>
      </c>
      <c r="E229" t="s">
        <v>1099</v>
      </c>
      <c r="G229" t="s">
        <v>3399</v>
      </c>
      <c r="K229" t="s">
        <v>9017</v>
      </c>
      <c r="S229" t="s">
        <v>46</v>
      </c>
      <c r="T229" t="s">
        <v>4</v>
      </c>
    </row>
    <row r="230" spans="1:20">
      <c r="A230" t="s">
        <v>3498</v>
      </c>
      <c r="B230" t="s">
        <v>3758</v>
      </c>
      <c r="C230" s="101">
        <v>22</v>
      </c>
      <c r="D230" t="s">
        <v>9018</v>
      </c>
      <c r="E230" t="s">
        <v>1100</v>
      </c>
      <c r="G230" t="s">
        <v>3399</v>
      </c>
      <c r="K230" t="s">
        <v>9019</v>
      </c>
      <c r="S230" t="s">
        <v>3119</v>
      </c>
      <c r="T230" t="s">
        <v>4</v>
      </c>
    </row>
    <row r="231" spans="1:20">
      <c r="A231" t="s">
        <v>3498</v>
      </c>
      <c r="B231" t="s">
        <v>3758</v>
      </c>
      <c r="C231" s="101">
        <v>23</v>
      </c>
      <c r="D231" t="s">
        <v>9020</v>
      </c>
      <c r="E231" t="s">
        <v>1100</v>
      </c>
      <c r="G231" t="s">
        <v>3399</v>
      </c>
      <c r="K231" t="s">
        <v>9021</v>
      </c>
      <c r="S231" t="s">
        <v>182</v>
      </c>
      <c r="T231" t="s">
        <v>4</v>
      </c>
    </row>
    <row r="232" spans="1:20">
      <c r="A232" t="s">
        <v>3498</v>
      </c>
      <c r="B232" t="s">
        <v>3758</v>
      </c>
      <c r="C232" s="101">
        <v>24</v>
      </c>
      <c r="D232" t="s">
        <v>9022</v>
      </c>
      <c r="E232" t="s">
        <v>1100</v>
      </c>
      <c r="G232" t="s">
        <v>3399</v>
      </c>
      <c r="K232" t="s">
        <v>7362</v>
      </c>
      <c r="L232" t="s">
        <v>8981</v>
      </c>
      <c r="S232" t="s">
        <v>49</v>
      </c>
      <c r="T232" t="s">
        <v>4</v>
      </c>
    </row>
    <row r="233" spans="1:20">
      <c r="A233" t="s">
        <v>3498</v>
      </c>
      <c r="B233" t="s">
        <v>3758</v>
      </c>
      <c r="C233" s="101">
        <v>25</v>
      </c>
      <c r="D233" t="s">
        <v>9023</v>
      </c>
      <c r="E233" t="s">
        <v>1100</v>
      </c>
      <c r="G233" t="s">
        <v>3399</v>
      </c>
      <c r="K233" t="s">
        <v>9024</v>
      </c>
      <c r="S233" t="s">
        <v>26</v>
      </c>
      <c r="T233" t="s">
        <v>4</v>
      </c>
    </row>
    <row r="234" spans="1:20">
      <c r="A234" t="s">
        <v>3498</v>
      </c>
      <c r="B234" t="s">
        <v>3758</v>
      </c>
      <c r="C234" s="101">
        <v>26</v>
      </c>
      <c r="D234" t="s">
        <v>9025</v>
      </c>
      <c r="E234" t="s">
        <v>1100</v>
      </c>
      <c r="G234" t="s">
        <v>3399</v>
      </c>
      <c r="K234" t="s">
        <v>8908</v>
      </c>
      <c r="S234" t="s">
        <v>48</v>
      </c>
      <c r="T234" t="s">
        <v>4</v>
      </c>
    </row>
    <row r="235" spans="1:20">
      <c r="A235" t="s">
        <v>3498</v>
      </c>
      <c r="B235" t="s">
        <v>3758</v>
      </c>
      <c r="C235" s="101">
        <v>27</v>
      </c>
      <c r="D235" t="s">
        <v>9026</v>
      </c>
      <c r="E235" t="s">
        <v>1181</v>
      </c>
      <c r="G235" t="s">
        <v>3399</v>
      </c>
      <c r="K235" t="s">
        <v>9027</v>
      </c>
      <c r="S235" t="s">
        <v>172</v>
      </c>
      <c r="T235" t="s">
        <v>4</v>
      </c>
    </row>
    <row r="236" spans="1:20">
      <c r="A236" t="s">
        <v>3498</v>
      </c>
      <c r="B236" t="s">
        <v>3758</v>
      </c>
      <c r="C236" s="101">
        <v>28</v>
      </c>
      <c r="D236" t="s">
        <v>9028</v>
      </c>
      <c r="E236" t="s">
        <v>1100</v>
      </c>
      <c r="G236" t="s">
        <v>3399</v>
      </c>
      <c r="K236" t="s">
        <v>9029</v>
      </c>
      <c r="S236" t="s">
        <v>5685</v>
      </c>
      <c r="T236" t="s">
        <v>4</v>
      </c>
    </row>
    <row r="237" spans="1:20">
      <c r="A237" t="s">
        <v>3498</v>
      </c>
      <c r="B237" t="s">
        <v>3758</v>
      </c>
      <c r="C237" s="101">
        <v>29</v>
      </c>
      <c r="D237" t="s">
        <v>9030</v>
      </c>
      <c r="E237" t="s">
        <v>1100</v>
      </c>
      <c r="G237" t="s">
        <v>3399</v>
      </c>
      <c r="K237" t="s">
        <v>9031</v>
      </c>
      <c r="L237" t="s">
        <v>9032</v>
      </c>
      <c r="S237" t="s">
        <v>3747</v>
      </c>
      <c r="T237" t="s">
        <v>4</v>
      </c>
    </row>
    <row r="238" spans="1:20">
      <c r="A238" t="s">
        <v>3498</v>
      </c>
      <c r="B238" t="s">
        <v>3758</v>
      </c>
      <c r="C238" s="101">
        <v>30</v>
      </c>
      <c r="D238" t="s">
        <v>9033</v>
      </c>
      <c r="E238" t="s">
        <v>1100</v>
      </c>
      <c r="G238" t="s">
        <v>3399</v>
      </c>
      <c r="K238" t="s">
        <v>9034</v>
      </c>
      <c r="S238" t="s">
        <v>39</v>
      </c>
      <c r="T238" t="s">
        <v>4</v>
      </c>
    </row>
    <row r="239" spans="1:20">
      <c r="A239" t="s">
        <v>3498</v>
      </c>
      <c r="B239" t="s">
        <v>3758</v>
      </c>
      <c r="C239" s="101">
        <v>31</v>
      </c>
      <c r="D239" t="s">
        <v>9035</v>
      </c>
      <c r="E239" t="s">
        <v>1181</v>
      </c>
      <c r="G239" t="s">
        <v>3399</v>
      </c>
      <c r="K239" t="s">
        <v>5060</v>
      </c>
      <c r="S239" t="s">
        <v>168</v>
      </c>
      <c r="T239" t="s">
        <v>4</v>
      </c>
    </row>
    <row r="240" spans="1:20">
      <c r="A240" t="s">
        <v>3498</v>
      </c>
      <c r="B240" t="s">
        <v>3758</v>
      </c>
      <c r="C240" s="101">
        <v>32</v>
      </c>
      <c r="D240" t="s">
        <v>9036</v>
      </c>
      <c r="E240" t="s">
        <v>1100</v>
      </c>
      <c r="G240" t="s">
        <v>3399</v>
      </c>
      <c r="K240" t="s">
        <v>9037</v>
      </c>
      <c r="S240" t="s">
        <v>5381</v>
      </c>
      <c r="T240" t="s">
        <v>4</v>
      </c>
    </row>
    <row r="241" spans="1:20">
      <c r="A241" t="s">
        <v>3498</v>
      </c>
      <c r="B241" t="s">
        <v>3758</v>
      </c>
      <c r="C241" s="101">
        <v>33</v>
      </c>
      <c r="D241" t="s">
        <v>9038</v>
      </c>
      <c r="E241" t="s">
        <v>1100</v>
      </c>
      <c r="G241" t="s">
        <v>3399</v>
      </c>
      <c r="K241" t="s">
        <v>9039</v>
      </c>
      <c r="S241" t="s">
        <v>50</v>
      </c>
      <c r="T241" t="s">
        <v>4</v>
      </c>
    </row>
    <row r="242" spans="1:20">
      <c r="A242" t="s">
        <v>3498</v>
      </c>
      <c r="B242" t="s">
        <v>3758</v>
      </c>
      <c r="C242" s="101">
        <v>34</v>
      </c>
      <c r="D242" t="s">
        <v>9040</v>
      </c>
      <c r="E242" t="s">
        <v>1100</v>
      </c>
      <c r="G242" t="s">
        <v>3399</v>
      </c>
      <c r="K242" t="s">
        <v>5068</v>
      </c>
      <c r="S242" t="s">
        <v>35</v>
      </c>
      <c r="T242" t="s">
        <v>4</v>
      </c>
    </row>
    <row r="243" spans="1:20">
      <c r="A243" t="s">
        <v>3498</v>
      </c>
      <c r="B243" t="s">
        <v>3758</v>
      </c>
      <c r="C243" s="101">
        <v>35</v>
      </c>
      <c r="D243" t="s">
        <v>9041</v>
      </c>
      <c r="E243" t="s">
        <v>9042</v>
      </c>
      <c r="G243" t="s">
        <v>3399</v>
      </c>
      <c r="K243" t="s">
        <v>9043</v>
      </c>
      <c r="L243" t="s">
        <v>9044</v>
      </c>
      <c r="S243" t="s">
        <v>168</v>
      </c>
      <c r="T243" t="s">
        <v>4</v>
      </c>
    </row>
    <row r="244" spans="1:20">
      <c r="A244" t="s">
        <v>3498</v>
      </c>
      <c r="B244" t="s">
        <v>3758</v>
      </c>
      <c r="C244" s="101">
        <v>36</v>
      </c>
      <c r="D244" t="s">
        <v>9045</v>
      </c>
      <c r="E244" t="s">
        <v>1181</v>
      </c>
      <c r="G244" t="s">
        <v>3399</v>
      </c>
      <c r="K244" t="s">
        <v>9046</v>
      </c>
      <c r="S244" t="s">
        <v>182</v>
      </c>
      <c r="T244" t="s">
        <v>4</v>
      </c>
    </row>
    <row r="245" spans="1:20">
      <c r="A245" t="s">
        <v>3498</v>
      </c>
      <c r="B245" t="s">
        <v>3758</v>
      </c>
      <c r="C245" s="101">
        <v>37</v>
      </c>
      <c r="D245" t="s">
        <v>9047</v>
      </c>
      <c r="E245" t="s">
        <v>1100</v>
      </c>
      <c r="G245" t="s">
        <v>3399</v>
      </c>
      <c r="K245" t="s">
        <v>9048</v>
      </c>
      <c r="S245" t="s">
        <v>32</v>
      </c>
      <c r="T245" t="s">
        <v>4</v>
      </c>
    </row>
    <row r="246" spans="1:20">
      <c r="A246" t="s">
        <v>3498</v>
      </c>
      <c r="B246" t="s">
        <v>3758</v>
      </c>
      <c r="C246" s="101">
        <v>38</v>
      </c>
      <c r="D246" t="s">
        <v>9049</v>
      </c>
      <c r="E246" t="s">
        <v>1100</v>
      </c>
      <c r="G246" t="s">
        <v>3399</v>
      </c>
      <c r="K246" t="s">
        <v>5057</v>
      </c>
      <c r="S246" t="s">
        <v>177</v>
      </c>
      <c r="T246" t="s">
        <v>4</v>
      </c>
    </row>
    <row r="247" spans="1:20">
      <c r="A247" t="s">
        <v>3498</v>
      </c>
      <c r="B247" t="s">
        <v>3758</v>
      </c>
      <c r="C247" s="101">
        <v>39</v>
      </c>
      <c r="D247" t="s">
        <v>9050</v>
      </c>
      <c r="E247" t="s">
        <v>1100</v>
      </c>
      <c r="G247" t="s">
        <v>3399</v>
      </c>
      <c r="K247" t="s">
        <v>9051</v>
      </c>
      <c r="L247" t="s">
        <v>4195</v>
      </c>
      <c r="S247" t="s">
        <v>3747</v>
      </c>
      <c r="T247" t="s">
        <v>4</v>
      </c>
    </row>
    <row r="248" spans="1:20">
      <c r="A248" t="s">
        <v>3498</v>
      </c>
      <c r="B248" t="s">
        <v>3758</v>
      </c>
      <c r="C248" s="101">
        <v>40</v>
      </c>
      <c r="D248" t="s">
        <v>9052</v>
      </c>
      <c r="E248" t="s">
        <v>1100</v>
      </c>
      <c r="G248" t="s">
        <v>3399</v>
      </c>
      <c r="K248" t="s">
        <v>9053</v>
      </c>
      <c r="S248" t="s">
        <v>5381</v>
      </c>
      <c r="T248" t="s">
        <v>4</v>
      </c>
    </row>
    <row r="249" spans="1:20">
      <c r="A249" t="s">
        <v>3498</v>
      </c>
      <c r="B249" t="s">
        <v>3758</v>
      </c>
      <c r="C249" s="101">
        <v>41</v>
      </c>
      <c r="D249" t="s">
        <v>9054</v>
      </c>
      <c r="E249" t="s">
        <v>1100</v>
      </c>
      <c r="G249" t="s">
        <v>3399</v>
      </c>
      <c r="K249" t="s">
        <v>9021</v>
      </c>
      <c r="S249" t="s">
        <v>180</v>
      </c>
      <c r="T249" t="s">
        <v>4</v>
      </c>
    </row>
    <row r="250" spans="1:20">
      <c r="A250" t="s">
        <v>3498</v>
      </c>
      <c r="B250" t="s">
        <v>3758</v>
      </c>
      <c r="C250" s="101">
        <v>42</v>
      </c>
      <c r="D250" t="s">
        <v>9055</v>
      </c>
      <c r="E250" t="s">
        <v>1100</v>
      </c>
      <c r="G250" t="s">
        <v>3399</v>
      </c>
      <c r="K250" t="s">
        <v>9056</v>
      </c>
      <c r="S250" t="s">
        <v>5685</v>
      </c>
      <c r="T250" t="s">
        <v>4</v>
      </c>
    </row>
    <row r="251" spans="1:20">
      <c r="A251" t="s">
        <v>3498</v>
      </c>
      <c r="B251" t="s">
        <v>3758</v>
      </c>
      <c r="C251" s="101">
        <v>43</v>
      </c>
      <c r="D251" t="s">
        <v>9057</v>
      </c>
      <c r="E251" t="s">
        <v>1181</v>
      </c>
      <c r="G251" t="s">
        <v>3399</v>
      </c>
      <c r="K251" t="s">
        <v>9058</v>
      </c>
      <c r="S251" t="s">
        <v>174</v>
      </c>
      <c r="T251" t="s">
        <v>4</v>
      </c>
    </row>
    <row r="252" spans="1:20">
      <c r="A252" t="s">
        <v>3498</v>
      </c>
      <c r="B252" t="s">
        <v>3758</v>
      </c>
      <c r="C252" s="101">
        <v>44</v>
      </c>
      <c r="D252" t="s">
        <v>9059</v>
      </c>
      <c r="E252" t="s">
        <v>1100</v>
      </c>
      <c r="G252" t="s">
        <v>3399</v>
      </c>
      <c r="K252" t="s">
        <v>9060</v>
      </c>
      <c r="S252" t="s">
        <v>34</v>
      </c>
      <c r="T252" t="s">
        <v>4</v>
      </c>
    </row>
    <row r="253" spans="1:20">
      <c r="A253" t="s">
        <v>3498</v>
      </c>
      <c r="B253" t="s">
        <v>3758</v>
      </c>
      <c r="C253" s="101">
        <v>45</v>
      </c>
      <c r="D253" t="s">
        <v>9061</v>
      </c>
      <c r="E253" t="s">
        <v>1100</v>
      </c>
      <c r="G253" t="s">
        <v>3447</v>
      </c>
      <c r="H253" t="s">
        <v>13403</v>
      </c>
      <c r="K253" t="s">
        <v>9062</v>
      </c>
      <c r="S253" t="s">
        <v>768</v>
      </c>
      <c r="T253" t="s">
        <v>4</v>
      </c>
    </row>
    <row r="254" spans="1:20">
      <c r="A254" t="s">
        <v>3498</v>
      </c>
      <c r="B254" t="s">
        <v>3758</v>
      </c>
      <c r="C254" s="101">
        <v>46</v>
      </c>
      <c r="D254" t="s">
        <v>9063</v>
      </c>
      <c r="E254" t="s">
        <v>1100</v>
      </c>
      <c r="G254" t="s">
        <v>3399</v>
      </c>
      <c r="K254" t="s">
        <v>4277</v>
      </c>
      <c r="L254" t="s">
        <v>4278</v>
      </c>
      <c r="M254" t="s">
        <v>9064</v>
      </c>
      <c r="S254" t="s">
        <v>607</v>
      </c>
      <c r="T254" t="s">
        <v>4</v>
      </c>
    </row>
    <row r="255" spans="1:20">
      <c r="A255" t="s">
        <v>3498</v>
      </c>
      <c r="B255" t="s">
        <v>3758</v>
      </c>
      <c r="C255" s="101">
        <v>47</v>
      </c>
      <c r="D255" t="s">
        <v>9065</v>
      </c>
      <c r="E255" t="s">
        <v>1100</v>
      </c>
      <c r="G255" t="s">
        <v>3399</v>
      </c>
      <c r="K255" t="s">
        <v>5420</v>
      </c>
      <c r="L255" t="s">
        <v>1193</v>
      </c>
      <c r="S255" t="s">
        <v>46</v>
      </c>
      <c r="T255" t="s">
        <v>4</v>
      </c>
    </row>
    <row r="256" spans="1:20">
      <c r="A256" t="s">
        <v>3498</v>
      </c>
      <c r="B256" t="s">
        <v>3758</v>
      </c>
      <c r="C256" s="101">
        <v>48</v>
      </c>
      <c r="D256" t="s">
        <v>9066</v>
      </c>
      <c r="E256" t="s">
        <v>1101</v>
      </c>
      <c r="G256" t="s">
        <v>3399</v>
      </c>
      <c r="K256" t="s">
        <v>9067</v>
      </c>
      <c r="S256" t="s">
        <v>170</v>
      </c>
      <c r="T256" t="s">
        <v>4</v>
      </c>
    </row>
    <row r="257" spans="1:20">
      <c r="A257" t="s">
        <v>3498</v>
      </c>
      <c r="B257" t="s">
        <v>3758</v>
      </c>
      <c r="C257" s="101">
        <v>49</v>
      </c>
      <c r="D257" t="s">
        <v>9068</v>
      </c>
      <c r="E257" t="s">
        <v>1101</v>
      </c>
      <c r="G257" t="s">
        <v>3399</v>
      </c>
      <c r="K257" t="s">
        <v>9069</v>
      </c>
      <c r="S257" t="s">
        <v>52</v>
      </c>
      <c r="T257" t="s">
        <v>4</v>
      </c>
    </row>
    <row r="258" spans="1:20">
      <c r="A258" t="s">
        <v>3498</v>
      </c>
      <c r="B258" t="s">
        <v>3758</v>
      </c>
      <c r="C258" s="101">
        <v>50</v>
      </c>
      <c r="D258" t="s">
        <v>9070</v>
      </c>
      <c r="E258" t="s">
        <v>1101</v>
      </c>
      <c r="G258" t="s">
        <v>3399</v>
      </c>
      <c r="K258" t="s">
        <v>4277</v>
      </c>
      <c r="L258" t="s">
        <v>5074</v>
      </c>
      <c r="M258" t="s">
        <v>5075</v>
      </c>
      <c r="S258" t="s">
        <v>26</v>
      </c>
      <c r="T258" t="s">
        <v>4</v>
      </c>
    </row>
    <row r="259" spans="1:20">
      <c r="A259" t="s">
        <v>3498</v>
      </c>
      <c r="B259" t="s">
        <v>3758</v>
      </c>
      <c r="C259" s="101">
        <v>51</v>
      </c>
      <c r="D259" t="s">
        <v>9071</v>
      </c>
      <c r="E259" t="s">
        <v>1101</v>
      </c>
      <c r="G259" t="s">
        <v>3399</v>
      </c>
      <c r="K259" t="s">
        <v>9072</v>
      </c>
      <c r="S259" t="s">
        <v>5685</v>
      </c>
      <c r="T259" t="s">
        <v>4</v>
      </c>
    </row>
    <row r="260" spans="1:20">
      <c r="A260" t="s">
        <v>3498</v>
      </c>
      <c r="B260" t="s">
        <v>3758</v>
      </c>
      <c r="C260" s="101">
        <v>52</v>
      </c>
      <c r="D260" t="s">
        <v>9073</v>
      </c>
      <c r="E260" t="s">
        <v>1101</v>
      </c>
      <c r="G260" t="s">
        <v>3399</v>
      </c>
      <c r="H260" t="s">
        <v>5180</v>
      </c>
      <c r="K260" t="s">
        <v>9072</v>
      </c>
      <c r="S260" t="s">
        <v>175</v>
      </c>
      <c r="T260" t="s">
        <v>4</v>
      </c>
    </row>
    <row r="261" spans="1:20">
      <c r="A261" t="s">
        <v>3498</v>
      </c>
      <c r="B261" t="s">
        <v>3758</v>
      </c>
      <c r="C261" s="101">
        <v>53</v>
      </c>
      <c r="D261" t="s">
        <v>9074</v>
      </c>
      <c r="E261" t="s">
        <v>1101</v>
      </c>
      <c r="G261" t="s">
        <v>3399</v>
      </c>
      <c r="K261" t="s">
        <v>8941</v>
      </c>
      <c r="L261" t="s">
        <v>9075</v>
      </c>
      <c r="M261" t="s">
        <v>9076</v>
      </c>
      <c r="S261" t="s">
        <v>34</v>
      </c>
      <c r="T261" t="s">
        <v>4</v>
      </c>
    </row>
    <row r="262" spans="1:20">
      <c r="A262" t="s">
        <v>3498</v>
      </c>
      <c r="B262" t="s">
        <v>3758</v>
      </c>
      <c r="C262" s="101">
        <v>54</v>
      </c>
      <c r="D262" t="s">
        <v>9077</v>
      </c>
      <c r="E262" t="s">
        <v>1101</v>
      </c>
      <c r="G262" t="s">
        <v>3399</v>
      </c>
      <c r="K262" t="s">
        <v>9078</v>
      </c>
      <c r="L262" t="s">
        <v>9079</v>
      </c>
      <c r="M262" t="s">
        <v>9080</v>
      </c>
      <c r="S262" t="s">
        <v>15</v>
      </c>
      <c r="T262" t="s">
        <v>4</v>
      </c>
    </row>
    <row r="263" spans="1:20">
      <c r="A263" t="s">
        <v>3498</v>
      </c>
      <c r="B263" t="s">
        <v>3758</v>
      </c>
      <c r="C263" s="101">
        <v>55</v>
      </c>
      <c r="D263" t="s">
        <v>9081</v>
      </c>
      <c r="E263" t="s">
        <v>1102</v>
      </c>
      <c r="G263" t="s">
        <v>3399</v>
      </c>
      <c r="K263" t="s">
        <v>8962</v>
      </c>
      <c r="S263" t="s">
        <v>176</v>
      </c>
      <c r="T263" t="s">
        <v>4</v>
      </c>
    </row>
    <row r="264" spans="1:20">
      <c r="A264" s="78" t="s">
        <v>3498</v>
      </c>
      <c r="B264" s="78" t="s">
        <v>3758</v>
      </c>
      <c r="C264" s="107">
        <v>56</v>
      </c>
      <c r="D264" s="78" t="s">
        <v>9082</v>
      </c>
      <c r="E264" s="78" t="s">
        <v>1101</v>
      </c>
      <c r="F264" s="78"/>
      <c r="G264" s="78" t="s">
        <v>3399</v>
      </c>
      <c r="H264" s="78"/>
      <c r="I264" s="78"/>
      <c r="J264" s="78"/>
      <c r="K264" s="78" t="s">
        <v>9083</v>
      </c>
      <c r="L264" s="78" t="s">
        <v>4953</v>
      </c>
      <c r="M264" s="78"/>
      <c r="N264" s="78"/>
      <c r="O264" s="78"/>
      <c r="P264" s="78"/>
      <c r="Q264" s="78"/>
      <c r="S264" t="s">
        <v>17</v>
      </c>
      <c r="T264" t="s">
        <v>4</v>
      </c>
    </row>
    <row r="265" spans="1:20">
      <c r="A265" t="s">
        <v>3498</v>
      </c>
      <c r="B265" t="s">
        <v>3758</v>
      </c>
      <c r="C265" s="101">
        <v>57</v>
      </c>
      <c r="D265" t="s">
        <v>9084</v>
      </c>
      <c r="E265" t="s">
        <v>1102</v>
      </c>
      <c r="G265" t="s">
        <v>3399</v>
      </c>
      <c r="K265" t="s">
        <v>9085</v>
      </c>
      <c r="S265" t="s">
        <v>40</v>
      </c>
      <c r="T265" t="s">
        <v>4</v>
      </c>
    </row>
    <row r="266" spans="1:20">
      <c r="A266" t="s">
        <v>3498</v>
      </c>
      <c r="B266" t="s">
        <v>3758</v>
      </c>
      <c r="C266" s="101">
        <v>58</v>
      </c>
      <c r="D266" t="s">
        <v>9086</v>
      </c>
      <c r="E266" t="s">
        <v>1101</v>
      </c>
      <c r="G266" t="s">
        <v>3399</v>
      </c>
      <c r="K266" t="s">
        <v>9087</v>
      </c>
      <c r="L266" t="s">
        <v>1190</v>
      </c>
      <c r="S266" t="s">
        <v>46</v>
      </c>
      <c r="T266" t="s">
        <v>4</v>
      </c>
    </row>
    <row r="267" spans="1:20">
      <c r="A267" t="s">
        <v>3498</v>
      </c>
      <c r="B267" t="s">
        <v>3758</v>
      </c>
      <c r="C267" s="101">
        <v>59</v>
      </c>
      <c r="D267" t="s">
        <v>9088</v>
      </c>
      <c r="E267" t="s">
        <v>1101</v>
      </c>
      <c r="G267" t="s">
        <v>3399</v>
      </c>
      <c r="K267" t="s">
        <v>9089</v>
      </c>
      <c r="S267" t="s">
        <v>36</v>
      </c>
      <c r="T267" t="s">
        <v>4</v>
      </c>
    </row>
    <row r="268" spans="1:20">
      <c r="A268" t="s">
        <v>3498</v>
      </c>
      <c r="B268" t="s">
        <v>3758</v>
      </c>
      <c r="C268" s="101">
        <v>60</v>
      </c>
      <c r="D268" t="s">
        <v>9090</v>
      </c>
      <c r="E268" t="s">
        <v>1101</v>
      </c>
      <c r="G268" t="s">
        <v>3399</v>
      </c>
      <c r="K268" t="s">
        <v>9091</v>
      </c>
      <c r="L268" t="s">
        <v>7434</v>
      </c>
      <c r="S268" t="s">
        <v>44</v>
      </c>
      <c r="T268" t="s">
        <v>4</v>
      </c>
    </row>
    <row r="269" spans="1:20">
      <c r="A269" t="s">
        <v>3498</v>
      </c>
      <c r="B269" t="s">
        <v>3758</v>
      </c>
      <c r="C269" s="101">
        <v>61</v>
      </c>
      <c r="D269" t="s">
        <v>9092</v>
      </c>
      <c r="E269" t="s">
        <v>1101</v>
      </c>
      <c r="G269" t="s">
        <v>3399</v>
      </c>
      <c r="K269" t="s">
        <v>9093</v>
      </c>
      <c r="S269" t="s">
        <v>38</v>
      </c>
      <c r="T269" t="s">
        <v>4</v>
      </c>
    </row>
    <row r="270" spans="1:20">
      <c r="A270" t="s">
        <v>3498</v>
      </c>
      <c r="B270" t="s">
        <v>3758</v>
      </c>
      <c r="C270" s="101">
        <v>62</v>
      </c>
      <c r="D270" t="s">
        <v>9094</v>
      </c>
      <c r="E270" t="s">
        <v>1101</v>
      </c>
      <c r="G270" t="s">
        <v>3399</v>
      </c>
      <c r="K270" t="s">
        <v>9083</v>
      </c>
      <c r="S270" t="s">
        <v>5719</v>
      </c>
      <c r="T270" t="s">
        <v>4</v>
      </c>
    </row>
    <row r="271" spans="1:20">
      <c r="A271" t="s">
        <v>3498</v>
      </c>
      <c r="B271" t="s">
        <v>3758</v>
      </c>
      <c r="C271" s="101">
        <v>63</v>
      </c>
      <c r="D271" t="s">
        <v>9095</v>
      </c>
      <c r="E271" t="s">
        <v>1102</v>
      </c>
      <c r="G271" t="s">
        <v>3399</v>
      </c>
      <c r="K271" t="s">
        <v>9096</v>
      </c>
      <c r="L271" t="s">
        <v>1193</v>
      </c>
      <c r="S271" t="s">
        <v>31</v>
      </c>
      <c r="T271" t="s">
        <v>4</v>
      </c>
    </row>
    <row r="272" spans="1:20">
      <c r="A272" t="s">
        <v>3498</v>
      </c>
      <c r="B272" t="s">
        <v>3758</v>
      </c>
      <c r="C272" s="101">
        <v>64</v>
      </c>
      <c r="D272" t="s">
        <v>9097</v>
      </c>
      <c r="E272" t="s">
        <v>1101</v>
      </c>
      <c r="G272" t="s">
        <v>3399</v>
      </c>
      <c r="K272" t="s">
        <v>9098</v>
      </c>
      <c r="S272" t="s">
        <v>17</v>
      </c>
      <c r="T272" t="s">
        <v>4</v>
      </c>
    </row>
    <row r="273" spans="1:20">
      <c r="A273" t="s">
        <v>3498</v>
      </c>
      <c r="B273" t="s">
        <v>3758</v>
      </c>
      <c r="C273" s="101">
        <v>65</v>
      </c>
      <c r="D273" t="s">
        <v>9099</v>
      </c>
      <c r="E273" t="s">
        <v>1101</v>
      </c>
      <c r="G273" t="s">
        <v>3399</v>
      </c>
      <c r="K273" t="s">
        <v>5090</v>
      </c>
      <c r="S273" t="s">
        <v>174</v>
      </c>
      <c r="T273" t="s">
        <v>4</v>
      </c>
    </row>
    <row r="274" spans="1:20">
      <c r="A274" t="s">
        <v>3498</v>
      </c>
      <c r="B274" t="s">
        <v>3758</v>
      </c>
      <c r="C274" s="101">
        <v>66</v>
      </c>
      <c r="D274" t="s">
        <v>9100</v>
      </c>
      <c r="E274" t="s">
        <v>1101</v>
      </c>
      <c r="G274" t="s">
        <v>3399</v>
      </c>
      <c r="K274" t="s">
        <v>9101</v>
      </c>
      <c r="S274" t="s">
        <v>48</v>
      </c>
      <c r="T274" t="s">
        <v>4</v>
      </c>
    </row>
    <row r="275" spans="1:20">
      <c r="A275" t="s">
        <v>3498</v>
      </c>
      <c r="B275" t="s">
        <v>3758</v>
      </c>
      <c r="C275" s="101">
        <v>67</v>
      </c>
      <c r="D275" t="s">
        <v>9102</v>
      </c>
      <c r="E275" t="s">
        <v>1101</v>
      </c>
      <c r="G275" t="s">
        <v>3399</v>
      </c>
      <c r="K275" t="s">
        <v>9103</v>
      </c>
      <c r="S275" t="s">
        <v>10</v>
      </c>
      <c r="T275" t="s">
        <v>4</v>
      </c>
    </row>
    <row r="276" spans="1:20">
      <c r="A276" t="s">
        <v>3498</v>
      </c>
      <c r="B276" t="s">
        <v>3758</v>
      </c>
      <c r="C276" s="101">
        <v>68</v>
      </c>
      <c r="D276" t="s">
        <v>9104</v>
      </c>
      <c r="E276" t="s">
        <v>1102</v>
      </c>
      <c r="G276" t="s">
        <v>3399</v>
      </c>
      <c r="K276" t="s">
        <v>9105</v>
      </c>
      <c r="L276" t="s">
        <v>6410</v>
      </c>
      <c r="S276" t="s">
        <v>768</v>
      </c>
      <c r="T276" t="s">
        <v>4</v>
      </c>
    </row>
    <row r="277" spans="1:20">
      <c r="A277" t="s">
        <v>3498</v>
      </c>
      <c r="B277" t="s">
        <v>3758</v>
      </c>
      <c r="C277" s="101">
        <v>69</v>
      </c>
      <c r="D277" t="s">
        <v>9106</v>
      </c>
      <c r="E277" t="s">
        <v>1101</v>
      </c>
      <c r="G277" t="s">
        <v>3399</v>
      </c>
      <c r="K277" t="s">
        <v>7296</v>
      </c>
      <c r="L277" t="s">
        <v>9107</v>
      </c>
      <c r="S277" t="s">
        <v>28</v>
      </c>
      <c r="T277" t="s">
        <v>4</v>
      </c>
    </row>
    <row r="278" spans="1:20">
      <c r="A278" t="s">
        <v>3498</v>
      </c>
      <c r="B278" t="s">
        <v>3758</v>
      </c>
      <c r="C278" s="101">
        <v>70</v>
      </c>
      <c r="D278" t="s">
        <v>9108</v>
      </c>
      <c r="E278" t="s">
        <v>1101</v>
      </c>
      <c r="G278" t="s">
        <v>3399</v>
      </c>
      <c r="K278" t="s">
        <v>9109</v>
      </c>
      <c r="S278" t="s">
        <v>171</v>
      </c>
      <c r="T278" t="s">
        <v>4</v>
      </c>
    </row>
    <row r="279" spans="1:20">
      <c r="A279" t="s">
        <v>3498</v>
      </c>
      <c r="B279" t="s">
        <v>3758</v>
      </c>
      <c r="C279" s="101">
        <v>71</v>
      </c>
      <c r="D279" t="s">
        <v>9110</v>
      </c>
      <c r="E279" t="s">
        <v>1102</v>
      </c>
      <c r="G279" t="s">
        <v>3399</v>
      </c>
      <c r="K279" t="s">
        <v>9111</v>
      </c>
      <c r="S279" t="s">
        <v>604</v>
      </c>
      <c r="T279" t="s">
        <v>4</v>
      </c>
    </row>
    <row r="280" spans="1:20">
      <c r="A280" t="s">
        <v>3498</v>
      </c>
      <c r="B280" t="s">
        <v>3758</v>
      </c>
      <c r="C280" s="101">
        <v>72</v>
      </c>
      <c r="D280" t="s">
        <v>9112</v>
      </c>
      <c r="E280" t="s">
        <v>1101</v>
      </c>
      <c r="G280" t="s">
        <v>3399</v>
      </c>
      <c r="K280" t="s">
        <v>9113</v>
      </c>
      <c r="S280" t="s">
        <v>45</v>
      </c>
      <c r="T280" t="s">
        <v>4</v>
      </c>
    </row>
    <row r="281" spans="1:20">
      <c r="A281" t="s">
        <v>3498</v>
      </c>
      <c r="B281" t="s">
        <v>3758</v>
      </c>
      <c r="C281" s="101">
        <v>73</v>
      </c>
      <c r="D281" t="s">
        <v>9114</v>
      </c>
      <c r="E281" t="s">
        <v>1102</v>
      </c>
      <c r="G281" t="s">
        <v>3399</v>
      </c>
      <c r="K281" t="s">
        <v>9072</v>
      </c>
      <c r="L281" t="s">
        <v>4953</v>
      </c>
      <c r="S281" t="s">
        <v>17</v>
      </c>
      <c r="T281" t="s">
        <v>4</v>
      </c>
    </row>
    <row r="282" spans="1:20">
      <c r="A282" t="s">
        <v>3498</v>
      </c>
      <c r="B282" t="s">
        <v>3758</v>
      </c>
      <c r="C282" s="101">
        <v>74</v>
      </c>
      <c r="D282" t="s">
        <v>9115</v>
      </c>
      <c r="E282" t="s">
        <v>1101</v>
      </c>
      <c r="G282" t="s">
        <v>3399</v>
      </c>
      <c r="K282" t="s">
        <v>5420</v>
      </c>
      <c r="S282" t="s">
        <v>178</v>
      </c>
      <c r="T282" t="s">
        <v>4</v>
      </c>
    </row>
    <row r="283" spans="1:20">
      <c r="A283" t="s">
        <v>3498</v>
      </c>
      <c r="B283" t="s">
        <v>3758</v>
      </c>
      <c r="C283" s="101">
        <v>75</v>
      </c>
      <c r="D283" t="s">
        <v>9116</v>
      </c>
      <c r="E283" t="s">
        <v>1101</v>
      </c>
      <c r="G283" t="s">
        <v>3399</v>
      </c>
      <c r="K283" t="s">
        <v>9117</v>
      </c>
      <c r="S283" t="s">
        <v>26</v>
      </c>
      <c r="T283" t="s">
        <v>4</v>
      </c>
    </row>
    <row r="284" spans="1:20">
      <c r="A284" t="s">
        <v>3498</v>
      </c>
      <c r="B284" t="s">
        <v>3758</v>
      </c>
      <c r="C284" s="101">
        <v>76</v>
      </c>
      <c r="D284" t="s">
        <v>9118</v>
      </c>
      <c r="E284" t="s">
        <v>1101</v>
      </c>
      <c r="G284" t="s">
        <v>3399</v>
      </c>
      <c r="K284" t="s">
        <v>9119</v>
      </c>
      <c r="L284" t="s">
        <v>8874</v>
      </c>
      <c r="S284" t="s">
        <v>29</v>
      </c>
      <c r="T284" t="s">
        <v>4</v>
      </c>
    </row>
    <row r="285" spans="1:20">
      <c r="A285" t="s">
        <v>3498</v>
      </c>
      <c r="B285" t="s">
        <v>3758</v>
      </c>
      <c r="C285" s="101">
        <v>77</v>
      </c>
      <c r="D285" t="s">
        <v>9120</v>
      </c>
      <c r="E285" t="s">
        <v>1101</v>
      </c>
      <c r="G285" t="s">
        <v>3399</v>
      </c>
      <c r="K285" t="s">
        <v>9121</v>
      </c>
      <c r="S285" t="s">
        <v>172</v>
      </c>
      <c r="T285" t="s">
        <v>4</v>
      </c>
    </row>
    <row r="286" spans="1:20">
      <c r="A286" t="s">
        <v>3498</v>
      </c>
      <c r="B286" t="s">
        <v>3758</v>
      </c>
      <c r="C286" s="101">
        <v>78</v>
      </c>
      <c r="D286" t="s">
        <v>9122</v>
      </c>
      <c r="E286" t="s">
        <v>1101</v>
      </c>
      <c r="G286" t="s">
        <v>3399</v>
      </c>
      <c r="K286" t="s">
        <v>9123</v>
      </c>
      <c r="S286" t="s">
        <v>36</v>
      </c>
      <c r="T286" t="s">
        <v>4</v>
      </c>
    </row>
    <row r="287" spans="1:20">
      <c r="A287" t="s">
        <v>3498</v>
      </c>
      <c r="B287" t="s">
        <v>3758</v>
      </c>
      <c r="C287" s="101">
        <v>79</v>
      </c>
      <c r="D287" t="s">
        <v>9124</v>
      </c>
      <c r="E287" t="s">
        <v>1101</v>
      </c>
      <c r="G287" t="s">
        <v>3399</v>
      </c>
      <c r="K287" t="s">
        <v>9125</v>
      </c>
      <c r="L287" t="s">
        <v>3768</v>
      </c>
      <c r="S287" t="s">
        <v>36</v>
      </c>
      <c r="T287" t="s">
        <v>4</v>
      </c>
    </row>
    <row r="288" spans="1:20">
      <c r="A288" t="s">
        <v>3498</v>
      </c>
      <c r="B288" t="s">
        <v>3758</v>
      </c>
      <c r="C288" s="101">
        <v>80</v>
      </c>
      <c r="D288" t="s">
        <v>9126</v>
      </c>
      <c r="E288" t="s">
        <v>1104</v>
      </c>
      <c r="G288" t="s">
        <v>3399</v>
      </c>
      <c r="H288" t="s">
        <v>5180</v>
      </c>
      <c r="K288" t="s">
        <v>9127</v>
      </c>
      <c r="S288" t="s">
        <v>179</v>
      </c>
      <c r="T288" t="s">
        <v>4</v>
      </c>
    </row>
    <row r="289" spans="1:20">
      <c r="A289" t="s">
        <v>3498</v>
      </c>
      <c r="B289" t="s">
        <v>3758</v>
      </c>
      <c r="C289" s="101">
        <v>81</v>
      </c>
      <c r="D289" t="s">
        <v>9128</v>
      </c>
      <c r="E289" t="s">
        <v>1104</v>
      </c>
      <c r="G289" t="s">
        <v>3399</v>
      </c>
      <c r="K289" t="s">
        <v>4113</v>
      </c>
      <c r="L289" t="s">
        <v>4290</v>
      </c>
      <c r="M289" t="s">
        <v>9129</v>
      </c>
      <c r="S289" t="s">
        <v>3747</v>
      </c>
      <c r="T289" t="s">
        <v>4</v>
      </c>
    </row>
    <row r="290" spans="1:20">
      <c r="A290" t="s">
        <v>3498</v>
      </c>
      <c r="B290" t="s">
        <v>3758</v>
      </c>
      <c r="C290" s="101">
        <v>82</v>
      </c>
      <c r="D290" t="s">
        <v>9130</v>
      </c>
      <c r="E290" t="s">
        <v>1104</v>
      </c>
      <c r="G290" t="s">
        <v>3399</v>
      </c>
      <c r="K290" t="s">
        <v>9131</v>
      </c>
      <c r="S290" t="s">
        <v>605</v>
      </c>
      <c r="T290" t="s">
        <v>4</v>
      </c>
    </row>
    <row r="291" spans="1:20">
      <c r="A291" t="s">
        <v>3498</v>
      </c>
      <c r="B291" t="s">
        <v>3758</v>
      </c>
      <c r="C291" s="101">
        <v>83</v>
      </c>
      <c r="D291" t="s">
        <v>9132</v>
      </c>
      <c r="E291" t="s">
        <v>1104</v>
      </c>
      <c r="G291" t="s">
        <v>3399</v>
      </c>
      <c r="K291" t="s">
        <v>8819</v>
      </c>
      <c r="L291" t="s">
        <v>4243</v>
      </c>
      <c r="S291" t="s">
        <v>5</v>
      </c>
      <c r="T291" t="s">
        <v>4</v>
      </c>
    </row>
    <row r="292" spans="1:20">
      <c r="A292" s="78" t="s">
        <v>3498</v>
      </c>
      <c r="B292" s="78" t="s">
        <v>3758</v>
      </c>
      <c r="C292" s="107">
        <v>84</v>
      </c>
      <c r="D292" s="78" t="s">
        <v>3135</v>
      </c>
      <c r="E292" s="78" t="s">
        <v>1103</v>
      </c>
      <c r="F292" s="78"/>
      <c r="G292" s="78" t="s">
        <v>3447</v>
      </c>
      <c r="H292" s="78" t="s">
        <v>3071</v>
      </c>
      <c r="I292" s="78"/>
      <c r="J292" s="78"/>
      <c r="K292" s="78" t="s">
        <v>3132</v>
      </c>
      <c r="L292" s="78" t="s">
        <v>3136</v>
      </c>
      <c r="M292" s="78"/>
      <c r="N292" s="78"/>
      <c r="O292" s="78"/>
      <c r="P292" s="78"/>
      <c r="Q292" s="78"/>
      <c r="S292" t="s">
        <v>3119</v>
      </c>
      <c r="T292" t="s">
        <v>4</v>
      </c>
    </row>
    <row r="293" spans="1:20">
      <c r="A293" t="s">
        <v>3498</v>
      </c>
      <c r="B293" t="s">
        <v>3758</v>
      </c>
      <c r="C293" s="101">
        <v>85</v>
      </c>
      <c r="D293" t="s">
        <v>9133</v>
      </c>
      <c r="E293" t="s">
        <v>1104</v>
      </c>
      <c r="G293" t="s">
        <v>3399</v>
      </c>
      <c r="K293" t="s">
        <v>7296</v>
      </c>
      <c r="L293" t="s">
        <v>9134</v>
      </c>
      <c r="S293" t="s">
        <v>37</v>
      </c>
      <c r="T293" t="s">
        <v>4</v>
      </c>
    </row>
    <row r="294" spans="1:20">
      <c r="A294" t="s">
        <v>3498</v>
      </c>
      <c r="B294" t="s">
        <v>3758</v>
      </c>
      <c r="C294" s="101">
        <v>86</v>
      </c>
      <c r="D294" t="s">
        <v>9135</v>
      </c>
      <c r="E294" t="s">
        <v>1103</v>
      </c>
      <c r="G294" t="s">
        <v>3399</v>
      </c>
      <c r="K294" t="s">
        <v>9072</v>
      </c>
      <c r="L294" t="s">
        <v>9136</v>
      </c>
      <c r="S294" t="s">
        <v>44</v>
      </c>
      <c r="T294" t="s">
        <v>4</v>
      </c>
    </row>
    <row r="295" spans="1:20">
      <c r="A295" t="s">
        <v>3498</v>
      </c>
      <c r="B295" t="s">
        <v>3758</v>
      </c>
      <c r="C295" s="101">
        <v>87</v>
      </c>
      <c r="D295" t="s">
        <v>9137</v>
      </c>
      <c r="E295" t="s">
        <v>1104</v>
      </c>
      <c r="G295" t="s">
        <v>3399</v>
      </c>
      <c r="K295" t="s">
        <v>9138</v>
      </c>
      <c r="S295" t="s">
        <v>38</v>
      </c>
      <c r="T295" t="s">
        <v>4</v>
      </c>
    </row>
    <row r="296" spans="1:20">
      <c r="A296" t="s">
        <v>3498</v>
      </c>
      <c r="B296" t="s">
        <v>3758</v>
      </c>
      <c r="C296" s="101">
        <v>88</v>
      </c>
      <c r="D296" t="s">
        <v>9139</v>
      </c>
      <c r="E296" t="s">
        <v>1104</v>
      </c>
      <c r="G296" t="s">
        <v>3399</v>
      </c>
      <c r="K296" t="s">
        <v>9140</v>
      </c>
      <c r="S296" t="s">
        <v>48</v>
      </c>
      <c r="T296" t="s">
        <v>4</v>
      </c>
    </row>
    <row r="297" spans="1:20">
      <c r="A297" t="s">
        <v>3498</v>
      </c>
      <c r="B297" t="s">
        <v>3758</v>
      </c>
      <c r="C297" s="101">
        <v>89</v>
      </c>
      <c r="D297" t="s">
        <v>9141</v>
      </c>
      <c r="E297" t="s">
        <v>1104</v>
      </c>
      <c r="G297" t="s">
        <v>3399</v>
      </c>
      <c r="K297" t="s">
        <v>7296</v>
      </c>
      <c r="L297" t="s">
        <v>6365</v>
      </c>
      <c r="S297" t="s">
        <v>37</v>
      </c>
      <c r="T297" t="s">
        <v>4</v>
      </c>
    </row>
    <row r="298" spans="1:20">
      <c r="A298" t="s">
        <v>3498</v>
      </c>
      <c r="B298" t="s">
        <v>3758</v>
      </c>
      <c r="C298" s="101">
        <v>90</v>
      </c>
      <c r="D298" t="s">
        <v>9142</v>
      </c>
      <c r="E298" t="s">
        <v>1104</v>
      </c>
      <c r="G298" t="s">
        <v>3399</v>
      </c>
      <c r="K298" t="s">
        <v>8962</v>
      </c>
      <c r="S298" t="s">
        <v>28</v>
      </c>
      <c r="T298" t="s">
        <v>4</v>
      </c>
    </row>
    <row r="299" spans="1:20">
      <c r="A299" t="s">
        <v>3498</v>
      </c>
      <c r="B299" t="s">
        <v>3758</v>
      </c>
      <c r="C299" s="101">
        <v>91</v>
      </c>
      <c r="D299" t="s">
        <v>9143</v>
      </c>
      <c r="E299" t="s">
        <v>1104</v>
      </c>
      <c r="G299" t="s">
        <v>3399</v>
      </c>
      <c r="K299" t="s">
        <v>8874</v>
      </c>
      <c r="S299" t="s">
        <v>5719</v>
      </c>
      <c r="T299" t="s">
        <v>4</v>
      </c>
    </row>
    <row r="300" spans="1:20">
      <c r="A300" t="s">
        <v>3498</v>
      </c>
      <c r="B300" t="s">
        <v>3758</v>
      </c>
      <c r="C300" s="101">
        <v>92</v>
      </c>
      <c r="D300" t="s">
        <v>9144</v>
      </c>
      <c r="E300" t="s">
        <v>1104</v>
      </c>
      <c r="G300" t="s">
        <v>3399</v>
      </c>
      <c r="K300" t="s">
        <v>9145</v>
      </c>
      <c r="S300" t="s">
        <v>178</v>
      </c>
      <c r="T300" t="s">
        <v>4</v>
      </c>
    </row>
    <row r="301" spans="1:20">
      <c r="A301" t="s">
        <v>3498</v>
      </c>
      <c r="B301" t="s">
        <v>3758</v>
      </c>
      <c r="C301" s="101">
        <v>93</v>
      </c>
      <c r="D301" t="s">
        <v>9146</v>
      </c>
      <c r="E301" t="s">
        <v>1104</v>
      </c>
      <c r="G301" t="s">
        <v>3399</v>
      </c>
      <c r="K301" t="s">
        <v>9147</v>
      </c>
      <c r="S301" t="s">
        <v>52</v>
      </c>
      <c r="T301" t="s">
        <v>4</v>
      </c>
    </row>
    <row r="302" spans="1:20">
      <c r="A302" t="s">
        <v>3498</v>
      </c>
      <c r="B302" t="s">
        <v>3758</v>
      </c>
      <c r="C302" s="101">
        <v>94</v>
      </c>
      <c r="D302" t="s">
        <v>9148</v>
      </c>
      <c r="E302" t="s">
        <v>1103</v>
      </c>
      <c r="G302" t="s">
        <v>3399</v>
      </c>
      <c r="K302" t="s">
        <v>9149</v>
      </c>
      <c r="S302" t="s">
        <v>35</v>
      </c>
      <c r="T302" t="s">
        <v>4</v>
      </c>
    </row>
    <row r="303" spans="1:20">
      <c r="A303" t="s">
        <v>3498</v>
      </c>
      <c r="B303" t="s">
        <v>3758</v>
      </c>
      <c r="C303" s="101">
        <v>95</v>
      </c>
      <c r="D303" t="s">
        <v>9150</v>
      </c>
      <c r="E303" t="s">
        <v>1103</v>
      </c>
      <c r="G303" t="s">
        <v>3399</v>
      </c>
      <c r="H303" t="s">
        <v>5180</v>
      </c>
      <c r="K303" t="s">
        <v>9151</v>
      </c>
      <c r="L303" t="s">
        <v>9152</v>
      </c>
      <c r="S303" t="s">
        <v>175</v>
      </c>
      <c r="T303" t="s">
        <v>4</v>
      </c>
    </row>
    <row r="304" spans="1:20">
      <c r="A304" t="s">
        <v>3498</v>
      </c>
      <c r="B304" t="s">
        <v>3758</v>
      </c>
      <c r="C304" s="101">
        <v>96</v>
      </c>
      <c r="D304" t="s">
        <v>9153</v>
      </c>
      <c r="E304" t="s">
        <v>1104</v>
      </c>
      <c r="G304" t="s">
        <v>3399</v>
      </c>
      <c r="K304" t="s">
        <v>8962</v>
      </c>
      <c r="S304" t="s">
        <v>14</v>
      </c>
      <c r="T304" t="s">
        <v>4</v>
      </c>
    </row>
    <row r="305" spans="1:20">
      <c r="A305" t="s">
        <v>3498</v>
      </c>
      <c r="B305" t="s">
        <v>3758</v>
      </c>
      <c r="C305" s="101">
        <v>97</v>
      </c>
      <c r="D305" t="s">
        <v>9154</v>
      </c>
      <c r="E305" t="s">
        <v>1103</v>
      </c>
      <c r="G305" t="s">
        <v>3399</v>
      </c>
      <c r="K305" t="s">
        <v>8874</v>
      </c>
      <c r="S305" t="s">
        <v>36</v>
      </c>
      <c r="T305" t="s">
        <v>4</v>
      </c>
    </row>
    <row r="306" spans="1:20">
      <c r="A306" t="s">
        <v>3498</v>
      </c>
      <c r="B306" t="s">
        <v>3758</v>
      </c>
      <c r="C306" s="101">
        <v>98</v>
      </c>
      <c r="D306" t="s">
        <v>9155</v>
      </c>
      <c r="E306" t="s">
        <v>1104</v>
      </c>
      <c r="G306" t="s">
        <v>3399</v>
      </c>
      <c r="K306" t="s">
        <v>9156</v>
      </c>
      <c r="L306" t="s">
        <v>9157</v>
      </c>
      <c r="S306" t="s">
        <v>28</v>
      </c>
      <c r="T306" t="s">
        <v>4</v>
      </c>
    </row>
    <row r="307" spans="1:20">
      <c r="A307" t="s">
        <v>3498</v>
      </c>
      <c r="B307" t="s">
        <v>3758</v>
      </c>
      <c r="C307" s="101">
        <v>99</v>
      </c>
      <c r="D307" t="s">
        <v>9158</v>
      </c>
      <c r="E307" t="s">
        <v>1103</v>
      </c>
      <c r="G307" t="s">
        <v>3399</v>
      </c>
      <c r="K307" t="s">
        <v>9159</v>
      </c>
      <c r="S307" t="s">
        <v>175</v>
      </c>
      <c r="T307" t="s">
        <v>4</v>
      </c>
    </row>
    <row r="308" spans="1:20">
      <c r="A308" t="s">
        <v>3498</v>
      </c>
      <c r="B308" t="s">
        <v>3758</v>
      </c>
      <c r="C308" s="101">
        <v>100</v>
      </c>
      <c r="D308" t="s">
        <v>9160</v>
      </c>
      <c r="E308" t="s">
        <v>1248</v>
      </c>
      <c r="G308" t="s">
        <v>3399</v>
      </c>
      <c r="K308" t="s">
        <v>9161</v>
      </c>
      <c r="S308" t="s">
        <v>5685</v>
      </c>
      <c r="T308" t="s">
        <v>4</v>
      </c>
    </row>
    <row r="309" spans="1:20">
      <c r="A309" t="s">
        <v>3498</v>
      </c>
      <c r="B309" t="s">
        <v>3758</v>
      </c>
      <c r="C309" s="101">
        <v>101</v>
      </c>
      <c r="D309" t="s">
        <v>9162</v>
      </c>
      <c r="E309" t="s">
        <v>1105</v>
      </c>
      <c r="G309" t="s">
        <v>3399</v>
      </c>
      <c r="K309" t="s">
        <v>8993</v>
      </c>
      <c r="L309" t="s">
        <v>4243</v>
      </c>
      <c r="S309" t="s">
        <v>5</v>
      </c>
      <c r="T309" t="s">
        <v>4</v>
      </c>
    </row>
    <row r="310" spans="1:20">
      <c r="A310" t="s">
        <v>3498</v>
      </c>
      <c r="B310" t="s">
        <v>3758</v>
      </c>
      <c r="C310" s="101">
        <v>102</v>
      </c>
      <c r="D310" t="s">
        <v>9163</v>
      </c>
      <c r="E310" t="s">
        <v>1105</v>
      </c>
      <c r="G310" t="s">
        <v>3399</v>
      </c>
      <c r="K310" t="s">
        <v>9164</v>
      </c>
      <c r="S310" t="s">
        <v>28</v>
      </c>
      <c r="T310" t="s">
        <v>4</v>
      </c>
    </row>
    <row r="311" spans="1:20">
      <c r="A311" t="s">
        <v>3498</v>
      </c>
      <c r="B311" t="s">
        <v>3758</v>
      </c>
      <c r="C311" s="101">
        <v>103</v>
      </c>
      <c r="D311" t="s">
        <v>9165</v>
      </c>
      <c r="E311" t="s">
        <v>1105</v>
      </c>
      <c r="G311" t="s">
        <v>3399</v>
      </c>
      <c r="K311" t="s">
        <v>9166</v>
      </c>
      <c r="S311" t="s">
        <v>607</v>
      </c>
      <c r="T311" t="s">
        <v>4</v>
      </c>
    </row>
    <row r="312" spans="1:20">
      <c r="A312" t="s">
        <v>3498</v>
      </c>
      <c r="B312" t="s">
        <v>3758</v>
      </c>
      <c r="C312" s="101">
        <v>104</v>
      </c>
      <c r="D312" t="s">
        <v>9167</v>
      </c>
      <c r="E312" t="s">
        <v>1105</v>
      </c>
      <c r="G312" t="s">
        <v>3399</v>
      </c>
      <c r="K312" t="s">
        <v>9168</v>
      </c>
      <c r="S312" t="s">
        <v>30</v>
      </c>
      <c r="T312" t="s">
        <v>4</v>
      </c>
    </row>
    <row r="313" spans="1:20">
      <c r="A313" t="s">
        <v>3498</v>
      </c>
      <c r="B313" t="s">
        <v>3758</v>
      </c>
      <c r="C313" s="101">
        <v>105</v>
      </c>
      <c r="D313" t="s">
        <v>9169</v>
      </c>
      <c r="E313" t="s">
        <v>1248</v>
      </c>
      <c r="G313" t="s">
        <v>3399</v>
      </c>
      <c r="K313" t="s">
        <v>9170</v>
      </c>
      <c r="L313" t="s">
        <v>9171</v>
      </c>
      <c r="S313" t="s">
        <v>605</v>
      </c>
      <c r="T313" t="s">
        <v>4</v>
      </c>
    </row>
    <row r="314" spans="1:20">
      <c r="A314" t="s">
        <v>3498</v>
      </c>
      <c r="B314" t="s">
        <v>3758</v>
      </c>
      <c r="C314" s="101">
        <v>106</v>
      </c>
      <c r="D314" t="s">
        <v>9172</v>
      </c>
      <c r="E314" t="s">
        <v>1105</v>
      </c>
      <c r="G314" t="s">
        <v>3399</v>
      </c>
      <c r="K314" t="s">
        <v>9173</v>
      </c>
      <c r="S314" t="s">
        <v>6</v>
      </c>
      <c r="T314" t="s">
        <v>4</v>
      </c>
    </row>
    <row r="315" spans="1:20">
      <c r="A315" s="78" t="s">
        <v>3498</v>
      </c>
      <c r="B315" s="78" t="s">
        <v>3758</v>
      </c>
      <c r="C315" s="107">
        <v>107</v>
      </c>
      <c r="D315" s="78" t="s">
        <v>9174</v>
      </c>
      <c r="E315" s="78" t="s">
        <v>1248</v>
      </c>
      <c r="F315" s="78"/>
      <c r="G315" s="78" t="s">
        <v>3399</v>
      </c>
      <c r="H315" s="78"/>
      <c r="I315" s="78"/>
      <c r="J315" s="78"/>
      <c r="K315" s="78" t="s">
        <v>9175</v>
      </c>
      <c r="L315" s="78"/>
      <c r="M315" s="78"/>
      <c r="N315" s="78"/>
      <c r="O315" s="78"/>
      <c r="P315" s="78"/>
      <c r="Q315" s="78"/>
      <c r="S315" t="s">
        <v>5281</v>
      </c>
      <c r="T315" t="s">
        <v>4</v>
      </c>
    </row>
    <row r="316" spans="1:20">
      <c r="A316" t="s">
        <v>3498</v>
      </c>
      <c r="B316" t="s">
        <v>3758</v>
      </c>
      <c r="C316" s="101">
        <v>108</v>
      </c>
      <c r="D316" t="s">
        <v>9176</v>
      </c>
      <c r="E316" t="s">
        <v>1248</v>
      </c>
      <c r="G316" t="s">
        <v>3399</v>
      </c>
      <c r="K316" t="s">
        <v>9177</v>
      </c>
      <c r="S316" t="s">
        <v>3747</v>
      </c>
      <c r="T316" t="s">
        <v>4</v>
      </c>
    </row>
    <row r="317" spans="1:20">
      <c r="A317" t="s">
        <v>3498</v>
      </c>
      <c r="B317" t="s">
        <v>3758</v>
      </c>
      <c r="C317" s="101">
        <v>109</v>
      </c>
      <c r="D317" t="s">
        <v>9178</v>
      </c>
      <c r="E317" t="s">
        <v>1248</v>
      </c>
      <c r="G317" t="s">
        <v>3399</v>
      </c>
      <c r="K317" t="s">
        <v>4720</v>
      </c>
      <c r="S317" t="s">
        <v>44</v>
      </c>
      <c r="T317" t="s">
        <v>4</v>
      </c>
    </row>
    <row r="318" spans="1:20">
      <c r="A318" t="s">
        <v>3498</v>
      </c>
      <c r="B318" t="s">
        <v>3758</v>
      </c>
      <c r="C318" s="101">
        <v>110</v>
      </c>
      <c r="D318" t="s">
        <v>9179</v>
      </c>
      <c r="E318" t="s">
        <v>1248</v>
      </c>
      <c r="G318" t="s">
        <v>3399</v>
      </c>
      <c r="K318" t="s">
        <v>9180</v>
      </c>
      <c r="S318" t="s">
        <v>30</v>
      </c>
      <c r="T318" t="s">
        <v>4</v>
      </c>
    </row>
    <row r="319" spans="1:20">
      <c r="A319" t="s">
        <v>3498</v>
      </c>
      <c r="B319" t="s">
        <v>3758</v>
      </c>
      <c r="C319" s="101">
        <v>111</v>
      </c>
      <c r="D319" t="s">
        <v>9181</v>
      </c>
      <c r="E319" t="s">
        <v>1105</v>
      </c>
      <c r="G319" t="s">
        <v>3399</v>
      </c>
      <c r="K319" t="s">
        <v>9182</v>
      </c>
      <c r="S319" t="s">
        <v>181</v>
      </c>
      <c r="T319" t="s">
        <v>4</v>
      </c>
    </row>
    <row r="320" spans="1:20">
      <c r="A320" t="s">
        <v>3498</v>
      </c>
      <c r="B320" t="s">
        <v>3758</v>
      </c>
      <c r="C320" s="101">
        <v>112</v>
      </c>
      <c r="D320" t="s">
        <v>9183</v>
      </c>
      <c r="E320" t="s">
        <v>1105</v>
      </c>
      <c r="G320" t="s">
        <v>3399</v>
      </c>
      <c r="K320" t="s">
        <v>9184</v>
      </c>
      <c r="S320" t="s">
        <v>176</v>
      </c>
      <c r="T320" t="s">
        <v>4</v>
      </c>
    </row>
    <row r="321" spans="1:20">
      <c r="A321" t="s">
        <v>3498</v>
      </c>
      <c r="B321" t="s">
        <v>3758</v>
      </c>
      <c r="C321" s="101">
        <v>113</v>
      </c>
      <c r="D321" t="s">
        <v>9185</v>
      </c>
      <c r="E321" t="s">
        <v>1248</v>
      </c>
      <c r="G321" t="s">
        <v>3399</v>
      </c>
      <c r="K321" t="s">
        <v>9186</v>
      </c>
      <c r="S321" t="s">
        <v>180</v>
      </c>
      <c r="T321" t="s">
        <v>4</v>
      </c>
    </row>
    <row r="322" spans="1:20">
      <c r="A322" t="s">
        <v>3498</v>
      </c>
      <c r="B322" t="s">
        <v>3758</v>
      </c>
      <c r="C322" s="101">
        <v>114</v>
      </c>
      <c r="D322" t="s">
        <v>9187</v>
      </c>
      <c r="E322" t="s">
        <v>1248</v>
      </c>
      <c r="G322" t="s">
        <v>3399</v>
      </c>
      <c r="K322" t="s">
        <v>9188</v>
      </c>
      <c r="L322" t="s">
        <v>8853</v>
      </c>
      <c r="S322" t="s">
        <v>8</v>
      </c>
      <c r="T322" t="s">
        <v>4</v>
      </c>
    </row>
    <row r="323" spans="1:20">
      <c r="A323" t="s">
        <v>3498</v>
      </c>
      <c r="B323" t="s">
        <v>3758</v>
      </c>
      <c r="C323" s="101">
        <v>115</v>
      </c>
      <c r="D323" t="s">
        <v>9189</v>
      </c>
      <c r="E323" t="s">
        <v>1105</v>
      </c>
      <c r="G323" t="s">
        <v>3399</v>
      </c>
      <c r="K323" t="s">
        <v>9190</v>
      </c>
      <c r="S323" t="s">
        <v>45</v>
      </c>
      <c r="T323" t="s">
        <v>4</v>
      </c>
    </row>
    <row r="324" spans="1:20">
      <c r="A324" t="s">
        <v>3498</v>
      </c>
      <c r="B324" t="s">
        <v>3758</v>
      </c>
      <c r="C324" s="101">
        <v>116</v>
      </c>
      <c r="D324" t="s">
        <v>9191</v>
      </c>
      <c r="E324" t="s">
        <v>1194</v>
      </c>
      <c r="G324" t="s">
        <v>3399</v>
      </c>
      <c r="K324" t="s">
        <v>9192</v>
      </c>
      <c r="S324" t="s">
        <v>38</v>
      </c>
      <c r="T324" t="s">
        <v>4</v>
      </c>
    </row>
    <row r="325" spans="1:20">
      <c r="A325" t="s">
        <v>3498</v>
      </c>
      <c r="B325" t="s">
        <v>3758</v>
      </c>
      <c r="C325" s="101">
        <v>117</v>
      </c>
      <c r="D325" t="s">
        <v>9193</v>
      </c>
      <c r="E325" t="s">
        <v>1194</v>
      </c>
      <c r="G325" t="s">
        <v>3399</v>
      </c>
      <c r="K325" t="s">
        <v>8951</v>
      </c>
      <c r="S325" t="s">
        <v>14</v>
      </c>
      <c r="T325" t="s">
        <v>4</v>
      </c>
    </row>
    <row r="326" spans="1:20">
      <c r="A326" t="s">
        <v>3498</v>
      </c>
      <c r="B326" t="s">
        <v>3758</v>
      </c>
      <c r="C326" s="101">
        <v>118</v>
      </c>
      <c r="D326" t="s">
        <v>9194</v>
      </c>
      <c r="E326" t="s">
        <v>1250</v>
      </c>
      <c r="G326" t="s">
        <v>3399</v>
      </c>
      <c r="K326" t="s">
        <v>9195</v>
      </c>
      <c r="S326" t="s">
        <v>170</v>
      </c>
      <c r="T326" t="s">
        <v>4</v>
      </c>
    </row>
    <row r="327" spans="1:20">
      <c r="A327" t="s">
        <v>3498</v>
      </c>
      <c r="B327" t="s">
        <v>3758</v>
      </c>
      <c r="C327" s="101">
        <v>119</v>
      </c>
      <c r="D327" t="s">
        <v>9196</v>
      </c>
      <c r="E327" t="s">
        <v>1250</v>
      </c>
      <c r="G327" t="s">
        <v>3399</v>
      </c>
      <c r="K327" t="s">
        <v>9197</v>
      </c>
      <c r="L327" t="s">
        <v>9198</v>
      </c>
      <c r="S327" t="s">
        <v>31</v>
      </c>
      <c r="T327" t="s">
        <v>4</v>
      </c>
    </row>
    <row r="328" spans="1:20">
      <c r="A328" t="s">
        <v>3498</v>
      </c>
      <c r="B328" t="s">
        <v>3758</v>
      </c>
      <c r="C328" s="101">
        <v>120</v>
      </c>
      <c r="D328" t="s">
        <v>9199</v>
      </c>
      <c r="E328" t="s">
        <v>1250</v>
      </c>
      <c r="G328" t="s">
        <v>3399</v>
      </c>
      <c r="K328" t="s">
        <v>9200</v>
      </c>
      <c r="S328" t="s">
        <v>39</v>
      </c>
      <c r="T328" t="s">
        <v>4</v>
      </c>
    </row>
    <row r="329" spans="1:20">
      <c r="A329" t="s">
        <v>3498</v>
      </c>
      <c r="B329" t="s">
        <v>3758</v>
      </c>
      <c r="C329" s="101">
        <v>121</v>
      </c>
      <c r="D329" t="s">
        <v>9201</v>
      </c>
      <c r="E329" t="s">
        <v>1194</v>
      </c>
      <c r="G329" t="s">
        <v>3399</v>
      </c>
      <c r="K329" t="s">
        <v>9202</v>
      </c>
      <c r="S329" t="s">
        <v>52</v>
      </c>
      <c r="T329" t="s">
        <v>4</v>
      </c>
    </row>
    <row r="330" spans="1:20">
      <c r="A330" t="s">
        <v>3498</v>
      </c>
      <c r="B330" t="s">
        <v>3758</v>
      </c>
      <c r="C330" s="101">
        <v>122</v>
      </c>
      <c r="D330" t="s">
        <v>9203</v>
      </c>
      <c r="E330" t="s">
        <v>1250</v>
      </c>
      <c r="G330" t="s">
        <v>3399</v>
      </c>
      <c r="K330" t="s">
        <v>1232</v>
      </c>
      <c r="L330" t="s">
        <v>9204</v>
      </c>
      <c r="S330" t="s">
        <v>53</v>
      </c>
      <c r="T330" t="s">
        <v>4</v>
      </c>
    </row>
    <row r="331" spans="1:20">
      <c r="A331" t="s">
        <v>3498</v>
      </c>
      <c r="B331" t="s">
        <v>3758</v>
      </c>
      <c r="C331" s="101">
        <v>123</v>
      </c>
      <c r="D331" t="s">
        <v>9205</v>
      </c>
      <c r="E331" t="s">
        <v>9206</v>
      </c>
      <c r="G331" t="s">
        <v>3399</v>
      </c>
      <c r="K331" t="s">
        <v>5014</v>
      </c>
      <c r="L331" t="s">
        <v>9207</v>
      </c>
      <c r="S331" t="s">
        <v>172</v>
      </c>
      <c r="T331" t="s">
        <v>4</v>
      </c>
    </row>
    <row r="332" spans="1:20">
      <c r="A332" t="s">
        <v>3498</v>
      </c>
      <c r="B332" t="s">
        <v>3758</v>
      </c>
      <c r="C332" s="101">
        <v>124</v>
      </c>
      <c r="D332" t="s">
        <v>9208</v>
      </c>
      <c r="E332" t="s">
        <v>9206</v>
      </c>
      <c r="G332" t="s">
        <v>3399</v>
      </c>
      <c r="K332" t="s">
        <v>9209</v>
      </c>
      <c r="L332" t="s">
        <v>9210</v>
      </c>
      <c r="S332" t="s">
        <v>18</v>
      </c>
      <c r="T332" t="s">
        <v>4</v>
      </c>
    </row>
    <row r="333" spans="1:20">
      <c r="A333" s="2" t="s">
        <v>3463</v>
      </c>
      <c r="B333" s="2" t="s">
        <v>3758</v>
      </c>
      <c r="C333" s="101">
        <v>1001</v>
      </c>
      <c r="D333" s="2" t="s">
        <v>9613</v>
      </c>
      <c r="E333" s="2" t="s">
        <v>1099</v>
      </c>
      <c r="F333" s="2"/>
      <c r="G333" s="2" t="s">
        <v>3399</v>
      </c>
      <c r="H333" s="2"/>
      <c r="I333" s="2"/>
      <c r="J333" s="2"/>
      <c r="K333" s="2" t="s">
        <v>9614</v>
      </c>
      <c r="L333" s="2"/>
      <c r="M333" s="2"/>
      <c r="N333" s="2"/>
      <c r="O333" s="2"/>
      <c r="P333" s="2"/>
      <c r="Q333" s="2"/>
      <c r="R333" s="2"/>
      <c r="S333" s="2" t="s">
        <v>171</v>
      </c>
      <c r="T333" s="1" t="s">
        <v>7</v>
      </c>
    </row>
    <row r="334" spans="1:20">
      <c r="A334" s="2" t="s">
        <v>3463</v>
      </c>
      <c r="B334" s="2" t="s">
        <v>3758</v>
      </c>
      <c r="C334" s="101">
        <v>1002</v>
      </c>
      <c r="D334" s="2" t="s">
        <v>9615</v>
      </c>
      <c r="E334" s="2" t="s">
        <v>1099</v>
      </c>
      <c r="F334" s="2"/>
      <c r="G334" s="2" t="s">
        <v>3399</v>
      </c>
      <c r="H334" s="2"/>
      <c r="I334" s="2"/>
      <c r="J334" s="2"/>
      <c r="K334" s="2" t="s">
        <v>9616</v>
      </c>
      <c r="L334" s="2"/>
      <c r="M334" s="2"/>
      <c r="N334" s="2"/>
      <c r="O334" s="2"/>
      <c r="P334" s="2"/>
      <c r="Q334" s="2"/>
      <c r="R334" s="2"/>
      <c r="S334" s="1" t="s">
        <v>605</v>
      </c>
      <c r="T334" s="1" t="s">
        <v>7</v>
      </c>
    </row>
    <row r="335" spans="1:20">
      <c r="A335" s="2" t="s">
        <v>3463</v>
      </c>
      <c r="B335" s="2" t="s">
        <v>3758</v>
      </c>
      <c r="C335" s="101">
        <v>1003</v>
      </c>
      <c r="D335" s="1" t="s">
        <v>9617</v>
      </c>
      <c r="E335" s="1" t="s">
        <v>1099</v>
      </c>
      <c r="F335" s="1"/>
      <c r="G335" s="1" t="s">
        <v>3399</v>
      </c>
      <c r="H335" s="1"/>
      <c r="I335" s="1"/>
      <c r="J335" s="1"/>
      <c r="K335" s="1" t="s">
        <v>9618</v>
      </c>
      <c r="L335" s="1"/>
      <c r="M335" s="1"/>
      <c r="N335" s="1"/>
      <c r="O335" s="1"/>
      <c r="P335" s="1"/>
      <c r="Q335" s="1"/>
      <c r="R335" s="1"/>
      <c r="S335" s="1" t="s">
        <v>174</v>
      </c>
      <c r="T335" s="1" t="s">
        <v>7</v>
      </c>
    </row>
    <row r="336" spans="1:20">
      <c r="A336" s="2" t="s">
        <v>3463</v>
      </c>
      <c r="B336" s="2" t="s">
        <v>3758</v>
      </c>
      <c r="C336" s="101">
        <v>1004</v>
      </c>
      <c r="D336" s="1" t="s">
        <v>9619</v>
      </c>
      <c r="E336" s="1" t="s">
        <v>1099</v>
      </c>
      <c r="F336" s="1"/>
      <c r="G336" s="1" t="s">
        <v>3399</v>
      </c>
      <c r="H336" s="1"/>
      <c r="I336" s="1"/>
      <c r="J336" s="1"/>
      <c r="K336" s="1" t="s">
        <v>9620</v>
      </c>
      <c r="L336" s="1"/>
      <c r="M336" s="1"/>
      <c r="N336" s="1"/>
      <c r="O336" s="1"/>
      <c r="P336" s="1"/>
      <c r="Q336" s="1"/>
      <c r="R336" s="1"/>
      <c r="S336" s="1" t="s">
        <v>33</v>
      </c>
      <c r="T336" s="1" t="s">
        <v>7</v>
      </c>
    </row>
    <row r="337" spans="1:20">
      <c r="A337" s="2" t="s">
        <v>3463</v>
      </c>
      <c r="B337" s="2" t="s">
        <v>3758</v>
      </c>
      <c r="C337" s="101">
        <v>1005</v>
      </c>
      <c r="D337" s="1" t="s">
        <v>9621</v>
      </c>
      <c r="E337" s="1" t="s">
        <v>8750</v>
      </c>
      <c r="F337" s="1"/>
      <c r="G337" s="1" t="s">
        <v>3399</v>
      </c>
      <c r="H337" s="1"/>
      <c r="I337" s="1"/>
      <c r="J337" s="1"/>
      <c r="K337" s="1" t="s">
        <v>9622</v>
      </c>
      <c r="L337" s="1"/>
      <c r="M337" s="1"/>
      <c r="N337" s="1"/>
      <c r="O337" s="1"/>
      <c r="P337" s="1"/>
      <c r="Q337" s="1"/>
      <c r="R337" s="1"/>
      <c r="S337" s="1" t="s">
        <v>46</v>
      </c>
      <c r="T337" s="1" t="s">
        <v>7</v>
      </c>
    </row>
    <row r="338" spans="1:20">
      <c r="A338" s="2" t="s">
        <v>3463</v>
      </c>
      <c r="B338" s="2" t="s">
        <v>3758</v>
      </c>
      <c r="C338" s="101">
        <v>1006</v>
      </c>
      <c r="D338" s="1" t="s">
        <v>9623</v>
      </c>
      <c r="E338" s="1" t="s">
        <v>1099</v>
      </c>
      <c r="F338" s="1"/>
      <c r="G338" s="1" t="s">
        <v>3399</v>
      </c>
      <c r="H338" s="1"/>
      <c r="I338" s="1"/>
      <c r="J338" s="1"/>
      <c r="K338" s="1" t="s">
        <v>9624</v>
      </c>
      <c r="L338" s="1"/>
      <c r="M338" s="1"/>
      <c r="N338" s="1"/>
      <c r="O338" s="1"/>
      <c r="P338" s="1"/>
      <c r="Q338" s="1"/>
      <c r="R338" s="1"/>
      <c r="S338" s="1" t="s">
        <v>26</v>
      </c>
      <c r="T338" s="1" t="s">
        <v>7</v>
      </c>
    </row>
    <row r="339" spans="1:20">
      <c r="A339" s="2" t="s">
        <v>3463</v>
      </c>
      <c r="B339" s="2" t="s">
        <v>3758</v>
      </c>
      <c r="C339" s="101">
        <v>1007</v>
      </c>
      <c r="D339" s="1" t="s">
        <v>9625</v>
      </c>
      <c r="E339" s="1" t="s">
        <v>9626</v>
      </c>
      <c r="F339" s="1"/>
      <c r="G339" s="1" t="s">
        <v>3399</v>
      </c>
      <c r="H339" s="1"/>
      <c r="I339" s="1"/>
      <c r="J339" s="1"/>
      <c r="K339" s="1" t="s">
        <v>9420</v>
      </c>
      <c r="L339" s="1" t="s">
        <v>9627</v>
      </c>
      <c r="M339" s="1"/>
      <c r="N339" s="1"/>
      <c r="O339" s="1"/>
      <c r="P339" s="1"/>
      <c r="Q339" s="1"/>
      <c r="R339" s="1"/>
      <c r="S339" s="1" t="s">
        <v>606</v>
      </c>
      <c r="T339" s="1" t="s">
        <v>7</v>
      </c>
    </row>
    <row r="340" spans="1:20">
      <c r="A340" s="2" t="s">
        <v>3463</v>
      </c>
      <c r="B340" s="2" t="s">
        <v>3758</v>
      </c>
      <c r="C340" s="101">
        <v>1008</v>
      </c>
      <c r="D340" s="1" t="s">
        <v>9628</v>
      </c>
      <c r="E340" s="1" t="s">
        <v>8750</v>
      </c>
      <c r="F340" s="1"/>
      <c r="G340" s="1" t="s">
        <v>3399</v>
      </c>
      <c r="H340" s="1"/>
      <c r="I340" s="1"/>
      <c r="J340" s="1"/>
      <c r="K340" s="1" t="s">
        <v>9629</v>
      </c>
      <c r="L340" s="1" t="s">
        <v>9630</v>
      </c>
      <c r="M340" s="1"/>
      <c r="N340" s="1"/>
      <c r="O340" s="1"/>
      <c r="P340" s="1"/>
      <c r="Q340" s="1"/>
      <c r="R340" s="1"/>
      <c r="S340" s="1" t="s">
        <v>10</v>
      </c>
      <c r="T340" s="1" t="s">
        <v>7</v>
      </c>
    </row>
    <row r="341" spans="1:20">
      <c r="A341" s="2" t="s">
        <v>3463</v>
      </c>
      <c r="B341" s="2" t="s">
        <v>3758</v>
      </c>
      <c r="C341" s="101">
        <v>1009</v>
      </c>
      <c r="D341" s="1" t="s">
        <v>9631</v>
      </c>
      <c r="E341" s="1" t="s">
        <v>1099</v>
      </c>
      <c r="F341" s="1"/>
      <c r="G341" s="1" t="s">
        <v>3399</v>
      </c>
      <c r="H341" s="1"/>
      <c r="I341" s="1"/>
      <c r="J341" s="1"/>
      <c r="K341" s="1" t="s">
        <v>9632</v>
      </c>
      <c r="L341" s="1"/>
      <c r="M341" s="1"/>
      <c r="N341" s="1"/>
      <c r="O341" s="1"/>
      <c r="P341" s="1"/>
      <c r="Q341" s="1"/>
      <c r="R341" s="1"/>
      <c r="S341" s="1" t="s">
        <v>52</v>
      </c>
      <c r="T341" s="1" t="s">
        <v>7</v>
      </c>
    </row>
    <row r="342" spans="1:20">
      <c r="A342" s="2" t="s">
        <v>3463</v>
      </c>
      <c r="B342" s="2" t="s">
        <v>3758</v>
      </c>
      <c r="C342" s="101">
        <v>1010</v>
      </c>
      <c r="D342" s="1" t="s">
        <v>9633</v>
      </c>
      <c r="E342" s="1" t="s">
        <v>1099</v>
      </c>
      <c r="F342" s="1"/>
      <c r="G342" s="1" t="s">
        <v>3399</v>
      </c>
      <c r="H342" s="1"/>
      <c r="I342" s="1"/>
      <c r="J342" s="1"/>
      <c r="K342" s="1" t="s">
        <v>9634</v>
      </c>
      <c r="L342" s="1"/>
      <c r="M342" s="1"/>
      <c r="N342" s="1"/>
      <c r="O342" s="1"/>
      <c r="P342" s="1"/>
      <c r="Q342" s="1"/>
      <c r="R342" s="1"/>
      <c r="S342" s="1" t="s">
        <v>38</v>
      </c>
      <c r="T342" s="1" t="s">
        <v>7</v>
      </c>
    </row>
    <row r="343" spans="1:20">
      <c r="A343" s="2" t="s">
        <v>3463</v>
      </c>
      <c r="B343" s="2" t="s">
        <v>3758</v>
      </c>
      <c r="C343" s="101">
        <v>1011</v>
      </c>
      <c r="D343" s="1" t="s">
        <v>9635</v>
      </c>
      <c r="E343" s="1" t="s">
        <v>1099</v>
      </c>
      <c r="F343" s="1"/>
      <c r="G343" s="1" t="s">
        <v>3399</v>
      </c>
      <c r="H343" s="1"/>
      <c r="I343" s="1"/>
      <c r="J343" s="1"/>
      <c r="K343" s="1" t="s">
        <v>9636</v>
      </c>
      <c r="L343" s="1" t="s">
        <v>4955</v>
      </c>
      <c r="M343" s="1"/>
      <c r="N343" s="1"/>
      <c r="O343" s="1"/>
      <c r="P343" s="1"/>
      <c r="Q343" s="1"/>
      <c r="R343" s="1"/>
      <c r="S343" s="1" t="s">
        <v>44</v>
      </c>
      <c r="T343" s="1" t="s">
        <v>7</v>
      </c>
    </row>
    <row r="344" spans="1:20">
      <c r="A344" s="2" t="s">
        <v>3463</v>
      </c>
      <c r="B344" s="2" t="s">
        <v>3758</v>
      </c>
      <c r="C344" s="101">
        <v>1012</v>
      </c>
      <c r="D344" s="1" t="s">
        <v>9637</v>
      </c>
      <c r="E344" s="1" t="s">
        <v>1099</v>
      </c>
      <c r="F344" s="1"/>
      <c r="G344" s="1" t="s">
        <v>3399</v>
      </c>
      <c r="H344" s="1"/>
      <c r="I344" s="1"/>
      <c r="J344" s="1"/>
      <c r="K344" s="1" t="s">
        <v>9638</v>
      </c>
      <c r="L344" s="1"/>
      <c r="M344" s="1"/>
      <c r="N344" s="1"/>
      <c r="O344" s="1"/>
      <c r="P344" s="1"/>
      <c r="Q344" s="1"/>
      <c r="R344" s="1"/>
      <c r="S344" s="1" t="s">
        <v>29</v>
      </c>
      <c r="T344" s="1" t="s">
        <v>7</v>
      </c>
    </row>
    <row r="345" spans="1:20">
      <c r="A345" s="2" t="s">
        <v>3463</v>
      </c>
      <c r="B345" s="2" t="s">
        <v>3758</v>
      </c>
      <c r="C345" s="101">
        <v>1013</v>
      </c>
      <c r="D345" s="1" t="s">
        <v>9639</v>
      </c>
      <c r="E345" s="1" t="s">
        <v>1099</v>
      </c>
      <c r="F345" s="1"/>
      <c r="G345" s="1" t="s">
        <v>3399</v>
      </c>
      <c r="H345" s="1"/>
      <c r="I345" s="1"/>
      <c r="J345" s="1"/>
      <c r="K345" s="1" t="s">
        <v>9640</v>
      </c>
      <c r="L345" s="1"/>
      <c r="M345" s="1"/>
      <c r="N345" s="1"/>
      <c r="O345" s="1"/>
      <c r="P345" s="1"/>
      <c r="Q345" s="1"/>
      <c r="R345" s="1"/>
      <c r="S345" s="1" t="s">
        <v>170</v>
      </c>
      <c r="T345" s="1" t="s">
        <v>7</v>
      </c>
    </row>
    <row r="346" spans="1:20">
      <c r="A346" s="2" t="s">
        <v>3463</v>
      </c>
      <c r="B346" s="2" t="s">
        <v>3758</v>
      </c>
      <c r="C346" s="101">
        <v>1014</v>
      </c>
      <c r="D346" s="1" t="s">
        <v>9641</v>
      </c>
      <c r="E346" s="1" t="s">
        <v>1100</v>
      </c>
      <c r="F346" s="1"/>
      <c r="G346" s="1" t="s">
        <v>3399</v>
      </c>
      <c r="H346" s="1"/>
      <c r="I346" s="1"/>
      <c r="J346" s="1"/>
      <c r="K346" s="1" t="s">
        <v>8876</v>
      </c>
      <c r="L346" s="1"/>
      <c r="M346" s="1"/>
      <c r="N346" s="1"/>
      <c r="O346" s="1"/>
      <c r="P346" s="1"/>
      <c r="Q346" s="1"/>
      <c r="R346" s="1"/>
      <c r="S346" s="1" t="s">
        <v>605</v>
      </c>
      <c r="T346" s="1" t="s">
        <v>7</v>
      </c>
    </row>
    <row r="347" spans="1:20">
      <c r="A347" s="2" t="s">
        <v>3463</v>
      </c>
      <c r="B347" s="2" t="s">
        <v>3758</v>
      </c>
      <c r="C347" s="101">
        <v>1015</v>
      </c>
      <c r="D347" s="1" t="s">
        <v>9642</v>
      </c>
      <c r="E347" s="1" t="s">
        <v>1100</v>
      </c>
      <c r="F347" s="1"/>
      <c r="G347" s="1" t="s">
        <v>3399</v>
      </c>
      <c r="H347" s="1"/>
      <c r="I347" s="1"/>
      <c r="J347" s="1"/>
      <c r="K347" s="1" t="s">
        <v>9643</v>
      </c>
      <c r="L347" s="1"/>
      <c r="M347" s="1"/>
      <c r="N347" s="1"/>
      <c r="O347" s="1"/>
      <c r="P347" s="1"/>
      <c r="Q347" s="1"/>
      <c r="R347" s="1"/>
      <c r="S347" s="1" t="s">
        <v>10</v>
      </c>
      <c r="T347" s="1" t="s">
        <v>7</v>
      </c>
    </row>
    <row r="348" spans="1:20">
      <c r="A348" s="2" t="s">
        <v>3463</v>
      </c>
      <c r="B348" s="2" t="s">
        <v>3758</v>
      </c>
      <c r="C348" s="101">
        <v>1016</v>
      </c>
      <c r="D348" s="1" t="s">
        <v>9644</v>
      </c>
      <c r="E348" s="1" t="s">
        <v>1181</v>
      </c>
      <c r="F348" s="1"/>
      <c r="G348" s="1" t="s">
        <v>3399</v>
      </c>
      <c r="H348" s="1"/>
      <c r="I348" s="1"/>
      <c r="J348" s="1"/>
      <c r="K348" s="1" t="s">
        <v>9645</v>
      </c>
      <c r="L348" s="1"/>
      <c r="M348" s="1"/>
      <c r="N348" s="1"/>
      <c r="O348" s="1"/>
      <c r="P348" s="1"/>
      <c r="Q348" s="1"/>
      <c r="R348" s="1"/>
      <c r="S348" s="1" t="s">
        <v>174</v>
      </c>
      <c r="T348" s="1" t="s">
        <v>7</v>
      </c>
    </row>
    <row r="349" spans="1:20">
      <c r="A349" s="2" t="s">
        <v>3463</v>
      </c>
      <c r="B349" s="2" t="s">
        <v>3758</v>
      </c>
      <c r="C349" s="101">
        <v>1017</v>
      </c>
      <c r="D349" s="1" t="s">
        <v>9646</v>
      </c>
      <c r="E349" s="1" t="s">
        <v>1181</v>
      </c>
      <c r="F349" s="1"/>
      <c r="G349" s="1" t="s">
        <v>3399</v>
      </c>
      <c r="H349" s="1"/>
      <c r="I349" s="1"/>
      <c r="J349" s="1"/>
      <c r="K349" s="1" t="s">
        <v>9647</v>
      </c>
      <c r="L349" s="1" t="s">
        <v>9648</v>
      </c>
      <c r="M349" s="1"/>
      <c r="N349" s="1"/>
      <c r="O349" s="1"/>
      <c r="P349" s="1"/>
      <c r="Q349" s="1"/>
      <c r="R349" s="1"/>
      <c r="S349" s="1" t="s">
        <v>607</v>
      </c>
      <c r="T349" s="1" t="s">
        <v>7</v>
      </c>
    </row>
    <row r="350" spans="1:20">
      <c r="A350" s="2" t="s">
        <v>3463</v>
      </c>
      <c r="B350" s="2" t="s">
        <v>3758</v>
      </c>
      <c r="C350" s="101">
        <v>1018</v>
      </c>
      <c r="D350" s="1" t="s">
        <v>9649</v>
      </c>
      <c r="E350" s="1" t="s">
        <v>1100</v>
      </c>
      <c r="F350" s="1"/>
      <c r="G350" s="1" t="s">
        <v>3399</v>
      </c>
      <c r="H350" s="1"/>
      <c r="I350" s="1"/>
      <c r="J350" s="1"/>
      <c r="K350" s="1" t="s">
        <v>9650</v>
      </c>
      <c r="L350" s="1" t="s">
        <v>9651</v>
      </c>
      <c r="M350" s="1"/>
      <c r="N350" s="1"/>
      <c r="O350" s="1"/>
      <c r="P350" s="1"/>
      <c r="Q350" s="1"/>
      <c r="R350" s="1"/>
      <c r="S350" s="1" t="s">
        <v>39</v>
      </c>
      <c r="T350" s="1" t="s">
        <v>7</v>
      </c>
    </row>
    <row r="351" spans="1:20">
      <c r="A351" s="2" t="s">
        <v>3463</v>
      </c>
      <c r="B351" s="2" t="s">
        <v>3758</v>
      </c>
      <c r="C351" s="101">
        <v>1019</v>
      </c>
      <c r="D351" s="1" t="s">
        <v>9652</v>
      </c>
      <c r="E351" s="1" t="s">
        <v>1100</v>
      </c>
      <c r="F351" s="1"/>
      <c r="G351" s="1" t="s">
        <v>3399</v>
      </c>
      <c r="H351" s="1"/>
      <c r="I351" s="1"/>
      <c r="J351" s="1"/>
      <c r="K351" s="1" t="s">
        <v>9653</v>
      </c>
      <c r="L351" s="1"/>
      <c r="M351" s="1"/>
      <c r="N351" s="1"/>
      <c r="O351" s="1"/>
      <c r="P351" s="1"/>
      <c r="Q351" s="1"/>
      <c r="R351" s="1"/>
      <c r="S351" s="1" t="s">
        <v>31</v>
      </c>
      <c r="T351" s="1" t="s">
        <v>7</v>
      </c>
    </row>
    <row r="352" spans="1:20">
      <c r="A352" s="2" t="s">
        <v>3463</v>
      </c>
      <c r="B352" s="2" t="s">
        <v>3758</v>
      </c>
      <c r="C352" s="101">
        <v>1020</v>
      </c>
      <c r="D352" s="1" t="s">
        <v>9654</v>
      </c>
      <c r="E352" s="1" t="s">
        <v>1100</v>
      </c>
      <c r="F352" s="1"/>
      <c r="G352" s="1" t="s">
        <v>3399</v>
      </c>
      <c r="H352" s="1"/>
      <c r="I352" s="1"/>
      <c r="J352" s="1"/>
      <c r="K352" s="1" t="s">
        <v>9655</v>
      </c>
      <c r="L352" s="1" t="s">
        <v>9656</v>
      </c>
      <c r="M352" s="1"/>
      <c r="N352" s="1"/>
      <c r="O352" s="1"/>
      <c r="P352" s="1"/>
      <c r="Q352" s="1"/>
      <c r="R352" s="1"/>
      <c r="S352" s="1" t="s">
        <v>607</v>
      </c>
      <c r="T352" s="1" t="s">
        <v>7</v>
      </c>
    </row>
    <row r="353" spans="1:20">
      <c r="A353" s="2" t="s">
        <v>3463</v>
      </c>
      <c r="B353" s="2" t="s">
        <v>3758</v>
      </c>
      <c r="C353" s="101">
        <v>1021</v>
      </c>
      <c r="D353" s="1" t="s">
        <v>9657</v>
      </c>
      <c r="E353" s="1" t="s">
        <v>1181</v>
      </c>
      <c r="F353" s="1"/>
      <c r="G353" s="1" t="s">
        <v>3399</v>
      </c>
      <c r="H353" s="1"/>
      <c r="I353" s="1"/>
      <c r="J353" s="1"/>
      <c r="K353" s="1" t="s">
        <v>9658</v>
      </c>
      <c r="L353" s="1"/>
      <c r="M353" s="1"/>
      <c r="N353" s="1"/>
      <c r="O353" s="1"/>
      <c r="P353" s="1"/>
      <c r="Q353" s="1"/>
      <c r="R353" s="1"/>
      <c r="S353" s="1" t="s">
        <v>179</v>
      </c>
      <c r="T353" s="1" t="s">
        <v>7</v>
      </c>
    </row>
    <row r="354" spans="1:20">
      <c r="A354" s="2" t="s">
        <v>3463</v>
      </c>
      <c r="B354" s="2" t="s">
        <v>3758</v>
      </c>
      <c r="C354" s="101">
        <v>1022</v>
      </c>
      <c r="D354" s="1" t="s">
        <v>9659</v>
      </c>
      <c r="E354" s="1" t="s">
        <v>1100</v>
      </c>
      <c r="F354" s="1"/>
      <c r="G354" s="1" t="s">
        <v>3399</v>
      </c>
      <c r="H354" s="1"/>
      <c r="I354" s="1"/>
      <c r="J354" s="1"/>
      <c r="K354" s="1" t="s">
        <v>9660</v>
      </c>
      <c r="L354" s="1"/>
      <c r="M354" s="1"/>
      <c r="N354" s="1"/>
      <c r="O354" s="1"/>
      <c r="P354" s="1"/>
      <c r="Q354" s="1"/>
      <c r="R354" s="1"/>
      <c r="S354" s="1" t="s">
        <v>169</v>
      </c>
      <c r="T354" s="1" t="s">
        <v>7</v>
      </c>
    </row>
    <row r="355" spans="1:20">
      <c r="A355" s="2" t="s">
        <v>3463</v>
      </c>
      <c r="B355" s="2" t="s">
        <v>3758</v>
      </c>
      <c r="C355" s="101">
        <v>1023</v>
      </c>
      <c r="D355" s="1" t="s">
        <v>9661</v>
      </c>
      <c r="E355" s="1" t="s">
        <v>1100</v>
      </c>
      <c r="F355" s="1"/>
      <c r="G355" s="1" t="s">
        <v>3447</v>
      </c>
      <c r="H355" s="1" t="s">
        <v>13403</v>
      </c>
      <c r="I355" s="1"/>
      <c r="J355" s="1"/>
      <c r="K355" s="1" t="s">
        <v>9062</v>
      </c>
      <c r="L355" s="1"/>
      <c r="M355" s="1"/>
      <c r="N355" s="1"/>
      <c r="O355" s="1"/>
      <c r="P355" s="1"/>
      <c r="Q355" s="1"/>
      <c r="R355" s="1"/>
      <c r="S355" s="1" t="s">
        <v>3119</v>
      </c>
      <c r="T355" s="1" t="s">
        <v>7</v>
      </c>
    </row>
    <row r="356" spans="1:20">
      <c r="A356" s="2" t="s">
        <v>3463</v>
      </c>
      <c r="B356" s="2" t="s">
        <v>3758</v>
      </c>
      <c r="C356" s="101">
        <v>1024</v>
      </c>
      <c r="D356" s="1" t="s">
        <v>9662</v>
      </c>
      <c r="E356" s="1" t="s">
        <v>1100</v>
      </c>
      <c r="F356" s="1"/>
      <c r="G356" s="1" t="s">
        <v>3399</v>
      </c>
      <c r="H356" s="1"/>
      <c r="I356" s="1"/>
      <c r="J356" s="1"/>
      <c r="K356" s="1" t="s">
        <v>9663</v>
      </c>
      <c r="L356" s="1"/>
      <c r="M356" s="1"/>
      <c r="N356" s="1"/>
      <c r="O356" s="1"/>
      <c r="P356" s="1"/>
      <c r="Q356" s="1"/>
      <c r="R356" s="1"/>
      <c r="S356" s="1" t="s">
        <v>32</v>
      </c>
      <c r="T356" s="1" t="s">
        <v>7</v>
      </c>
    </row>
    <row r="357" spans="1:20">
      <c r="A357" s="2" t="s">
        <v>3463</v>
      </c>
      <c r="B357" s="2" t="s">
        <v>3758</v>
      </c>
      <c r="C357" s="101">
        <v>1025</v>
      </c>
      <c r="D357" s="1" t="s">
        <v>9664</v>
      </c>
      <c r="E357" s="1" t="s">
        <v>1100</v>
      </c>
      <c r="F357" s="1"/>
      <c r="G357" s="1" t="s">
        <v>3399</v>
      </c>
      <c r="H357" s="1"/>
      <c r="I357" s="1"/>
      <c r="J357" s="1"/>
      <c r="K357" s="1" t="s">
        <v>9665</v>
      </c>
      <c r="L357" s="1"/>
      <c r="M357" s="1"/>
      <c r="N357" s="1"/>
      <c r="O357" s="1"/>
      <c r="P357" s="1"/>
      <c r="Q357" s="1"/>
      <c r="R357" s="1"/>
      <c r="S357" s="1" t="s">
        <v>17</v>
      </c>
      <c r="T357" s="1" t="s">
        <v>7</v>
      </c>
    </row>
    <row r="358" spans="1:20">
      <c r="A358" s="2" t="s">
        <v>3463</v>
      </c>
      <c r="B358" s="2" t="s">
        <v>3758</v>
      </c>
      <c r="C358" s="101">
        <v>1026</v>
      </c>
      <c r="D358" s="1" t="s">
        <v>9666</v>
      </c>
      <c r="E358" s="1" t="s">
        <v>8840</v>
      </c>
      <c r="F358" s="1"/>
      <c r="G358" s="1" t="s">
        <v>3399</v>
      </c>
      <c r="H358" s="1" t="s">
        <v>5180</v>
      </c>
      <c r="I358" s="1"/>
      <c r="J358" s="1"/>
      <c r="K358" s="1" t="s">
        <v>9667</v>
      </c>
      <c r="L358" s="1"/>
      <c r="M358" s="1"/>
      <c r="N358" s="1"/>
      <c r="O358" s="1"/>
      <c r="P358" s="1"/>
      <c r="Q358" s="1"/>
      <c r="R358" s="1"/>
      <c r="S358" s="1" t="s">
        <v>175</v>
      </c>
      <c r="T358" s="1" t="s">
        <v>7</v>
      </c>
    </row>
    <row r="359" spans="1:20">
      <c r="A359" s="2" t="s">
        <v>3463</v>
      </c>
      <c r="B359" s="2" t="s">
        <v>3758</v>
      </c>
      <c r="C359" s="101">
        <v>1027</v>
      </c>
      <c r="D359" s="1" t="s">
        <v>9668</v>
      </c>
      <c r="E359" s="1" t="s">
        <v>8840</v>
      </c>
      <c r="F359" s="1"/>
      <c r="G359" s="1" t="s">
        <v>3399</v>
      </c>
      <c r="H359" s="1"/>
      <c r="I359" s="1"/>
      <c r="J359" s="1"/>
      <c r="K359" s="1" t="s">
        <v>9669</v>
      </c>
      <c r="L359" s="1"/>
      <c r="M359" s="1"/>
      <c r="N359" s="1"/>
      <c r="O359" s="1"/>
      <c r="P359" s="1"/>
      <c r="Q359" s="1"/>
      <c r="R359" s="1"/>
      <c r="S359" s="1" t="s">
        <v>50</v>
      </c>
      <c r="T359" s="1" t="s">
        <v>7</v>
      </c>
    </row>
    <row r="360" spans="1:20">
      <c r="A360" s="2" t="s">
        <v>3463</v>
      </c>
      <c r="B360" s="2" t="s">
        <v>3758</v>
      </c>
      <c r="C360" s="101">
        <v>1028</v>
      </c>
      <c r="D360" s="1" t="s">
        <v>9670</v>
      </c>
      <c r="E360" s="1" t="s">
        <v>1100</v>
      </c>
      <c r="F360" s="1"/>
      <c r="G360" s="1" t="s">
        <v>3399</v>
      </c>
      <c r="H360" s="1"/>
      <c r="I360" s="1"/>
      <c r="J360" s="1"/>
      <c r="K360" s="1" t="s">
        <v>9671</v>
      </c>
      <c r="L360" s="1"/>
      <c r="M360" s="1"/>
      <c r="N360" s="1"/>
      <c r="O360" s="1"/>
      <c r="P360" s="1"/>
      <c r="Q360" s="1"/>
      <c r="R360" s="1"/>
      <c r="S360" s="1" t="s">
        <v>3119</v>
      </c>
      <c r="T360" s="1" t="s">
        <v>7</v>
      </c>
    </row>
    <row r="361" spans="1:20">
      <c r="A361" s="2" t="s">
        <v>3463</v>
      </c>
      <c r="B361" s="2" t="s">
        <v>3758</v>
      </c>
      <c r="C361" s="101">
        <v>1029</v>
      </c>
      <c r="D361" s="1" t="s">
        <v>9672</v>
      </c>
      <c r="E361" s="1" t="s">
        <v>1100</v>
      </c>
      <c r="F361" s="1"/>
      <c r="G361" s="1" t="s">
        <v>3399</v>
      </c>
      <c r="H361" s="1"/>
      <c r="I361" s="1"/>
      <c r="J361" s="1"/>
      <c r="K361" s="1" t="s">
        <v>9673</v>
      </c>
      <c r="L361" s="1"/>
      <c r="M361" s="1"/>
      <c r="N361" s="1"/>
      <c r="O361" s="1"/>
      <c r="P361" s="1"/>
      <c r="Q361" s="1"/>
      <c r="R361" s="1"/>
      <c r="S361" s="1" t="s">
        <v>53</v>
      </c>
      <c r="T361" s="1" t="s">
        <v>7</v>
      </c>
    </row>
    <row r="362" spans="1:20">
      <c r="A362" s="2" t="s">
        <v>3463</v>
      </c>
      <c r="B362" s="2" t="s">
        <v>3758</v>
      </c>
      <c r="C362" s="101">
        <v>1030</v>
      </c>
      <c r="D362" s="1" t="s">
        <v>9674</v>
      </c>
      <c r="E362" s="1" t="s">
        <v>9042</v>
      </c>
      <c r="F362" s="1"/>
      <c r="G362" s="1" t="s">
        <v>3399</v>
      </c>
      <c r="H362" s="1"/>
      <c r="I362" s="1"/>
      <c r="J362" s="1"/>
      <c r="K362" s="1" t="s">
        <v>9043</v>
      </c>
      <c r="L362" s="1" t="s">
        <v>9044</v>
      </c>
      <c r="M362" s="1"/>
      <c r="N362" s="1"/>
      <c r="O362" s="1"/>
      <c r="P362" s="1"/>
      <c r="Q362" s="1"/>
      <c r="R362" s="1"/>
      <c r="S362" s="1" t="s">
        <v>174</v>
      </c>
      <c r="T362" s="1" t="s">
        <v>7</v>
      </c>
    </row>
    <row r="363" spans="1:20">
      <c r="A363" s="2" t="s">
        <v>3463</v>
      </c>
      <c r="B363" s="2" t="s">
        <v>3758</v>
      </c>
      <c r="C363" s="101">
        <v>1031</v>
      </c>
      <c r="D363" s="1" t="s">
        <v>9675</v>
      </c>
      <c r="E363" s="1" t="s">
        <v>1100</v>
      </c>
      <c r="F363" s="1"/>
      <c r="G363" s="1" t="s">
        <v>3399</v>
      </c>
      <c r="H363" s="1"/>
      <c r="I363" s="1"/>
      <c r="J363" s="1"/>
      <c r="K363" s="1" t="s">
        <v>7296</v>
      </c>
      <c r="L363" s="1" t="s">
        <v>9676</v>
      </c>
      <c r="M363" s="1"/>
      <c r="N363" s="1"/>
      <c r="O363" s="1"/>
      <c r="P363" s="1"/>
      <c r="Q363" s="1"/>
      <c r="R363" s="1"/>
      <c r="S363" s="1" t="s">
        <v>28</v>
      </c>
      <c r="T363" s="1" t="s">
        <v>7</v>
      </c>
    </row>
    <row r="364" spans="1:20">
      <c r="A364" s="2" t="s">
        <v>3463</v>
      </c>
      <c r="B364" s="2" t="s">
        <v>3758</v>
      </c>
      <c r="C364" s="101">
        <v>1032</v>
      </c>
      <c r="D364" s="1" t="s">
        <v>9677</v>
      </c>
      <c r="E364" s="1" t="s">
        <v>1181</v>
      </c>
      <c r="F364" s="1"/>
      <c r="G364" s="1" t="s">
        <v>3399</v>
      </c>
      <c r="H364" s="1"/>
      <c r="I364" s="1"/>
      <c r="J364" s="1"/>
      <c r="K364" s="1" t="s">
        <v>9678</v>
      </c>
      <c r="L364" s="1"/>
      <c r="M364" s="1"/>
      <c r="N364" s="1"/>
      <c r="O364" s="1"/>
      <c r="P364" s="1"/>
      <c r="Q364" s="1"/>
      <c r="R364" s="1"/>
      <c r="S364" s="1" t="s">
        <v>30</v>
      </c>
      <c r="T364" s="1" t="s">
        <v>7</v>
      </c>
    </row>
    <row r="365" spans="1:20">
      <c r="A365" s="2" t="s">
        <v>3463</v>
      </c>
      <c r="B365" s="2" t="s">
        <v>3758</v>
      </c>
      <c r="C365" s="101">
        <v>1033</v>
      </c>
      <c r="D365" s="1" t="s">
        <v>9679</v>
      </c>
      <c r="E365" s="1" t="s">
        <v>1101</v>
      </c>
      <c r="F365" s="1"/>
      <c r="G365" s="1" t="s">
        <v>3399</v>
      </c>
      <c r="H365" s="1"/>
      <c r="I365" s="1"/>
      <c r="J365" s="1"/>
      <c r="K365" s="1" t="s">
        <v>9680</v>
      </c>
      <c r="L365" s="1"/>
      <c r="M365" s="1"/>
      <c r="N365" s="1"/>
      <c r="O365" s="1"/>
      <c r="P365" s="1"/>
      <c r="Q365" s="1"/>
      <c r="R365" s="1"/>
      <c r="S365" s="1" t="s">
        <v>53</v>
      </c>
      <c r="T365" s="1" t="s">
        <v>7</v>
      </c>
    </row>
    <row r="366" spans="1:20">
      <c r="A366" s="2" t="s">
        <v>3463</v>
      </c>
      <c r="B366" s="2" t="s">
        <v>3758</v>
      </c>
      <c r="C366" s="101">
        <v>1034</v>
      </c>
      <c r="D366" s="1" t="s">
        <v>9681</v>
      </c>
      <c r="E366" s="1" t="s">
        <v>1102</v>
      </c>
      <c r="F366" s="1"/>
      <c r="G366" s="1" t="s">
        <v>3399</v>
      </c>
      <c r="H366" s="1"/>
      <c r="I366" s="1"/>
      <c r="J366" s="1"/>
      <c r="K366" s="1" t="s">
        <v>9682</v>
      </c>
      <c r="L366" s="1" t="s">
        <v>9683</v>
      </c>
      <c r="M366" s="1"/>
      <c r="N366" s="1"/>
      <c r="O366" s="1"/>
      <c r="P366" s="1"/>
      <c r="Q366" s="1"/>
      <c r="R366" s="1"/>
      <c r="S366" s="1" t="s">
        <v>26</v>
      </c>
      <c r="T366" s="1" t="s">
        <v>7</v>
      </c>
    </row>
    <row r="367" spans="1:20">
      <c r="A367" s="2" t="s">
        <v>3463</v>
      </c>
      <c r="B367" s="2" t="s">
        <v>3758</v>
      </c>
      <c r="C367" s="101">
        <v>1035</v>
      </c>
      <c r="D367" s="1" t="s">
        <v>9684</v>
      </c>
      <c r="E367" s="1" t="s">
        <v>1102</v>
      </c>
      <c r="F367" s="1"/>
      <c r="G367" s="1" t="s">
        <v>3399</v>
      </c>
      <c r="H367" s="1"/>
      <c r="I367" s="1"/>
      <c r="J367" s="1"/>
      <c r="K367" s="1" t="s">
        <v>9105</v>
      </c>
      <c r="L367" s="1" t="s">
        <v>6410</v>
      </c>
      <c r="M367" s="1"/>
      <c r="N367" s="1"/>
      <c r="O367" s="1"/>
      <c r="P367" s="1"/>
      <c r="Q367" s="1"/>
      <c r="R367" s="1"/>
      <c r="S367" s="1" t="s">
        <v>5381</v>
      </c>
      <c r="T367" s="1" t="s">
        <v>7</v>
      </c>
    </row>
    <row r="368" spans="1:20">
      <c r="A368" s="2" t="s">
        <v>3463</v>
      </c>
      <c r="B368" s="2" t="s">
        <v>3758</v>
      </c>
      <c r="C368" s="101">
        <v>1036</v>
      </c>
      <c r="D368" s="1" t="s">
        <v>9685</v>
      </c>
      <c r="E368" s="1" t="s">
        <v>1102</v>
      </c>
      <c r="F368" s="1"/>
      <c r="G368" s="1" t="s">
        <v>3399</v>
      </c>
      <c r="H368" s="1"/>
      <c r="I368" s="1"/>
      <c r="J368" s="1"/>
      <c r="K368" s="1" t="s">
        <v>9686</v>
      </c>
      <c r="L368" s="1"/>
      <c r="M368" s="1"/>
      <c r="N368" s="1"/>
      <c r="O368" s="1"/>
      <c r="P368" s="1"/>
      <c r="Q368" s="1"/>
      <c r="R368" s="1"/>
      <c r="S368" s="1" t="s">
        <v>15</v>
      </c>
      <c r="T368" s="1" t="s">
        <v>7</v>
      </c>
    </row>
    <row r="369" spans="1:20">
      <c r="A369" s="2" t="s">
        <v>3463</v>
      </c>
      <c r="B369" s="2" t="s">
        <v>3758</v>
      </c>
      <c r="C369" s="101">
        <v>1037</v>
      </c>
      <c r="D369" s="1" t="s">
        <v>9687</v>
      </c>
      <c r="E369" s="1" t="s">
        <v>1101</v>
      </c>
      <c r="F369" s="1"/>
      <c r="G369" s="1" t="s">
        <v>3399</v>
      </c>
      <c r="H369" s="1"/>
      <c r="I369" s="1"/>
      <c r="J369" s="1"/>
      <c r="K369" s="1" t="s">
        <v>9688</v>
      </c>
      <c r="L369" s="1" t="s">
        <v>9689</v>
      </c>
      <c r="M369" s="1"/>
      <c r="N369" s="1"/>
      <c r="O369" s="1"/>
      <c r="P369" s="1"/>
      <c r="Q369" s="1"/>
      <c r="R369" s="1"/>
      <c r="S369" s="1" t="s">
        <v>30</v>
      </c>
      <c r="T369" s="1" t="s">
        <v>7</v>
      </c>
    </row>
    <row r="370" spans="1:20">
      <c r="A370" s="2" t="s">
        <v>3463</v>
      </c>
      <c r="B370" s="2" t="s">
        <v>3758</v>
      </c>
      <c r="C370" s="101">
        <v>1038</v>
      </c>
      <c r="D370" s="1" t="s">
        <v>9690</v>
      </c>
      <c r="E370" s="1" t="s">
        <v>1101</v>
      </c>
      <c r="F370" s="1"/>
      <c r="G370" s="1" t="s">
        <v>3399</v>
      </c>
      <c r="H370" s="1"/>
      <c r="I370" s="1"/>
      <c r="J370" s="1"/>
      <c r="K370" s="1" t="s">
        <v>9691</v>
      </c>
      <c r="L370" s="1" t="s">
        <v>8853</v>
      </c>
      <c r="M370" s="1"/>
      <c r="N370" s="1"/>
      <c r="O370" s="1"/>
      <c r="P370" s="1"/>
      <c r="Q370" s="1"/>
      <c r="R370" s="1"/>
      <c r="S370" s="1" t="s">
        <v>8</v>
      </c>
      <c r="T370" s="1" t="s">
        <v>7</v>
      </c>
    </row>
    <row r="371" spans="1:20">
      <c r="A371" s="2" t="s">
        <v>3463</v>
      </c>
      <c r="B371" s="2" t="s">
        <v>3758</v>
      </c>
      <c r="C371" s="101">
        <v>1039</v>
      </c>
      <c r="D371" s="1" t="s">
        <v>9692</v>
      </c>
      <c r="E371" s="1" t="s">
        <v>1101</v>
      </c>
      <c r="F371" s="1"/>
      <c r="G371" s="1" t="s">
        <v>3399</v>
      </c>
      <c r="H371" s="1"/>
      <c r="I371" s="1"/>
      <c r="J371" s="1"/>
      <c r="K371" s="1" t="s">
        <v>9693</v>
      </c>
      <c r="L371" s="1"/>
      <c r="M371" s="1"/>
      <c r="N371" s="1"/>
      <c r="O371" s="1"/>
      <c r="P371" s="1"/>
      <c r="Q371" s="1"/>
      <c r="R371" s="1"/>
      <c r="S371" s="1" t="s">
        <v>53</v>
      </c>
      <c r="T371" s="1" t="s">
        <v>7</v>
      </c>
    </row>
    <row r="372" spans="1:20">
      <c r="A372" s="2" t="s">
        <v>3463</v>
      </c>
      <c r="B372" s="2" t="s">
        <v>3758</v>
      </c>
      <c r="C372" s="101">
        <v>1040</v>
      </c>
      <c r="D372" s="1" t="s">
        <v>9694</v>
      </c>
      <c r="E372" s="1" t="s">
        <v>1101</v>
      </c>
      <c r="F372" s="1"/>
      <c r="G372" s="1" t="s">
        <v>3399</v>
      </c>
      <c r="H372" s="1"/>
      <c r="I372" s="1"/>
      <c r="J372" s="1"/>
      <c r="K372" s="1" t="s">
        <v>4113</v>
      </c>
      <c r="L372" s="1" t="s">
        <v>9695</v>
      </c>
      <c r="M372" s="1" t="s">
        <v>9696</v>
      </c>
      <c r="N372" s="1"/>
      <c r="O372" s="1"/>
      <c r="P372" s="1"/>
      <c r="Q372" s="1"/>
      <c r="R372" s="1"/>
      <c r="S372" s="1" t="s">
        <v>29</v>
      </c>
      <c r="T372" s="1" t="s">
        <v>7</v>
      </c>
    </row>
    <row r="373" spans="1:20">
      <c r="A373" s="2" t="s">
        <v>3463</v>
      </c>
      <c r="B373" s="2" t="s">
        <v>3758</v>
      </c>
      <c r="C373" s="101">
        <v>1041</v>
      </c>
      <c r="D373" s="1" t="s">
        <v>9697</v>
      </c>
      <c r="E373" s="1" t="s">
        <v>1101</v>
      </c>
      <c r="F373" s="1"/>
      <c r="G373" s="1" t="s">
        <v>3399</v>
      </c>
      <c r="H373" s="1"/>
      <c r="I373" s="1"/>
      <c r="J373" s="1"/>
      <c r="K373" s="1" t="s">
        <v>9698</v>
      </c>
      <c r="L373" s="1"/>
      <c r="M373" s="1"/>
      <c r="N373" s="1"/>
      <c r="O373" s="1"/>
      <c r="P373" s="1"/>
      <c r="Q373" s="1"/>
      <c r="R373" s="1"/>
      <c r="S373" s="1" t="s">
        <v>176</v>
      </c>
      <c r="T373" s="1" t="s">
        <v>7</v>
      </c>
    </row>
    <row r="374" spans="1:20">
      <c r="A374" s="2" t="s">
        <v>3463</v>
      </c>
      <c r="B374" s="2" t="s">
        <v>3758</v>
      </c>
      <c r="C374" s="101">
        <v>1042</v>
      </c>
      <c r="D374" s="1" t="s">
        <v>9699</v>
      </c>
      <c r="E374" s="1" t="s">
        <v>1101</v>
      </c>
      <c r="F374" s="1"/>
      <c r="G374" s="1" t="s">
        <v>3399</v>
      </c>
      <c r="H374" s="1"/>
      <c r="I374" s="1"/>
      <c r="J374" s="1"/>
      <c r="K374" s="1" t="s">
        <v>9700</v>
      </c>
      <c r="L374" s="1"/>
      <c r="M374" s="1"/>
      <c r="N374" s="1"/>
      <c r="O374" s="1"/>
      <c r="P374" s="1"/>
      <c r="Q374" s="1"/>
      <c r="R374" s="1"/>
      <c r="S374" s="1" t="s">
        <v>30</v>
      </c>
      <c r="T374" s="1" t="s">
        <v>7</v>
      </c>
    </row>
    <row r="375" spans="1:20">
      <c r="A375" s="2" t="s">
        <v>3463</v>
      </c>
      <c r="B375" s="2" t="s">
        <v>3758</v>
      </c>
      <c r="C375" s="101">
        <v>1043</v>
      </c>
      <c r="D375" s="1" t="s">
        <v>9701</v>
      </c>
      <c r="E375" s="1" t="s">
        <v>1101</v>
      </c>
      <c r="F375" s="1"/>
      <c r="G375" s="1" t="s">
        <v>3399</v>
      </c>
      <c r="H375" s="1"/>
      <c r="I375" s="1"/>
      <c r="J375" s="1"/>
      <c r="K375" s="1" t="s">
        <v>9702</v>
      </c>
      <c r="L375" s="1"/>
      <c r="M375" s="1"/>
      <c r="N375" s="1"/>
      <c r="O375" s="1"/>
      <c r="P375" s="1"/>
      <c r="Q375" s="1"/>
      <c r="R375" s="1"/>
      <c r="S375" s="1" t="s">
        <v>177</v>
      </c>
      <c r="T375" s="1" t="s">
        <v>7</v>
      </c>
    </row>
    <row r="376" spans="1:20">
      <c r="A376" s="2" t="s">
        <v>3463</v>
      </c>
      <c r="B376" s="2" t="s">
        <v>3758</v>
      </c>
      <c r="C376" s="101">
        <v>1044</v>
      </c>
      <c r="D376" s="1" t="s">
        <v>9703</v>
      </c>
      <c r="E376" s="1" t="s">
        <v>1102</v>
      </c>
      <c r="F376" s="1"/>
      <c r="G376" s="1" t="s">
        <v>3399</v>
      </c>
      <c r="H376" s="1"/>
      <c r="I376" s="1"/>
      <c r="J376" s="1"/>
      <c r="K376" s="1" t="s">
        <v>9704</v>
      </c>
      <c r="L376" s="1"/>
      <c r="M376" s="1"/>
      <c r="N376" s="1"/>
      <c r="O376" s="1"/>
      <c r="P376" s="1"/>
      <c r="Q376" s="1"/>
      <c r="R376" s="1"/>
      <c r="S376" s="1" t="s">
        <v>40</v>
      </c>
      <c r="T376" s="1" t="s">
        <v>7</v>
      </c>
    </row>
    <row r="377" spans="1:20">
      <c r="A377" s="2" t="s">
        <v>3463</v>
      </c>
      <c r="B377" s="2" t="s">
        <v>3758</v>
      </c>
      <c r="C377" s="101">
        <v>1045</v>
      </c>
      <c r="D377" s="1" t="s">
        <v>9705</v>
      </c>
      <c r="E377" s="1" t="s">
        <v>1102</v>
      </c>
      <c r="F377" s="1"/>
      <c r="G377" s="1" t="s">
        <v>3399</v>
      </c>
      <c r="H377" s="1"/>
      <c r="I377" s="1"/>
      <c r="J377" s="1"/>
      <c r="K377" s="1" t="s">
        <v>902</v>
      </c>
      <c r="L377" s="1" t="s">
        <v>9706</v>
      </c>
      <c r="M377" s="1"/>
      <c r="N377" s="1"/>
      <c r="O377" s="1"/>
      <c r="P377" s="1"/>
      <c r="Q377" s="1"/>
      <c r="R377" s="1"/>
      <c r="S377" s="1" t="s">
        <v>36</v>
      </c>
      <c r="T377" s="1" t="s">
        <v>7</v>
      </c>
    </row>
    <row r="378" spans="1:20">
      <c r="A378" s="2" t="s">
        <v>3463</v>
      </c>
      <c r="B378" s="2" t="s">
        <v>3758</v>
      </c>
      <c r="C378" s="101">
        <v>1046</v>
      </c>
      <c r="D378" s="1" t="s">
        <v>9707</v>
      </c>
      <c r="E378" s="1" t="s">
        <v>1102</v>
      </c>
      <c r="F378" s="1"/>
      <c r="G378" s="1" t="s">
        <v>3399</v>
      </c>
      <c r="H378" s="1"/>
      <c r="I378" s="1"/>
      <c r="J378" s="1"/>
      <c r="K378" s="1" t="s">
        <v>7296</v>
      </c>
      <c r="L378" s="1" t="s">
        <v>9708</v>
      </c>
      <c r="M378" s="1"/>
      <c r="N378" s="1"/>
      <c r="O378" s="1"/>
      <c r="P378" s="1"/>
      <c r="Q378" s="1"/>
      <c r="R378" s="1"/>
      <c r="S378" s="1" t="s">
        <v>37</v>
      </c>
      <c r="T378" s="1" t="s">
        <v>7</v>
      </c>
    </row>
    <row r="379" spans="1:20">
      <c r="A379" s="2" t="s">
        <v>3463</v>
      </c>
      <c r="B379" s="2" t="s">
        <v>3758</v>
      </c>
      <c r="C379" s="101">
        <v>1047</v>
      </c>
      <c r="D379" s="1" t="s">
        <v>9709</v>
      </c>
      <c r="E379" s="1" t="s">
        <v>1102</v>
      </c>
      <c r="F379" s="1"/>
      <c r="G379" s="1" t="s">
        <v>3399</v>
      </c>
      <c r="H379" s="1"/>
      <c r="I379" s="1"/>
      <c r="J379" s="1"/>
      <c r="K379" s="1" t="s">
        <v>9710</v>
      </c>
      <c r="L379" s="1"/>
      <c r="M379" s="1"/>
      <c r="N379" s="1"/>
      <c r="O379" s="1"/>
      <c r="P379" s="1"/>
      <c r="Q379" s="1"/>
      <c r="R379" s="1"/>
      <c r="S379" s="1" t="s">
        <v>169</v>
      </c>
      <c r="T379" s="1" t="s">
        <v>7</v>
      </c>
    </row>
    <row r="380" spans="1:20">
      <c r="A380" s="2" t="s">
        <v>3463</v>
      </c>
      <c r="B380" s="2" t="s">
        <v>3758</v>
      </c>
      <c r="C380" s="101">
        <v>1048</v>
      </c>
      <c r="D380" s="1" t="s">
        <v>9711</v>
      </c>
      <c r="E380" s="1" t="s">
        <v>1101</v>
      </c>
      <c r="F380" s="1"/>
      <c r="G380" s="1" t="s">
        <v>3399</v>
      </c>
      <c r="H380" s="1" t="s">
        <v>5180</v>
      </c>
      <c r="I380" s="1"/>
      <c r="J380" s="1"/>
      <c r="K380" s="1" t="s">
        <v>9712</v>
      </c>
      <c r="L380" s="1"/>
      <c r="M380" s="1"/>
      <c r="N380" s="1"/>
      <c r="O380" s="1"/>
      <c r="P380" s="1"/>
      <c r="Q380" s="1"/>
      <c r="R380" s="1"/>
      <c r="S380" s="1" t="s">
        <v>179</v>
      </c>
      <c r="T380" s="1" t="s">
        <v>7</v>
      </c>
    </row>
    <row r="381" spans="1:20">
      <c r="A381" s="2" t="s">
        <v>3463</v>
      </c>
      <c r="B381" s="2" t="s">
        <v>3758</v>
      </c>
      <c r="C381" s="101">
        <v>1049</v>
      </c>
      <c r="D381" s="1" t="s">
        <v>9713</v>
      </c>
      <c r="E381" s="1" t="s">
        <v>1101</v>
      </c>
      <c r="F381" s="1"/>
      <c r="G381" s="1" t="s">
        <v>3399</v>
      </c>
      <c r="H381" s="1"/>
      <c r="I381" s="1"/>
      <c r="J381" s="1"/>
      <c r="K381" s="1" t="s">
        <v>9714</v>
      </c>
      <c r="L381" s="1"/>
      <c r="M381" s="1"/>
      <c r="N381" s="1"/>
      <c r="O381" s="1"/>
      <c r="P381" s="1"/>
      <c r="Q381" s="1"/>
      <c r="R381" s="1"/>
      <c r="S381" s="1" t="s">
        <v>39</v>
      </c>
      <c r="T381" s="1" t="s">
        <v>7</v>
      </c>
    </row>
    <row r="382" spans="1:20">
      <c r="A382" s="2" t="s">
        <v>3463</v>
      </c>
      <c r="B382" s="2" t="s">
        <v>3758</v>
      </c>
      <c r="C382" s="101">
        <v>1050</v>
      </c>
      <c r="D382" s="1" t="s">
        <v>9715</v>
      </c>
      <c r="E382" s="1" t="s">
        <v>1102</v>
      </c>
      <c r="F382" s="1"/>
      <c r="G382" s="1" t="s">
        <v>3399</v>
      </c>
      <c r="H382" s="1"/>
      <c r="I382" s="1"/>
      <c r="J382" s="1"/>
      <c r="K382" s="1" t="s">
        <v>9716</v>
      </c>
      <c r="L382" s="1"/>
      <c r="M382" s="1"/>
      <c r="N382" s="1"/>
      <c r="O382" s="1"/>
      <c r="P382" s="1"/>
      <c r="Q382" s="1"/>
      <c r="R382" s="1"/>
      <c r="S382" s="1" t="s">
        <v>36</v>
      </c>
      <c r="T382" s="1" t="s">
        <v>7</v>
      </c>
    </row>
    <row r="383" spans="1:20">
      <c r="A383" s="2" t="s">
        <v>3463</v>
      </c>
      <c r="B383" s="2" t="s">
        <v>3758</v>
      </c>
      <c r="C383" s="101">
        <v>1051</v>
      </c>
      <c r="D383" s="1" t="s">
        <v>9717</v>
      </c>
      <c r="E383" s="1" t="s">
        <v>1101</v>
      </c>
      <c r="F383" s="1"/>
      <c r="G383" s="1" t="s">
        <v>3399</v>
      </c>
      <c r="H383" s="1"/>
      <c r="I383" s="1"/>
      <c r="J383" s="1"/>
      <c r="K383" s="1" t="s">
        <v>9718</v>
      </c>
      <c r="L383" s="1" t="s">
        <v>9719</v>
      </c>
      <c r="M383" s="1"/>
      <c r="N383" s="1"/>
      <c r="O383" s="1"/>
      <c r="P383" s="1"/>
      <c r="Q383" s="1"/>
      <c r="R383" s="1"/>
      <c r="S383" s="1" t="s">
        <v>48</v>
      </c>
      <c r="T383" s="1" t="s">
        <v>7</v>
      </c>
    </row>
    <row r="384" spans="1:20">
      <c r="A384" s="2" t="s">
        <v>3463</v>
      </c>
      <c r="B384" s="2" t="s">
        <v>3758</v>
      </c>
      <c r="C384" s="101">
        <v>1052</v>
      </c>
      <c r="D384" s="1" t="s">
        <v>9720</v>
      </c>
      <c r="E384" s="1" t="s">
        <v>1101</v>
      </c>
      <c r="F384" s="1"/>
      <c r="G384" s="1" t="s">
        <v>3399</v>
      </c>
      <c r="H384" s="1"/>
      <c r="I384" s="1"/>
      <c r="J384" s="1"/>
      <c r="K384" s="1" t="s">
        <v>9721</v>
      </c>
      <c r="L384" s="1" t="s">
        <v>9722</v>
      </c>
      <c r="M384" s="1"/>
      <c r="N384" s="1"/>
      <c r="O384" s="1"/>
      <c r="P384" s="1"/>
      <c r="Q384" s="1"/>
      <c r="R384" s="1"/>
      <c r="S384" s="1" t="s">
        <v>46</v>
      </c>
      <c r="T384" s="1" t="s">
        <v>7</v>
      </c>
    </row>
    <row r="385" spans="1:20">
      <c r="A385" s="2" t="s">
        <v>3463</v>
      </c>
      <c r="B385" s="2" t="s">
        <v>3758</v>
      </c>
      <c r="C385" s="101">
        <v>1053</v>
      </c>
      <c r="D385" s="1" t="s">
        <v>9723</v>
      </c>
      <c r="E385" s="1" t="s">
        <v>1104</v>
      </c>
      <c r="F385" s="1"/>
      <c r="G385" s="1" t="s">
        <v>3399</v>
      </c>
      <c r="H385" s="1"/>
      <c r="I385" s="1"/>
      <c r="J385" s="1"/>
      <c r="K385" s="1" t="s">
        <v>8981</v>
      </c>
      <c r="L385" s="1" t="s">
        <v>4243</v>
      </c>
      <c r="M385" s="1"/>
      <c r="N385" s="1"/>
      <c r="O385" s="1"/>
      <c r="P385" s="1"/>
      <c r="Q385" s="1"/>
      <c r="R385" s="1"/>
      <c r="S385" s="1" t="s">
        <v>5</v>
      </c>
      <c r="T385" s="1" t="s">
        <v>7</v>
      </c>
    </row>
    <row r="386" spans="1:20">
      <c r="A386" s="2" t="s">
        <v>3463</v>
      </c>
      <c r="B386" s="2" t="s">
        <v>3758</v>
      </c>
      <c r="C386" s="101">
        <v>1054</v>
      </c>
      <c r="D386" s="1" t="s">
        <v>9724</v>
      </c>
      <c r="E386" s="1" t="s">
        <v>1104</v>
      </c>
      <c r="F386" s="1"/>
      <c r="G386" s="1" t="s">
        <v>3399</v>
      </c>
      <c r="H386" s="1"/>
      <c r="I386" s="1"/>
      <c r="J386" s="1"/>
      <c r="K386" s="1" t="s">
        <v>9725</v>
      </c>
      <c r="L386" s="1" t="s">
        <v>9726</v>
      </c>
      <c r="M386" s="1"/>
      <c r="N386" s="1"/>
      <c r="O386" s="1"/>
      <c r="P386" s="1"/>
      <c r="Q386" s="1"/>
      <c r="R386" s="1"/>
      <c r="S386" s="1" t="s">
        <v>28</v>
      </c>
      <c r="T386" s="1" t="s">
        <v>7</v>
      </c>
    </row>
    <row r="387" spans="1:20">
      <c r="A387" s="2" t="s">
        <v>3463</v>
      </c>
      <c r="B387" s="2" t="s">
        <v>3758</v>
      </c>
      <c r="C387" s="101">
        <v>1055</v>
      </c>
      <c r="D387" s="1" t="s">
        <v>9727</v>
      </c>
      <c r="E387" s="1" t="s">
        <v>1103</v>
      </c>
      <c r="F387" s="1"/>
      <c r="G387" s="1" t="s">
        <v>3399</v>
      </c>
      <c r="H387" s="1"/>
      <c r="I387" s="1"/>
      <c r="J387" s="1"/>
      <c r="K387" s="1" t="s">
        <v>9728</v>
      </c>
      <c r="L387" s="1"/>
      <c r="M387" s="1"/>
      <c r="N387" s="1"/>
      <c r="O387" s="1"/>
      <c r="P387" s="1"/>
      <c r="Q387" s="1"/>
      <c r="R387" s="1"/>
      <c r="S387" s="1" t="s">
        <v>169</v>
      </c>
      <c r="T387" s="1" t="s">
        <v>7</v>
      </c>
    </row>
    <row r="388" spans="1:20">
      <c r="A388" s="2" t="s">
        <v>3463</v>
      </c>
      <c r="B388" s="2" t="s">
        <v>3758</v>
      </c>
      <c r="C388" s="101">
        <v>1056</v>
      </c>
      <c r="D388" s="1" t="s">
        <v>9729</v>
      </c>
      <c r="E388" s="1" t="s">
        <v>1104</v>
      </c>
      <c r="F388" s="1"/>
      <c r="G388" s="1" t="s">
        <v>3399</v>
      </c>
      <c r="H388" s="1"/>
      <c r="I388" s="1"/>
      <c r="J388" s="1"/>
      <c r="K388" s="1" t="s">
        <v>9730</v>
      </c>
      <c r="L388" s="1"/>
      <c r="M388" s="1"/>
      <c r="N388" s="1"/>
      <c r="O388" s="1"/>
      <c r="P388" s="1"/>
      <c r="Q388" s="1"/>
      <c r="R388" s="1"/>
      <c r="S388" s="1" t="s">
        <v>5281</v>
      </c>
      <c r="T388" s="1" t="s">
        <v>7</v>
      </c>
    </row>
    <row r="389" spans="1:20">
      <c r="A389" s="2" t="s">
        <v>3463</v>
      </c>
      <c r="B389" s="2" t="s">
        <v>3758</v>
      </c>
      <c r="C389" s="101">
        <v>1057</v>
      </c>
      <c r="D389" s="1" t="s">
        <v>9731</v>
      </c>
      <c r="E389" s="1" t="s">
        <v>1103</v>
      </c>
      <c r="F389" s="1"/>
      <c r="G389" s="1" t="s">
        <v>3399</v>
      </c>
      <c r="H389" s="1"/>
      <c r="I389" s="1"/>
      <c r="J389" s="1"/>
      <c r="K389" s="1" t="s">
        <v>9732</v>
      </c>
      <c r="L389" s="1" t="s">
        <v>9733</v>
      </c>
      <c r="M389" s="1"/>
      <c r="N389" s="1"/>
      <c r="O389" s="1"/>
      <c r="P389" s="1"/>
      <c r="Q389" s="1"/>
      <c r="R389" s="1"/>
      <c r="S389" s="1" t="s">
        <v>45</v>
      </c>
      <c r="T389" s="1" t="s">
        <v>7</v>
      </c>
    </row>
    <row r="390" spans="1:20">
      <c r="A390" s="2" t="s">
        <v>3463</v>
      </c>
      <c r="B390" s="2" t="s">
        <v>3758</v>
      </c>
      <c r="C390" s="101">
        <v>1058</v>
      </c>
      <c r="D390" s="1" t="s">
        <v>9734</v>
      </c>
      <c r="E390" s="1" t="s">
        <v>1103</v>
      </c>
      <c r="F390" s="1"/>
      <c r="G390" s="1" t="s">
        <v>3399</v>
      </c>
      <c r="H390" s="1"/>
      <c r="I390" s="1"/>
      <c r="J390" s="1"/>
      <c r="K390" s="1" t="s">
        <v>9735</v>
      </c>
      <c r="L390" s="1"/>
      <c r="M390" s="1"/>
      <c r="N390" s="1"/>
      <c r="O390" s="1"/>
      <c r="P390" s="1"/>
      <c r="Q390" s="1"/>
      <c r="R390" s="1"/>
      <c r="S390" s="1" t="s">
        <v>5719</v>
      </c>
      <c r="T390" s="1" t="s">
        <v>7</v>
      </c>
    </row>
    <row r="391" spans="1:20">
      <c r="A391" s="2" t="s">
        <v>3463</v>
      </c>
      <c r="B391" s="2" t="s">
        <v>3758</v>
      </c>
      <c r="C391" s="101">
        <v>1059</v>
      </c>
      <c r="D391" s="1" t="s">
        <v>9736</v>
      </c>
      <c r="E391" s="1" t="s">
        <v>1103</v>
      </c>
      <c r="F391" s="1"/>
      <c r="G391" s="1" t="s">
        <v>3399</v>
      </c>
      <c r="H391" s="1"/>
      <c r="I391" s="1"/>
      <c r="J391" s="1"/>
      <c r="K391" s="1" t="s">
        <v>9737</v>
      </c>
      <c r="L391" s="1"/>
      <c r="M391" s="1"/>
      <c r="N391" s="1"/>
      <c r="O391" s="1"/>
      <c r="P391" s="1"/>
      <c r="Q391" s="1"/>
      <c r="R391" s="1"/>
      <c r="S391" s="1" t="s">
        <v>52</v>
      </c>
      <c r="T391" s="1" t="s">
        <v>7</v>
      </c>
    </row>
    <row r="392" spans="1:20">
      <c r="A392" s="2" t="s">
        <v>3463</v>
      </c>
      <c r="B392" s="2" t="s">
        <v>3758</v>
      </c>
      <c r="C392" s="101">
        <v>1060</v>
      </c>
      <c r="D392" s="1" t="s">
        <v>9738</v>
      </c>
      <c r="E392" s="1" t="s">
        <v>1103</v>
      </c>
      <c r="F392" s="1"/>
      <c r="G392" s="1" t="s">
        <v>3399</v>
      </c>
      <c r="H392" s="1"/>
      <c r="I392" s="1"/>
      <c r="J392" s="1"/>
      <c r="K392" s="1" t="s">
        <v>9739</v>
      </c>
      <c r="L392" s="1"/>
      <c r="M392" s="1"/>
      <c r="N392" s="1"/>
      <c r="O392" s="1"/>
      <c r="P392" s="1"/>
      <c r="Q392" s="1"/>
      <c r="R392" s="1"/>
      <c r="S392" s="1" t="s">
        <v>183</v>
      </c>
      <c r="T392" s="1" t="s">
        <v>7</v>
      </c>
    </row>
    <row r="393" spans="1:20">
      <c r="A393" s="2" t="s">
        <v>3463</v>
      </c>
      <c r="B393" s="2" t="s">
        <v>3758</v>
      </c>
      <c r="C393" s="101">
        <v>1061</v>
      </c>
      <c r="D393" s="1" t="s">
        <v>9740</v>
      </c>
      <c r="E393" s="1" t="s">
        <v>1103</v>
      </c>
      <c r="F393" s="1"/>
      <c r="G393" s="1" t="s">
        <v>3399</v>
      </c>
      <c r="H393" s="1" t="s">
        <v>5180</v>
      </c>
      <c r="I393" s="1"/>
      <c r="J393" s="1"/>
      <c r="K393" s="1" t="s">
        <v>9151</v>
      </c>
      <c r="L393" s="1" t="s">
        <v>9152</v>
      </c>
      <c r="M393" s="1"/>
      <c r="N393" s="1"/>
      <c r="O393" s="1"/>
      <c r="P393" s="1"/>
      <c r="Q393" s="1"/>
      <c r="R393" s="1"/>
      <c r="S393" s="1" t="s">
        <v>184</v>
      </c>
      <c r="T393" s="1" t="s">
        <v>7</v>
      </c>
    </row>
    <row r="394" spans="1:20">
      <c r="A394" s="2" t="s">
        <v>3463</v>
      </c>
      <c r="B394" s="2" t="s">
        <v>3758</v>
      </c>
      <c r="C394" s="101">
        <v>1062</v>
      </c>
      <c r="D394" s="1" t="s">
        <v>9741</v>
      </c>
      <c r="E394" s="1" t="s">
        <v>1103</v>
      </c>
      <c r="F394" s="1"/>
      <c r="G394" s="1" t="s">
        <v>3399</v>
      </c>
      <c r="H394" s="1"/>
      <c r="I394" s="1"/>
      <c r="J394" s="1"/>
      <c r="K394" s="1" t="s">
        <v>9732</v>
      </c>
      <c r="L394" s="1" t="s">
        <v>9742</v>
      </c>
      <c r="M394" s="1"/>
      <c r="N394" s="1"/>
      <c r="O394" s="1"/>
      <c r="P394" s="1"/>
      <c r="Q394" s="1"/>
      <c r="R394" s="1"/>
      <c r="S394" s="1" t="s">
        <v>46</v>
      </c>
      <c r="T394" s="1" t="s">
        <v>7</v>
      </c>
    </row>
    <row r="395" spans="1:20">
      <c r="A395" s="2" t="s">
        <v>3463</v>
      </c>
      <c r="B395" s="2" t="s">
        <v>3758</v>
      </c>
      <c r="C395" s="101">
        <v>1063</v>
      </c>
      <c r="D395" s="1" t="s">
        <v>9743</v>
      </c>
      <c r="E395" s="1" t="s">
        <v>1103</v>
      </c>
      <c r="F395" s="1"/>
      <c r="G395" s="1" t="s">
        <v>3399</v>
      </c>
      <c r="H395" s="1"/>
      <c r="I395" s="1"/>
      <c r="J395" s="1"/>
      <c r="K395" s="1" t="s">
        <v>9744</v>
      </c>
      <c r="L395" s="1"/>
      <c r="M395" s="1"/>
      <c r="N395" s="1"/>
      <c r="O395" s="1"/>
      <c r="P395" s="1"/>
      <c r="Q395" s="1"/>
      <c r="R395" s="1"/>
      <c r="S395" s="1" t="s">
        <v>8</v>
      </c>
      <c r="T395" s="1" t="s">
        <v>7</v>
      </c>
    </row>
    <row r="396" spans="1:20">
      <c r="A396" s="2" t="s">
        <v>3463</v>
      </c>
      <c r="B396" s="2" t="s">
        <v>3758</v>
      </c>
      <c r="C396" s="101">
        <v>1064</v>
      </c>
      <c r="D396" s="1" t="s">
        <v>9745</v>
      </c>
      <c r="E396" s="1" t="s">
        <v>1104</v>
      </c>
      <c r="F396" s="1"/>
      <c r="G396" s="1" t="s">
        <v>3447</v>
      </c>
      <c r="H396" s="1" t="s">
        <v>13403</v>
      </c>
      <c r="I396" s="1"/>
      <c r="J396" s="1"/>
      <c r="K396" s="1" t="s">
        <v>9746</v>
      </c>
      <c r="L396" s="1" t="s">
        <v>9747</v>
      </c>
      <c r="M396" s="1"/>
      <c r="N396" s="1"/>
      <c r="O396" s="1"/>
      <c r="P396" s="1"/>
      <c r="Q396" s="1"/>
      <c r="R396" s="1"/>
      <c r="S396" s="1" t="s">
        <v>5281</v>
      </c>
      <c r="T396" s="1" t="s">
        <v>7</v>
      </c>
    </row>
    <row r="397" spans="1:20">
      <c r="A397" s="2" t="s">
        <v>3463</v>
      </c>
      <c r="B397" s="2" t="s">
        <v>3758</v>
      </c>
      <c r="C397" s="101">
        <v>1065</v>
      </c>
      <c r="D397" s="1" t="s">
        <v>9748</v>
      </c>
      <c r="E397" s="1" t="s">
        <v>1103</v>
      </c>
      <c r="F397" s="1"/>
      <c r="G397" s="1" t="s">
        <v>3399</v>
      </c>
      <c r="H397" s="1"/>
      <c r="I397" s="1"/>
      <c r="J397" s="1"/>
      <c r="K397" s="1" t="s">
        <v>9749</v>
      </c>
      <c r="L397" s="1"/>
      <c r="M397" s="1"/>
      <c r="N397" s="1"/>
      <c r="O397" s="1"/>
      <c r="P397" s="1"/>
      <c r="Q397" s="1"/>
      <c r="R397" s="1"/>
      <c r="S397" s="1" t="s">
        <v>169</v>
      </c>
      <c r="T397" s="1" t="s">
        <v>7</v>
      </c>
    </row>
    <row r="398" spans="1:20">
      <c r="A398" s="2" t="s">
        <v>3463</v>
      </c>
      <c r="B398" s="2" t="s">
        <v>3758</v>
      </c>
      <c r="C398" s="101">
        <v>1066</v>
      </c>
      <c r="D398" s="1" t="s">
        <v>9750</v>
      </c>
      <c r="E398" s="1" t="s">
        <v>1103</v>
      </c>
      <c r="F398" s="1"/>
      <c r="G398" s="1" t="s">
        <v>3399</v>
      </c>
      <c r="H398" s="1"/>
      <c r="I398" s="1"/>
      <c r="J398" s="1"/>
      <c r="K398" s="1" t="s">
        <v>9751</v>
      </c>
      <c r="L398" s="1"/>
      <c r="M398" s="1"/>
      <c r="N398" s="1"/>
      <c r="O398" s="1"/>
      <c r="P398" s="1"/>
      <c r="Q398" s="1"/>
      <c r="R398" s="1"/>
      <c r="S398" s="1" t="s">
        <v>48</v>
      </c>
      <c r="T398" s="1" t="s">
        <v>7</v>
      </c>
    </row>
    <row r="399" spans="1:20">
      <c r="A399" s="2" t="s">
        <v>3463</v>
      </c>
      <c r="B399" s="2" t="s">
        <v>3758</v>
      </c>
      <c r="C399" s="101">
        <v>1067</v>
      </c>
      <c r="D399" s="1" t="s">
        <v>9752</v>
      </c>
      <c r="E399" s="1" t="s">
        <v>1103</v>
      </c>
      <c r="F399" s="1"/>
      <c r="G399" s="1" t="s">
        <v>3399</v>
      </c>
      <c r="H399" s="1"/>
      <c r="I399" s="1"/>
      <c r="J399" s="1"/>
      <c r="K399" s="1" t="s">
        <v>9753</v>
      </c>
      <c r="L399" s="1"/>
      <c r="M399" s="1"/>
      <c r="N399" s="1"/>
      <c r="O399" s="1"/>
      <c r="P399" s="1"/>
      <c r="Q399" s="1"/>
      <c r="R399" s="1"/>
      <c r="S399" s="1" t="s">
        <v>26</v>
      </c>
      <c r="T399" s="1" t="s">
        <v>7</v>
      </c>
    </row>
    <row r="400" spans="1:20">
      <c r="A400" s="2" t="s">
        <v>3463</v>
      </c>
      <c r="B400" s="2" t="s">
        <v>3758</v>
      </c>
      <c r="C400" s="101">
        <v>1068</v>
      </c>
      <c r="D400" s="1" t="s">
        <v>9754</v>
      </c>
      <c r="E400" s="1" t="s">
        <v>1103</v>
      </c>
      <c r="F400" s="1"/>
      <c r="G400" s="1" t="s">
        <v>3399</v>
      </c>
      <c r="H400" s="1"/>
      <c r="I400" s="1"/>
      <c r="J400" s="1"/>
      <c r="K400" s="1" t="s">
        <v>8859</v>
      </c>
      <c r="L400" s="1" t="s">
        <v>9755</v>
      </c>
      <c r="M400" s="1"/>
      <c r="N400" s="1"/>
      <c r="O400" s="1"/>
      <c r="P400" s="1"/>
      <c r="Q400" s="1"/>
      <c r="R400" s="1"/>
      <c r="S400" s="1" t="s">
        <v>50</v>
      </c>
      <c r="T400" s="1" t="s">
        <v>7</v>
      </c>
    </row>
    <row r="401" spans="1:20">
      <c r="A401" s="2" t="s">
        <v>3463</v>
      </c>
      <c r="B401" s="2" t="s">
        <v>3758</v>
      </c>
      <c r="C401" s="101">
        <v>1069</v>
      </c>
      <c r="D401" s="1" t="s">
        <v>9756</v>
      </c>
      <c r="E401" s="1" t="s">
        <v>1103</v>
      </c>
      <c r="F401" s="1"/>
      <c r="G401" s="1" t="s">
        <v>3399</v>
      </c>
      <c r="H401" s="1"/>
      <c r="I401" s="1"/>
      <c r="J401" s="1"/>
      <c r="K401" s="1" t="s">
        <v>9725</v>
      </c>
      <c r="L401" s="1" t="s">
        <v>9742</v>
      </c>
      <c r="M401" s="1"/>
      <c r="N401" s="1"/>
      <c r="O401" s="1"/>
      <c r="P401" s="1"/>
      <c r="Q401" s="1"/>
      <c r="R401" s="1"/>
      <c r="S401" s="1" t="s">
        <v>46</v>
      </c>
      <c r="T401" s="1" t="s">
        <v>7</v>
      </c>
    </row>
    <row r="402" spans="1:20">
      <c r="A402" s="2" t="s">
        <v>3463</v>
      </c>
      <c r="B402" s="2" t="s">
        <v>3758</v>
      </c>
      <c r="C402" s="101">
        <v>1070</v>
      </c>
      <c r="D402" s="1" t="s">
        <v>9757</v>
      </c>
      <c r="E402" s="1" t="s">
        <v>1103</v>
      </c>
      <c r="F402" s="1"/>
      <c r="G402" s="1" t="s">
        <v>3399</v>
      </c>
      <c r="H402" s="1"/>
      <c r="I402" s="1"/>
      <c r="J402" s="1"/>
      <c r="K402" s="1" t="s">
        <v>9758</v>
      </c>
      <c r="L402" s="1"/>
      <c r="M402" s="1"/>
      <c r="N402" s="1"/>
      <c r="O402" s="1"/>
      <c r="P402" s="1"/>
      <c r="Q402" s="1"/>
      <c r="R402" s="1"/>
      <c r="S402" s="1" t="s">
        <v>11</v>
      </c>
      <c r="T402" s="1" t="s">
        <v>7</v>
      </c>
    </row>
    <row r="403" spans="1:20">
      <c r="A403" s="2" t="s">
        <v>3463</v>
      </c>
      <c r="B403" s="2" t="s">
        <v>3758</v>
      </c>
      <c r="C403" s="101">
        <v>1071</v>
      </c>
      <c r="D403" s="1" t="s">
        <v>9759</v>
      </c>
      <c r="E403" s="1" t="s">
        <v>1103</v>
      </c>
      <c r="F403" s="1"/>
      <c r="G403" s="1" t="s">
        <v>3399</v>
      </c>
      <c r="H403" s="1"/>
      <c r="I403" s="1"/>
      <c r="J403" s="1"/>
      <c r="K403" s="1" t="s">
        <v>6850</v>
      </c>
      <c r="L403" s="1" t="s">
        <v>9760</v>
      </c>
      <c r="M403" s="1"/>
      <c r="N403" s="1"/>
      <c r="O403" s="1"/>
      <c r="P403" s="1"/>
      <c r="Q403" s="1"/>
      <c r="R403" s="1"/>
      <c r="S403" s="1" t="s">
        <v>31</v>
      </c>
      <c r="T403" s="1" t="s">
        <v>7</v>
      </c>
    </row>
    <row r="404" spans="1:20">
      <c r="A404" s="2" t="s">
        <v>3463</v>
      </c>
      <c r="B404" s="2" t="s">
        <v>3758</v>
      </c>
      <c r="C404" s="101">
        <v>1072</v>
      </c>
      <c r="D404" s="1" t="s">
        <v>9761</v>
      </c>
      <c r="E404" s="1" t="s">
        <v>1103</v>
      </c>
      <c r="F404" s="1"/>
      <c r="G404" s="1" t="s">
        <v>3399</v>
      </c>
      <c r="H404" s="1"/>
      <c r="I404" s="1"/>
      <c r="J404" s="1"/>
      <c r="K404" s="1" t="s">
        <v>9762</v>
      </c>
      <c r="L404" s="1"/>
      <c r="M404" s="1"/>
      <c r="N404" s="1"/>
      <c r="O404" s="1"/>
      <c r="P404" s="1"/>
      <c r="Q404" s="1"/>
      <c r="R404" s="1"/>
      <c r="S404" s="1" t="s">
        <v>34</v>
      </c>
      <c r="T404" s="1" t="s">
        <v>7</v>
      </c>
    </row>
    <row r="405" spans="1:20">
      <c r="A405" s="2" t="s">
        <v>3463</v>
      </c>
      <c r="B405" s="2" t="s">
        <v>3758</v>
      </c>
      <c r="C405" s="101">
        <v>1073</v>
      </c>
      <c r="D405" s="1" t="s">
        <v>9763</v>
      </c>
      <c r="E405" s="1" t="s">
        <v>1104</v>
      </c>
      <c r="F405" s="1"/>
      <c r="G405" s="1" t="s">
        <v>3399</v>
      </c>
      <c r="H405" s="1"/>
      <c r="I405" s="1"/>
      <c r="J405" s="1"/>
      <c r="K405" s="1" t="s">
        <v>9764</v>
      </c>
      <c r="L405" s="1"/>
      <c r="M405" s="1"/>
      <c r="N405" s="1"/>
      <c r="O405" s="1"/>
      <c r="P405" s="1"/>
      <c r="Q405" s="1"/>
      <c r="R405" s="1"/>
      <c r="S405" s="1" t="s">
        <v>182</v>
      </c>
      <c r="T405" s="1" t="s">
        <v>7</v>
      </c>
    </row>
    <row r="406" spans="1:20">
      <c r="A406" s="2" t="s">
        <v>3463</v>
      </c>
      <c r="B406" s="2" t="s">
        <v>3758</v>
      </c>
      <c r="C406" s="101">
        <v>1074</v>
      </c>
      <c r="D406" s="1" t="s">
        <v>9765</v>
      </c>
      <c r="E406" s="1" t="s">
        <v>1104</v>
      </c>
      <c r="F406" s="1"/>
      <c r="G406" s="1" t="s">
        <v>3399</v>
      </c>
      <c r="H406" s="1"/>
      <c r="I406" s="1"/>
      <c r="J406" s="1"/>
      <c r="K406" s="1" t="s">
        <v>9766</v>
      </c>
      <c r="L406" s="1" t="s">
        <v>5791</v>
      </c>
      <c r="M406" s="1"/>
      <c r="N406" s="1"/>
      <c r="O406" s="1"/>
      <c r="P406" s="1"/>
      <c r="Q406" s="1"/>
      <c r="R406" s="1"/>
      <c r="S406" s="1" t="s">
        <v>8</v>
      </c>
      <c r="T406" s="1" t="s">
        <v>7</v>
      </c>
    </row>
    <row r="407" spans="1:20">
      <c r="A407" s="2" t="s">
        <v>3463</v>
      </c>
      <c r="B407" s="2" t="s">
        <v>3758</v>
      </c>
      <c r="C407" s="101">
        <v>1075</v>
      </c>
      <c r="D407" s="1" t="s">
        <v>9767</v>
      </c>
      <c r="E407" s="1" t="s">
        <v>1103</v>
      </c>
      <c r="F407" s="1"/>
      <c r="G407" s="1" t="s">
        <v>3399</v>
      </c>
      <c r="H407" s="1"/>
      <c r="I407" s="1"/>
      <c r="J407" s="1"/>
      <c r="K407" s="1" t="s">
        <v>9768</v>
      </c>
      <c r="L407" s="1"/>
      <c r="M407" s="1"/>
      <c r="N407" s="1"/>
      <c r="O407" s="1"/>
      <c r="P407" s="1"/>
      <c r="Q407" s="1"/>
      <c r="R407" s="1"/>
      <c r="S407" s="1" t="s">
        <v>175</v>
      </c>
      <c r="T407" s="1" t="s">
        <v>7</v>
      </c>
    </row>
    <row r="408" spans="1:20">
      <c r="A408" s="2" t="s">
        <v>3463</v>
      </c>
      <c r="B408" s="2" t="s">
        <v>3758</v>
      </c>
      <c r="C408" s="101">
        <v>1076</v>
      </c>
      <c r="D408" s="1" t="s">
        <v>9769</v>
      </c>
      <c r="E408" s="1" t="s">
        <v>1104</v>
      </c>
      <c r="F408" s="1"/>
      <c r="G408" s="1" t="s">
        <v>3399</v>
      </c>
      <c r="H408" s="1"/>
      <c r="I408" s="1"/>
      <c r="J408" s="1"/>
      <c r="K408" s="1" t="s">
        <v>6850</v>
      </c>
      <c r="L408" s="1"/>
      <c r="M408" s="1"/>
      <c r="N408" s="1"/>
      <c r="O408" s="1"/>
      <c r="P408" s="1"/>
      <c r="Q408" s="1"/>
      <c r="R408" s="1"/>
      <c r="S408" s="1" t="s">
        <v>171</v>
      </c>
      <c r="T408" s="1" t="s">
        <v>7</v>
      </c>
    </row>
    <row r="409" spans="1:20">
      <c r="A409" s="2" t="s">
        <v>3463</v>
      </c>
      <c r="B409" s="2" t="s">
        <v>3758</v>
      </c>
      <c r="C409" s="111">
        <v>1077</v>
      </c>
      <c r="D409" s="8" t="s">
        <v>3446</v>
      </c>
      <c r="E409" s="8" t="s">
        <v>1103</v>
      </c>
      <c r="F409" s="8"/>
      <c r="G409" s="8" t="s">
        <v>3447</v>
      </c>
      <c r="H409" s="8" t="s">
        <v>3071</v>
      </c>
      <c r="I409" s="8"/>
      <c r="J409" s="8"/>
      <c r="K409" s="8" t="s">
        <v>3132</v>
      </c>
      <c r="L409" s="8" t="s">
        <v>3133</v>
      </c>
      <c r="M409" s="8"/>
      <c r="N409" s="8"/>
      <c r="O409" s="8"/>
      <c r="P409" s="8"/>
      <c r="Q409" s="8"/>
      <c r="R409" s="8"/>
      <c r="S409" s="8" t="s">
        <v>3119</v>
      </c>
      <c r="T409" s="8" t="s">
        <v>7</v>
      </c>
    </row>
    <row r="410" spans="1:20">
      <c r="A410" s="2" t="s">
        <v>3463</v>
      </c>
      <c r="B410" s="2" t="s">
        <v>3758</v>
      </c>
      <c r="C410" s="101">
        <v>1078</v>
      </c>
      <c r="D410" s="1" t="s">
        <v>9770</v>
      </c>
      <c r="E410" s="1" t="s">
        <v>1105</v>
      </c>
      <c r="F410" s="1"/>
      <c r="G410" s="1" t="s">
        <v>3399</v>
      </c>
      <c r="H410" s="1"/>
      <c r="I410" s="1"/>
      <c r="J410" s="1"/>
      <c r="K410" s="1" t="s">
        <v>6850</v>
      </c>
      <c r="L410" s="1" t="s">
        <v>6397</v>
      </c>
      <c r="M410" s="1"/>
      <c r="N410" s="1"/>
      <c r="O410" s="1"/>
      <c r="P410" s="1"/>
      <c r="Q410" s="1"/>
      <c r="R410" s="1"/>
      <c r="S410" s="1" t="s">
        <v>45</v>
      </c>
      <c r="T410" s="1" t="s">
        <v>7</v>
      </c>
    </row>
    <row r="411" spans="1:20">
      <c r="A411" s="2" t="s">
        <v>3463</v>
      </c>
      <c r="B411" s="2" t="s">
        <v>3758</v>
      </c>
      <c r="C411" s="101">
        <v>1079</v>
      </c>
      <c r="D411" s="1" t="s">
        <v>9771</v>
      </c>
      <c r="E411" s="1" t="s">
        <v>1248</v>
      </c>
      <c r="F411" s="1"/>
      <c r="G411" s="1" t="s">
        <v>3399</v>
      </c>
      <c r="H411" s="1" t="s">
        <v>5180</v>
      </c>
      <c r="I411" s="1"/>
      <c r="J411" s="1"/>
      <c r="K411" s="1" t="s">
        <v>9772</v>
      </c>
      <c r="L411" s="1"/>
      <c r="M411" s="1"/>
      <c r="N411" s="1"/>
      <c r="O411" s="1"/>
      <c r="P411" s="1"/>
      <c r="Q411" s="1"/>
      <c r="R411" s="1"/>
      <c r="S411" s="1" t="s">
        <v>183</v>
      </c>
      <c r="T411" s="1" t="s">
        <v>7</v>
      </c>
    </row>
    <row r="412" spans="1:20">
      <c r="A412" s="2" t="s">
        <v>3463</v>
      </c>
      <c r="B412" s="2" t="s">
        <v>3758</v>
      </c>
      <c r="C412" s="101">
        <v>1080</v>
      </c>
      <c r="D412" s="1" t="s">
        <v>9773</v>
      </c>
      <c r="E412" s="1" t="s">
        <v>1248</v>
      </c>
      <c r="F412" s="1"/>
      <c r="G412" s="1" t="s">
        <v>3399</v>
      </c>
      <c r="H412" s="1"/>
      <c r="I412" s="1"/>
      <c r="J412" s="1"/>
      <c r="K412" s="1" t="s">
        <v>9774</v>
      </c>
      <c r="L412" s="1"/>
      <c r="M412" s="1"/>
      <c r="N412" s="1"/>
      <c r="O412" s="1"/>
      <c r="P412" s="1"/>
      <c r="Q412" s="1"/>
      <c r="R412" s="1"/>
      <c r="S412" s="1" t="s">
        <v>170</v>
      </c>
      <c r="T412" s="1" t="s">
        <v>7</v>
      </c>
    </row>
    <row r="413" spans="1:20">
      <c r="A413" s="2" t="s">
        <v>3463</v>
      </c>
      <c r="B413" s="2" t="s">
        <v>3758</v>
      </c>
      <c r="C413" s="101">
        <v>1081</v>
      </c>
      <c r="D413" s="1" t="s">
        <v>9775</v>
      </c>
      <c r="E413" s="1" t="s">
        <v>1105</v>
      </c>
      <c r="F413" s="1"/>
      <c r="G413" s="1" t="s">
        <v>3399</v>
      </c>
      <c r="H413" s="1"/>
      <c r="I413" s="1"/>
      <c r="J413" s="1"/>
      <c r="K413" s="1" t="s">
        <v>9184</v>
      </c>
      <c r="L413" s="1"/>
      <c r="M413" s="1"/>
      <c r="N413" s="1"/>
      <c r="O413" s="1"/>
      <c r="P413" s="1"/>
      <c r="Q413" s="1"/>
      <c r="R413" s="1"/>
      <c r="S413" s="1" t="s">
        <v>184</v>
      </c>
      <c r="T413" s="1" t="s">
        <v>7</v>
      </c>
    </row>
    <row r="414" spans="1:20">
      <c r="A414" s="2" t="s">
        <v>3463</v>
      </c>
      <c r="B414" s="2" t="s">
        <v>3758</v>
      </c>
      <c r="C414" s="101">
        <v>1082</v>
      </c>
      <c r="D414" s="1" t="s">
        <v>9776</v>
      </c>
      <c r="E414" s="1" t="s">
        <v>1248</v>
      </c>
      <c r="F414" s="1"/>
      <c r="G414" s="1" t="s">
        <v>3399</v>
      </c>
      <c r="H414" s="1"/>
      <c r="I414" s="1"/>
      <c r="J414" s="1"/>
      <c r="K414" s="1" t="s">
        <v>9777</v>
      </c>
      <c r="L414" s="1"/>
      <c r="M414" s="1"/>
      <c r="N414" s="1"/>
      <c r="O414" s="1"/>
      <c r="P414" s="1"/>
      <c r="Q414" s="1"/>
      <c r="R414" s="1"/>
      <c r="S414" s="1" t="s">
        <v>3747</v>
      </c>
      <c r="T414" s="1" t="s">
        <v>7</v>
      </c>
    </row>
    <row r="415" spans="1:20">
      <c r="A415" s="2" t="s">
        <v>3463</v>
      </c>
      <c r="B415" s="2" t="s">
        <v>3758</v>
      </c>
      <c r="C415" s="101">
        <v>1083</v>
      </c>
      <c r="D415" s="1" t="s">
        <v>9778</v>
      </c>
      <c r="E415" s="1" t="s">
        <v>1105</v>
      </c>
      <c r="F415" s="1"/>
      <c r="G415" s="1" t="s">
        <v>3399</v>
      </c>
      <c r="H415" s="1"/>
      <c r="I415" s="1"/>
      <c r="J415" s="1"/>
      <c r="K415" s="1" t="s">
        <v>9779</v>
      </c>
      <c r="L415" s="1" t="s">
        <v>9780</v>
      </c>
      <c r="M415" s="1"/>
      <c r="N415" s="1"/>
      <c r="O415" s="1"/>
      <c r="P415" s="1"/>
      <c r="Q415" s="1"/>
      <c r="R415" s="1"/>
      <c r="S415" s="1" t="s">
        <v>48</v>
      </c>
      <c r="T415" s="1" t="s">
        <v>7</v>
      </c>
    </row>
    <row r="416" spans="1:20">
      <c r="A416" s="2" t="s">
        <v>3463</v>
      </c>
      <c r="B416" s="2" t="s">
        <v>3758</v>
      </c>
      <c r="C416" s="101">
        <v>1084</v>
      </c>
      <c r="D416" s="1" t="s">
        <v>9781</v>
      </c>
      <c r="E416" s="1" t="s">
        <v>1105</v>
      </c>
      <c r="F416" s="1"/>
      <c r="G416" s="1" t="s">
        <v>3399</v>
      </c>
      <c r="H416" s="1"/>
      <c r="I416" s="1"/>
      <c r="J416" s="1"/>
      <c r="K416" s="1" t="s">
        <v>9782</v>
      </c>
      <c r="L416" s="1"/>
      <c r="M416" s="1"/>
      <c r="N416" s="1"/>
      <c r="O416" s="1"/>
      <c r="P416" s="1"/>
      <c r="Q416" s="1"/>
      <c r="R416" s="1"/>
      <c r="S416" s="1" t="s">
        <v>40</v>
      </c>
      <c r="T416" s="1" t="s">
        <v>7</v>
      </c>
    </row>
    <row r="417" spans="1:20">
      <c r="A417" s="2" t="s">
        <v>3463</v>
      </c>
      <c r="B417" s="2" t="s">
        <v>3758</v>
      </c>
      <c r="C417" s="101">
        <v>1085</v>
      </c>
      <c r="D417" s="1" t="s">
        <v>9783</v>
      </c>
      <c r="E417" s="1" t="s">
        <v>1248</v>
      </c>
      <c r="F417" s="1"/>
      <c r="G417" s="1" t="s">
        <v>3399</v>
      </c>
      <c r="H417" s="1"/>
      <c r="I417" s="1"/>
      <c r="J417" s="1"/>
      <c r="K417" s="1" t="s">
        <v>9209</v>
      </c>
      <c r="L417" s="1"/>
      <c r="M417" s="1"/>
      <c r="N417" s="1"/>
      <c r="O417" s="1"/>
      <c r="P417" s="1"/>
      <c r="Q417" s="1"/>
      <c r="R417" s="1"/>
      <c r="S417" s="1" t="s">
        <v>169</v>
      </c>
      <c r="T417" s="1" t="s">
        <v>7</v>
      </c>
    </row>
    <row r="418" spans="1:20">
      <c r="A418" s="2" t="s">
        <v>3463</v>
      </c>
      <c r="B418" s="2" t="s">
        <v>3758</v>
      </c>
      <c r="C418" s="101">
        <v>1086</v>
      </c>
      <c r="D418" s="1" t="s">
        <v>9784</v>
      </c>
      <c r="E418" s="1" t="s">
        <v>1105</v>
      </c>
      <c r="F418" s="1"/>
      <c r="G418" s="1" t="s">
        <v>3399</v>
      </c>
      <c r="H418" s="1"/>
      <c r="I418" s="1"/>
      <c r="J418" s="1"/>
      <c r="K418" s="1" t="s">
        <v>9785</v>
      </c>
      <c r="L418" s="1"/>
      <c r="M418" s="1"/>
      <c r="N418" s="1"/>
      <c r="O418" s="1"/>
      <c r="P418" s="1"/>
      <c r="Q418" s="1"/>
      <c r="R418" s="1"/>
      <c r="S418" s="1" t="s">
        <v>53</v>
      </c>
      <c r="T418" s="1" t="s">
        <v>7</v>
      </c>
    </row>
    <row r="419" spans="1:20">
      <c r="A419" s="2" t="s">
        <v>3463</v>
      </c>
      <c r="B419" s="2" t="s">
        <v>3758</v>
      </c>
      <c r="C419" s="101">
        <v>1087</v>
      </c>
      <c r="D419" s="1" t="s">
        <v>9786</v>
      </c>
      <c r="E419" s="1" t="s">
        <v>1248</v>
      </c>
      <c r="F419" s="1"/>
      <c r="G419" s="1" t="s">
        <v>3399</v>
      </c>
      <c r="H419" s="1"/>
      <c r="I419" s="1"/>
      <c r="J419" s="1"/>
      <c r="K419" s="1" t="s">
        <v>9787</v>
      </c>
      <c r="L419" s="1"/>
      <c r="M419" s="1"/>
      <c r="N419" s="1"/>
      <c r="O419" s="1"/>
      <c r="P419" s="1"/>
      <c r="Q419" s="1"/>
      <c r="R419" s="1"/>
      <c r="S419" s="1" t="s">
        <v>5719</v>
      </c>
      <c r="T419" s="1" t="s">
        <v>7</v>
      </c>
    </row>
    <row r="420" spans="1:20">
      <c r="A420" s="2" t="s">
        <v>3463</v>
      </c>
      <c r="B420" s="2" t="s">
        <v>3758</v>
      </c>
      <c r="C420" s="101">
        <v>1088</v>
      </c>
      <c r="D420" s="1" t="s">
        <v>9788</v>
      </c>
      <c r="E420" s="1" t="s">
        <v>1248</v>
      </c>
      <c r="F420" s="1"/>
      <c r="G420" s="1" t="s">
        <v>3399</v>
      </c>
      <c r="H420" s="1" t="s">
        <v>5180</v>
      </c>
      <c r="I420" s="1"/>
      <c r="J420" s="1"/>
      <c r="K420" s="1" t="s">
        <v>9789</v>
      </c>
      <c r="L420" s="1"/>
      <c r="M420" s="1"/>
      <c r="N420" s="1"/>
      <c r="O420" s="1"/>
      <c r="P420" s="1"/>
      <c r="Q420" s="1"/>
      <c r="R420" s="1"/>
      <c r="S420" s="1" t="s">
        <v>175</v>
      </c>
      <c r="T420" s="1" t="s">
        <v>7</v>
      </c>
    </row>
    <row r="421" spans="1:20">
      <c r="A421" s="2" t="s">
        <v>3463</v>
      </c>
      <c r="B421" s="2" t="s">
        <v>3758</v>
      </c>
      <c r="C421" s="101">
        <v>1089</v>
      </c>
      <c r="D421" s="1" t="s">
        <v>9790</v>
      </c>
      <c r="E421" s="1" t="s">
        <v>1248</v>
      </c>
      <c r="F421" s="1"/>
      <c r="G421" s="1" t="s">
        <v>3399</v>
      </c>
      <c r="H421" s="1"/>
      <c r="I421" s="1"/>
      <c r="J421" s="1"/>
      <c r="K421" s="1" t="s">
        <v>9791</v>
      </c>
      <c r="L421" s="1" t="s">
        <v>8789</v>
      </c>
      <c r="M421" s="1"/>
      <c r="N421" s="1"/>
      <c r="O421" s="1"/>
      <c r="P421" s="1"/>
      <c r="Q421" s="1"/>
      <c r="R421" s="1"/>
      <c r="S421" s="1" t="s">
        <v>29</v>
      </c>
      <c r="T421" s="1" t="s">
        <v>7</v>
      </c>
    </row>
    <row r="422" spans="1:20">
      <c r="A422" s="2" t="s">
        <v>3463</v>
      </c>
      <c r="B422" s="2" t="s">
        <v>3758</v>
      </c>
      <c r="C422" s="101">
        <v>1090</v>
      </c>
      <c r="D422" s="1" t="s">
        <v>9792</v>
      </c>
      <c r="E422" s="1" t="s">
        <v>1248</v>
      </c>
      <c r="F422" s="1"/>
      <c r="G422" s="1" t="s">
        <v>3399</v>
      </c>
      <c r="H422" s="1"/>
      <c r="I422" s="1"/>
      <c r="J422" s="1"/>
      <c r="K422" s="1" t="s">
        <v>9793</v>
      </c>
      <c r="L422" s="1"/>
      <c r="M422" s="1"/>
      <c r="N422" s="1"/>
      <c r="O422" s="1"/>
      <c r="P422" s="1"/>
      <c r="Q422" s="1"/>
      <c r="R422" s="1"/>
      <c r="S422" s="1" t="s">
        <v>182</v>
      </c>
      <c r="T422" s="1" t="s">
        <v>7</v>
      </c>
    </row>
    <row r="423" spans="1:20">
      <c r="A423" s="2" t="s">
        <v>3463</v>
      </c>
      <c r="B423" s="2" t="s">
        <v>3758</v>
      </c>
      <c r="C423" s="101">
        <v>1091</v>
      </c>
      <c r="D423" s="1" t="s">
        <v>9794</v>
      </c>
      <c r="E423" s="1" t="s">
        <v>1105</v>
      </c>
      <c r="F423" s="1"/>
      <c r="G423" s="1" t="s">
        <v>3399</v>
      </c>
      <c r="H423" s="1"/>
      <c r="I423" s="1"/>
      <c r="J423" s="1"/>
      <c r="K423" s="1" t="s">
        <v>4113</v>
      </c>
      <c r="L423" s="1" t="s">
        <v>9795</v>
      </c>
      <c r="M423" s="1" t="s">
        <v>9796</v>
      </c>
      <c r="N423" s="1"/>
      <c r="O423" s="1"/>
      <c r="P423" s="1"/>
      <c r="Q423" s="1"/>
      <c r="R423" s="1"/>
      <c r="S423" s="1" t="s">
        <v>5281</v>
      </c>
      <c r="T423" s="1" t="s">
        <v>7</v>
      </c>
    </row>
    <row r="424" spans="1:20">
      <c r="A424" s="2" t="s">
        <v>3463</v>
      </c>
      <c r="B424" s="2" t="s">
        <v>3758</v>
      </c>
      <c r="C424" s="101">
        <v>1092</v>
      </c>
      <c r="D424" s="1" t="s">
        <v>9797</v>
      </c>
      <c r="E424" s="1" t="s">
        <v>1105</v>
      </c>
      <c r="F424" s="1"/>
      <c r="G424" s="1" t="s">
        <v>3399</v>
      </c>
      <c r="H424" s="1"/>
      <c r="I424" s="1"/>
      <c r="J424" s="1"/>
      <c r="K424" s="1" t="s">
        <v>9798</v>
      </c>
      <c r="L424" s="1" t="s">
        <v>9799</v>
      </c>
      <c r="M424" s="1"/>
      <c r="N424" s="1"/>
      <c r="O424" s="1"/>
      <c r="P424" s="1"/>
      <c r="Q424" s="1"/>
      <c r="R424" s="1"/>
      <c r="S424" s="1" t="s">
        <v>39</v>
      </c>
      <c r="T424" s="1" t="s">
        <v>7</v>
      </c>
    </row>
    <row r="425" spans="1:20">
      <c r="A425" s="2" t="s">
        <v>3463</v>
      </c>
      <c r="B425" s="2" t="s">
        <v>3758</v>
      </c>
      <c r="C425" s="101">
        <v>1093</v>
      </c>
      <c r="D425" s="1" t="s">
        <v>9800</v>
      </c>
      <c r="E425" s="1" t="s">
        <v>1105</v>
      </c>
      <c r="F425" s="1"/>
      <c r="G425" s="1" t="s">
        <v>3399</v>
      </c>
      <c r="H425" s="1"/>
      <c r="I425" s="1"/>
      <c r="J425" s="1"/>
      <c r="K425" s="1" t="s">
        <v>9801</v>
      </c>
      <c r="L425" s="1"/>
      <c r="M425" s="1"/>
      <c r="N425" s="1"/>
      <c r="O425" s="1"/>
      <c r="P425" s="1"/>
      <c r="Q425" s="1"/>
      <c r="R425" s="1"/>
      <c r="S425" s="1" t="s">
        <v>44</v>
      </c>
      <c r="T425" s="1" t="s">
        <v>7</v>
      </c>
    </row>
    <row r="426" spans="1:20">
      <c r="A426" s="2" t="s">
        <v>3463</v>
      </c>
      <c r="B426" s="2" t="s">
        <v>3758</v>
      </c>
      <c r="C426" s="101">
        <v>1094</v>
      </c>
      <c r="D426" s="1" t="s">
        <v>9802</v>
      </c>
      <c r="E426" s="1" t="s">
        <v>1105</v>
      </c>
      <c r="F426" s="1"/>
      <c r="G426" s="1" t="s">
        <v>3399</v>
      </c>
      <c r="H426" s="1"/>
      <c r="I426" s="1"/>
      <c r="J426" s="1"/>
      <c r="K426" s="1" t="s">
        <v>9803</v>
      </c>
      <c r="L426" s="1"/>
      <c r="M426" s="1"/>
      <c r="N426" s="1"/>
      <c r="O426" s="1"/>
      <c r="P426" s="1"/>
      <c r="Q426" s="1"/>
      <c r="R426" s="1"/>
      <c r="S426" s="1" t="s">
        <v>5685</v>
      </c>
      <c r="T426" s="1" t="s">
        <v>7</v>
      </c>
    </row>
    <row r="427" spans="1:20">
      <c r="A427" s="2" t="s">
        <v>3463</v>
      </c>
      <c r="B427" s="2" t="s">
        <v>3758</v>
      </c>
      <c r="C427" s="101">
        <v>1095</v>
      </c>
      <c r="D427" s="1" t="s">
        <v>9804</v>
      </c>
      <c r="E427" s="1" t="s">
        <v>1105</v>
      </c>
      <c r="F427" s="1"/>
      <c r="G427" s="1" t="s">
        <v>3399</v>
      </c>
      <c r="H427" s="1"/>
      <c r="I427" s="1"/>
      <c r="J427" s="1"/>
      <c r="K427" s="1" t="s">
        <v>9805</v>
      </c>
      <c r="L427" s="1"/>
      <c r="M427" s="1"/>
      <c r="N427" s="1"/>
      <c r="O427" s="1"/>
      <c r="P427" s="1"/>
      <c r="Q427" s="1"/>
      <c r="R427" s="1"/>
      <c r="S427" s="1" t="s">
        <v>18</v>
      </c>
      <c r="T427" s="1" t="s">
        <v>7</v>
      </c>
    </row>
    <row r="428" spans="1:20">
      <c r="A428" s="2" t="s">
        <v>3463</v>
      </c>
      <c r="B428" s="2" t="s">
        <v>3758</v>
      </c>
      <c r="C428" s="101">
        <v>1096</v>
      </c>
      <c r="D428" s="1" t="s">
        <v>9806</v>
      </c>
      <c r="E428" s="1" t="s">
        <v>1105</v>
      </c>
      <c r="F428" s="1"/>
      <c r="G428" s="1" t="s">
        <v>3399</v>
      </c>
      <c r="H428" s="1"/>
      <c r="I428" s="1"/>
      <c r="J428" s="1"/>
      <c r="K428" s="1" t="s">
        <v>9807</v>
      </c>
      <c r="L428" s="1"/>
      <c r="M428" s="1"/>
      <c r="N428" s="1"/>
      <c r="O428" s="1"/>
      <c r="P428" s="1"/>
      <c r="Q428" s="1"/>
      <c r="R428" s="1"/>
      <c r="S428" s="1" t="s">
        <v>607</v>
      </c>
      <c r="T428" s="1" t="s">
        <v>7</v>
      </c>
    </row>
    <row r="429" spans="1:20">
      <c r="A429" s="2" t="s">
        <v>3463</v>
      </c>
      <c r="B429" s="2" t="s">
        <v>3758</v>
      </c>
      <c r="C429" s="101">
        <v>1097</v>
      </c>
      <c r="D429" s="1" t="s">
        <v>9808</v>
      </c>
      <c r="E429" s="1" t="s">
        <v>1105</v>
      </c>
      <c r="F429" s="1"/>
      <c r="G429" s="1" t="s">
        <v>3399</v>
      </c>
      <c r="H429" s="1"/>
      <c r="I429" s="1"/>
      <c r="J429" s="1"/>
      <c r="K429" s="1" t="s">
        <v>9809</v>
      </c>
      <c r="L429" s="1" t="s">
        <v>9810</v>
      </c>
      <c r="M429" s="1"/>
      <c r="N429" s="1"/>
      <c r="O429" s="1"/>
      <c r="P429" s="1"/>
      <c r="Q429" s="1"/>
      <c r="R429" s="1"/>
      <c r="S429" s="1" t="s">
        <v>179</v>
      </c>
      <c r="T429" s="1" t="s">
        <v>7</v>
      </c>
    </row>
    <row r="430" spans="1:20">
      <c r="A430" s="2" t="s">
        <v>3463</v>
      </c>
      <c r="B430" s="2" t="s">
        <v>3758</v>
      </c>
      <c r="C430" s="101">
        <v>1098</v>
      </c>
      <c r="D430" s="1" t="s">
        <v>9811</v>
      </c>
      <c r="E430" s="1" t="s">
        <v>1248</v>
      </c>
      <c r="F430" s="1"/>
      <c r="G430" s="1" t="s">
        <v>3399</v>
      </c>
      <c r="H430" s="1"/>
      <c r="I430" s="1"/>
      <c r="J430" s="1"/>
      <c r="K430" s="1" t="s">
        <v>9812</v>
      </c>
      <c r="L430" s="1" t="s">
        <v>9813</v>
      </c>
      <c r="M430" s="1"/>
      <c r="N430" s="1"/>
      <c r="O430" s="1"/>
      <c r="P430" s="1"/>
      <c r="Q430" s="1"/>
      <c r="R430" s="1"/>
      <c r="S430" s="1" t="s">
        <v>34</v>
      </c>
      <c r="T430" s="1" t="s">
        <v>7</v>
      </c>
    </row>
    <row r="431" spans="1:20">
      <c r="A431" s="2" t="s">
        <v>3463</v>
      </c>
      <c r="B431" s="2" t="s">
        <v>3758</v>
      </c>
      <c r="C431" s="101">
        <v>1099</v>
      </c>
      <c r="D431" s="1" t="s">
        <v>9814</v>
      </c>
      <c r="E431" s="1" t="s">
        <v>1248</v>
      </c>
      <c r="F431" s="1"/>
      <c r="G431" s="1" t="s">
        <v>3399</v>
      </c>
      <c r="H431" s="1"/>
      <c r="I431" s="1"/>
      <c r="J431" s="1"/>
      <c r="K431" s="1" t="s">
        <v>9815</v>
      </c>
      <c r="L431" s="1"/>
      <c r="M431" s="1"/>
      <c r="N431" s="1"/>
      <c r="O431" s="1"/>
      <c r="P431" s="1"/>
      <c r="Q431" s="1"/>
      <c r="R431" s="1"/>
      <c r="S431" s="1" t="s">
        <v>606</v>
      </c>
      <c r="T431" s="1" t="s">
        <v>7</v>
      </c>
    </row>
    <row r="432" spans="1:20">
      <c r="A432" s="2" t="s">
        <v>3463</v>
      </c>
      <c r="B432" s="2" t="s">
        <v>3758</v>
      </c>
      <c r="C432" s="101">
        <v>1100</v>
      </c>
      <c r="D432" s="1" t="s">
        <v>9816</v>
      </c>
      <c r="E432" s="1" t="s">
        <v>1105</v>
      </c>
      <c r="F432" s="1"/>
      <c r="G432" s="1" t="s">
        <v>3399</v>
      </c>
      <c r="H432" s="1"/>
      <c r="I432" s="1"/>
      <c r="J432" s="1"/>
      <c r="K432" s="1" t="s">
        <v>9817</v>
      </c>
      <c r="L432" s="1"/>
      <c r="M432" s="1"/>
      <c r="N432" s="1"/>
      <c r="O432" s="1"/>
      <c r="P432" s="1"/>
      <c r="Q432" s="1"/>
      <c r="R432" s="1"/>
      <c r="S432" s="1" t="s">
        <v>8</v>
      </c>
      <c r="T432" s="1" t="s">
        <v>7</v>
      </c>
    </row>
    <row r="433" spans="1:20">
      <c r="A433" s="2" t="s">
        <v>3463</v>
      </c>
      <c r="B433" s="2" t="s">
        <v>3758</v>
      </c>
      <c r="C433" s="101">
        <v>1101</v>
      </c>
      <c r="D433" s="1" t="s">
        <v>9818</v>
      </c>
      <c r="E433" s="1" t="s">
        <v>1194</v>
      </c>
      <c r="F433" s="1"/>
      <c r="G433" s="1" t="s">
        <v>3399</v>
      </c>
      <c r="H433" s="1"/>
      <c r="I433" s="1"/>
      <c r="J433" s="1"/>
      <c r="K433" s="1" t="s">
        <v>9819</v>
      </c>
      <c r="L433" s="1"/>
      <c r="M433" s="1"/>
      <c r="N433" s="1"/>
      <c r="O433" s="1"/>
      <c r="P433" s="1"/>
      <c r="Q433" s="1"/>
      <c r="R433" s="1"/>
      <c r="S433" s="1" t="s">
        <v>27</v>
      </c>
      <c r="T433" s="1" t="s">
        <v>7</v>
      </c>
    </row>
    <row r="434" spans="1:20">
      <c r="A434" s="2" t="s">
        <v>3463</v>
      </c>
      <c r="B434" s="2" t="s">
        <v>3758</v>
      </c>
      <c r="C434" s="101">
        <v>1102</v>
      </c>
      <c r="D434" s="1" t="s">
        <v>9820</v>
      </c>
      <c r="E434" s="1" t="s">
        <v>1194</v>
      </c>
      <c r="F434" s="1"/>
      <c r="G434" s="1" t="s">
        <v>3399</v>
      </c>
      <c r="H434" s="1"/>
      <c r="I434" s="1"/>
      <c r="J434" s="1"/>
      <c r="K434" s="1" t="s">
        <v>9821</v>
      </c>
      <c r="L434" s="1"/>
      <c r="M434" s="1"/>
      <c r="N434" s="1"/>
      <c r="O434" s="1"/>
      <c r="P434" s="1"/>
      <c r="Q434" s="1"/>
      <c r="R434" s="1"/>
      <c r="S434" s="1" t="s">
        <v>6</v>
      </c>
      <c r="T434" s="1" t="s">
        <v>7</v>
      </c>
    </row>
    <row r="435" spans="1:20">
      <c r="A435" s="2" t="s">
        <v>3463</v>
      </c>
      <c r="B435" s="2" t="s">
        <v>3758</v>
      </c>
      <c r="C435" s="101">
        <v>1103</v>
      </c>
      <c r="D435" s="1" t="s">
        <v>9822</v>
      </c>
      <c r="E435" s="1" t="s">
        <v>9823</v>
      </c>
      <c r="F435" s="1"/>
      <c r="G435" s="1" t="s">
        <v>3399</v>
      </c>
      <c r="H435" s="1"/>
      <c r="I435" s="1"/>
      <c r="J435" s="1"/>
      <c r="K435" s="1" t="s">
        <v>9824</v>
      </c>
      <c r="L435" s="1" t="s">
        <v>9825</v>
      </c>
      <c r="M435" s="1"/>
      <c r="N435" s="1"/>
      <c r="O435" s="1"/>
      <c r="P435" s="1"/>
      <c r="Q435" s="1"/>
      <c r="R435" s="1"/>
      <c r="S435" s="1" t="s">
        <v>3747</v>
      </c>
      <c r="T435" s="1" t="s">
        <v>7</v>
      </c>
    </row>
    <row r="436" spans="1:20">
      <c r="A436" s="2" t="s">
        <v>3463</v>
      </c>
      <c r="B436" s="2" t="s">
        <v>3758</v>
      </c>
      <c r="C436" s="101">
        <v>1104</v>
      </c>
      <c r="D436" s="1" t="s">
        <v>9826</v>
      </c>
      <c r="E436" s="1" t="s">
        <v>1194</v>
      </c>
      <c r="F436" s="1"/>
      <c r="G436" s="1" t="s">
        <v>3399</v>
      </c>
      <c r="H436" s="1"/>
      <c r="I436" s="1"/>
      <c r="J436" s="1"/>
      <c r="K436" s="1" t="s">
        <v>9827</v>
      </c>
      <c r="L436" s="1" t="s">
        <v>9828</v>
      </c>
      <c r="M436" s="1" t="s">
        <v>9829</v>
      </c>
      <c r="N436" s="1"/>
      <c r="O436" s="1"/>
      <c r="P436" s="1"/>
      <c r="Q436" s="1"/>
      <c r="R436" s="1"/>
      <c r="S436" s="1" t="s">
        <v>17</v>
      </c>
      <c r="T436" s="1" t="s">
        <v>7</v>
      </c>
    </row>
    <row r="437" spans="1:20">
      <c r="A437" s="2" t="s">
        <v>3463</v>
      </c>
      <c r="B437" s="2" t="s">
        <v>3758</v>
      </c>
      <c r="C437" s="101">
        <v>1105</v>
      </c>
      <c r="D437" s="1" t="s">
        <v>9830</v>
      </c>
      <c r="E437" s="1" t="s">
        <v>1250</v>
      </c>
      <c r="F437" s="1"/>
      <c r="G437" s="1" t="s">
        <v>3399</v>
      </c>
      <c r="H437" s="1"/>
      <c r="I437" s="1"/>
      <c r="J437" s="1"/>
      <c r="K437" s="1" t="s">
        <v>9831</v>
      </c>
      <c r="L437" s="1"/>
      <c r="M437" s="1"/>
      <c r="N437" s="1"/>
      <c r="O437" s="1"/>
      <c r="P437" s="1"/>
      <c r="Q437" s="1"/>
      <c r="R437" s="1"/>
      <c r="S437" s="1" t="s">
        <v>180</v>
      </c>
      <c r="T437" s="1" t="s">
        <v>7</v>
      </c>
    </row>
    <row r="438" spans="1:20">
      <c r="A438" s="2" t="s">
        <v>3463</v>
      </c>
      <c r="B438" s="2" t="s">
        <v>3758</v>
      </c>
      <c r="C438" s="101">
        <v>1106</v>
      </c>
      <c r="D438" s="1" t="s">
        <v>9832</v>
      </c>
      <c r="E438" s="1" t="s">
        <v>1194</v>
      </c>
      <c r="F438" s="1"/>
      <c r="G438" s="1" t="s">
        <v>3399</v>
      </c>
      <c r="H438" s="1"/>
      <c r="I438" s="1"/>
      <c r="J438" s="1"/>
      <c r="K438" s="1" t="s">
        <v>5014</v>
      </c>
      <c r="L438" s="1" t="s">
        <v>9779</v>
      </c>
      <c r="M438" s="1"/>
      <c r="N438" s="1"/>
      <c r="O438" s="1"/>
      <c r="P438" s="1"/>
      <c r="Q438" s="1"/>
      <c r="R438" s="1"/>
      <c r="S438" s="1" t="s">
        <v>172</v>
      </c>
      <c r="T438" s="1" t="s">
        <v>7</v>
      </c>
    </row>
    <row r="439" spans="1:20">
      <c r="A439" s="2" t="s">
        <v>3463</v>
      </c>
      <c r="B439" s="2" t="s">
        <v>3758</v>
      </c>
      <c r="C439" s="101">
        <v>1107</v>
      </c>
      <c r="D439" s="1" t="s">
        <v>9833</v>
      </c>
      <c r="E439" s="1" t="s">
        <v>1251</v>
      </c>
      <c r="F439" s="1"/>
      <c r="G439" s="1" t="s">
        <v>3399</v>
      </c>
      <c r="H439" s="1"/>
      <c r="I439" s="1"/>
      <c r="J439" s="1"/>
      <c r="K439" s="1" t="s">
        <v>8859</v>
      </c>
      <c r="L439" s="1" t="s">
        <v>9834</v>
      </c>
      <c r="M439" s="1"/>
      <c r="N439" s="1"/>
      <c r="O439" s="1"/>
      <c r="P439" s="1"/>
      <c r="Q439" s="1"/>
      <c r="R439" s="1"/>
      <c r="S439" s="1" t="s">
        <v>606</v>
      </c>
      <c r="T439" s="1" t="s">
        <v>7</v>
      </c>
    </row>
    <row r="440" spans="1:20">
      <c r="A440" s="2" t="s">
        <v>3463</v>
      </c>
      <c r="B440" s="2" t="s">
        <v>3758</v>
      </c>
      <c r="C440" s="101">
        <v>1108</v>
      </c>
      <c r="D440" s="1" t="s">
        <v>9835</v>
      </c>
      <c r="E440" s="1" t="s">
        <v>9836</v>
      </c>
      <c r="F440" s="1"/>
      <c r="G440" s="1" t="s">
        <v>3399</v>
      </c>
      <c r="H440" s="1"/>
      <c r="I440" s="1"/>
      <c r="J440" s="1"/>
      <c r="K440" s="1" t="s">
        <v>9837</v>
      </c>
      <c r="L440" s="1" t="s">
        <v>9838</v>
      </c>
      <c r="M440" s="1"/>
      <c r="N440" s="1"/>
      <c r="O440" s="1"/>
      <c r="P440" s="1"/>
      <c r="Q440" s="1"/>
      <c r="R440" s="1"/>
      <c r="S440" s="1" t="s">
        <v>31</v>
      </c>
      <c r="T440" s="1" t="s">
        <v>7</v>
      </c>
    </row>
    <row r="441" spans="1:20">
      <c r="A441" s="2" t="s">
        <v>3463</v>
      </c>
      <c r="B441" s="2" t="s">
        <v>3758</v>
      </c>
      <c r="C441" s="101">
        <v>1109</v>
      </c>
      <c r="D441" s="1" t="s">
        <v>9839</v>
      </c>
      <c r="E441" s="1" t="s">
        <v>9840</v>
      </c>
      <c r="F441" s="1"/>
      <c r="G441" s="1" t="s">
        <v>3399</v>
      </c>
      <c r="H441" s="1"/>
      <c r="I441" s="1"/>
      <c r="J441" s="1"/>
      <c r="K441" s="1" t="s">
        <v>1232</v>
      </c>
      <c r="L441" s="1" t="s">
        <v>9841</v>
      </c>
      <c r="M441" s="1"/>
      <c r="N441" s="1"/>
      <c r="O441" s="1"/>
      <c r="P441" s="1"/>
      <c r="Q441" s="1"/>
      <c r="R441" s="1"/>
      <c r="S441" s="1" t="s">
        <v>38</v>
      </c>
      <c r="T441" s="1" t="s">
        <v>7</v>
      </c>
    </row>
    <row r="442" spans="1:20">
      <c r="A442" s="101" t="s">
        <v>3465</v>
      </c>
      <c r="B442" s="101" t="s">
        <v>3758</v>
      </c>
      <c r="C442" s="101">
        <v>2001</v>
      </c>
      <c r="D442" s="101" t="s">
        <v>10047</v>
      </c>
      <c r="E442" s="102" t="s">
        <v>4746</v>
      </c>
      <c r="F442" s="102"/>
      <c r="G442" s="102" t="s">
        <v>3399</v>
      </c>
      <c r="H442" s="102"/>
      <c r="I442" s="102"/>
      <c r="J442" s="102"/>
      <c r="K442" s="102" t="s">
        <v>10048</v>
      </c>
      <c r="L442" s="102" t="s">
        <v>10049</v>
      </c>
      <c r="M442" s="102"/>
      <c r="N442" s="102"/>
      <c r="O442" s="102"/>
      <c r="P442" s="102"/>
      <c r="Q442" s="102"/>
      <c r="R442" s="102"/>
      <c r="S442" s="102" t="s">
        <v>31</v>
      </c>
      <c r="T442" s="102" t="s">
        <v>9</v>
      </c>
    </row>
    <row r="443" spans="1:20">
      <c r="A443" s="101" t="s">
        <v>3465</v>
      </c>
      <c r="B443" s="101" t="s">
        <v>3758</v>
      </c>
      <c r="C443" s="101">
        <v>2002</v>
      </c>
      <c r="D443" s="102" t="s">
        <v>10050</v>
      </c>
      <c r="E443" s="102" t="s">
        <v>1099</v>
      </c>
      <c r="F443" s="102"/>
      <c r="G443" s="102" t="s">
        <v>3399</v>
      </c>
      <c r="H443" s="102"/>
      <c r="I443" s="102"/>
      <c r="J443" s="102"/>
      <c r="K443" s="102" t="s">
        <v>10051</v>
      </c>
      <c r="L443" s="102"/>
      <c r="M443" s="102"/>
      <c r="N443" s="102"/>
      <c r="O443" s="102"/>
      <c r="P443" s="102"/>
      <c r="Q443" s="102"/>
      <c r="R443" s="102"/>
      <c r="S443" s="102" t="s">
        <v>14</v>
      </c>
      <c r="T443" s="102" t="s">
        <v>9</v>
      </c>
    </row>
    <row r="444" spans="1:20">
      <c r="A444" s="101" t="s">
        <v>3465</v>
      </c>
      <c r="B444" s="101" t="s">
        <v>3758</v>
      </c>
      <c r="C444" s="101">
        <v>2003</v>
      </c>
      <c r="D444" s="102" t="s">
        <v>10052</v>
      </c>
      <c r="E444" s="102" t="s">
        <v>8750</v>
      </c>
      <c r="F444" s="102"/>
      <c r="G444" s="102" t="s">
        <v>3399</v>
      </c>
      <c r="H444" s="102"/>
      <c r="I444" s="102"/>
      <c r="J444" s="102"/>
      <c r="K444" s="102" t="s">
        <v>10053</v>
      </c>
      <c r="L444" s="102"/>
      <c r="M444" s="102"/>
      <c r="N444" s="102"/>
      <c r="O444" s="102"/>
      <c r="P444" s="102"/>
      <c r="Q444" s="102"/>
      <c r="R444" s="102"/>
      <c r="S444" s="102" t="s">
        <v>52</v>
      </c>
      <c r="T444" s="102" t="s">
        <v>9</v>
      </c>
    </row>
    <row r="445" spans="1:20">
      <c r="A445" s="101" t="s">
        <v>3465</v>
      </c>
      <c r="B445" s="101" t="s">
        <v>3758</v>
      </c>
      <c r="C445" s="101">
        <v>2004</v>
      </c>
      <c r="D445" s="102" t="s">
        <v>10054</v>
      </c>
      <c r="E445" s="102" t="s">
        <v>10055</v>
      </c>
      <c r="F445" s="102"/>
      <c r="G445" s="102" t="s">
        <v>3399</v>
      </c>
      <c r="H445" s="102"/>
      <c r="I445" s="102"/>
      <c r="J445" s="102"/>
      <c r="K445" s="102" t="s">
        <v>10056</v>
      </c>
      <c r="L445" s="102"/>
      <c r="M445" s="102"/>
      <c r="N445" s="102"/>
      <c r="O445" s="102"/>
      <c r="P445" s="102"/>
      <c r="Q445" s="102"/>
      <c r="R445" s="102"/>
      <c r="S445" s="102" t="s">
        <v>39</v>
      </c>
      <c r="T445" s="102" t="s">
        <v>9</v>
      </c>
    </row>
    <row r="446" spans="1:20">
      <c r="A446" s="101" t="s">
        <v>3465</v>
      </c>
      <c r="B446" s="101" t="s">
        <v>3758</v>
      </c>
      <c r="C446" s="101">
        <v>2005</v>
      </c>
      <c r="D446" s="102" t="s">
        <v>10057</v>
      </c>
      <c r="E446" s="102" t="s">
        <v>8750</v>
      </c>
      <c r="F446" s="102"/>
      <c r="G446" s="102" t="s">
        <v>3399</v>
      </c>
      <c r="H446" s="102"/>
      <c r="I446" s="102"/>
      <c r="J446" s="102"/>
      <c r="K446" s="102" t="s">
        <v>937</v>
      </c>
      <c r="L446" s="102" t="s">
        <v>10058</v>
      </c>
      <c r="M446" s="102"/>
      <c r="N446" s="102"/>
      <c r="O446" s="102"/>
      <c r="P446" s="102"/>
      <c r="Q446" s="102"/>
      <c r="R446" s="102"/>
      <c r="S446" s="102" t="s">
        <v>35</v>
      </c>
      <c r="T446" s="102" t="s">
        <v>9</v>
      </c>
    </row>
    <row r="447" spans="1:20">
      <c r="A447" s="101" t="s">
        <v>3465</v>
      </c>
      <c r="B447" s="101" t="s">
        <v>3758</v>
      </c>
      <c r="C447" s="101">
        <v>2006</v>
      </c>
      <c r="D447" s="102" t="s">
        <v>10059</v>
      </c>
      <c r="E447" s="102" t="s">
        <v>8840</v>
      </c>
      <c r="F447" s="102"/>
      <c r="G447" s="102" t="s">
        <v>3399</v>
      </c>
      <c r="H447" s="102"/>
      <c r="I447" s="102"/>
      <c r="J447" s="102"/>
      <c r="K447" s="102" t="s">
        <v>4162</v>
      </c>
      <c r="L447" s="102" t="s">
        <v>10060</v>
      </c>
      <c r="M447" s="102" t="s">
        <v>10061</v>
      </c>
      <c r="N447" s="102" t="s">
        <v>10062</v>
      </c>
      <c r="O447" s="102" t="s">
        <v>10063</v>
      </c>
      <c r="P447" s="102"/>
      <c r="Q447" s="102"/>
      <c r="R447" s="102"/>
      <c r="S447" s="102" t="s">
        <v>5281</v>
      </c>
      <c r="T447" s="102" t="s">
        <v>9</v>
      </c>
    </row>
    <row r="448" spans="1:20">
      <c r="A448" s="101" t="s">
        <v>3465</v>
      </c>
      <c r="B448" s="101" t="s">
        <v>3758</v>
      </c>
      <c r="C448" s="101">
        <v>2007</v>
      </c>
      <c r="D448" s="102" t="s">
        <v>10064</v>
      </c>
      <c r="E448" s="102" t="s">
        <v>8840</v>
      </c>
      <c r="F448" s="102"/>
      <c r="G448" s="102" t="s">
        <v>3399</v>
      </c>
      <c r="H448" s="102"/>
      <c r="I448" s="102"/>
      <c r="J448" s="102"/>
      <c r="K448" s="102" t="s">
        <v>10065</v>
      </c>
      <c r="L448" s="102"/>
      <c r="M448" s="102"/>
      <c r="N448" s="102"/>
      <c r="O448" s="102"/>
      <c r="P448" s="102"/>
      <c r="Q448" s="102"/>
      <c r="R448" s="102"/>
      <c r="S448" s="102" t="s">
        <v>176</v>
      </c>
      <c r="T448" s="102" t="s">
        <v>9</v>
      </c>
    </row>
    <row r="449" spans="1:20">
      <c r="A449" s="101" t="s">
        <v>3465</v>
      </c>
      <c r="B449" s="101" t="s">
        <v>3758</v>
      </c>
      <c r="C449" s="101">
        <v>2008</v>
      </c>
      <c r="D449" s="102" t="s">
        <v>10066</v>
      </c>
      <c r="E449" s="102" t="s">
        <v>1100</v>
      </c>
      <c r="F449" s="102"/>
      <c r="G449" s="102" t="s">
        <v>3399</v>
      </c>
      <c r="H449" s="102"/>
      <c r="I449" s="102"/>
      <c r="J449" s="102"/>
      <c r="K449" s="102" t="s">
        <v>10067</v>
      </c>
      <c r="L449" s="102" t="s">
        <v>5271</v>
      </c>
      <c r="M449" s="102" t="s">
        <v>10068</v>
      </c>
      <c r="N449" s="102" t="s">
        <v>10069</v>
      </c>
      <c r="O449" s="102" t="s">
        <v>10070</v>
      </c>
      <c r="P449" s="102"/>
      <c r="Q449" s="102"/>
      <c r="R449" s="102"/>
      <c r="S449" s="102" t="s">
        <v>39</v>
      </c>
      <c r="T449" s="102" t="s">
        <v>9</v>
      </c>
    </row>
    <row r="450" spans="1:20">
      <c r="A450" s="101" t="s">
        <v>3465</v>
      </c>
      <c r="B450" s="101" t="s">
        <v>3758</v>
      </c>
      <c r="C450" s="101">
        <v>2009</v>
      </c>
      <c r="D450" s="102" t="s">
        <v>10071</v>
      </c>
      <c r="E450" s="102" t="s">
        <v>8840</v>
      </c>
      <c r="F450" s="102"/>
      <c r="G450" s="102" t="s">
        <v>3399</v>
      </c>
      <c r="H450" s="102"/>
      <c r="I450" s="102"/>
      <c r="J450" s="102"/>
      <c r="K450" s="102" t="s">
        <v>10072</v>
      </c>
      <c r="L450" s="102"/>
      <c r="M450" s="102"/>
      <c r="N450" s="102"/>
      <c r="O450" s="102"/>
      <c r="P450" s="102"/>
      <c r="Q450" s="102"/>
      <c r="R450" s="102"/>
      <c r="S450" s="102" t="s">
        <v>32</v>
      </c>
      <c r="T450" s="102" t="s">
        <v>9</v>
      </c>
    </row>
    <row r="451" spans="1:20">
      <c r="A451" s="101" t="s">
        <v>3465</v>
      </c>
      <c r="B451" s="101" t="s">
        <v>3758</v>
      </c>
      <c r="C451" s="101">
        <v>2010</v>
      </c>
      <c r="D451" s="102" t="s">
        <v>10073</v>
      </c>
      <c r="E451" s="102" t="s">
        <v>1100</v>
      </c>
      <c r="F451" s="102"/>
      <c r="G451" s="102" t="s">
        <v>3399</v>
      </c>
      <c r="H451" s="102"/>
      <c r="I451" s="102"/>
      <c r="J451" s="102"/>
      <c r="K451" s="102" t="s">
        <v>10074</v>
      </c>
      <c r="L451" s="102" t="s">
        <v>10075</v>
      </c>
      <c r="M451" s="102"/>
      <c r="N451" s="102"/>
      <c r="O451" s="102"/>
      <c r="P451" s="102"/>
      <c r="Q451" s="102"/>
      <c r="R451" s="102"/>
      <c r="S451" s="102" t="s">
        <v>10</v>
      </c>
      <c r="T451" s="102" t="s">
        <v>9</v>
      </c>
    </row>
    <row r="452" spans="1:20">
      <c r="A452" s="101" t="s">
        <v>3465</v>
      </c>
      <c r="B452" s="101" t="s">
        <v>3758</v>
      </c>
      <c r="C452" s="101">
        <v>2011</v>
      </c>
      <c r="D452" s="102" t="s">
        <v>10076</v>
      </c>
      <c r="E452" s="102" t="s">
        <v>8840</v>
      </c>
      <c r="F452" s="102"/>
      <c r="G452" s="102" t="s">
        <v>3399</v>
      </c>
      <c r="H452" s="102"/>
      <c r="I452" s="102"/>
      <c r="J452" s="102"/>
      <c r="K452" s="102" t="s">
        <v>10077</v>
      </c>
      <c r="L452" s="102"/>
      <c r="M452" s="102"/>
      <c r="N452" s="102"/>
      <c r="O452" s="102"/>
      <c r="P452" s="102"/>
      <c r="Q452" s="102"/>
      <c r="R452" s="102"/>
      <c r="S452" s="102" t="s">
        <v>173</v>
      </c>
      <c r="T452" s="102" t="s">
        <v>9</v>
      </c>
    </row>
    <row r="453" spans="1:20">
      <c r="A453" s="101" t="s">
        <v>3465</v>
      </c>
      <c r="B453" s="101" t="s">
        <v>3758</v>
      </c>
      <c r="C453" s="101">
        <v>2012</v>
      </c>
      <c r="D453" s="102" t="s">
        <v>10078</v>
      </c>
      <c r="E453" s="102" t="s">
        <v>8840</v>
      </c>
      <c r="F453" s="102"/>
      <c r="G453" s="102" t="s">
        <v>3399</v>
      </c>
      <c r="H453" s="102"/>
      <c r="I453" s="102"/>
      <c r="J453" s="102"/>
      <c r="K453" s="102" t="s">
        <v>10079</v>
      </c>
      <c r="L453" s="102"/>
      <c r="M453" s="102"/>
      <c r="N453" s="102"/>
      <c r="O453" s="102"/>
      <c r="P453" s="102"/>
      <c r="Q453" s="102"/>
      <c r="R453" s="102"/>
      <c r="S453" s="102" t="s">
        <v>29</v>
      </c>
      <c r="T453" s="102" t="s">
        <v>9</v>
      </c>
    </row>
    <row r="454" spans="1:20">
      <c r="A454" s="101" t="s">
        <v>3465</v>
      </c>
      <c r="B454" s="101" t="s">
        <v>3758</v>
      </c>
      <c r="C454" s="101">
        <v>2013</v>
      </c>
      <c r="D454" s="102" t="s">
        <v>10080</v>
      </c>
      <c r="E454" s="102" t="s">
        <v>1102</v>
      </c>
      <c r="F454" s="102"/>
      <c r="G454" s="102" t="s">
        <v>3399</v>
      </c>
      <c r="H454" s="102"/>
      <c r="I454" s="102"/>
      <c r="J454" s="102"/>
      <c r="K454" s="102" t="s">
        <v>4374</v>
      </c>
      <c r="L454" s="102"/>
      <c r="M454" s="102"/>
      <c r="N454" s="102"/>
      <c r="O454" s="102"/>
      <c r="P454" s="102"/>
      <c r="Q454" s="102"/>
      <c r="R454" s="102"/>
      <c r="S454" s="102"/>
      <c r="T454" s="102" t="s">
        <v>9</v>
      </c>
    </row>
    <row r="455" spans="1:20">
      <c r="A455" s="101" t="s">
        <v>3465</v>
      </c>
      <c r="B455" s="101" t="s">
        <v>3758</v>
      </c>
      <c r="C455" s="101">
        <v>2014</v>
      </c>
      <c r="D455" s="102" t="s">
        <v>10081</v>
      </c>
      <c r="E455" s="102" t="s">
        <v>1104</v>
      </c>
      <c r="F455" s="102"/>
      <c r="G455" s="102" t="s">
        <v>3399</v>
      </c>
      <c r="H455" s="102"/>
      <c r="I455" s="102"/>
      <c r="J455" s="102"/>
      <c r="K455" s="102" t="s">
        <v>6890</v>
      </c>
      <c r="L455" s="102" t="s">
        <v>10082</v>
      </c>
      <c r="M455" s="102"/>
      <c r="N455" s="102"/>
      <c r="O455" s="102"/>
      <c r="P455" s="102"/>
      <c r="Q455" s="102"/>
      <c r="R455" s="102"/>
      <c r="S455" s="102" t="s">
        <v>17</v>
      </c>
      <c r="T455" s="102" t="s">
        <v>9</v>
      </c>
    </row>
    <row r="456" spans="1:20">
      <c r="A456" s="101" t="s">
        <v>3465</v>
      </c>
      <c r="B456" s="101" t="s">
        <v>3758</v>
      </c>
      <c r="C456" s="101">
        <v>2015</v>
      </c>
      <c r="D456" s="102" t="s">
        <v>10083</v>
      </c>
      <c r="E456" s="102" t="s">
        <v>1243</v>
      </c>
      <c r="F456" s="102"/>
      <c r="G456" s="102" t="s">
        <v>3399</v>
      </c>
      <c r="H456" s="102"/>
      <c r="I456" s="102"/>
      <c r="J456" s="102"/>
      <c r="K456" s="102" t="s">
        <v>10084</v>
      </c>
      <c r="L456" s="102" t="s">
        <v>10085</v>
      </c>
      <c r="M456" s="102"/>
      <c r="N456" s="102"/>
      <c r="O456" s="102"/>
      <c r="P456" s="102"/>
      <c r="Q456" s="102"/>
      <c r="R456" s="102"/>
      <c r="S456" s="102" t="s">
        <v>607</v>
      </c>
      <c r="T456" s="102" t="s">
        <v>9</v>
      </c>
    </row>
    <row r="457" spans="1:20">
      <c r="A457" s="101" t="s">
        <v>3465</v>
      </c>
      <c r="B457" s="101" t="s">
        <v>3758</v>
      </c>
      <c r="C457" s="101">
        <v>2016</v>
      </c>
      <c r="D457" s="102" t="s">
        <v>10086</v>
      </c>
      <c r="E457" s="102" t="s">
        <v>1102</v>
      </c>
      <c r="F457" s="102"/>
      <c r="G457" s="102" t="s">
        <v>3399</v>
      </c>
      <c r="H457" s="102"/>
      <c r="I457" s="102"/>
      <c r="J457" s="102"/>
      <c r="K457" s="102" t="s">
        <v>10087</v>
      </c>
      <c r="L457" s="102"/>
      <c r="M457" s="102"/>
      <c r="N457" s="102"/>
      <c r="O457" s="102"/>
      <c r="P457" s="102"/>
      <c r="Q457" s="102"/>
      <c r="R457" s="102"/>
      <c r="S457" s="102" t="s">
        <v>26</v>
      </c>
      <c r="T457" s="102" t="s">
        <v>9</v>
      </c>
    </row>
    <row r="458" spans="1:20">
      <c r="A458" s="101" t="s">
        <v>3465</v>
      </c>
      <c r="B458" s="101" t="s">
        <v>3758</v>
      </c>
      <c r="C458" s="101">
        <v>2017</v>
      </c>
      <c r="D458" s="102" t="s">
        <v>10088</v>
      </c>
      <c r="E458" s="102" t="s">
        <v>1102</v>
      </c>
      <c r="F458" s="102"/>
      <c r="G458" s="102" t="s">
        <v>3399</v>
      </c>
      <c r="H458" s="102"/>
      <c r="I458" s="102"/>
      <c r="J458" s="102"/>
      <c r="K458" s="102" t="s">
        <v>10089</v>
      </c>
      <c r="L458" s="102"/>
      <c r="M458" s="102"/>
      <c r="N458" s="102"/>
      <c r="O458" s="102"/>
      <c r="P458" s="102"/>
      <c r="Q458" s="102"/>
      <c r="R458" s="102"/>
      <c r="S458" s="102" t="s">
        <v>48</v>
      </c>
      <c r="T458" s="102" t="s">
        <v>9</v>
      </c>
    </row>
    <row r="459" spans="1:20">
      <c r="A459" s="101" t="s">
        <v>3465</v>
      </c>
      <c r="B459" s="101" t="s">
        <v>3758</v>
      </c>
      <c r="C459" s="101">
        <v>2018</v>
      </c>
      <c r="D459" s="102" t="s">
        <v>10090</v>
      </c>
      <c r="E459" s="102" t="s">
        <v>1102</v>
      </c>
      <c r="F459" s="102"/>
      <c r="G459" s="102" t="s">
        <v>3399</v>
      </c>
      <c r="H459" s="102"/>
      <c r="I459" s="102"/>
      <c r="J459" s="102"/>
      <c r="K459" s="102" t="s">
        <v>10091</v>
      </c>
      <c r="L459" s="102"/>
      <c r="M459" s="102"/>
      <c r="N459" s="102"/>
      <c r="O459" s="102"/>
      <c r="P459" s="102"/>
      <c r="Q459" s="102"/>
      <c r="R459" s="102"/>
      <c r="S459" s="102" t="s">
        <v>29</v>
      </c>
      <c r="T459" s="102" t="s">
        <v>9</v>
      </c>
    </row>
    <row r="460" spans="1:20">
      <c r="A460" s="101" t="s">
        <v>3465</v>
      </c>
      <c r="B460" s="101" t="s">
        <v>3758</v>
      </c>
      <c r="C460" s="101">
        <v>2019</v>
      </c>
      <c r="D460" s="102" t="s">
        <v>10092</v>
      </c>
      <c r="E460" s="102" t="s">
        <v>1101</v>
      </c>
      <c r="F460" s="102"/>
      <c r="G460" s="102" t="s">
        <v>3399</v>
      </c>
      <c r="H460" s="102"/>
      <c r="I460" s="102"/>
      <c r="J460" s="102"/>
      <c r="K460" s="102" t="s">
        <v>10093</v>
      </c>
      <c r="L460" s="102" t="s">
        <v>10094</v>
      </c>
      <c r="M460" s="102"/>
      <c r="N460" s="102"/>
      <c r="O460" s="102"/>
      <c r="P460" s="102"/>
      <c r="Q460" s="102"/>
      <c r="R460" s="102"/>
      <c r="S460" s="102" t="s">
        <v>34</v>
      </c>
      <c r="T460" s="102" t="s">
        <v>9</v>
      </c>
    </row>
    <row r="461" spans="1:20">
      <c r="A461" s="101" t="s">
        <v>3465</v>
      </c>
      <c r="B461" s="101" t="s">
        <v>3758</v>
      </c>
      <c r="C461" s="101">
        <v>2020</v>
      </c>
      <c r="D461" s="102" t="s">
        <v>10095</v>
      </c>
      <c r="E461" s="102" t="s">
        <v>1101</v>
      </c>
      <c r="F461" s="102"/>
      <c r="G461" s="102" t="s">
        <v>3399</v>
      </c>
      <c r="H461" s="102"/>
      <c r="I461" s="102"/>
      <c r="J461" s="102"/>
      <c r="K461" s="102" t="s">
        <v>10096</v>
      </c>
      <c r="L461" s="102"/>
      <c r="M461" s="102"/>
      <c r="N461" s="102"/>
      <c r="O461" s="102"/>
      <c r="P461" s="102"/>
      <c r="Q461" s="102"/>
      <c r="R461" s="102"/>
      <c r="S461" s="102" t="s">
        <v>17</v>
      </c>
      <c r="T461" s="102" t="s">
        <v>9</v>
      </c>
    </row>
    <row r="462" spans="1:20">
      <c r="A462" s="101" t="s">
        <v>3465</v>
      </c>
      <c r="B462" s="101" t="s">
        <v>3758</v>
      </c>
      <c r="C462" s="101">
        <v>2021</v>
      </c>
      <c r="D462" s="102" t="s">
        <v>10097</v>
      </c>
      <c r="E462" s="102" t="s">
        <v>1101</v>
      </c>
      <c r="F462" s="102"/>
      <c r="G462" s="102" t="s">
        <v>3399</v>
      </c>
      <c r="H462" s="102"/>
      <c r="I462" s="102"/>
      <c r="J462" s="102"/>
      <c r="K462" s="102" t="s">
        <v>10098</v>
      </c>
      <c r="L462" s="102"/>
      <c r="M462" s="102"/>
      <c r="N462" s="102"/>
      <c r="O462" s="102"/>
      <c r="P462" s="102"/>
      <c r="Q462" s="102"/>
      <c r="R462" s="102"/>
      <c r="S462" s="102" t="s">
        <v>179</v>
      </c>
      <c r="T462" s="102" t="s">
        <v>9</v>
      </c>
    </row>
    <row r="463" spans="1:20">
      <c r="A463" s="101" t="s">
        <v>3465</v>
      </c>
      <c r="B463" s="101" t="s">
        <v>3758</v>
      </c>
      <c r="C463" s="101">
        <v>2022</v>
      </c>
      <c r="D463" s="102" t="s">
        <v>10099</v>
      </c>
      <c r="E463" s="102" t="s">
        <v>1101</v>
      </c>
      <c r="F463" s="102"/>
      <c r="G463" s="102" t="s">
        <v>3399</v>
      </c>
      <c r="H463" s="102"/>
      <c r="I463" s="102"/>
      <c r="J463" s="102"/>
      <c r="K463" s="102" t="s">
        <v>10100</v>
      </c>
      <c r="L463" s="102"/>
      <c r="M463" s="102"/>
      <c r="N463" s="102"/>
      <c r="O463" s="102"/>
      <c r="P463" s="102"/>
      <c r="Q463" s="102"/>
      <c r="R463" s="102"/>
      <c r="S463" s="102" t="s">
        <v>30</v>
      </c>
      <c r="T463" s="102" t="s">
        <v>9</v>
      </c>
    </row>
    <row r="464" spans="1:20">
      <c r="A464" s="101" t="s">
        <v>3465</v>
      </c>
      <c r="B464" s="101" t="s">
        <v>3758</v>
      </c>
      <c r="C464" s="101">
        <v>2023</v>
      </c>
      <c r="D464" s="102" t="s">
        <v>10101</v>
      </c>
      <c r="E464" s="102" t="s">
        <v>1246</v>
      </c>
      <c r="F464" s="102"/>
      <c r="G464" s="102" t="s">
        <v>3399</v>
      </c>
      <c r="H464" s="102"/>
      <c r="I464" s="102"/>
      <c r="J464" s="102"/>
      <c r="K464" s="102" t="s">
        <v>10102</v>
      </c>
      <c r="L464" s="102"/>
      <c r="M464" s="102"/>
      <c r="N464" s="102"/>
      <c r="O464" s="102"/>
      <c r="P464" s="102"/>
      <c r="Q464" s="102"/>
      <c r="R464" s="102"/>
      <c r="S464" s="102" t="s">
        <v>177</v>
      </c>
      <c r="T464" s="102" t="s">
        <v>9</v>
      </c>
    </row>
    <row r="465" spans="1:20">
      <c r="A465" s="101" t="s">
        <v>3465</v>
      </c>
      <c r="B465" s="101" t="s">
        <v>3758</v>
      </c>
      <c r="C465" s="101">
        <v>2024</v>
      </c>
      <c r="D465" s="102" t="s">
        <v>10103</v>
      </c>
      <c r="E465" s="102" t="s">
        <v>1102</v>
      </c>
      <c r="F465" s="102"/>
      <c r="G465" s="102" t="s">
        <v>3399</v>
      </c>
      <c r="H465" s="102"/>
      <c r="I465" s="102"/>
      <c r="J465" s="102"/>
      <c r="K465" s="102" t="s">
        <v>4374</v>
      </c>
      <c r="L465" s="102" t="s">
        <v>10104</v>
      </c>
      <c r="M465" s="102"/>
      <c r="N465" s="102"/>
      <c r="O465" s="102"/>
      <c r="P465" s="102"/>
      <c r="Q465" s="102"/>
      <c r="R465" s="102"/>
      <c r="S465" s="102" t="s">
        <v>28</v>
      </c>
      <c r="T465" s="102" t="s">
        <v>9</v>
      </c>
    </row>
    <row r="466" spans="1:20">
      <c r="A466" s="101" t="s">
        <v>3465</v>
      </c>
      <c r="B466" s="101" t="s">
        <v>3758</v>
      </c>
      <c r="C466" s="101">
        <v>2025</v>
      </c>
      <c r="D466" s="102" t="s">
        <v>10105</v>
      </c>
      <c r="E466" s="102" t="s">
        <v>1102</v>
      </c>
      <c r="F466" s="102"/>
      <c r="G466" s="102" t="s">
        <v>3399</v>
      </c>
      <c r="H466" s="102"/>
      <c r="I466" s="102"/>
      <c r="J466" s="102"/>
      <c r="K466" s="102" t="s">
        <v>10106</v>
      </c>
      <c r="L466" s="102"/>
      <c r="M466" s="102"/>
      <c r="N466" s="102"/>
      <c r="O466" s="102"/>
      <c r="P466" s="102"/>
      <c r="Q466" s="102"/>
      <c r="R466" s="102"/>
      <c r="S466" s="102" t="s">
        <v>177</v>
      </c>
      <c r="T466" s="102" t="s">
        <v>9</v>
      </c>
    </row>
    <row r="467" spans="1:20">
      <c r="A467" s="101" t="s">
        <v>3465</v>
      </c>
      <c r="B467" s="101" t="s">
        <v>3758</v>
      </c>
      <c r="C467" s="101">
        <v>2026</v>
      </c>
      <c r="D467" s="102" t="s">
        <v>10107</v>
      </c>
      <c r="E467" s="102" t="s">
        <v>1101</v>
      </c>
      <c r="F467" s="102"/>
      <c r="G467" s="102" t="s">
        <v>3399</v>
      </c>
      <c r="H467" s="102"/>
      <c r="I467" s="102"/>
      <c r="J467" s="102"/>
      <c r="K467" s="102" t="s">
        <v>10108</v>
      </c>
      <c r="L467" s="102"/>
      <c r="M467" s="102"/>
      <c r="N467" s="102"/>
      <c r="O467" s="102"/>
      <c r="P467" s="102"/>
      <c r="Q467" s="102"/>
      <c r="R467" s="102"/>
      <c r="S467" s="102" t="s">
        <v>28</v>
      </c>
      <c r="T467" s="102" t="s">
        <v>9</v>
      </c>
    </row>
    <row r="468" spans="1:20">
      <c r="A468" s="101" t="s">
        <v>3465</v>
      </c>
      <c r="B468" s="101" t="s">
        <v>3758</v>
      </c>
      <c r="C468" s="101">
        <v>2027</v>
      </c>
      <c r="D468" s="102" t="s">
        <v>10109</v>
      </c>
      <c r="E468" s="102" t="s">
        <v>10110</v>
      </c>
      <c r="F468" s="102"/>
      <c r="G468" s="102" t="s">
        <v>3399</v>
      </c>
      <c r="H468" s="102"/>
      <c r="I468" s="102"/>
      <c r="J468" s="102"/>
      <c r="K468" s="102" t="s">
        <v>10111</v>
      </c>
      <c r="L468" s="102"/>
      <c r="M468" s="102"/>
      <c r="N468" s="102"/>
      <c r="O468" s="102"/>
      <c r="P468" s="102"/>
      <c r="Q468" s="102"/>
      <c r="R468" s="102"/>
      <c r="S468" s="102" t="s">
        <v>169</v>
      </c>
      <c r="T468" s="102" t="s">
        <v>9</v>
      </c>
    </row>
    <row r="469" spans="1:20">
      <c r="A469" s="101" t="s">
        <v>3465</v>
      </c>
      <c r="B469" s="101" t="s">
        <v>3758</v>
      </c>
      <c r="C469" s="101">
        <v>2029</v>
      </c>
      <c r="D469" s="102" t="s">
        <v>10112</v>
      </c>
      <c r="E469" s="102" t="s">
        <v>1102</v>
      </c>
      <c r="F469" s="102"/>
      <c r="G469" s="102" t="s">
        <v>3399</v>
      </c>
      <c r="H469" s="102"/>
      <c r="I469" s="102"/>
      <c r="J469" s="102"/>
      <c r="K469" s="102" t="s">
        <v>10113</v>
      </c>
      <c r="L469" s="102"/>
      <c r="M469" s="102"/>
      <c r="N469" s="102"/>
      <c r="O469" s="102"/>
      <c r="P469" s="102"/>
      <c r="Q469" s="102"/>
      <c r="R469" s="102"/>
      <c r="S469" s="102" t="s">
        <v>606</v>
      </c>
      <c r="T469" s="102" t="s">
        <v>9</v>
      </c>
    </row>
    <row r="470" spans="1:20">
      <c r="A470" s="101" t="s">
        <v>3465</v>
      </c>
      <c r="B470" s="101" t="s">
        <v>3758</v>
      </c>
      <c r="C470" s="101">
        <v>2030</v>
      </c>
      <c r="D470" s="102" t="s">
        <v>10114</v>
      </c>
      <c r="E470" s="102" t="s">
        <v>1104</v>
      </c>
      <c r="F470" s="102"/>
      <c r="G470" s="102" t="s">
        <v>3399</v>
      </c>
      <c r="H470" s="102" t="s">
        <v>5180</v>
      </c>
      <c r="I470" s="102"/>
      <c r="J470" s="102"/>
      <c r="K470" s="102" t="s">
        <v>10115</v>
      </c>
      <c r="L470" s="102"/>
      <c r="M470" s="102"/>
      <c r="N470" s="102"/>
      <c r="O470" s="102"/>
      <c r="P470" s="102"/>
      <c r="Q470" s="102"/>
      <c r="R470" s="102"/>
      <c r="S470" s="102" t="s">
        <v>175</v>
      </c>
      <c r="T470" s="102" t="s">
        <v>9</v>
      </c>
    </row>
    <row r="471" spans="1:20">
      <c r="A471" s="101" t="s">
        <v>3465</v>
      </c>
      <c r="B471" s="101" t="s">
        <v>3758</v>
      </c>
      <c r="C471" s="101">
        <v>2031</v>
      </c>
      <c r="D471" s="102" t="s">
        <v>10116</v>
      </c>
      <c r="E471" s="102" t="s">
        <v>1103</v>
      </c>
      <c r="F471" s="102"/>
      <c r="G471" s="102" t="s">
        <v>3399</v>
      </c>
      <c r="H471" s="102"/>
      <c r="I471" s="102"/>
      <c r="J471" s="102"/>
      <c r="K471" s="102" t="s">
        <v>10117</v>
      </c>
      <c r="L471" s="102"/>
      <c r="M471" s="102"/>
      <c r="N471" s="102"/>
      <c r="O471" s="102"/>
      <c r="P471" s="102"/>
      <c r="Q471" s="102"/>
      <c r="R471" s="102"/>
      <c r="S471" s="102" t="s">
        <v>48</v>
      </c>
      <c r="T471" s="102" t="s">
        <v>9</v>
      </c>
    </row>
    <row r="472" spans="1:20">
      <c r="A472" s="101" t="s">
        <v>3465</v>
      </c>
      <c r="B472" s="101" t="s">
        <v>3758</v>
      </c>
      <c r="C472" s="101">
        <v>2032</v>
      </c>
      <c r="D472" s="102" t="s">
        <v>10118</v>
      </c>
      <c r="E472" s="102" t="s">
        <v>1103</v>
      </c>
      <c r="F472" s="102"/>
      <c r="G472" s="102" t="s">
        <v>3399</v>
      </c>
      <c r="H472" s="102"/>
      <c r="I472" s="102"/>
      <c r="J472" s="102"/>
      <c r="K472" s="102" t="s">
        <v>10119</v>
      </c>
      <c r="L472" s="102"/>
      <c r="M472" s="102"/>
      <c r="N472" s="102"/>
      <c r="O472" s="102"/>
      <c r="P472" s="102"/>
      <c r="Q472" s="102"/>
      <c r="R472" s="102"/>
      <c r="S472" s="102" t="s">
        <v>36</v>
      </c>
      <c r="T472" s="102" t="s">
        <v>9</v>
      </c>
    </row>
    <row r="473" spans="1:20">
      <c r="A473" s="101" t="s">
        <v>3465</v>
      </c>
      <c r="B473" s="101" t="s">
        <v>3758</v>
      </c>
      <c r="C473" s="101">
        <v>2033</v>
      </c>
      <c r="D473" s="102" t="s">
        <v>10120</v>
      </c>
      <c r="E473" s="102" t="s">
        <v>1104</v>
      </c>
      <c r="F473" s="102"/>
      <c r="G473" s="102" t="s">
        <v>3399</v>
      </c>
      <c r="H473" s="102"/>
      <c r="I473" s="102"/>
      <c r="J473" s="102"/>
      <c r="K473" s="102" t="s">
        <v>10121</v>
      </c>
      <c r="L473" s="102" t="s">
        <v>9733</v>
      </c>
      <c r="M473" s="102"/>
      <c r="N473" s="102"/>
      <c r="O473" s="102"/>
      <c r="P473" s="102"/>
      <c r="Q473" s="102"/>
      <c r="R473" s="102"/>
      <c r="S473" s="102" t="s">
        <v>45</v>
      </c>
      <c r="T473" s="102" t="s">
        <v>9</v>
      </c>
    </row>
    <row r="474" spans="1:20">
      <c r="A474" s="101" t="s">
        <v>3465</v>
      </c>
      <c r="B474" s="101" t="s">
        <v>3758</v>
      </c>
      <c r="C474" s="101">
        <v>2034</v>
      </c>
      <c r="D474" s="102" t="s">
        <v>10122</v>
      </c>
      <c r="E474" s="102" t="s">
        <v>1104</v>
      </c>
      <c r="F474" s="102"/>
      <c r="G474" s="102" t="s">
        <v>3399</v>
      </c>
      <c r="H474" s="102"/>
      <c r="I474" s="102"/>
      <c r="J474" s="102"/>
      <c r="K474" s="102" t="s">
        <v>10123</v>
      </c>
      <c r="L474" s="102"/>
      <c r="M474" s="102"/>
      <c r="N474" s="102"/>
      <c r="O474" s="102"/>
      <c r="P474" s="102"/>
      <c r="Q474" s="102"/>
      <c r="R474" s="102"/>
      <c r="S474" s="102" t="s">
        <v>8</v>
      </c>
      <c r="T474" s="102" t="s">
        <v>9</v>
      </c>
    </row>
    <row r="475" spans="1:20">
      <c r="A475" s="101" t="s">
        <v>3465</v>
      </c>
      <c r="B475" s="101" t="s">
        <v>3758</v>
      </c>
      <c r="C475" s="101">
        <v>2035</v>
      </c>
      <c r="D475" s="102" t="s">
        <v>10124</v>
      </c>
      <c r="E475" s="102" t="s">
        <v>1103</v>
      </c>
      <c r="F475" s="102"/>
      <c r="G475" s="102" t="s">
        <v>3399</v>
      </c>
      <c r="H475" s="102"/>
      <c r="I475" s="102"/>
      <c r="J475" s="102"/>
      <c r="K475" s="102" t="s">
        <v>4113</v>
      </c>
      <c r="L475" s="102" t="s">
        <v>10125</v>
      </c>
      <c r="M475" s="102" t="s">
        <v>10126</v>
      </c>
      <c r="N475" s="102"/>
      <c r="O475" s="102"/>
      <c r="P475" s="102"/>
      <c r="Q475" s="102"/>
      <c r="R475" s="102"/>
      <c r="S475" s="102" t="s">
        <v>36</v>
      </c>
      <c r="T475" s="102" t="s">
        <v>9</v>
      </c>
    </row>
    <row r="476" spans="1:20">
      <c r="A476" s="101" t="s">
        <v>3465</v>
      </c>
      <c r="B476" s="101" t="s">
        <v>3758</v>
      </c>
      <c r="C476" s="101">
        <v>2036</v>
      </c>
      <c r="D476" s="102" t="s">
        <v>10127</v>
      </c>
      <c r="E476" s="102" t="s">
        <v>1104</v>
      </c>
      <c r="F476" s="102"/>
      <c r="G476" s="102" t="s">
        <v>3399</v>
      </c>
      <c r="H476" s="102"/>
      <c r="I476" s="102"/>
      <c r="J476" s="102"/>
      <c r="K476" s="102" t="s">
        <v>10128</v>
      </c>
      <c r="L476" s="102"/>
      <c r="M476" s="102"/>
      <c r="N476" s="102"/>
      <c r="O476" s="102"/>
      <c r="P476" s="102"/>
      <c r="Q476" s="102"/>
      <c r="R476" s="102"/>
      <c r="S476" s="102" t="s">
        <v>50</v>
      </c>
      <c r="T476" s="102" t="s">
        <v>9</v>
      </c>
    </row>
    <row r="477" spans="1:20">
      <c r="A477" s="101" t="s">
        <v>3465</v>
      </c>
      <c r="B477" s="101" t="s">
        <v>3758</v>
      </c>
      <c r="C477" s="101">
        <v>2037</v>
      </c>
      <c r="D477" s="102" t="s">
        <v>10129</v>
      </c>
      <c r="E477" s="102" t="s">
        <v>1103</v>
      </c>
      <c r="F477" s="102"/>
      <c r="G477" s="102" t="s">
        <v>3399</v>
      </c>
      <c r="H477" s="102"/>
      <c r="I477" s="102"/>
      <c r="J477" s="102"/>
      <c r="K477" s="102" t="s">
        <v>10130</v>
      </c>
      <c r="L477" s="102"/>
      <c r="M477" s="102"/>
      <c r="N477" s="102"/>
      <c r="O477" s="102"/>
      <c r="P477" s="102"/>
      <c r="Q477" s="102"/>
      <c r="R477" s="102"/>
      <c r="S477" s="102" t="s">
        <v>171</v>
      </c>
      <c r="T477" s="102" t="s">
        <v>9</v>
      </c>
    </row>
    <row r="478" spans="1:20">
      <c r="A478" s="101" t="s">
        <v>3465</v>
      </c>
      <c r="B478" s="101" t="s">
        <v>3758</v>
      </c>
      <c r="C478" s="101">
        <v>2038</v>
      </c>
      <c r="D478" s="102" t="s">
        <v>10131</v>
      </c>
      <c r="E478" s="102" t="s">
        <v>10132</v>
      </c>
      <c r="F478" s="102"/>
      <c r="G478" s="102" t="s">
        <v>3399</v>
      </c>
      <c r="H478" s="102"/>
      <c r="I478" s="102"/>
      <c r="J478" s="102"/>
      <c r="K478" s="102" t="s">
        <v>10133</v>
      </c>
      <c r="L478" s="102" t="s">
        <v>8589</v>
      </c>
      <c r="M478" s="102"/>
      <c r="N478" s="102"/>
      <c r="O478" s="102"/>
      <c r="P478" s="102"/>
      <c r="Q478" s="102"/>
      <c r="R478" s="102"/>
      <c r="S478" s="102" t="s">
        <v>33</v>
      </c>
      <c r="T478" s="102" t="s">
        <v>9</v>
      </c>
    </row>
    <row r="479" spans="1:20">
      <c r="A479" s="101" t="s">
        <v>3465</v>
      </c>
      <c r="B479" s="101" t="s">
        <v>3758</v>
      </c>
      <c r="C479" s="101">
        <v>2039</v>
      </c>
      <c r="D479" s="102" t="s">
        <v>10134</v>
      </c>
      <c r="E479" s="102" t="s">
        <v>1103</v>
      </c>
      <c r="F479" s="102"/>
      <c r="G479" s="102" t="s">
        <v>3399</v>
      </c>
      <c r="H479" s="102"/>
      <c r="I479" s="102"/>
      <c r="J479" s="102"/>
      <c r="K479" s="102" t="s">
        <v>10135</v>
      </c>
      <c r="L479" s="102" t="s">
        <v>6900</v>
      </c>
      <c r="M479" s="102"/>
      <c r="N479" s="102"/>
      <c r="O479" s="102"/>
      <c r="P479" s="102"/>
      <c r="Q479" s="102"/>
      <c r="R479" s="102"/>
      <c r="S479" s="102" t="s">
        <v>35</v>
      </c>
      <c r="T479" s="102" t="s">
        <v>9</v>
      </c>
    </row>
    <row r="480" spans="1:20">
      <c r="A480" s="101" t="s">
        <v>3465</v>
      </c>
      <c r="B480" s="101" t="s">
        <v>3758</v>
      </c>
      <c r="C480" s="101">
        <v>2040</v>
      </c>
      <c r="D480" s="102" t="s">
        <v>10136</v>
      </c>
      <c r="E480" s="102" t="s">
        <v>1104</v>
      </c>
      <c r="F480" s="102"/>
      <c r="G480" s="102" t="s">
        <v>3399</v>
      </c>
      <c r="H480" s="102"/>
      <c r="I480" s="102"/>
      <c r="J480" s="102"/>
      <c r="K480" s="102" t="s">
        <v>10137</v>
      </c>
      <c r="L480" s="102" t="s">
        <v>10138</v>
      </c>
      <c r="M480" s="102"/>
      <c r="N480" s="102"/>
      <c r="O480" s="102"/>
      <c r="P480" s="102"/>
      <c r="Q480" s="102"/>
      <c r="R480" s="102"/>
      <c r="S480" s="102" t="s">
        <v>5685</v>
      </c>
      <c r="T480" s="102" t="s">
        <v>9</v>
      </c>
    </row>
    <row r="481" spans="1:20">
      <c r="A481" s="101" t="s">
        <v>3465</v>
      </c>
      <c r="B481" s="101" t="s">
        <v>3758</v>
      </c>
      <c r="C481" s="101">
        <v>2041</v>
      </c>
      <c r="D481" s="102" t="s">
        <v>10139</v>
      </c>
      <c r="E481" s="102" t="s">
        <v>1103</v>
      </c>
      <c r="F481" s="102"/>
      <c r="G481" s="102" t="s">
        <v>3399</v>
      </c>
      <c r="H481" s="102"/>
      <c r="I481" s="102"/>
      <c r="J481" s="102"/>
      <c r="K481" s="102" t="s">
        <v>10140</v>
      </c>
      <c r="L481" s="102"/>
      <c r="M481" s="102"/>
      <c r="N481" s="102"/>
      <c r="O481" s="102"/>
      <c r="P481" s="102"/>
      <c r="Q481" s="102"/>
      <c r="R481" s="102"/>
      <c r="S481" s="102" t="s">
        <v>181</v>
      </c>
      <c r="T481" s="102" t="s">
        <v>9</v>
      </c>
    </row>
    <row r="482" spans="1:20">
      <c r="A482" s="101" t="s">
        <v>3465</v>
      </c>
      <c r="B482" s="101" t="s">
        <v>3758</v>
      </c>
      <c r="C482" s="101">
        <v>2042</v>
      </c>
      <c r="D482" s="102" t="s">
        <v>10141</v>
      </c>
      <c r="E482" s="102" t="s">
        <v>1103</v>
      </c>
      <c r="F482" s="102"/>
      <c r="G482" s="102" t="s">
        <v>3399</v>
      </c>
      <c r="H482" s="102"/>
      <c r="I482" s="102"/>
      <c r="J482" s="102"/>
      <c r="K482" s="102" t="s">
        <v>6883</v>
      </c>
      <c r="L482" s="102"/>
      <c r="M482" s="102"/>
      <c r="N482" s="102"/>
      <c r="O482" s="102"/>
      <c r="P482" s="102"/>
      <c r="Q482" s="102"/>
      <c r="R482" s="102"/>
      <c r="S482" s="102" t="s">
        <v>33</v>
      </c>
      <c r="T482" s="102" t="s">
        <v>9</v>
      </c>
    </row>
    <row r="483" spans="1:20">
      <c r="A483" s="101" t="s">
        <v>3465</v>
      </c>
      <c r="B483" s="101" t="s">
        <v>3758</v>
      </c>
      <c r="C483" s="101">
        <v>2043</v>
      </c>
      <c r="D483" s="102" t="s">
        <v>10142</v>
      </c>
      <c r="E483" s="102" t="s">
        <v>1104</v>
      </c>
      <c r="F483" s="102"/>
      <c r="G483" s="102" t="s">
        <v>3399</v>
      </c>
      <c r="H483" s="102"/>
      <c r="I483" s="102"/>
      <c r="J483" s="102"/>
      <c r="K483" s="102" t="s">
        <v>10143</v>
      </c>
      <c r="L483" s="102" t="s">
        <v>5208</v>
      </c>
      <c r="M483" s="102"/>
      <c r="N483" s="102"/>
      <c r="O483" s="102"/>
      <c r="P483" s="102"/>
      <c r="Q483" s="102"/>
      <c r="R483" s="102"/>
      <c r="S483" s="102" t="s">
        <v>170</v>
      </c>
      <c r="T483" s="102" t="s">
        <v>9</v>
      </c>
    </row>
    <row r="484" spans="1:20">
      <c r="A484" s="101" t="s">
        <v>3465</v>
      </c>
      <c r="B484" s="101" t="s">
        <v>3758</v>
      </c>
      <c r="C484" s="101">
        <v>2044</v>
      </c>
      <c r="D484" s="102" t="s">
        <v>10144</v>
      </c>
      <c r="E484" s="102" t="s">
        <v>1104</v>
      </c>
      <c r="F484" s="102"/>
      <c r="G484" s="102" t="s">
        <v>3399</v>
      </c>
      <c r="H484" s="102"/>
      <c r="I484" s="102"/>
      <c r="J484" s="102"/>
      <c r="K484" s="102" t="s">
        <v>10145</v>
      </c>
      <c r="L484" s="102"/>
      <c r="M484" s="102"/>
      <c r="N484" s="102"/>
      <c r="O484" s="102"/>
      <c r="P484" s="102"/>
      <c r="Q484" s="102"/>
      <c r="R484" s="102"/>
      <c r="S484" s="102" t="s">
        <v>40</v>
      </c>
      <c r="T484" s="102" t="s">
        <v>9</v>
      </c>
    </row>
    <row r="485" spans="1:20">
      <c r="A485" s="101" t="s">
        <v>3465</v>
      </c>
      <c r="B485" s="101" t="s">
        <v>3758</v>
      </c>
      <c r="C485" s="101">
        <v>2045</v>
      </c>
      <c r="D485" s="102" t="s">
        <v>10146</v>
      </c>
      <c r="E485" s="102" t="s">
        <v>1105</v>
      </c>
      <c r="F485" s="102"/>
      <c r="G485" s="102" t="s">
        <v>3399</v>
      </c>
      <c r="H485" s="102"/>
      <c r="I485" s="102"/>
      <c r="J485" s="102"/>
      <c r="K485" s="102" t="s">
        <v>10147</v>
      </c>
      <c r="L485" s="102" t="s">
        <v>10148</v>
      </c>
      <c r="M485" s="102"/>
      <c r="N485" s="102"/>
      <c r="O485" s="102"/>
      <c r="P485" s="102"/>
      <c r="Q485" s="102"/>
      <c r="R485" s="102"/>
      <c r="S485" s="102" t="s">
        <v>44</v>
      </c>
      <c r="T485" s="102" t="s">
        <v>9</v>
      </c>
    </row>
    <row r="486" spans="1:20">
      <c r="A486" s="101" t="s">
        <v>3465</v>
      </c>
      <c r="B486" s="101" t="s">
        <v>3758</v>
      </c>
      <c r="C486" s="101">
        <v>2046</v>
      </c>
      <c r="D486" s="102" t="s">
        <v>10149</v>
      </c>
      <c r="E486" s="102" t="s">
        <v>1248</v>
      </c>
      <c r="F486" s="102"/>
      <c r="G486" s="102" t="s">
        <v>3399</v>
      </c>
      <c r="H486" s="102"/>
      <c r="I486" s="102"/>
      <c r="J486" s="102"/>
      <c r="K486" s="102" t="s">
        <v>10150</v>
      </c>
      <c r="L486" s="102"/>
      <c r="M486" s="102"/>
      <c r="N486" s="102"/>
      <c r="O486" s="102"/>
      <c r="P486" s="102"/>
      <c r="Q486" s="102"/>
      <c r="R486" s="102"/>
      <c r="S486" s="102" t="s">
        <v>169</v>
      </c>
      <c r="T486" s="102" t="s">
        <v>9</v>
      </c>
    </row>
    <row r="487" spans="1:20">
      <c r="A487" s="101" t="s">
        <v>3465</v>
      </c>
      <c r="B487" s="101" t="s">
        <v>3758</v>
      </c>
      <c r="C487" s="101">
        <v>2047</v>
      </c>
      <c r="D487" s="102" t="s">
        <v>10151</v>
      </c>
      <c r="E487" s="102" t="s">
        <v>10152</v>
      </c>
      <c r="F487" s="102"/>
      <c r="G487" s="102" t="s">
        <v>3399</v>
      </c>
      <c r="H487" s="102"/>
      <c r="I487" s="102"/>
      <c r="J487" s="102"/>
      <c r="K487" s="102" t="s">
        <v>4113</v>
      </c>
      <c r="L487" s="102" t="s">
        <v>10153</v>
      </c>
      <c r="M487" s="102" t="s">
        <v>10154</v>
      </c>
      <c r="N487" s="102" t="s">
        <v>10155</v>
      </c>
      <c r="O487" s="102"/>
      <c r="P487" s="102"/>
      <c r="Q487" s="102"/>
      <c r="R487" s="102"/>
      <c r="S487" s="102" t="s">
        <v>168</v>
      </c>
      <c r="T487" s="102" t="s">
        <v>9</v>
      </c>
    </row>
    <row r="488" spans="1:20">
      <c r="A488" s="101" t="s">
        <v>3465</v>
      </c>
      <c r="B488" s="101" t="s">
        <v>3758</v>
      </c>
      <c r="C488" s="101">
        <v>2048</v>
      </c>
      <c r="D488" s="102" t="s">
        <v>10156</v>
      </c>
      <c r="E488" s="102" t="s">
        <v>1248</v>
      </c>
      <c r="F488" s="102"/>
      <c r="G488" s="102" t="s">
        <v>3399</v>
      </c>
      <c r="H488" s="102"/>
      <c r="I488" s="102"/>
      <c r="J488" s="102"/>
      <c r="K488" s="102" t="s">
        <v>10157</v>
      </c>
      <c r="L488" s="102" t="s">
        <v>10158</v>
      </c>
      <c r="M488" s="102"/>
      <c r="N488" s="102"/>
      <c r="O488" s="102"/>
      <c r="P488" s="102"/>
      <c r="Q488" s="102"/>
      <c r="R488" s="102"/>
      <c r="S488" s="102" t="s">
        <v>31</v>
      </c>
      <c r="T488" s="102" t="s">
        <v>9</v>
      </c>
    </row>
    <row r="489" spans="1:20">
      <c r="A489" s="101" t="s">
        <v>3465</v>
      </c>
      <c r="B489" s="101" t="s">
        <v>3758</v>
      </c>
      <c r="C489" s="101">
        <v>2049</v>
      </c>
      <c r="D489" s="102" t="s">
        <v>10159</v>
      </c>
      <c r="E489" s="102" t="s">
        <v>1105</v>
      </c>
      <c r="F489" s="102"/>
      <c r="G489" s="102" t="s">
        <v>3399</v>
      </c>
      <c r="H489" s="102"/>
      <c r="I489" s="102"/>
      <c r="J489" s="102"/>
      <c r="K489" s="102" t="s">
        <v>5014</v>
      </c>
      <c r="L489" s="102" t="s">
        <v>10128</v>
      </c>
      <c r="M489" s="102"/>
      <c r="N489" s="102"/>
      <c r="O489" s="102"/>
      <c r="P489" s="102"/>
      <c r="Q489" s="102"/>
      <c r="R489" s="102"/>
      <c r="S489" s="102" t="s">
        <v>172</v>
      </c>
      <c r="T489" s="102" t="s">
        <v>9</v>
      </c>
    </row>
    <row r="490" spans="1:20">
      <c r="A490" s="101" t="s">
        <v>3465</v>
      </c>
      <c r="B490" s="101" t="s">
        <v>3758</v>
      </c>
      <c r="C490" s="101">
        <v>2050</v>
      </c>
      <c r="D490" s="102" t="s">
        <v>10160</v>
      </c>
      <c r="E490" s="102" t="s">
        <v>1248</v>
      </c>
      <c r="F490" s="102"/>
      <c r="G490" s="102" t="s">
        <v>3399</v>
      </c>
      <c r="H490" s="102"/>
      <c r="I490" s="102"/>
      <c r="J490" s="102"/>
      <c r="K490" s="102" t="s">
        <v>10161</v>
      </c>
      <c r="L490" s="102"/>
      <c r="M490" s="102"/>
      <c r="N490" s="102"/>
      <c r="O490" s="102"/>
      <c r="P490" s="102"/>
      <c r="Q490" s="102"/>
      <c r="R490" s="102"/>
      <c r="S490" s="102" t="s">
        <v>169</v>
      </c>
      <c r="T490" s="102" t="s">
        <v>9</v>
      </c>
    </row>
    <row r="491" spans="1:20">
      <c r="A491" s="101" t="s">
        <v>3465</v>
      </c>
      <c r="B491" s="101" t="s">
        <v>3758</v>
      </c>
      <c r="C491" s="101">
        <v>2051</v>
      </c>
      <c r="D491" s="102" t="s">
        <v>10162</v>
      </c>
      <c r="E491" s="102" t="s">
        <v>1248</v>
      </c>
      <c r="F491" s="102"/>
      <c r="G491" s="102" t="s">
        <v>3399</v>
      </c>
      <c r="H491" s="102"/>
      <c r="I491" s="102"/>
      <c r="J491" s="102"/>
      <c r="K491" s="102" t="s">
        <v>10163</v>
      </c>
      <c r="L491" s="102"/>
      <c r="M491" s="102"/>
      <c r="N491" s="102"/>
      <c r="O491" s="102"/>
      <c r="P491" s="102"/>
      <c r="Q491" s="102"/>
      <c r="R491" s="102"/>
      <c r="S491" s="102" t="s">
        <v>178</v>
      </c>
      <c r="T491" s="102" t="s">
        <v>9</v>
      </c>
    </row>
    <row r="492" spans="1:20">
      <c r="A492" s="101" t="s">
        <v>3465</v>
      </c>
      <c r="B492" s="101" t="s">
        <v>3758</v>
      </c>
      <c r="C492" s="101">
        <v>2052</v>
      </c>
      <c r="D492" s="102" t="s">
        <v>10164</v>
      </c>
      <c r="E492" s="102" t="s">
        <v>1105</v>
      </c>
      <c r="F492" s="102"/>
      <c r="G492" s="102" t="s">
        <v>3399</v>
      </c>
      <c r="H492" s="102"/>
      <c r="I492" s="102"/>
      <c r="J492" s="102"/>
      <c r="K492" s="102" t="s">
        <v>10165</v>
      </c>
      <c r="L492" s="102" t="s">
        <v>10166</v>
      </c>
      <c r="M492" s="102"/>
      <c r="N492" s="102"/>
      <c r="O492" s="102"/>
      <c r="P492" s="102"/>
      <c r="Q492" s="102"/>
      <c r="R492" s="102"/>
      <c r="S492" s="102" t="s">
        <v>26</v>
      </c>
      <c r="T492" s="102" t="s">
        <v>9</v>
      </c>
    </row>
    <row r="493" spans="1:20">
      <c r="A493" s="101" t="s">
        <v>3465</v>
      </c>
      <c r="B493" s="101" t="s">
        <v>3758</v>
      </c>
      <c r="C493" s="101">
        <v>2053</v>
      </c>
      <c r="D493" s="102" t="s">
        <v>10167</v>
      </c>
      <c r="E493" s="102" t="s">
        <v>1248</v>
      </c>
      <c r="F493" s="102"/>
      <c r="G493" s="102" t="s">
        <v>3399</v>
      </c>
      <c r="H493" s="102"/>
      <c r="I493" s="102"/>
      <c r="J493" s="102"/>
      <c r="K493" s="102" t="s">
        <v>10168</v>
      </c>
      <c r="L493" s="102"/>
      <c r="M493" s="102"/>
      <c r="N493" s="102"/>
      <c r="O493" s="102"/>
      <c r="P493" s="102"/>
      <c r="Q493" s="102"/>
      <c r="R493" s="102"/>
      <c r="S493" s="102" t="s">
        <v>177</v>
      </c>
      <c r="T493" s="102" t="s">
        <v>9</v>
      </c>
    </row>
    <row r="494" spans="1:20">
      <c r="A494" s="101" t="s">
        <v>3465</v>
      </c>
      <c r="B494" s="101" t="s">
        <v>3758</v>
      </c>
      <c r="C494" s="101">
        <v>2054</v>
      </c>
      <c r="D494" s="102" t="s">
        <v>10169</v>
      </c>
      <c r="E494" s="102" t="s">
        <v>1248</v>
      </c>
      <c r="F494" s="102"/>
      <c r="G494" s="102" t="s">
        <v>3399</v>
      </c>
      <c r="H494" s="102"/>
      <c r="I494" s="102"/>
      <c r="J494" s="102"/>
      <c r="K494" s="102" t="s">
        <v>10158</v>
      </c>
      <c r="L494" s="102" t="s">
        <v>10170</v>
      </c>
      <c r="M494" s="102"/>
      <c r="N494" s="102"/>
      <c r="O494" s="102"/>
      <c r="P494" s="102"/>
      <c r="Q494" s="102"/>
      <c r="R494" s="102"/>
      <c r="S494" s="102" t="s">
        <v>48</v>
      </c>
      <c r="T494" s="102" t="s">
        <v>9</v>
      </c>
    </row>
    <row r="495" spans="1:20">
      <c r="A495" s="101" t="s">
        <v>3465</v>
      </c>
      <c r="B495" s="101" t="s">
        <v>3758</v>
      </c>
      <c r="C495" s="101">
        <v>2055</v>
      </c>
      <c r="D495" s="102" t="s">
        <v>10171</v>
      </c>
      <c r="E495" s="102" t="s">
        <v>10172</v>
      </c>
      <c r="F495" s="102"/>
      <c r="G495" s="102" t="s">
        <v>3399</v>
      </c>
      <c r="H495" s="102"/>
      <c r="I495" s="102"/>
      <c r="J495" s="102"/>
      <c r="K495" s="102" t="s">
        <v>10173</v>
      </c>
      <c r="L495" s="102"/>
      <c r="M495" s="102"/>
      <c r="N495" s="102"/>
      <c r="O495" s="102"/>
      <c r="P495" s="102"/>
      <c r="Q495" s="102"/>
      <c r="R495" s="102"/>
      <c r="S495" s="102" t="s">
        <v>181</v>
      </c>
      <c r="T495" s="102" t="s">
        <v>9</v>
      </c>
    </row>
    <row r="496" spans="1:20">
      <c r="A496" s="101" t="s">
        <v>3465</v>
      </c>
      <c r="B496" s="101" t="s">
        <v>3758</v>
      </c>
      <c r="C496" s="101">
        <v>2056</v>
      </c>
      <c r="D496" s="102" t="s">
        <v>10174</v>
      </c>
      <c r="E496" s="102" t="s">
        <v>1248</v>
      </c>
      <c r="F496" s="102"/>
      <c r="G496" s="102" t="s">
        <v>3399</v>
      </c>
      <c r="H496" s="102"/>
      <c r="I496" s="102"/>
      <c r="J496" s="102"/>
      <c r="K496" s="102" t="s">
        <v>10175</v>
      </c>
      <c r="L496" s="102"/>
      <c r="M496" s="102"/>
      <c r="N496" s="102"/>
      <c r="O496" s="102"/>
      <c r="P496" s="102"/>
      <c r="Q496" s="102"/>
      <c r="R496" s="102"/>
      <c r="S496" s="102" t="s">
        <v>37</v>
      </c>
      <c r="T496" s="102" t="s">
        <v>9</v>
      </c>
    </row>
    <row r="497" spans="1:20">
      <c r="A497" s="101" t="s">
        <v>3465</v>
      </c>
      <c r="B497" s="101" t="s">
        <v>3758</v>
      </c>
      <c r="C497" s="101">
        <v>2057</v>
      </c>
      <c r="D497" s="102" t="s">
        <v>10176</v>
      </c>
      <c r="E497" s="102" t="s">
        <v>1248</v>
      </c>
      <c r="F497" s="102"/>
      <c r="G497" s="102" t="s">
        <v>3399</v>
      </c>
      <c r="H497" s="102"/>
      <c r="I497" s="102"/>
      <c r="J497" s="102"/>
      <c r="K497" s="102" t="s">
        <v>10177</v>
      </c>
      <c r="L497" s="102"/>
      <c r="M497" s="102"/>
      <c r="N497" s="102"/>
      <c r="O497" s="102"/>
      <c r="P497" s="102"/>
      <c r="Q497" s="102"/>
      <c r="R497" s="102"/>
      <c r="S497" s="102" t="s">
        <v>171</v>
      </c>
      <c r="T497" s="102" t="s">
        <v>9</v>
      </c>
    </row>
    <row r="498" spans="1:20">
      <c r="A498" s="101" t="s">
        <v>3465</v>
      </c>
      <c r="B498" s="101" t="s">
        <v>3758</v>
      </c>
      <c r="C498" s="101">
        <v>2058</v>
      </c>
      <c r="D498" s="102" t="s">
        <v>10178</v>
      </c>
      <c r="E498" s="102" t="s">
        <v>1248</v>
      </c>
      <c r="F498" s="102"/>
      <c r="G498" s="102" t="s">
        <v>3399</v>
      </c>
      <c r="H498" s="102"/>
      <c r="I498" s="102"/>
      <c r="J498" s="102"/>
      <c r="K498" s="102" t="s">
        <v>10179</v>
      </c>
      <c r="L498" s="102"/>
      <c r="M498" s="102"/>
      <c r="N498" s="102"/>
      <c r="O498" s="102"/>
      <c r="P498" s="102"/>
      <c r="Q498" s="102"/>
      <c r="R498" s="102"/>
      <c r="S498" s="102" t="s">
        <v>174</v>
      </c>
      <c r="T498" s="102" t="s">
        <v>9</v>
      </c>
    </row>
    <row r="499" spans="1:20">
      <c r="A499" s="101" t="s">
        <v>3465</v>
      </c>
      <c r="B499" s="101" t="s">
        <v>3758</v>
      </c>
      <c r="C499" s="101">
        <v>2059</v>
      </c>
      <c r="D499" s="102" t="s">
        <v>10180</v>
      </c>
      <c r="E499" s="102" t="s">
        <v>1248</v>
      </c>
      <c r="F499" s="102"/>
      <c r="G499" s="102" t="s">
        <v>3399</v>
      </c>
      <c r="H499" s="102"/>
      <c r="I499" s="102"/>
      <c r="J499" s="102"/>
      <c r="K499" s="102" t="s">
        <v>10181</v>
      </c>
      <c r="L499" s="102"/>
      <c r="M499" s="102"/>
      <c r="N499" s="102"/>
      <c r="O499" s="102"/>
      <c r="P499" s="102"/>
      <c r="Q499" s="102"/>
      <c r="R499" s="102"/>
      <c r="S499" s="102" t="s">
        <v>35</v>
      </c>
      <c r="T499" s="102" t="s">
        <v>9</v>
      </c>
    </row>
    <row r="500" spans="1:20">
      <c r="A500" s="101" t="s">
        <v>3465</v>
      </c>
      <c r="B500" s="101" t="s">
        <v>3758</v>
      </c>
      <c r="C500" s="101">
        <v>2060</v>
      </c>
      <c r="D500" s="102" t="s">
        <v>10182</v>
      </c>
      <c r="E500" s="102" t="s">
        <v>1248</v>
      </c>
      <c r="F500" s="102"/>
      <c r="G500" s="102" t="s">
        <v>3399</v>
      </c>
      <c r="H500" s="102"/>
      <c r="I500" s="102"/>
      <c r="J500" s="102"/>
      <c r="K500" s="102" t="s">
        <v>10183</v>
      </c>
      <c r="L500" s="102"/>
      <c r="M500" s="102"/>
      <c r="N500" s="102"/>
      <c r="O500" s="102"/>
      <c r="P500" s="102"/>
      <c r="Q500" s="102"/>
      <c r="R500" s="102"/>
      <c r="S500" s="102" t="s">
        <v>5685</v>
      </c>
      <c r="T500" s="102" t="s">
        <v>9</v>
      </c>
    </row>
    <row r="501" spans="1:20">
      <c r="A501" s="101" t="s">
        <v>3465</v>
      </c>
      <c r="B501" s="101" t="s">
        <v>3758</v>
      </c>
      <c r="C501" s="101">
        <v>2061</v>
      </c>
      <c r="D501" s="102" t="s">
        <v>10184</v>
      </c>
      <c r="E501" s="102" t="s">
        <v>1248</v>
      </c>
      <c r="F501" s="102"/>
      <c r="G501" s="102" t="s">
        <v>3399</v>
      </c>
      <c r="H501" s="102"/>
      <c r="I501" s="102"/>
      <c r="J501" s="102"/>
      <c r="K501" s="102" t="s">
        <v>10185</v>
      </c>
      <c r="L501" s="102" t="s">
        <v>10186</v>
      </c>
      <c r="M501" s="102"/>
      <c r="N501" s="102"/>
      <c r="O501" s="102"/>
      <c r="P501" s="102"/>
      <c r="Q501" s="102"/>
      <c r="R501" s="102"/>
      <c r="S501" s="102" t="s">
        <v>46</v>
      </c>
      <c r="T501" s="102" t="s">
        <v>9</v>
      </c>
    </row>
    <row r="502" spans="1:20">
      <c r="A502" s="101" t="s">
        <v>3465</v>
      </c>
      <c r="B502" s="101" t="s">
        <v>3758</v>
      </c>
      <c r="C502" s="101">
        <v>2062</v>
      </c>
      <c r="D502" s="102" t="s">
        <v>10187</v>
      </c>
      <c r="E502" s="102" t="s">
        <v>1248</v>
      </c>
      <c r="F502" s="102"/>
      <c r="G502" s="102" t="s">
        <v>3399</v>
      </c>
      <c r="H502" s="102"/>
      <c r="I502" s="102"/>
      <c r="J502" s="102"/>
      <c r="K502" s="102" t="s">
        <v>4113</v>
      </c>
      <c r="L502" s="102" t="s">
        <v>10188</v>
      </c>
      <c r="M502" s="102" t="s">
        <v>10189</v>
      </c>
      <c r="N502" s="102"/>
      <c r="O502" s="102"/>
      <c r="P502" s="102"/>
      <c r="Q502" s="102"/>
      <c r="R502" s="102"/>
      <c r="S502" s="102" t="s">
        <v>53</v>
      </c>
      <c r="T502" s="102" t="s">
        <v>9</v>
      </c>
    </row>
    <row r="503" spans="1:20">
      <c r="A503" s="101" t="s">
        <v>3465</v>
      </c>
      <c r="B503" s="101" t="s">
        <v>3758</v>
      </c>
      <c r="C503" s="101">
        <v>2063</v>
      </c>
      <c r="D503" s="102" t="s">
        <v>10190</v>
      </c>
      <c r="E503" s="102" t="s">
        <v>1105</v>
      </c>
      <c r="F503" s="102"/>
      <c r="G503" s="102" t="s">
        <v>6910</v>
      </c>
      <c r="H503" s="102"/>
      <c r="I503" s="102"/>
      <c r="J503" s="102"/>
      <c r="K503" s="102" t="s">
        <v>6911</v>
      </c>
      <c r="L503" s="102" t="s">
        <v>10191</v>
      </c>
      <c r="M503" s="102"/>
      <c r="N503" s="102"/>
      <c r="O503" s="102"/>
      <c r="P503" s="102"/>
      <c r="Q503" s="102"/>
      <c r="R503" s="102"/>
      <c r="S503" s="102" t="s">
        <v>5719</v>
      </c>
      <c r="T503" s="102" t="s">
        <v>9</v>
      </c>
    </row>
    <row r="504" spans="1:20">
      <c r="A504" s="101" t="s">
        <v>3465</v>
      </c>
      <c r="B504" s="101" t="s">
        <v>3758</v>
      </c>
      <c r="C504" s="101">
        <v>2064</v>
      </c>
      <c r="D504" s="102" t="s">
        <v>10192</v>
      </c>
      <c r="E504" s="102" t="s">
        <v>1194</v>
      </c>
      <c r="F504" s="102"/>
      <c r="G504" s="102" t="s">
        <v>3399</v>
      </c>
      <c r="H504" s="102"/>
      <c r="I504" s="102"/>
      <c r="J504" s="102"/>
      <c r="K504" s="102" t="s">
        <v>10193</v>
      </c>
      <c r="L504" s="102"/>
      <c r="M504" s="102"/>
      <c r="N504" s="102"/>
      <c r="O504" s="102"/>
      <c r="P504" s="102"/>
      <c r="Q504" s="102"/>
      <c r="R504" s="102"/>
      <c r="S504" s="102" t="s">
        <v>8</v>
      </c>
      <c r="T504" s="102" t="s">
        <v>9</v>
      </c>
    </row>
    <row r="505" spans="1:20">
      <c r="A505" s="101" t="s">
        <v>3465</v>
      </c>
      <c r="B505" s="101" t="s">
        <v>3758</v>
      </c>
      <c r="C505" s="101">
        <v>2065</v>
      </c>
      <c r="D505" s="102" t="s">
        <v>10194</v>
      </c>
      <c r="E505" s="102" t="s">
        <v>1194</v>
      </c>
      <c r="F505" s="102"/>
      <c r="G505" s="102" t="s">
        <v>3399</v>
      </c>
      <c r="H505" s="102"/>
      <c r="I505" s="102"/>
      <c r="J505" s="102"/>
      <c r="K505" s="102" t="s">
        <v>10195</v>
      </c>
      <c r="L505" s="102"/>
      <c r="M505" s="102"/>
      <c r="N505" s="102"/>
      <c r="O505" s="102"/>
      <c r="P505" s="102"/>
      <c r="Q505" s="102"/>
      <c r="R505" s="102"/>
      <c r="S505" s="102" t="s">
        <v>606</v>
      </c>
      <c r="T505" s="102" t="s">
        <v>9</v>
      </c>
    </row>
    <row r="506" spans="1:20">
      <c r="A506" s="101" t="s">
        <v>3465</v>
      </c>
      <c r="B506" s="101" t="s">
        <v>3758</v>
      </c>
      <c r="C506" s="101">
        <v>2066</v>
      </c>
      <c r="D506" s="102" t="s">
        <v>10196</v>
      </c>
      <c r="E506" s="102" t="s">
        <v>1194</v>
      </c>
      <c r="F506" s="102"/>
      <c r="G506" s="102" t="s">
        <v>3399</v>
      </c>
      <c r="H506" s="102"/>
      <c r="I506" s="102"/>
      <c r="J506" s="102"/>
      <c r="K506" s="102" t="s">
        <v>10197</v>
      </c>
      <c r="L506" s="102"/>
      <c r="M506" s="102"/>
      <c r="N506" s="102"/>
      <c r="O506" s="102"/>
      <c r="P506" s="102"/>
      <c r="Q506" s="102"/>
      <c r="R506" s="102"/>
      <c r="S506" s="102" t="s">
        <v>17</v>
      </c>
      <c r="T506" s="102" t="s">
        <v>9</v>
      </c>
    </row>
    <row r="507" spans="1:20">
      <c r="A507" s="101" t="s">
        <v>3465</v>
      </c>
      <c r="B507" s="101" t="s">
        <v>3758</v>
      </c>
      <c r="C507" s="101">
        <v>2067</v>
      </c>
      <c r="D507" s="102" t="s">
        <v>10198</v>
      </c>
      <c r="E507" s="102" t="s">
        <v>1194</v>
      </c>
      <c r="F507" s="102"/>
      <c r="G507" s="102" t="s">
        <v>3399</v>
      </c>
      <c r="H507" s="102"/>
      <c r="I507" s="102"/>
      <c r="J507" s="102"/>
      <c r="K507" s="102" t="s">
        <v>10199</v>
      </c>
      <c r="L507" s="102" t="s">
        <v>10200</v>
      </c>
      <c r="M507" s="102"/>
      <c r="N507" s="102"/>
      <c r="O507" s="102"/>
      <c r="P507" s="102"/>
      <c r="Q507" s="102"/>
      <c r="R507" s="102"/>
      <c r="S507" s="102" t="s">
        <v>607</v>
      </c>
      <c r="T507" s="102" t="s">
        <v>9</v>
      </c>
    </row>
    <row r="508" spans="1:20">
      <c r="A508" s="101" t="s">
        <v>3465</v>
      </c>
      <c r="B508" s="101" t="s">
        <v>3758</v>
      </c>
      <c r="C508" s="101">
        <v>2068</v>
      </c>
      <c r="D508" s="102" t="s">
        <v>10201</v>
      </c>
      <c r="E508" s="102" t="s">
        <v>1194</v>
      </c>
      <c r="F508" s="102"/>
      <c r="G508" s="102" t="s">
        <v>3399</v>
      </c>
      <c r="H508" s="102"/>
      <c r="I508" s="102"/>
      <c r="J508" s="102"/>
      <c r="K508" s="102" t="s">
        <v>10202</v>
      </c>
      <c r="L508" s="102" t="s">
        <v>4243</v>
      </c>
      <c r="M508" s="102"/>
      <c r="N508" s="102"/>
      <c r="O508" s="102"/>
      <c r="P508" s="102"/>
      <c r="Q508" s="102"/>
      <c r="R508" s="102"/>
      <c r="S508" s="102" t="s">
        <v>5</v>
      </c>
      <c r="T508" s="102" t="s">
        <v>9</v>
      </c>
    </row>
    <row r="509" spans="1:20">
      <c r="A509" s="101" t="s">
        <v>3465</v>
      </c>
      <c r="B509" s="101" t="s">
        <v>3758</v>
      </c>
      <c r="C509" s="101">
        <v>2069</v>
      </c>
      <c r="D509" s="102" t="s">
        <v>10203</v>
      </c>
      <c r="E509" s="102" t="s">
        <v>1194</v>
      </c>
      <c r="F509" s="102"/>
      <c r="G509" s="102" t="s">
        <v>3399</v>
      </c>
      <c r="H509" s="102"/>
      <c r="I509" s="102"/>
      <c r="J509" s="102"/>
      <c r="K509" s="102" t="s">
        <v>10204</v>
      </c>
      <c r="L509" s="102"/>
      <c r="M509" s="102"/>
      <c r="N509" s="102"/>
      <c r="O509" s="102"/>
      <c r="P509" s="102"/>
      <c r="Q509" s="102"/>
      <c r="R509" s="102"/>
      <c r="S509" s="102" t="s">
        <v>46</v>
      </c>
      <c r="T509" s="102" t="s">
        <v>9</v>
      </c>
    </row>
    <row r="510" spans="1:20">
      <c r="A510" s="101" t="s">
        <v>3465</v>
      </c>
      <c r="B510" s="101" t="s">
        <v>3758</v>
      </c>
      <c r="C510" s="101">
        <v>2070</v>
      </c>
      <c r="D510" s="102" t="s">
        <v>10205</v>
      </c>
      <c r="E510" s="102" t="s">
        <v>1250</v>
      </c>
      <c r="F510" s="102"/>
      <c r="G510" s="102" t="s">
        <v>3399</v>
      </c>
      <c r="H510" s="102"/>
      <c r="I510" s="102"/>
      <c r="J510" s="102"/>
      <c r="K510" s="102" t="s">
        <v>10206</v>
      </c>
      <c r="L510" s="102"/>
      <c r="M510" s="102"/>
      <c r="N510" s="102"/>
      <c r="O510" s="102"/>
      <c r="P510" s="102"/>
      <c r="Q510" s="102"/>
      <c r="R510" s="102"/>
      <c r="S510" s="102" t="s">
        <v>5381</v>
      </c>
      <c r="T510" s="102" t="s">
        <v>9</v>
      </c>
    </row>
    <row r="511" spans="1:20">
      <c r="A511" s="101" t="s">
        <v>3465</v>
      </c>
      <c r="B511" s="101" t="s">
        <v>3758</v>
      </c>
      <c r="C511" s="101">
        <v>2071</v>
      </c>
      <c r="D511" s="102" t="s">
        <v>10207</v>
      </c>
      <c r="E511" s="102" t="s">
        <v>1250</v>
      </c>
      <c r="F511" s="102"/>
      <c r="G511" s="102" t="s">
        <v>3399</v>
      </c>
      <c r="H511" s="102" t="s">
        <v>5180</v>
      </c>
      <c r="I511" s="102"/>
      <c r="J511" s="102"/>
      <c r="K511" s="102" t="s">
        <v>10208</v>
      </c>
      <c r="L511" s="102"/>
      <c r="M511" s="102"/>
      <c r="N511" s="102"/>
      <c r="O511" s="102"/>
      <c r="P511" s="102"/>
      <c r="Q511" s="102"/>
      <c r="R511" s="102"/>
      <c r="S511" s="102" t="s">
        <v>179</v>
      </c>
      <c r="T511" s="102" t="s">
        <v>9</v>
      </c>
    </row>
    <row r="512" spans="1:20">
      <c r="A512" s="101" t="s">
        <v>3465</v>
      </c>
      <c r="B512" s="101" t="s">
        <v>3758</v>
      </c>
      <c r="C512" s="101">
        <v>2072</v>
      </c>
      <c r="D512" s="102" t="s">
        <v>10209</v>
      </c>
      <c r="E512" s="102" t="s">
        <v>1194</v>
      </c>
      <c r="F512" s="102"/>
      <c r="G512" s="102" t="s">
        <v>3399</v>
      </c>
      <c r="H512" s="102"/>
      <c r="I512" s="102"/>
      <c r="J512" s="102"/>
      <c r="K512" s="102" t="s">
        <v>10210</v>
      </c>
      <c r="L512" s="102"/>
      <c r="M512" s="102"/>
      <c r="N512" s="102"/>
      <c r="O512" s="102"/>
      <c r="P512" s="102"/>
      <c r="Q512" s="102"/>
      <c r="R512" s="102"/>
      <c r="S512" s="102" t="s">
        <v>27</v>
      </c>
      <c r="T512" s="102" t="s">
        <v>9</v>
      </c>
    </row>
    <row r="513" spans="1:20">
      <c r="A513" s="101" t="s">
        <v>3465</v>
      </c>
      <c r="B513" s="101" t="s">
        <v>3758</v>
      </c>
      <c r="C513" s="101">
        <v>2073</v>
      </c>
      <c r="D513" s="102" t="s">
        <v>10211</v>
      </c>
      <c r="E513" s="102" t="s">
        <v>1194</v>
      </c>
      <c r="F513" s="102"/>
      <c r="G513" s="102" t="s">
        <v>3399</v>
      </c>
      <c r="H513" s="102"/>
      <c r="I513" s="102"/>
      <c r="J513" s="102"/>
      <c r="K513" s="102" t="s">
        <v>10212</v>
      </c>
      <c r="L513" s="102" t="s">
        <v>6957</v>
      </c>
      <c r="M513" s="102"/>
      <c r="N513" s="102"/>
      <c r="O513" s="102"/>
      <c r="P513" s="102"/>
      <c r="Q513" s="102"/>
      <c r="R513" s="102"/>
      <c r="S513" s="102" t="s">
        <v>179</v>
      </c>
      <c r="T513" s="102" t="s">
        <v>9</v>
      </c>
    </row>
    <row r="514" spans="1:20">
      <c r="A514" s="101" t="s">
        <v>3465</v>
      </c>
      <c r="B514" s="101" t="s">
        <v>3758</v>
      </c>
      <c r="C514" s="101">
        <v>2074</v>
      </c>
      <c r="D514" s="102" t="s">
        <v>4756</v>
      </c>
      <c r="E514" s="102" t="s">
        <v>4757</v>
      </c>
      <c r="F514" s="102"/>
      <c r="G514" s="102" t="s">
        <v>3399</v>
      </c>
      <c r="H514" s="102"/>
      <c r="I514" s="102"/>
      <c r="J514" s="102"/>
      <c r="K514" s="102" t="s">
        <v>4758</v>
      </c>
      <c r="L514" s="102"/>
      <c r="M514" s="102"/>
      <c r="N514" s="102"/>
      <c r="O514" s="102"/>
      <c r="P514" s="102"/>
      <c r="Q514" s="102"/>
      <c r="R514" s="102"/>
      <c r="S514" s="102" t="s">
        <v>44</v>
      </c>
      <c r="T514" s="102" t="s">
        <v>9</v>
      </c>
    </row>
    <row r="515" spans="1:20">
      <c r="A515" s="101" t="s">
        <v>3465</v>
      </c>
      <c r="B515" s="101" t="s">
        <v>3758</v>
      </c>
      <c r="C515" s="101">
        <v>2075</v>
      </c>
      <c r="D515" s="102" t="s">
        <v>10213</v>
      </c>
      <c r="E515" s="102" t="s">
        <v>1194</v>
      </c>
      <c r="F515" s="102"/>
      <c r="G515" s="102" t="s">
        <v>3399</v>
      </c>
      <c r="H515" s="102"/>
      <c r="I515" s="102"/>
      <c r="J515" s="102"/>
      <c r="K515" s="102" t="s">
        <v>10214</v>
      </c>
      <c r="L515" s="102"/>
      <c r="M515" s="102"/>
      <c r="N515" s="102"/>
      <c r="O515" s="102"/>
      <c r="P515" s="102"/>
      <c r="Q515" s="102"/>
      <c r="R515" s="102"/>
      <c r="S515" s="102" t="s">
        <v>8</v>
      </c>
      <c r="T515" s="102" t="s">
        <v>9</v>
      </c>
    </row>
    <row r="516" spans="1:20">
      <c r="A516" s="101" t="s">
        <v>3465</v>
      </c>
      <c r="B516" s="101" t="s">
        <v>3758</v>
      </c>
      <c r="C516" s="101">
        <v>2077</v>
      </c>
      <c r="D516" s="102" t="s">
        <v>10215</v>
      </c>
      <c r="E516" s="102" t="s">
        <v>1251</v>
      </c>
      <c r="F516" s="102"/>
      <c r="G516" s="102" t="s">
        <v>3399</v>
      </c>
      <c r="H516" s="102"/>
      <c r="I516" s="102"/>
      <c r="J516" s="102"/>
      <c r="K516" s="102" t="s">
        <v>10216</v>
      </c>
      <c r="L516" s="102"/>
      <c r="M516" s="102"/>
      <c r="N516" s="102"/>
      <c r="O516" s="102"/>
      <c r="P516" s="102"/>
      <c r="Q516" s="102"/>
      <c r="R516" s="102"/>
      <c r="S516" s="102" t="s">
        <v>181</v>
      </c>
      <c r="T516" s="102" t="s">
        <v>9</v>
      </c>
    </row>
    <row r="517" spans="1:20">
      <c r="A517" s="101" t="s">
        <v>3465</v>
      </c>
      <c r="B517" s="101" t="s">
        <v>3758</v>
      </c>
      <c r="C517" s="101">
        <v>2078</v>
      </c>
      <c r="D517" s="102" t="s">
        <v>10217</v>
      </c>
      <c r="E517" s="102" t="s">
        <v>9206</v>
      </c>
      <c r="F517" s="102"/>
      <c r="G517" s="102" t="s">
        <v>3399</v>
      </c>
      <c r="H517" s="102"/>
      <c r="I517" s="102"/>
      <c r="J517" s="102"/>
      <c r="K517" s="102" t="s">
        <v>10218</v>
      </c>
      <c r="L517" s="102"/>
      <c r="M517" s="102"/>
      <c r="N517" s="102"/>
      <c r="O517" s="102"/>
      <c r="P517" s="102"/>
      <c r="Q517" s="102"/>
      <c r="R517" s="102"/>
      <c r="S517" s="102" t="s">
        <v>3747</v>
      </c>
      <c r="T517" s="102" t="s">
        <v>9</v>
      </c>
    </row>
    <row r="518" spans="1:20">
      <c r="A518" s="101" t="s">
        <v>3465</v>
      </c>
      <c r="B518" s="101" t="s">
        <v>3758</v>
      </c>
      <c r="C518" s="101">
        <v>2079</v>
      </c>
      <c r="D518" s="102" t="s">
        <v>10219</v>
      </c>
      <c r="E518" s="102" t="s">
        <v>1251</v>
      </c>
      <c r="F518" s="102"/>
      <c r="G518" s="102" t="s">
        <v>3399</v>
      </c>
      <c r="H518" s="102"/>
      <c r="I518" s="102"/>
      <c r="J518" s="102"/>
      <c r="K518" s="102" t="s">
        <v>10220</v>
      </c>
      <c r="L518" s="102"/>
      <c r="M518" s="102"/>
      <c r="N518" s="102"/>
      <c r="O518" s="102"/>
      <c r="P518" s="102"/>
      <c r="Q518" s="102"/>
      <c r="R518" s="102"/>
      <c r="S518" s="102" t="s">
        <v>170</v>
      </c>
      <c r="T518" s="102" t="s">
        <v>9</v>
      </c>
    </row>
    <row r="519" spans="1:20">
      <c r="A519" s="101" t="s">
        <v>3465</v>
      </c>
      <c r="B519" s="101" t="s">
        <v>3758</v>
      </c>
      <c r="C519" s="101">
        <v>2081</v>
      </c>
      <c r="D519" s="102" t="s">
        <v>10221</v>
      </c>
      <c r="E519" s="102" t="s">
        <v>10025</v>
      </c>
      <c r="F519" s="102"/>
      <c r="G519" s="102" t="s">
        <v>3399</v>
      </c>
      <c r="H519" s="102"/>
      <c r="I519" s="102"/>
      <c r="J519" s="102"/>
      <c r="K519" s="102" t="s">
        <v>10222</v>
      </c>
      <c r="L519" s="102"/>
      <c r="M519" s="102"/>
      <c r="N519" s="102"/>
      <c r="O519" s="102"/>
      <c r="P519" s="102"/>
      <c r="Q519" s="102"/>
      <c r="R519" s="102"/>
      <c r="S519" s="102" t="s">
        <v>174</v>
      </c>
      <c r="T519" s="102" t="s">
        <v>9</v>
      </c>
    </row>
    <row r="520" spans="1:20">
      <c r="A520" s="101" t="s">
        <v>3465</v>
      </c>
      <c r="B520" s="101" t="s">
        <v>3758</v>
      </c>
      <c r="C520" s="101">
        <v>2086</v>
      </c>
      <c r="D520" s="102" t="s">
        <v>10223</v>
      </c>
      <c r="E520" s="102" t="s">
        <v>10224</v>
      </c>
      <c r="F520" s="102"/>
      <c r="G520" s="102" t="s">
        <v>3399</v>
      </c>
      <c r="H520" s="102"/>
      <c r="I520" s="102"/>
      <c r="J520" s="102"/>
      <c r="K520" s="102" t="s">
        <v>10225</v>
      </c>
      <c r="L520" s="102"/>
      <c r="M520" s="102"/>
      <c r="N520" s="102"/>
      <c r="O520" s="102"/>
      <c r="P520" s="102"/>
      <c r="Q520" s="102"/>
      <c r="R520" s="102"/>
      <c r="S520" s="102" t="s">
        <v>169</v>
      </c>
      <c r="T520" s="102" t="s">
        <v>9</v>
      </c>
    </row>
    <row r="521" spans="1:20">
      <c r="A521" s="101" t="s">
        <v>3465</v>
      </c>
      <c r="B521" s="101" t="s">
        <v>3758</v>
      </c>
      <c r="C521" s="101">
        <v>2087</v>
      </c>
      <c r="D521" s="102" t="s">
        <v>10226</v>
      </c>
      <c r="E521" s="102" t="s">
        <v>10224</v>
      </c>
      <c r="F521" s="102"/>
      <c r="G521" s="102" t="s">
        <v>3399</v>
      </c>
      <c r="H521" s="102"/>
      <c r="I521" s="102"/>
      <c r="J521" s="102"/>
      <c r="K521" s="102" t="s">
        <v>10227</v>
      </c>
      <c r="L521" s="102"/>
      <c r="M521" s="102"/>
      <c r="N521" s="102"/>
      <c r="O521" s="102"/>
      <c r="P521" s="102"/>
      <c r="Q521" s="102"/>
      <c r="R521" s="102"/>
      <c r="S521" s="102" t="s">
        <v>172</v>
      </c>
      <c r="T521" s="102" t="s">
        <v>9</v>
      </c>
    </row>
    <row r="522" spans="1:20">
      <c r="A522" s="101" t="s">
        <v>3465</v>
      </c>
      <c r="B522" s="101" t="s">
        <v>3758</v>
      </c>
      <c r="C522" s="101">
        <v>2088</v>
      </c>
      <c r="D522" s="102" t="s">
        <v>10228</v>
      </c>
      <c r="E522" s="102" t="s">
        <v>9840</v>
      </c>
      <c r="F522" s="102"/>
      <c r="G522" s="102" t="s">
        <v>3399</v>
      </c>
      <c r="H522" s="102"/>
      <c r="I522" s="102"/>
      <c r="J522" s="102"/>
      <c r="K522" s="102" t="s">
        <v>10229</v>
      </c>
      <c r="L522" s="102" t="s">
        <v>10230</v>
      </c>
      <c r="M522" s="102" t="s">
        <v>10231</v>
      </c>
      <c r="N522" s="102"/>
      <c r="O522" s="102"/>
      <c r="P522" s="102"/>
      <c r="Q522" s="102"/>
      <c r="R522" s="102"/>
      <c r="S522" s="102" t="s">
        <v>31</v>
      </c>
      <c r="T522" s="102" t="s">
        <v>9</v>
      </c>
    </row>
    <row r="523" spans="1:20">
      <c r="A523" s="101" t="s">
        <v>4768</v>
      </c>
      <c r="B523" s="101" t="s">
        <v>3758</v>
      </c>
      <c r="C523" s="101">
        <v>3076</v>
      </c>
      <c r="D523" s="102" t="s">
        <v>10232</v>
      </c>
      <c r="E523" s="102" t="s">
        <v>1251</v>
      </c>
      <c r="F523" s="102"/>
      <c r="G523" s="102" t="s">
        <v>3399</v>
      </c>
      <c r="H523" s="102"/>
      <c r="I523" s="102"/>
      <c r="J523" s="102"/>
      <c r="K523" s="102" t="s">
        <v>10233</v>
      </c>
      <c r="L523" s="102"/>
      <c r="M523" s="102"/>
      <c r="N523" s="102"/>
      <c r="O523" s="102"/>
      <c r="P523" s="102"/>
      <c r="Q523" s="102"/>
      <c r="R523" s="102"/>
      <c r="S523" s="102" t="s">
        <v>46</v>
      </c>
      <c r="T523" s="102" t="s">
        <v>41</v>
      </c>
    </row>
    <row r="524" spans="1:20">
      <c r="A524" s="101" t="s">
        <v>4768</v>
      </c>
      <c r="B524" s="101" t="s">
        <v>3758</v>
      </c>
      <c r="C524" s="101">
        <v>3080</v>
      </c>
      <c r="D524" s="102" t="s">
        <v>10234</v>
      </c>
      <c r="E524" s="102" t="s">
        <v>1251</v>
      </c>
      <c r="F524" s="102"/>
      <c r="G524" s="102" t="s">
        <v>3399</v>
      </c>
      <c r="H524" s="102"/>
      <c r="I524" s="102"/>
      <c r="J524" s="102"/>
      <c r="K524" s="102" t="s">
        <v>10235</v>
      </c>
      <c r="L524" s="102"/>
      <c r="M524" s="102"/>
      <c r="N524" s="102"/>
      <c r="O524" s="102"/>
      <c r="P524" s="102"/>
      <c r="Q524" s="102"/>
      <c r="R524" s="102"/>
      <c r="S524" s="102" t="s">
        <v>30</v>
      </c>
      <c r="T524" s="102" t="s">
        <v>41</v>
      </c>
    </row>
    <row r="525" spans="1:20">
      <c r="A525" s="101" t="s">
        <v>4768</v>
      </c>
      <c r="B525" s="101" t="s">
        <v>3758</v>
      </c>
      <c r="C525" s="101">
        <v>3082</v>
      </c>
      <c r="D525" s="102" t="s">
        <v>10236</v>
      </c>
      <c r="E525" s="102" t="s">
        <v>1251</v>
      </c>
      <c r="F525" s="102"/>
      <c r="G525" s="102" t="s">
        <v>3399</v>
      </c>
      <c r="H525" s="102"/>
      <c r="I525" s="102"/>
      <c r="J525" s="102"/>
      <c r="K525" s="102" t="s">
        <v>10237</v>
      </c>
      <c r="L525" s="102"/>
      <c r="M525" s="102"/>
      <c r="N525" s="102"/>
      <c r="O525" s="102"/>
      <c r="P525" s="102"/>
      <c r="Q525" s="102"/>
      <c r="R525" s="102"/>
      <c r="S525" s="102" t="s">
        <v>53</v>
      </c>
      <c r="T525" s="102" t="s">
        <v>41</v>
      </c>
    </row>
    <row r="526" spans="1:20">
      <c r="A526" s="101" t="s">
        <v>4768</v>
      </c>
      <c r="B526" s="101" t="s">
        <v>3758</v>
      </c>
      <c r="C526" s="101">
        <v>3083</v>
      </c>
      <c r="D526" s="102" t="s">
        <v>10238</v>
      </c>
      <c r="E526" s="102" t="s">
        <v>10239</v>
      </c>
      <c r="F526" s="102"/>
      <c r="G526" s="102" t="s">
        <v>3399</v>
      </c>
      <c r="H526" s="102"/>
      <c r="I526" s="102"/>
      <c r="J526" s="102"/>
      <c r="K526" s="102" t="s">
        <v>10240</v>
      </c>
      <c r="L526" s="102" t="s">
        <v>10241</v>
      </c>
      <c r="M526" s="102"/>
      <c r="N526" s="102"/>
      <c r="O526" s="102"/>
      <c r="P526" s="102"/>
      <c r="Q526" s="102"/>
      <c r="R526" s="102"/>
      <c r="S526" s="102" t="s">
        <v>45</v>
      </c>
      <c r="T526" s="102" t="s">
        <v>41</v>
      </c>
    </row>
    <row r="527" spans="1:20">
      <c r="A527" s="101" t="s">
        <v>4768</v>
      </c>
      <c r="B527" s="101" t="s">
        <v>3758</v>
      </c>
      <c r="C527" s="101">
        <v>3084</v>
      </c>
      <c r="D527" s="102" t="s">
        <v>10242</v>
      </c>
      <c r="E527" s="102" t="s">
        <v>10243</v>
      </c>
      <c r="F527" s="102"/>
      <c r="G527" s="102" t="s">
        <v>3399</v>
      </c>
      <c r="H527" s="102"/>
      <c r="I527" s="102"/>
      <c r="J527" s="102"/>
      <c r="K527" s="102" t="s">
        <v>10244</v>
      </c>
      <c r="L527" s="102"/>
      <c r="M527" s="102"/>
      <c r="N527" s="102"/>
      <c r="O527" s="102"/>
      <c r="P527" s="102"/>
      <c r="Q527" s="102"/>
      <c r="R527" s="102"/>
      <c r="S527" s="102" t="s">
        <v>27</v>
      </c>
      <c r="T527" s="102" t="s">
        <v>41</v>
      </c>
    </row>
    <row r="528" spans="1:20">
      <c r="A528" s="101" t="s">
        <v>4768</v>
      </c>
      <c r="B528" s="101" t="s">
        <v>3758</v>
      </c>
      <c r="C528" s="101">
        <v>3085</v>
      </c>
      <c r="D528" s="102" t="s">
        <v>10245</v>
      </c>
      <c r="E528" s="102" t="s">
        <v>10224</v>
      </c>
      <c r="F528" s="102"/>
      <c r="G528" s="102" t="s">
        <v>3399</v>
      </c>
      <c r="H528" s="102"/>
      <c r="I528" s="102"/>
      <c r="J528" s="102"/>
      <c r="K528" s="102" t="s">
        <v>10246</v>
      </c>
      <c r="L528" s="102"/>
      <c r="M528" s="102"/>
      <c r="N528" s="102"/>
      <c r="O528" s="102"/>
      <c r="P528" s="102"/>
      <c r="Q528" s="102"/>
      <c r="R528" s="102"/>
      <c r="S528" s="102" t="s">
        <v>180</v>
      </c>
      <c r="T528" s="102" t="s">
        <v>41</v>
      </c>
    </row>
    <row r="529" spans="1:20">
      <c r="A529" s="101" t="s">
        <v>4053</v>
      </c>
      <c r="B529" s="101" t="s">
        <v>3758</v>
      </c>
      <c r="C529" s="101">
        <v>4028</v>
      </c>
      <c r="D529" s="102" t="s">
        <v>10247</v>
      </c>
      <c r="E529" s="102" t="s">
        <v>1101</v>
      </c>
      <c r="F529" s="102"/>
      <c r="G529" s="102" t="s">
        <v>3399</v>
      </c>
      <c r="H529" s="102"/>
      <c r="I529" s="102"/>
      <c r="J529" s="102"/>
      <c r="K529" s="102" t="s">
        <v>10248</v>
      </c>
      <c r="L529" s="102"/>
      <c r="M529" s="102"/>
      <c r="N529" s="102"/>
      <c r="O529" s="102"/>
      <c r="P529" s="102"/>
      <c r="Q529" s="102"/>
      <c r="R529" s="102"/>
      <c r="S529" s="102" t="s">
        <v>3999</v>
      </c>
      <c r="T529" s="102" t="s">
        <v>4000</v>
      </c>
    </row>
    <row r="530" spans="1:20">
      <c r="C530" s="101" t="s">
        <v>3456</v>
      </c>
      <c r="T530" s="1"/>
    </row>
    <row r="531" spans="1:20">
      <c r="A531" t="s">
        <v>3498</v>
      </c>
      <c r="B531" t="s">
        <v>8730</v>
      </c>
      <c r="C531" s="101">
        <v>1</v>
      </c>
      <c r="D531" t="s">
        <v>9211</v>
      </c>
      <c r="E531" t="s">
        <v>1099</v>
      </c>
      <c r="G531" t="s">
        <v>3434</v>
      </c>
      <c r="H531" t="s">
        <v>3402</v>
      </c>
      <c r="K531" t="s">
        <v>3401</v>
      </c>
      <c r="L531" t="s">
        <v>9212</v>
      </c>
      <c r="S531" t="s">
        <v>173</v>
      </c>
      <c r="T531" t="s">
        <v>4</v>
      </c>
    </row>
    <row r="532" spans="1:20">
      <c r="A532" t="s">
        <v>3498</v>
      </c>
      <c r="B532" t="s">
        <v>8730</v>
      </c>
      <c r="C532" s="101">
        <v>2</v>
      </c>
      <c r="D532" t="s">
        <v>9213</v>
      </c>
      <c r="E532" t="s">
        <v>1099</v>
      </c>
      <c r="G532" t="s">
        <v>3434</v>
      </c>
      <c r="H532" t="s">
        <v>3402</v>
      </c>
      <c r="K532" t="s">
        <v>3401</v>
      </c>
      <c r="L532" t="s">
        <v>9214</v>
      </c>
      <c r="S532" t="s">
        <v>172</v>
      </c>
      <c r="T532" t="s">
        <v>4</v>
      </c>
    </row>
    <row r="533" spans="1:20">
      <c r="A533" t="s">
        <v>3498</v>
      </c>
      <c r="B533" t="s">
        <v>8730</v>
      </c>
      <c r="C533" s="101">
        <v>3</v>
      </c>
      <c r="D533" t="s">
        <v>9215</v>
      </c>
      <c r="E533" t="s">
        <v>1099</v>
      </c>
      <c r="G533" t="s">
        <v>3434</v>
      </c>
      <c r="H533" t="s">
        <v>3402</v>
      </c>
      <c r="K533" t="s">
        <v>3401</v>
      </c>
      <c r="L533" t="s">
        <v>6457</v>
      </c>
      <c r="M533" t="s">
        <v>9216</v>
      </c>
      <c r="S533" t="s">
        <v>5719</v>
      </c>
      <c r="T533" t="s">
        <v>4</v>
      </c>
    </row>
    <row r="534" spans="1:20">
      <c r="A534" t="s">
        <v>3498</v>
      </c>
      <c r="B534" t="s">
        <v>8730</v>
      </c>
      <c r="C534" s="101">
        <v>4</v>
      </c>
      <c r="D534" t="s">
        <v>9217</v>
      </c>
      <c r="E534" t="s">
        <v>1099</v>
      </c>
      <c r="G534" t="s">
        <v>3434</v>
      </c>
      <c r="H534" t="s">
        <v>3402</v>
      </c>
      <c r="K534" t="s">
        <v>3401</v>
      </c>
      <c r="L534" t="s">
        <v>9218</v>
      </c>
      <c r="S534" t="s">
        <v>16</v>
      </c>
      <c r="T534" t="s">
        <v>4</v>
      </c>
    </row>
    <row r="535" spans="1:20">
      <c r="A535" t="s">
        <v>3498</v>
      </c>
      <c r="B535" t="s">
        <v>8730</v>
      </c>
      <c r="C535" s="101">
        <v>5</v>
      </c>
      <c r="D535" t="s">
        <v>9219</v>
      </c>
      <c r="E535" t="s">
        <v>1099</v>
      </c>
      <c r="G535" t="s">
        <v>3434</v>
      </c>
      <c r="H535" t="s">
        <v>3402</v>
      </c>
      <c r="K535" t="s">
        <v>3401</v>
      </c>
      <c r="L535" t="s">
        <v>9220</v>
      </c>
      <c r="S535" t="s">
        <v>178</v>
      </c>
      <c r="T535" t="s">
        <v>4</v>
      </c>
    </row>
    <row r="536" spans="1:20">
      <c r="A536" t="s">
        <v>3498</v>
      </c>
      <c r="B536" t="s">
        <v>8730</v>
      </c>
      <c r="C536" s="101">
        <v>6</v>
      </c>
      <c r="D536" t="s">
        <v>9221</v>
      </c>
      <c r="E536" t="s">
        <v>1099</v>
      </c>
      <c r="G536" t="s">
        <v>3434</v>
      </c>
      <c r="H536" t="s">
        <v>3402</v>
      </c>
      <c r="K536" t="s">
        <v>3401</v>
      </c>
      <c r="L536" t="s">
        <v>9222</v>
      </c>
      <c r="S536" t="s">
        <v>45</v>
      </c>
      <c r="T536" t="s">
        <v>4</v>
      </c>
    </row>
    <row r="537" spans="1:20">
      <c r="A537" t="s">
        <v>3498</v>
      </c>
      <c r="B537" t="s">
        <v>8730</v>
      </c>
      <c r="C537" s="101">
        <v>7</v>
      </c>
      <c r="D537" t="s">
        <v>9223</v>
      </c>
      <c r="E537" t="s">
        <v>1099</v>
      </c>
      <c r="G537" t="s">
        <v>3434</v>
      </c>
      <c r="H537" t="s">
        <v>3402</v>
      </c>
      <c r="K537" t="s">
        <v>3401</v>
      </c>
      <c r="L537" t="s">
        <v>9224</v>
      </c>
      <c r="S537" t="s">
        <v>5</v>
      </c>
      <c r="T537" t="s">
        <v>4</v>
      </c>
    </row>
    <row r="538" spans="1:20">
      <c r="A538" t="s">
        <v>3498</v>
      </c>
      <c r="B538" t="s">
        <v>8730</v>
      </c>
      <c r="C538" s="101">
        <v>8</v>
      </c>
      <c r="D538" t="s">
        <v>9225</v>
      </c>
      <c r="E538" t="s">
        <v>1099</v>
      </c>
      <c r="G538" t="s">
        <v>3434</v>
      </c>
      <c r="H538" t="s">
        <v>3402</v>
      </c>
      <c r="K538" t="s">
        <v>5600</v>
      </c>
      <c r="L538" t="s">
        <v>9226</v>
      </c>
      <c r="S538" t="s">
        <v>606</v>
      </c>
      <c r="T538" t="s">
        <v>4</v>
      </c>
    </row>
    <row r="539" spans="1:20">
      <c r="A539" t="s">
        <v>3498</v>
      </c>
      <c r="B539" t="s">
        <v>8730</v>
      </c>
      <c r="C539" s="101">
        <v>9</v>
      </c>
      <c r="D539" t="s">
        <v>9227</v>
      </c>
      <c r="E539" t="s">
        <v>1099</v>
      </c>
      <c r="G539" t="s">
        <v>3434</v>
      </c>
      <c r="H539" t="s">
        <v>3402</v>
      </c>
      <c r="K539" t="s">
        <v>3401</v>
      </c>
      <c r="L539" t="s">
        <v>9228</v>
      </c>
      <c r="S539" t="s">
        <v>46</v>
      </c>
      <c r="T539" t="s">
        <v>4</v>
      </c>
    </row>
    <row r="540" spans="1:20">
      <c r="A540" t="s">
        <v>3498</v>
      </c>
      <c r="B540" t="s">
        <v>8730</v>
      </c>
      <c r="C540" s="101">
        <v>10</v>
      </c>
      <c r="D540" t="s">
        <v>9229</v>
      </c>
      <c r="E540" t="s">
        <v>1099</v>
      </c>
      <c r="G540" t="s">
        <v>3434</v>
      </c>
      <c r="H540" t="s">
        <v>3402</v>
      </c>
      <c r="K540" t="s">
        <v>3401</v>
      </c>
      <c r="L540" t="s">
        <v>9230</v>
      </c>
      <c r="S540" t="s">
        <v>14</v>
      </c>
      <c r="T540" t="s">
        <v>4</v>
      </c>
    </row>
    <row r="541" spans="1:20">
      <c r="A541" t="s">
        <v>3498</v>
      </c>
      <c r="B541" t="s">
        <v>8730</v>
      </c>
      <c r="C541" s="101">
        <v>11</v>
      </c>
      <c r="D541" t="s">
        <v>9231</v>
      </c>
      <c r="E541" t="s">
        <v>1099</v>
      </c>
      <c r="G541" t="s">
        <v>3434</v>
      </c>
      <c r="K541" t="s">
        <v>9232</v>
      </c>
      <c r="L541" t="s">
        <v>9233</v>
      </c>
      <c r="S541" t="s">
        <v>607</v>
      </c>
      <c r="T541" t="s">
        <v>4</v>
      </c>
    </row>
    <row r="542" spans="1:20">
      <c r="A542" t="s">
        <v>3498</v>
      </c>
      <c r="B542" t="s">
        <v>8730</v>
      </c>
      <c r="C542" s="101">
        <v>12</v>
      </c>
      <c r="D542" t="s">
        <v>9234</v>
      </c>
      <c r="E542" t="s">
        <v>1099</v>
      </c>
      <c r="G542" t="s">
        <v>3434</v>
      </c>
      <c r="H542" t="s">
        <v>3402</v>
      </c>
      <c r="K542" t="s">
        <v>3401</v>
      </c>
      <c r="L542" t="s">
        <v>9220</v>
      </c>
      <c r="M542" t="s">
        <v>9235</v>
      </c>
      <c r="S542" t="s">
        <v>52</v>
      </c>
      <c r="T542" t="s">
        <v>4</v>
      </c>
    </row>
    <row r="543" spans="1:20">
      <c r="A543" t="s">
        <v>3498</v>
      </c>
      <c r="B543" t="s">
        <v>8730</v>
      </c>
      <c r="C543" s="101">
        <v>13</v>
      </c>
      <c r="D543" t="s">
        <v>9236</v>
      </c>
      <c r="E543" t="s">
        <v>1099</v>
      </c>
      <c r="G543" t="s">
        <v>3434</v>
      </c>
      <c r="H543" t="s">
        <v>3402</v>
      </c>
      <c r="K543" t="s">
        <v>3401</v>
      </c>
      <c r="L543" t="s">
        <v>9237</v>
      </c>
      <c r="S543" t="s">
        <v>3747</v>
      </c>
      <c r="T543" t="s">
        <v>4</v>
      </c>
    </row>
    <row r="544" spans="1:20">
      <c r="A544" t="s">
        <v>3498</v>
      </c>
      <c r="B544" t="s">
        <v>8730</v>
      </c>
      <c r="C544" s="101">
        <v>14</v>
      </c>
      <c r="D544" t="s">
        <v>9238</v>
      </c>
      <c r="E544" t="s">
        <v>1099</v>
      </c>
      <c r="G544" t="s">
        <v>3434</v>
      </c>
      <c r="H544" t="s">
        <v>3402</v>
      </c>
      <c r="K544" t="s">
        <v>3401</v>
      </c>
      <c r="L544" t="s">
        <v>7635</v>
      </c>
      <c r="S544" t="s">
        <v>607</v>
      </c>
      <c r="T544" t="s">
        <v>4</v>
      </c>
    </row>
    <row r="545" spans="1:20">
      <c r="A545" t="s">
        <v>3498</v>
      </c>
      <c r="B545" t="s">
        <v>8730</v>
      </c>
      <c r="C545" s="101">
        <v>15</v>
      </c>
      <c r="D545" t="s">
        <v>9239</v>
      </c>
      <c r="E545" t="s">
        <v>1099</v>
      </c>
      <c r="G545" t="s">
        <v>3434</v>
      </c>
      <c r="H545" t="s">
        <v>3402</v>
      </c>
      <c r="K545" t="s">
        <v>3401</v>
      </c>
      <c r="L545" t="s">
        <v>9240</v>
      </c>
      <c r="S545" t="s">
        <v>52</v>
      </c>
      <c r="T545" t="s">
        <v>4</v>
      </c>
    </row>
    <row r="546" spans="1:20">
      <c r="A546" t="s">
        <v>3498</v>
      </c>
      <c r="B546" t="s">
        <v>8730</v>
      </c>
      <c r="C546" s="101">
        <v>16</v>
      </c>
      <c r="D546" t="s">
        <v>9241</v>
      </c>
      <c r="E546" t="s">
        <v>1099</v>
      </c>
      <c r="G546" t="s">
        <v>3434</v>
      </c>
      <c r="H546" t="s">
        <v>3402</v>
      </c>
      <c r="K546" t="s">
        <v>3401</v>
      </c>
      <c r="L546" t="s">
        <v>6457</v>
      </c>
      <c r="M546" t="s">
        <v>9242</v>
      </c>
      <c r="S546" t="s">
        <v>39</v>
      </c>
      <c r="T546" t="s">
        <v>4</v>
      </c>
    </row>
    <row r="547" spans="1:20">
      <c r="A547" t="s">
        <v>3498</v>
      </c>
      <c r="B547" t="s">
        <v>8730</v>
      </c>
      <c r="C547" s="101">
        <v>17</v>
      </c>
      <c r="D547" t="s">
        <v>9243</v>
      </c>
      <c r="E547" t="s">
        <v>1099</v>
      </c>
      <c r="G547" t="s">
        <v>3434</v>
      </c>
      <c r="H547" t="s">
        <v>3402</v>
      </c>
      <c r="K547" t="s">
        <v>5508</v>
      </c>
      <c r="L547" t="s">
        <v>3440</v>
      </c>
      <c r="M547" t="s">
        <v>9244</v>
      </c>
      <c r="S547" t="s">
        <v>170</v>
      </c>
      <c r="T547" t="s">
        <v>4</v>
      </c>
    </row>
    <row r="548" spans="1:20">
      <c r="A548" t="s">
        <v>3498</v>
      </c>
      <c r="B548" t="s">
        <v>8730</v>
      </c>
      <c r="C548" s="101">
        <v>18</v>
      </c>
      <c r="D548" t="s">
        <v>9245</v>
      </c>
      <c r="E548" t="s">
        <v>1099</v>
      </c>
      <c r="G548" t="s">
        <v>3434</v>
      </c>
      <c r="H548" t="s">
        <v>3402</v>
      </c>
      <c r="K548" t="s">
        <v>3401</v>
      </c>
      <c r="L548" t="s">
        <v>9246</v>
      </c>
      <c r="S548" t="s">
        <v>6</v>
      </c>
      <c r="T548" t="s">
        <v>4</v>
      </c>
    </row>
    <row r="549" spans="1:20">
      <c r="A549" t="s">
        <v>3498</v>
      </c>
      <c r="B549" t="s">
        <v>8730</v>
      </c>
      <c r="C549" s="101">
        <v>19</v>
      </c>
      <c r="D549" t="s">
        <v>9247</v>
      </c>
      <c r="E549" t="s">
        <v>1099</v>
      </c>
      <c r="G549" t="s">
        <v>3434</v>
      </c>
      <c r="H549" t="s">
        <v>3402</v>
      </c>
      <c r="K549" t="s">
        <v>9248</v>
      </c>
      <c r="L549" t="s">
        <v>5490</v>
      </c>
      <c r="S549" t="s">
        <v>33</v>
      </c>
      <c r="T549" t="s">
        <v>4</v>
      </c>
    </row>
    <row r="550" spans="1:20">
      <c r="A550" t="s">
        <v>3498</v>
      </c>
      <c r="B550" t="s">
        <v>8730</v>
      </c>
      <c r="C550" s="101">
        <v>20</v>
      </c>
      <c r="D550" t="s">
        <v>9249</v>
      </c>
      <c r="E550" t="s">
        <v>1099</v>
      </c>
      <c r="G550" t="s">
        <v>3434</v>
      </c>
      <c r="H550" t="s">
        <v>3402</v>
      </c>
      <c r="K550" t="s">
        <v>3401</v>
      </c>
      <c r="L550" t="s">
        <v>9250</v>
      </c>
      <c r="S550" t="s">
        <v>38</v>
      </c>
      <c r="T550" t="s">
        <v>4</v>
      </c>
    </row>
    <row r="551" spans="1:20">
      <c r="A551" t="s">
        <v>3498</v>
      </c>
      <c r="B551" t="s">
        <v>8730</v>
      </c>
      <c r="C551" s="101">
        <v>21</v>
      </c>
      <c r="D551" t="s">
        <v>9251</v>
      </c>
      <c r="E551" t="s">
        <v>1100</v>
      </c>
      <c r="G551" t="s">
        <v>3434</v>
      </c>
      <c r="H551" t="s">
        <v>3402</v>
      </c>
      <c r="K551" t="s">
        <v>3401</v>
      </c>
      <c r="L551" t="s">
        <v>9252</v>
      </c>
      <c r="S551" t="s">
        <v>18</v>
      </c>
      <c r="T551" t="s">
        <v>4</v>
      </c>
    </row>
    <row r="552" spans="1:20">
      <c r="A552" t="s">
        <v>3498</v>
      </c>
      <c r="B552" t="s">
        <v>8730</v>
      </c>
      <c r="C552" s="101">
        <v>22</v>
      </c>
      <c r="D552" t="s">
        <v>9253</v>
      </c>
      <c r="E552" t="s">
        <v>1100</v>
      </c>
      <c r="G552" t="s">
        <v>3434</v>
      </c>
      <c r="H552" t="s">
        <v>3402</v>
      </c>
      <c r="K552" t="s">
        <v>3401</v>
      </c>
      <c r="L552" t="s">
        <v>9254</v>
      </c>
      <c r="S552" t="s">
        <v>45</v>
      </c>
      <c r="T552" t="s">
        <v>4</v>
      </c>
    </row>
    <row r="553" spans="1:20">
      <c r="A553" t="s">
        <v>3498</v>
      </c>
      <c r="B553" t="s">
        <v>8730</v>
      </c>
      <c r="C553" s="101">
        <v>23</v>
      </c>
      <c r="D553" t="s">
        <v>9255</v>
      </c>
      <c r="E553" t="s">
        <v>1100</v>
      </c>
      <c r="G553" t="s">
        <v>3434</v>
      </c>
      <c r="K553" t="s">
        <v>9256</v>
      </c>
      <c r="S553" t="s">
        <v>46</v>
      </c>
      <c r="T553" t="s">
        <v>4</v>
      </c>
    </row>
    <row r="554" spans="1:20">
      <c r="A554" t="s">
        <v>3498</v>
      </c>
      <c r="B554" t="s">
        <v>8730</v>
      </c>
      <c r="C554" s="101">
        <v>24</v>
      </c>
      <c r="D554" t="s">
        <v>9257</v>
      </c>
      <c r="E554" t="s">
        <v>1100</v>
      </c>
      <c r="G554" t="s">
        <v>3434</v>
      </c>
      <c r="H554" t="s">
        <v>3402</v>
      </c>
      <c r="K554" t="s">
        <v>5600</v>
      </c>
      <c r="L554" t="s">
        <v>9258</v>
      </c>
      <c r="M554" t="s">
        <v>6533</v>
      </c>
      <c r="S554" t="s">
        <v>604</v>
      </c>
      <c r="T554" t="s">
        <v>4</v>
      </c>
    </row>
    <row r="555" spans="1:20">
      <c r="A555" t="s">
        <v>3498</v>
      </c>
      <c r="B555" t="s">
        <v>8730</v>
      </c>
      <c r="C555" s="101">
        <v>25</v>
      </c>
      <c r="D555" t="s">
        <v>9259</v>
      </c>
      <c r="E555" t="s">
        <v>1181</v>
      </c>
      <c r="G555" t="s">
        <v>3434</v>
      </c>
      <c r="H555" t="s">
        <v>3402</v>
      </c>
      <c r="K555" t="s">
        <v>5489</v>
      </c>
      <c r="L555" t="s">
        <v>9228</v>
      </c>
      <c r="S555" t="s">
        <v>171</v>
      </c>
      <c r="T555" t="s">
        <v>4</v>
      </c>
    </row>
    <row r="556" spans="1:20">
      <c r="A556" t="s">
        <v>3498</v>
      </c>
      <c r="B556" t="s">
        <v>8730</v>
      </c>
      <c r="C556" s="101">
        <v>26</v>
      </c>
      <c r="D556" t="s">
        <v>9260</v>
      </c>
      <c r="E556" t="s">
        <v>1100</v>
      </c>
      <c r="G556" t="s">
        <v>3434</v>
      </c>
      <c r="H556" t="s">
        <v>3402</v>
      </c>
      <c r="K556" t="s">
        <v>12</v>
      </c>
      <c r="L556" t="s">
        <v>3401</v>
      </c>
      <c r="M556" t="s">
        <v>9212</v>
      </c>
      <c r="S556" t="s">
        <v>31</v>
      </c>
      <c r="T556" t="s">
        <v>4</v>
      </c>
    </row>
    <row r="557" spans="1:20">
      <c r="A557" t="s">
        <v>3498</v>
      </c>
      <c r="B557" t="s">
        <v>8730</v>
      </c>
      <c r="C557" s="101">
        <v>27</v>
      </c>
      <c r="D557" t="s">
        <v>9261</v>
      </c>
      <c r="E557" t="s">
        <v>1100</v>
      </c>
      <c r="G557" t="s">
        <v>3434</v>
      </c>
      <c r="H557" t="s">
        <v>3402</v>
      </c>
      <c r="K557" t="s">
        <v>3401</v>
      </c>
      <c r="L557" t="s">
        <v>9262</v>
      </c>
      <c r="S557" t="s">
        <v>176</v>
      </c>
      <c r="T557" t="s">
        <v>4</v>
      </c>
    </row>
    <row r="558" spans="1:20">
      <c r="A558" t="s">
        <v>3498</v>
      </c>
      <c r="B558" t="s">
        <v>8730</v>
      </c>
      <c r="C558" s="101">
        <v>28</v>
      </c>
      <c r="D558" t="s">
        <v>9263</v>
      </c>
      <c r="E558" t="s">
        <v>1100</v>
      </c>
      <c r="G558" t="s">
        <v>3434</v>
      </c>
      <c r="H558" t="s">
        <v>3402</v>
      </c>
      <c r="K558" t="s">
        <v>3401</v>
      </c>
      <c r="L558" t="s">
        <v>9228</v>
      </c>
      <c r="S558" t="s">
        <v>38</v>
      </c>
      <c r="T558" t="s">
        <v>4</v>
      </c>
    </row>
    <row r="559" spans="1:20">
      <c r="A559" t="s">
        <v>3498</v>
      </c>
      <c r="B559" t="s">
        <v>8730</v>
      </c>
      <c r="C559" s="101">
        <v>29</v>
      </c>
      <c r="D559" t="s">
        <v>9264</v>
      </c>
      <c r="E559" t="s">
        <v>1100</v>
      </c>
      <c r="G559" t="s">
        <v>3434</v>
      </c>
      <c r="H559" t="s">
        <v>3402</v>
      </c>
      <c r="K559" t="s">
        <v>3401</v>
      </c>
      <c r="L559" t="s">
        <v>9265</v>
      </c>
      <c r="S559" t="s">
        <v>15</v>
      </c>
      <c r="T559" t="s">
        <v>4</v>
      </c>
    </row>
    <row r="560" spans="1:20">
      <c r="A560" t="s">
        <v>3498</v>
      </c>
      <c r="B560" t="s">
        <v>8730</v>
      </c>
      <c r="C560" s="101">
        <v>30</v>
      </c>
      <c r="D560" t="s">
        <v>9266</v>
      </c>
      <c r="E560" t="s">
        <v>1100</v>
      </c>
      <c r="G560" t="s">
        <v>3434</v>
      </c>
      <c r="H560" t="s">
        <v>3402</v>
      </c>
      <c r="K560" t="s">
        <v>3401</v>
      </c>
      <c r="L560" t="s">
        <v>9267</v>
      </c>
      <c r="S560" t="s">
        <v>40</v>
      </c>
      <c r="T560" t="s">
        <v>4</v>
      </c>
    </row>
    <row r="561" spans="1:20">
      <c r="A561" t="s">
        <v>3498</v>
      </c>
      <c r="B561" t="s">
        <v>8730</v>
      </c>
      <c r="C561" s="101">
        <v>31</v>
      </c>
      <c r="D561" t="s">
        <v>9268</v>
      </c>
      <c r="E561" t="s">
        <v>1100</v>
      </c>
      <c r="G561" t="s">
        <v>3434</v>
      </c>
      <c r="H561" t="s">
        <v>13397</v>
      </c>
      <c r="K561" t="s">
        <v>1168</v>
      </c>
      <c r="L561" t="s">
        <v>9269</v>
      </c>
      <c r="S561" t="s">
        <v>17</v>
      </c>
      <c r="T561" t="s">
        <v>4</v>
      </c>
    </row>
    <row r="562" spans="1:20">
      <c r="A562" t="s">
        <v>3498</v>
      </c>
      <c r="B562" t="s">
        <v>8730</v>
      </c>
      <c r="C562" s="101">
        <v>32</v>
      </c>
      <c r="D562" t="s">
        <v>9270</v>
      </c>
      <c r="E562" t="s">
        <v>1100</v>
      </c>
      <c r="G562" t="s">
        <v>3434</v>
      </c>
      <c r="H562" t="s">
        <v>3402</v>
      </c>
      <c r="K562" t="s">
        <v>6545</v>
      </c>
      <c r="L562" t="s">
        <v>9271</v>
      </c>
      <c r="S562" t="s">
        <v>169</v>
      </c>
      <c r="T562" t="s">
        <v>4</v>
      </c>
    </row>
    <row r="563" spans="1:20">
      <c r="A563" t="s">
        <v>3498</v>
      </c>
      <c r="B563" t="s">
        <v>8730</v>
      </c>
      <c r="C563" s="101">
        <v>33</v>
      </c>
      <c r="D563" t="s">
        <v>9272</v>
      </c>
      <c r="E563" t="s">
        <v>1100</v>
      </c>
      <c r="G563" t="s">
        <v>3434</v>
      </c>
      <c r="H563" t="s">
        <v>3402</v>
      </c>
      <c r="K563" t="s">
        <v>3401</v>
      </c>
      <c r="L563" t="s">
        <v>9273</v>
      </c>
      <c r="S563" t="s">
        <v>172</v>
      </c>
      <c r="T563" t="s">
        <v>4</v>
      </c>
    </row>
    <row r="564" spans="1:20">
      <c r="A564" t="s">
        <v>3498</v>
      </c>
      <c r="B564" t="s">
        <v>8730</v>
      </c>
      <c r="C564" s="101">
        <v>34</v>
      </c>
      <c r="D564" t="s">
        <v>9274</v>
      </c>
      <c r="E564" t="s">
        <v>1100</v>
      </c>
      <c r="G564" t="s">
        <v>3434</v>
      </c>
      <c r="H564" t="s">
        <v>3402</v>
      </c>
      <c r="K564" t="s">
        <v>12</v>
      </c>
      <c r="L564" t="s">
        <v>3401</v>
      </c>
      <c r="M564" t="s">
        <v>9275</v>
      </c>
      <c r="S564" t="s">
        <v>34</v>
      </c>
      <c r="T564" t="s">
        <v>4</v>
      </c>
    </row>
    <row r="565" spans="1:20">
      <c r="A565" t="s">
        <v>3498</v>
      </c>
      <c r="B565" t="s">
        <v>8730</v>
      </c>
      <c r="C565" s="101">
        <v>35</v>
      </c>
      <c r="D565" t="s">
        <v>9276</v>
      </c>
      <c r="E565" t="s">
        <v>1100</v>
      </c>
      <c r="G565" t="s">
        <v>3434</v>
      </c>
      <c r="H565" t="s">
        <v>3402</v>
      </c>
      <c r="K565" t="s">
        <v>3401</v>
      </c>
      <c r="L565" t="s">
        <v>9277</v>
      </c>
      <c r="S565" t="s">
        <v>5685</v>
      </c>
      <c r="T565" t="s">
        <v>4</v>
      </c>
    </row>
    <row r="566" spans="1:20">
      <c r="A566" t="s">
        <v>3498</v>
      </c>
      <c r="B566" t="s">
        <v>8730</v>
      </c>
      <c r="C566" s="101">
        <v>36</v>
      </c>
      <c r="D566" t="s">
        <v>9278</v>
      </c>
      <c r="E566" t="s">
        <v>1100</v>
      </c>
      <c r="G566" t="s">
        <v>3434</v>
      </c>
      <c r="K566" t="s">
        <v>9279</v>
      </c>
      <c r="S566" t="s">
        <v>27</v>
      </c>
      <c r="T566" t="s">
        <v>4</v>
      </c>
    </row>
    <row r="567" spans="1:20">
      <c r="A567" t="s">
        <v>3498</v>
      </c>
      <c r="B567" t="s">
        <v>8730</v>
      </c>
      <c r="C567" s="101">
        <v>37</v>
      </c>
      <c r="D567" t="s">
        <v>9280</v>
      </c>
      <c r="E567" t="s">
        <v>1100</v>
      </c>
      <c r="G567" t="s">
        <v>3434</v>
      </c>
      <c r="K567" t="s">
        <v>9281</v>
      </c>
      <c r="S567" t="s">
        <v>34</v>
      </c>
      <c r="T567" t="s">
        <v>4</v>
      </c>
    </row>
    <row r="568" spans="1:20">
      <c r="A568" t="s">
        <v>3498</v>
      </c>
      <c r="B568" t="s">
        <v>8730</v>
      </c>
      <c r="C568" s="101">
        <v>38</v>
      </c>
      <c r="D568" t="s">
        <v>9282</v>
      </c>
      <c r="E568" t="s">
        <v>1100</v>
      </c>
      <c r="G568" t="s">
        <v>3434</v>
      </c>
      <c r="H568" t="s">
        <v>3402</v>
      </c>
      <c r="K568" t="s">
        <v>3401</v>
      </c>
      <c r="L568" t="s">
        <v>9283</v>
      </c>
      <c r="M568" t="s">
        <v>9284</v>
      </c>
      <c r="S568" t="s">
        <v>14</v>
      </c>
      <c r="T568" t="s">
        <v>4</v>
      </c>
    </row>
    <row r="569" spans="1:20">
      <c r="A569" t="s">
        <v>3498</v>
      </c>
      <c r="B569" t="s">
        <v>8730</v>
      </c>
      <c r="C569" s="101">
        <v>39</v>
      </c>
      <c r="D569" t="s">
        <v>9285</v>
      </c>
      <c r="E569" t="s">
        <v>1100</v>
      </c>
      <c r="G569" t="s">
        <v>3434</v>
      </c>
      <c r="H569" t="s">
        <v>3402</v>
      </c>
      <c r="K569" t="s">
        <v>3</v>
      </c>
      <c r="L569" t="s">
        <v>3401</v>
      </c>
      <c r="M569" t="s">
        <v>9286</v>
      </c>
      <c r="S569" t="s">
        <v>175</v>
      </c>
      <c r="T569" t="s">
        <v>4</v>
      </c>
    </row>
    <row r="570" spans="1:20">
      <c r="A570" t="s">
        <v>3498</v>
      </c>
      <c r="B570" t="s">
        <v>8730</v>
      </c>
      <c r="C570" s="101">
        <v>40</v>
      </c>
      <c r="D570" t="s">
        <v>9287</v>
      </c>
      <c r="E570" t="s">
        <v>1100</v>
      </c>
      <c r="G570" t="s">
        <v>3434</v>
      </c>
      <c r="H570" t="s">
        <v>3402</v>
      </c>
      <c r="K570" t="s">
        <v>3401</v>
      </c>
      <c r="L570" t="s">
        <v>9288</v>
      </c>
      <c r="M570" t="s">
        <v>9289</v>
      </c>
      <c r="S570" t="s">
        <v>180</v>
      </c>
      <c r="T570" t="s">
        <v>4</v>
      </c>
    </row>
    <row r="571" spans="1:20">
      <c r="A571" s="76" t="s">
        <v>3498</v>
      </c>
      <c r="B571" s="76" t="s">
        <v>8730</v>
      </c>
      <c r="C571" s="103">
        <v>41</v>
      </c>
      <c r="D571" s="76" t="s">
        <v>9290</v>
      </c>
      <c r="E571" s="76" t="s">
        <v>1100</v>
      </c>
      <c r="F571" s="76"/>
      <c r="G571" s="76" t="s">
        <v>3086</v>
      </c>
      <c r="H571" s="76" t="s">
        <v>3089</v>
      </c>
      <c r="I571" s="76"/>
      <c r="J571" s="76"/>
      <c r="K571" s="76" t="s">
        <v>9291</v>
      </c>
      <c r="L571" s="76" t="s">
        <v>1050</v>
      </c>
      <c r="M571" s="76" t="s">
        <v>9292</v>
      </c>
      <c r="N571" s="76"/>
      <c r="O571" s="76"/>
      <c r="P571" s="76" t="s">
        <v>155</v>
      </c>
      <c r="Q571" s="76"/>
      <c r="S571" t="s">
        <v>14</v>
      </c>
      <c r="T571" t="s">
        <v>4</v>
      </c>
    </row>
    <row r="572" spans="1:20">
      <c r="A572" t="s">
        <v>3498</v>
      </c>
      <c r="B572" t="s">
        <v>8730</v>
      </c>
      <c r="C572" s="101">
        <v>42</v>
      </c>
      <c r="D572" t="s">
        <v>9293</v>
      </c>
      <c r="E572" t="s">
        <v>1181</v>
      </c>
      <c r="G572" t="s">
        <v>3434</v>
      </c>
      <c r="H572" t="s">
        <v>3402</v>
      </c>
      <c r="K572" t="s">
        <v>3401</v>
      </c>
      <c r="L572" t="s">
        <v>9294</v>
      </c>
      <c r="M572" t="s">
        <v>9295</v>
      </c>
      <c r="S572" t="s">
        <v>53</v>
      </c>
      <c r="T572" t="s">
        <v>4</v>
      </c>
    </row>
    <row r="573" spans="1:20">
      <c r="A573" t="s">
        <v>3498</v>
      </c>
      <c r="B573" t="s">
        <v>8730</v>
      </c>
      <c r="C573" s="101">
        <v>43</v>
      </c>
      <c r="D573" t="s">
        <v>9296</v>
      </c>
      <c r="E573" t="s">
        <v>1100</v>
      </c>
      <c r="G573" t="s">
        <v>3434</v>
      </c>
      <c r="H573" t="s">
        <v>3402</v>
      </c>
      <c r="K573" t="s">
        <v>3401</v>
      </c>
      <c r="L573" t="s">
        <v>9297</v>
      </c>
      <c r="S573" t="s">
        <v>175</v>
      </c>
      <c r="T573" t="s">
        <v>4</v>
      </c>
    </row>
    <row r="574" spans="1:20">
      <c r="A574" t="s">
        <v>3498</v>
      </c>
      <c r="B574" t="s">
        <v>8730</v>
      </c>
      <c r="C574" s="101">
        <v>44</v>
      </c>
      <c r="D574" t="s">
        <v>9298</v>
      </c>
      <c r="E574" t="s">
        <v>1100</v>
      </c>
      <c r="G574" t="s">
        <v>3434</v>
      </c>
      <c r="H574" t="s">
        <v>3402</v>
      </c>
      <c r="K574" t="s">
        <v>3401</v>
      </c>
      <c r="L574" t="s">
        <v>9299</v>
      </c>
      <c r="S574" t="s">
        <v>44</v>
      </c>
      <c r="T574" t="s">
        <v>4</v>
      </c>
    </row>
    <row r="575" spans="1:20">
      <c r="A575" s="76" t="s">
        <v>3498</v>
      </c>
      <c r="B575" s="76" t="s">
        <v>8730</v>
      </c>
      <c r="C575" s="103">
        <v>45</v>
      </c>
      <c r="D575" s="76" t="s">
        <v>9300</v>
      </c>
      <c r="E575" s="76" t="s">
        <v>1100</v>
      </c>
      <c r="F575" s="76"/>
      <c r="G575" s="76" t="s">
        <v>3086</v>
      </c>
      <c r="H575" s="76" t="s">
        <v>3089</v>
      </c>
      <c r="I575" s="76"/>
      <c r="J575" s="76"/>
      <c r="K575" s="76" t="s">
        <v>9291</v>
      </c>
      <c r="L575" s="76" t="s">
        <v>9220</v>
      </c>
      <c r="M575" s="76"/>
      <c r="N575" s="76"/>
      <c r="O575" s="76"/>
      <c r="P575" s="76" t="s">
        <v>159</v>
      </c>
      <c r="Q575" s="76"/>
      <c r="S575" t="s">
        <v>40</v>
      </c>
      <c r="T575" t="s">
        <v>4</v>
      </c>
    </row>
    <row r="576" spans="1:20">
      <c r="A576" t="s">
        <v>3498</v>
      </c>
      <c r="B576" t="s">
        <v>8730</v>
      </c>
      <c r="C576" s="101">
        <v>46</v>
      </c>
      <c r="D576" t="s">
        <v>9301</v>
      </c>
      <c r="E576" t="s">
        <v>1100</v>
      </c>
      <c r="G576" t="s">
        <v>3434</v>
      </c>
      <c r="H576" t="s">
        <v>3402</v>
      </c>
      <c r="K576" t="s">
        <v>3401</v>
      </c>
      <c r="L576" t="s">
        <v>9302</v>
      </c>
      <c r="S576" t="s">
        <v>8</v>
      </c>
      <c r="T576" t="s">
        <v>4</v>
      </c>
    </row>
    <row r="577" spans="1:20">
      <c r="A577" t="s">
        <v>3498</v>
      </c>
      <c r="B577" t="s">
        <v>8730</v>
      </c>
      <c r="C577" s="101">
        <v>47</v>
      </c>
      <c r="D577" t="s">
        <v>9303</v>
      </c>
      <c r="E577" t="s">
        <v>1100</v>
      </c>
      <c r="G577" t="s">
        <v>3434</v>
      </c>
      <c r="H577" t="s">
        <v>3402</v>
      </c>
      <c r="K577" t="s">
        <v>5600</v>
      </c>
      <c r="L577" t="s">
        <v>9226</v>
      </c>
      <c r="M577" t="s">
        <v>9304</v>
      </c>
      <c r="S577" t="s">
        <v>5</v>
      </c>
      <c r="T577" t="s">
        <v>4</v>
      </c>
    </row>
    <row r="578" spans="1:20">
      <c r="A578" t="s">
        <v>3498</v>
      </c>
      <c r="B578" t="s">
        <v>8730</v>
      </c>
      <c r="C578" s="101">
        <v>48</v>
      </c>
      <c r="D578" t="s">
        <v>9305</v>
      </c>
      <c r="E578" t="s">
        <v>1100</v>
      </c>
      <c r="G578" t="s">
        <v>3434</v>
      </c>
      <c r="H578" t="s">
        <v>3402</v>
      </c>
      <c r="K578" t="s">
        <v>3401</v>
      </c>
      <c r="L578" t="s">
        <v>9306</v>
      </c>
      <c r="S578" t="s">
        <v>27</v>
      </c>
      <c r="T578" t="s">
        <v>4</v>
      </c>
    </row>
    <row r="579" spans="1:20">
      <c r="A579" t="s">
        <v>3498</v>
      </c>
      <c r="B579" t="s">
        <v>8730</v>
      </c>
      <c r="C579" s="101">
        <v>49</v>
      </c>
      <c r="D579" t="s">
        <v>9307</v>
      </c>
      <c r="E579" t="s">
        <v>1181</v>
      </c>
      <c r="G579" t="s">
        <v>3434</v>
      </c>
      <c r="H579" t="s">
        <v>3402</v>
      </c>
      <c r="K579" t="s">
        <v>6545</v>
      </c>
      <c r="L579" t="s">
        <v>9308</v>
      </c>
      <c r="S579" t="s">
        <v>169</v>
      </c>
      <c r="T579" t="s">
        <v>4</v>
      </c>
    </row>
    <row r="580" spans="1:20">
      <c r="A580" t="s">
        <v>3498</v>
      </c>
      <c r="B580" t="s">
        <v>8730</v>
      </c>
      <c r="C580" s="101">
        <v>50</v>
      </c>
      <c r="D580" t="s">
        <v>9309</v>
      </c>
      <c r="E580" t="s">
        <v>1101</v>
      </c>
      <c r="G580" t="s">
        <v>3434</v>
      </c>
      <c r="H580" t="s">
        <v>3402</v>
      </c>
      <c r="K580" t="s">
        <v>3401</v>
      </c>
      <c r="L580" t="s">
        <v>9310</v>
      </c>
      <c r="M580" t="s">
        <v>9222</v>
      </c>
      <c r="S580" t="s">
        <v>40</v>
      </c>
      <c r="T580" t="s">
        <v>4</v>
      </c>
    </row>
    <row r="581" spans="1:20">
      <c r="A581" t="s">
        <v>3498</v>
      </c>
      <c r="B581" t="s">
        <v>8730</v>
      </c>
      <c r="C581" s="101">
        <v>51</v>
      </c>
      <c r="D581" t="s">
        <v>9311</v>
      </c>
      <c r="E581" t="s">
        <v>1101</v>
      </c>
      <c r="G581" t="s">
        <v>3434</v>
      </c>
      <c r="H581" t="s">
        <v>3402</v>
      </c>
      <c r="K581" t="s">
        <v>3401</v>
      </c>
      <c r="L581" t="s">
        <v>9312</v>
      </c>
      <c r="S581" t="s">
        <v>27</v>
      </c>
      <c r="T581" t="s">
        <v>4</v>
      </c>
    </row>
    <row r="582" spans="1:20">
      <c r="A582" t="s">
        <v>3498</v>
      </c>
      <c r="B582" t="s">
        <v>8730</v>
      </c>
      <c r="C582" s="101">
        <v>52</v>
      </c>
      <c r="D582" t="s">
        <v>9313</v>
      </c>
      <c r="E582" t="s">
        <v>1101</v>
      </c>
      <c r="G582" t="s">
        <v>3434</v>
      </c>
      <c r="H582" t="s">
        <v>3402</v>
      </c>
      <c r="K582" t="s">
        <v>3401</v>
      </c>
      <c r="L582" t="s">
        <v>9314</v>
      </c>
      <c r="S582" t="s">
        <v>37</v>
      </c>
      <c r="T582" t="s">
        <v>4</v>
      </c>
    </row>
    <row r="583" spans="1:20">
      <c r="A583" t="s">
        <v>3498</v>
      </c>
      <c r="B583" t="s">
        <v>8730</v>
      </c>
      <c r="C583" s="101">
        <v>53</v>
      </c>
      <c r="D583" t="s">
        <v>9315</v>
      </c>
      <c r="E583" t="s">
        <v>1101</v>
      </c>
      <c r="G583" t="s">
        <v>3434</v>
      </c>
      <c r="H583" t="s">
        <v>3402</v>
      </c>
      <c r="K583" t="s">
        <v>3401</v>
      </c>
      <c r="L583" t="s">
        <v>7956</v>
      </c>
      <c r="S583" t="s">
        <v>52</v>
      </c>
      <c r="T583" t="s">
        <v>4</v>
      </c>
    </row>
    <row r="584" spans="1:20">
      <c r="A584" t="s">
        <v>3498</v>
      </c>
      <c r="B584" t="s">
        <v>8730</v>
      </c>
      <c r="C584" s="101">
        <v>54</v>
      </c>
      <c r="D584" t="s">
        <v>9316</v>
      </c>
      <c r="E584" t="s">
        <v>1101</v>
      </c>
      <c r="G584" t="s">
        <v>3434</v>
      </c>
      <c r="H584" t="s">
        <v>3402</v>
      </c>
      <c r="K584" t="s">
        <v>3401</v>
      </c>
      <c r="L584" t="s">
        <v>9271</v>
      </c>
      <c r="M584" t="s">
        <v>9317</v>
      </c>
      <c r="S584" t="s">
        <v>10</v>
      </c>
      <c r="T584" t="s">
        <v>4</v>
      </c>
    </row>
    <row r="585" spans="1:20">
      <c r="A585" t="s">
        <v>3498</v>
      </c>
      <c r="B585" t="s">
        <v>8730</v>
      </c>
      <c r="C585" s="101">
        <v>55</v>
      </c>
      <c r="D585" t="s">
        <v>9318</v>
      </c>
      <c r="E585" t="s">
        <v>1101</v>
      </c>
      <c r="G585" t="s">
        <v>3434</v>
      </c>
      <c r="H585" t="s">
        <v>3402</v>
      </c>
      <c r="K585" t="s">
        <v>4273</v>
      </c>
      <c r="L585" t="s">
        <v>9319</v>
      </c>
      <c r="S585" t="s">
        <v>50</v>
      </c>
      <c r="T585" t="s">
        <v>4</v>
      </c>
    </row>
    <row r="586" spans="1:20">
      <c r="A586" t="s">
        <v>3498</v>
      </c>
      <c r="B586" t="s">
        <v>8730</v>
      </c>
      <c r="C586" s="101">
        <v>56</v>
      </c>
      <c r="D586" t="s">
        <v>9320</v>
      </c>
      <c r="E586" t="s">
        <v>1101</v>
      </c>
      <c r="G586" t="s">
        <v>3434</v>
      </c>
      <c r="H586" t="s">
        <v>3402</v>
      </c>
      <c r="K586" t="s">
        <v>3</v>
      </c>
      <c r="L586" t="s">
        <v>3401</v>
      </c>
      <c r="M586" t="s">
        <v>9321</v>
      </c>
      <c r="N586" t="s">
        <v>9322</v>
      </c>
      <c r="S586" t="s">
        <v>183</v>
      </c>
      <c r="T586" t="s">
        <v>4</v>
      </c>
    </row>
    <row r="587" spans="1:20">
      <c r="A587" t="s">
        <v>3498</v>
      </c>
      <c r="B587" t="s">
        <v>8730</v>
      </c>
      <c r="C587" s="101">
        <v>57</v>
      </c>
      <c r="D587" t="s">
        <v>9323</v>
      </c>
      <c r="E587" t="s">
        <v>1101</v>
      </c>
      <c r="G587" t="s">
        <v>3434</v>
      </c>
      <c r="H587" t="s">
        <v>13388</v>
      </c>
      <c r="K587" t="s">
        <v>5508</v>
      </c>
      <c r="L587" t="s">
        <v>9324</v>
      </c>
      <c r="M587" t="s">
        <v>6426</v>
      </c>
      <c r="S587" t="s">
        <v>17</v>
      </c>
      <c r="T587" t="s">
        <v>4</v>
      </c>
    </row>
    <row r="588" spans="1:20">
      <c r="A588" t="s">
        <v>3498</v>
      </c>
      <c r="B588" t="s">
        <v>8730</v>
      </c>
      <c r="C588" s="101">
        <v>58</v>
      </c>
      <c r="D588" t="s">
        <v>9325</v>
      </c>
      <c r="E588" t="s">
        <v>1101</v>
      </c>
      <c r="G588" t="s">
        <v>3434</v>
      </c>
      <c r="H588" t="s">
        <v>3402</v>
      </c>
      <c r="K588" t="s">
        <v>3401</v>
      </c>
      <c r="L588" t="s">
        <v>6553</v>
      </c>
      <c r="M588" t="s">
        <v>9326</v>
      </c>
      <c r="S588" t="s">
        <v>11</v>
      </c>
      <c r="T588" t="s">
        <v>4</v>
      </c>
    </row>
    <row r="589" spans="1:20">
      <c r="A589" t="s">
        <v>3498</v>
      </c>
      <c r="B589" t="s">
        <v>8730</v>
      </c>
      <c r="C589" s="101">
        <v>59</v>
      </c>
      <c r="D589" t="s">
        <v>9327</v>
      </c>
      <c r="E589" t="s">
        <v>1101</v>
      </c>
      <c r="G589" t="s">
        <v>3434</v>
      </c>
      <c r="H589" t="s">
        <v>3402</v>
      </c>
      <c r="K589" t="s">
        <v>3401</v>
      </c>
      <c r="L589" t="s">
        <v>9328</v>
      </c>
      <c r="S589" t="s">
        <v>180</v>
      </c>
      <c r="T589" t="s">
        <v>4</v>
      </c>
    </row>
    <row r="590" spans="1:20">
      <c r="A590" t="s">
        <v>3498</v>
      </c>
      <c r="B590" t="s">
        <v>8730</v>
      </c>
      <c r="C590" s="101">
        <v>60</v>
      </c>
      <c r="D590" t="s">
        <v>9329</v>
      </c>
      <c r="E590" t="s">
        <v>1101</v>
      </c>
      <c r="G590" t="s">
        <v>3434</v>
      </c>
      <c r="H590" t="s">
        <v>3402</v>
      </c>
      <c r="K590" t="s">
        <v>3401</v>
      </c>
      <c r="L590" t="s">
        <v>9228</v>
      </c>
      <c r="M590" t="s">
        <v>9330</v>
      </c>
      <c r="S590" t="s">
        <v>6</v>
      </c>
      <c r="T590" t="s">
        <v>4</v>
      </c>
    </row>
    <row r="591" spans="1:20">
      <c r="A591" t="s">
        <v>3498</v>
      </c>
      <c r="B591" t="s">
        <v>8730</v>
      </c>
      <c r="C591" s="101">
        <v>61</v>
      </c>
      <c r="D591" t="s">
        <v>9331</v>
      </c>
      <c r="E591" t="s">
        <v>1101</v>
      </c>
      <c r="G591" t="s">
        <v>3434</v>
      </c>
      <c r="H591" t="s">
        <v>3402</v>
      </c>
      <c r="K591" t="s">
        <v>3401</v>
      </c>
      <c r="L591" t="s">
        <v>9332</v>
      </c>
      <c r="S591" t="s">
        <v>27</v>
      </c>
      <c r="T591" t="s">
        <v>4</v>
      </c>
    </row>
    <row r="592" spans="1:20">
      <c r="A592" t="s">
        <v>3498</v>
      </c>
      <c r="B592" t="s">
        <v>8730</v>
      </c>
      <c r="C592" s="101">
        <v>62</v>
      </c>
      <c r="D592" t="s">
        <v>9333</v>
      </c>
      <c r="E592" t="s">
        <v>1101</v>
      </c>
      <c r="G592" t="s">
        <v>3434</v>
      </c>
      <c r="H592" t="s">
        <v>3402</v>
      </c>
      <c r="K592" t="s">
        <v>3401</v>
      </c>
      <c r="L592" t="s">
        <v>5654</v>
      </c>
      <c r="M592" t="s">
        <v>9334</v>
      </c>
      <c r="S592" t="s">
        <v>53</v>
      </c>
      <c r="T592" t="s">
        <v>4</v>
      </c>
    </row>
    <row r="593" spans="1:20">
      <c r="A593" s="76" t="s">
        <v>3498</v>
      </c>
      <c r="B593" s="76" t="s">
        <v>8730</v>
      </c>
      <c r="C593" s="103">
        <v>63</v>
      </c>
      <c r="D593" s="76" t="s">
        <v>9335</v>
      </c>
      <c r="E593" s="76" t="s">
        <v>1101</v>
      </c>
      <c r="F593" s="76"/>
      <c r="G593" s="76" t="s">
        <v>3086</v>
      </c>
      <c r="H593" s="76" t="s">
        <v>13404</v>
      </c>
      <c r="I593" s="76"/>
      <c r="J593" s="76"/>
      <c r="K593" s="76" t="s">
        <v>9336</v>
      </c>
      <c r="L593" s="76"/>
      <c r="M593" s="76"/>
      <c r="N593" s="76"/>
      <c r="O593" s="76"/>
      <c r="P593" s="76" t="s">
        <v>163</v>
      </c>
      <c r="Q593" s="76"/>
      <c r="S593" t="s">
        <v>27</v>
      </c>
      <c r="T593" t="s">
        <v>4</v>
      </c>
    </row>
    <row r="594" spans="1:20">
      <c r="A594" t="s">
        <v>3498</v>
      </c>
      <c r="B594" t="s">
        <v>8730</v>
      </c>
      <c r="C594" s="101">
        <v>64</v>
      </c>
      <c r="D594" t="s">
        <v>9337</v>
      </c>
      <c r="E594" t="s">
        <v>1101</v>
      </c>
      <c r="G594" t="s">
        <v>3434</v>
      </c>
      <c r="K594" t="s">
        <v>9338</v>
      </c>
      <c r="S594" t="s">
        <v>10</v>
      </c>
      <c r="T594" t="s">
        <v>4</v>
      </c>
    </row>
    <row r="595" spans="1:20">
      <c r="A595" t="s">
        <v>3498</v>
      </c>
      <c r="B595" t="s">
        <v>8730</v>
      </c>
      <c r="C595" s="101">
        <v>65</v>
      </c>
      <c r="D595" t="s">
        <v>9339</v>
      </c>
      <c r="E595" t="s">
        <v>1101</v>
      </c>
      <c r="G595" t="s">
        <v>3434</v>
      </c>
      <c r="H595" t="s">
        <v>3402</v>
      </c>
      <c r="K595" t="s">
        <v>3401</v>
      </c>
      <c r="L595" t="s">
        <v>9340</v>
      </c>
      <c r="S595" t="s">
        <v>173</v>
      </c>
      <c r="T595" t="s">
        <v>4</v>
      </c>
    </row>
    <row r="596" spans="1:20">
      <c r="A596" t="s">
        <v>3498</v>
      </c>
      <c r="B596" t="s">
        <v>8730</v>
      </c>
      <c r="C596" s="101">
        <v>66</v>
      </c>
      <c r="D596" t="s">
        <v>9341</v>
      </c>
      <c r="E596" t="s">
        <v>1101</v>
      </c>
      <c r="G596" t="s">
        <v>3434</v>
      </c>
      <c r="H596" t="s">
        <v>3402</v>
      </c>
      <c r="K596" t="s">
        <v>3401</v>
      </c>
      <c r="L596" t="s">
        <v>9342</v>
      </c>
      <c r="S596" t="s">
        <v>39</v>
      </c>
      <c r="T596" t="s">
        <v>4</v>
      </c>
    </row>
    <row r="597" spans="1:20">
      <c r="A597" t="s">
        <v>3498</v>
      </c>
      <c r="B597" t="s">
        <v>8730</v>
      </c>
      <c r="C597" s="101">
        <v>67</v>
      </c>
      <c r="D597" t="s">
        <v>9343</v>
      </c>
      <c r="E597" t="s">
        <v>1101</v>
      </c>
      <c r="G597" t="s">
        <v>3434</v>
      </c>
      <c r="H597" t="s">
        <v>3402</v>
      </c>
      <c r="K597" t="s">
        <v>3401</v>
      </c>
      <c r="L597" t="s">
        <v>9344</v>
      </c>
      <c r="M597" t="s">
        <v>4145</v>
      </c>
      <c r="N597" t="s">
        <v>9345</v>
      </c>
      <c r="S597" t="s">
        <v>33</v>
      </c>
      <c r="T597" t="s">
        <v>4</v>
      </c>
    </row>
    <row r="598" spans="1:20">
      <c r="A598" t="s">
        <v>3498</v>
      </c>
      <c r="B598" t="s">
        <v>8730</v>
      </c>
      <c r="C598" s="101">
        <v>68</v>
      </c>
      <c r="D598" t="s">
        <v>9346</v>
      </c>
      <c r="E598" t="s">
        <v>1103</v>
      </c>
      <c r="G598" t="s">
        <v>3434</v>
      </c>
      <c r="H598" t="s">
        <v>3402</v>
      </c>
      <c r="K598" t="s">
        <v>3401</v>
      </c>
      <c r="L598" t="s">
        <v>9347</v>
      </c>
      <c r="S598" t="s">
        <v>8</v>
      </c>
      <c r="T598" t="s">
        <v>4</v>
      </c>
    </row>
    <row r="599" spans="1:20">
      <c r="A599" t="s">
        <v>3498</v>
      </c>
      <c r="B599" t="s">
        <v>8730</v>
      </c>
      <c r="C599" s="101">
        <v>69</v>
      </c>
      <c r="D599" t="s">
        <v>9348</v>
      </c>
      <c r="E599" t="s">
        <v>1104</v>
      </c>
      <c r="G599" t="s">
        <v>3434</v>
      </c>
      <c r="H599" t="s">
        <v>3402</v>
      </c>
      <c r="K599" t="s">
        <v>3401</v>
      </c>
      <c r="L599" t="s">
        <v>9349</v>
      </c>
      <c r="S599" t="s">
        <v>179</v>
      </c>
      <c r="T599" t="s">
        <v>4</v>
      </c>
    </row>
    <row r="600" spans="1:20">
      <c r="A600" t="s">
        <v>3498</v>
      </c>
      <c r="B600" t="s">
        <v>8730</v>
      </c>
      <c r="C600" s="101">
        <v>70</v>
      </c>
      <c r="D600" t="s">
        <v>9350</v>
      </c>
      <c r="E600" t="s">
        <v>1103</v>
      </c>
      <c r="G600" t="s">
        <v>3434</v>
      </c>
      <c r="H600" t="s">
        <v>3402</v>
      </c>
      <c r="K600" t="s">
        <v>9351</v>
      </c>
      <c r="L600" t="s">
        <v>9352</v>
      </c>
      <c r="S600" t="s">
        <v>174</v>
      </c>
      <c r="T600" t="s">
        <v>4</v>
      </c>
    </row>
    <row r="601" spans="1:20">
      <c r="A601" t="s">
        <v>3498</v>
      </c>
      <c r="B601" t="s">
        <v>8730</v>
      </c>
      <c r="C601" s="101">
        <v>71</v>
      </c>
      <c r="D601" t="s">
        <v>9353</v>
      </c>
      <c r="E601" t="s">
        <v>1104</v>
      </c>
      <c r="G601" t="s">
        <v>3434</v>
      </c>
      <c r="H601" t="s">
        <v>13397</v>
      </c>
      <c r="K601" t="s">
        <v>1168</v>
      </c>
      <c r="L601" t="s">
        <v>9354</v>
      </c>
      <c r="S601" t="s">
        <v>45</v>
      </c>
      <c r="T601" t="s">
        <v>4</v>
      </c>
    </row>
    <row r="602" spans="1:20">
      <c r="A602" s="78" t="s">
        <v>3498</v>
      </c>
      <c r="B602" s="78" t="s">
        <v>8730</v>
      </c>
      <c r="C602" s="107">
        <v>72</v>
      </c>
      <c r="D602" s="78" t="s">
        <v>9355</v>
      </c>
      <c r="E602" s="78" t="s">
        <v>1104</v>
      </c>
      <c r="F602" s="78"/>
      <c r="G602" s="78" t="s">
        <v>3434</v>
      </c>
      <c r="H602" s="78" t="s">
        <v>3402</v>
      </c>
      <c r="I602" s="78"/>
      <c r="J602" s="78"/>
      <c r="K602" s="78" t="s">
        <v>3401</v>
      </c>
      <c r="L602" s="78" t="s">
        <v>9356</v>
      </c>
      <c r="M602" s="78"/>
      <c r="N602" s="78"/>
      <c r="O602" s="78"/>
      <c r="P602" s="78"/>
      <c r="Q602" s="78"/>
      <c r="S602" t="s">
        <v>48</v>
      </c>
      <c r="T602" t="s">
        <v>4</v>
      </c>
    </row>
    <row r="603" spans="1:20">
      <c r="A603" t="s">
        <v>3498</v>
      </c>
      <c r="B603" t="s">
        <v>8730</v>
      </c>
      <c r="C603" s="101">
        <v>73</v>
      </c>
      <c r="D603" t="s">
        <v>9357</v>
      </c>
      <c r="E603" t="s">
        <v>1104</v>
      </c>
      <c r="G603" t="s">
        <v>3434</v>
      </c>
      <c r="H603" t="s">
        <v>3402</v>
      </c>
      <c r="K603" t="s">
        <v>3401</v>
      </c>
      <c r="L603" t="s">
        <v>9358</v>
      </c>
      <c r="M603" t="s">
        <v>9359</v>
      </c>
      <c r="S603" t="s">
        <v>8</v>
      </c>
      <c r="T603" t="s">
        <v>4</v>
      </c>
    </row>
    <row r="604" spans="1:20">
      <c r="A604" t="s">
        <v>3498</v>
      </c>
      <c r="B604" t="s">
        <v>8730</v>
      </c>
      <c r="C604" s="101">
        <v>74</v>
      </c>
      <c r="D604" t="s">
        <v>9360</v>
      </c>
      <c r="E604" t="s">
        <v>1104</v>
      </c>
      <c r="G604" t="s">
        <v>3434</v>
      </c>
      <c r="H604" t="s">
        <v>3402</v>
      </c>
      <c r="K604" t="s">
        <v>3401</v>
      </c>
      <c r="L604" t="s">
        <v>9361</v>
      </c>
      <c r="S604" t="s">
        <v>30</v>
      </c>
      <c r="T604" t="s">
        <v>4</v>
      </c>
    </row>
    <row r="605" spans="1:20">
      <c r="A605" t="s">
        <v>3498</v>
      </c>
      <c r="B605" t="s">
        <v>8730</v>
      </c>
      <c r="C605" s="101">
        <v>75</v>
      </c>
      <c r="D605" t="s">
        <v>9362</v>
      </c>
      <c r="E605" t="s">
        <v>1104</v>
      </c>
      <c r="G605" t="s">
        <v>3434</v>
      </c>
      <c r="H605" t="s">
        <v>3402</v>
      </c>
      <c r="K605" t="s">
        <v>3401</v>
      </c>
      <c r="L605" t="s">
        <v>9363</v>
      </c>
      <c r="S605" t="s">
        <v>606</v>
      </c>
      <c r="T605" t="s">
        <v>4</v>
      </c>
    </row>
    <row r="606" spans="1:20">
      <c r="A606" s="76" t="s">
        <v>3498</v>
      </c>
      <c r="B606" s="76" t="s">
        <v>8730</v>
      </c>
      <c r="C606" s="103">
        <v>76</v>
      </c>
      <c r="D606" s="76" t="s">
        <v>9364</v>
      </c>
      <c r="E606" s="76" t="s">
        <v>1104</v>
      </c>
      <c r="F606" s="76"/>
      <c r="G606" s="76" t="s">
        <v>3086</v>
      </c>
      <c r="H606" s="76" t="s">
        <v>13389</v>
      </c>
      <c r="I606" s="76"/>
      <c r="J606" s="76"/>
      <c r="K606" s="76" t="s">
        <v>9365</v>
      </c>
      <c r="L606" s="76" t="s">
        <v>1333</v>
      </c>
      <c r="M606" s="76" t="s">
        <v>9366</v>
      </c>
      <c r="N606" s="76"/>
      <c r="O606" s="76"/>
      <c r="P606" s="76" t="s">
        <v>154</v>
      </c>
      <c r="Q606" s="76"/>
      <c r="S606" t="s">
        <v>14</v>
      </c>
      <c r="T606" t="s">
        <v>4</v>
      </c>
    </row>
    <row r="607" spans="1:20">
      <c r="A607" s="76" t="s">
        <v>3498</v>
      </c>
      <c r="B607" s="76" t="s">
        <v>8730</v>
      </c>
      <c r="C607" s="103">
        <v>77</v>
      </c>
      <c r="D607" s="76" t="s">
        <v>9367</v>
      </c>
      <c r="E607" s="76" t="s">
        <v>1105</v>
      </c>
      <c r="F607" s="76"/>
      <c r="G607" s="76" t="s">
        <v>3086</v>
      </c>
      <c r="H607" s="76" t="s">
        <v>13389</v>
      </c>
      <c r="I607" s="76"/>
      <c r="J607" s="76"/>
      <c r="K607" s="76" t="s">
        <v>9368</v>
      </c>
      <c r="L607" s="76"/>
      <c r="M607" s="76"/>
      <c r="N607" s="76"/>
      <c r="O607" s="76"/>
      <c r="P607" s="76" t="s">
        <v>1098</v>
      </c>
      <c r="Q607" s="76"/>
      <c r="S607" t="s">
        <v>27</v>
      </c>
      <c r="T607" t="s">
        <v>4</v>
      </c>
    </row>
    <row r="608" spans="1:20">
      <c r="A608" t="s">
        <v>3463</v>
      </c>
      <c r="B608" t="s">
        <v>8730</v>
      </c>
      <c r="C608" s="101">
        <v>1001</v>
      </c>
      <c r="D608" t="s">
        <v>9472</v>
      </c>
      <c r="E608" t="s">
        <v>1099</v>
      </c>
      <c r="G608" t="s">
        <v>3434</v>
      </c>
      <c r="K608" t="s">
        <v>9473</v>
      </c>
      <c r="L608" t="s">
        <v>9474</v>
      </c>
      <c r="S608" t="s">
        <v>39</v>
      </c>
      <c r="T608" t="s">
        <v>7</v>
      </c>
    </row>
    <row r="609" spans="1:20">
      <c r="A609" t="s">
        <v>3463</v>
      </c>
      <c r="B609" t="s">
        <v>8730</v>
      </c>
      <c r="C609" s="101">
        <v>1002</v>
      </c>
      <c r="D609" t="s">
        <v>9475</v>
      </c>
      <c r="E609" t="s">
        <v>1099</v>
      </c>
      <c r="G609" t="s">
        <v>3434</v>
      </c>
      <c r="K609" t="s">
        <v>9476</v>
      </c>
      <c r="S609" t="s">
        <v>6</v>
      </c>
      <c r="T609" t="s">
        <v>7</v>
      </c>
    </row>
    <row r="610" spans="1:20">
      <c r="A610" t="s">
        <v>3463</v>
      </c>
      <c r="B610" t="s">
        <v>8730</v>
      </c>
      <c r="C610" s="101">
        <v>1003</v>
      </c>
      <c r="D610" t="s">
        <v>9477</v>
      </c>
      <c r="E610" t="s">
        <v>1099</v>
      </c>
      <c r="G610" t="s">
        <v>3434</v>
      </c>
      <c r="K610" t="s">
        <v>9478</v>
      </c>
      <c r="S610" t="s">
        <v>46</v>
      </c>
      <c r="T610" t="s">
        <v>7</v>
      </c>
    </row>
    <row r="611" spans="1:20">
      <c r="A611" t="s">
        <v>3463</v>
      </c>
      <c r="B611" t="s">
        <v>8730</v>
      </c>
      <c r="C611" s="101">
        <v>1004</v>
      </c>
      <c r="D611" t="s">
        <v>9479</v>
      </c>
      <c r="E611" t="s">
        <v>1099</v>
      </c>
      <c r="G611" t="s">
        <v>3434</v>
      </c>
      <c r="K611" t="s">
        <v>9480</v>
      </c>
      <c r="S611" t="s">
        <v>28</v>
      </c>
      <c r="T611" t="s">
        <v>7</v>
      </c>
    </row>
    <row r="612" spans="1:20">
      <c r="A612" t="s">
        <v>3463</v>
      </c>
      <c r="B612" t="s">
        <v>8730</v>
      </c>
      <c r="C612" s="101">
        <v>1005</v>
      </c>
      <c r="D612" t="s">
        <v>9481</v>
      </c>
      <c r="E612" t="s">
        <v>1099</v>
      </c>
      <c r="G612" t="s">
        <v>3434</v>
      </c>
      <c r="H612" t="s">
        <v>3402</v>
      </c>
      <c r="K612" t="s">
        <v>7855</v>
      </c>
      <c r="L612" t="s">
        <v>9482</v>
      </c>
      <c r="S612" t="s">
        <v>180</v>
      </c>
      <c r="T612" t="s">
        <v>7</v>
      </c>
    </row>
    <row r="613" spans="1:20">
      <c r="A613" t="s">
        <v>3463</v>
      </c>
      <c r="B613" t="s">
        <v>8730</v>
      </c>
      <c r="C613" s="101">
        <v>1006</v>
      </c>
      <c r="D613" t="s">
        <v>9483</v>
      </c>
      <c r="E613" t="s">
        <v>1099</v>
      </c>
      <c r="G613" t="s">
        <v>3434</v>
      </c>
      <c r="H613" t="s">
        <v>3402</v>
      </c>
      <c r="K613" t="s">
        <v>9484</v>
      </c>
      <c r="L613" t="s">
        <v>9485</v>
      </c>
      <c r="M613" t="s">
        <v>9486</v>
      </c>
      <c r="S613" t="s">
        <v>183</v>
      </c>
      <c r="T613" t="s">
        <v>7</v>
      </c>
    </row>
    <row r="614" spans="1:20">
      <c r="A614" t="s">
        <v>3463</v>
      </c>
      <c r="B614" t="s">
        <v>8730</v>
      </c>
      <c r="C614" s="101">
        <v>1007</v>
      </c>
      <c r="D614" t="s">
        <v>9487</v>
      </c>
      <c r="E614" t="s">
        <v>1099</v>
      </c>
      <c r="G614" t="s">
        <v>3434</v>
      </c>
      <c r="K614" t="s">
        <v>9488</v>
      </c>
      <c r="L614" t="s">
        <v>9489</v>
      </c>
      <c r="S614" t="s">
        <v>607</v>
      </c>
      <c r="T614" t="s">
        <v>7</v>
      </c>
    </row>
    <row r="615" spans="1:20">
      <c r="A615" t="s">
        <v>3463</v>
      </c>
      <c r="B615" t="s">
        <v>8730</v>
      </c>
      <c r="C615" s="101">
        <v>1008</v>
      </c>
      <c r="D615" t="s">
        <v>9490</v>
      </c>
      <c r="E615" t="s">
        <v>1099</v>
      </c>
      <c r="G615" t="s">
        <v>3434</v>
      </c>
      <c r="H615" t="s">
        <v>3402</v>
      </c>
      <c r="K615" t="s">
        <v>9491</v>
      </c>
      <c r="L615" t="s">
        <v>9304</v>
      </c>
      <c r="S615" t="s">
        <v>18</v>
      </c>
      <c r="T615" t="s">
        <v>7</v>
      </c>
    </row>
    <row r="616" spans="1:20">
      <c r="A616" t="s">
        <v>3463</v>
      </c>
      <c r="B616" t="s">
        <v>8730</v>
      </c>
      <c r="C616" s="101">
        <v>1009</v>
      </c>
      <c r="D616" t="s">
        <v>9492</v>
      </c>
      <c r="E616" t="s">
        <v>1099</v>
      </c>
      <c r="G616" t="s">
        <v>3434</v>
      </c>
      <c r="K616" t="s">
        <v>9493</v>
      </c>
      <c r="L616" t="s">
        <v>9494</v>
      </c>
      <c r="S616" t="s">
        <v>35</v>
      </c>
      <c r="T616" t="s">
        <v>7</v>
      </c>
    </row>
    <row r="617" spans="1:20">
      <c r="A617" t="s">
        <v>3463</v>
      </c>
      <c r="B617" t="s">
        <v>8730</v>
      </c>
      <c r="C617" s="101">
        <v>1010</v>
      </c>
      <c r="D617" t="s">
        <v>9495</v>
      </c>
      <c r="E617" t="s">
        <v>1099</v>
      </c>
      <c r="G617" t="s">
        <v>3434</v>
      </c>
      <c r="K617" t="s">
        <v>9496</v>
      </c>
      <c r="S617" t="s">
        <v>5</v>
      </c>
      <c r="T617" t="s">
        <v>7</v>
      </c>
    </row>
    <row r="618" spans="1:20">
      <c r="A618" t="s">
        <v>3463</v>
      </c>
      <c r="B618" t="s">
        <v>8730</v>
      </c>
      <c r="C618" s="101">
        <v>1011</v>
      </c>
      <c r="D618" t="s">
        <v>9497</v>
      </c>
      <c r="E618" t="s">
        <v>1100</v>
      </c>
      <c r="G618" t="s">
        <v>3434</v>
      </c>
      <c r="H618" t="s">
        <v>3402</v>
      </c>
      <c r="K618" t="s">
        <v>3401</v>
      </c>
      <c r="L618" t="s">
        <v>9498</v>
      </c>
      <c r="M618" t="s">
        <v>9499</v>
      </c>
      <c r="S618" t="s">
        <v>14</v>
      </c>
      <c r="T618" t="s">
        <v>7</v>
      </c>
    </row>
    <row r="619" spans="1:20">
      <c r="A619" t="s">
        <v>3463</v>
      </c>
      <c r="B619" t="s">
        <v>8730</v>
      </c>
      <c r="C619" s="101">
        <v>1012</v>
      </c>
      <c r="D619" t="s">
        <v>9500</v>
      </c>
      <c r="E619" t="s">
        <v>1100</v>
      </c>
      <c r="G619" t="s">
        <v>3434</v>
      </c>
      <c r="K619" t="s">
        <v>9501</v>
      </c>
      <c r="S619" t="s">
        <v>178</v>
      </c>
      <c r="T619" t="s">
        <v>7</v>
      </c>
    </row>
    <row r="620" spans="1:20">
      <c r="A620" t="s">
        <v>3463</v>
      </c>
      <c r="B620" t="s">
        <v>8730</v>
      </c>
      <c r="C620" s="101">
        <v>1013</v>
      </c>
      <c r="D620" t="s">
        <v>9502</v>
      </c>
      <c r="E620" t="s">
        <v>1100</v>
      </c>
      <c r="G620" t="s">
        <v>3434</v>
      </c>
      <c r="K620" t="s">
        <v>9503</v>
      </c>
      <c r="L620" t="s">
        <v>9504</v>
      </c>
      <c r="S620" t="s">
        <v>17</v>
      </c>
      <c r="T620" t="s">
        <v>7</v>
      </c>
    </row>
    <row r="621" spans="1:20">
      <c r="A621" t="s">
        <v>3463</v>
      </c>
      <c r="B621" t="s">
        <v>8730</v>
      </c>
      <c r="C621" s="101">
        <v>1014</v>
      </c>
      <c r="D621" t="s">
        <v>9505</v>
      </c>
      <c r="E621" t="s">
        <v>1100</v>
      </c>
      <c r="G621" t="s">
        <v>3434</v>
      </c>
      <c r="K621" t="s">
        <v>9506</v>
      </c>
      <c r="S621" t="s">
        <v>169</v>
      </c>
      <c r="T621" t="s">
        <v>7</v>
      </c>
    </row>
    <row r="622" spans="1:20">
      <c r="A622" t="s">
        <v>3463</v>
      </c>
      <c r="B622" t="s">
        <v>8730</v>
      </c>
      <c r="C622" s="101">
        <v>1015</v>
      </c>
      <c r="D622" t="s">
        <v>9507</v>
      </c>
      <c r="E622" t="s">
        <v>1100</v>
      </c>
      <c r="G622" t="s">
        <v>3434</v>
      </c>
      <c r="H622" t="s">
        <v>3402</v>
      </c>
      <c r="K622" t="s">
        <v>7296</v>
      </c>
      <c r="L622" t="s">
        <v>3401</v>
      </c>
      <c r="M622" t="s">
        <v>9508</v>
      </c>
      <c r="N622" t="s">
        <v>9509</v>
      </c>
      <c r="S622" t="s">
        <v>37</v>
      </c>
      <c r="T622" t="s">
        <v>7</v>
      </c>
    </row>
    <row r="623" spans="1:20">
      <c r="A623" t="s">
        <v>3463</v>
      </c>
      <c r="B623" t="s">
        <v>8730</v>
      </c>
      <c r="C623" s="101">
        <v>1016</v>
      </c>
      <c r="D623" t="s">
        <v>9510</v>
      </c>
      <c r="E623" t="s">
        <v>1100</v>
      </c>
      <c r="G623" t="s">
        <v>5673</v>
      </c>
      <c r="H623" t="s">
        <v>13402</v>
      </c>
      <c r="K623" t="s">
        <v>9511</v>
      </c>
      <c r="S623" t="s">
        <v>5281</v>
      </c>
      <c r="T623" t="s">
        <v>7</v>
      </c>
    </row>
    <row r="624" spans="1:20">
      <c r="A624" t="s">
        <v>3463</v>
      </c>
      <c r="B624" t="s">
        <v>8730</v>
      </c>
      <c r="C624" s="101">
        <v>1017</v>
      </c>
      <c r="D624" t="s">
        <v>9512</v>
      </c>
      <c r="E624" t="s">
        <v>1100</v>
      </c>
      <c r="G624" t="s">
        <v>3434</v>
      </c>
      <c r="K624" t="s">
        <v>9513</v>
      </c>
      <c r="L624" t="s">
        <v>9514</v>
      </c>
      <c r="S624" t="s">
        <v>33</v>
      </c>
      <c r="T624" t="s">
        <v>7</v>
      </c>
    </row>
    <row r="625" spans="1:20">
      <c r="A625" t="s">
        <v>3463</v>
      </c>
      <c r="B625" t="s">
        <v>8730</v>
      </c>
      <c r="C625" s="101">
        <v>1018</v>
      </c>
      <c r="D625" t="s">
        <v>9515</v>
      </c>
      <c r="E625" t="s">
        <v>1100</v>
      </c>
      <c r="G625" t="s">
        <v>3434</v>
      </c>
      <c r="K625" t="s">
        <v>9516</v>
      </c>
      <c r="S625" t="s">
        <v>174</v>
      </c>
      <c r="T625" t="s">
        <v>7</v>
      </c>
    </row>
    <row r="626" spans="1:20">
      <c r="A626" t="s">
        <v>3463</v>
      </c>
      <c r="B626" t="s">
        <v>8730</v>
      </c>
      <c r="C626" s="101">
        <v>1019</v>
      </c>
      <c r="D626" t="s">
        <v>9517</v>
      </c>
      <c r="E626" t="s">
        <v>1100</v>
      </c>
      <c r="G626" t="s">
        <v>3434</v>
      </c>
      <c r="H626" t="s">
        <v>3402</v>
      </c>
      <c r="K626" t="s">
        <v>5508</v>
      </c>
      <c r="L626" t="s">
        <v>9518</v>
      </c>
      <c r="S626" t="s">
        <v>5</v>
      </c>
      <c r="T626" t="s">
        <v>7</v>
      </c>
    </row>
    <row r="627" spans="1:20">
      <c r="A627" t="s">
        <v>3463</v>
      </c>
      <c r="B627" t="s">
        <v>8730</v>
      </c>
      <c r="C627" s="101">
        <v>1020</v>
      </c>
      <c r="D627" t="s">
        <v>9519</v>
      </c>
      <c r="E627" t="s">
        <v>1100</v>
      </c>
      <c r="G627" t="s">
        <v>5675</v>
      </c>
      <c r="H627" t="s">
        <v>3402</v>
      </c>
      <c r="K627" t="s">
        <v>3401</v>
      </c>
      <c r="L627" t="s">
        <v>9520</v>
      </c>
      <c r="S627" t="s">
        <v>49</v>
      </c>
      <c r="T627" t="s">
        <v>7</v>
      </c>
    </row>
    <row r="628" spans="1:20">
      <c r="A628" t="s">
        <v>3463</v>
      </c>
      <c r="B628" t="s">
        <v>8730</v>
      </c>
      <c r="C628" s="101">
        <v>1021</v>
      </c>
      <c r="D628" t="s">
        <v>9521</v>
      </c>
      <c r="E628" t="s">
        <v>1100</v>
      </c>
      <c r="G628" t="s">
        <v>3434</v>
      </c>
      <c r="K628" t="s">
        <v>9522</v>
      </c>
      <c r="L628" t="s">
        <v>9523</v>
      </c>
      <c r="S628" t="s">
        <v>48</v>
      </c>
      <c r="T628" t="s">
        <v>7</v>
      </c>
    </row>
    <row r="629" spans="1:20">
      <c r="A629" t="s">
        <v>3463</v>
      </c>
      <c r="B629" t="s">
        <v>8730</v>
      </c>
      <c r="C629" s="101">
        <v>1022</v>
      </c>
      <c r="D629" t="s">
        <v>9524</v>
      </c>
      <c r="E629" t="s">
        <v>1100</v>
      </c>
      <c r="G629" t="s">
        <v>3434</v>
      </c>
      <c r="K629" t="s">
        <v>9525</v>
      </c>
      <c r="S629" t="s">
        <v>46</v>
      </c>
      <c r="T629" t="s">
        <v>7</v>
      </c>
    </row>
    <row r="630" spans="1:20">
      <c r="A630" t="s">
        <v>3463</v>
      </c>
      <c r="B630" t="s">
        <v>8730</v>
      </c>
      <c r="C630" s="101">
        <v>1023</v>
      </c>
      <c r="D630" t="s">
        <v>9526</v>
      </c>
      <c r="E630" t="s">
        <v>1100</v>
      </c>
      <c r="G630" t="s">
        <v>3434</v>
      </c>
      <c r="K630" t="s">
        <v>9527</v>
      </c>
      <c r="S630" t="s">
        <v>5381</v>
      </c>
      <c r="T630" t="s">
        <v>7</v>
      </c>
    </row>
    <row r="631" spans="1:20">
      <c r="A631" t="s">
        <v>3463</v>
      </c>
      <c r="B631" t="s">
        <v>8730</v>
      </c>
      <c r="C631" s="101">
        <v>1024</v>
      </c>
      <c r="D631" t="s">
        <v>9528</v>
      </c>
      <c r="E631" t="s">
        <v>1100</v>
      </c>
      <c r="G631" t="s">
        <v>3434</v>
      </c>
      <c r="K631" t="s">
        <v>9529</v>
      </c>
      <c r="L631" t="s">
        <v>9530</v>
      </c>
      <c r="S631" t="s">
        <v>26</v>
      </c>
      <c r="T631" t="s">
        <v>7</v>
      </c>
    </row>
    <row r="632" spans="1:20">
      <c r="A632" t="s">
        <v>3463</v>
      </c>
      <c r="B632" t="s">
        <v>8730</v>
      </c>
      <c r="C632" s="101">
        <v>1025</v>
      </c>
      <c r="D632" t="s">
        <v>9531</v>
      </c>
      <c r="E632" t="s">
        <v>1100</v>
      </c>
      <c r="G632" t="s">
        <v>3434</v>
      </c>
      <c r="H632" t="s">
        <v>3402</v>
      </c>
      <c r="K632" t="s">
        <v>5600</v>
      </c>
      <c r="L632" t="s">
        <v>9304</v>
      </c>
      <c r="M632" t="s">
        <v>9532</v>
      </c>
      <c r="S632" t="s">
        <v>34</v>
      </c>
      <c r="T632" t="s">
        <v>7</v>
      </c>
    </row>
    <row r="633" spans="1:20">
      <c r="A633" t="s">
        <v>3463</v>
      </c>
      <c r="B633" t="s">
        <v>8730</v>
      </c>
      <c r="C633" s="101">
        <v>1026</v>
      </c>
      <c r="D633" t="s">
        <v>9533</v>
      </c>
      <c r="E633" t="s">
        <v>1101</v>
      </c>
      <c r="G633" t="s">
        <v>3434</v>
      </c>
      <c r="H633" t="s">
        <v>3402</v>
      </c>
      <c r="K633" t="s">
        <v>3401</v>
      </c>
      <c r="L633" t="s">
        <v>9244</v>
      </c>
      <c r="M633" t="s">
        <v>9534</v>
      </c>
      <c r="N633" t="s">
        <v>9535</v>
      </c>
      <c r="S633" t="s">
        <v>175</v>
      </c>
      <c r="T633" t="s">
        <v>7</v>
      </c>
    </row>
    <row r="634" spans="1:20">
      <c r="A634" t="s">
        <v>3463</v>
      </c>
      <c r="B634" t="s">
        <v>8730</v>
      </c>
      <c r="C634" s="101">
        <v>1027</v>
      </c>
      <c r="D634" t="s">
        <v>9536</v>
      </c>
      <c r="E634" t="s">
        <v>1101</v>
      </c>
      <c r="G634" t="s">
        <v>3434</v>
      </c>
      <c r="K634" t="s">
        <v>9537</v>
      </c>
      <c r="S634" t="s">
        <v>3747</v>
      </c>
      <c r="T634" t="s">
        <v>7</v>
      </c>
    </row>
    <row r="635" spans="1:20">
      <c r="A635" t="s">
        <v>3463</v>
      </c>
      <c r="B635" t="s">
        <v>8730</v>
      </c>
      <c r="C635" s="101">
        <v>1028</v>
      </c>
      <c r="D635" t="s">
        <v>9538</v>
      </c>
      <c r="E635" t="s">
        <v>1101</v>
      </c>
      <c r="G635" t="s">
        <v>3434</v>
      </c>
      <c r="K635" t="s">
        <v>9539</v>
      </c>
      <c r="S635" t="s">
        <v>32</v>
      </c>
      <c r="T635" t="s">
        <v>7</v>
      </c>
    </row>
    <row r="636" spans="1:20">
      <c r="A636" t="s">
        <v>3463</v>
      </c>
      <c r="B636" t="s">
        <v>8730</v>
      </c>
      <c r="C636" s="101">
        <v>1029</v>
      </c>
      <c r="D636" t="s">
        <v>9540</v>
      </c>
      <c r="E636" t="s">
        <v>1102</v>
      </c>
      <c r="G636" t="s">
        <v>3434</v>
      </c>
      <c r="H636" t="s">
        <v>3402</v>
      </c>
      <c r="K636" t="s">
        <v>3401</v>
      </c>
      <c r="L636" t="s">
        <v>9295</v>
      </c>
      <c r="M636" t="s">
        <v>9541</v>
      </c>
      <c r="S636" t="s">
        <v>177</v>
      </c>
      <c r="T636" t="s">
        <v>7</v>
      </c>
    </row>
    <row r="637" spans="1:20">
      <c r="A637" t="s">
        <v>3463</v>
      </c>
      <c r="B637" t="s">
        <v>8730</v>
      </c>
      <c r="C637" s="101">
        <v>1030</v>
      </c>
      <c r="D637" t="s">
        <v>9542</v>
      </c>
      <c r="E637" t="s">
        <v>1101</v>
      </c>
      <c r="G637" t="s">
        <v>3434</v>
      </c>
      <c r="K637" t="s">
        <v>9543</v>
      </c>
      <c r="S637" t="s">
        <v>17</v>
      </c>
      <c r="T637" t="s">
        <v>7</v>
      </c>
    </row>
    <row r="638" spans="1:20">
      <c r="A638" t="s">
        <v>3463</v>
      </c>
      <c r="B638" t="s">
        <v>8730</v>
      </c>
      <c r="C638" s="101">
        <v>1031</v>
      </c>
      <c r="D638" t="s">
        <v>9544</v>
      </c>
      <c r="E638" t="s">
        <v>1102</v>
      </c>
      <c r="G638" t="s">
        <v>3434</v>
      </c>
      <c r="K638" t="s">
        <v>9545</v>
      </c>
      <c r="S638" t="s">
        <v>182</v>
      </c>
      <c r="T638" t="s">
        <v>7</v>
      </c>
    </row>
    <row r="639" spans="1:20">
      <c r="A639" t="s">
        <v>3463</v>
      </c>
      <c r="B639" t="s">
        <v>8730</v>
      </c>
      <c r="C639" s="101">
        <v>1032</v>
      </c>
      <c r="D639" t="s">
        <v>9546</v>
      </c>
      <c r="E639" t="s">
        <v>1101</v>
      </c>
      <c r="G639" t="s">
        <v>5673</v>
      </c>
      <c r="H639" t="s">
        <v>13398</v>
      </c>
      <c r="K639" t="s">
        <v>9547</v>
      </c>
      <c r="S639" t="s">
        <v>5281</v>
      </c>
      <c r="T639" t="s">
        <v>7</v>
      </c>
    </row>
    <row r="640" spans="1:20">
      <c r="A640" t="s">
        <v>3463</v>
      </c>
      <c r="B640" t="s">
        <v>8730</v>
      </c>
      <c r="C640" s="101">
        <v>1033</v>
      </c>
      <c r="D640" t="s">
        <v>9548</v>
      </c>
      <c r="E640" t="s">
        <v>1101</v>
      </c>
      <c r="G640" t="s">
        <v>3434</v>
      </c>
      <c r="K640" t="s">
        <v>9549</v>
      </c>
      <c r="S640" t="s">
        <v>17</v>
      </c>
      <c r="T640" t="s">
        <v>7</v>
      </c>
    </row>
    <row r="641" spans="1:20">
      <c r="A641" t="s">
        <v>3463</v>
      </c>
      <c r="B641" t="s">
        <v>8730</v>
      </c>
      <c r="C641" s="101">
        <v>1034</v>
      </c>
      <c r="D641" t="s">
        <v>9550</v>
      </c>
      <c r="E641" t="s">
        <v>1101</v>
      </c>
      <c r="G641" t="s">
        <v>3434</v>
      </c>
      <c r="K641" t="s">
        <v>9551</v>
      </c>
      <c r="S641" t="s">
        <v>173</v>
      </c>
      <c r="T641" t="s">
        <v>7</v>
      </c>
    </row>
    <row r="642" spans="1:20">
      <c r="A642" t="s">
        <v>3463</v>
      </c>
      <c r="B642" t="s">
        <v>8730</v>
      </c>
      <c r="C642" s="101">
        <v>1035</v>
      </c>
      <c r="D642" t="s">
        <v>9552</v>
      </c>
      <c r="E642" t="s">
        <v>1101</v>
      </c>
      <c r="G642" t="s">
        <v>3434</v>
      </c>
      <c r="H642" t="s">
        <v>3402</v>
      </c>
      <c r="K642" t="s">
        <v>3401</v>
      </c>
      <c r="L642" t="s">
        <v>9553</v>
      </c>
      <c r="M642" t="s">
        <v>9554</v>
      </c>
      <c r="S642" t="s">
        <v>31</v>
      </c>
      <c r="T642" t="s">
        <v>7</v>
      </c>
    </row>
    <row r="643" spans="1:20">
      <c r="A643" t="s">
        <v>3463</v>
      </c>
      <c r="B643" t="s">
        <v>8730</v>
      </c>
      <c r="C643" s="101">
        <v>1036</v>
      </c>
      <c r="D643" t="s">
        <v>9555</v>
      </c>
      <c r="E643" t="s">
        <v>1101</v>
      </c>
      <c r="G643" t="s">
        <v>3434</v>
      </c>
      <c r="K643" t="s">
        <v>9556</v>
      </c>
      <c r="S643" t="s">
        <v>52</v>
      </c>
      <c r="T643" t="s">
        <v>7</v>
      </c>
    </row>
    <row r="644" spans="1:20">
      <c r="A644" t="s">
        <v>3463</v>
      </c>
      <c r="B644" t="s">
        <v>8730</v>
      </c>
      <c r="C644" s="101">
        <v>1037</v>
      </c>
      <c r="D644" t="s">
        <v>9557</v>
      </c>
      <c r="E644" t="s">
        <v>1101</v>
      </c>
      <c r="G644" t="s">
        <v>3434</v>
      </c>
      <c r="K644" t="s">
        <v>5621</v>
      </c>
      <c r="L644" t="s">
        <v>9558</v>
      </c>
      <c r="M644" t="s">
        <v>9559</v>
      </c>
      <c r="S644" t="s">
        <v>28</v>
      </c>
      <c r="T644" t="s">
        <v>7</v>
      </c>
    </row>
    <row r="645" spans="1:20">
      <c r="A645" t="s">
        <v>3463</v>
      </c>
      <c r="B645" t="s">
        <v>8730</v>
      </c>
      <c r="C645" s="101">
        <v>1038</v>
      </c>
      <c r="D645" t="s">
        <v>9560</v>
      </c>
      <c r="E645" t="s">
        <v>1101</v>
      </c>
      <c r="G645" t="s">
        <v>3434</v>
      </c>
      <c r="K645" t="s">
        <v>9561</v>
      </c>
      <c r="S645" t="s">
        <v>34</v>
      </c>
      <c r="T645" t="s">
        <v>7</v>
      </c>
    </row>
    <row r="646" spans="1:20">
      <c r="A646" t="s">
        <v>3463</v>
      </c>
      <c r="B646" t="s">
        <v>8730</v>
      </c>
      <c r="C646" s="101">
        <v>1039</v>
      </c>
      <c r="D646" t="s">
        <v>9562</v>
      </c>
      <c r="E646" t="s">
        <v>1101</v>
      </c>
      <c r="G646" t="s">
        <v>3434</v>
      </c>
      <c r="K646" t="s">
        <v>9563</v>
      </c>
      <c r="L646" t="s">
        <v>9564</v>
      </c>
      <c r="S646" t="s">
        <v>46</v>
      </c>
      <c r="T646" t="s">
        <v>7</v>
      </c>
    </row>
    <row r="647" spans="1:20">
      <c r="A647" t="s">
        <v>3463</v>
      </c>
      <c r="B647" t="s">
        <v>8730</v>
      </c>
      <c r="C647" s="101">
        <v>1040</v>
      </c>
      <c r="D647" t="s">
        <v>9565</v>
      </c>
      <c r="E647" t="s">
        <v>1101</v>
      </c>
      <c r="G647" t="s">
        <v>3434</v>
      </c>
      <c r="H647" t="s">
        <v>3402</v>
      </c>
      <c r="K647" t="s">
        <v>3401</v>
      </c>
      <c r="L647" t="s">
        <v>4313</v>
      </c>
      <c r="M647" t="s">
        <v>9566</v>
      </c>
      <c r="S647" t="s">
        <v>183</v>
      </c>
      <c r="T647" t="s">
        <v>7</v>
      </c>
    </row>
    <row r="648" spans="1:20">
      <c r="A648" t="s">
        <v>3463</v>
      </c>
      <c r="B648" t="s">
        <v>8730</v>
      </c>
      <c r="C648" s="101">
        <v>1041</v>
      </c>
      <c r="D648" t="s">
        <v>9567</v>
      </c>
      <c r="E648" t="s">
        <v>1101</v>
      </c>
      <c r="G648" t="s">
        <v>3434</v>
      </c>
      <c r="K648" t="s">
        <v>9568</v>
      </c>
      <c r="S648" t="s">
        <v>172</v>
      </c>
      <c r="T648" t="s">
        <v>7</v>
      </c>
    </row>
    <row r="649" spans="1:20">
      <c r="A649" t="s">
        <v>3463</v>
      </c>
      <c r="B649" t="s">
        <v>8730</v>
      </c>
      <c r="C649" s="101">
        <v>1042</v>
      </c>
      <c r="D649" t="s">
        <v>9569</v>
      </c>
      <c r="E649" t="s">
        <v>1101</v>
      </c>
      <c r="G649" t="s">
        <v>3434</v>
      </c>
      <c r="K649" t="s">
        <v>9338</v>
      </c>
      <c r="S649" t="s">
        <v>844</v>
      </c>
      <c r="T649" t="s">
        <v>7</v>
      </c>
    </row>
    <row r="650" spans="1:20">
      <c r="A650" t="s">
        <v>3463</v>
      </c>
      <c r="B650" t="s">
        <v>8730</v>
      </c>
      <c r="C650" s="101">
        <v>1043</v>
      </c>
      <c r="D650" t="s">
        <v>9570</v>
      </c>
      <c r="E650" t="s">
        <v>1102</v>
      </c>
      <c r="G650" t="s">
        <v>3434</v>
      </c>
      <c r="K650" t="s">
        <v>9571</v>
      </c>
      <c r="S650" t="s">
        <v>11</v>
      </c>
      <c r="T650" t="s">
        <v>7</v>
      </c>
    </row>
    <row r="651" spans="1:20">
      <c r="A651" t="s">
        <v>3463</v>
      </c>
      <c r="B651" t="s">
        <v>8730</v>
      </c>
      <c r="C651" s="101">
        <v>1044</v>
      </c>
      <c r="D651" t="s">
        <v>9572</v>
      </c>
      <c r="E651" t="s">
        <v>1102</v>
      </c>
      <c r="G651" t="s">
        <v>3434</v>
      </c>
      <c r="H651" t="s">
        <v>3402</v>
      </c>
      <c r="K651" t="s">
        <v>4273</v>
      </c>
      <c r="L651" t="s">
        <v>9573</v>
      </c>
      <c r="S651" t="s">
        <v>168</v>
      </c>
      <c r="T651" t="s">
        <v>7</v>
      </c>
    </row>
    <row r="652" spans="1:20">
      <c r="A652" t="s">
        <v>3463</v>
      </c>
      <c r="B652" t="s">
        <v>8730</v>
      </c>
      <c r="C652" s="101">
        <v>1045</v>
      </c>
      <c r="D652" t="s">
        <v>9574</v>
      </c>
      <c r="E652" t="s">
        <v>1101</v>
      </c>
      <c r="G652" t="s">
        <v>3434</v>
      </c>
      <c r="H652" t="s">
        <v>3402</v>
      </c>
      <c r="K652" t="s">
        <v>3401</v>
      </c>
      <c r="L652" t="s">
        <v>9228</v>
      </c>
      <c r="M652" t="s">
        <v>9330</v>
      </c>
      <c r="S652" t="s">
        <v>172</v>
      </c>
      <c r="T652" t="s">
        <v>7</v>
      </c>
    </row>
    <row r="653" spans="1:20">
      <c r="A653" t="s">
        <v>3463</v>
      </c>
      <c r="B653" t="s">
        <v>8730</v>
      </c>
      <c r="C653" s="101">
        <v>1046</v>
      </c>
      <c r="D653" t="s">
        <v>9575</v>
      </c>
      <c r="E653" t="s">
        <v>1104</v>
      </c>
      <c r="G653" t="s">
        <v>3434</v>
      </c>
      <c r="K653" t="s">
        <v>9576</v>
      </c>
      <c r="S653" t="s">
        <v>46</v>
      </c>
      <c r="T653" t="s">
        <v>7</v>
      </c>
    </row>
    <row r="654" spans="1:20">
      <c r="A654" t="s">
        <v>3463</v>
      </c>
      <c r="B654" t="s">
        <v>8730</v>
      </c>
      <c r="C654" s="101">
        <v>1047</v>
      </c>
      <c r="D654" t="s">
        <v>9577</v>
      </c>
      <c r="E654" t="s">
        <v>1104</v>
      </c>
      <c r="G654" t="s">
        <v>3434</v>
      </c>
      <c r="K654" t="s">
        <v>9578</v>
      </c>
      <c r="S654" t="s">
        <v>11</v>
      </c>
      <c r="T654" t="s">
        <v>7</v>
      </c>
    </row>
    <row r="655" spans="1:20">
      <c r="A655" t="s">
        <v>3463</v>
      </c>
      <c r="B655" t="s">
        <v>8730</v>
      </c>
      <c r="C655" s="101">
        <v>1048</v>
      </c>
      <c r="D655" t="s">
        <v>9579</v>
      </c>
      <c r="E655" t="s">
        <v>1104</v>
      </c>
      <c r="G655" t="s">
        <v>3434</v>
      </c>
      <c r="K655" t="s">
        <v>9580</v>
      </c>
      <c r="L655" t="s">
        <v>9581</v>
      </c>
      <c r="S655" t="s">
        <v>179</v>
      </c>
      <c r="T655" t="s">
        <v>7</v>
      </c>
    </row>
    <row r="656" spans="1:20">
      <c r="A656" t="s">
        <v>3463</v>
      </c>
      <c r="B656" t="s">
        <v>8730</v>
      </c>
      <c r="C656" s="101">
        <v>1049</v>
      </c>
      <c r="D656" t="s">
        <v>9582</v>
      </c>
      <c r="E656" t="s">
        <v>1103</v>
      </c>
      <c r="G656" t="s">
        <v>3434</v>
      </c>
      <c r="K656" t="s">
        <v>9583</v>
      </c>
      <c r="L656" t="s">
        <v>9584</v>
      </c>
      <c r="S656" t="s">
        <v>170</v>
      </c>
      <c r="T656" t="s">
        <v>7</v>
      </c>
    </row>
    <row r="657" spans="1:20">
      <c r="A657" t="s">
        <v>3463</v>
      </c>
      <c r="B657" t="s">
        <v>8730</v>
      </c>
      <c r="C657" s="101">
        <v>1050</v>
      </c>
      <c r="D657" t="s">
        <v>9585</v>
      </c>
      <c r="E657" t="s">
        <v>1104</v>
      </c>
      <c r="G657" t="s">
        <v>3434</v>
      </c>
      <c r="K657" t="s">
        <v>9586</v>
      </c>
      <c r="S657" t="s">
        <v>181</v>
      </c>
      <c r="T657" t="s">
        <v>7</v>
      </c>
    </row>
    <row r="658" spans="1:20">
      <c r="A658" t="s">
        <v>3463</v>
      </c>
      <c r="B658" t="s">
        <v>8730</v>
      </c>
      <c r="C658" s="101">
        <v>1051</v>
      </c>
      <c r="D658" t="s">
        <v>9587</v>
      </c>
      <c r="E658" t="s">
        <v>1104</v>
      </c>
      <c r="G658" t="s">
        <v>3434</v>
      </c>
      <c r="K658" t="s">
        <v>9588</v>
      </c>
      <c r="L658" t="s">
        <v>9589</v>
      </c>
      <c r="S658" t="s">
        <v>38</v>
      </c>
      <c r="T658" t="s">
        <v>7</v>
      </c>
    </row>
    <row r="659" spans="1:20">
      <c r="A659" t="s">
        <v>3463</v>
      </c>
      <c r="B659" t="s">
        <v>8730</v>
      </c>
      <c r="C659" s="101">
        <v>1053</v>
      </c>
      <c r="D659" t="s">
        <v>9590</v>
      </c>
      <c r="E659" t="s">
        <v>1104</v>
      </c>
      <c r="G659" t="s">
        <v>3434</v>
      </c>
      <c r="K659" t="s">
        <v>9591</v>
      </c>
      <c r="L659" t="s">
        <v>9592</v>
      </c>
      <c r="S659" t="s">
        <v>30</v>
      </c>
      <c r="T659" t="s">
        <v>7</v>
      </c>
    </row>
    <row r="660" spans="1:20">
      <c r="A660" t="s">
        <v>3463</v>
      </c>
      <c r="B660" t="s">
        <v>8730</v>
      </c>
      <c r="C660" s="101">
        <v>1054</v>
      </c>
      <c r="D660" t="s">
        <v>9593</v>
      </c>
      <c r="E660" t="s">
        <v>1104</v>
      </c>
      <c r="G660" t="s">
        <v>3434</v>
      </c>
      <c r="H660" t="s">
        <v>3402</v>
      </c>
      <c r="K660" t="s">
        <v>3401</v>
      </c>
      <c r="L660" t="s">
        <v>9594</v>
      </c>
      <c r="S660" t="s">
        <v>34</v>
      </c>
      <c r="T660" t="s">
        <v>7</v>
      </c>
    </row>
    <row r="661" spans="1:20">
      <c r="A661" t="s">
        <v>3463</v>
      </c>
      <c r="B661" t="s">
        <v>8730</v>
      </c>
      <c r="C661" s="101">
        <v>1055</v>
      </c>
      <c r="D661" t="s">
        <v>9595</v>
      </c>
      <c r="E661" t="s">
        <v>1104</v>
      </c>
      <c r="G661" t="s">
        <v>1526</v>
      </c>
      <c r="H661" t="s">
        <v>5674</v>
      </c>
      <c r="K661" t="s">
        <v>9596</v>
      </c>
      <c r="S661" t="s">
        <v>175</v>
      </c>
      <c r="T661" t="s">
        <v>7</v>
      </c>
    </row>
    <row r="662" spans="1:20">
      <c r="A662" t="s">
        <v>3463</v>
      </c>
      <c r="B662" t="s">
        <v>8730</v>
      </c>
      <c r="C662" s="101">
        <v>1056</v>
      </c>
      <c r="D662" t="s">
        <v>9597</v>
      </c>
      <c r="E662" t="s">
        <v>1103</v>
      </c>
      <c r="G662" t="s">
        <v>3434</v>
      </c>
      <c r="H662" t="s">
        <v>3402</v>
      </c>
      <c r="K662" t="s">
        <v>3401</v>
      </c>
      <c r="L662" t="s">
        <v>9598</v>
      </c>
      <c r="S662" t="s">
        <v>48</v>
      </c>
      <c r="T662" t="s">
        <v>7</v>
      </c>
    </row>
    <row r="663" spans="1:20">
      <c r="A663" t="s">
        <v>3463</v>
      </c>
      <c r="B663" t="s">
        <v>8730</v>
      </c>
      <c r="C663" s="101">
        <v>1057</v>
      </c>
      <c r="D663" t="s">
        <v>9599</v>
      </c>
      <c r="E663" t="s">
        <v>1104</v>
      </c>
      <c r="G663" t="s">
        <v>3434</v>
      </c>
      <c r="H663" t="s">
        <v>13397</v>
      </c>
      <c r="K663" t="s">
        <v>1168</v>
      </c>
      <c r="L663" t="s">
        <v>9600</v>
      </c>
      <c r="S663" t="s">
        <v>29</v>
      </c>
      <c r="T663" t="s">
        <v>7</v>
      </c>
    </row>
    <row r="664" spans="1:20">
      <c r="A664" t="s">
        <v>3463</v>
      </c>
      <c r="B664" t="s">
        <v>8730</v>
      </c>
      <c r="C664" s="101">
        <v>1058</v>
      </c>
      <c r="D664" t="s">
        <v>9601</v>
      </c>
      <c r="E664" t="s">
        <v>1248</v>
      </c>
      <c r="G664" t="s">
        <v>3434</v>
      </c>
      <c r="K664" t="s">
        <v>9602</v>
      </c>
      <c r="S664" t="s">
        <v>32</v>
      </c>
      <c r="T664" t="s">
        <v>7</v>
      </c>
    </row>
    <row r="665" spans="1:20">
      <c r="A665" t="s">
        <v>3463</v>
      </c>
      <c r="B665" t="s">
        <v>8730</v>
      </c>
      <c r="C665" s="101">
        <v>1060</v>
      </c>
      <c r="D665" t="s">
        <v>9603</v>
      </c>
      <c r="E665" t="s">
        <v>1248</v>
      </c>
      <c r="G665" t="s">
        <v>3434</v>
      </c>
      <c r="K665" t="s">
        <v>9604</v>
      </c>
      <c r="S665" t="s">
        <v>171</v>
      </c>
      <c r="T665" t="s">
        <v>7</v>
      </c>
    </row>
    <row r="666" spans="1:20">
      <c r="A666" t="s">
        <v>3463</v>
      </c>
      <c r="B666" t="s">
        <v>8730</v>
      </c>
      <c r="C666" s="101">
        <v>1061</v>
      </c>
      <c r="D666" t="s">
        <v>9605</v>
      </c>
      <c r="E666" t="s">
        <v>1105</v>
      </c>
      <c r="G666" t="s">
        <v>3434</v>
      </c>
      <c r="K666" t="s">
        <v>9606</v>
      </c>
      <c r="S666" t="s">
        <v>52</v>
      </c>
      <c r="T666" t="s">
        <v>7</v>
      </c>
    </row>
    <row r="667" spans="1:20">
      <c r="A667" t="s">
        <v>3463</v>
      </c>
      <c r="B667" t="s">
        <v>8730</v>
      </c>
      <c r="C667" s="101">
        <v>1062</v>
      </c>
      <c r="D667" t="s">
        <v>9607</v>
      </c>
      <c r="E667" t="s">
        <v>1105</v>
      </c>
      <c r="G667" t="s">
        <v>3434</v>
      </c>
      <c r="H667" t="s">
        <v>13397</v>
      </c>
      <c r="K667" t="s">
        <v>1168</v>
      </c>
      <c r="L667" t="s">
        <v>9608</v>
      </c>
      <c r="S667" t="s">
        <v>44</v>
      </c>
      <c r="T667" t="s">
        <v>7</v>
      </c>
    </row>
    <row r="668" spans="1:20">
      <c r="A668" t="s">
        <v>3463</v>
      </c>
      <c r="B668" t="s">
        <v>8730</v>
      </c>
      <c r="C668" s="101">
        <v>1063</v>
      </c>
      <c r="D668" t="s">
        <v>9609</v>
      </c>
      <c r="E668" t="s">
        <v>1194</v>
      </c>
      <c r="G668" t="s">
        <v>3434</v>
      </c>
      <c r="H668" t="s">
        <v>3402</v>
      </c>
      <c r="K668" t="s">
        <v>3401</v>
      </c>
      <c r="L668" t="s">
        <v>4313</v>
      </c>
      <c r="M668" t="s">
        <v>9610</v>
      </c>
      <c r="S668" t="s">
        <v>606</v>
      </c>
      <c r="T668" t="s">
        <v>7</v>
      </c>
    </row>
    <row r="669" spans="1:20">
      <c r="A669" t="s">
        <v>3463</v>
      </c>
      <c r="B669" t="s">
        <v>8730</v>
      </c>
      <c r="C669" s="101">
        <v>1064</v>
      </c>
      <c r="D669" t="s">
        <v>9611</v>
      </c>
      <c r="E669" t="s">
        <v>1194</v>
      </c>
      <c r="G669" t="s">
        <v>3434</v>
      </c>
      <c r="H669" t="s">
        <v>3402</v>
      </c>
      <c r="K669" t="s">
        <v>5600</v>
      </c>
      <c r="L669" t="s">
        <v>9612</v>
      </c>
      <c r="S669" t="s">
        <v>172</v>
      </c>
      <c r="T669" t="s">
        <v>7</v>
      </c>
    </row>
    <row r="670" spans="1:20">
      <c r="A670" t="s">
        <v>3465</v>
      </c>
      <c r="B670" t="s">
        <v>8730</v>
      </c>
      <c r="C670" s="101">
        <v>2001</v>
      </c>
      <c r="D670" t="s">
        <v>9842</v>
      </c>
      <c r="E670" t="s">
        <v>1099</v>
      </c>
      <c r="G670" t="s">
        <v>3434</v>
      </c>
      <c r="K670" t="s">
        <v>9843</v>
      </c>
      <c r="L670" t="s">
        <v>9844</v>
      </c>
      <c r="S670" t="s">
        <v>604</v>
      </c>
      <c r="T670" t="s">
        <v>9</v>
      </c>
    </row>
    <row r="671" spans="1:20">
      <c r="A671" t="s">
        <v>3465</v>
      </c>
      <c r="B671" t="s">
        <v>8730</v>
      </c>
      <c r="C671" s="101">
        <v>2002</v>
      </c>
      <c r="D671" t="s">
        <v>9845</v>
      </c>
      <c r="E671" t="s">
        <v>1099</v>
      </c>
      <c r="G671" t="s">
        <v>3434</v>
      </c>
      <c r="K671" t="s">
        <v>9846</v>
      </c>
      <c r="S671" t="s">
        <v>38</v>
      </c>
      <c r="T671" t="s">
        <v>9</v>
      </c>
    </row>
    <row r="672" spans="1:20">
      <c r="A672" t="s">
        <v>3465</v>
      </c>
      <c r="B672" t="s">
        <v>8730</v>
      </c>
      <c r="C672" s="101">
        <v>2003</v>
      </c>
      <c r="D672" t="s">
        <v>9847</v>
      </c>
      <c r="E672" t="s">
        <v>1099</v>
      </c>
      <c r="G672" t="s">
        <v>3434</v>
      </c>
      <c r="K672" t="s">
        <v>9848</v>
      </c>
      <c r="L672" t="s">
        <v>9849</v>
      </c>
      <c r="S672" t="s">
        <v>607</v>
      </c>
      <c r="T672" t="s">
        <v>9</v>
      </c>
    </row>
    <row r="673" spans="1:20">
      <c r="A673" t="s">
        <v>3465</v>
      </c>
      <c r="B673" t="s">
        <v>8730</v>
      </c>
      <c r="C673" s="101">
        <v>2004</v>
      </c>
      <c r="D673" t="s">
        <v>9850</v>
      </c>
      <c r="E673" t="s">
        <v>1100</v>
      </c>
      <c r="G673" t="s">
        <v>5673</v>
      </c>
      <c r="H673" t="s">
        <v>13398</v>
      </c>
      <c r="K673" t="s">
        <v>9851</v>
      </c>
      <c r="S673" t="s">
        <v>3119</v>
      </c>
      <c r="T673" t="s">
        <v>9</v>
      </c>
    </row>
    <row r="674" spans="1:20">
      <c r="A674" t="s">
        <v>3465</v>
      </c>
      <c r="B674" t="s">
        <v>8730</v>
      </c>
      <c r="C674" s="101">
        <v>2005</v>
      </c>
      <c r="D674" t="s">
        <v>9852</v>
      </c>
      <c r="E674" t="s">
        <v>1181</v>
      </c>
      <c r="G674" t="s">
        <v>3434</v>
      </c>
      <c r="H674" t="s">
        <v>3402</v>
      </c>
      <c r="K674" t="s">
        <v>3401</v>
      </c>
      <c r="L674" t="s">
        <v>9853</v>
      </c>
      <c r="M674" t="s">
        <v>7963</v>
      </c>
      <c r="N674" t="s">
        <v>9854</v>
      </c>
      <c r="S674" t="s">
        <v>606</v>
      </c>
      <c r="T674" t="s">
        <v>9</v>
      </c>
    </row>
    <row r="675" spans="1:20">
      <c r="A675" t="s">
        <v>3465</v>
      </c>
      <c r="B675" t="s">
        <v>8730</v>
      </c>
      <c r="C675" s="101">
        <v>2006</v>
      </c>
      <c r="D675" t="s">
        <v>9855</v>
      </c>
      <c r="E675" t="s">
        <v>1100</v>
      </c>
      <c r="G675" t="s">
        <v>1526</v>
      </c>
      <c r="K675" t="s">
        <v>9856</v>
      </c>
      <c r="L675" t="s">
        <v>9857</v>
      </c>
      <c r="T675" t="s">
        <v>9</v>
      </c>
    </row>
    <row r="676" spans="1:20">
      <c r="A676" t="s">
        <v>3465</v>
      </c>
      <c r="B676" t="s">
        <v>8730</v>
      </c>
      <c r="C676" s="101">
        <v>2007</v>
      </c>
      <c r="D676" t="s">
        <v>5186</v>
      </c>
      <c r="E676" t="s">
        <v>13451</v>
      </c>
      <c r="G676" t="s">
        <v>3617</v>
      </c>
      <c r="K676" t="s">
        <v>9858</v>
      </c>
      <c r="L676" t="s">
        <v>9859</v>
      </c>
      <c r="M676" t="s">
        <v>9860</v>
      </c>
      <c r="S676" t="s">
        <v>30</v>
      </c>
      <c r="T676" t="s">
        <v>9</v>
      </c>
    </row>
    <row r="677" spans="1:20">
      <c r="A677" t="s">
        <v>3465</v>
      </c>
      <c r="B677" t="s">
        <v>8730</v>
      </c>
      <c r="C677" s="101">
        <v>2008</v>
      </c>
      <c r="D677" t="s">
        <v>9861</v>
      </c>
      <c r="E677" t="s">
        <v>1100</v>
      </c>
      <c r="G677" t="s">
        <v>3434</v>
      </c>
      <c r="K677" t="s">
        <v>9862</v>
      </c>
      <c r="L677" t="s">
        <v>9863</v>
      </c>
      <c r="M677" t="s">
        <v>9864</v>
      </c>
      <c r="S677" t="s">
        <v>172</v>
      </c>
      <c r="T677" t="s">
        <v>9</v>
      </c>
    </row>
    <row r="678" spans="1:20">
      <c r="A678" t="s">
        <v>3465</v>
      </c>
      <c r="B678" t="s">
        <v>8730</v>
      </c>
      <c r="C678" s="101">
        <v>2009</v>
      </c>
      <c r="D678" t="s">
        <v>9865</v>
      </c>
      <c r="E678" t="s">
        <v>1100</v>
      </c>
      <c r="G678" t="s">
        <v>3434</v>
      </c>
      <c r="K678" t="s">
        <v>9866</v>
      </c>
      <c r="L678" t="s">
        <v>9867</v>
      </c>
      <c r="S678" t="s">
        <v>45</v>
      </c>
      <c r="T678" t="s">
        <v>9</v>
      </c>
    </row>
    <row r="679" spans="1:20">
      <c r="A679" t="s">
        <v>3465</v>
      </c>
      <c r="B679" t="s">
        <v>8730</v>
      </c>
      <c r="C679" s="101">
        <v>2010</v>
      </c>
      <c r="D679" t="s">
        <v>9868</v>
      </c>
      <c r="E679" t="s">
        <v>1100</v>
      </c>
      <c r="G679" t="s">
        <v>3434</v>
      </c>
      <c r="K679" t="s">
        <v>9869</v>
      </c>
      <c r="S679" t="s">
        <v>172</v>
      </c>
      <c r="T679" t="s">
        <v>9</v>
      </c>
    </row>
    <row r="680" spans="1:20">
      <c r="A680" t="s">
        <v>3465</v>
      </c>
      <c r="B680" t="s">
        <v>8730</v>
      </c>
      <c r="C680" s="101">
        <v>2012</v>
      </c>
      <c r="D680" t="s">
        <v>9870</v>
      </c>
      <c r="E680" t="s">
        <v>1100</v>
      </c>
      <c r="G680" t="s">
        <v>3434</v>
      </c>
      <c r="K680" t="s">
        <v>9871</v>
      </c>
      <c r="L680" t="s">
        <v>9872</v>
      </c>
      <c r="S680" t="s">
        <v>8</v>
      </c>
      <c r="T680" t="s">
        <v>9</v>
      </c>
    </row>
    <row r="681" spans="1:20">
      <c r="A681" t="s">
        <v>3465</v>
      </c>
      <c r="B681" t="s">
        <v>8730</v>
      </c>
      <c r="C681" s="101">
        <v>2013</v>
      </c>
      <c r="D681" t="s">
        <v>9873</v>
      </c>
      <c r="E681" t="s">
        <v>1100</v>
      </c>
      <c r="G681" t="s">
        <v>3434</v>
      </c>
      <c r="H681" t="s">
        <v>3402</v>
      </c>
      <c r="K681" t="s">
        <v>9874</v>
      </c>
      <c r="L681" t="s">
        <v>9875</v>
      </c>
      <c r="S681" t="s">
        <v>36</v>
      </c>
      <c r="T681" t="s">
        <v>9</v>
      </c>
    </row>
    <row r="682" spans="1:20">
      <c r="A682" t="s">
        <v>3465</v>
      </c>
      <c r="B682" t="s">
        <v>8730</v>
      </c>
      <c r="C682" s="101">
        <v>2014</v>
      </c>
      <c r="D682" t="s">
        <v>9876</v>
      </c>
      <c r="E682" t="s">
        <v>1101</v>
      </c>
      <c r="G682" t="s">
        <v>3434</v>
      </c>
      <c r="K682" t="s">
        <v>9877</v>
      </c>
      <c r="S682" t="s">
        <v>182</v>
      </c>
      <c r="T682" t="s">
        <v>9</v>
      </c>
    </row>
    <row r="683" spans="1:20">
      <c r="A683" t="s">
        <v>3465</v>
      </c>
      <c r="B683" t="s">
        <v>8730</v>
      </c>
      <c r="C683" s="101">
        <v>2015</v>
      </c>
      <c r="D683" t="s">
        <v>9878</v>
      </c>
      <c r="E683" t="s">
        <v>1243</v>
      </c>
      <c r="G683" t="s">
        <v>3434</v>
      </c>
      <c r="K683" t="s">
        <v>9879</v>
      </c>
      <c r="L683" t="s">
        <v>9880</v>
      </c>
      <c r="M683" t="s">
        <v>9881</v>
      </c>
      <c r="S683" t="s">
        <v>49</v>
      </c>
      <c r="T683" t="s">
        <v>9</v>
      </c>
    </row>
    <row r="684" spans="1:20">
      <c r="A684" t="s">
        <v>3465</v>
      </c>
      <c r="B684" t="s">
        <v>8730</v>
      </c>
      <c r="C684" s="101">
        <v>2016</v>
      </c>
      <c r="D684" t="s">
        <v>9882</v>
      </c>
      <c r="E684" t="s">
        <v>1102</v>
      </c>
      <c r="G684" t="s">
        <v>3434</v>
      </c>
      <c r="K684" t="s">
        <v>9883</v>
      </c>
      <c r="S684" t="s">
        <v>171</v>
      </c>
      <c r="T684" t="s">
        <v>9</v>
      </c>
    </row>
    <row r="685" spans="1:20">
      <c r="A685" t="s">
        <v>3465</v>
      </c>
      <c r="B685" t="s">
        <v>8730</v>
      </c>
      <c r="C685" s="101">
        <v>2017</v>
      </c>
      <c r="D685" t="s">
        <v>9884</v>
      </c>
      <c r="E685" t="s">
        <v>1243</v>
      </c>
      <c r="G685" t="s">
        <v>3434</v>
      </c>
      <c r="K685" t="s">
        <v>9885</v>
      </c>
      <c r="S685" t="s">
        <v>180</v>
      </c>
      <c r="T685" t="s">
        <v>9</v>
      </c>
    </row>
    <row r="686" spans="1:20">
      <c r="A686" t="s">
        <v>3465</v>
      </c>
      <c r="B686" t="s">
        <v>8730</v>
      </c>
      <c r="C686" s="101">
        <v>2018</v>
      </c>
      <c r="D686" t="s">
        <v>9886</v>
      </c>
      <c r="E686" t="s">
        <v>1101</v>
      </c>
      <c r="G686" t="s">
        <v>3434</v>
      </c>
      <c r="K686" t="s">
        <v>9887</v>
      </c>
      <c r="S686" t="s">
        <v>48</v>
      </c>
      <c r="T686" t="s">
        <v>9</v>
      </c>
    </row>
    <row r="687" spans="1:20">
      <c r="A687" t="s">
        <v>3465</v>
      </c>
      <c r="B687" t="s">
        <v>8730</v>
      </c>
      <c r="C687" s="101">
        <v>2019</v>
      </c>
      <c r="D687" t="s">
        <v>9888</v>
      </c>
      <c r="E687" t="s">
        <v>1102</v>
      </c>
      <c r="G687" t="s">
        <v>3086</v>
      </c>
      <c r="H687" t="s">
        <v>13405</v>
      </c>
      <c r="K687" t="s">
        <v>9889</v>
      </c>
      <c r="L687" t="s">
        <v>1</v>
      </c>
      <c r="M687" t="s">
        <v>9321</v>
      </c>
      <c r="N687" t="s">
        <v>7959</v>
      </c>
      <c r="P687" t="s">
        <v>166</v>
      </c>
      <c r="S687" t="s">
        <v>40</v>
      </c>
      <c r="T687" t="s">
        <v>9</v>
      </c>
    </row>
    <row r="688" spans="1:20">
      <c r="A688" t="s">
        <v>3465</v>
      </c>
      <c r="B688" t="s">
        <v>8730</v>
      </c>
      <c r="C688" s="101">
        <v>2020</v>
      </c>
      <c r="D688" t="s">
        <v>9890</v>
      </c>
      <c r="E688" t="s">
        <v>1101</v>
      </c>
      <c r="G688" t="s">
        <v>3434</v>
      </c>
      <c r="K688" t="s">
        <v>9891</v>
      </c>
      <c r="S688" t="s">
        <v>168</v>
      </c>
      <c r="T688" t="s">
        <v>9</v>
      </c>
    </row>
    <row r="689" spans="1:20">
      <c r="A689" t="s">
        <v>3465</v>
      </c>
      <c r="B689" t="s">
        <v>8730</v>
      </c>
      <c r="C689" s="101">
        <v>2021</v>
      </c>
      <c r="D689" t="s">
        <v>9892</v>
      </c>
      <c r="E689" t="s">
        <v>1102</v>
      </c>
      <c r="G689" t="s">
        <v>3434</v>
      </c>
      <c r="H689" t="s">
        <v>3402</v>
      </c>
      <c r="K689" t="s">
        <v>5600</v>
      </c>
      <c r="L689" t="s">
        <v>9893</v>
      </c>
      <c r="S689" t="s">
        <v>6</v>
      </c>
      <c r="T689" t="s">
        <v>9</v>
      </c>
    </row>
    <row r="690" spans="1:20">
      <c r="A690" t="s">
        <v>3465</v>
      </c>
      <c r="B690" t="s">
        <v>8730</v>
      </c>
      <c r="C690" s="101">
        <v>2022</v>
      </c>
      <c r="D690" t="s">
        <v>9894</v>
      </c>
      <c r="E690" t="s">
        <v>1243</v>
      </c>
      <c r="G690" t="s">
        <v>3434</v>
      </c>
      <c r="K690" t="s">
        <v>9895</v>
      </c>
      <c r="S690" t="s">
        <v>182</v>
      </c>
      <c r="T690" t="s">
        <v>9</v>
      </c>
    </row>
    <row r="691" spans="1:20">
      <c r="A691" t="s">
        <v>3465</v>
      </c>
      <c r="B691" t="s">
        <v>8730</v>
      </c>
      <c r="C691" s="101">
        <v>2023</v>
      </c>
      <c r="D691" t="s">
        <v>9896</v>
      </c>
      <c r="E691" t="s">
        <v>1243</v>
      </c>
      <c r="G691" t="s">
        <v>3434</v>
      </c>
      <c r="K691" t="s">
        <v>9897</v>
      </c>
      <c r="L691" t="s">
        <v>9898</v>
      </c>
      <c r="S691" t="s">
        <v>34</v>
      </c>
      <c r="T691" t="s">
        <v>9</v>
      </c>
    </row>
    <row r="692" spans="1:20">
      <c r="A692" t="s">
        <v>3465</v>
      </c>
      <c r="B692" t="s">
        <v>8730</v>
      </c>
      <c r="C692" s="101">
        <v>2024</v>
      </c>
      <c r="D692" t="s">
        <v>9899</v>
      </c>
      <c r="E692" t="s">
        <v>1101</v>
      </c>
      <c r="G692" t="s">
        <v>3434</v>
      </c>
      <c r="K692" t="s">
        <v>9900</v>
      </c>
      <c r="S692" t="s">
        <v>178</v>
      </c>
      <c r="T692" t="s">
        <v>9</v>
      </c>
    </row>
    <row r="693" spans="1:20">
      <c r="A693" t="s">
        <v>3465</v>
      </c>
      <c r="B693" t="s">
        <v>8730</v>
      </c>
      <c r="C693" s="101">
        <v>2025</v>
      </c>
      <c r="D693" t="s">
        <v>9901</v>
      </c>
      <c r="E693" t="s">
        <v>1102</v>
      </c>
      <c r="G693" t="s">
        <v>3086</v>
      </c>
      <c r="H693" t="s">
        <v>13405</v>
      </c>
      <c r="K693" t="s">
        <v>1</v>
      </c>
      <c r="L693" t="s">
        <v>9902</v>
      </c>
      <c r="P693" t="s">
        <v>8412</v>
      </c>
      <c r="S693" t="s">
        <v>27</v>
      </c>
      <c r="T693" t="s">
        <v>9</v>
      </c>
    </row>
    <row r="694" spans="1:20">
      <c r="A694" t="s">
        <v>3465</v>
      </c>
      <c r="B694" t="s">
        <v>8730</v>
      </c>
      <c r="C694" s="101">
        <v>2026</v>
      </c>
      <c r="D694" t="s">
        <v>9903</v>
      </c>
      <c r="E694" t="s">
        <v>1243</v>
      </c>
      <c r="G694" t="s">
        <v>3434</v>
      </c>
      <c r="K694" t="s">
        <v>9904</v>
      </c>
      <c r="S694" t="s">
        <v>173</v>
      </c>
      <c r="T694" t="s">
        <v>9</v>
      </c>
    </row>
    <row r="695" spans="1:20">
      <c r="A695" t="s">
        <v>3465</v>
      </c>
      <c r="B695" t="s">
        <v>8730</v>
      </c>
      <c r="C695" s="101">
        <v>2027</v>
      </c>
      <c r="D695" t="s">
        <v>9905</v>
      </c>
      <c r="E695" t="s">
        <v>1101</v>
      </c>
      <c r="G695" t="s">
        <v>3434</v>
      </c>
      <c r="K695" t="s">
        <v>9906</v>
      </c>
      <c r="S695" t="s">
        <v>32</v>
      </c>
      <c r="T695" t="s">
        <v>9</v>
      </c>
    </row>
    <row r="696" spans="1:20">
      <c r="A696" t="s">
        <v>3465</v>
      </c>
      <c r="B696" t="s">
        <v>8730</v>
      </c>
      <c r="C696" s="101">
        <v>2028</v>
      </c>
      <c r="D696" t="s">
        <v>9907</v>
      </c>
      <c r="E696" t="s">
        <v>1243</v>
      </c>
      <c r="G696" t="s">
        <v>3087</v>
      </c>
      <c r="H696" t="s">
        <v>13406</v>
      </c>
      <c r="K696" t="s">
        <v>9908</v>
      </c>
      <c r="P696" t="s">
        <v>165</v>
      </c>
      <c r="T696" t="s">
        <v>9</v>
      </c>
    </row>
    <row r="697" spans="1:20">
      <c r="A697" t="s">
        <v>3465</v>
      </c>
      <c r="B697" t="s">
        <v>8730</v>
      </c>
      <c r="C697" s="101">
        <v>2029</v>
      </c>
      <c r="D697" t="s">
        <v>9909</v>
      </c>
      <c r="E697" t="s">
        <v>1243</v>
      </c>
      <c r="G697" t="s">
        <v>1526</v>
      </c>
      <c r="K697" t="s">
        <v>9910</v>
      </c>
      <c r="S697" t="s">
        <v>179</v>
      </c>
      <c r="T697" t="s">
        <v>9</v>
      </c>
    </row>
    <row r="698" spans="1:20">
      <c r="A698" t="s">
        <v>3465</v>
      </c>
      <c r="B698" t="s">
        <v>8730</v>
      </c>
      <c r="C698" s="101">
        <v>2030</v>
      </c>
      <c r="D698" t="s">
        <v>9911</v>
      </c>
      <c r="E698" t="s">
        <v>1102</v>
      </c>
      <c r="G698" t="s">
        <v>3086</v>
      </c>
      <c r="H698" t="s">
        <v>3064</v>
      </c>
      <c r="K698" t="s">
        <v>9912</v>
      </c>
      <c r="L698" t="s">
        <v>9913</v>
      </c>
      <c r="P698" t="s">
        <v>4798</v>
      </c>
      <c r="S698" t="s">
        <v>14</v>
      </c>
      <c r="T698" t="s">
        <v>9</v>
      </c>
    </row>
    <row r="699" spans="1:20">
      <c r="A699" t="s">
        <v>3465</v>
      </c>
      <c r="B699" t="s">
        <v>8730</v>
      </c>
      <c r="C699" s="101">
        <v>2031</v>
      </c>
      <c r="D699" t="s">
        <v>9914</v>
      </c>
      <c r="E699" t="s">
        <v>1101</v>
      </c>
      <c r="G699" t="s">
        <v>1526</v>
      </c>
      <c r="K699" t="s">
        <v>9915</v>
      </c>
      <c r="L699" t="s">
        <v>9916</v>
      </c>
      <c r="S699" t="s">
        <v>39</v>
      </c>
      <c r="T699" t="s">
        <v>9</v>
      </c>
    </row>
    <row r="700" spans="1:20">
      <c r="A700" t="s">
        <v>3465</v>
      </c>
      <c r="B700" t="s">
        <v>8730</v>
      </c>
      <c r="C700" s="101">
        <v>2032</v>
      </c>
      <c r="D700" t="s">
        <v>9917</v>
      </c>
      <c r="E700" t="s">
        <v>1103</v>
      </c>
      <c r="G700" t="s">
        <v>1526</v>
      </c>
      <c r="K700" t="s">
        <v>9918</v>
      </c>
      <c r="S700" t="s">
        <v>175</v>
      </c>
      <c r="T700" t="s">
        <v>9</v>
      </c>
    </row>
    <row r="701" spans="1:20">
      <c r="A701" t="s">
        <v>3465</v>
      </c>
      <c r="B701" t="s">
        <v>8730</v>
      </c>
      <c r="C701" s="101">
        <v>2034</v>
      </c>
      <c r="D701" t="s">
        <v>9919</v>
      </c>
      <c r="E701" t="s">
        <v>1104</v>
      </c>
      <c r="G701" t="s">
        <v>3434</v>
      </c>
      <c r="K701" t="s">
        <v>9920</v>
      </c>
      <c r="L701" t="s">
        <v>9921</v>
      </c>
      <c r="M701" t="s">
        <v>9922</v>
      </c>
      <c r="S701" t="s">
        <v>46</v>
      </c>
      <c r="T701" t="s">
        <v>9</v>
      </c>
    </row>
    <row r="702" spans="1:20">
      <c r="A702" t="s">
        <v>3465</v>
      </c>
      <c r="B702" t="s">
        <v>8730</v>
      </c>
      <c r="C702" s="101">
        <v>2035</v>
      </c>
      <c r="D702" t="s">
        <v>9923</v>
      </c>
      <c r="E702" t="s">
        <v>9924</v>
      </c>
      <c r="G702" t="s">
        <v>3434</v>
      </c>
      <c r="K702" t="s">
        <v>9925</v>
      </c>
      <c r="S702" t="s">
        <v>169</v>
      </c>
      <c r="T702" t="s">
        <v>9</v>
      </c>
    </row>
    <row r="703" spans="1:20">
      <c r="A703" t="s">
        <v>3465</v>
      </c>
      <c r="B703" t="s">
        <v>8730</v>
      </c>
      <c r="C703" s="101">
        <v>2037</v>
      </c>
      <c r="D703" t="s">
        <v>9926</v>
      </c>
      <c r="E703" t="s">
        <v>1103</v>
      </c>
      <c r="G703" t="s">
        <v>3434</v>
      </c>
      <c r="K703" t="s">
        <v>9927</v>
      </c>
      <c r="L703" t="s">
        <v>9928</v>
      </c>
      <c r="S703" t="s">
        <v>175</v>
      </c>
      <c r="T703" t="s">
        <v>9</v>
      </c>
    </row>
    <row r="704" spans="1:20">
      <c r="A704" t="s">
        <v>3465</v>
      </c>
      <c r="B704" t="s">
        <v>8730</v>
      </c>
      <c r="C704" s="101">
        <v>2038</v>
      </c>
      <c r="D704" t="s">
        <v>9929</v>
      </c>
      <c r="E704" t="s">
        <v>1103</v>
      </c>
      <c r="G704" t="s">
        <v>3434</v>
      </c>
      <c r="K704" t="s">
        <v>9930</v>
      </c>
      <c r="L704" t="s">
        <v>9931</v>
      </c>
      <c r="S704" t="s">
        <v>10</v>
      </c>
      <c r="T704" t="s">
        <v>9</v>
      </c>
    </row>
    <row r="705" spans="1:20">
      <c r="A705" t="s">
        <v>3465</v>
      </c>
      <c r="B705" t="s">
        <v>8730</v>
      </c>
      <c r="C705" s="101">
        <v>2039</v>
      </c>
      <c r="D705" t="s">
        <v>9932</v>
      </c>
      <c r="E705" t="s">
        <v>1103</v>
      </c>
      <c r="G705" t="s">
        <v>3434</v>
      </c>
      <c r="K705" t="s">
        <v>9933</v>
      </c>
      <c r="L705" t="s">
        <v>9934</v>
      </c>
      <c r="M705" t="s">
        <v>8300</v>
      </c>
      <c r="N705" t="s">
        <v>9935</v>
      </c>
      <c r="S705" t="s">
        <v>5281</v>
      </c>
      <c r="T705" t="s">
        <v>9</v>
      </c>
    </row>
    <row r="706" spans="1:20">
      <c r="A706" t="s">
        <v>3465</v>
      </c>
      <c r="B706" t="s">
        <v>8730</v>
      </c>
      <c r="C706" s="101">
        <v>2041</v>
      </c>
      <c r="D706" t="s">
        <v>9936</v>
      </c>
      <c r="E706" t="s">
        <v>1103</v>
      </c>
      <c r="G706" t="s">
        <v>3434</v>
      </c>
      <c r="K706" t="s">
        <v>9937</v>
      </c>
      <c r="S706" t="s">
        <v>605</v>
      </c>
      <c r="T706" t="s">
        <v>9</v>
      </c>
    </row>
    <row r="707" spans="1:20">
      <c r="A707" t="s">
        <v>3465</v>
      </c>
      <c r="B707" t="s">
        <v>8730</v>
      </c>
      <c r="C707" s="101">
        <v>2043</v>
      </c>
      <c r="D707" t="s">
        <v>9938</v>
      </c>
      <c r="E707" t="s">
        <v>1103</v>
      </c>
      <c r="G707" t="s">
        <v>3434</v>
      </c>
      <c r="K707" t="s">
        <v>9939</v>
      </c>
      <c r="L707" t="s">
        <v>6797</v>
      </c>
      <c r="S707" t="s">
        <v>182</v>
      </c>
      <c r="T707" t="s">
        <v>9</v>
      </c>
    </row>
    <row r="708" spans="1:20">
      <c r="A708" t="s">
        <v>3465</v>
      </c>
      <c r="B708" t="s">
        <v>8730</v>
      </c>
      <c r="C708" s="101">
        <v>2044</v>
      </c>
      <c r="D708" t="s">
        <v>9940</v>
      </c>
      <c r="E708" t="s">
        <v>1103</v>
      </c>
      <c r="G708" t="s">
        <v>3434</v>
      </c>
      <c r="K708" t="s">
        <v>9941</v>
      </c>
      <c r="L708" t="s">
        <v>9942</v>
      </c>
      <c r="S708" t="s">
        <v>178</v>
      </c>
      <c r="T708" t="s">
        <v>9</v>
      </c>
    </row>
    <row r="709" spans="1:20">
      <c r="A709" t="s">
        <v>3465</v>
      </c>
      <c r="B709" t="s">
        <v>8730</v>
      </c>
      <c r="C709" s="101">
        <v>2045</v>
      </c>
      <c r="D709" t="s">
        <v>9943</v>
      </c>
      <c r="E709" t="s">
        <v>1103</v>
      </c>
      <c r="G709" t="s">
        <v>3434</v>
      </c>
      <c r="H709" t="s">
        <v>3402</v>
      </c>
      <c r="K709" t="s">
        <v>3401</v>
      </c>
      <c r="L709" t="s">
        <v>9944</v>
      </c>
      <c r="M709" t="s">
        <v>9945</v>
      </c>
      <c r="S709" t="s">
        <v>178</v>
      </c>
      <c r="T709" t="s">
        <v>9</v>
      </c>
    </row>
    <row r="710" spans="1:20">
      <c r="A710" t="s">
        <v>3465</v>
      </c>
      <c r="B710" t="s">
        <v>8730</v>
      </c>
      <c r="C710" s="101">
        <v>2046</v>
      </c>
      <c r="D710" t="s">
        <v>9946</v>
      </c>
      <c r="E710" t="s">
        <v>1104</v>
      </c>
      <c r="G710" t="s">
        <v>3086</v>
      </c>
      <c r="H710" t="s">
        <v>13407</v>
      </c>
      <c r="K710" t="s">
        <v>9947</v>
      </c>
      <c r="P710" t="s">
        <v>167</v>
      </c>
      <c r="S710" t="s">
        <v>40</v>
      </c>
      <c r="T710" t="s">
        <v>9</v>
      </c>
    </row>
    <row r="711" spans="1:20">
      <c r="A711" t="s">
        <v>3465</v>
      </c>
      <c r="B711" t="s">
        <v>8730</v>
      </c>
      <c r="C711" s="101">
        <v>2047</v>
      </c>
      <c r="D711" t="s">
        <v>9948</v>
      </c>
      <c r="E711" t="s">
        <v>1103</v>
      </c>
      <c r="G711" t="s">
        <v>6685</v>
      </c>
      <c r="K711" t="s">
        <v>9949</v>
      </c>
      <c r="L711" t="s">
        <v>9950</v>
      </c>
      <c r="S711" t="s">
        <v>14</v>
      </c>
      <c r="T711" t="s">
        <v>9</v>
      </c>
    </row>
    <row r="712" spans="1:20">
      <c r="A712" t="s">
        <v>3465</v>
      </c>
      <c r="B712" t="s">
        <v>8730</v>
      </c>
      <c r="C712" s="101">
        <v>2048</v>
      </c>
      <c r="D712" t="s">
        <v>9951</v>
      </c>
      <c r="E712" t="s">
        <v>1103</v>
      </c>
      <c r="G712" t="s">
        <v>3434</v>
      </c>
      <c r="K712" t="s">
        <v>9952</v>
      </c>
      <c r="L712" t="s">
        <v>9953</v>
      </c>
      <c r="M712" t="s">
        <v>9954</v>
      </c>
      <c r="N712" t="s">
        <v>9955</v>
      </c>
      <c r="S712" t="s">
        <v>26</v>
      </c>
      <c r="T712" t="s">
        <v>9</v>
      </c>
    </row>
    <row r="713" spans="1:20">
      <c r="A713" t="s">
        <v>3465</v>
      </c>
      <c r="B713" t="s">
        <v>8730</v>
      </c>
      <c r="C713" s="101">
        <v>2049</v>
      </c>
      <c r="D713" t="s">
        <v>9956</v>
      </c>
      <c r="E713" t="s">
        <v>1103</v>
      </c>
      <c r="G713" t="s">
        <v>3434</v>
      </c>
      <c r="K713" t="s">
        <v>9957</v>
      </c>
      <c r="S713" t="s">
        <v>169</v>
      </c>
      <c r="T713" t="s">
        <v>9</v>
      </c>
    </row>
    <row r="714" spans="1:20">
      <c r="A714" t="s">
        <v>3465</v>
      </c>
      <c r="B714" t="s">
        <v>8730</v>
      </c>
      <c r="C714" s="101">
        <v>2050</v>
      </c>
      <c r="D714" t="s">
        <v>9958</v>
      </c>
      <c r="E714" t="s">
        <v>1103</v>
      </c>
      <c r="G714" t="s">
        <v>3434</v>
      </c>
      <c r="K714" t="s">
        <v>9959</v>
      </c>
      <c r="S714" t="s">
        <v>45</v>
      </c>
      <c r="T714" t="s">
        <v>9</v>
      </c>
    </row>
    <row r="715" spans="1:20">
      <c r="A715" t="s">
        <v>3465</v>
      </c>
      <c r="B715" t="s">
        <v>8730</v>
      </c>
      <c r="C715" s="101">
        <v>2051</v>
      </c>
      <c r="D715" t="s">
        <v>9960</v>
      </c>
      <c r="E715" t="s">
        <v>1248</v>
      </c>
      <c r="G715" t="s">
        <v>3434</v>
      </c>
      <c r="K715" t="s">
        <v>9961</v>
      </c>
      <c r="S715" t="s">
        <v>182</v>
      </c>
      <c r="T715" t="s">
        <v>9</v>
      </c>
    </row>
    <row r="716" spans="1:20">
      <c r="A716" t="s">
        <v>3465</v>
      </c>
      <c r="B716" t="s">
        <v>8730</v>
      </c>
      <c r="C716" s="101">
        <v>2052</v>
      </c>
      <c r="D716" t="s">
        <v>9962</v>
      </c>
      <c r="E716" t="s">
        <v>1248</v>
      </c>
      <c r="G716" t="s">
        <v>3434</v>
      </c>
      <c r="H716" t="s">
        <v>13397</v>
      </c>
      <c r="K716" t="s">
        <v>1168</v>
      </c>
      <c r="L716" t="s">
        <v>9963</v>
      </c>
      <c r="S716" t="s">
        <v>45</v>
      </c>
      <c r="T716" t="s">
        <v>9</v>
      </c>
    </row>
    <row r="717" spans="1:20">
      <c r="A717" t="s">
        <v>3465</v>
      </c>
      <c r="B717" t="s">
        <v>8730</v>
      </c>
      <c r="C717" s="101">
        <v>2053</v>
      </c>
      <c r="D717" t="s">
        <v>9964</v>
      </c>
      <c r="E717" t="s">
        <v>1248</v>
      </c>
      <c r="G717" t="s">
        <v>3434</v>
      </c>
      <c r="K717" t="s">
        <v>3</v>
      </c>
      <c r="L717" t="s">
        <v>9965</v>
      </c>
      <c r="S717" t="s">
        <v>27</v>
      </c>
      <c r="T717" t="s">
        <v>9</v>
      </c>
    </row>
    <row r="718" spans="1:20">
      <c r="A718" t="s">
        <v>3465</v>
      </c>
      <c r="B718" t="s">
        <v>8730</v>
      </c>
      <c r="C718" s="101">
        <v>2054</v>
      </c>
      <c r="D718" t="s">
        <v>9966</v>
      </c>
      <c r="E718" t="s">
        <v>1105</v>
      </c>
      <c r="G718" t="s">
        <v>3434</v>
      </c>
      <c r="K718" t="s">
        <v>9967</v>
      </c>
      <c r="L718" t="s">
        <v>9968</v>
      </c>
      <c r="S718" t="s">
        <v>30</v>
      </c>
      <c r="T718" t="s">
        <v>9</v>
      </c>
    </row>
    <row r="719" spans="1:20">
      <c r="A719" t="s">
        <v>3465</v>
      </c>
      <c r="B719" t="s">
        <v>8730</v>
      </c>
      <c r="C719" s="101">
        <v>2056</v>
      </c>
      <c r="D719" t="s">
        <v>9969</v>
      </c>
      <c r="E719" t="s">
        <v>1248</v>
      </c>
      <c r="G719" t="s">
        <v>3434</v>
      </c>
      <c r="K719" t="s">
        <v>9970</v>
      </c>
      <c r="L719" t="s">
        <v>9971</v>
      </c>
      <c r="M719" t="s">
        <v>9972</v>
      </c>
      <c r="S719" t="s">
        <v>53</v>
      </c>
      <c r="T719" t="s">
        <v>9</v>
      </c>
    </row>
    <row r="720" spans="1:20">
      <c r="A720" t="s">
        <v>3465</v>
      </c>
      <c r="B720" t="s">
        <v>8730</v>
      </c>
      <c r="C720" s="101">
        <v>2057</v>
      </c>
      <c r="D720" t="s">
        <v>9973</v>
      </c>
      <c r="E720" t="s">
        <v>1248</v>
      </c>
      <c r="G720" t="s">
        <v>3434</v>
      </c>
      <c r="K720" t="s">
        <v>9974</v>
      </c>
      <c r="L720" t="s">
        <v>9975</v>
      </c>
      <c r="S720" t="s">
        <v>5685</v>
      </c>
      <c r="T720" t="s">
        <v>9</v>
      </c>
    </row>
    <row r="721" spans="1:20">
      <c r="A721" t="s">
        <v>3465</v>
      </c>
      <c r="B721" t="s">
        <v>8730</v>
      </c>
      <c r="C721" s="101">
        <v>2058</v>
      </c>
      <c r="D721" t="s">
        <v>9976</v>
      </c>
      <c r="E721" t="s">
        <v>1105</v>
      </c>
      <c r="G721" t="s">
        <v>3086</v>
      </c>
      <c r="H721" t="s">
        <v>5672</v>
      </c>
      <c r="K721" t="s">
        <v>9977</v>
      </c>
      <c r="P721" t="s">
        <v>9978</v>
      </c>
      <c r="S721" t="s">
        <v>27</v>
      </c>
      <c r="T721" t="s">
        <v>9</v>
      </c>
    </row>
    <row r="722" spans="1:20">
      <c r="A722" t="s">
        <v>3465</v>
      </c>
      <c r="B722" t="s">
        <v>8730</v>
      </c>
      <c r="C722" s="101">
        <v>2059</v>
      </c>
      <c r="D722" t="s">
        <v>9979</v>
      </c>
      <c r="E722" t="s">
        <v>1248</v>
      </c>
      <c r="G722" t="s">
        <v>3434</v>
      </c>
      <c r="K722" t="s">
        <v>9980</v>
      </c>
      <c r="S722" t="s">
        <v>52</v>
      </c>
      <c r="T722" t="s">
        <v>9</v>
      </c>
    </row>
    <row r="723" spans="1:20">
      <c r="A723" t="s">
        <v>3465</v>
      </c>
      <c r="B723" t="s">
        <v>8730</v>
      </c>
      <c r="C723" s="101">
        <v>2060</v>
      </c>
      <c r="D723" t="s">
        <v>9981</v>
      </c>
      <c r="E723" t="s">
        <v>1248</v>
      </c>
      <c r="G723" t="s">
        <v>3434</v>
      </c>
      <c r="K723" t="s">
        <v>9982</v>
      </c>
      <c r="S723" t="s">
        <v>171</v>
      </c>
      <c r="T723" t="s">
        <v>9</v>
      </c>
    </row>
    <row r="724" spans="1:20">
      <c r="A724" t="s">
        <v>3465</v>
      </c>
      <c r="B724" t="s">
        <v>8730</v>
      </c>
      <c r="C724" s="101">
        <v>2061</v>
      </c>
      <c r="D724" t="s">
        <v>9983</v>
      </c>
      <c r="E724" t="s">
        <v>1248</v>
      </c>
      <c r="G724" t="s">
        <v>3434</v>
      </c>
      <c r="K724" t="s">
        <v>9984</v>
      </c>
      <c r="S724" t="s">
        <v>50</v>
      </c>
      <c r="T724" t="s">
        <v>9</v>
      </c>
    </row>
    <row r="725" spans="1:20">
      <c r="A725" t="s">
        <v>3465</v>
      </c>
      <c r="B725" t="s">
        <v>8730</v>
      </c>
      <c r="C725" s="101">
        <v>2062</v>
      </c>
      <c r="D725" t="s">
        <v>9985</v>
      </c>
      <c r="E725" t="s">
        <v>1248</v>
      </c>
      <c r="G725" t="s">
        <v>3434</v>
      </c>
      <c r="K725" t="s">
        <v>9986</v>
      </c>
      <c r="L725" t="s">
        <v>9987</v>
      </c>
      <c r="S725" t="s">
        <v>17</v>
      </c>
      <c r="T725" t="s">
        <v>9</v>
      </c>
    </row>
    <row r="726" spans="1:20">
      <c r="A726" t="s">
        <v>3465</v>
      </c>
      <c r="B726" t="s">
        <v>8730</v>
      </c>
      <c r="C726" s="101">
        <v>2063</v>
      </c>
      <c r="D726" t="s">
        <v>9988</v>
      </c>
      <c r="E726" t="s">
        <v>1105</v>
      </c>
      <c r="G726" t="s">
        <v>3434</v>
      </c>
      <c r="H726" t="s">
        <v>13397</v>
      </c>
      <c r="K726" t="s">
        <v>1168</v>
      </c>
      <c r="L726" t="s">
        <v>9989</v>
      </c>
      <c r="S726" t="s">
        <v>44</v>
      </c>
      <c r="T726" t="s">
        <v>9</v>
      </c>
    </row>
    <row r="727" spans="1:20">
      <c r="A727" t="s">
        <v>3465</v>
      </c>
      <c r="B727" t="s">
        <v>8730</v>
      </c>
      <c r="C727" s="101">
        <v>2064</v>
      </c>
      <c r="D727" t="s">
        <v>9990</v>
      </c>
      <c r="E727" t="s">
        <v>1248</v>
      </c>
      <c r="G727" t="s">
        <v>3434</v>
      </c>
      <c r="K727" t="s">
        <v>9991</v>
      </c>
      <c r="S727" t="s">
        <v>180</v>
      </c>
      <c r="T727" t="s">
        <v>9</v>
      </c>
    </row>
    <row r="728" spans="1:20">
      <c r="A728" t="s">
        <v>3465</v>
      </c>
      <c r="B728" t="s">
        <v>8730</v>
      </c>
      <c r="C728" s="101">
        <v>2066</v>
      </c>
      <c r="D728" t="s">
        <v>9992</v>
      </c>
      <c r="E728" t="s">
        <v>1248</v>
      </c>
      <c r="G728" t="s">
        <v>3434</v>
      </c>
      <c r="K728" t="s">
        <v>9993</v>
      </c>
      <c r="S728" t="s">
        <v>3747</v>
      </c>
      <c r="T728" t="s">
        <v>9</v>
      </c>
    </row>
    <row r="729" spans="1:20">
      <c r="A729" t="s">
        <v>3465</v>
      </c>
      <c r="B729" t="s">
        <v>8730</v>
      </c>
      <c r="C729" s="101">
        <v>2067</v>
      </c>
      <c r="D729" t="s">
        <v>9994</v>
      </c>
      <c r="E729" t="s">
        <v>1105</v>
      </c>
      <c r="G729" t="s">
        <v>3434</v>
      </c>
      <c r="K729" t="s">
        <v>9995</v>
      </c>
      <c r="S729" t="s">
        <v>52</v>
      </c>
      <c r="T729" t="s">
        <v>9</v>
      </c>
    </row>
    <row r="730" spans="1:20">
      <c r="A730" t="s">
        <v>3465</v>
      </c>
      <c r="B730" t="s">
        <v>8730</v>
      </c>
      <c r="C730" s="101">
        <v>2068</v>
      </c>
      <c r="D730" t="s">
        <v>9996</v>
      </c>
      <c r="E730" t="s">
        <v>1248</v>
      </c>
      <c r="G730" t="s">
        <v>3434</v>
      </c>
      <c r="K730" t="s">
        <v>9997</v>
      </c>
      <c r="S730" t="s">
        <v>5685</v>
      </c>
      <c r="T730" t="s">
        <v>9</v>
      </c>
    </row>
    <row r="731" spans="1:20">
      <c r="A731" t="s">
        <v>3465</v>
      </c>
      <c r="B731" t="s">
        <v>8730</v>
      </c>
      <c r="C731" s="101">
        <v>2069</v>
      </c>
      <c r="D731" t="s">
        <v>9998</v>
      </c>
      <c r="E731" t="s">
        <v>1105</v>
      </c>
      <c r="G731" t="s">
        <v>3434</v>
      </c>
      <c r="K731" t="s">
        <v>9999</v>
      </c>
      <c r="L731" t="s">
        <v>10000</v>
      </c>
      <c r="S731" t="s">
        <v>174</v>
      </c>
      <c r="T731" t="s">
        <v>9</v>
      </c>
    </row>
    <row r="732" spans="1:20">
      <c r="A732" t="s">
        <v>3465</v>
      </c>
      <c r="B732" t="s">
        <v>8730</v>
      </c>
      <c r="C732" s="101">
        <v>2070</v>
      </c>
      <c r="D732" t="s">
        <v>10001</v>
      </c>
      <c r="E732" t="s">
        <v>1194</v>
      </c>
      <c r="G732" t="s">
        <v>3434</v>
      </c>
      <c r="K732" t="s">
        <v>8300</v>
      </c>
      <c r="L732" t="s">
        <v>10002</v>
      </c>
      <c r="M732" t="s">
        <v>10003</v>
      </c>
      <c r="S732" t="s">
        <v>33</v>
      </c>
      <c r="T732" t="s">
        <v>9</v>
      </c>
    </row>
    <row r="733" spans="1:20">
      <c r="A733" t="s">
        <v>3465</v>
      </c>
      <c r="B733" t="s">
        <v>8730</v>
      </c>
      <c r="C733" s="101">
        <v>2071</v>
      </c>
      <c r="D733" t="s">
        <v>10004</v>
      </c>
      <c r="E733" t="s">
        <v>1194</v>
      </c>
      <c r="G733" t="s">
        <v>3434</v>
      </c>
      <c r="H733" t="s">
        <v>3402</v>
      </c>
      <c r="K733" t="s">
        <v>10005</v>
      </c>
      <c r="L733" t="s">
        <v>10006</v>
      </c>
      <c r="S733" t="s">
        <v>5281</v>
      </c>
      <c r="T733" t="s">
        <v>9</v>
      </c>
    </row>
    <row r="734" spans="1:20">
      <c r="A734" t="s">
        <v>3465</v>
      </c>
      <c r="B734" t="s">
        <v>8730</v>
      </c>
      <c r="C734" s="101">
        <v>2072</v>
      </c>
      <c r="D734" t="s">
        <v>10007</v>
      </c>
      <c r="E734" t="s">
        <v>4757</v>
      </c>
      <c r="G734" t="s">
        <v>1526</v>
      </c>
      <c r="K734" t="s">
        <v>8279</v>
      </c>
      <c r="L734" t="s">
        <v>10008</v>
      </c>
      <c r="M734" t="s">
        <v>10009</v>
      </c>
      <c r="N734" t="s">
        <v>10010</v>
      </c>
      <c r="O734" t="s">
        <v>10011</v>
      </c>
      <c r="S734" t="s">
        <v>5719</v>
      </c>
      <c r="T734" t="s">
        <v>9</v>
      </c>
    </row>
    <row r="735" spans="1:20">
      <c r="A735" t="s">
        <v>3465</v>
      </c>
      <c r="B735" t="s">
        <v>8730</v>
      </c>
      <c r="C735" s="101">
        <v>2073</v>
      </c>
      <c r="D735" t="s">
        <v>10012</v>
      </c>
      <c r="E735" t="s">
        <v>1250</v>
      </c>
      <c r="G735" t="s">
        <v>3434</v>
      </c>
      <c r="K735" t="s">
        <v>10013</v>
      </c>
      <c r="S735" t="s">
        <v>3747</v>
      </c>
      <c r="T735" t="s">
        <v>9</v>
      </c>
    </row>
    <row r="736" spans="1:20">
      <c r="A736" t="s">
        <v>3465</v>
      </c>
      <c r="B736" t="s">
        <v>8730</v>
      </c>
      <c r="C736" s="101">
        <v>2074</v>
      </c>
      <c r="D736" t="s">
        <v>10014</v>
      </c>
      <c r="E736" t="s">
        <v>1194</v>
      </c>
      <c r="G736" t="s">
        <v>3434</v>
      </c>
      <c r="K736" t="s">
        <v>10015</v>
      </c>
      <c r="L736" t="s">
        <v>10016</v>
      </c>
      <c r="M736" t="s">
        <v>10017</v>
      </c>
      <c r="S736" t="s">
        <v>34</v>
      </c>
      <c r="T736" t="s">
        <v>9</v>
      </c>
    </row>
    <row r="737" spans="1:20">
      <c r="A737" t="s">
        <v>3465</v>
      </c>
      <c r="B737" t="s">
        <v>8730</v>
      </c>
      <c r="C737" s="101">
        <v>2076</v>
      </c>
      <c r="D737" t="s">
        <v>10018</v>
      </c>
      <c r="E737" t="s">
        <v>1251</v>
      </c>
      <c r="G737" t="s">
        <v>3434</v>
      </c>
      <c r="K737" t="s">
        <v>10019</v>
      </c>
      <c r="S737" t="s">
        <v>6</v>
      </c>
      <c r="T737" t="s">
        <v>9</v>
      </c>
    </row>
    <row r="738" spans="1:20">
      <c r="A738" t="s">
        <v>3465</v>
      </c>
      <c r="B738" t="s">
        <v>8730</v>
      </c>
      <c r="C738" s="101">
        <v>2077</v>
      </c>
      <c r="D738" t="s">
        <v>10020</v>
      </c>
      <c r="E738" t="s">
        <v>1251</v>
      </c>
      <c r="G738" t="s">
        <v>3434</v>
      </c>
      <c r="K738" t="s">
        <v>10021</v>
      </c>
      <c r="L738" t="s">
        <v>10022</v>
      </c>
      <c r="M738" t="s">
        <v>10023</v>
      </c>
      <c r="S738" t="s">
        <v>32</v>
      </c>
      <c r="T738" t="s">
        <v>9</v>
      </c>
    </row>
    <row r="739" spans="1:20">
      <c r="A739" t="s">
        <v>3465</v>
      </c>
      <c r="B739" t="s">
        <v>8730</v>
      </c>
      <c r="C739" s="101">
        <v>2078</v>
      </c>
      <c r="D739" t="s">
        <v>10024</v>
      </c>
      <c r="E739" t="s">
        <v>10025</v>
      </c>
      <c r="G739" t="s">
        <v>3434</v>
      </c>
      <c r="K739" t="s">
        <v>10026</v>
      </c>
      <c r="S739" t="s">
        <v>170</v>
      </c>
      <c r="T739" t="s">
        <v>9</v>
      </c>
    </row>
    <row r="740" spans="1:20">
      <c r="A740" s="101" t="s">
        <v>4768</v>
      </c>
      <c r="B740" s="101" t="s">
        <v>8730</v>
      </c>
      <c r="C740" s="101">
        <v>3033</v>
      </c>
      <c r="D740" s="102" t="s">
        <v>10032</v>
      </c>
      <c r="E740" s="102" t="s">
        <v>1104</v>
      </c>
      <c r="F740" s="102"/>
      <c r="G740" s="102" t="s">
        <v>13395</v>
      </c>
      <c r="H740" s="102" t="s">
        <v>13396</v>
      </c>
      <c r="I740" s="102"/>
      <c r="J740" s="102"/>
      <c r="K740" s="102" t="s">
        <v>1989</v>
      </c>
      <c r="L740" s="102" t="s">
        <v>10033</v>
      </c>
      <c r="M740" s="102" t="s">
        <v>10034</v>
      </c>
      <c r="N740" s="102" t="s">
        <v>10035</v>
      </c>
      <c r="O740" s="102"/>
      <c r="P740" s="102" t="s">
        <v>10036</v>
      </c>
      <c r="Q740" s="102"/>
      <c r="R740" s="102"/>
      <c r="S740" s="102" t="s">
        <v>14</v>
      </c>
      <c r="T740" s="102" t="s">
        <v>41</v>
      </c>
    </row>
    <row r="741" spans="1:20">
      <c r="A741" s="101" t="s">
        <v>4768</v>
      </c>
      <c r="B741" s="101" t="s">
        <v>8730</v>
      </c>
      <c r="C741" s="101">
        <v>3042</v>
      </c>
      <c r="D741" s="102" t="s">
        <v>10037</v>
      </c>
      <c r="E741" s="102" t="s">
        <v>1103</v>
      </c>
      <c r="F741" s="102"/>
      <c r="G741" s="102" t="s">
        <v>3434</v>
      </c>
      <c r="H741" s="102"/>
      <c r="I741" s="102"/>
      <c r="J741" s="102"/>
      <c r="K741" s="102" t="s">
        <v>10038</v>
      </c>
      <c r="L741" s="102" t="s">
        <v>10039</v>
      </c>
      <c r="M741" s="102" t="s">
        <v>10040</v>
      </c>
      <c r="N741" s="102" t="s">
        <v>10041</v>
      </c>
      <c r="O741" s="102" t="s">
        <v>10042</v>
      </c>
      <c r="P741" s="102"/>
      <c r="Q741" s="102"/>
      <c r="R741" s="102"/>
      <c r="S741" s="102" t="s">
        <v>48</v>
      </c>
      <c r="T741" s="102" t="s">
        <v>41</v>
      </c>
    </row>
    <row r="742" spans="1:20">
      <c r="A742" s="101" t="s">
        <v>4768</v>
      </c>
      <c r="B742" s="101" t="s">
        <v>8730</v>
      </c>
      <c r="C742" s="101">
        <v>3055</v>
      </c>
      <c r="D742" s="102" t="s">
        <v>10043</v>
      </c>
      <c r="E742" s="102" t="s">
        <v>1248</v>
      </c>
      <c r="F742" s="102"/>
      <c r="G742" s="102" t="s">
        <v>3434</v>
      </c>
      <c r="H742" s="102"/>
      <c r="I742" s="102"/>
      <c r="J742" s="102"/>
      <c r="K742" s="102" t="s">
        <v>10044</v>
      </c>
      <c r="L742" s="102"/>
      <c r="M742" s="102"/>
      <c r="N742" s="102"/>
      <c r="O742" s="102"/>
      <c r="P742" s="102"/>
      <c r="Q742" s="102"/>
      <c r="R742" s="102"/>
      <c r="S742" s="102" t="s">
        <v>52</v>
      </c>
      <c r="T742" s="102" t="s">
        <v>41</v>
      </c>
    </row>
    <row r="743" spans="1:20">
      <c r="A743" s="101" t="s">
        <v>4768</v>
      </c>
      <c r="B743" s="101" t="s">
        <v>8730</v>
      </c>
      <c r="C743" s="101">
        <v>3075</v>
      </c>
      <c r="D743" s="102" t="s">
        <v>10045</v>
      </c>
      <c r="E743" s="102" t="s">
        <v>1251</v>
      </c>
      <c r="F743" s="102"/>
      <c r="G743" s="102" t="s">
        <v>3434</v>
      </c>
      <c r="H743" s="102" t="s">
        <v>13397</v>
      </c>
      <c r="I743" s="102"/>
      <c r="J743" s="102"/>
      <c r="K743" s="102" t="s">
        <v>1168</v>
      </c>
      <c r="L743" s="102" t="s">
        <v>10046</v>
      </c>
      <c r="M743" s="102"/>
      <c r="N743" s="102"/>
      <c r="O743" s="102"/>
      <c r="P743" s="102"/>
      <c r="Q743" s="102"/>
      <c r="R743" s="102"/>
      <c r="S743" s="102" t="s">
        <v>17</v>
      </c>
      <c r="T743" s="102" t="s">
        <v>41</v>
      </c>
    </row>
    <row r="744" spans="1:20">
      <c r="A744" s="101" t="s">
        <v>4053</v>
      </c>
      <c r="B744" s="101" t="s">
        <v>8730</v>
      </c>
      <c r="C744" s="101">
        <v>4011</v>
      </c>
      <c r="D744" s="102" t="s">
        <v>10027</v>
      </c>
      <c r="E744" s="102" t="s">
        <v>1100</v>
      </c>
      <c r="F744" s="102"/>
      <c r="G744" s="102" t="s">
        <v>3434</v>
      </c>
      <c r="H744" s="102"/>
      <c r="I744" s="102"/>
      <c r="J744" s="102"/>
      <c r="K744" s="102" t="s">
        <v>10028</v>
      </c>
      <c r="L744" s="102"/>
      <c r="M744" s="102"/>
      <c r="N744" s="102"/>
      <c r="O744" s="102"/>
      <c r="P744" s="102"/>
      <c r="Q744" s="102"/>
      <c r="R744" s="102"/>
      <c r="S744" s="102" t="s">
        <v>3999</v>
      </c>
      <c r="T744" s="102" t="s">
        <v>4000</v>
      </c>
    </row>
    <row r="745" spans="1:20">
      <c r="A745" s="101" t="s">
        <v>4053</v>
      </c>
      <c r="B745" s="101" t="s">
        <v>8730</v>
      </c>
      <c r="C745" s="101">
        <v>4065</v>
      </c>
      <c r="D745" s="102" t="s">
        <v>10029</v>
      </c>
      <c r="E745" s="102" t="s">
        <v>1248</v>
      </c>
      <c r="F745" s="102"/>
      <c r="G745" s="102" t="s">
        <v>3434</v>
      </c>
      <c r="H745" s="102"/>
      <c r="I745" s="102"/>
      <c r="J745" s="102"/>
      <c r="K745" s="102" t="s">
        <v>10030</v>
      </c>
      <c r="L745" s="102" t="s">
        <v>10031</v>
      </c>
      <c r="M745" s="102"/>
      <c r="N745" s="102"/>
      <c r="O745" s="102"/>
      <c r="P745" s="102"/>
      <c r="Q745" s="102"/>
      <c r="R745" s="102"/>
      <c r="S745" s="102" t="s">
        <v>3999</v>
      </c>
      <c r="T745" s="102" t="s">
        <v>4000</v>
      </c>
    </row>
  </sheetData>
  <autoFilter ref="A1:T745"/>
  <phoneticPr fontId="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Y776"/>
  <sheetViews>
    <sheetView zoomScale="85" zoomScaleNormal="85" workbookViewId="0">
      <pane ySplit="1" topLeftCell="A197" activePane="bottomLeft" state="frozen"/>
      <selection pane="bottomLeft" sqref="A1:XFD1048576"/>
    </sheetView>
  </sheetViews>
  <sheetFormatPr defaultRowHeight="13.5"/>
  <cols>
    <col min="1" max="1" width="2.875" bestFit="1" customWidth="1"/>
    <col min="2" max="2" width="2.625" bestFit="1" customWidth="1"/>
    <col min="3" max="3" width="5.5" bestFit="1" customWidth="1"/>
    <col min="11" max="11" width="12.125" customWidth="1"/>
  </cols>
  <sheetData>
    <row r="1" spans="1:25" s="1" customFormat="1">
      <c r="D1" s="1" t="s">
        <v>3151</v>
      </c>
      <c r="E1" s="1" t="s">
        <v>3152</v>
      </c>
      <c r="F1" s="1" t="s">
        <v>3160</v>
      </c>
      <c r="G1" s="1" t="s">
        <v>3153</v>
      </c>
      <c r="I1" s="1" t="s">
        <v>3155</v>
      </c>
      <c r="J1" s="1" t="s">
        <v>3156</v>
      </c>
      <c r="K1" s="1" t="s">
        <v>3157</v>
      </c>
      <c r="P1" s="2" t="s">
        <v>3456</v>
      </c>
      <c r="Q1" s="64" t="s">
        <v>4051</v>
      </c>
      <c r="R1" s="64" t="s">
        <v>4052</v>
      </c>
      <c r="S1" s="1" t="s">
        <v>3159</v>
      </c>
      <c r="V1" s="4" t="s">
        <v>3881</v>
      </c>
      <c r="W1" s="8" t="s">
        <v>3882</v>
      </c>
      <c r="X1" s="9" t="s">
        <v>3906</v>
      </c>
      <c r="Y1" s="10" t="s">
        <v>3907</v>
      </c>
    </row>
    <row r="2" spans="1:25" s="1" customFormat="1">
      <c r="A2" s="4" t="s">
        <v>13433</v>
      </c>
      <c r="B2" s="4"/>
      <c r="C2" s="4"/>
      <c r="D2" s="4" t="s">
        <v>3634</v>
      </c>
      <c r="E2" s="4" t="s">
        <v>3513</v>
      </c>
      <c r="F2" s="4">
        <v>3</v>
      </c>
      <c r="G2" s="4" t="s">
        <v>3403</v>
      </c>
      <c r="H2" s="4"/>
      <c r="I2" s="4"/>
      <c r="J2" s="4"/>
      <c r="K2" s="4" t="s">
        <v>13331</v>
      </c>
      <c r="L2" s="4" t="s">
        <v>13336</v>
      </c>
      <c r="M2" s="4" t="s">
        <v>13337</v>
      </c>
      <c r="N2" s="4"/>
      <c r="O2" s="4"/>
      <c r="P2" s="5"/>
      <c r="Q2" s="65"/>
      <c r="R2" s="64"/>
      <c r="S2" s="1" t="s">
        <v>3733</v>
      </c>
      <c r="V2" s="4"/>
      <c r="W2" s="8"/>
      <c r="X2" s="9"/>
      <c r="Y2" s="10"/>
    </row>
    <row r="3" spans="1:25">
      <c r="A3" t="s">
        <v>3498</v>
      </c>
      <c r="B3" t="s">
        <v>3759</v>
      </c>
      <c r="C3" s="1">
        <v>1</v>
      </c>
      <c r="D3" t="s">
        <v>10323</v>
      </c>
      <c r="E3" t="s">
        <v>1370</v>
      </c>
      <c r="G3" t="s">
        <v>3403</v>
      </c>
      <c r="K3" t="s">
        <v>10324</v>
      </c>
      <c r="S3" t="s">
        <v>178</v>
      </c>
      <c r="T3" t="s">
        <v>4</v>
      </c>
    </row>
    <row r="4" spans="1:25">
      <c r="A4" t="s">
        <v>3498</v>
      </c>
      <c r="B4" t="s">
        <v>3759</v>
      </c>
      <c r="C4" s="101">
        <v>2</v>
      </c>
      <c r="D4" t="s">
        <v>10325</v>
      </c>
      <c r="E4" t="s">
        <v>1370</v>
      </c>
      <c r="G4" t="s">
        <v>3403</v>
      </c>
      <c r="K4" t="s">
        <v>10326</v>
      </c>
      <c r="S4" t="s">
        <v>5685</v>
      </c>
      <c r="T4" t="s">
        <v>4</v>
      </c>
    </row>
    <row r="5" spans="1:25">
      <c r="A5" t="s">
        <v>3498</v>
      </c>
      <c r="B5" t="s">
        <v>3759</v>
      </c>
      <c r="C5" s="101">
        <v>3</v>
      </c>
      <c r="D5" t="s">
        <v>10327</v>
      </c>
      <c r="E5" t="s">
        <v>1370</v>
      </c>
      <c r="G5" t="s">
        <v>3403</v>
      </c>
      <c r="K5" t="s">
        <v>10328</v>
      </c>
      <c r="S5" t="s">
        <v>178</v>
      </c>
      <c r="T5" t="s">
        <v>4</v>
      </c>
    </row>
    <row r="6" spans="1:25">
      <c r="A6" t="s">
        <v>3498</v>
      </c>
      <c r="B6" t="s">
        <v>3759</v>
      </c>
      <c r="C6" s="101">
        <v>4</v>
      </c>
      <c r="D6" t="s">
        <v>4900</v>
      </c>
      <c r="E6" t="s">
        <v>1370</v>
      </c>
      <c r="G6" t="s">
        <v>3403</v>
      </c>
      <c r="K6" t="s">
        <v>4901</v>
      </c>
      <c r="S6" t="s">
        <v>176</v>
      </c>
      <c r="T6" t="s">
        <v>4</v>
      </c>
    </row>
    <row r="7" spans="1:25">
      <c r="A7" t="s">
        <v>3498</v>
      </c>
      <c r="B7" t="s">
        <v>3759</v>
      </c>
      <c r="C7" s="101">
        <v>5</v>
      </c>
      <c r="D7" t="s">
        <v>10329</v>
      </c>
      <c r="E7" t="s">
        <v>1370</v>
      </c>
      <c r="G7" t="s">
        <v>3403</v>
      </c>
      <c r="K7" t="s">
        <v>10330</v>
      </c>
      <c r="L7" t="s">
        <v>10331</v>
      </c>
      <c r="S7" t="s">
        <v>27</v>
      </c>
      <c r="T7" t="s">
        <v>4</v>
      </c>
    </row>
    <row r="8" spans="1:25">
      <c r="A8" t="s">
        <v>3498</v>
      </c>
      <c r="B8" t="s">
        <v>3759</v>
      </c>
      <c r="C8" s="101">
        <v>6</v>
      </c>
      <c r="D8" t="s">
        <v>10332</v>
      </c>
      <c r="E8" t="s">
        <v>1370</v>
      </c>
      <c r="G8" t="s">
        <v>3445</v>
      </c>
      <c r="H8" t="s">
        <v>13403</v>
      </c>
      <c r="K8" t="s">
        <v>10333</v>
      </c>
      <c r="S8" t="s">
        <v>5281</v>
      </c>
      <c r="T8" t="s">
        <v>4</v>
      </c>
    </row>
    <row r="9" spans="1:25">
      <c r="A9" t="s">
        <v>3498</v>
      </c>
      <c r="B9" t="s">
        <v>3759</v>
      </c>
      <c r="C9" s="101">
        <v>7</v>
      </c>
      <c r="D9" t="s">
        <v>10334</v>
      </c>
      <c r="E9" t="s">
        <v>1370</v>
      </c>
      <c r="G9" t="s">
        <v>3403</v>
      </c>
      <c r="K9" t="s">
        <v>10335</v>
      </c>
      <c r="S9" t="s">
        <v>30</v>
      </c>
      <c r="T9" t="s">
        <v>4</v>
      </c>
    </row>
    <row r="10" spans="1:25">
      <c r="A10" t="s">
        <v>3498</v>
      </c>
      <c r="B10" t="s">
        <v>3759</v>
      </c>
      <c r="C10" s="101">
        <v>8</v>
      </c>
      <c r="D10" t="s">
        <v>10336</v>
      </c>
      <c r="E10" t="s">
        <v>10337</v>
      </c>
      <c r="G10" t="s">
        <v>3403</v>
      </c>
      <c r="K10" t="s">
        <v>10338</v>
      </c>
      <c r="S10" t="s">
        <v>170</v>
      </c>
      <c r="T10" t="s">
        <v>4</v>
      </c>
    </row>
    <row r="11" spans="1:25">
      <c r="A11" t="s">
        <v>3498</v>
      </c>
      <c r="B11" t="s">
        <v>3759</v>
      </c>
      <c r="C11" s="101">
        <v>9</v>
      </c>
      <c r="D11" t="s">
        <v>10339</v>
      </c>
      <c r="E11" t="s">
        <v>1370</v>
      </c>
      <c r="G11" t="s">
        <v>3403</v>
      </c>
      <c r="K11" t="s">
        <v>10340</v>
      </c>
      <c r="L11" t="s">
        <v>10341</v>
      </c>
      <c r="S11" t="s">
        <v>31</v>
      </c>
      <c r="T11" t="s">
        <v>4</v>
      </c>
    </row>
    <row r="12" spans="1:25">
      <c r="A12" t="s">
        <v>3498</v>
      </c>
      <c r="B12" t="s">
        <v>3759</v>
      </c>
      <c r="C12" s="101">
        <v>10</v>
      </c>
      <c r="D12" t="s">
        <v>10342</v>
      </c>
      <c r="E12" t="s">
        <v>1370</v>
      </c>
      <c r="G12" t="s">
        <v>3403</v>
      </c>
      <c r="K12" t="s">
        <v>10343</v>
      </c>
      <c r="S12" t="s">
        <v>52</v>
      </c>
      <c r="T12" t="s">
        <v>4</v>
      </c>
    </row>
    <row r="13" spans="1:25">
      <c r="A13" t="s">
        <v>3498</v>
      </c>
      <c r="B13" t="s">
        <v>3759</v>
      </c>
      <c r="C13" s="101">
        <v>11</v>
      </c>
      <c r="D13" t="s">
        <v>10344</v>
      </c>
      <c r="E13" t="s">
        <v>1370</v>
      </c>
      <c r="G13" t="s">
        <v>3403</v>
      </c>
      <c r="K13" t="s">
        <v>10345</v>
      </c>
      <c r="S13" t="s">
        <v>39</v>
      </c>
      <c r="T13" t="s">
        <v>4</v>
      </c>
    </row>
    <row r="14" spans="1:25">
      <c r="A14" t="s">
        <v>3498</v>
      </c>
      <c r="B14" t="s">
        <v>3759</v>
      </c>
      <c r="C14" s="101">
        <v>12</v>
      </c>
      <c r="D14" t="s">
        <v>10346</v>
      </c>
      <c r="E14" t="s">
        <v>1370</v>
      </c>
      <c r="G14" t="s">
        <v>3403</v>
      </c>
      <c r="K14" t="s">
        <v>10347</v>
      </c>
      <c r="L14" t="s">
        <v>10348</v>
      </c>
      <c r="S14" t="s">
        <v>5719</v>
      </c>
      <c r="T14" t="s">
        <v>4</v>
      </c>
    </row>
    <row r="15" spans="1:25">
      <c r="A15" t="s">
        <v>3498</v>
      </c>
      <c r="B15" t="s">
        <v>3759</v>
      </c>
      <c r="C15" s="101">
        <v>13</v>
      </c>
      <c r="D15" t="s">
        <v>10349</v>
      </c>
      <c r="E15" t="s">
        <v>1370</v>
      </c>
      <c r="G15" t="s">
        <v>3403</v>
      </c>
      <c r="H15" t="s">
        <v>5180</v>
      </c>
      <c r="K15" t="s">
        <v>10350</v>
      </c>
      <c r="L15" t="s">
        <v>10351</v>
      </c>
      <c r="S15" t="s">
        <v>179</v>
      </c>
      <c r="T15" t="s">
        <v>4</v>
      </c>
    </row>
    <row r="16" spans="1:25">
      <c r="A16" t="s">
        <v>3498</v>
      </c>
      <c r="B16" t="s">
        <v>3759</v>
      </c>
      <c r="C16" s="101">
        <v>14</v>
      </c>
      <c r="D16" t="s">
        <v>10352</v>
      </c>
      <c r="E16" t="s">
        <v>1370</v>
      </c>
      <c r="G16" t="s">
        <v>3403</v>
      </c>
      <c r="K16" t="s">
        <v>10353</v>
      </c>
      <c r="S16" t="s">
        <v>35</v>
      </c>
      <c r="T16" t="s">
        <v>4</v>
      </c>
    </row>
    <row r="17" spans="1:20">
      <c r="A17" t="s">
        <v>3498</v>
      </c>
      <c r="B17" t="s">
        <v>3759</v>
      </c>
      <c r="C17" s="101">
        <v>15</v>
      </c>
      <c r="D17" t="s">
        <v>10354</v>
      </c>
      <c r="E17" t="s">
        <v>1370</v>
      </c>
      <c r="G17" t="s">
        <v>3403</v>
      </c>
      <c r="K17" t="s">
        <v>10355</v>
      </c>
      <c r="L17" t="s">
        <v>3768</v>
      </c>
      <c r="S17" t="s">
        <v>5281</v>
      </c>
      <c r="T17" t="s">
        <v>4</v>
      </c>
    </row>
    <row r="18" spans="1:20">
      <c r="A18" t="s">
        <v>3498</v>
      </c>
      <c r="B18" t="s">
        <v>3759</v>
      </c>
      <c r="C18" s="101">
        <v>16</v>
      </c>
      <c r="D18" t="s">
        <v>10356</v>
      </c>
      <c r="E18" t="s">
        <v>1370</v>
      </c>
      <c r="G18" t="s">
        <v>3403</v>
      </c>
      <c r="K18" t="s">
        <v>10357</v>
      </c>
      <c r="L18" t="s">
        <v>10358</v>
      </c>
      <c r="S18" t="s">
        <v>6</v>
      </c>
      <c r="T18" t="s">
        <v>4</v>
      </c>
    </row>
    <row r="19" spans="1:20">
      <c r="A19" t="s">
        <v>3498</v>
      </c>
      <c r="B19" t="s">
        <v>3759</v>
      </c>
      <c r="C19" s="101">
        <v>17</v>
      </c>
      <c r="D19" t="s">
        <v>10359</v>
      </c>
      <c r="E19" t="s">
        <v>1370</v>
      </c>
      <c r="G19" t="s">
        <v>3403</v>
      </c>
      <c r="K19" t="s">
        <v>10360</v>
      </c>
      <c r="L19" t="s">
        <v>10361</v>
      </c>
      <c r="S19" t="s">
        <v>16</v>
      </c>
      <c r="T19" t="s">
        <v>4</v>
      </c>
    </row>
    <row r="20" spans="1:20">
      <c r="A20" t="s">
        <v>3498</v>
      </c>
      <c r="B20" t="s">
        <v>3759</v>
      </c>
      <c r="C20" s="101">
        <v>18</v>
      </c>
      <c r="D20" t="s">
        <v>10362</v>
      </c>
      <c r="E20" t="s">
        <v>1370</v>
      </c>
      <c r="G20" t="s">
        <v>3403</v>
      </c>
      <c r="K20" t="s">
        <v>10363</v>
      </c>
      <c r="S20" t="s">
        <v>39</v>
      </c>
      <c r="T20" t="s">
        <v>4</v>
      </c>
    </row>
    <row r="21" spans="1:20">
      <c r="A21" t="s">
        <v>3498</v>
      </c>
      <c r="B21" t="s">
        <v>3759</v>
      </c>
      <c r="C21" s="101">
        <v>19</v>
      </c>
      <c r="D21" t="s">
        <v>10364</v>
      </c>
      <c r="E21" t="s">
        <v>1370</v>
      </c>
      <c r="G21" t="s">
        <v>3403</v>
      </c>
      <c r="K21" t="s">
        <v>10365</v>
      </c>
      <c r="S21" t="s">
        <v>33</v>
      </c>
      <c r="T21" t="s">
        <v>4</v>
      </c>
    </row>
    <row r="22" spans="1:20">
      <c r="A22" t="s">
        <v>3498</v>
      </c>
      <c r="B22" t="s">
        <v>3759</v>
      </c>
      <c r="C22" s="101">
        <v>20</v>
      </c>
      <c r="D22" t="s">
        <v>4911</v>
      </c>
      <c r="E22" t="s">
        <v>1370</v>
      </c>
      <c r="G22" t="s">
        <v>3403</v>
      </c>
      <c r="K22" t="s">
        <v>10366</v>
      </c>
      <c r="L22" t="s">
        <v>10367</v>
      </c>
      <c r="S22" t="s">
        <v>50</v>
      </c>
      <c r="T22" t="s">
        <v>4</v>
      </c>
    </row>
    <row r="23" spans="1:20">
      <c r="A23" t="s">
        <v>3498</v>
      </c>
      <c r="B23" t="s">
        <v>3759</v>
      </c>
      <c r="C23" s="101">
        <v>21</v>
      </c>
      <c r="D23" t="s">
        <v>10368</v>
      </c>
      <c r="E23" t="s">
        <v>1370</v>
      </c>
      <c r="G23" t="s">
        <v>3403</v>
      </c>
      <c r="K23" t="s">
        <v>10369</v>
      </c>
      <c r="L23" t="s">
        <v>10370</v>
      </c>
      <c r="S23" t="s">
        <v>607</v>
      </c>
      <c r="T23" t="s">
        <v>4</v>
      </c>
    </row>
    <row r="24" spans="1:20">
      <c r="A24" t="s">
        <v>3498</v>
      </c>
      <c r="B24" t="s">
        <v>3759</v>
      </c>
      <c r="C24" s="101">
        <v>22</v>
      </c>
      <c r="D24" t="s">
        <v>10371</v>
      </c>
      <c r="E24" t="s">
        <v>10372</v>
      </c>
      <c r="G24" t="s">
        <v>3403</v>
      </c>
      <c r="K24" t="s">
        <v>5099</v>
      </c>
      <c r="L24" t="s">
        <v>10373</v>
      </c>
      <c r="S24" t="s">
        <v>184</v>
      </c>
      <c r="T24" t="s">
        <v>4</v>
      </c>
    </row>
    <row r="25" spans="1:20">
      <c r="A25" t="s">
        <v>3498</v>
      </c>
      <c r="B25" t="s">
        <v>3759</v>
      </c>
      <c r="C25" s="101">
        <v>23</v>
      </c>
      <c r="D25" t="s">
        <v>10374</v>
      </c>
      <c r="E25" t="s">
        <v>1370</v>
      </c>
      <c r="G25" t="s">
        <v>3403</v>
      </c>
      <c r="K25" t="s">
        <v>10375</v>
      </c>
      <c r="L25" t="s">
        <v>10376</v>
      </c>
      <c r="S25" t="s">
        <v>6</v>
      </c>
      <c r="T25" t="s">
        <v>4</v>
      </c>
    </row>
    <row r="26" spans="1:20">
      <c r="A26" t="s">
        <v>3498</v>
      </c>
      <c r="B26" t="s">
        <v>3759</v>
      </c>
      <c r="C26" s="101">
        <v>24</v>
      </c>
      <c r="D26" t="s">
        <v>10377</v>
      </c>
      <c r="E26" t="s">
        <v>1370</v>
      </c>
      <c r="G26" t="s">
        <v>3403</v>
      </c>
      <c r="H26" t="s">
        <v>5180</v>
      </c>
      <c r="K26" t="s">
        <v>10378</v>
      </c>
      <c r="S26" t="s">
        <v>175</v>
      </c>
      <c r="T26" t="s">
        <v>4</v>
      </c>
    </row>
    <row r="27" spans="1:20">
      <c r="A27" t="s">
        <v>3498</v>
      </c>
      <c r="B27" t="s">
        <v>3759</v>
      </c>
      <c r="C27" s="101">
        <v>25</v>
      </c>
      <c r="D27" t="s">
        <v>10379</v>
      </c>
      <c r="E27" t="s">
        <v>1370</v>
      </c>
      <c r="G27" t="s">
        <v>3403</v>
      </c>
      <c r="K27" t="s">
        <v>10380</v>
      </c>
      <c r="S27" t="s">
        <v>49</v>
      </c>
      <c r="T27" t="s">
        <v>4</v>
      </c>
    </row>
    <row r="28" spans="1:20">
      <c r="A28" t="s">
        <v>3498</v>
      </c>
      <c r="B28" t="s">
        <v>3759</v>
      </c>
      <c r="C28" s="101">
        <v>26</v>
      </c>
      <c r="D28" t="s">
        <v>10381</v>
      </c>
      <c r="E28" t="s">
        <v>1370</v>
      </c>
      <c r="G28" t="s">
        <v>3403</v>
      </c>
      <c r="K28" t="s">
        <v>10382</v>
      </c>
      <c r="L28" t="s">
        <v>3768</v>
      </c>
      <c r="S28" t="s">
        <v>3747</v>
      </c>
      <c r="T28" t="s">
        <v>4</v>
      </c>
    </row>
    <row r="29" spans="1:20">
      <c r="A29" t="s">
        <v>3498</v>
      </c>
      <c r="B29" t="s">
        <v>3759</v>
      </c>
      <c r="C29" s="101">
        <v>27</v>
      </c>
      <c r="D29" t="s">
        <v>10383</v>
      </c>
      <c r="E29" t="s">
        <v>1370</v>
      </c>
      <c r="G29" t="s">
        <v>3403</v>
      </c>
      <c r="K29" t="s">
        <v>10384</v>
      </c>
      <c r="L29" t="s">
        <v>4277</v>
      </c>
      <c r="M29" t="s">
        <v>10385</v>
      </c>
      <c r="N29" t="s">
        <v>10386</v>
      </c>
      <c r="S29" t="s">
        <v>39</v>
      </c>
      <c r="T29" t="s">
        <v>4</v>
      </c>
    </row>
    <row r="30" spans="1:20">
      <c r="A30" t="s">
        <v>3498</v>
      </c>
      <c r="B30" t="s">
        <v>3759</v>
      </c>
      <c r="C30" s="101">
        <v>28</v>
      </c>
      <c r="D30" t="s">
        <v>10387</v>
      </c>
      <c r="E30" t="s">
        <v>1370</v>
      </c>
      <c r="G30" t="s">
        <v>3403</v>
      </c>
      <c r="K30" t="s">
        <v>10388</v>
      </c>
      <c r="S30" t="s">
        <v>177</v>
      </c>
      <c r="T30" t="s">
        <v>4</v>
      </c>
    </row>
    <row r="31" spans="1:20">
      <c r="A31" t="s">
        <v>3498</v>
      </c>
      <c r="B31" t="s">
        <v>3759</v>
      </c>
      <c r="C31" s="101">
        <v>29</v>
      </c>
      <c r="D31" t="s">
        <v>10389</v>
      </c>
      <c r="E31" t="s">
        <v>1370</v>
      </c>
      <c r="G31" t="s">
        <v>3403</v>
      </c>
      <c r="K31" t="s">
        <v>10390</v>
      </c>
      <c r="S31" t="s">
        <v>17</v>
      </c>
      <c r="T31" t="s">
        <v>4</v>
      </c>
    </row>
    <row r="32" spans="1:20">
      <c r="A32" t="s">
        <v>3498</v>
      </c>
      <c r="B32" t="s">
        <v>3759</v>
      </c>
      <c r="C32" s="101">
        <v>30</v>
      </c>
      <c r="D32" t="s">
        <v>10391</v>
      </c>
      <c r="E32" t="s">
        <v>1370</v>
      </c>
      <c r="G32" t="s">
        <v>3403</v>
      </c>
      <c r="K32" t="s">
        <v>10392</v>
      </c>
      <c r="S32" t="s">
        <v>48</v>
      </c>
      <c r="T32" t="s">
        <v>4</v>
      </c>
    </row>
    <row r="33" spans="1:20">
      <c r="A33" t="s">
        <v>3498</v>
      </c>
      <c r="B33" t="s">
        <v>3759</v>
      </c>
      <c r="C33" s="101">
        <v>31</v>
      </c>
      <c r="D33" t="s">
        <v>10393</v>
      </c>
      <c r="E33" t="s">
        <v>1370</v>
      </c>
      <c r="G33" t="s">
        <v>3403</v>
      </c>
      <c r="K33" t="s">
        <v>10394</v>
      </c>
      <c r="S33" t="s">
        <v>28</v>
      </c>
      <c r="T33" t="s">
        <v>4</v>
      </c>
    </row>
    <row r="34" spans="1:20">
      <c r="A34" t="s">
        <v>3498</v>
      </c>
      <c r="B34" t="s">
        <v>3759</v>
      </c>
      <c r="C34" s="101">
        <v>32</v>
      </c>
      <c r="D34" t="s">
        <v>10395</v>
      </c>
      <c r="E34" t="s">
        <v>1370</v>
      </c>
      <c r="G34" t="s">
        <v>3403</v>
      </c>
      <c r="K34" t="s">
        <v>10396</v>
      </c>
      <c r="S34" t="s">
        <v>8</v>
      </c>
      <c r="T34" t="s">
        <v>4</v>
      </c>
    </row>
    <row r="35" spans="1:20">
      <c r="A35" t="s">
        <v>3498</v>
      </c>
      <c r="B35" t="s">
        <v>3759</v>
      </c>
      <c r="C35" s="101">
        <v>33</v>
      </c>
      <c r="D35" t="s">
        <v>10397</v>
      </c>
      <c r="E35" t="s">
        <v>1370</v>
      </c>
      <c r="G35" t="s">
        <v>3403</v>
      </c>
      <c r="K35" t="s">
        <v>5014</v>
      </c>
      <c r="L35" t="s">
        <v>10398</v>
      </c>
      <c r="S35" t="s">
        <v>172</v>
      </c>
      <c r="T35" t="s">
        <v>4</v>
      </c>
    </row>
    <row r="36" spans="1:20">
      <c r="A36" t="s">
        <v>3498</v>
      </c>
      <c r="B36" t="s">
        <v>3759</v>
      </c>
      <c r="C36" s="101">
        <v>34</v>
      </c>
      <c r="D36" t="s">
        <v>10399</v>
      </c>
      <c r="E36" t="s">
        <v>1370</v>
      </c>
      <c r="G36" t="s">
        <v>3403</v>
      </c>
      <c r="K36" t="s">
        <v>10400</v>
      </c>
      <c r="L36" t="s">
        <v>10401</v>
      </c>
      <c r="S36" t="s">
        <v>3119</v>
      </c>
      <c r="T36" t="s">
        <v>4</v>
      </c>
    </row>
    <row r="37" spans="1:20">
      <c r="A37" t="s">
        <v>3498</v>
      </c>
      <c r="B37" t="s">
        <v>3759</v>
      </c>
      <c r="C37" s="101">
        <v>35</v>
      </c>
      <c r="D37" t="s">
        <v>10402</v>
      </c>
      <c r="E37" t="s">
        <v>1370</v>
      </c>
      <c r="G37" t="s">
        <v>3403</v>
      </c>
      <c r="K37" t="s">
        <v>10403</v>
      </c>
      <c r="S37" t="s">
        <v>5719</v>
      </c>
      <c r="T37" t="s">
        <v>4</v>
      </c>
    </row>
    <row r="38" spans="1:20">
      <c r="A38" t="s">
        <v>3498</v>
      </c>
      <c r="B38" t="s">
        <v>3759</v>
      </c>
      <c r="C38" s="101">
        <v>36</v>
      </c>
      <c r="D38" t="s">
        <v>10404</v>
      </c>
      <c r="E38" t="s">
        <v>1370</v>
      </c>
      <c r="G38" t="s">
        <v>3403</v>
      </c>
      <c r="K38" t="s">
        <v>10405</v>
      </c>
    </row>
    <row r="39" spans="1:20">
      <c r="A39" t="s">
        <v>3498</v>
      </c>
      <c r="B39" t="s">
        <v>3759</v>
      </c>
      <c r="C39" s="101">
        <v>37</v>
      </c>
      <c r="D39" t="s">
        <v>10406</v>
      </c>
      <c r="E39" t="s">
        <v>1374</v>
      </c>
      <c r="G39" t="s">
        <v>3403</v>
      </c>
      <c r="K39" t="s">
        <v>10407</v>
      </c>
      <c r="S39" t="s">
        <v>33</v>
      </c>
      <c r="T39" t="s">
        <v>4</v>
      </c>
    </row>
    <row r="40" spans="1:20">
      <c r="A40" t="s">
        <v>3498</v>
      </c>
      <c r="B40" t="s">
        <v>3759</v>
      </c>
      <c r="C40" s="101">
        <v>38</v>
      </c>
      <c r="D40" t="s">
        <v>10408</v>
      </c>
      <c r="E40" t="s">
        <v>1370</v>
      </c>
      <c r="G40" t="s">
        <v>3403</v>
      </c>
      <c r="K40" t="s">
        <v>10409</v>
      </c>
      <c r="S40" t="s">
        <v>14</v>
      </c>
      <c r="T40" t="s">
        <v>4</v>
      </c>
    </row>
    <row r="41" spans="1:20">
      <c r="A41" t="s">
        <v>3498</v>
      </c>
      <c r="B41" t="s">
        <v>3759</v>
      </c>
      <c r="C41" s="101">
        <v>39</v>
      </c>
      <c r="D41" t="s">
        <v>10410</v>
      </c>
      <c r="E41" t="s">
        <v>1370</v>
      </c>
      <c r="G41" t="s">
        <v>3403</v>
      </c>
      <c r="K41" t="s">
        <v>10411</v>
      </c>
      <c r="L41" t="s">
        <v>10412</v>
      </c>
      <c r="S41" t="s">
        <v>48</v>
      </c>
      <c r="T41" t="s">
        <v>4</v>
      </c>
    </row>
    <row r="42" spans="1:20">
      <c r="A42" t="s">
        <v>3498</v>
      </c>
      <c r="B42" t="s">
        <v>3759</v>
      </c>
      <c r="C42" s="101">
        <v>40</v>
      </c>
      <c r="D42" t="s">
        <v>4920</v>
      </c>
      <c r="E42" t="s">
        <v>1370</v>
      </c>
      <c r="G42" t="s">
        <v>3403</v>
      </c>
      <c r="K42" t="s">
        <v>4921</v>
      </c>
      <c r="S42" t="s">
        <v>26</v>
      </c>
      <c r="T42" t="s">
        <v>4</v>
      </c>
    </row>
    <row r="43" spans="1:20">
      <c r="A43" t="s">
        <v>3498</v>
      </c>
      <c r="B43" t="s">
        <v>3759</v>
      </c>
      <c r="C43" s="101">
        <v>41</v>
      </c>
      <c r="D43" t="s">
        <v>4892</v>
      </c>
      <c r="E43" t="s">
        <v>1370</v>
      </c>
      <c r="G43" t="s">
        <v>3403</v>
      </c>
      <c r="K43" t="s">
        <v>4893</v>
      </c>
      <c r="S43" t="s">
        <v>5685</v>
      </c>
      <c r="T43" t="s">
        <v>4</v>
      </c>
    </row>
    <row r="44" spans="1:20">
      <c r="A44" t="s">
        <v>3498</v>
      </c>
      <c r="B44" t="s">
        <v>3759</v>
      </c>
      <c r="C44" s="101">
        <v>42</v>
      </c>
      <c r="D44" t="s">
        <v>10413</v>
      </c>
      <c r="E44" t="s">
        <v>1370</v>
      </c>
      <c r="G44" t="s">
        <v>3403</v>
      </c>
      <c r="K44" t="s">
        <v>10414</v>
      </c>
      <c r="L44" t="s">
        <v>3768</v>
      </c>
      <c r="S44" t="s">
        <v>37</v>
      </c>
      <c r="T44" t="s">
        <v>4</v>
      </c>
    </row>
    <row r="45" spans="1:20">
      <c r="A45" t="s">
        <v>3498</v>
      </c>
      <c r="B45" t="s">
        <v>3759</v>
      </c>
      <c r="C45" s="101">
        <v>43</v>
      </c>
      <c r="D45" t="s">
        <v>4904</v>
      </c>
      <c r="E45" t="s">
        <v>1370</v>
      </c>
      <c r="G45" t="s">
        <v>3403</v>
      </c>
      <c r="K45" t="s">
        <v>4905</v>
      </c>
      <c r="S45" t="s">
        <v>168</v>
      </c>
      <c r="T45" t="s">
        <v>4</v>
      </c>
    </row>
    <row r="46" spans="1:20">
      <c r="A46" t="s">
        <v>3498</v>
      </c>
      <c r="B46" t="s">
        <v>3759</v>
      </c>
      <c r="C46" s="101">
        <v>44</v>
      </c>
      <c r="D46" t="s">
        <v>10415</v>
      </c>
      <c r="E46" t="s">
        <v>1370</v>
      </c>
      <c r="G46" t="s">
        <v>3403</v>
      </c>
      <c r="K46" t="s">
        <v>10353</v>
      </c>
      <c r="S46" t="s">
        <v>29</v>
      </c>
      <c r="T46" t="s">
        <v>4</v>
      </c>
    </row>
    <row r="47" spans="1:20">
      <c r="A47" t="s">
        <v>3498</v>
      </c>
      <c r="B47" t="s">
        <v>3759</v>
      </c>
      <c r="C47" s="101">
        <v>45</v>
      </c>
      <c r="D47" t="s">
        <v>10416</v>
      </c>
      <c r="E47" t="s">
        <v>1370</v>
      </c>
      <c r="G47" t="s">
        <v>3403</v>
      </c>
      <c r="K47" t="s">
        <v>10417</v>
      </c>
      <c r="S47" t="s">
        <v>604</v>
      </c>
      <c r="T47" t="s">
        <v>4</v>
      </c>
    </row>
    <row r="48" spans="1:20">
      <c r="A48" t="s">
        <v>3498</v>
      </c>
      <c r="B48" t="s">
        <v>3759</v>
      </c>
      <c r="C48" s="101">
        <v>46</v>
      </c>
      <c r="D48" t="s">
        <v>10418</v>
      </c>
      <c r="E48" t="s">
        <v>1370</v>
      </c>
      <c r="G48" t="s">
        <v>3403</v>
      </c>
      <c r="K48" t="s">
        <v>10419</v>
      </c>
      <c r="L48" t="s">
        <v>10420</v>
      </c>
      <c r="S48" t="s">
        <v>45</v>
      </c>
      <c r="T48" t="s">
        <v>4</v>
      </c>
    </row>
    <row r="49" spans="1:20">
      <c r="A49" t="s">
        <v>3498</v>
      </c>
      <c r="B49" t="s">
        <v>3759</v>
      </c>
      <c r="C49" s="101">
        <v>47</v>
      </c>
      <c r="D49" t="s">
        <v>10421</v>
      </c>
      <c r="E49" t="s">
        <v>1370</v>
      </c>
      <c r="G49" t="s">
        <v>3403</v>
      </c>
      <c r="K49" t="s">
        <v>10422</v>
      </c>
      <c r="S49" t="s">
        <v>5</v>
      </c>
      <c r="T49" t="s">
        <v>4</v>
      </c>
    </row>
    <row r="50" spans="1:20">
      <c r="A50" t="s">
        <v>3498</v>
      </c>
      <c r="B50" t="s">
        <v>3759</v>
      </c>
      <c r="C50" s="101">
        <v>48</v>
      </c>
      <c r="D50" t="s">
        <v>10423</v>
      </c>
      <c r="E50" t="s">
        <v>1370</v>
      </c>
      <c r="G50" t="s">
        <v>3403</v>
      </c>
      <c r="K50" t="s">
        <v>8859</v>
      </c>
      <c r="L50" t="s">
        <v>10424</v>
      </c>
      <c r="S50" t="s">
        <v>53</v>
      </c>
      <c r="T50" t="s">
        <v>4</v>
      </c>
    </row>
    <row r="51" spans="1:20">
      <c r="A51" t="s">
        <v>3498</v>
      </c>
      <c r="B51" t="s">
        <v>3759</v>
      </c>
      <c r="C51" s="101">
        <v>49</v>
      </c>
      <c r="D51" t="s">
        <v>10425</v>
      </c>
      <c r="E51" t="s">
        <v>1370</v>
      </c>
      <c r="G51" t="s">
        <v>3403</v>
      </c>
      <c r="K51" t="s">
        <v>10426</v>
      </c>
      <c r="S51" t="s">
        <v>46</v>
      </c>
      <c r="T51" t="s">
        <v>4</v>
      </c>
    </row>
    <row r="52" spans="1:20">
      <c r="A52" t="s">
        <v>3498</v>
      </c>
      <c r="B52" t="s">
        <v>3759</v>
      </c>
      <c r="C52" s="101">
        <v>50</v>
      </c>
      <c r="D52" t="s">
        <v>10427</v>
      </c>
      <c r="E52" t="s">
        <v>1372</v>
      </c>
      <c r="G52" t="s">
        <v>3403</v>
      </c>
      <c r="K52" t="s">
        <v>10428</v>
      </c>
      <c r="S52" t="s">
        <v>52</v>
      </c>
      <c r="T52" t="s">
        <v>4</v>
      </c>
    </row>
    <row r="53" spans="1:20">
      <c r="A53" t="s">
        <v>3498</v>
      </c>
      <c r="B53" t="s">
        <v>3759</v>
      </c>
      <c r="C53" s="101">
        <v>51</v>
      </c>
      <c r="D53" t="s">
        <v>10429</v>
      </c>
      <c r="E53" t="s">
        <v>1372</v>
      </c>
      <c r="G53" t="s">
        <v>3403</v>
      </c>
      <c r="K53" t="s">
        <v>10430</v>
      </c>
      <c r="S53" t="s">
        <v>172</v>
      </c>
      <c r="T53" t="s">
        <v>4</v>
      </c>
    </row>
    <row r="54" spans="1:20">
      <c r="A54" t="s">
        <v>3498</v>
      </c>
      <c r="B54" t="s">
        <v>3759</v>
      </c>
      <c r="C54" s="101">
        <v>52</v>
      </c>
      <c r="D54" t="s">
        <v>10431</v>
      </c>
      <c r="E54" t="s">
        <v>1372</v>
      </c>
      <c r="G54" t="s">
        <v>3403</v>
      </c>
      <c r="K54" t="s">
        <v>10432</v>
      </c>
      <c r="S54" t="s">
        <v>26</v>
      </c>
      <c r="T54" t="s">
        <v>4</v>
      </c>
    </row>
    <row r="55" spans="1:20">
      <c r="A55" t="s">
        <v>3498</v>
      </c>
      <c r="B55" t="s">
        <v>3759</v>
      </c>
      <c r="C55" s="101">
        <v>53</v>
      </c>
      <c r="D55" t="s">
        <v>10433</v>
      </c>
      <c r="E55" t="s">
        <v>1372</v>
      </c>
      <c r="G55" t="s">
        <v>3403</v>
      </c>
      <c r="K55" t="s">
        <v>10434</v>
      </c>
      <c r="S55" t="s">
        <v>181</v>
      </c>
      <c r="T55" t="s">
        <v>4</v>
      </c>
    </row>
    <row r="56" spans="1:20">
      <c r="A56" t="s">
        <v>3498</v>
      </c>
      <c r="B56" t="s">
        <v>3759</v>
      </c>
      <c r="C56" s="101">
        <v>54</v>
      </c>
      <c r="D56" t="s">
        <v>10435</v>
      </c>
      <c r="E56" t="s">
        <v>1372</v>
      </c>
      <c r="G56" t="s">
        <v>3403</v>
      </c>
      <c r="H56" t="s">
        <v>5180</v>
      </c>
      <c r="K56" t="s">
        <v>10436</v>
      </c>
      <c r="L56" t="s">
        <v>10437</v>
      </c>
      <c r="S56" t="s">
        <v>175</v>
      </c>
      <c r="T56" t="s">
        <v>4</v>
      </c>
    </row>
    <row r="57" spans="1:20">
      <c r="A57" t="s">
        <v>3498</v>
      </c>
      <c r="B57" t="s">
        <v>3759</v>
      </c>
      <c r="C57" s="101">
        <v>55</v>
      </c>
      <c r="D57" t="s">
        <v>10438</v>
      </c>
      <c r="E57" t="s">
        <v>1372</v>
      </c>
      <c r="G57" t="s">
        <v>3403</v>
      </c>
      <c r="K57" t="s">
        <v>10439</v>
      </c>
      <c r="L57" t="s">
        <v>3768</v>
      </c>
      <c r="S57" t="s">
        <v>10</v>
      </c>
      <c r="T57" t="s">
        <v>4</v>
      </c>
    </row>
    <row r="58" spans="1:20">
      <c r="A58" t="s">
        <v>3498</v>
      </c>
      <c r="B58" t="s">
        <v>3759</v>
      </c>
      <c r="C58" s="101">
        <v>56</v>
      </c>
      <c r="D58" t="s">
        <v>10440</v>
      </c>
      <c r="E58" t="s">
        <v>1372</v>
      </c>
      <c r="G58" t="s">
        <v>3403</v>
      </c>
      <c r="K58" t="s">
        <v>4113</v>
      </c>
      <c r="L58" t="s">
        <v>10441</v>
      </c>
      <c r="M58" t="s">
        <v>10442</v>
      </c>
      <c r="S58" t="s">
        <v>36</v>
      </c>
      <c r="T58" t="s">
        <v>4</v>
      </c>
    </row>
    <row r="59" spans="1:20">
      <c r="A59" t="s">
        <v>3498</v>
      </c>
      <c r="B59" t="s">
        <v>3759</v>
      </c>
      <c r="C59" s="101">
        <v>57</v>
      </c>
      <c r="D59" t="s">
        <v>10443</v>
      </c>
      <c r="E59" t="s">
        <v>1372</v>
      </c>
      <c r="G59" t="s">
        <v>3403</v>
      </c>
      <c r="H59" t="s">
        <v>5180</v>
      </c>
      <c r="K59" t="s">
        <v>10444</v>
      </c>
      <c r="L59" t="s">
        <v>10445</v>
      </c>
      <c r="S59" t="s">
        <v>175</v>
      </c>
      <c r="T59" t="s">
        <v>4</v>
      </c>
    </row>
    <row r="60" spans="1:20">
      <c r="A60" t="s">
        <v>3498</v>
      </c>
      <c r="B60" t="s">
        <v>3759</v>
      </c>
      <c r="C60" s="101">
        <v>58</v>
      </c>
      <c r="D60" t="s">
        <v>4934</v>
      </c>
      <c r="E60" t="s">
        <v>1372</v>
      </c>
      <c r="G60" t="s">
        <v>3403</v>
      </c>
      <c r="K60" t="s">
        <v>4935</v>
      </c>
      <c r="S60" t="s">
        <v>48</v>
      </c>
      <c r="T60" t="s">
        <v>4</v>
      </c>
    </row>
    <row r="61" spans="1:20">
      <c r="A61" t="s">
        <v>3498</v>
      </c>
      <c r="B61" t="s">
        <v>3759</v>
      </c>
      <c r="C61" s="101">
        <v>59</v>
      </c>
      <c r="D61" t="s">
        <v>10446</v>
      </c>
      <c r="E61" t="s">
        <v>1372</v>
      </c>
      <c r="G61" t="s">
        <v>3403</v>
      </c>
      <c r="K61" t="s">
        <v>10447</v>
      </c>
      <c r="S61" t="s">
        <v>32</v>
      </c>
      <c r="T61" t="s">
        <v>4</v>
      </c>
    </row>
    <row r="62" spans="1:20">
      <c r="A62" t="s">
        <v>3498</v>
      </c>
      <c r="B62" t="s">
        <v>3759</v>
      </c>
      <c r="C62" s="101">
        <v>60</v>
      </c>
      <c r="D62" t="s">
        <v>4947</v>
      </c>
      <c r="E62" t="s">
        <v>1372</v>
      </c>
      <c r="G62" t="s">
        <v>3403</v>
      </c>
      <c r="K62" t="s">
        <v>4893</v>
      </c>
      <c r="S62" t="s">
        <v>36</v>
      </c>
      <c r="T62" t="s">
        <v>4</v>
      </c>
    </row>
    <row r="63" spans="1:20">
      <c r="A63" t="s">
        <v>3498</v>
      </c>
      <c r="B63" t="s">
        <v>3759</v>
      </c>
      <c r="C63" s="101">
        <v>61</v>
      </c>
      <c r="D63" t="s">
        <v>10448</v>
      </c>
      <c r="E63" t="s">
        <v>1372</v>
      </c>
      <c r="G63" t="s">
        <v>3403</v>
      </c>
      <c r="K63" t="s">
        <v>10449</v>
      </c>
      <c r="S63" t="s">
        <v>176</v>
      </c>
      <c r="T63" t="s">
        <v>4</v>
      </c>
    </row>
    <row r="64" spans="1:20">
      <c r="A64" t="s">
        <v>3498</v>
      </c>
      <c r="B64" t="s">
        <v>3759</v>
      </c>
      <c r="C64" s="101">
        <v>62</v>
      </c>
      <c r="D64" t="s">
        <v>10450</v>
      </c>
      <c r="E64" t="s">
        <v>1372</v>
      </c>
      <c r="G64" t="s">
        <v>3403</v>
      </c>
      <c r="K64" t="s">
        <v>6222</v>
      </c>
      <c r="S64" t="s">
        <v>40</v>
      </c>
      <c r="T64" t="s">
        <v>4</v>
      </c>
    </row>
    <row r="65" spans="1:20">
      <c r="A65" t="s">
        <v>3498</v>
      </c>
      <c r="B65" t="s">
        <v>3759</v>
      </c>
      <c r="C65" s="101">
        <v>63</v>
      </c>
      <c r="D65" t="s">
        <v>10451</v>
      </c>
      <c r="E65" t="s">
        <v>1372</v>
      </c>
      <c r="G65" t="s">
        <v>3403</v>
      </c>
      <c r="K65" t="s">
        <v>10452</v>
      </c>
      <c r="S65" t="s">
        <v>5685</v>
      </c>
      <c r="T65" t="s">
        <v>4</v>
      </c>
    </row>
    <row r="66" spans="1:20">
      <c r="A66" t="s">
        <v>3498</v>
      </c>
      <c r="B66" t="s">
        <v>3759</v>
      </c>
      <c r="C66" s="101">
        <v>64</v>
      </c>
      <c r="D66" t="s">
        <v>10453</v>
      </c>
      <c r="E66" t="s">
        <v>1372</v>
      </c>
      <c r="G66" t="s">
        <v>3403</v>
      </c>
      <c r="K66" t="s">
        <v>10454</v>
      </c>
      <c r="L66" t="s">
        <v>10455</v>
      </c>
      <c r="S66" t="s">
        <v>11</v>
      </c>
      <c r="T66" t="s">
        <v>4</v>
      </c>
    </row>
    <row r="67" spans="1:20">
      <c r="A67" t="s">
        <v>3498</v>
      </c>
      <c r="B67" t="s">
        <v>3759</v>
      </c>
      <c r="C67" s="101">
        <v>65</v>
      </c>
      <c r="D67" t="s">
        <v>10456</v>
      </c>
      <c r="E67" t="s">
        <v>1372</v>
      </c>
      <c r="G67" t="s">
        <v>3403</v>
      </c>
      <c r="K67" t="s">
        <v>10457</v>
      </c>
      <c r="S67" t="s">
        <v>607</v>
      </c>
      <c r="T67" t="s">
        <v>4</v>
      </c>
    </row>
    <row r="68" spans="1:20">
      <c r="A68" t="s">
        <v>3498</v>
      </c>
      <c r="B68" t="s">
        <v>3759</v>
      </c>
      <c r="C68" s="101">
        <v>66</v>
      </c>
      <c r="D68" t="s">
        <v>10458</v>
      </c>
      <c r="E68" t="s">
        <v>1372</v>
      </c>
      <c r="G68" t="s">
        <v>3403</v>
      </c>
      <c r="K68" t="s">
        <v>7296</v>
      </c>
      <c r="L68" t="s">
        <v>10459</v>
      </c>
      <c r="S68" t="s">
        <v>37</v>
      </c>
      <c r="T68" t="s">
        <v>4</v>
      </c>
    </row>
    <row r="69" spans="1:20">
      <c r="A69" t="s">
        <v>3498</v>
      </c>
      <c r="B69" t="s">
        <v>3759</v>
      </c>
      <c r="C69" s="101">
        <v>67</v>
      </c>
      <c r="D69" t="s">
        <v>10460</v>
      </c>
      <c r="E69" t="s">
        <v>1372</v>
      </c>
      <c r="G69" t="s">
        <v>3403</v>
      </c>
      <c r="K69" t="s">
        <v>8859</v>
      </c>
      <c r="L69" t="s">
        <v>10461</v>
      </c>
      <c r="S69" t="s">
        <v>17</v>
      </c>
      <c r="T69" t="s">
        <v>4</v>
      </c>
    </row>
    <row r="70" spans="1:20">
      <c r="A70" t="s">
        <v>3498</v>
      </c>
      <c r="B70" t="s">
        <v>3759</v>
      </c>
      <c r="C70" s="101">
        <v>68</v>
      </c>
      <c r="D70" t="s">
        <v>4954</v>
      </c>
      <c r="E70" t="s">
        <v>1372</v>
      </c>
      <c r="G70" t="s">
        <v>3403</v>
      </c>
      <c r="K70" t="s">
        <v>4893</v>
      </c>
      <c r="L70" t="s">
        <v>4955</v>
      </c>
      <c r="S70" t="s">
        <v>45</v>
      </c>
      <c r="T70" t="s">
        <v>4</v>
      </c>
    </row>
    <row r="71" spans="1:20">
      <c r="A71" t="s">
        <v>3498</v>
      </c>
      <c r="B71" t="s">
        <v>3759</v>
      </c>
      <c r="C71" s="101">
        <v>69</v>
      </c>
      <c r="D71" t="s">
        <v>10462</v>
      </c>
      <c r="E71" t="s">
        <v>1372</v>
      </c>
      <c r="G71" t="s">
        <v>3403</v>
      </c>
      <c r="K71" t="s">
        <v>10463</v>
      </c>
      <c r="S71" t="s">
        <v>3747</v>
      </c>
      <c r="T71" t="s">
        <v>4</v>
      </c>
    </row>
    <row r="72" spans="1:20">
      <c r="A72" t="s">
        <v>3498</v>
      </c>
      <c r="B72" t="s">
        <v>3759</v>
      </c>
      <c r="C72" s="101">
        <v>70</v>
      </c>
      <c r="D72" t="s">
        <v>10464</v>
      </c>
      <c r="E72" t="s">
        <v>1372</v>
      </c>
      <c r="G72" t="s">
        <v>3403</v>
      </c>
      <c r="K72" t="s">
        <v>10465</v>
      </c>
      <c r="S72" t="s">
        <v>5719</v>
      </c>
      <c r="T72" t="s">
        <v>4</v>
      </c>
    </row>
    <row r="73" spans="1:20">
      <c r="A73" t="s">
        <v>3498</v>
      </c>
      <c r="B73" t="s">
        <v>3759</v>
      </c>
      <c r="C73" s="101">
        <v>71</v>
      </c>
      <c r="D73" t="s">
        <v>10466</v>
      </c>
      <c r="E73" t="s">
        <v>1372</v>
      </c>
      <c r="G73" t="s">
        <v>3403</v>
      </c>
      <c r="K73" t="s">
        <v>4113</v>
      </c>
      <c r="L73" t="s">
        <v>10467</v>
      </c>
      <c r="M73" t="s">
        <v>10468</v>
      </c>
      <c r="S73" t="s">
        <v>52</v>
      </c>
      <c r="T73" t="s">
        <v>4</v>
      </c>
    </row>
    <row r="74" spans="1:20">
      <c r="A74" t="s">
        <v>3498</v>
      </c>
      <c r="B74" t="s">
        <v>3759</v>
      </c>
      <c r="C74" s="101">
        <v>72</v>
      </c>
      <c r="D74" t="s">
        <v>10469</v>
      </c>
      <c r="E74" t="s">
        <v>1372</v>
      </c>
      <c r="G74" t="s">
        <v>3403</v>
      </c>
      <c r="K74" t="s">
        <v>10470</v>
      </c>
      <c r="S74" t="s">
        <v>52</v>
      </c>
      <c r="T74" t="s">
        <v>4</v>
      </c>
    </row>
    <row r="75" spans="1:20">
      <c r="A75" t="s">
        <v>3498</v>
      </c>
      <c r="B75" t="s">
        <v>3759</v>
      </c>
      <c r="C75" s="101">
        <v>73</v>
      </c>
      <c r="D75" t="s">
        <v>10471</v>
      </c>
      <c r="E75" t="s">
        <v>1372</v>
      </c>
      <c r="G75" t="s">
        <v>3403</v>
      </c>
      <c r="K75" t="s">
        <v>10472</v>
      </c>
      <c r="S75" t="s">
        <v>40</v>
      </c>
      <c r="T75" t="s">
        <v>4</v>
      </c>
    </row>
    <row r="76" spans="1:20">
      <c r="A76" t="s">
        <v>3498</v>
      </c>
      <c r="B76" t="s">
        <v>3759</v>
      </c>
      <c r="C76" s="101">
        <v>74</v>
      </c>
      <c r="D76" t="s">
        <v>10473</v>
      </c>
      <c r="E76" t="s">
        <v>1372</v>
      </c>
      <c r="G76" t="s">
        <v>3403</v>
      </c>
      <c r="K76" t="s">
        <v>10474</v>
      </c>
      <c r="S76" t="s">
        <v>844</v>
      </c>
      <c r="T76" t="s">
        <v>4</v>
      </c>
    </row>
    <row r="77" spans="1:20">
      <c r="A77" t="s">
        <v>3498</v>
      </c>
      <c r="B77" t="s">
        <v>3759</v>
      </c>
      <c r="C77" s="101">
        <v>75</v>
      </c>
      <c r="D77" t="s">
        <v>10475</v>
      </c>
      <c r="E77" t="s">
        <v>1372</v>
      </c>
      <c r="G77" t="s">
        <v>3445</v>
      </c>
      <c r="H77" t="s">
        <v>5672</v>
      </c>
      <c r="K77" t="s">
        <v>10476</v>
      </c>
      <c r="S77" t="s">
        <v>768</v>
      </c>
      <c r="T77" t="s">
        <v>4</v>
      </c>
    </row>
    <row r="78" spans="1:20">
      <c r="A78" t="s">
        <v>3498</v>
      </c>
      <c r="B78" t="s">
        <v>3759</v>
      </c>
      <c r="C78" s="101">
        <v>76</v>
      </c>
      <c r="D78" t="s">
        <v>10477</v>
      </c>
      <c r="E78" t="s">
        <v>1372</v>
      </c>
      <c r="G78" t="s">
        <v>3403</v>
      </c>
      <c r="K78" t="s">
        <v>10478</v>
      </c>
      <c r="S78" t="s">
        <v>17</v>
      </c>
      <c r="T78" t="s">
        <v>4</v>
      </c>
    </row>
    <row r="79" spans="1:20">
      <c r="A79" t="s">
        <v>3498</v>
      </c>
      <c r="B79" t="s">
        <v>3759</v>
      </c>
      <c r="C79" s="101">
        <v>77</v>
      </c>
      <c r="D79" t="s">
        <v>10479</v>
      </c>
      <c r="E79" t="s">
        <v>1372</v>
      </c>
      <c r="G79" t="s">
        <v>3403</v>
      </c>
      <c r="K79" t="s">
        <v>10480</v>
      </c>
      <c r="S79" t="s">
        <v>169</v>
      </c>
      <c r="T79" t="s">
        <v>4</v>
      </c>
    </row>
    <row r="80" spans="1:20">
      <c r="A80" t="s">
        <v>3498</v>
      </c>
      <c r="B80" t="s">
        <v>3759</v>
      </c>
      <c r="C80" s="101">
        <v>78</v>
      </c>
      <c r="D80" t="s">
        <v>10481</v>
      </c>
      <c r="E80" t="s">
        <v>1372</v>
      </c>
      <c r="G80" t="s">
        <v>3403</v>
      </c>
      <c r="K80" t="s">
        <v>10482</v>
      </c>
      <c r="S80" t="s">
        <v>170</v>
      </c>
      <c r="T80" t="s">
        <v>4</v>
      </c>
    </row>
    <row r="81" spans="1:20">
      <c r="A81" t="s">
        <v>3498</v>
      </c>
      <c r="B81" t="s">
        <v>3759</v>
      </c>
      <c r="C81" s="101">
        <v>79</v>
      </c>
      <c r="D81" t="s">
        <v>10483</v>
      </c>
      <c r="E81" t="s">
        <v>1372</v>
      </c>
      <c r="G81" t="s">
        <v>3403</v>
      </c>
      <c r="K81" t="s">
        <v>10484</v>
      </c>
      <c r="S81" t="s">
        <v>45</v>
      </c>
      <c r="T81" t="s">
        <v>4</v>
      </c>
    </row>
    <row r="82" spans="1:20">
      <c r="A82" t="s">
        <v>3498</v>
      </c>
      <c r="B82" t="s">
        <v>3759</v>
      </c>
      <c r="C82" s="101">
        <v>80</v>
      </c>
      <c r="D82" t="s">
        <v>4927</v>
      </c>
      <c r="E82" t="s">
        <v>1372</v>
      </c>
      <c r="G82" t="s">
        <v>3403</v>
      </c>
      <c r="K82" t="s">
        <v>4113</v>
      </c>
      <c r="L82" t="s">
        <v>4369</v>
      </c>
      <c r="M82" t="s">
        <v>4928</v>
      </c>
      <c r="N82" t="s">
        <v>867</v>
      </c>
      <c r="S82" t="s">
        <v>33</v>
      </c>
      <c r="T82" t="s">
        <v>4</v>
      </c>
    </row>
    <row r="83" spans="1:20">
      <c r="A83" t="s">
        <v>3498</v>
      </c>
      <c r="B83" t="s">
        <v>3759</v>
      </c>
      <c r="C83" s="101">
        <v>81</v>
      </c>
      <c r="D83" t="s">
        <v>10485</v>
      </c>
      <c r="E83" t="s">
        <v>1372</v>
      </c>
      <c r="G83" t="s">
        <v>3403</v>
      </c>
      <c r="K83" t="s">
        <v>10486</v>
      </c>
      <c r="S83" t="s">
        <v>180</v>
      </c>
      <c r="T83" t="s">
        <v>4</v>
      </c>
    </row>
    <row r="84" spans="1:20">
      <c r="A84" t="s">
        <v>3498</v>
      </c>
      <c r="B84" t="s">
        <v>3759</v>
      </c>
      <c r="C84" s="101">
        <v>82</v>
      </c>
      <c r="D84" t="s">
        <v>10487</v>
      </c>
      <c r="E84" t="s">
        <v>1372</v>
      </c>
      <c r="G84" t="s">
        <v>3403</v>
      </c>
      <c r="K84" t="s">
        <v>4397</v>
      </c>
      <c r="L84" t="s">
        <v>3768</v>
      </c>
      <c r="S84" t="s">
        <v>169</v>
      </c>
      <c r="T84" t="s">
        <v>4</v>
      </c>
    </row>
    <row r="85" spans="1:20">
      <c r="A85" t="s">
        <v>3498</v>
      </c>
      <c r="B85" t="s">
        <v>3759</v>
      </c>
      <c r="C85" s="101">
        <v>83</v>
      </c>
      <c r="D85" t="s">
        <v>10488</v>
      </c>
      <c r="E85" t="s">
        <v>1372</v>
      </c>
      <c r="G85" t="s">
        <v>3445</v>
      </c>
      <c r="H85" t="s">
        <v>5671</v>
      </c>
      <c r="K85" t="s">
        <v>5321</v>
      </c>
      <c r="L85" t="s">
        <v>10489</v>
      </c>
      <c r="S85" t="s">
        <v>5281</v>
      </c>
      <c r="T85" t="s">
        <v>4</v>
      </c>
    </row>
    <row r="86" spans="1:20">
      <c r="A86" t="s">
        <v>3498</v>
      </c>
      <c r="B86" t="s">
        <v>3759</v>
      </c>
      <c r="C86" s="101">
        <v>84</v>
      </c>
      <c r="D86" t="s">
        <v>10490</v>
      </c>
      <c r="E86" t="s">
        <v>1372</v>
      </c>
      <c r="G86" t="s">
        <v>3403</v>
      </c>
      <c r="K86" t="s">
        <v>10491</v>
      </c>
      <c r="S86" t="s">
        <v>29</v>
      </c>
      <c r="T86" t="s">
        <v>4</v>
      </c>
    </row>
    <row r="87" spans="1:20">
      <c r="A87" t="s">
        <v>3498</v>
      </c>
      <c r="B87" t="s">
        <v>3759</v>
      </c>
      <c r="C87" s="101">
        <v>85</v>
      </c>
      <c r="D87" t="s">
        <v>10492</v>
      </c>
      <c r="E87" t="s">
        <v>1372</v>
      </c>
      <c r="G87" t="s">
        <v>3403</v>
      </c>
      <c r="K87" t="s">
        <v>7362</v>
      </c>
      <c r="L87" t="s">
        <v>10493</v>
      </c>
      <c r="S87" t="s">
        <v>49</v>
      </c>
      <c r="T87" t="s">
        <v>4</v>
      </c>
    </row>
    <row r="88" spans="1:20">
      <c r="A88" t="s">
        <v>3498</v>
      </c>
      <c r="B88" t="s">
        <v>3759</v>
      </c>
      <c r="C88" s="101">
        <v>86</v>
      </c>
      <c r="D88" t="s">
        <v>10494</v>
      </c>
      <c r="E88" t="s">
        <v>1464</v>
      </c>
      <c r="G88" t="s">
        <v>3403</v>
      </c>
      <c r="K88" t="s">
        <v>10495</v>
      </c>
      <c r="L88" t="s">
        <v>10496</v>
      </c>
      <c r="S88" t="s">
        <v>604</v>
      </c>
      <c r="T88" t="s">
        <v>4</v>
      </c>
    </row>
    <row r="89" spans="1:20">
      <c r="A89" t="s">
        <v>3498</v>
      </c>
      <c r="B89" t="s">
        <v>3759</v>
      </c>
      <c r="C89" s="101">
        <v>87</v>
      </c>
      <c r="D89" t="s">
        <v>10497</v>
      </c>
      <c r="E89" t="s">
        <v>1372</v>
      </c>
      <c r="G89" t="s">
        <v>3403</v>
      </c>
      <c r="K89" t="s">
        <v>10498</v>
      </c>
      <c r="L89" t="s">
        <v>10499</v>
      </c>
      <c r="S89" t="s">
        <v>45</v>
      </c>
      <c r="T89" t="s">
        <v>4</v>
      </c>
    </row>
    <row r="90" spans="1:20">
      <c r="A90" t="s">
        <v>3498</v>
      </c>
      <c r="B90" t="s">
        <v>3759</v>
      </c>
      <c r="C90" s="101">
        <v>88</v>
      </c>
      <c r="D90" t="s">
        <v>10500</v>
      </c>
      <c r="E90" t="s">
        <v>1372</v>
      </c>
      <c r="G90" t="s">
        <v>3403</v>
      </c>
      <c r="K90" t="s">
        <v>10501</v>
      </c>
      <c r="L90" t="s">
        <v>10502</v>
      </c>
      <c r="S90" t="s">
        <v>53</v>
      </c>
      <c r="T90" t="s">
        <v>4</v>
      </c>
    </row>
    <row r="91" spans="1:20">
      <c r="A91" t="s">
        <v>3498</v>
      </c>
      <c r="B91" t="s">
        <v>3759</v>
      </c>
      <c r="C91" s="101">
        <v>89</v>
      </c>
      <c r="D91" t="s">
        <v>10503</v>
      </c>
      <c r="E91" t="s">
        <v>1372</v>
      </c>
      <c r="G91" t="s">
        <v>3403</v>
      </c>
      <c r="H91" t="s">
        <v>5180</v>
      </c>
      <c r="K91" t="s">
        <v>10504</v>
      </c>
      <c r="S91" t="s">
        <v>183</v>
      </c>
      <c r="T91" t="s">
        <v>4</v>
      </c>
    </row>
    <row r="92" spans="1:20">
      <c r="A92" t="s">
        <v>3498</v>
      </c>
      <c r="B92" t="s">
        <v>3759</v>
      </c>
      <c r="C92" s="101">
        <v>90</v>
      </c>
      <c r="D92" t="s">
        <v>10505</v>
      </c>
      <c r="E92" t="s">
        <v>1372</v>
      </c>
      <c r="G92" t="s">
        <v>3403</v>
      </c>
      <c r="K92" t="s">
        <v>10506</v>
      </c>
      <c r="S92" t="s">
        <v>178</v>
      </c>
      <c r="T92" t="s">
        <v>4</v>
      </c>
    </row>
    <row r="93" spans="1:20">
      <c r="A93" t="s">
        <v>3498</v>
      </c>
      <c r="B93" t="s">
        <v>3759</v>
      </c>
      <c r="C93" s="101">
        <v>91</v>
      </c>
      <c r="D93" t="s">
        <v>10507</v>
      </c>
      <c r="E93" t="s">
        <v>1372</v>
      </c>
      <c r="G93" t="s">
        <v>3403</v>
      </c>
      <c r="K93" t="s">
        <v>10508</v>
      </c>
      <c r="S93" t="s">
        <v>52</v>
      </c>
      <c r="T93" t="s">
        <v>4</v>
      </c>
    </row>
    <row r="94" spans="1:20">
      <c r="A94" t="s">
        <v>3498</v>
      </c>
      <c r="B94" t="s">
        <v>3759</v>
      </c>
      <c r="C94" s="101">
        <v>92</v>
      </c>
      <c r="D94" t="s">
        <v>10509</v>
      </c>
      <c r="E94" t="s">
        <v>1372</v>
      </c>
      <c r="G94" t="s">
        <v>3403</v>
      </c>
      <c r="K94" t="s">
        <v>8859</v>
      </c>
      <c r="L94" t="s">
        <v>10510</v>
      </c>
      <c r="S94" t="s">
        <v>8</v>
      </c>
      <c r="T94" t="s">
        <v>4</v>
      </c>
    </row>
    <row r="95" spans="1:20">
      <c r="A95" t="s">
        <v>3498</v>
      </c>
      <c r="B95" t="s">
        <v>3759</v>
      </c>
      <c r="C95" s="101">
        <v>93</v>
      </c>
      <c r="D95" t="s">
        <v>10511</v>
      </c>
      <c r="E95" t="s">
        <v>1372</v>
      </c>
      <c r="G95" t="s">
        <v>3403</v>
      </c>
      <c r="K95" t="s">
        <v>10512</v>
      </c>
      <c r="L95" t="s">
        <v>10513</v>
      </c>
      <c r="S95" t="s">
        <v>5281</v>
      </c>
      <c r="T95" t="s">
        <v>4</v>
      </c>
    </row>
    <row r="96" spans="1:20">
      <c r="A96" t="s">
        <v>3498</v>
      </c>
      <c r="B96" t="s">
        <v>3759</v>
      </c>
      <c r="C96" s="101">
        <v>94</v>
      </c>
      <c r="D96" t="s">
        <v>4951</v>
      </c>
      <c r="E96" t="s">
        <v>1372</v>
      </c>
      <c r="G96" t="s">
        <v>3403</v>
      </c>
      <c r="K96" t="s">
        <v>4952</v>
      </c>
      <c r="L96" t="s">
        <v>4953</v>
      </c>
      <c r="S96" t="s">
        <v>18</v>
      </c>
      <c r="T96" t="s">
        <v>4</v>
      </c>
    </row>
    <row r="97" spans="1:20">
      <c r="A97" t="s">
        <v>3498</v>
      </c>
      <c r="B97" t="s">
        <v>3759</v>
      </c>
      <c r="C97" s="101">
        <v>95</v>
      </c>
      <c r="D97" t="s">
        <v>10514</v>
      </c>
      <c r="E97" t="s">
        <v>1372</v>
      </c>
      <c r="G97" t="s">
        <v>3403</v>
      </c>
      <c r="H97" t="s">
        <v>5180</v>
      </c>
      <c r="K97" t="s">
        <v>10515</v>
      </c>
      <c r="S97" t="s">
        <v>175</v>
      </c>
      <c r="T97" t="s">
        <v>4</v>
      </c>
    </row>
    <row r="98" spans="1:20">
      <c r="A98" t="s">
        <v>3498</v>
      </c>
      <c r="B98" t="s">
        <v>3759</v>
      </c>
      <c r="C98" s="101">
        <v>96</v>
      </c>
      <c r="D98" t="s">
        <v>10516</v>
      </c>
      <c r="E98" t="s">
        <v>1372</v>
      </c>
      <c r="G98" t="s">
        <v>3403</v>
      </c>
      <c r="K98" t="s">
        <v>10517</v>
      </c>
      <c r="S98" t="s">
        <v>174</v>
      </c>
      <c r="T98" t="s">
        <v>4</v>
      </c>
    </row>
    <row r="99" spans="1:20">
      <c r="A99" t="s">
        <v>3498</v>
      </c>
      <c r="B99" t="s">
        <v>3759</v>
      </c>
      <c r="C99" s="101">
        <v>97</v>
      </c>
      <c r="D99" t="s">
        <v>10518</v>
      </c>
      <c r="E99" t="s">
        <v>1375</v>
      </c>
      <c r="G99" t="s">
        <v>3403</v>
      </c>
      <c r="K99" t="s">
        <v>10519</v>
      </c>
      <c r="L99" t="s">
        <v>3768</v>
      </c>
      <c r="S99" t="s">
        <v>31</v>
      </c>
      <c r="T99" t="s">
        <v>4</v>
      </c>
    </row>
    <row r="100" spans="1:20">
      <c r="A100" t="s">
        <v>3498</v>
      </c>
      <c r="B100" t="s">
        <v>3759</v>
      </c>
      <c r="C100" s="101">
        <v>98</v>
      </c>
      <c r="D100" t="s">
        <v>10520</v>
      </c>
      <c r="E100" t="s">
        <v>1374</v>
      </c>
      <c r="G100" t="s">
        <v>3403</v>
      </c>
      <c r="K100" t="s">
        <v>10521</v>
      </c>
      <c r="L100" t="s">
        <v>10522</v>
      </c>
      <c r="S100" t="s">
        <v>5381</v>
      </c>
      <c r="T100" t="s">
        <v>4</v>
      </c>
    </row>
    <row r="101" spans="1:20">
      <c r="A101" t="s">
        <v>3498</v>
      </c>
      <c r="B101" t="s">
        <v>3759</v>
      </c>
      <c r="C101" s="101">
        <v>99</v>
      </c>
      <c r="D101" t="s">
        <v>10523</v>
      </c>
      <c r="E101" t="s">
        <v>1374</v>
      </c>
      <c r="G101" t="s">
        <v>3403</v>
      </c>
      <c r="H101" t="s">
        <v>5180</v>
      </c>
      <c r="K101" t="s">
        <v>10524</v>
      </c>
      <c r="S101" t="s">
        <v>179</v>
      </c>
      <c r="T101" t="s">
        <v>4</v>
      </c>
    </row>
    <row r="102" spans="1:20">
      <c r="A102" t="s">
        <v>3498</v>
      </c>
      <c r="B102" t="s">
        <v>3759</v>
      </c>
      <c r="C102" s="101">
        <v>100</v>
      </c>
      <c r="D102" t="s">
        <v>10525</v>
      </c>
      <c r="E102" t="s">
        <v>1374</v>
      </c>
      <c r="G102" t="s">
        <v>3403</v>
      </c>
      <c r="K102" t="s">
        <v>10526</v>
      </c>
      <c r="L102" t="s">
        <v>10527</v>
      </c>
      <c r="S102" t="s">
        <v>34</v>
      </c>
      <c r="T102" t="s">
        <v>4</v>
      </c>
    </row>
    <row r="103" spans="1:20">
      <c r="A103" t="s">
        <v>3498</v>
      </c>
      <c r="B103" t="s">
        <v>3759</v>
      </c>
      <c r="C103" s="101">
        <v>101</v>
      </c>
      <c r="D103" t="s">
        <v>10528</v>
      </c>
      <c r="E103" t="s">
        <v>1374</v>
      </c>
      <c r="G103" t="s">
        <v>3403</v>
      </c>
      <c r="K103" t="s">
        <v>10529</v>
      </c>
      <c r="S103" t="s">
        <v>18</v>
      </c>
      <c r="T103" t="s">
        <v>4</v>
      </c>
    </row>
    <row r="104" spans="1:20">
      <c r="A104" t="s">
        <v>3498</v>
      </c>
      <c r="B104" t="s">
        <v>3759</v>
      </c>
      <c r="C104" s="101">
        <v>102</v>
      </c>
      <c r="D104" t="s">
        <v>10530</v>
      </c>
      <c r="E104" t="s">
        <v>1374</v>
      </c>
      <c r="G104" t="s">
        <v>3403</v>
      </c>
      <c r="K104" t="s">
        <v>10531</v>
      </c>
      <c r="S104" t="s">
        <v>174</v>
      </c>
      <c r="T104" t="s">
        <v>4</v>
      </c>
    </row>
    <row r="105" spans="1:20">
      <c r="A105" t="s">
        <v>3498</v>
      </c>
      <c r="B105" t="s">
        <v>3759</v>
      </c>
      <c r="C105" s="101">
        <v>103</v>
      </c>
      <c r="D105" t="s">
        <v>10532</v>
      </c>
      <c r="E105" t="s">
        <v>1374</v>
      </c>
      <c r="G105" t="s">
        <v>3403</v>
      </c>
      <c r="K105" t="s">
        <v>10533</v>
      </c>
      <c r="L105" t="s">
        <v>10534</v>
      </c>
      <c r="S105" t="s">
        <v>45</v>
      </c>
      <c r="T105" t="s">
        <v>4</v>
      </c>
    </row>
    <row r="106" spans="1:20">
      <c r="A106" t="s">
        <v>3498</v>
      </c>
      <c r="B106" t="s">
        <v>3759</v>
      </c>
      <c r="C106" s="101">
        <v>104</v>
      </c>
      <c r="D106" t="s">
        <v>10535</v>
      </c>
      <c r="E106" t="s">
        <v>1374</v>
      </c>
      <c r="G106" t="s">
        <v>3403</v>
      </c>
      <c r="K106" t="s">
        <v>10536</v>
      </c>
      <c r="S106" t="s">
        <v>5685</v>
      </c>
      <c r="T106" t="s">
        <v>4</v>
      </c>
    </row>
    <row r="107" spans="1:20">
      <c r="A107" t="s">
        <v>3498</v>
      </c>
      <c r="B107" t="s">
        <v>3759</v>
      </c>
      <c r="C107" s="101">
        <v>105</v>
      </c>
      <c r="D107" t="s">
        <v>10537</v>
      </c>
      <c r="E107" t="s">
        <v>1374</v>
      </c>
      <c r="G107" t="s">
        <v>3403</v>
      </c>
      <c r="K107" t="s">
        <v>10538</v>
      </c>
      <c r="S107" t="s">
        <v>606</v>
      </c>
      <c r="T107" t="s">
        <v>4</v>
      </c>
    </row>
    <row r="108" spans="1:20">
      <c r="A108" t="s">
        <v>3498</v>
      </c>
      <c r="B108" t="s">
        <v>3759</v>
      </c>
      <c r="C108" s="101">
        <v>106</v>
      </c>
      <c r="D108" t="s">
        <v>10539</v>
      </c>
      <c r="E108" t="s">
        <v>1374</v>
      </c>
      <c r="G108" t="s">
        <v>3403</v>
      </c>
      <c r="K108" t="s">
        <v>10540</v>
      </c>
      <c r="S108" t="s">
        <v>175</v>
      </c>
      <c r="T108" t="s">
        <v>4</v>
      </c>
    </row>
    <row r="109" spans="1:20">
      <c r="A109" t="s">
        <v>3498</v>
      </c>
      <c r="B109" t="s">
        <v>3759</v>
      </c>
      <c r="C109" s="101">
        <v>107</v>
      </c>
      <c r="D109" t="s">
        <v>10541</v>
      </c>
      <c r="E109" t="s">
        <v>1374</v>
      </c>
      <c r="G109" t="s">
        <v>3403</v>
      </c>
      <c r="K109" t="s">
        <v>10542</v>
      </c>
      <c r="L109" t="s">
        <v>5208</v>
      </c>
      <c r="S109" t="s">
        <v>170</v>
      </c>
      <c r="T109" t="s">
        <v>4</v>
      </c>
    </row>
    <row r="110" spans="1:20">
      <c r="A110" t="s">
        <v>3498</v>
      </c>
      <c r="B110" t="s">
        <v>3759</v>
      </c>
      <c r="C110" s="101">
        <v>108</v>
      </c>
      <c r="D110" t="s">
        <v>10543</v>
      </c>
      <c r="E110" t="s">
        <v>1374</v>
      </c>
      <c r="G110" t="s">
        <v>3403</v>
      </c>
      <c r="K110" t="s">
        <v>10544</v>
      </c>
      <c r="L110" t="s">
        <v>7372</v>
      </c>
      <c r="S110" t="s">
        <v>44</v>
      </c>
      <c r="T110" t="s">
        <v>4</v>
      </c>
    </row>
    <row r="111" spans="1:20">
      <c r="A111" t="s">
        <v>3498</v>
      </c>
      <c r="B111" t="s">
        <v>3759</v>
      </c>
      <c r="C111" s="101">
        <v>109</v>
      </c>
      <c r="D111" t="s">
        <v>10545</v>
      </c>
      <c r="E111" t="s">
        <v>1374</v>
      </c>
      <c r="G111" t="s">
        <v>3403</v>
      </c>
      <c r="K111" t="s">
        <v>10546</v>
      </c>
      <c r="S111" t="s">
        <v>32</v>
      </c>
      <c r="T111" t="s">
        <v>4</v>
      </c>
    </row>
    <row r="112" spans="1:20">
      <c r="A112" t="s">
        <v>3498</v>
      </c>
      <c r="B112" t="s">
        <v>3759</v>
      </c>
      <c r="C112" s="101">
        <v>110</v>
      </c>
      <c r="D112" t="s">
        <v>10547</v>
      </c>
      <c r="E112" t="s">
        <v>1374</v>
      </c>
      <c r="G112" t="s">
        <v>3403</v>
      </c>
      <c r="K112" t="s">
        <v>10548</v>
      </c>
      <c r="S112" t="s">
        <v>171</v>
      </c>
      <c r="T112" t="s">
        <v>4</v>
      </c>
    </row>
    <row r="113" spans="1:20">
      <c r="A113" t="s">
        <v>3498</v>
      </c>
      <c r="B113" t="s">
        <v>3759</v>
      </c>
      <c r="C113" s="101">
        <v>111</v>
      </c>
      <c r="D113" t="s">
        <v>10549</v>
      </c>
      <c r="E113" t="s">
        <v>1374</v>
      </c>
      <c r="G113" t="s">
        <v>3403</v>
      </c>
      <c r="H113" t="s">
        <v>5180</v>
      </c>
      <c r="K113" t="s">
        <v>10550</v>
      </c>
      <c r="S113" t="s">
        <v>179</v>
      </c>
      <c r="T113" t="s">
        <v>4</v>
      </c>
    </row>
    <row r="114" spans="1:20">
      <c r="A114" t="s">
        <v>3498</v>
      </c>
      <c r="B114" t="s">
        <v>3759</v>
      </c>
      <c r="C114" s="101">
        <v>112</v>
      </c>
      <c r="D114" t="s">
        <v>10551</v>
      </c>
      <c r="E114" t="s">
        <v>1374</v>
      </c>
      <c r="G114" t="s">
        <v>3403</v>
      </c>
      <c r="K114" t="s">
        <v>10552</v>
      </c>
      <c r="S114" t="s">
        <v>15</v>
      </c>
      <c r="T114" t="s">
        <v>4</v>
      </c>
    </row>
    <row r="115" spans="1:20">
      <c r="A115" t="s">
        <v>3498</v>
      </c>
      <c r="B115" t="s">
        <v>3759</v>
      </c>
      <c r="C115" s="101">
        <v>113</v>
      </c>
      <c r="D115" t="s">
        <v>4976</v>
      </c>
      <c r="E115" t="s">
        <v>1374</v>
      </c>
      <c r="G115" t="s">
        <v>3403</v>
      </c>
      <c r="K115" t="s">
        <v>4977</v>
      </c>
      <c r="S115" t="s">
        <v>26</v>
      </c>
      <c r="T115" t="s">
        <v>4</v>
      </c>
    </row>
    <row r="116" spans="1:20">
      <c r="A116" t="s">
        <v>3498</v>
      </c>
      <c r="B116" t="s">
        <v>3759</v>
      </c>
      <c r="C116" s="101">
        <v>114</v>
      </c>
      <c r="D116" t="s">
        <v>10553</v>
      </c>
      <c r="E116" t="s">
        <v>1374</v>
      </c>
      <c r="G116" t="s">
        <v>3403</v>
      </c>
      <c r="K116" t="s">
        <v>10554</v>
      </c>
      <c r="S116" t="s">
        <v>29</v>
      </c>
      <c r="T116" t="s">
        <v>4</v>
      </c>
    </row>
    <row r="117" spans="1:20">
      <c r="A117" t="s">
        <v>3498</v>
      </c>
      <c r="B117" t="s">
        <v>3759</v>
      </c>
      <c r="C117" s="101">
        <v>115</v>
      </c>
      <c r="D117" t="s">
        <v>10555</v>
      </c>
      <c r="E117" t="s">
        <v>1374</v>
      </c>
      <c r="G117" t="s">
        <v>3403</v>
      </c>
      <c r="K117" t="s">
        <v>10556</v>
      </c>
      <c r="S117" t="s">
        <v>177</v>
      </c>
      <c r="T117" t="s">
        <v>4</v>
      </c>
    </row>
    <row r="118" spans="1:20">
      <c r="A118" t="s">
        <v>3498</v>
      </c>
      <c r="B118" t="s">
        <v>3759</v>
      </c>
      <c r="C118" s="101">
        <v>116</v>
      </c>
      <c r="D118" t="s">
        <v>10557</v>
      </c>
      <c r="E118" t="s">
        <v>1374</v>
      </c>
      <c r="G118" t="s">
        <v>3403</v>
      </c>
      <c r="K118" t="s">
        <v>10558</v>
      </c>
      <c r="S118" t="s">
        <v>172</v>
      </c>
      <c r="T118" t="s">
        <v>4</v>
      </c>
    </row>
    <row r="119" spans="1:20">
      <c r="A119" t="s">
        <v>3498</v>
      </c>
      <c r="B119" t="s">
        <v>3759</v>
      </c>
      <c r="C119" s="101">
        <v>117</v>
      </c>
      <c r="D119" t="s">
        <v>10559</v>
      </c>
      <c r="E119" t="s">
        <v>1375</v>
      </c>
      <c r="G119" t="s">
        <v>3403</v>
      </c>
      <c r="K119" t="s">
        <v>10560</v>
      </c>
      <c r="S119" t="s">
        <v>6</v>
      </c>
      <c r="T119" t="s">
        <v>4</v>
      </c>
    </row>
    <row r="120" spans="1:20">
      <c r="A120" t="s">
        <v>3498</v>
      </c>
      <c r="B120" t="s">
        <v>3759</v>
      </c>
      <c r="C120" s="101">
        <v>118</v>
      </c>
      <c r="D120" t="s">
        <v>10561</v>
      </c>
      <c r="E120" t="s">
        <v>1375</v>
      </c>
      <c r="G120" t="s">
        <v>3403</v>
      </c>
      <c r="K120" t="s">
        <v>10562</v>
      </c>
      <c r="L120" t="s">
        <v>10563</v>
      </c>
      <c r="S120" t="s">
        <v>46</v>
      </c>
      <c r="T120" t="s">
        <v>4</v>
      </c>
    </row>
    <row r="121" spans="1:20">
      <c r="A121" t="s">
        <v>3498</v>
      </c>
      <c r="B121" t="s">
        <v>3759</v>
      </c>
      <c r="C121" s="101">
        <v>119</v>
      </c>
      <c r="D121" t="s">
        <v>10564</v>
      </c>
      <c r="E121" t="s">
        <v>1375</v>
      </c>
      <c r="G121" t="s">
        <v>3403</v>
      </c>
      <c r="K121" t="s">
        <v>10565</v>
      </c>
      <c r="S121" t="s">
        <v>5</v>
      </c>
      <c r="T121" t="s">
        <v>4</v>
      </c>
    </row>
    <row r="122" spans="1:20">
      <c r="A122" t="s">
        <v>3498</v>
      </c>
      <c r="B122" t="s">
        <v>3759</v>
      </c>
      <c r="C122" s="101">
        <v>120</v>
      </c>
      <c r="D122" t="s">
        <v>10566</v>
      </c>
      <c r="E122" t="s">
        <v>1374</v>
      </c>
      <c r="G122" t="s">
        <v>3403</v>
      </c>
      <c r="K122" t="s">
        <v>10567</v>
      </c>
      <c r="S122" t="s">
        <v>46</v>
      </c>
      <c r="T122" t="s">
        <v>4</v>
      </c>
    </row>
    <row r="123" spans="1:20">
      <c r="A123" t="s">
        <v>3498</v>
      </c>
      <c r="B123" t="s">
        <v>3759</v>
      </c>
      <c r="C123" s="101">
        <v>121</v>
      </c>
      <c r="D123" t="s">
        <v>10568</v>
      </c>
      <c r="E123" t="s">
        <v>1374</v>
      </c>
      <c r="G123" t="s">
        <v>3403</v>
      </c>
      <c r="K123" t="s">
        <v>4113</v>
      </c>
      <c r="L123" t="s">
        <v>10569</v>
      </c>
      <c r="M123" t="s">
        <v>10570</v>
      </c>
      <c r="N123" t="s">
        <v>6335</v>
      </c>
      <c r="S123" t="s">
        <v>168</v>
      </c>
      <c r="T123" t="s">
        <v>4</v>
      </c>
    </row>
    <row r="124" spans="1:20">
      <c r="A124" t="s">
        <v>3498</v>
      </c>
      <c r="B124" t="s">
        <v>3759</v>
      </c>
      <c r="C124" s="101">
        <v>122</v>
      </c>
      <c r="D124" t="s">
        <v>10571</v>
      </c>
      <c r="E124" t="s">
        <v>1374</v>
      </c>
      <c r="G124" t="s">
        <v>3403</v>
      </c>
      <c r="K124" t="s">
        <v>10572</v>
      </c>
      <c r="L124" t="s">
        <v>10573</v>
      </c>
      <c r="M124" t="s">
        <v>10574</v>
      </c>
      <c r="S124" t="s">
        <v>15</v>
      </c>
      <c r="T124" t="s">
        <v>4</v>
      </c>
    </row>
    <row r="125" spans="1:20">
      <c r="A125" t="s">
        <v>3498</v>
      </c>
      <c r="B125" t="s">
        <v>3759</v>
      </c>
      <c r="C125" s="101">
        <v>123</v>
      </c>
      <c r="D125" t="s">
        <v>4992</v>
      </c>
      <c r="E125" t="s">
        <v>1374</v>
      </c>
      <c r="G125" t="s">
        <v>3403</v>
      </c>
      <c r="K125" t="s">
        <v>4893</v>
      </c>
      <c r="L125" t="s">
        <v>3768</v>
      </c>
      <c r="S125" t="s">
        <v>169</v>
      </c>
      <c r="T125" t="s">
        <v>4</v>
      </c>
    </row>
    <row r="126" spans="1:20">
      <c r="A126" t="s">
        <v>3498</v>
      </c>
      <c r="B126" t="s">
        <v>3759</v>
      </c>
      <c r="C126" s="101">
        <v>124</v>
      </c>
      <c r="D126" t="s">
        <v>10575</v>
      </c>
      <c r="E126" t="s">
        <v>1374</v>
      </c>
      <c r="G126" t="s">
        <v>3403</v>
      </c>
      <c r="K126" t="s">
        <v>4113</v>
      </c>
      <c r="L126" t="s">
        <v>10576</v>
      </c>
      <c r="M126" t="s">
        <v>10577</v>
      </c>
      <c r="N126" t="s">
        <v>6335</v>
      </c>
      <c r="S126" t="s">
        <v>177</v>
      </c>
      <c r="T126" t="s">
        <v>4</v>
      </c>
    </row>
    <row r="127" spans="1:20">
      <c r="A127" t="s">
        <v>3498</v>
      </c>
      <c r="B127" t="s">
        <v>3759</v>
      </c>
      <c r="C127" s="101">
        <v>125</v>
      </c>
      <c r="D127" t="s">
        <v>10578</v>
      </c>
      <c r="E127" t="s">
        <v>1374</v>
      </c>
      <c r="G127" t="s">
        <v>3403</v>
      </c>
      <c r="K127" t="s">
        <v>10579</v>
      </c>
      <c r="S127" t="s">
        <v>176</v>
      </c>
      <c r="T127" t="s">
        <v>4</v>
      </c>
    </row>
    <row r="128" spans="1:20">
      <c r="A128" t="s">
        <v>3498</v>
      </c>
      <c r="B128" t="s">
        <v>3759</v>
      </c>
      <c r="C128" s="101">
        <v>126</v>
      </c>
      <c r="D128" t="s">
        <v>10580</v>
      </c>
      <c r="E128" t="s">
        <v>1374</v>
      </c>
      <c r="G128" t="s">
        <v>3403</v>
      </c>
      <c r="K128" t="s">
        <v>10581</v>
      </c>
      <c r="S128" t="s">
        <v>36</v>
      </c>
      <c r="T128" t="s">
        <v>4</v>
      </c>
    </row>
    <row r="129" spans="1:20">
      <c r="A129" t="s">
        <v>3498</v>
      </c>
      <c r="B129" t="s">
        <v>3759</v>
      </c>
      <c r="C129" s="101">
        <v>127</v>
      </c>
      <c r="D129" t="s">
        <v>10582</v>
      </c>
      <c r="E129" t="s">
        <v>1378</v>
      </c>
      <c r="G129" t="s">
        <v>3403</v>
      </c>
      <c r="H129" t="s">
        <v>5180</v>
      </c>
      <c r="K129" t="s">
        <v>10583</v>
      </c>
      <c r="L129" t="s">
        <v>10584</v>
      </c>
      <c r="S129" t="s">
        <v>183</v>
      </c>
      <c r="T129" t="s">
        <v>4</v>
      </c>
    </row>
    <row r="130" spans="1:20">
      <c r="A130" t="s">
        <v>3498</v>
      </c>
      <c r="B130" t="s">
        <v>3759</v>
      </c>
      <c r="C130" s="101">
        <v>128</v>
      </c>
      <c r="D130" t="s">
        <v>10585</v>
      </c>
      <c r="E130" t="s">
        <v>1378</v>
      </c>
      <c r="G130" t="s">
        <v>3403</v>
      </c>
      <c r="K130" t="s">
        <v>9710</v>
      </c>
      <c r="S130" t="s">
        <v>28</v>
      </c>
      <c r="T130" t="s">
        <v>4</v>
      </c>
    </row>
    <row r="131" spans="1:20">
      <c r="A131" t="s">
        <v>3498</v>
      </c>
      <c r="B131" t="s">
        <v>3759</v>
      </c>
      <c r="C131" s="101">
        <v>129</v>
      </c>
      <c r="D131" t="s">
        <v>10586</v>
      </c>
      <c r="E131" t="s">
        <v>1378</v>
      </c>
      <c r="G131" t="s">
        <v>3403</v>
      </c>
      <c r="K131" t="s">
        <v>10587</v>
      </c>
      <c r="S131" t="s">
        <v>5685</v>
      </c>
      <c r="T131" t="s">
        <v>4</v>
      </c>
    </row>
    <row r="132" spans="1:20">
      <c r="A132" t="s">
        <v>3498</v>
      </c>
      <c r="B132" t="s">
        <v>3759</v>
      </c>
      <c r="C132" s="101">
        <v>130</v>
      </c>
      <c r="D132" t="s">
        <v>10588</v>
      </c>
      <c r="E132" t="s">
        <v>1378</v>
      </c>
      <c r="G132" t="s">
        <v>3403</v>
      </c>
      <c r="K132" t="s">
        <v>10589</v>
      </c>
      <c r="S132" t="s">
        <v>38</v>
      </c>
      <c r="T132" t="s">
        <v>4</v>
      </c>
    </row>
    <row r="133" spans="1:20">
      <c r="A133" t="s">
        <v>3498</v>
      </c>
      <c r="B133" t="s">
        <v>3759</v>
      </c>
      <c r="C133" s="101">
        <v>131</v>
      </c>
      <c r="D133" t="s">
        <v>10590</v>
      </c>
      <c r="E133" t="s">
        <v>1379</v>
      </c>
      <c r="G133" t="s">
        <v>3403</v>
      </c>
      <c r="K133" t="s">
        <v>10591</v>
      </c>
      <c r="S133" t="s">
        <v>180</v>
      </c>
      <c r="T133" t="s">
        <v>4</v>
      </c>
    </row>
    <row r="134" spans="1:20">
      <c r="A134" t="s">
        <v>3498</v>
      </c>
      <c r="B134" t="s">
        <v>3759</v>
      </c>
      <c r="C134" s="101">
        <v>132</v>
      </c>
      <c r="D134" t="s">
        <v>10592</v>
      </c>
      <c r="E134" t="s">
        <v>1378</v>
      </c>
      <c r="G134" t="s">
        <v>3403</v>
      </c>
      <c r="K134" t="s">
        <v>10593</v>
      </c>
      <c r="S134" t="s">
        <v>38</v>
      </c>
      <c r="T134" t="s">
        <v>4</v>
      </c>
    </row>
    <row r="135" spans="1:20">
      <c r="A135" t="s">
        <v>3498</v>
      </c>
      <c r="B135" t="s">
        <v>3759</v>
      </c>
      <c r="C135" s="101">
        <v>133</v>
      </c>
      <c r="D135" t="s">
        <v>10594</v>
      </c>
      <c r="E135" t="s">
        <v>1378</v>
      </c>
      <c r="G135" t="s">
        <v>3403</v>
      </c>
      <c r="K135" t="s">
        <v>10595</v>
      </c>
      <c r="S135" t="s">
        <v>8</v>
      </c>
      <c r="T135" t="s">
        <v>4</v>
      </c>
    </row>
    <row r="136" spans="1:20">
      <c r="A136" t="s">
        <v>3498</v>
      </c>
      <c r="B136" t="s">
        <v>3759</v>
      </c>
      <c r="C136" s="101">
        <v>134</v>
      </c>
      <c r="D136" t="s">
        <v>10596</v>
      </c>
      <c r="E136" t="s">
        <v>1378</v>
      </c>
      <c r="G136" t="s">
        <v>3403</v>
      </c>
      <c r="K136" t="s">
        <v>10597</v>
      </c>
      <c r="S136" t="s">
        <v>5685</v>
      </c>
      <c r="T136" t="s">
        <v>4</v>
      </c>
    </row>
    <row r="137" spans="1:20">
      <c r="A137" t="s">
        <v>3498</v>
      </c>
      <c r="B137" t="s">
        <v>3759</v>
      </c>
      <c r="C137" s="101">
        <v>135</v>
      </c>
      <c r="D137" t="s">
        <v>10598</v>
      </c>
      <c r="E137" t="s">
        <v>1378</v>
      </c>
      <c r="G137" t="s">
        <v>3403</v>
      </c>
      <c r="H137" t="s">
        <v>5180</v>
      </c>
      <c r="K137" t="s">
        <v>10599</v>
      </c>
      <c r="S137" t="s">
        <v>183</v>
      </c>
      <c r="T137" t="s">
        <v>4</v>
      </c>
    </row>
    <row r="138" spans="1:20">
      <c r="A138" t="s">
        <v>3498</v>
      </c>
      <c r="B138" t="s">
        <v>3759</v>
      </c>
      <c r="C138" s="101">
        <v>136</v>
      </c>
      <c r="D138" t="s">
        <v>10600</v>
      </c>
      <c r="E138" t="s">
        <v>1378</v>
      </c>
      <c r="G138" t="s">
        <v>3403</v>
      </c>
      <c r="K138" t="s">
        <v>10601</v>
      </c>
      <c r="S138" t="s">
        <v>26</v>
      </c>
      <c r="T138" t="s">
        <v>4</v>
      </c>
    </row>
    <row r="139" spans="1:20">
      <c r="A139" t="s">
        <v>3498</v>
      </c>
      <c r="B139" t="s">
        <v>3759</v>
      </c>
      <c r="C139" s="101">
        <v>137</v>
      </c>
      <c r="D139" t="s">
        <v>5019</v>
      </c>
      <c r="E139" t="s">
        <v>1378</v>
      </c>
      <c r="G139" t="s">
        <v>3403</v>
      </c>
      <c r="K139" t="s">
        <v>8861</v>
      </c>
      <c r="L139" t="s">
        <v>10602</v>
      </c>
      <c r="S139" t="s">
        <v>606</v>
      </c>
      <c r="T139" t="s">
        <v>4</v>
      </c>
    </row>
    <row r="140" spans="1:20">
      <c r="A140" t="s">
        <v>3498</v>
      </c>
      <c r="B140" t="s">
        <v>3759</v>
      </c>
      <c r="C140" s="101">
        <v>138</v>
      </c>
      <c r="D140" t="s">
        <v>10603</v>
      </c>
      <c r="E140" t="s">
        <v>1378</v>
      </c>
      <c r="G140" t="s">
        <v>3403</v>
      </c>
      <c r="K140" t="s">
        <v>7296</v>
      </c>
      <c r="L140" t="s">
        <v>4113</v>
      </c>
      <c r="M140" t="s">
        <v>10604</v>
      </c>
      <c r="N140" t="s">
        <v>10605</v>
      </c>
      <c r="S140" t="s">
        <v>37</v>
      </c>
      <c r="T140" t="s">
        <v>4</v>
      </c>
    </row>
    <row r="141" spans="1:20">
      <c r="A141" t="s">
        <v>3498</v>
      </c>
      <c r="B141" t="s">
        <v>3759</v>
      </c>
      <c r="C141" s="101">
        <v>139</v>
      </c>
      <c r="D141" t="s">
        <v>10606</v>
      </c>
      <c r="E141" t="s">
        <v>1378</v>
      </c>
      <c r="G141" t="s">
        <v>3403</v>
      </c>
      <c r="K141" t="s">
        <v>10536</v>
      </c>
      <c r="L141" t="s">
        <v>4953</v>
      </c>
      <c r="S141" t="s">
        <v>17</v>
      </c>
      <c r="T141" t="s">
        <v>4</v>
      </c>
    </row>
    <row r="142" spans="1:20">
      <c r="A142" t="s">
        <v>3498</v>
      </c>
      <c r="B142" t="s">
        <v>3759</v>
      </c>
      <c r="C142" s="101">
        <v>140</v>
      </c>
      <c r="D142" t="s">
        <v>10607</v>
      </c>
      <c r="E142" t="s">
        <v>1378</v>
      </c>
      <c r="G142" t="s">
        <v>3403</v>
      </c>
      <c r="K142" t="s">
        <v>10608</v>
      </c>
      <c r="L142" t="s">
        <v>10609</v>
      </c>
      <c r="S142" t="s">
        <v>10</v>
      </c>
      <c r="T142" t="s">
        <v>4</v>
      </c>
    </row>
    <row r="143" spans="1:20">
      <c r="A143" t="s">
        <v>3498</v>
      </c>
      <c r="B143" t="s">
        <v>3759</v>
      </c>
      <c r="C143" s="101">
        <v>141</v>
      </c>
      <c r="D143" t="s">
        <v>10610</v>
      </c>
      <c r="E143" t="s">
        <v>1381</v>
      </c>
      <c r="G143" t="s">
        <v>3403</v>
      </c>
      <c r="K143" t="s">
        <v>10611</v>
      </c>
      <c r="S143" t="s">
        <v>32</v>
      </c>
      <c r="T143" t="s">
        <v>4</v>
      </c>
    </row>
    <row r="144" spans="1:20">
      <c r="A144" t="s">
        <v>3498</v>
      </c>
      <c r="B144" t="s">
        <v>3759</v>
      </c>
      <c r="C144" s="101">
        <v>142</v>
      </c>
      <c r="D144" t="s">
        <v>10612</v>
      </c>
      <c r="E144" t="s">
        <v>1385</v>
      </c>
      <c r="G144" t="s">
        <v>3403</v>
      </c>
      <c r="K144" t="s">
        <v>10613</v>
      </c>
      <c r="S144" t="s">
        <v>34</v>
      </c>
      <c r="T144" t="s">
        <v>4</v>
      </c>
    </row>
    <row r="145" spans="1:20">
      <c r="A145" t="s">
        <v>3498</v>
      </c>
      <c r="B145" t="s">
        <v>3759</v>
      </c>
      <c r="C145" s="101">
        <v>143</v>
      </c>
      <c r="D145" t="s">
        <v>10614</v>
      </c>
      <c r="E145" t="s">
        <v>1381</v>
      </c>
      <c r="G145" t="s">
        <v>3403</v>
      </c>
      <c r="K145" t="s">
        <v>10615</v>
      </c>
      <c r="S145" t="s">
        <v>48</v>
      </c>
      <c r="T145" t="s">
        <v>4</v>
      </c>
    </row>
    <row r="146" spans="1:20">
      <c r="A146" t="s">
        <v>3498</v>
      </c>
      <c r="B146" t="s">
        <v>3759</v>
      </c>
      <c r="C146" s="101">
        <v>144</v>
      </c>
      <c r="D146" t="s">
        <v>5040</v>
      </c>
      <c r="E146" t="s">
        <v>1385</v>
      </c>
      <c r="G146" t="s">
        <v>3403</v>
      </c>
      <c r="K146" t="s">
        <v>4113</v>
      </c>
      <c r="L146" t="s">
        <v>4369</v>
      </c>
      <c r="M146" t="s">
        <v>5041</v>
      </c>
      <c r="N146" t="s">
        <v>5042</v>
      </c>
      <c r="S146" t="s">
        <v>605</v>
      </c>
      <c r="T146" t="s">
        <v>4</v>
      </c>
    </row>
    <row r="147" spans="1:20">
      <c r="A147" t="s">
        <v>3498</v>
      </c>
      <c r="B147" t="s">
        <v>3759</v>
      </c>
      <c r="C147" s="101">
        <v>145</v>
      </c>
      <c r="D147" t="s">
        <v>10616</v>
      </c>
      <c r="E147" t="s">
        <v>1381</v>
      </c>
      <c r="G147" t="s">
        <v>3403</v>
      </c>
      <c r="K147" t="s">
        <v>10617</v>
      </c>
      <c r="S147" t="s">
        <v>30</v>
      </c>
      <c r="T147" t="s">
        <v>4</v>
      </c>
    </row>
    <row r="148" spans="1:20">
      <c r="A148" t="s">
        <v>3498</v>
      </c>
      <c r="B148" t="s">
        <v>3759</v>
      </c>
      <c r="C148" s="101">
        <v>146</v>
      </c>
      <c r="D148" t="s">
        <v>10618</v>
      </c>
      <c r="E148" t="s">
        <v>1385</v>
      </c>
      <c r="G148" t="s">
        <v>3403</v>
      </c>
      <c r="K148" t="s">
        <v>10619</v>
      </c>
      <c r="S148" t="s">
        <v>28</v>
      </c>
      <c r="T148" t="s">
        <v>4</v>
      </c>
    </row>
    <row r="149" spans="1:20">
      <c r="A149" t="s">
        <v>3498</v>
      </c>
      <c r="B149" t="s">
        <v>3759</v>
      </c>
      <c r="C149" s="101">
        <v>147</v>
      </c>
      <c r="D149" t="s">
        <v>10620</v>
      </c>
      <c r="E149" t="s">
        <v>1381</v>
      </c>
      <c r="G149" t="s">
        <v>3403</v>
      </c>
      <c r="K149" t="s">
        <v>10621</v>
      </c>
      <c r="S149" t="s">
        <v>16</v>
      </c>
      <c r="T149" t="s">
        <v>4</v>
      </c>
    </row>
    <row r="150" spans="1:20">
      <c r="A150" t="s">
        <v>3498</v>
      </c>
      <c r="B150" t="s">
        <v>3759</v>
      </c>
      <c r="C150" s="101">
        <v>148</v>
      </c>
      <c r="D150" t="s">
        <v>10622</v>
      </c>
      <c r="E150" t="s">
        <v>1381</v>
      </c>
      <c r="G150" t="s">
        <v>3403</v>
      </c>
      <c r="K150" t="s">
        <v>10623</v>
      </c>
      <c r="S150" t="s">
        <v>32</v>
      </c>
      <c r="T150" t="s">
        <v>4</v>
      </c>
    </row>
    <row r="151" spans="1:20">
      <c r="A151" t="s">
        <v>3498</v>
      </c>
      <c r="B151" t="s">
        <v>3759</v>
      </c>
      <c r="C151" s="101">
        <v>149</v>
      </c>
      <c r="D151" t="s">
        <v>10624</v>
      </c>
      <c r="E151" t="s">
        <v>1381</v>
      </c>
      <c r="G151" t="s">
        <v>3403</v>
      </c>
      <c r="H151" t="s">
        <v>5180</v>
      </c>
      <c r="K151" t="s">
        <v>9151</v>
      </c>
      <c r="L151" t="s">
        <v>10625</v>
      </c>
      <c r="S151" t="s">
        <v>175</v>
      </c>
      <c r="T151" t="s">
        <v>4</v>
      </c>
    </row>
    <row r="152" spans="1:20">
      <c r="A152" t="s">
        <v>3498</v>
      </c>
      <c r="B152" t="s">
        <v>3759</v>
      </c>
      <c r="C152" s="101">
        <v>150</v>
      </c>
      <c r="D152" t="s">
        <v>10626</v>
      </c>
      <c r="E152" t="s">
        <v>1381</v>
      </c>
      <c r="G152" t="s">
        <v>3403</v>
      </c>
      <c r="K152" t="s">
        <v>10627</v>
      </c>
      <c r="S152" t="s">
        <v>27</v>
      </c>
      <c r="T152" t="s">
        <v>4</v>
      </c>
    </row>
    <row r="153" spans="1:20">
      <c r="A153" t="s">
        <v>3498</v>
      </c>
      <c r="B153" t="s">
        <v>3759</v>
      </c>
      <c r="C153" s="101">
        <v>151</v>
      </c>
      <c r="D153" t="s">
        <v>10628</v>
      </c>
      <c r="E153" t="s">
        <v>1386</v>
      </c>
      <c r="G153" t="s">
        <v>3403</v>
      </c>
      <c r="K153" t="s">
        <v>10629</v>
      </c>
      <c r="S153" t="s">
        <v>6</v>
      </c>
      <c r="T153" t="s">
        <v>4</v>
      </c>
    </row>
    <row r="154" spans="1:20">
      <c r="A154" t="s">
        <v>3498</v>
      </c>
      <c r="B154" t="s">
        <v>3759</v>
      </c>
      <c r="C154" s="101">
        <v>152</v>
      </c>
      <c r="D154" t="s">
        <v>10630</v>
      </c>
      <c r="E154" t="s">
        <v>1386</v>
      </c>
      <c r="G154" t="s">
        <v>3403</v>
      </c>
      <c r="K154" t="s">
        <v>10631</v>
      </c>
      <c r="L154" t="s">
        <v>10632</v>
      </c>
      <c r="S154" t="s">
        <v>18</v>
      </c>
      <c r="T154" t="s">
        <v>4</v>
      </c>
    </row>
    <row r="155" spans="1:20">
      <c r="A155" t="s">
        <v>3498</v>
      </c>
      <c r="B155" t="s">
        <v>3759</v>
      </c>
      <c r="C155" s="101">
        <v>153</v>
      </c>
      <c r="D155" t="s">
        <v>10633</v>
      </c>
      <c r="E155" t="s">
        <v>1386</v>
      </c>
      <c r="G155" t="s">
        <v>3403</v>
      </c>
      <c r="K155" t="s">
        <v>10634</v>
      </c>
      <c r="S155" t="s">
        <v>172</v>
      </c>
      <c r="T155" t="s">
        <v>4</v>
      </c>
    </row>
    <row r="156" spans="1:20">
      <c r="A156" t="s">
        <v>3498</v>
      </c>
      <c r="B156" t="s">
        <v>3759</v>
      </c>
      <c r="C156" s="101">
        <v>154</v>
      </c>
      <c r="D156" t="s">
        <v>10635</v>
      </c>
      <c r="E156" t="s">
        <v>1465</v>
      </c>
      <c r="G156" t="s">
        <v>3403</v>
      </c>
      <c r="K156" t="s">
        <v>10636</v>
      </c>
      <c r="L156" t="s">
        <v>10637</v>
      </c>
      <c r="S156" t="s">
        <v>844</v>
      </c>
      <c r="T156" t="s">
        <v>4</v>
      </c>
    </row>
    <row r="157" spans="1:20">
      <c r="A157" t="s">
        <v>3498</v>
      </c>
      <c r="B157" t="s">
        <v>3759</v>
      </c>
      <c r="C157" s="101">
        <v>155</v>
      </c>
      <c r="D157" t="s">
        <v>10638</v>
      </c>
      <c r="E157" t="s">
        <v>10639</v>
      </c>
      <c r="G157" t="s">
        <v>3403</v>
      </c>
      <c r="K157" t="s">
        <v>10640</v>
      </c>
      <c r="S157" t="s">
        <v>14</v>
      </c>
      <c r="T157" t="s">
        <v>4</v>
      </c>
    </row>
    <row r="158" spans="1:20">
      <c r="A158" s="2" t="s">
        <v>3463</v>
      </c>
      <c r="B158" s="2" t="s">
        <v>3759</v>
      </c>
      <c r="C158" s="101">
        <v>1001</v>
      </c>
      <c r="D158" s="2" t="s">
        <v>10958</v>
      </c>
      <c r="E158" s="2" t="s">
        <v>1370</v>
      </c>
      <c r="F158" s="2"/>
      <c r="G158" s="2" t="s">
        <v>3403</v>
      </c>
      <c r="H158" s="2"/>
      <c r="I158" s="2"/>
      <c r="J158" s="2"/>
      <c r="K158" s="2" t="s">
        <v>10959</v>
      </c>
      <c r="L158" s="2"/>
      <c r="M158" s="2"/>
      <c r="N158" s="2"/>
      <c r="O158" s="2"/>
      <c r="P158" s="2"/>
      <c r="Q158" s="2"/>
      <c r="R158" s="2"/>
      <c r="S158" s="2" t="s">
        <v>29</v>
      </c>
      <c r="T158" s="2" t="s">
        <v>7</v>
      </c>
    </row>
    <row r="159" spans="1:20">
      <c r="A159" s="2" t="s">
        <v>3463</v>
      </c>
      <c r="B159" s="2" t="s">
        <v>3759</v>
      </c>
      <c r="C159" s="101">
        <v>1002</v>
      </c>
      <c r="D159" s="2" t="s">
        <v>10960</v>
      </c>
      <c r="E159" s="2" t="s">
        <v>1370</v>
      </c>
      <c r="F159" s="2"/>
      <c r="G159" s="2" t="s">
        <v>3403</v>
      </c>
      <c r="H159" s="2"/>
      <c r="I159" s="2"/>
      <c r="J159" s="2"/>
      <c r="K159" s="2" t="s">
        <v>10961</v>
      </c>
      <c r="L159" s="2"/>
      <c r="M159" s="2"/>
      <c r="N159" s="2"/>
      <c r="O159" s="2"/>
      <c r="P159" s="2"/>
      <c r="Q159" s="2"/>
      <c r="R159" s="1"/>
      <c r="S159" s="1" t="s">
        <v>30</v>
      </c>
      <c r="T159" s="1" t="s">
        <v>7</v>
      </c>
    </row>
    <row r="160" spans="1:20">
      <c r="A160" s="2" t="s">
        <v>3463</v>
      </c>
      <c r="B160" s="2" t="s">
        <v>3759</v>
      </c>
      <c r="C160" s="101">
        <v>1003</v>
      </c>
      <c r="D160" s="1" t="s">
        <v>10962</v>
      </c>
      <c r="E160" s="1" t="s">
        <v>10337</v>
      </c>
      <c r="F160" s="1"/>
      <c r="G160" s="1" t="s">
        <v>3403</v>
      </c>
      <c r="H160" s="1"/>
      <c r="I160" s="1"/>
      <c r="J160" s="1"/>
      <c r="K160" s="1" t="s">
        <v>10963</v>
      </c>
      <c r="L160" s="1"/>
      <c r="M160" s="1"/>
      <c r="N160" s="1"/>
      <c r="O160" s="1"/>
      <c r="P160" s="1"/>
      <c r="Q160" s="1"/>
      <c r="R160" s="1"/>
      <c r="S160" s="1" t="s">
        <v>171</v>
      </c>
      <c r="T160" s="1" t="s">
        <v>7</v>
      </c>
    </row>
    <row r="161" spans="1:20">
      <c r="A161" s="2" t="s">
        <v>3463</v>
      </c>
      <c r="B161" s="2" t="s">
        <v>3759</v>
      </c>
      <c r="C161" s="101">
        <v>1004</v>
      </c>
      <c r="D161" s="1" t="s">
        <v>10339</v>
      </c>
      <c r="E161" s="1" t="s">
        <v>1370</v>
      </c>
      <c r="F161" s="1"/>
      <c r="G161" s="1" t="s">
        <v>3403</v>
      </c>
      <c r="H161" s="1"/>
      <c r="I161" s="1"/>
      <c r="J161" s="1"/>
      <c r="K161" s="1" t="s">
        <v>10340</v>
      </c>
      <c r="L161" s="1" t="s">
        <v>10341</v>
      </c>
      <c r="M161" s="1"/>
      <c r="N161" s="1"/>
      <c r="O161" s="1"/>
      <c r="P161" s="1"/>
      <c r="Q161" s="1"/>
      <c r="R161" s="1"/>
      <c r="S161" s="1" t="s">
        <v>46</v>
      </c>
      <c r="T161" s="1" t="s">
        <v>7</v>
      </c>
    </row>
    <row r="162" spans="1:20">
      <c r="A162" s="2" t="s">
        <v>3463</v>
      </c>
      <c r="B162" s="2" t="s">
        <v>3759</v>
      </c>
      <c r="C162" s="101">
        <v>1005</v>
      </c>
      <c r="D162" s="1" t="s">
        <v>10964</v>
      </c>
      <c r="E162" s="1" t="s">
        <v>10337</v>
      </c>
      <c r="F162" s="1"/>
      <c r="G162" s="1" t="s">
        <v>3403</v>
      </c>
      <c r="H162" s="1"/>
      <c r="I162" s="1"/>
      <c r="J162" s="1"/>
      <c r="K162" s="1" t="s">
        <v>10965</v>
      </c>
      <c r="L162" s="1" t="s">
        <v>10966</v>
      </c>
      <c r="M162" s="1"/>
      <c r="N162" s="1"/>
      <c r="O162" s="1"/>
      <c r="P162" s="1"/>
      <c r="Q162" s="1"/>
      <c r="R162" s="1"/>
      <c r="S162" s="1" t="s">
        <v>6</v>
      </c>
      <c r="T162" s="1" t="s">
        <v>7</v>
      </c>
    </row>
    <row r="163" spans="1:20">
      <c r="A163" s="2" t="s">
        <v>3463</v>
      </c>
      <c r="B163" s="2" t="s">
        <v>3759</v>
      </c>
      <c r="C163" s="101">
        <v>1006</v>
      </c>
      <c r="D163" s="1" t="s">
        <v>10967</v>
      </c>
      <c r="E163" s="1" t="s">
        <v>1370</v>
      </c>
      <c r="F163" s="1"/>
      <c r="G163" s="1" t="s">
        <v>3403</v>
      </c>
      <c r="H163" s="1"/>
      <c r="I163" s="1"/>
      <c r="J163" s="1"/>
      <c r="K163" s="1" t="s">
        <v>10968</v>
      </c>
      <c r="L163" s="1" t="s">
        <v>10969</v>
      </c>
      <c r="M163" s="1"/>
      <c r="N163" s="1"/>
      <c r="O163" s="1"/>
      <c r="P163" s="1"/>
      <c r="Q163" s="1"/>
      <c r="R163" s="1"/>
      <c r="S163" s="1" t="s">
        <v>607</v>
      </c>
      <c r="T163" s="1" t="s">
        <v>7</v>
      </c>
    </row>
    <row r="164" spans="1:20">
      <c r="A164" s="2" t="s">
        <v>3463</v>
      </c>
      <c r="B164" s="2" t="s">
        <v>3759</v>
      </c>
      <c r="C164" s="101">
        <v>1007</v>
      </c>
      <c r="D164" s="1" t="s">
        <v>10970</v>
      </c>
      <c r="E164" s="1" t="s">
        <v>1370</v>
      </c>
      <c r="F164" s="1"/>
      <c r="G164" s="1" t="s">
        <v>3403</v>
      </c>
      <c r="H164" s="1"/>
      <c r="I164" s="1"/>
      <c r="J164" s="1"/>
      <c r="K164" s="1" t="s">
        <v>10971</v>
      </c>
      <c r="L164" s="1"/>
      <c r="M164" s="1"/>
      <c r="N164" s="1"/>
      <c r="O164" s="1"/>
      <c r="P164" s="1"/>
      <c r="Q164" s="1"/>
      <c r="R164" s="1"/>
      <c r="S164" s="1" t="s">
        <v>14</v>
      </c>
      <c r="T164" s="1" t="s">
        <v>7</v>
      </c>
    </row>
    <row r="165" spans="1:20">
      <c r="A165" s="2" t="s">
        <v>3463</v>
      </c>
      <c r="B165" s="2" t="s">
        <v>3759</v>
      </c>
      <c r="C165" s="101">
        <v>1008</v>
      </c>
      <c r="D165" s="1" t="s">
        <v>10336</v>
      </c>
      <c r="E165" s="1" t="s">
        <v>10337</v>
      </c>
      <c r="F165" s="1"/>
      <c r="G165" s="1" t="s">
        <v>3403</v>
      </c>
      <c r="H165" s="1"/>
      <c r="I165" s="1"/>
      <c r="J165" s="1"/>
      <c r="K165" s="1" t="s">
        <v>10338</v>
      </c>
      <c r="L165" s="1"/>
      <c r="M165" s="1"/>
      <c r="N165" s="1"/>
      <c r="O165" s="1"/>
      <c r="P165" s="1"/>
      <c r="Q165" s="1"/>
      <c r="R165" s="1"/>
      <c r="S165" s="1" t="s">
        <v>172</v>
      </c>
      <c r="T165" s="1" t="s">
        <v>7</v>
      </c>
    </row>
    <row r="166" spans="1:20">
      <c r="A166" s="2" t="s">
        <v>3463</v>
      </c>
      <c r="B166" s="2" t="s">
        <v>3759</v>
      </c>
      <c r="C166" s="101">
        <v>1009</v>
      </c>
      <c r="D166" s="1" t="s">
        <v>10371</v>
      </c>
      <c r="E166" s="1" t="s">
        <v>10372</v>
      </c>
      <c r="F166" s="1"/>
      <c r="G166" s="1" t="s">
        <v>3403</v>
      </c>
      <c r="H166" s="1"/>
      <c r="I166" s="1"/>
      <c r="J166" s="1"/>
      <c r="K166" s="1" t="s">
        <v>5099</v>
      </c>
      <c r="L166" s="1" t="s">
        <v>10373</v>
      </c>
      <c r="M166" s="1"/>
      <c r="N166" s="1"/>
      <c r="O166" s="1"/>
      <c r="P166" s="1"/>
      <c r="Q166" s="1"/>
      <c r="R166" s="1"/>
      <c r="S166" s="1" t="s">
        <v>606</v>
      </c>
      <c r="T166" s="1" t="s">
        <v>7</v>
      </c>
    </row>
    <row r="167" spans="1:20">
      <c r="A167" s="2" t="s">
        <v>3463</v>
      </c>
      <c r="B167" s="2" t="s">
        <v>3759</v>
      </c>
      <c r="C167" s="101">
        <v>1010</v>
      </c>
      <c r="D167" s="1" t="s">
        <v>10327</v>
      </c>
      <c r="E167" s="1" t="s">
        <v>1370</v>
      </c>
      <c r="F167" s="1"/>
      <c r="G167" s="1" t="s">
        <v>3403</v>
      </c>
      <c r="H167" s="1"/>
      <c r="I167" s="1"/>
      <c r="J167" s="1"/>
      <c r="K167" s="1" t="s">
        <v>10328</v>
      </c>
      <c r="L167" s="1"/>
      <c r="M167" s="1"/>
      <c r="N167" s="1"/>
      <c r="O167" s="1"/>
      <c r="P167" s="1"/>
      <c r="Q167" s="1"/>
      <c r="R167" s="1"/>
      <c r="S167" s="1" t="s">
        <v>184</v>
      </c>
      <c r="T167" s="1" t="s">
        <v>7</v>
      </c>
    </row>
    <row r="168" spans="1:20">
      <c r="A168" s="2" t="s">
        <v>3463</v>
      </c>
      <c r="B168" s="2" t="s">
        <v>3759</v>
      </c>
      <c r="C168" s="101">
        <v>1011</v>
      </c>
      <c r="D168" s="1" t="s">
        <v>10972</v>
      </c>
      <c r="E168" s="1" t="s">
        <v>1370</v>
      </c>
      <c r="F168" s="1"/>
      <c r="G168" s="1" t="s">
        <v>3403</v>
      </c>
      <c r="H168" s="1"/>
      <c r="I168" s="1"/>
      <c r="J168" s="1"/>
      <c r="K168" s="1" t="s">
        <v>10973</v>
      </c>
      <c r="L168" s="1" t="s">
        <v>10974</v>
      </c>
      <c r="M168" s="1"/>
      <c r="N168" s="1"/>
      <c r="O168" s="1"/>
      <c r="P168" s="1"/>
      <c r="Q168" s="1"/>
      <c r="R168" s="1"/>
      <c r="S168" s="1" t="s">
        <v>32</v>
      </c>
      <c r="T168" s="1" t="s">
        <v>7</v>
      </c>
    </row>
    <row r="169" spans="1:20">
      <c r="A169" s="2" t="s">
        <v>3463</v>
      </c>
      <c r="B169" s="2" t="s">
        <v>3759</v>
      </c>
      <c r="C169" s="101">
        <v>1012</v>
      </c>
      <c r="D169" s="1" t="s">
        <v>10975</v>
      </c>
      <c r="E169" s="1" t="s">
        <v>10337</v>
      </c>
      <c r="F169" s="1"/>
      <c r="G169" s="1" t="s">
        <v>3403</v>
      </c>
      <c r="H169" s="1"/>
      <c r="I169" s="1"/>
      <c r="J169" s="1"/>
      <c r="K169" s="1" t="s">
        <v>4113</v>
      </c>
      <c r="L169" s="1" t="s">
        <v>10976</v>
      </c>
      <c r="M169" s="1" t="s">
        <v>10977</v>
      </c>
      <c r="N169" s="1"/>
      <c r="O169" s="1"/>
      <c r="P169" s="1"/>
      <c r="Q169" s="1"/>
      <c r="R169" s="1"/>
      <c r="S169" s="1" t="s">
        <v>33</v>
      </c>
      <c r="T169" s="1" t="s">
        <v>7</v>
      </c>
    </row>
    <row r="170" spans="1:20">
      <c r="A170" s="2" t="s">
        <v>3463</v>
      </c>
      <c r="B170" s="2" t="s">
        <v>3759</v>
      </c>
      <c r="C170" s="101">
        <v>1013</v>
      </c>
      <c r="D170" s="1" t="s">
        <v>10978</v>
      </c>
      <c r="E170" s="1" t="s">
        <v>1370</v>
      </c>
      <c r="F170" s="1"/>
      <c r="G170" s="1" t="s">
        <v>3403</v>
      </c>
      <c r="H170" s="1"/>
      <c r="I170" s="1"/>
      <c r="J170" s="1"/>
      <c r="K170" s="1" t="s">
        <v>10979</v>
      </c>
      <c r="L170" s="1"/>
      <c r="M170" s="1"/>
      <c r="N170" s="1"/>
      <c r="O170" s="1"/>
      <c r="P170" s="1"/>
      <c r="Q170" s="1"/>
      <c r="R170" s="1"/>
      <c r="S170" s="1" t="s">
        <v>605</v>
      </c>
      <c r="T170" s="1" t="s">
        <v>7</v>
      </c>
    </row>
    <row r="171" spans="1:20">
      <c r="A171" s="2" t="s">
        <v>3463</v>
      </c>
      <c r="B171" s="2" t="s">
        <v>3759</v>
      </c>
      <c r="C171" s="101">
        <v>1014</v>
      </c>
      <c r="D171" s="1" t="s">
        <v>10980</v>
      </c>
      <c r="E171" s="1" t="s">
        <v>10337</v>
      </c>
      <c r="F171" s="1"/>
      <c r="G171" s="1" t="s">
        <v>3403</v>
      </c>
      <c r="H171" s="1"/>
      <c r="I171" s="1"/>
      <c r="J171" s="1"/>
      <c r="K171" s="1" t="s">
        <v>10981</v>
      </c>
      <c r="L171" s="1" t="s">
        <v>10982</v>
      </c>
      <c r="M171" s="1"/>
      <c r="N171" s="1"/>
      <c r="O171" s="1"/>
      <c r="P171" s="1"/>
      <c r="Q171" s="1"/>
      <c r="R171" s="1"/>
      <c r="S171" s="1" t="s">
        <v>49</v>
      </c>
      <c r="T171" s="1" t="s">
        <v>7</v>
      </c>
    </row>
    <row r="172" spans="1:20">
      <c r="A172" s="2" t="s">
        <v>3463</v>
      </c>
      <c r="B172" s="2" t="s">
        <v>3759</v>
      </c>
      <c r="C172" s="101">
        <v>1015</v>
      </c>
      <c r="D172" s="1" t="s">
        <v>10983</v>
      </c>
      <c r="E172" s="1" t="s">
        <v>1370</v>
      </c>
      <c r="F172" s="1"/>
      <c r="G172" s="1" t="s">
        <v>3403</v>
      </c>
      <c r="H172" s="1"/>
      <c r="I172" s="1"/>
      <c r="J172" s="1"/>
      <c r="K172" s="1" t="s">
        <v>10984</v>
      </c>
      <c r="L172" s="1" t="s">
        <v>10985</v>
      </c>
      <c r="M172" s="1"/>
      <c r="N172" s="1"/>
      <c r="O172" s="1"/>
      <c r="P172" s="1"/>
      <c r="Q172" s="1"/>
      <c r="R172" s="1"/>
      <c r="S172" s="1" t="s">
        <v>53</v>
      </c>
      <c r="T172" s="1" t="s">
        <v>7</v>
      </c>
    </row>
    <row r="173" spans="1:20">
      <c r="A173" s="2" t="s">
        <v>3463</v>
      </c>
      <c r="B173" s="2" t="s">
        <v>3759</v>
      </c>
      <c r="C173" s="101">
        <v>1016</v>
      </c>
      <c r="D173" s="1" t="s">
        <v>10986</v>
      </c>
      <c r="E173" s="1" t="s">
        <v>1370</v>
      </c>
      <c r="F173" s="1"/>
      <c r="G173" s="1" t="s">
        <v>3403</v>
      </c>
      <c r="H173" s="1"/>
      <c r="I173" s="1"/>
      <c r="J173" s="1"/>
      <c r="K173" s="1" t="s">
        <v>10987</v>
      </c>
      <c r="L173" s="1"/>
      <c r="M173" s="1"/>
      <c r="N173" s="1"/>
      <c r="O173" s="1"/>
      <c r="P173" s="1"/>
      <c r="Q173" s="1"/>
      <c r="R173" s="1"/>
      <c r="S173" s="1" t="s">
        <v>10</v>
      </c>
      <c r="T173" s="1" t="s">
        <v>7</v>
      </c>
    </row>
    <row r="174" spans="1:20">
      <c r="A174" s="2" t="s">
        <v>3463</v>
      </c>
      <c r="B174" s="2" t="s">
        <v>3759</v>
      </c>
      <c r="C174" s="101">
        <v>1017</v>
      </c>
      <c r="D174" s="1" t="s">
        <v>10988</v>
      </c>
      <c r="E174" s="1" t="s">
        <v>1370</v>
      </c>
      <c r="F174" s="1"/>
      <c r="G174" s="1" t="s">
        <v>3403</v>
      </c>
      <c r="H174" s="1"/>
      <c r="I174" s="1"/>
      <c r="J174" s="1"/>
      <c r="K174" s="1" t="s">
        <v>10989</v>
      </c>
      <c r="L174" s="1"/>
      <c r="M174" s="1"/>
      <c r="N174" s="1"/>
      <c r="O174" s="1"/>
      <c r="P174" s="1"/>
      <c r="Q174" s="1"/>
      <c r="R174" s="1"/>
      <c r="S174" s="1" t="s">
        <v>36</v>
      </c>
      <c r="T174" s="1" t="s">
        <v>7</v>
      </c>
    </row>
    <row r="175" spans="1:20">
      <c r="A175" s="2" t="s">
        <v>3463</v>
      </c>
      <c r="B175" s="2" t="s">
        <v>3759</v>
      </c>
      <c r="C175" s="101">
        <v>1018</v>
      </c>
      <c r="D175" s="1" t="s">
        <v>10990</v>
      </c>
      <c r="E175" s="1" t="s">
        <v>1372</v>
      </c>
      <c r="F175" s="1"/>
      <c r="G175" s="1" t="s">
        <v>3403</v>
      </c>
      <c r="H175" s="1"/>
      <c r="I175" s="1"/>
      <c r="J175" s="1"/>
      <c r="K175" s="1" t="s">
        <v>10991</v>
      </c>
      <c r="L175" s="1" t="s">
        <v>10992</v>
      </c>
      <c r="M175" s="1"/>
      <c r="N175" s="1"/>
      <c r="O175" s="1"/>
      <c r="P175" s="1"/>
      <c r="Q175" s="1"/>
      <c r="R175" s="1"/>
      <c r="S175" s="1" t="s">
        <v>172</v>
      </c>
      <c r="T175" s="1" t="s">
        <v>7</v>
      </c>
    </row>
    <row r="176" spans="1:20">
      <c r="A176" s="2" t="s">
        <v>3463</v>
      </c>
      <c r="B176" s="2" t="s">
        <v>3759</v>
      </c>
      <c r="C176" s="101">
        <v>1019</v>
      </c>
      <c r="D176" s="1" t="s">
        <v>10993</v>
      </c>
      <c r="E176" s="1" t="s">
        <v>1372</v>
      </c>
      <c r="F176" s="1"/>
      <c r="G176" s="1" t="s">
        <v>3403</v>
      </c>
      <c r="H176" s="1"/>
      <c r="I176" s="1"/>
      <c r="J176" s="1"/>
      <c r="K176" s="1" t="s">
        <v>10994</v>
      </c>
      <c r="L176" s="1"/>
      <c r="M176" s="1"/>
      <c r="N176" s="1"/>
      <c r="O176" s="1"/>
      <c r="P176" s="1"/>
      <c r="Q176" s="1"/>
      <c r="R176" s="1"/>
      <c r="S176" s="1" t="s">
        <v>3119</v>
      </c>
      <c r="T176" s="1" t="s">
        <v>7</v>
      </c>
    </row>
    <row r="177" spans="1:20">
      <c r="A177" s="2" t="s">
        <v>3463</v>
      </c>
      <c r="B177" s="2" t="s">
        <v>3759</v>
      </c>
      <c r="C177" s="101">
        <v>1020</v>
      </c>
      <c r="D177" s="1" t="s">
        <v>10995</v>
      </c>
      <c r="E177" s="1" t="s">
        <v>1372</v>
      </c>
      <c r="F177" s="1"/>
      <c r="G177" s="1" t="s">
        <v>3403</v>
      </c>
      <c r="H177" s="1"/>
      <c r="I177" s="1"/>
      <c r="J177" s="1"/>
      <c r="K177" s="1" t="s">
        <v>10996</v>
      </c>
      <c r="L177" s="1" t="s">
        <v>6397</v>
      </c>
      <c r="M177" s="1"/>
      <c r="N177" s="1"/>
      <c r="O177" s="1"/>
      <c r="P177" s="1"/>
      <c r="Q177" s="1"/>
      <c r="R177" s="1"/>
      <c r="S177" s="1" t="s">
        <v>44</v>
      </c>
      <c r="T177" s="1" t="s">
        <v>7</v>
      </c>
    </row>
    <row r="178" spans="1:20">
      <c r="A178" s="2" t="s">
        <v>3463</v>
      </c>
      <c r="B178" s="2" t="s">
        <v>3759</v>
      </c>
      <c r="C178" s="101">
        <v>1021</v>
      </c>
      <c r="D178" s="1" t="s">
        <v>10473</v>
      </c>
      <c r="E178" s="1" t="s">
        <v>1372</v>
      </c>
      <c r="F178" s="1"/>
      <c r="G178" s="1" t="s">
        <v>3403</v>
      </c>
      <c r="H178" s="1"/>
      <c r="I178" s="1"/>
      <c r="J178" s="1"/>
      <c r="K178" s="1" t="s">
        <v>10997</v>
      </c>
      <c r="L178" s="1"/>
      <c r="M178" s="1"/>
      <c r="N178" s="1"/>
      <c r="O178" s="1"/>
      <c r="P178" s="1"/>
      <c r="Q178" s="1"/>
      <c r="R178" s="1"/>
      <c r="S178" s="1" t="s">
        <v>14</v>
      </c>
      <c r="T178" s="1" t="s">
        <v>7</v>
      </c>
    </row>
    <row r="179" spans="1:20">
      <c r="A179" s="2" t="s">
        <v>3463</v>
      </c>
      <c r="B179" s="2" t="s">
        <v>3759</v>
      </c>
      <c r="C179" s="101">
        <v>1022</v>
      </c>
      <c r="D179" s="1" t="s">
        <v>10998</v>
      </c>
      <c r="E179" s="1" t="s">
        <v>1372</v>
      </c>
      <c r="F179" s="1"/>
      <c r="G179" s="1" t="s">
        <v>3403</v>
      </c>
      <c r="H179" s="1"/>
      <c r="I179" s="1"/>
      <c r="J179" s="1"/>
      <c r="K179" s="1" t="s">
        <v>10999</v>
      </c>
      <c r="L179" s="1"/>
      <c r="M179" s="1"/>
      <c r="N179" s="1"/>
      <c r="O179" s="1"/>
      <c r="P179" s="1"/>
      <c r="Q179" s="1"/>
      <c r="R179" s="1"/>
      <c r="S179" s="1" t="s">
        <v>10</v>
      </c>
      <c r="T179" s="1" t="s">
        <v>7</v>
      </c>
    </row>
    <row r="180" spans="1:20">
      <c r="A180" s="2" t="s">
        <v>3463</v>
      </c>
      <c r="B180" s="2" t="s">
        <v>3759</v>
      </c>
      <c r="C180" s="101">
        <v>1023</v>
      </c>
      <c r="D180" s="1" t="s">
        <v>11000</v>
      </c>
      <c r="E180" s="1" t="s">
        <v>11001</v>
      </c>
      <c r="F180" s="1"/>
      <c r="G180" s="1" t="s">
        <v>3403</v>
      </c>
      <c r="H180" s="1"/>
      <c r="I180" s="1"/>
      <c r="J180" s="1"/>
      <c r="K180" s="1" t="s">
        <v>11002</v>
      </c>
      <c r="L180" s="1" t="s">
        <v>11003</v>
      </c>
      <c r="M180" s="1"/>
      <c r="N180" s="1"/>
      <c r="O180" s="1"/>
      <c r="P180" s="1"/>
      <c r="Q180" s="1"/>
      <c r="R180" s="1"/>
      <c r="S180" s="1" t="s">
        <v>48</v>
      </c>
      <c r="T180" s="1" t="s">
        <v>7</v>
      </c>
    </row>
    <row r="181" spans="1:20">
      <c r="A181" s="2" t="s">
        <v>3463</v>
      </c>
      <c r="B181" s="2" t="s">
        <v>3759</v>
      </c>
      <c r="C181" s="101">
        <v>1024</v>
      </c>
      <c r="D181" s="1" t="s">
        <v>10443</v>
      </c>
      <c r="E181" s="1" t="s">
        <v>1372</v>
      </c>
      <c r="F181" s="1"/>
      <c r="G181" s="1" t="s">
        <v>3403</v>
      </c>
      <c r="H181" s="1" t="s">
        <v>5180</v>
      </c>
      <c r="I181" s="1"/>
      <c r="J181" s="1"/>
      <c r="K181" s="1" t="s">
        <v>10444</v>
      </c>
      <c r="L181" s="1" t="s">
        <v>10445</v>
      </c>
      <c r="M181" s="1"/>
      <c r="N181" s="1"/>
      <c r="O181" s="1"/>
      <c r="P181" s="1"/>
      <c r="Q181" s="1"/>
      <c r="R181" s="1"/>
      <c r="S181" s="1" t="s">
        <v>768</v>
      </c>
      <c r="T181" s="1" t="s">
        <v>7</v>
      </c>
    </row>
    <row r="182" spans="1:20">
      <c r="A182" s="2" t="s">
        <v>3463</v>
      </c>
      <c r="B182" s="2" t="s">
        <v>3759</v>
      </c>
      <c r="C182" s="101">
        <v>1025</v>
      </c>
      <c r="D182" s="1" t="s">
        <v>10429</v>
      </c>
      <c r="E182" s="1" t="s">
        <v>1372</v>
      </c>
      <c r="F182" s="1"/>
      <c r="G182" s="1" t="s">
        <v>3403</v>
      </c>
      <c r="H182" s="1"/>
      <c r="I182" s="1"/>
      <c r="J182" s="1"/>
      <c r="K182" s="1" t="s">
        <v>10430</v>
      </c>
      <c r="L182" s="1"/>
      <c r="M182" s="1"/>
      <c r="N182" s="1"/>
      <c r="O182" s="1"/>
      <c r="P182" s="1"/>
      <c r="Q182" s="1"/>
      <c r="R182" s="1"/>
      <c r="S182" s="1" t="s">
        <v>5685</v>
      </c>
      <c r="T182" s="1" t="s">
        <v>7</v>
      </c>
    </row>
    <row r="183" spans="1:20">
      <c r="A183" s="2" t="s">
        <v>3463</v>
      </c>
      <c r="B183" s="2" t="s">
        <v>3759</v>
      </c>
      <c r="C183" s="101">
        <v>1026</v>
      </c>
      <c r="D183" s="1" t="s">
        <v>11004</v>
      </c>
      <c r="E183" s="1" t="s">
        <v>1372</v>
      </c>
      <c r="F183" s="1"/>
      <c r="G183" s="1" t="s">
        <v>3403</v>
      </c>
      <c r="H183" s="1"/>
      <c r="I183" s="1"/>
      <c r="J183" s="1"/>
      <c r="K183" s="1" t="s">
        <v>11005</v>
      </c>
      <c r="L183" s="1"/>
      <c r="M183" s="1"/>
      <c r="N183" s="1"/>
      <c r="O183" s="1"/>
      <c r="P183" s="1"/>
      <c r="Q183" s="1"/>
      <c r="R183" s="1"/>
      <c r="S183" s="1" t="s">
        <v>26</v>
      </c>
      <c r="T183" s="1" t="s">
        <v>7</v>
      </c>
    </row>
    <row r="184" spans="1:20">
      <c r="A184" s="2" t="s">
        <v>3463</v>
      </c>
      <c r="B184" s="2" t="s">
        <v>3759</v>
      </c>
      <c r="C184" s="101">
        <v>1027</v>
      </c>
      <c r="D184" s="1" t="s">
        <v>10475</v>
      </c>
      <c r="E184" s="1" t="s">
        <v>1372</v>
      </c>
      <c r="F184" s="1"/>
      <c r="G184" s="1" t="s">
        <v>3445</v>
      </c>
      <c r="H184" s="1" t="s">
        <v>5672</v>
      </c>
      <c r="I184" s="1"/>
      <c r="J184" s="1"/>
      <c r="K184" s="1" t="s">
        <v>10476</v>
      </c>
      <c r="L184" s="1"/>
      <c r="M184" s="1"/>
      <c r="N184" s="1"/>
      <c r="O184" s="1"/>
      <c r="P184" s="1"/>
      <c r="Q184" s="1"/>
      <c r="R184" s="1"/>
      <c r="S184" s="1" t="s">
        <v>5281</v>
      </c>
      <c r="T184" s="1" t="s">
        <v>7</v>
      </c>
    </row>
    <row r="185" spans="1:20">
      <c r="A185" s="2" t="s">
        <v>3463</v>
      </c>
      <c r="B185" s="2" t="s">
        <v>3759</v>
      </c>
      <c r="C185" s="101">
        <v>1028</v>
      </c>
      <c r="D185" s="1" t="s">
        <v>11006</v>
      </c>
      <c r="E185" s="1" t="s">
        <v>1372</v>
      </c>
      <c r="F185" s="1"/>
      <c r="G185" s="1" t="s">
        <v>3403</v>
      </c>
      <c r="H185" s="1"/>
      <c r="I185" s="1"/>
      <c r="J185" s="1"/>
      <c r="K185" s="1" t="s">
        <v>11007</v>
      </c>
      <c r="L185" s="1" t="s">
        <v>7169</v>
      </c>
      <c r="M185" s="1"/>
      <c r="N185" s="1"/>
      <c r="O185" s="1"/>
      <c r="P185" s="1"/>
      <c r="Q185" s="1"/>
      <c r="R185" s="1"/>
      <c r="S185" s="1" t="s">
        <v>45</v>
      </c>
      <c r="T185" s="1" t="s">
        <v>7</v>
      </c>
    </row>
    <row r="186" spans="1:20">
      <c r="A186" s="2" t="s">
        <v>3463</v>
      </c>
      <c r="B186" s="2" t="s">
        <v>3759</v>
      </c>
      <c r="C186" s="101">
        <v>1029</v>
      </c>
      <c r="D186" s="1" t="s">
        <v>11008</v>
      </c>
      <c r="E186" s="1" t="s">
        <v>1372</v>
      </c>
      <c r="F186" s="1"/>
      <c r="G186" s="1" t="s">
        <v>3403</v>
      </c>
      <c r="H186" s="1"/>
      <c r="I186" s="1"/>
      <c r="J186" s="1"/>
      <c r="K186" s="1" t="s">
        <v>11009</v>
      </c>
      <c r="L186" s="1" t="s">
        <v>3768</v>
      </c>
      <c r="M186" s="1"/>
      <c r="N186" s="1"/>
      <c r="O186" s="1"/>
      <c r="P186" s="1"/>
      <c r="Q186" s="1"/>
      <c r="R186" s="1"/>
      <c r="S186" s="1" t="s">
        <v>8</v>
      </c>
      <c r="T186" s="1" t="s">
        <v>7</v>
      </c>
    </row>
    <row r="187" spans="1:20">
      <c r="A187" s="2" t="s">
        <v>3463</v>
      </c>
      <c r="B187" s="2" t="s">
        <v>3759</v>
      </c>
      <c r="C187" s="101">
        <v>1030</v>
      </c>
      <c r="D187" s="1" t="s">
        <v>11010</v>
      </c>
      <c r="E187" s="1" t="s">
        <v>1372</v>
      </c>
      <c r="F187" s="1"/>
      <c r="G187" s="1" t="s">
        <v>3403</v>
      </c>
      <c r="H187" s="1"/>
      <c r="I187" s="1"/>
      <c r="J187" s="1"/>
      <c r="K187" s="1" t="s">
        <v>11011</v>
      </c>
      <c r="L187" s="1"/>
      <c r="M187" s="1"/>
      <c r="N187" s="1"/>
      <c r="O187" s="1"/>
      <c r="P187" s="1"/>
      <c r="Q187" s="1"/>
      <c r="R187" s="1"/>
      <c r="S187" s="1" t="s">
        <v>173</v>
      </c>
      <c r="T187" s="1" t="s">
        <v>7</v>
      </c>
    </row>
    <row r="188" spans="1:20">
      <c r="A188" s="2" t="s">
        <v>3463</v>
      </c>
      <c r="B188" s="2" t="s">
        <v>3759</v>
      </c>
      <c r="C188" s="101">
        <v>1031</v>
      </c>
      <c r="D188" s="1" t="s">
        <v>11012</v>
      </c>
      <c r="E188" s="1" t="s">
        <v>1372</v>
      </c>
      <c r="F188" s="1"/>
      <c r="G188" s="1" t="s">
        <v>3403</v>
      </c>
      <c r="H188" s="1"/>
      <c r="I188" s="1"/>
      <c r="J188" s="1"/>
      <c r="K188" s="1" t="s">
        <v>11013</v>
      </c>
      <c r="L188" s="1"/>
      <c r="M188" s="1"/>
      <c r="N188" s="1"/>
      <c r="O188" s="1"/>
      <c r="P188" s="1"/>
      <c r="Q188" s="1"/>
      <c r="R188" s="1"/>
      <c r="S188" s="1" t="s">
        <v>175</v>
      </c>
      <c r="T188" s="1" t="s">
        <v>7</v>
      </c>
    </row>
    <row r="189" spans="1:20">
      <c r="A189" s="2" t="s">
        <v>3463</v>
      </c>
      <c r="B189" s="2" t="s">
        <v>3759</v>
      </c>
      <c r="C189" s="101">
        <v>1032</v>
      </c>
      <c r="D189" s="1" t="s">
        <v>4954</v>
      </c>
      <c r="E189" s="1" t="s">
        <v>1372</v>
      </c>
      <c r="F189" s="1"/>
      <c r="G189" s="1" t="s">
        <v>3403</v>
      </c>
      <c r="H189" s="1"/>
      <c r="I189" s="1"/>
      <c r="J189" s="1"/>
      <c r="K189" s="1" t="s">
        <v>4893</v>
      </c>
      <c r="L189" s="1" t="s">
        <v>4955</v>
      </c>
      <c r="M189" s="1"/>
      <c r="N189" s="1"/>
      <c r="O189" s="1"/>
      <c r="P189" s="1"/>
      <c r="Q189" s="1"/>
      <c r="R189" s="1"/>
      <c r="S189" s="1" t="s">
        <v>844</v>
      </c>
      <c r="T189" s="1" t="s">
        <v>7</v>
      </c>
    </row>
    <row r="190" spans="1:20">
      <c r="A190" s="2" t="s">
        <v>3463</v>
      </c>
      <c r="B190" s="2" t="s">
        <v>3759</v>
      </c>
      <c r="C190" s="101">
        <v>1033</v>
      </c>
      <c r="D190" s="1" t="s">
        <v>11014</v>
      </c>
      <c r="E190" s="1" t="s">
        <v>1372</v>
      </c>
      <c r="F190" s="1"/>
      <c r="G190" s="1" t="s">
        <v>3403</v>
      </c>
      <c r="H190" s="1"/>
      <c r="I190" s="1"/>
      <c r="J190" s="1"/>
      <c r="K190" s="1" t="s">
        <v>11015</v>
      </c>
      <c r="L190" s="1" t="s">
        <v>11016</v>
      </c>
      <c r="M190" s="1"/>
      <c r="N190" s="1"/>
      <c r="O190" s="1"/>
      <c r="P190" s="1"/>
      <c r="Q190" s="1"/>
      <c r="R190" s="1"/>
      <c r="S190" s="1" t="s">
        <v>169</v>
      </c>
      <c r="T190" s="1" t="s">
        <v>7</v>
      </c>
    </row>
    <row r="191" spans="1:20">
      <c r="A191" s="2" t="s">
        <v>3463</v>
      </c>
      <c r="B191" s="2" t="s">
        <v>3759</v>
      </c>
      <c r="C191" s="101">
        <v>1034</v>
      </c>
      <c r="D191" s="1" t="s">
        <v>11017</v>
      </c>
      <c r="E191" s="1" t="s">
        <v>1372</v>
      </c>
      <c r="F191" s="1"/>
      <c r="G191" s="1" t="s">
        <v>3403</v>
      </c>
      <c r="H191" s="1"/>
      <c r="I191" s="1"/>
      <c r="J191" s="1"/>
      <c r="K191" s="1" t="s">
        <v>4113</v>
      </c>
      <c r="L191" s="1" t="s">
        <v>11018</v>
      </c>
      <c r="M191" s="1" t="s">
        <v>11019</v>
      </c>
      <c r="N191" s="1"/>
      <c r="O191" s="1"/>
      <c r="P191" s="1"/>
      <c r="Q191" s="1"/>
      <c r="R191" s="1"/>
      <c r="S191" s="1" t="s">
        <v>35</v>
      </c>
      <c r="T191" s="1" t="s">
        <v>7</v>
      </c>
    </row>
    <row r="192" spans="1:20">
      <c r="A192" s="2" t="s">
        <v>3463</v>
      </c>
      <c r="B192" s="2" t="s">
        <v>3759</v>
      </c>
      <c r="C192" s="101">
        <v>1035</v>
      </c>
      <c r="D192" s="1" t="s">
        <v>11020</v>
      </c>
      <c r="E192" s="1" t="s">
        <v>11001</v>
      </c>
      <c r="F192" s="1"/>
      <c r="G192" s="1" t="s">
        <v>3403</v>
      </c>
      <c r="H192" s="1"/>
      <c r="I192" s="1"/>
      <c r="J192" s="1"/>
      <c r="K192" s="1" t="s">
        <v>11021</v>
      </c>
      <c r="L192" s="1"/>
      <c r="M192" s="1"/>
      <c r="N192" s="1"/>
      <c r="O192" s="1"/>
      <c r="P192" s="1"/>
      <c r="Q192" s="1"/>
      <c r="R192" s="1"/>
      <c r="S192" s="1" t="s">
        <v>180</v>
      </c>
      <c r="T192" s="1" t="s">
        <v>7</v>
      </c>
    </row>
    <row r="193" spans="1:20">
      <c r="A193" s="2" t="s">
        <v>3463</v>
      </c>
      <c r="B193" s="2" t="s">
        <v>3759</v>
      </c>
      <c r="C193" s="101">
        <v>1036</v>
      </c>
      <c r="D193" s="1" t="s">
        <v>11022</v>
      </c>
      <c r="E193" s="1" t="s">
        <v>1372</v>
      </c>
      <c r="F193" s="1"/>
      <c r="G193" s="1" t="s">
        <v>3403</v>
      </c>
      <c r="H193" s="1"/>
      <c r="I193" s="1"/>
      <c r="J193" s="1"/>
      <c r="K193" s="1" t="s">
        <v>8710</v>
      </c>
      <c r="L193" s="1" t="s">
        <v>11023</v>
      </c>
      <c r="M193" s="1"/>
      <c r="N193" s="1"/>
      <c r="O193" s="1"/>
      <c r="P193" s="1"/>
      <c r="Q193" s="1"/>
      <c r="R193" s="1"/>
      <c r="S193" s="1" t="s">
        <v>32</v>
      </c>
      <c r="T193" s="1" t="s">
        <v>7</v>
      </c>
    </row>
    <row r="194" spans="1:20">
      <c r="A194" s="2" t="s">
        <v>3463</v>
      </c>
      <c r="B194" s="2" t="s">
        <v>3759</v>
      </c>
      <c r="C194" s="101">
        <v>1037</v>
      </c>
      <c r="D194" s="1" t="s">
        <v>11024</v>
      </c>
      <c r="E194" s="1" t="s">
        <v>1372</v>
      </c>
      <c r="F194" s="1"/>
      <c r="G194" s="1" t="s">
        <v>3403</v>
      </c>
      <c r="H194" s="1"/>
      <c r="I194" s="1"/>
      <c r="J194" s="1"/>
      <c r="K194" s="1" t="s">
        <v>11025</v>
      </c>
      <c r="L194" s="1" t="s">
        <v>11026</v>
      </c>
      <c r="M194" s="1"/>
      <c r="N194" s="1"/>
      <c r="O194" s="1"/>
      <c r="P194" s="1"/>
      <c r="Q194" s="1"/>
      <c r="R194" s="1"/>
      <c r="S194" s="1" t="s">
        <v>607</v>
      </c>
      <c r="T194" s="1" t="s">
        <v>7</v>
      </c>
    </row>
    <row r="195" spans="1:20">
      <c r="A195" s="2" t="s">
        <v>3463</v>
      </c>
      <c r="B195" s="2" t="s">
        <v>3759</v>
      </c>
      <c r="C195" s="101">
        <v>1038</v>
      </c>
      <c r="D195" s="1" t="s">
        <v>11027</v>
      </c>
      <c r="E195" s="1" t="s">
        <v>1372</v>
      </c>
      <c r="F195" s="1"/>
      <c r="G195" s="1" t="s">
        <v>3403</v>
      </c>
      <c r="H195" s="1"/>
      <c r="I195" s="1"/>
      <c r="J195" s="1"/>
      <c r="K195" s="1" t="s">
        <v>11028</v>
      </c>
      <c r="L195" s="1" t="s">
        <v>11029</v>
      </c>
      <c r="M195" s="1"/>
      <c r="N195" s="1"/>
      <c r="O195" s="1"/>
      <c r="P195" s="1"/>
      <c r="Q195" s="1"/>
      <c r="R195" s="1"/>
      <c r="S195" s="1" t="s">
        <v>37</v>
      </c>
      <c r="T195" s="1" t="s">
        <v>7</v>
      </c>
    </row>
    <row r="196" spans="1:20">
      <c r="A196" s="2" t="s">
        <v>3463</v>
      </c>
      <c r="B196" s="2" t="s">
        <v>3759</v>
      </c>
      <c r="C196" s="101">
        <v>1039</v>
      </c>
      <c r="D196" s="1" t="s">
        <v>11030</v>
      </c>
      <c r="E196" s="1" t="s">
        <v>1464</v>
      </c>
      <c r="F196" s="1"/>
      <c r="G196" s="1" t="s">
        <v>3403</v>
      </c>
      <c r="H196" s="1"/>
      <c r="I196" s="1"/>
      <c r="J196" s="1"/>
      <c r="K196" s="1" t="s">
        <v>11031</v>
      </c>
      <c r="L196" s="1"/>
      <c r="M196" s="1"/>
      <c r="N196" s="1"/>
      <c r="O196" s="1"/>
      <c r="P196" s="1"/>
      <c r="Q196" s="1"/>
      <c r="R196" s="1"/>
      <c r="S196" s="1" t="s">
        <v>40</v>
      </c>
      <c r="T196" s="1" t="s">
        <v>7</v>
      </c>
    </row>
    <row r="197" spans="1:20">
      <c r="A197" s="2" t="s">
        <v>3463</v>
      </c>
      <c r="B197" s="2" t="s">
        <v>3759</v>
      </c>
      <c r="C197" s="101">
        <v>1040</v>
      </c>
      <c r="D197" s="1" t="s">
        <v>10509</v>
      </c>
      <c r="E197" s="1" t="s">
        <v>1372</v>
      </c>
      <c r="F197" s="1"/>
      <c r="G197" s="1" t="s">
        <v>3403</v>
      </c>
      <c r="H197" s="1"/>
      <c r="I197" s="1"/>
      <c r="J197" s="1"/>
      <c r="K197" s="1" t="s">
        <v>8859</v>
      </c>
      <c r="L197" s="1" t="s">
        <v>10510</v>
      </c>
      <c r="M197" s="1"/>
      <c r="N197" s="1"/>
      <c r="O197" s="1"/>
      <c r="P197" s="1"/>
      <c r="Q197" s="1"/>
      <c r="R197" s="1"/>
      <c r="S197" s="1" t="s">
        <v>48</v>
      </c>
      <c r="T197" s="1" t="s">
        <v>7</v>
      </c>
    </row>
    <row r="198" spans="1:20">
      <c r="A198" s="2" t="s">
        <v>3463</v>
      </c>
      <c r="B198" s="2" t="s">
        <v>3759</v>
      </c>
      <c r="C198" s="101">
        <v>1041</v>
      </c>
      <c r="D198" s="1" t="s">
        <v>11032</v>
      </c>
      <c r="E198" s="1" t="s">
        <v>1372</v>
      </c>
      <c r="F198" s="1"/>
      <c r="G198" s="1" t="s">
        <v>3403</v>
      </c>
      <c r="H198" s="1"/>
      <c r="I198" s="1"/>
      <c r="J198" s="1"/>
      <c r="K198" s="1" t="s">
        <v>4113</v>
      </c>
      <c r="L198" s="1" t="s">
        <v>11033</v>
      </c>
      <c r="M198" s="1" t="s">
        <v>4369</v>
      </c>
      <c r="N198" s="1"/>
      <c r="O198" s="1"/>
      <c r="P198" s="1"/>
      <c r="Q198" s="1"/>
      <c r="R198" s="1"/>
      <c r="S198" s="1" t="s">
        <v>29</v>
      </c>
      <c r="T198" s="1" t="s">
        <v>7</v>
      </c>
    </row>
    <row r="199" spans="1:20">
      <c r="A199" s="2" t="s">
        <v>3463</v>
      </c>
      <c r="B199" s="2" t="s">
        <v>3759</v>
      </c>
      <c r="C199" s="101">
        <v>1042</v>
      </c>
      <c r="D199" s="1" t="s">
        <v>11034</v>
      </c>
      <c r="E199" s="1" t="s">
        <v>1372</v>
      </c>
      <c r="F199" s="1"/>
      <c r="G199" s="1" t="s">
        <v>3403</v>
      </c>
      <c r="H199" s="1"/>
      <c r="I199" s="1"/>
      <c r="J199" s="1"/>
      <c r="K199" s="1" t="s">
        <v>11035</v>
      </c>
      <c r="L199" s="1"/>
      <c r="M199" s="1"/>
      <c r="N199" s="1"/>
      <c r="O199" s="1"/>
      <c r="P199" s="1"/>
      <c r="Q199" s="1"/>
      <c r="R199" s="1"/>
      <c r="S199" s="1" t="s">
        <v>5</v>
      </c>
      <c r="T199" s="1" t="s">
        <v>7</v>
      </c>
    </row>
    <row r="200" spans="1:20">
      <c r="A200" s="2" t="s">
        <v>3463</v>
      </c>
      <c r="B200" s="2" t="s">
        <v>3759</v>
      </c>
      <c r="C200" s="101">
        <v>1043</v>
      </c>
      <c r="D200" s="1" t="s">
        <v>11036</v>
      </c>
      <c r="E200" s="1" t="s">
        <v>1372</v>
      </c>
      <c r="F200" s="1"/>
      <c r="G200" s="1" t="s">
        <v>3403</v>
      </c>
      <c r="H200" s="1"/>
      <c r="I200" s="1"/>
      <c r="J200" s="1"/>
      <c r="K200" s="1" t="s">
        <v>7010</v>
      </c>
      <c r="L200" s="1" t="s">
        <v>11037</v>
      </c>
      <c r="M200" s="1"/>
      <c r="N200" s="1"/>
      <c r="O200" s="1"/>
      <c r="P200" s="1"/>
      <c r="Q200" s="1"/>
      <c r="R200" s="1"/>
      <c r="S200" s="1" t="s">
        <v>31</v>
      </c>
      <c r="T200" s="1" t="s">
        <v>7</v>
      </c>
    </row>
    <row r="201" spans="1:20">
      <c r="A201" s="2" t="s">
        <v>3463</v>
      </c>
      <c r="B201" s="2" t="s">
        <v>3759</v>
      </c>
      <c r="C201" s="101">
        <v>1044</v>
      </c>
      <c r="D201" s="1" t="s">
        <v>11038</v>
      </c>
      <c r="E201" s="1" t="s">
        <v>1372</v>
      </c>
      <c r="F201" s="1"/>
      <c r="G201" s="1" t="s">
        <v>3403</v>
      </c>
      <c r="H201" s="1"/>
      <c r="I201" s="1"/>
      <c r="J201" s="1"/>
      <c r="K201" s="1" t="s">
        <v>8688</v>
      </c>
      <c r="L201" s="1" t="s">
        <v>11039</v>
      </c>
      <c r="M201" s="1"/>
      <c r="N201" s="1"/>
      <c r="O201" s="1"/>
      <c r="P201" s="1"/>
      <c r="Q201" s="1"/>
      <c r="R201" s="1"/>
      <c r="S201" s="1" t="s">
        <v>174</v>
      </c>
      <c r="T201" s="1" t="s">
        <v>7</v>
      </c>
    </row>
    <row r="202" spans="1:20">
      <c r="A202" s="2" t="s">
        <v>3463</v>
      </c>
      <c r="B202" s="2" t="s">
        <v>3759</v>
      </c>
      <c r="C202" s="101">
        <v>1045</v>
      </c>
      <c r="D202" s="1" t="s">
        <v>11040</v>
      </c>
      <c r="E202" s="1" t="s">
        <v>1375</v>
      </c>
      <c r="F202" s="1"/>
      <c r="G202" s="1" t="s">
        <v>3403</v>
      </c>
      <c r="H202" s="1"/>
      <c r="I202" s="1"/>
      <c r="J202" s="1"/>
      <c r="K202" s="1" t="s">
        <v>11041</v>
      </c>
      <c r="L202" s="1" t="s">
        <v>11042</v>
      </c>
      <c r="M202" s="1"/>
      <c r="N202" s="1"/>
      <c r="O202" s="1"/>
      <c r="P202" s="1"/>
      <c r="Q202" s="1"/>
      <c r="R202" s="1"/>
      <c r="S202" s="1" t="s">
        <v>18</v>
      </c>
      <c r="T202" s="1" t="s">
        <v>7</v>
      </c>
    </row>
    <row r="203" spans="1:20">
      <c r="A203" s="2" t="s">
        <v>3463</v>
      </c>
      <c r="B203" s="2" t="s">
        <v>3759</v>
      </c>
      <c r="C203" s="101">
        <v>1046</v>
      </c>
      <c r="D203" s="1" t="s">
        <v>11043</v>
      </c>
      <c r="E203" s="1" t="s">
        <v>1374</v>
      </c>
      <c r="F203" s="1"/>
      <c r="G203" s="1" t="s">
        <v>3403</v>
      </c>
      <c r="H203" s="1"/>
      <c r="I203" s="1"/>
      <c r="J203" s="1"/>
      <c r="K203" s="1" t="s">
        <v>11044</v>
      </c>
      <c r="L203" s="1" t="s">
        <v>11045</v>
      </c>
      <c r="M203" s="1"/>
      <c r="N203" s="1"/>
      <c r="O203" s="1"/>
      <c r="P203" s="1"/>
      <c r="Q203" s="1"/>
      <c r="R203" s="1"/>
      <c r="S203" s="1" t="s">
        <v>46</v>
      </c>
      <c r="T203" s="1" t="s">
        <v>7</v>
      </c>
    </row>
    <row r="204" spans="1:20">
      <c r="A204" s="2" t="s">
        <v>3463</v>
      </c>
      <c r="B204" s="2" t="s">
        <v>3759</v>
      </c>
      <c r="C204" s="101">
        <v>1047</v>
      </c>
      <c r="D204" s="1" t="s">
        <v>11046</v>
      </c>
      <c r="E204" s="1" t="s">
        <v>1374</v>
      </c>
      <c r="F204" s="1"/>
      <c r="G204" s="1" t="s">
        <v>3403</v>
      </c>
      <c r="H204" s="1"/>
      <c r="I204" s="1"/>
      <c r="J204" s="1"/>
      <c r="K204" s="1" t="s">
        <v>11047</v>
      </c>
      <c r="L204" s="1"/>
      <c r="M204" s="1"/>
      <c r="N204" s="1"/>
      <c r="O204" s="1"/>
      <c r="P204" s="1"/>
      <c r="Q204" s="1"/>
      <c r="R204" s="1"/>
      <c r="S204" s="1" t="s">
        <v>53</v>
      </c>
      <c r="T204" s="1" t="s">
        <v>7</v>
      </c>
    </row>
    <row r="205" spans="1:20">
      <c r="A205" s="2" t="s">
        <v>3463</v>
      </c>
      <c r="B205" s="2" t="s">
        <v>3759</v>
      </c>
      <c r="C205" s="101">
        <v>1048</v>
      </c>
      <c r="D205" s="1" t="s">
        <v>11048</v>
      </c>
      <c r="E205" s="1" t="s">
        <v>1374</v>
      </c>
      <c r="F205" s="1"/>
      <c r="G205" s="1" t="s">
        <v>3403</v>
      </c>
      <c r="H205" s="1"/>
      <c r="I205" s="1"/>
      <c r="J205" s="1"/>
      <c r="K205" s="1" t="s">
        <v>11049</v>
      </c>
      <c r="L205" s="1"/>
      <c r="M205" s="1"/>
      <c r="N205" s="1"/>
      <c r="O205" s="1"/>
      <c r="P205" s="1"/>
      <c r="Q205" s="1"/>
      <c r="R205" s="1"/>
      <c r="S205" s="1" t="s">
        <v>32</v>
      </c>
      <c r="T205" s="1" t="s">
        <v>7</v>
      </c>
    </row>
    <row r="206" spans="1:20">
      <c r="A206" s="2" t="s">
        <v>3463</v>
      </c>
      <c r="B206" s="2" t="s">
        <v>3759</v>
      </c>
      <c r="C206" s="101">
        <v>1049</v>
      </c>
      <c r="D206" s="1" t="s">
        <v>11050</v>
      </c>
      <c r="E206" s="1" t="s">
        <v>1374</v>
      </c>
      <c r="F206" s="1"/>
      <c r="G206" s="1" t="s">
        <v>3403</v>
      </c>
      <c r="H206" s="1"/>
      <c r="I206" s="1"/>
      <c r="J206" s="1"/>
      <c r="K206" s="1" t="s">
        <v>11051</v>
      </c>
      <c r="L206" s="1"/>
      <c r="M206" s="1"/>
      <c r="N206" s="1"/>
      <c r="O206" s="1"/>
      <c r="P206" s="1"/>
      <c r="Q206" s="1"/>
      <c r="R206" s="1"/>
      <c r="S206" s="1" t="s">
        <v>30</v>
      </c>
      <c r="T206" s="1" t="s">
        <v>7</v>
      </c>
    </row>
    <row r="207" spans="1:20">
      <c r="A207" s="2" t="s">
        <v>3463</v>
      </c>
      <c r="B207" s="2" t="s">
        <v>3759</v>
      </c>
      <c r="C207" s="101">
        <v>1050</v>
      </c>
      <c r="D207" s="1" t="s">
        <v>11052</v>
      </c>
      <c r="E207" s="1" t="s">
        <v>1374</v>
      </c>
      <c r="F207" s="1"/>
      <c r="G207" s="1" t="s">
        <v>3403</v>
      </c>
      <c r="H207" s="1"/>
      <c r="I207" s="1"/>
      <c r="J207" s="1"/>
      <c r="K207" s="1" t="s">
        <v>11053</v>
      </c>
      <c r="L207" s="1"/>
      <c r="M207" s="1"/>
      <c r="N207" s="1"/>
      <c r="O207" s="1"/>
      <c r="P207" s="1"/>
      <c r="Q207" s="1"/>
      <c r="R207" s="1"/>
      <c r="S207" s="1" t="s">
        <v>183</v>
      </c>
      <c r="T207" s="1" t="s">
        <v>7</v>
      </c>
    </row>
    <row r="208" spans="1:20">
      <c r="A208" s="2" t="s">
        <v>3463</v>
      </c>
      <c r="B208" s="2" t="s">
        <v>3759</v>
      </c>
      <c r="C208" s="101">
        <v>1051</v>
      </c>
      <c r="D208" s="1" t="s">
        <v>11054</v>
      </c>
      <c r="E208" s="1" t="s">
        <v>1374</v>
      </c>
      <c r="F208" s="1"/>
      <c r="G208" s="1" t="s">
        <v>3403</v>
      </c>
      <c r="H208" s="1"/>
      <c r="I208" s="1"/>
      <c r="J208" s="1"/>
      <c r="K208" s="1" t="s">
        <v>11055</v>
      </c>
      <c r="L208" s="1"/>
      <c r="M208" s="1"/>
      <c r="N208" s="1"/>
      <c r="O208" s="1"/>
      <c r="P208" s="1"/>
      <c r="Q208" s="1"/>
      <c r="R208" s="1"/>
      <c r="S208" s="1" t="s">
        <v>30</v>
      </c>
      <c r="T208" s="1" t="s">
        <v>7</v>
      </c>
    </row>
    <row r="209" spans="1:20">
      <c r="A209" s="2" t="s">
        <v>3463</v>
      </c>
      <c r="B209" s="2" t="s">
        <v>3759</v>
      </c>
      <c r="C209" s="101">
        <v>1052</v>
      </c>
      <c r="D209" s="1" t="s">
        <v>11056</v>
      </c>
      <c r="E209" s="1" t="s">
        <v>1375</v>
      </c>
      <c r="F209" s="1"/>
      <c r="G209" s="1" t="s">
        <v>3403</v>
      </c>
      <c r="H209" s="1"/>
      <c r="I209" s="1"/>
      <c r="J209" s="1"/>
      <c r="K209" s="1" t="s">
        <v>11057</v>
      </c>
      <c r="L209" s="1"/>
      <c r="M209" s="1"/>
      <c r="N209" s="1"/>
      <c r="O209" s="1"/>
      <c r="P209" s="1"/>
      <c r="Q209" s="1"/>
      <c r="R209" s="1"/>
      <c r="S209" s="1" t="s">
        <v>175</v>
      </c>
      <c r="T209" s="1" t="s">
        <v>7</v>
      </c>
    </row>
    <row r="210" spans="1:20">
      <c r="A210" s="2" t="s">
        <v>3463</v>
      </c>
      <c r="B210" s="2" t="s">
        <v>3759</v>
      </c>
      <c r="C210" s="101">
        <v>1053</v>
      </c>
      <c r="D210" s="1" t="s">
        <v>11058</v>
      </c>
      <c r="E210" s="1" t="s">
        <v>1375</v>
      </c>
      <c r="F210" s="1"/>
      <c r="G210" s="1" t="s">
        <v>3403</v>
      </c>
      <c r="H210" s="1"/>
      <c r="I210" s="1"/>
      <c r="J210" s="1"/>
      <c r="K210" s="1" t="s">
        <v>11059</v>
      </c>
      <c r="L210" s="1" t="s">
        <v>11060</v>
      </c>
      <c r="M210" s="1"/>
      <c r="N210" s="1"/>
      <c r="O210" s="1"/>
      <c r="P210" s="1"/>
      <c r="Q210" s="1"/>
      <c r="R210" s="1"/>
      <c r="S210" s="1" t="s">
        <v>49</v>
      </c>
      <c r="T210" s="1" t="s">
        <v>7</v>
      </c>
    </row>
    <row r="211" spans="1:20">
      <c r="A211" s="2" t="s">
        <v>3463</v>
      </c>
      <c r="B211" s="2" t="s">
        <v>3759</v>
      </c>
      <c r="C211" s="101">
        <v>1054</v>
      </c>
      <c r="D211" s="1" t="s">
        <v>11061</v>
      </c>
      <c r="E211" s="1" t="s">
        <v>1374</v>
      </c>
      <c r="F211" s="1"/>
      <c r="G211" s="1" t="s">
        <v>3403</v>
      </c>
      <c r="H211" s="1"/>
      <c r="I211" s="1"/>
      <c r="J211" s="1"/>
      <c r="K211" s="1" t="s">
        <v>11062</v>
      </c>
      <c r="L211" s="1" t="s">
        <v>11063</v>
      </c>
      <c r="M211" s="1"/>
      <c r="N211" s="1"/>
      <c r="O211" s="1"/>
      <c r="P211" s="1"/>
      <c r="Q211" s="1"/>
      <c r="R211" s="1"/>
      <c r="S211" s="1" t="s">
        <v>5719</v>
      </c>
      <c r="T211" s="1" t="s">
        <v>7</v>
      </c>
    </row>
    <row r="212" spans="1:20">
      <c r="A212" s="2" t="s">
        <v>3463</v>
      </c>
      <c r="B212" s="2" t="s">
        <v>3759</v>
      </c>
      <c r="C212" s="101">
        <v>1055</v>
      </c>
      <c r="D212" s="1" t="s">
        <v>11064</v>
      </c>
      <c r="E212" s="1" t="s">
        <v>1374</v>
      </c>
      <c r="F212" s="1"/>
      <c r="G212" s="1" t="s">
        <v>3403</v>
      </c>
      <c r="H212" s="1" t="s">
        <v>5180</v>
      </c>
      <c r="I212" s="1"/>
      <c r="J212" s="1"/>
      <c r="K212" s="1" t="s">
        <v>11065</v>
      </c>
      <c r="L212" s="1"/>
      <c r="M212" s="1"/>
      <c r="N212" s="1"/>
      <c r="O212" s="1"/>
      <c r="P212" s="1"/>
      <c r="Q212" s="1"/>
      <c r="R212" s="1"/>
      <c r="S212" s="1" t="s">
        <v>183</v>
      </c>
      <c r="T212" s="1" t="s">
        <v>7</v>
      </c>
    </row>
    <row r="213" spans="1:20">
      <c r="A213" s="2" t="s">
        <v>3463</v>
      </c>
      <c r="B213" s="2" t="s">
        <v>3759</v>
      </c>
      <c r="C213" s="101">
        <v>1056</v>
      </c>
      <c r="D213" s="1" t="s">
        <v>11066</v>
      </c>
      <c r="E213" s="1" t="s">
        <v>1374</v>
      </c>
      <c r="F213" s="1"/>
      <c r="G213" s="1" t="s">
        <v>3403</v>
      </c>
      <c r="H213" s="1"/>
      <c r="I213" s="1"/>
      <c r="J213" s="1"/>
      <c r="K213" s="1" t="s">
        <v>11067</v>
      </c>
      <c r="L213" s="1" t="s">
        <v>5271</v>
      </c>
      <c r="M213" s="1" t="s">
        <v>11068</v>
      </c>
      <c r="N213" s="1" t="s">
        <v>11069</v>
      </c>
      <c r="O213" s="1" t="s">
        <v>11070</v>
      </c>
      <c r="P213" s="1"/>
      <c r="Q213" s="1"/>
      <c r="R213" s="1"/>
      <c r="S213" s="1" t="s">
        <v>39</v>
      </c>
      <c r="T213" s="1" t="s">
        <v>7</v>
      </c>
    </row>
    <row r="214" spans="1:20">
      <c r="A214" s="2" t="s">
        <v>3463</v>
      </c>
      <c r="B214" s="2" t="s">
        <v>3759</v>
      </c>
      <c r="C214" s="101">
        <v>1057</v>
      </c>
      <c r="D214" s="1" t="s">
        <v>11071</v>
      </c>
      <c r="E214" s="1" t="s">
        <v>1374</v>
      </c>
      <c r="F214" s="1"/>
      <c r="G214" s="1" t="s">
        <v>3403</v>
      </c>
      <c r="H214" s="1"/>
      <c r="I214" s="1"/>
      <c r="J214" s="1"/>
      <c r="K214" s="1" t="s">
        <v>11072</v>
      </c>
      <c r="L214" s="1"/>
      <c r="M214" s="1"/>
      <c r="N214" s="1"/>
      <c r="O214" s="1"/>
      <c r="P214" s="1"/>
      <c r="Q214" s="1"/>
      <c r="R214" s="1"/>
      <c r="S214" s="1" t="s">
        <v>52</v>
      </c>
      <c r="T214" s="1" t="s">
        <v>7</v>
      </c>
    </row>
    <row r="215" spans="1:20">
      <c r="A215" s="2" t="s">
        <v>3463</v>
      </c>
      <c r="B215" s="2" t="s">
        <v>3759</v>
      </c>
      <c r="C215" s="101">
        <v>1058</v>
      </c>
      <c r="D215" s="1" t="s">
        <v>11073</v>
      </c>
      <c r="E215" s="1" t="s">
        <v>1374</v>
      </c>
      <c r="F215" s="1"/>
      <c r="G215" s="1" t="s">
        <v>3403</v>
      </c>
      <c r="H215" s="1"/>
      <c r="I215" s="1"/>
      <c r="J215" s="1"/>
      <c r="K215" s="1" t="s">
        <v>11074</v>
      </c>
      <c r="L215" s="1" t="s">
        <v>3768</v>
      </c>
      <c r="M215" s="1"/>
      <c r="N215" s="1"/>
      <c r="O215" s="1"/>
      <c r="P215" s="1"/>
      <c r="Q215" s="1"/>
      <c r="R215" s="1"/>
      <c r="S215" s="1" t="s">
        <v>36</v>
      </c>
      <c r="T215" s="1" t="s">
        <v>7</v>
      </c>
    </row>
    <row r="216" spans="1:20">
      <c r="A216" s="2" t="s">
        <v>3463</v>
      </c>
      <c r="B216" s="2" t="s">
        <v>3759</v>
      </c>
      <c r="C216" s="101">
        <v>1059</v>
      </c>
      <c r="D216" s="1" t="s">
        <v>11075</v>
      </c>
      <c r="E216" s="1" t="s">
        <v>1374</v>
      </c>
      <c r="F216" s="1"/>
      <c r="G216" s="1" t="s">
        <v>3403</v>
      </c>
      <c r="H216" s="1"/>
      <c r="I216" s="1"/>
      <c r="J216" s="1"/>
      <c r="K216" s="1" t="s">
        <v>11076</v>
      </c>
      <c r="L216" s="1" t="s">
        <v>10823</v>
      </c>
      <c r="M216" s="1"/>
      <c r="N216" s="1"/>
      <c r="O216" s="1"/>
      <c r="P216" s="1"/>
      <c r="Q216" s="1"/>
      <c r="R216" s="1"/>
      <c r="S216" s="1" t="s">
        <v>39</v>
      </c>
      <c r="T216" s="1" t="s">
        <v>7</v>
      </c>
    </row>
    <row r="217" spans="1:20">
      <c r="A217" s="2" t="s">
        <v>3463</v>
      </c>
      <c r="B217" s="2" t="s">
        <v>3759</v>
      </c>
      <c r="C217" s="101">
        <v>1060</v>
      </c>
      <c r="D217" s="1" t="s">
        <v>11077</v>
      </c>
      <c r="E217" s="1" t="s">
        <v>1374</v>
      </c>
      <c r="F217" s="1"/>
      <c r="G217" s="1" t="s">
        <v>3403</v>
      </c>
      <c r="H217" s="1"/>
      <c r="I217" s="1"/>
      <c r="J217" s="1"/>
      <c r="K217" s="1" t="s">
        <v>11078</v>
      </c>
      <c r="L217" s="1"/>
      <c r="M217" s="1"/>
      <c r="N217" s="1"/>
      <c r="O217" s="1"/>
      <c r="P217" s="1"/>
      <c r="Q217" s="1"/>
      <c r="R217" s="1"/>
      <c r="S217" s="1" t="s">
        <v>35</v>
      </c>
      <c r="T217" s="1" t="s">
        <v>7</v>
      </c>
    </row>
    <row r="218" spans="1:20">
      <c r="A218" s="2" t="s">
        <v>3463</v>
      </c>
      <c r="B218" s="2" t="s">
        <v>3759</v>
      </c>
      <c r="C218" s="101">
        <v>1061</v>
      </c>
      <c r="D218" s="1" t="s">
        <v>11079</v>
      </c>
      <c r="E218" s="1" t="s">
        <v>1374</v>
      </c>
      <c r="F218" s="1"/>
      <c r="G218" s="1" t="s">
        <v>3403</v>
      </c>
      <c r="H218" s="1" t="s">
        <v>5180</v>
      </c>
      <c r="I218" s="1"/>
      <c r="J218" s="1"/>
      <c r="K218" s="1" t="s">
        <v>11080</v>
      </c>
      <c r="L218" s="1" t="s">
        <v>10445</v>
      </c>
      <c r="M218" s="1"/>
      <c r="N218" s="1"/>
      <c r="O218" s="1"/>
      <c r="P218" s="1"/>
      <c r="Q218" s="1"/>
      <c r="R218" s="1"/>
      <c r="S218" s="1" t="s">
        <v>175</v>
      </c>
      <c r="T218" s="1" t="s">
        <v>7</v>
      </c>
    </row>
    <row r="219" spans="1:20">
      <c r="A219" s="2" t="s">
        <v>3463</v>
      </c>
      <c r="B219" s="2" t="s">
        <v>3759</v>
      </c>
      <c r="C219" s="101">
        <v>1062</v>
      </c>
      <c r="D219" s="1" t="s">
        <v>11081</v>
      </c>
      <c r="E219" s="1" t="s">
        <v>1379</v>
      </c>
      <c r="F219" s="1"/>
      <c r="G219" s="1" t="s">
        <v>3403</v>
      </c>
      <c r="H219" s="1"/>
      <c r="I219" s="1"/>
      <c r="J219" s="1"/>
      <c r="K219" s="1" t="s">
        <v>11082</v>
      </c>
      <c r="L219" s="1" t="s">
        <v>11083</v>
      </c>
      <c r="M219" s="1"/>
      <c r="N219" s="1"/>
      <c r="O219" s="1"/>
      <c r="P219" s="1"/>
      <c r="Q219" s="1"/>
      <c r="R219" s="1"/>
      <c r="S219" s="1" t="s">
        <v>26</v>
      </c>
      <c r="T219" s="1" t="s">
        <v>7</v>
      </c>
    </row>
    <row r="220" spans="1:20">
      <c r="A220" s="2" t="s">
        <v>3463</v>
      </c>
      <c r="B220" s="2" t="s">
        <v>3759</v>
      </c>
      <c r="C220" s="101">
        <v>1063</v>
      </c>
      <c r="D220" s="1" t="s">
        <v>11084</v>
      </c>
      <c r="E220" s="1" t="s">
        <v>1379</v>
      </c>
      <c r="F220" s="1"/>
      <c r="G220" s="1" t="s">
        <v>3403</v>
      </c>
      <c r="H220" s="1" t="s">
        <v>5180</v>
      </c>
      <c r="I220" s="1"/>
      <c r="J220" s="1"/>
      <c r="K220" s="1" t="s">
        <v>11085</v>
      </c>
      <c r="L220" s="1"/>
      <c r="M220" s="1"/>
      <c r="N220" s="1"/>
      <c r="O220" s="1"/>
      <c r="P220" s="1"/>
      <c r="Q220" s="1"/>
      <c r="R220" s="1"/>
      <c r="S220" s="1" t="s">
        <v>179</v>
      </c>
      <c r="T220" s="1" t="s">
        <v>7</v>
      </c>
    </row>
    <row r="221" spans="1:20">
      <c r="A221" s="2" t="s">
        <v>3463</v>
      </c>
      <c r="B221" s="2" t="s">
        <v>3759</v>
      </c>
      <c r="C221" s="101">
        <v>1064</v>
      </c>
      <c r="D221" s="1" t="s">
        <v>11086</v>
      </c>
      <c r="E221" s="1" t="s">
        <v>1378</v>
      </c>
      <c r="F221" s="1"/>
      <c r="G221" s="1" t="s">
        <v>3403</v>
      </c>
      <c r="H221" s="1"/>
      <c r="I221" s="1"/>
      <c r="J221" s="1"/>
      <c r="K221" s="1" t="s">
        <v>11087</v>
      </c>
      <c r="L221" s="1"/>
      <c r="M221" s="1"/>
      <c r="N221" s="1"/>
      <c r="O221" s="1"/>
      <c r="P221" s="1"/>
      <c r="Q221" s="1"/>
      <c r="R221" s="1"/>
      <c r="S221" s="1" t="s">
        <v>53</v>
      </c>
      <c r="T221" s="1" t="s">
        <v>7</v>
      </c>
    </row>
    <row r="222" spans="1:20">
      <c r="A222" s="2" t="s">
        <v>3463</v>
      </c>
      <c r="B222" s="2" t="s">
        <v>3759</v>
      </c>
      <c r="C222" s="101">
        <v>1065</v>
      </c>
      <c r="D222" s="1" t="s">
        <v>11088</v>
      </c>
      <c r="E222" s="1" t="s">
        <v>1379</v>
      </c>
      <c r="F222" s="1"/>
      <c r="G222" s="1" t="s">
        <v>3403</v>
      </c>
      <c r="H222" s="1"/>
      <c r="I222" s="1"/>
      <c r="J222" s="1"/>
      <c r="K222" s="1" t="s">
        <v>11089</v>
      </c>
      <c r="L222" s="1"/>
      <c r="M222" s="1"/>
      <c r="N222" s="1"/>
      <c r="O222" s="1"/>
      <c r="P222" s="1"/>
      <c r="Q222" s="1"/>
      <c r="R222" s="1"/>
      <c r="S222" s="1" t="s">
        <v>5</v>
      </c>
      <c r="T222" s="1" t="s">
        <v>7</v>
      </c>
    </row>
    <row r="223" spans="1:20">
      <c r="A223" s="2" t="s">
        <v>3463</v>
      </c>
      <c r="B223" s="2" t="s">
        <v>3759</v>
      </c>
      <c r="C223" s="101">
        <v>1066</v>
      </c>
      <c r="D223" s="1" t="s">
        <v>11090</v>
      </c>
      <c r="E223" s="1" t="s">
        <v>1378</v>
      </c>
      <c r="F223" s="1"/>
      <c r="G223" s="1" t="s">
        <v>3403</v>
      </c>
      <c r="H223" s="1" t="s">
        <v>5670</v>
      </c>
      <c r="I223" s="1"/>
      <c r="J223" s="1"/>
      <c r="K223" s="1" t="s">
        <v>11091</v>
      </c>
      <c r="L223" s="1" t="s">
        <v>8671</v>
      </c>
      <c r="M223" s="1"/>
      <c r="N223" s="1"/>
      <c r="O223" s="1"/>
      <c r="P223" s="1"/>
      <c r="Q223" s="1"/>
      <c r="R223" s="1"/>
      <c r="S223" s="1" t="s">
        <v>604</v>
      </c>
      <c r="T223" s="1" t="s">
        <v>7</v>
      </c>
    </row>
    <row r="224" spans="1:20">
      <c r="A224" s="2" t="s">
        <v>3463</v>
      </c>
      <c r="B224" s="2" t="s">
        <v>3759</v>
      </c>
      <c r="C224" s="101">
        <v>1067</v>
      </c>
      <c r="D224" s="1" t="s">
        <v>11092</v>
      </c>
      <c r="E224" s="1" t="s">
        <v>1378</v>
      </c>
      <c r="F224" s="1"/>
      <c r="G224" s="1" t="s">
        <v>3403</v>
      </c>
      <c r="H224" s="1"/>
      <c r="I224" s="1"/>
      <c r="J224" s="1"/>
      <c r="K224" s="1" t="s">
        <v>11093</v>
      </c>
      <c r="L224" s="1"/>
      <c r="M224" s="1"/>
      <c r="N224" s="1"/>
      <c r="O224" s="1"/>
      <c r="P224" s="1"/>
      <c r="Q224" s="1"/>
      <c r="R224" s="1"/>
      <c r="S224" s="1" t="s">
        <v>182</v>
      </c>
      <c r="T224" s="1" t="s">
        <v>7</v>
      </c>
    </row>
    <row r="225" spans="1:20">
      <c r="A225" s="2" t="s">
        <v>3463</v>
      </c>
      <c r="B225" s="2" t="s">
        <v>3759</v>
      </c>
      <c r="C225" s="101">
        <v>1068</v>
      </c>
      <c r="D225" s="1" t="s">
        <v>11094</v>
      </c>
      <c r="E225" s="1" t="s">
        <v>1378</v>
      </c>
      <c r="F225" s="1"/>
      <c r="G225" s="1" t="s">
        <v>3403</v>
      </c>
      <c r="H225" s="1" t="s">
        <v>5180</v>
      </c>
      <c r="I225" s="1"/>
      <c r="J225" s="1"/>
      <c r="K225" s="1" t="s">
        <v>11095</v>
      </c>
      <c r="L225" s="1" t="s">
        <v>11096</v>
      </c>
      <c r="M225" s="1"/>
      <c r="N225" s="1"/>
      <c r="O225" s="1"/>
      <c r="P225" s="1"/>
      <c r="Q225" s="1"/>
      <c r="R225" s="1"/>
      <c r="S225" s="1" t="s">
        <v>183</v>
      </c>
      <c r="T225" s="1" t="s">
        <v>7</v>
      </c>
    </row>
    <row r="226" spans="1:20">
      <c r="A226" s="2" t="s">
        <v>3463</v>
      </c>
      <c r="B226" s="2" t="s">
        <v>3759</v>
      </c>
      <c r="C226" s="101">
        <v>1069</v>
      </c>
      <c r="D226" s="1" t="s">
        <v>11097</v>
      </c>
      <c r="E226" s="1" t="s">
        <v>1379</v>
      </c>
      <c r="F226" s="1"/>
      <c r="G226" s="1" t="s">
        <v>3403</v>
      </c>
      <c r="H226" s="1"/>
      <c r="I226" s="1"/>
      <c r="J226" s="1"/>
      <c r="K226" s="1" t="s">
        <v>11098</v>
      </c>
      <c r="L226" s="1" t="s">
        <v>11099</v>
      </c>
      <c r="M226" s="1"/>
      <c r="N226" s="1"/>
      <c r="O226" s="1"/>
      <c r="P226" s="1"/>
      <c r="Q226" s="1"/>
      <c r="R226" s="1"/>
      <c r="S226" s="1" t="s">
        <v>177</v>
      </c>
      <c r="T226" s="1" t="s">
        <v>7</v>
      </c>
    </row>
    <row r="227" spans="1:20">
      <c r="A227" s="2" t="s">
        <v>3463</v>
      </c>
      <c r="B227" s="2" t="s">
        <v>3759</v>
      </c>
      <c r="C227" s="101">
        <v>1070</v>
      </c>
      <c r="D227" s="1" t="s">
        <v>11100</v>
      </c>
      <c r="E227" s="1" t="s">
        <v>1378</v>
      </c>
      <c r="F227" s="1"/>
      <c r="G227" s="1" t="s">
        <v>3403</v>
      </c>
      <c r="H227" s="1"/>
      <c r="I227" s="1"/>
      <c r="J227" s="1"/>
      <c r="K227" s="1" t="s">
        <v>11101</v>
      </c>
      <c r="L227" s="1"/>
      <c r="M227" s="1"/>
      <c r="N227" s="1"/>
      <c r="O227" s="1"/>
      <c r="P227" s="1"/>
      <c r="Q227" s="1"/>
      <c r="R227" s="1"/>
      <c r="S227" s="1" t="s">
        <v>182</v>
      </c>
      <c r="T227" s="1" t="s">
        <v>7</v>
      </c>
    </row>
    <row r="228" spans="1:20">
      <c r="A228" s="2" t="s">
        <v>3463</v>
      </c>
      <c r="B228" s="2" t="s">
        <v>3759</v>
      </c>
      <c r="C228" s="101">
        <v>1071</v>
      </c>
      <c r="D228" s="1" t="s">
        <v>11102</v>
      </c>
      <c r="E228" s="1" t="s">
        <v>1378</v>
      </c>
      <c r="F228" s="1"/>
      <c r="G228" s="1" t="s">
        <v>3403</v>
      </c>
      <c r="H228" s="1"/>
      <c r="I228" s="1"/>
      <c r="J228" s="1"/>
      <c r="K228" s="1" t="s">
        <v>11103</v>
      </c>
      <c r="L228" s="1"/>
      <c r="M228" s="1"/>
      <c r="N228" s="1"/>
      <c r="O228" s="1"/>
      <c r="P228" s="1"/>
      <c r="Q228" s="1"/>
      <c r="R228" s="1"/>
      <c r="S228" s="1" t="s">
        <v>46</v>
      </c>
      <c r="T228" s="1" t="s">
        <v>7</v>
      </c>
    </row>
    <row r="229" spans="1:20">
      <c r="A229" s="2" t="s">
        <v>3463</v>
      </c>
      <c r="B229" s="2" t="s">
        <v>3759</v>
      </c>
      <c r="C229" s="101">
        <v>1072</v>
      </c>
      <c r="D229" s="1" t="s">
        <v>11104</v>
      </c>
      <c r="E229" s="1" t="s">
        <v>1379</v>
      </c>
      <c r="F229" s="1"/>
      <c r="G229" s="1" t="s">
        <v>3403</v>
      </c>
      <c r="H229" s="1"/>
      <c r="I229" s="1"/>
      <c r="J229" s="1"/>
      <c r="K229" s="1" t="s">
        <v>5014</v>
      </c>
      <c r="L229" s="1" t="s">
        <v>11105</v>
      </c>
      <c r="M229" s="1"/>
      <c r="N229" s="1"/>
      <c r="O229" s="1"/>
      <c r="P229" s="1"/>
      <c r="Q229" s="1"/>
      <c r="R229" s="1"/>
      <c r="S229" s="1" t="s">
        <v>172</v>
      </c>
      <c r="T229" s="1" t="s">
        <v>7</v>
      </c>
    </row>
    <row r="230" spans="1:20">
      <c r="A230" s="2" t="s">
        <v>3463</v>
      </c>
      <c r="B230" s="2" t="s">
        <v>3759</v>
      </c>
      <c r="C230" s="101">
        <v>1073</v>
      </c>
      <c r="D230" s="1" t="s">
        <v>11106</v>
      </c>
      <c r="E230" s="1" t="s">
        <v>1378</v>
      </c>
      <c r="F230" s="1"/>
      <c r="G230" s="1" t="s">
        <v>3403</v>
      </c>
      <c r="H230" s="1"/>
      <c r="I230" s="1"/>
      <c r="J230" s="1"/>
      <c r="K230" s="1" t="s">
        <v>4113</v>
      </c>
      <c r="L230" s="1" t="s">
        <v>11107</v>
      </c>
      <c r="M230" s="1" t="s">
        <v>11108</v>
      </c>
      <c r="N230" s="1" t="s">
        <v>11109</v>
      </c>
      <c r="O230" s="1"/>
      <c r="P230" s="1"/>
      <c r="Q230" s="1"/>
      <c r="R230" s="1"/>
      <c r="S230" s="1" t="s">
        <v>168</v>
      </c>
      <c r="T230" s="1" t="s">
        <v>7</v>
      </c>
    </row>
    <row r="231" spans="1:20">
      <c r="A231" s="2" t="s">
        <v>3463</v>
      </c>
      <c r="B231" s="2" t="s">
        <v>3759</v>
      </c>
      <c r="C231" s="101">
        <v>1074</v>
      </c>
      <c r="D231" s="1" t="s">
        <v>11110</v>
      </c>
      <c r="E231" s="1" t="s">
        <v>1378</v>
      </c>
      <c r="F231" s="1"/>
      <c r="G231" s="1" t="s">
        <v>3403</v>
      </c>
      <c r="H231" s="1" t="s">
        <v>5180</v>
      </c>
      <c r="I231" s="1"/>
      <c r="J231" s="1"/>
      <c r="K231" s="1" t="s">
        <v>11111</v>
      </c>
      <c r="L231" s="1"/>
      <c r="M231" s="1"/>
      <c r="N231" s="1"/>
      <c r="O231" s="1"/>
      <c r="P231" s="1"/>
      <c r="Q231" s="1"/>
      <c r="R231" s="1"/>
      <c r="S231" s="1" t="s">
        <v>175</v>
      </c>
      <c r="T231" s="1" t="s">
        <v>7</v>
      </c>
    </row>
    <row r="232" spans="1:20">
      <c r="A232" s="2" t="s">
        <v>3463</v>
      </c>
      <c r="B232" s="2" t="s">
        <v>3759</v>
      </c>
      <c r="C232" s="101">
        <v>1075</v>
      </c>
      <c r="D232" s="1" t="s">
        <v>11112</v>
      </c>
      <c r="E232" s="1" t="s">
        <v>1379</v>
      </c>
      <c r="F232" s="1"/>
      <c r="G232" s="1" t="s">
        <v>3403</v>
      </c>
      <c r="H232" s="1"/>
      <c r="I232" s="1"/>
      <c r="J232" s="1"/>
      <c r="K232" s="1" t="s">
        <v>11113</v>
      </c>
      <c r="L232" s="1"/>
      <c r="M232" s="1"/>
      <c r="N232" s="1"/>
      <c r="O232" s="1"/>
      <c r="P232" s="1"/>
      <c r="Q232" s="1"/>
      <c r="R232" s="1"/>
      <c r="S232" s="1" t="s">
        <v>31</v>
      </c>
      <c r="T232" s="1" t="s">
        <v>7</v>
      </c>
    </row>
    <row r="233" spans="1:20">
      <c r="A233" s="2" t="s">
        <v>3463</v>
      </c>
      <c r="B233" s="2" t="s">
        <v>3759</v>
      </c>
      <c r="C233" s="101">
        <v>1076</v>
      </c>
      <c r="D233" s="1" t="s">
        <v>11114</v>
      </c>
      <c r="E233" s="1" t="s">
        <v>1379</v>
      </c>
      <c r="F233" s="1"/>
      <c r="G233" s="1" t="s">
        <v>3403</v>
      </c>
      <c r="H233" s="1"/>
      <c r="I233" s="1"/>
      <c r="J233" s="1"/>
      <c r="K233" s="1" t="s">
        <v>11115</v>
      </c>
      <c r="L233" s="1"/>
      <c r="M233" s="1"/>
      <c r="N233" s="1"/>
      <c r="O233" s="1"/>
      <c r="P233" s="1"/>
      <c r="Q233" s="1"/>
      <c r="R233" s="1"/>
      <c r="S233" s="1" t="s">
        <v>176</v>
      </c>
      <c r="T233" s="1" t="s">
        <v>7</v>
      </c>
    </row>
    <row r="234" spans="1:20">
      <c r="A234" s="2" t="s">
        <v>3463</v>
      </c>
      <c r="B234" s="2" t="s">
        <v>3759</v>
      </c>
      <c r="C234" s="101">
        <v>1077</v>
      </c>
      <c r="D234" s="1" t="s">
        <v>11116</v>
      </c>
      <c r="E234" s="1" t="s">
        <v>1378</v>
      </c>
      <c r="F234" s="1"/>
      <c r="G234" s="1" t="s">
        <v>3403</v>
      </c>
      <c r="H234" s="1"/>
      <c r="I234" s="1"/>
      <c r="J234" s="1"/>
      <c r="K234" s="1" t="s">
        <v>11117</v>
      </c>
      <c r="L234" s="1"/>
      <c r="M234" s="1"/>
      <c r="N234" s="1"/>
      <c r="O234" s="1"/>
      <c r="P234" s="1"/>
      <c r="Q234" s="1"/>
      <c r="R234" s="1"/>
      <c r="S234" s="1" t="s">
        <v>169</v>
      </c>
      <c r="T234" s="1" t="s">
        <v>7</v>
      </c>
    </row>
    <row r="235" spans="1:20">
      <c r="A235" s="2" t="s">
        <v>3463</v>
      </c>
      <c r="B235" s="2" t="s">
        <v>3759</v>
      </c>
      <c r="C235" s="101">
        <v>1078</v>
      </c>
      <c r="D235" s="1" t="s">
        <v>11118</v>
      </c>
      <c r="E235" s="1" t="s">
        <v>1378</v>
      </c>
      <c r="F235" s="1"/>
      <c r="G235" s="1" t="s">
        <v>3403</v>
      </c>
      <c r="H235" s="1" t="s">
        <v>5670</v>
      </c>
      <c r="I235" s="1"/>
      <c r="J235" s="1"/>
      <c r="K235" s="1" t="s">
        <v>11119</v>
      </c>
      <c r="L235" s="1" t="s">
        <v>11120</v>
      </c>
      <c r="M235" s="1"/>
      <c r="N235" s="1"/>
      <c r="O235" s="1"/>
      <c r="P235" s="1"/>
      <c r="Q235" s="1"/>
      <c r="R235" s="1"/>
      <c r="S235" s="1" t="s">
        <v>607</v>
      </c>
      <c r="T235" s="1" t="s">
        <v>7</v>
      </c>
    </row>
    <row r="236" spans="1:20">
      <c r="A236" s="2" t="s">
        <v>3463</v>
      </c>
      <c r="B236" s="2" t="s">
        <v>3759</v>
      </c>
      <c r="C236" s="101">
        <v>1079</v>
      </c>
      <c r="D236" s="1" t="s">
        <v>11121</v>
      </c>
      <c r="E236" s="1" t="s">
        <v>1378</v>
      </c>
      <c r="F236" s="1"/>
      <c r="G236" s="1" t="s">
        <v>3403</v>
      </c>
      <c r="H236" s="1"/>
      <c r="I236" s="1"/>
      <c r="J236" s="1"/>
      <c r="K236" s="1" t="s">
        <v>11122</v>
      </c>
      <c r="L236" s="1"/>
      <c r="M236" s="1"/>
      <c r="N236" s="1"/>
      <c r="O236" s="1"/>
      <c r="P236" s="1"/>
      <c r="Q236" s="1"/>
      <c r="R236" s="1"/>
      <c r="S236" s="1" t="s">
        <v>40</v>
      </c>
      <c r="T236" s="1" t="s">
        <v>7</v>
      </c>
    </row>
    <row r="237" spans="1:20">
      <c r="A237" s="2" t="s">
        <v>3463</v>
      </c>
      <c r="B237" s="2" t="s">
        <v>3759</v>
      </c>
      <c r="C237" s="101">
        <v>1080</v>
      </c>
      <c r="D237" s="1" t="s">
        <v>11123</v>
      </c>
      <c r="E237" s="1" t="s">
        <v>1378</v>
      </c>
      <c r="F237" s="1"/>
      <c r="G237" s="1" t="s">
        <v>3403</v>
      </c>
      <c r="H237" s="1"/>
      <c r="I237" s="1"/>
      <c r="J237" s="1"/>
      <c r="K237" s="1" t="s">
        <v>10783</v>
      </c>
      <c r="L237" s="1"/>
      <c r="M237" s="1"/>
      <c r="N237" s="1"/>
      <c r="O237" s="1"/>
      <c r="P237" s="1"/>
      <c r="Q237" s="1"/>
      <c r="R237" s="1"/>
      <c r="S237" s="1" t="s">
        <v>46</v>
      </c>
      <c r="T237" s="1" t="s">
        <v>7</v>
      </c>
    </row>
    <row r="238" spans="1:20">
      <c r="A238" s="2" t="s">
        <v>3463</v>
      </c>
      <c r="B238" s="2" t="s">
        <v>3759</v>
      </c>
      <c r="C238" s="101">
        <v>1081</v>
      </c>
      <c r="D238" s="1" t="s">
        <v>10612</v>
      </c>
      <c r="E238" s="1" t="s">
        <v>1385</v>
      </c>
      <c r="F238" s="1"/>
      <c r="G238" s="1" t="s">
        <v>3403</v>
      </c>
      <c r="H238" s="1"/>
      <c r="I238" s="1"/>
      <c r="J238" s="1"/>
      <c r="K238" s="1" t="s">
        <v>10613</v>
      </c>
      <c r="L238" s="1"/>
      <c r="M238" s="1"/>
      <c r="N238" s="1"/>
      <c r="O238" s="1"/>
      <c r="P238" s="1"/>
      <c r="Q238" s="1"/>
      <c r="R238" s="1"/>
      <c r="S238" s="1" t="s">
        <v>27</v>
      </c>
      <c r="T238" s="1" t="s">
        <v>7</v>
      </c>
    </row>
    <row r="239" spans="1:20">
      <c r="A239" s="2" t="s">
        <v>3463</v>
      </c>
      <c r="B239" s="2" t="s">
        <v>3759</v>
      </c>
      <c r="C239" s="101">
        <v>1082</v>
      </c>
      <c r="D239" s="1" t="s">
        <v>11124</v>
      </c>
      <c r="E239" s="1" t="s">
        <v>1381</v>
      </c>
      <c r="F239" s="1"/>
      <c r="G239" s="1" t="s">
        <v>3403</v>
      </c>
      <c r="H239" s="1"/>
      <c r="I239" s="1"/>
      <c r="J239" s="1"/>
      <c r="K239" s="1" t="s">
        <v>11125</v>
      </c>
      <c r="L239" s="1"/>
      <c r="M239" s="1"/>
      <c r="N239" s="1"/>
      <c r="O239" s="1"/>
      <c r="P239" s="1"/>
      <c r="Q239" s="1"/>
      <c r="R239" s="1"/>
      <c r="S239" s="1" t="s">
        <v>38</v>
      </c>
      <c r="T239" s="1" t="s">
        <v>7</v>
      </c>
    </row>
    <row r="240" spans="1:20">
      <c r="A240" s="2" t="s">
        <v>3463</v>
      </c>
      <c r="B240" s="2" t="s">
        <v>3759</v>
      </c>
      <c r="C240" s="101">
        <v>1083</v>
      </c>
      <c r="D240" s="1" t="s">
        <v>11126</v>
      </c>
      <c r="E240" s="1" t="s">
        <v>1381</v>
      </c>
      <c r="F240" s="1"/>
      <c r="G240" s="1" t="s">
        <v>3403</v>
      </c>
      <c r="H240" s="1"/>
      <c r="I240" s="1"/>
      <c r="J240" s="1"/>
      <c r="K240" s="1" t="s">
        <v>11127</v>
      </c>
      <c r="L240" s="1" t="s">
        <v>11128</v>
      </c>
      <c r="M240" s="1" t="s">
        <v>11129</v>
      </c>
      <c r="N240" s="1"/>
      <c r="O240" s="1"/>
      <c r="P240" s="1"/>
      <c r="Q240" s="1"/>
      <c r="R240" s="1"/>
      <c r="S240" s="1" t="s">
        <v>17</v>
      </c>
      <c r="T240" s="1" t="s">
        <v>7</v>
      </c>
    </row>
    <row r="241" spans="1:20">
      <c r="A241" s="2" t="s">
        <v>3463</v>
      </c>
      <c r="B241" s="2" t="s">
        <v>3759</v>
      </c>
      <c r="C241" s="101">
        <v>1084</v>
      </c>
      <c r="D241" s="1" t="s">
        <v>11130</v>
      </c>
      <c r="E241" s="1" t="s">
        <v>1381</v>
      </c>
      <c r="F241" s="1"/>
      <c r="G241" s="1" t="s">
        <v>3403</v>
      </c>
      <c r="H241" s="1"/>
      <c r="I241" s="1"/>
      <c r="J241" s="1"/>
      <c r="K241" s="1" t="s">
        <v>11131</v>
      </c>
      <c r="L241" s="1"/>
      <c r="M241" s="1"/>
      <c r="N241" s="1"/>
      <c r="O241" s="1"/>
      <c r="P241" s="1"/>
      <c r="Q241" s="1"/>
      <c r="R241" s="1"/>
      <c r="S241" s="1" t="s">
        <v>15</v>
      </c>
      <c r="T241" s="1" t="s">
        <v>7</v>
      </c>
    </row>
    <row r="242" spans="1:20">
      <c r="A242" s="2" t="s">
        <v>3463</v>
      </c>
      <c r="B242" s="2" t="s">
        <v>3759</v>
      </c>
      <c r="C242" s="101">
        <v>1085</v>
      </c>
      <c r="D242" s="1" t="s">
        <v>11132</v>
      </c>
      <c r="E242" s="1" t="s">
        <v>1385</v>
      </c>
      <c r="F242" s="1"/>
      <c r="G242" s="1" t="s">
        <v>3403</v>
      </c>
      <c r="H242" s="1"/>
      <c r="I242" s="1"/>
      <c r="J242" s="1"/>
      <c r="K242" s="1" t="s">
        <v>11133</v>
      </c>
      <c r="L242" s="1"/>
      <c r="M242" s="1"/>
      <c r="N242" s="1"/>
      <c r="O242" s="1"/>
      <c r="P242" s="1"/>
      <c r="Q242" s="1"/>
      <c r="R242" s="1"/>
      <c r="S242" s="1" t="s">
        <v>46</v>
      </c>
      <c r="T242" s="1" t="s">
        <v>7</v>
      </c>
    </row>
    <row r="243" spans="1:20">
      <c r="A243" s="2" t="s">
        <v>3463</v>
      </c>
      <c r="B243" s="2" t="s">
        <v>3759</v>
      </c>
      <c r="C243" s="101">
        <v>1086</v>
      </c>
      <c r="D243" s="1" t="s">
        <v>11134</v>
      </c>
      <c r="E243" s="1" t="s">
        <v>11135</v>
      </c>
      <c r="F243" s="1"/>
      <c r="G243" s="1" t="s">
        <v>3403</v>
      </c>
      <c r="H243" s="1"/>
      <c r="I243" s="1"/>
      <c r="J243" s="1"/>
      <c r="K243" s="1" t="s">
        <v>5099</v>
      </c>
      <c r="L243" s="1" t="s">
        <v>11136</v>
      </c>
      <c r="M243" s="1"/>
      <c r="N243" s="1"/>
      <c r="O243" s="1"/>
      <c r="P243" s="1"/>
      <c r="Q243" s="1"/>
      <c r="R243" s="1"/>
      <c r="S243" s="1" t="s">
        <v>606</v>
      </c>
      <c r="T243" s="1" t="s">
        <v>7</v>
      </c>
    </row>
    <row r="244" spans="1:20">
      <c r="A244" s="2" t="s">
        <v>3463</v>
      </c>
      <c r="B244" s="2" t="s">
        <v>3759</v>
      </c>
      <c r="C244" s="101">
        <v>1087</v>
      </c>
      <c r="D244" s="1" t="s">
        <v>11137</v>
      </c>
      <c r="E244" s="1" t="s">
        <v>1381</v>
      </c>
      <c r="F244" s="1"/>
      <c r="G244" s="1" t="s">
        <v>3403</v>
      </c>
      <c r="H244" s="1"/>
      <c r="I244" s="1"/>
      <c r="J244" s="1"/>
      <c r="K244" s="1" t="s">
        <v>11138</v>
      </c>
      <c r="L244" s="1"/>
      <c r="M244" s="1"/>
      <c r="N244" s="1"/>
      <c r="O244" s="1"/>
      <c r="P244" s="1"/>
      <c r="Q244" s="1"/>
      <c r="R244" s="1"/>
      <c r="S244" s="1" t="s">
        <v>8</v>
      </c>
      <c r="T244" s="1" t="s">
        <v>7</v>
      </c>
    </row>
    <row r="245" spans="1:20">
      <c r="A245" s="2" t="s">
        <v>3463</v>
      </c>
      <c r="B245" s="2" t="s">
        <v>3759</v>
      </c>
      <c r="C245" s="101">
        <v>1088</v>
      </c>
      <c r="D245" s="1" t="s">
        <v>11139</v>
      </c>
      <c r="E245" s="1" t="s">
        <v>1381</v>
      </c>
      <c r="F245" s="1"/>
      <c r="G245" s="1" t="s">
        <v>3403</v>
      </c>
      <c r="H245" s="1"/>
      <c r="I245" s="1"/>
      <c r="J245" s="1"/>
      <c r="K245" s="1" t="s">
        <v>11140</v>
      </c>
      <c r="L245" s="1"/>
      <c r="M245" s="1"/>
      <c r="N245" s="1"/>
      <c r="O245" s="1"/>
      <c r="P245" s="1"/>
      <c r="Q245" s="1"/>
      <c r="R245" s="1"/>
      <c r="S245" s="1" t="s">
        <v>5381</v>
      </c>
      <c r="T245" s="1" t="s">
        <v>7</v>
      </c>
    </row>
    <row r="246" spans="1:20">
      <c r="A246" s="2" t="s">
        <v>3463</v>
      </c>
      <c r="B246" s="2" t="s">
        <v>3759</v>
      </c>
      <c r="C246" s="101">
        <v>1089</v>
      </c>
      <c r="D246" s="1" t="s">
        <v>11141</v>
      </c>
      <c r="E246" s="1" t="s">
        <v>1385</v>
      </c>
      <c r="F246" s="1"/>
      <c r="G246" s="1" t="s">
        <v>3403</v>
      </c>
      <c r="H246" s="1"/>
      <c r="I246" s="1"/>
      <c r="J246" s="1"/>
      <c r="K246" s="1" t="s">
        <v>11142</v>
      </c>
      <c r="L246" s="1"/>
      <c r="M246" s="1"/>
      <c r="N246" s="1"/>
      <c r="O246" s="1"/>
      <c r="P246" s="1"/>
      <c r="Q246" s="1"/>
      <c r="R246" s="1"/>
      <c r="S246" s="1" t="s">
        <v>52</v>
      </c>
      <c r="T246" s="1" t="s">
        <v>7</v>
      </c>
    </row>
    <row r="247" spans="1:20">
      <c r="A247" s="2" t="s">
        <v>3463</v>
      </c>
      <c r="B247" s="2" t="s">
        <v>3759</v>
      </c>
      <c r="C247" s="101">
        <v>1090</v>
      </c>
      <c r="D247" s="1" t="s">
        <v>11143</v>
      </c>
      <c r="E247" s="1" t="s">
        <v>1381</v>
      </c>
      <c r="F247" s="1"/>
      <c r="G247" s="1" t="s">
        <v>3403</v>
      </c>
      <c r="H247" s="1"/>
      <c r="I247" s="1"/>
      <c r="J247" s="1"/>
      <c r="K247" s="1" t="s">
        <v>11144</v>
      </c>
      <c r="L247" s="1"/>
      <c r="M247" s="1"/>
      <c r="N247" s="1"/>
      <c r="O247" s="1"/>
      <c r="P247" s="1"/>
      <c r="Q247" s="1"/>
      <c r="R247" s="1"/>
      <c r="S247" s="1" t="s">
        <v>605</v>
      </c>
      <c r="T247" s="1" t="s">
        <v>7</v>
      </c>
    </row>
    <row r="248" spans="1:20">
      <c r="A248" s="2" t="s">
        <v>3463</v>
      </c>
      <c r="B248" s="2" t="s">
        <v>3759</v>
      </c>
      <c r="C248" s="101">
        <v>1091</v>
      </c>
      <c r="D248" s="1" t="s">
        <v>11145</v>
      </c>
      <c r="E248" s="1" t="s">
        <v>1381</v>
      </c>
      <c r="F248" s="1"/>
      <c r="G248" s="1" t="s">
        <v>3403</v>
      </c>
      <c r="H248" s="1"/>
      <c r="I248" s="1"/>
      <c r="J248" s="1"/>
      <c r="K248" s="1" t="s">
        <v>7296</v>
      </c>
      <c r="L248" s="1" t="s">
        <v>11146</v>
      </c>
      <c r="M248" s="1"/>
      <c r="N248" s="1"/>
      <c r="O248" s="1"/>
      <c r="P248" s="1"/>
      <c r="Q248" s="1"/>
      <c r="R248" s="1"/>
      <c r="S248" s="1" t="s">
        <v>28</v>
      </c>
      <c r="T248" s="1" t="s">
        <v>7</v>
      </c>
    </row>
    <row r="249" spans="1:20">
      <c r="A249" s="2" t="s">
        <v>3463</v>
      </c>
      <c r="B249" s="2" t="s">
        <v>3759</v>
      </c>
      <c r="C249" s="101">
        <v>1092</v>
      </c>
      <c r="D249" s="1" t="s">
        <v>11147</v>
      </c>
      <c r="E249" s="1" t="s">
        <v>1381</v>
      </c>
      <c r="F249" s="1"/>
      <c r="G249" s="1" t="s">
        <v>3403</v>
      </c>
      <c r="H249" s="1"/>
      <c r="I249" s="1"/>
      <c r="J249" s="1"/>
      <c r="K249" s="1" t="s">
        <v>10660</v>
      </c>
      <c r="L249" s="1" t="s">
        <v>11148</v>
      </c>
      <c r="M249" s="1"/>
      <c r="N249" s="1"/>
      <c r="O249" s="1"/>
      <c r="P249" s="1"/>
      <c r="Q249" s="1"/>
      <c r="R249" s="1"/>
      <c r="S249" s="1" t="s">
        <v>168</v>
      </c>
      <c r="T249" s="1" t="s">
        <v>7</v>
      </c>
    </row>
    <row r="250" spans="1:20">
      <c r="A250" s="2" t="s">
        <v>3463</v>
      </c>
      <c r="B250" s="2" t="s">
        <v>3759</v>
      </c>
      <c r="C250" s="101">
        <v>1093</v>
      </c>
      <c r="D250" s="1" t="s">
        <v>11149</v>
      </c>
      <c r="E250" s="1" t="s">
        <v>1386</v>
      </c>
      <c r="F250" s="1"/>
      <c r="G250" s="1" t="s">
        <v>3403</v>
      </c>
      <c r="H250" s="1"/>
      <c r="I250" s="1"/>
      <c r="J250" s="1"/>
      <c r="K250" s="1" t="s">
        <v>11150</v>
      </c>
      <c r="L250" s="1"/>
      <c r="M250" s="1"/>
      <c r="N250" s="1"/>
      <c r="O250" s="1"/>
      <c r="P250" s="1"/>
      <c r="Q250" s="1"/>
      <c r="R250" s="1"/>
      <c r="S250" s="1" t="s">
        <v>8</v>
      </c>
      <c r="T250" s="1" t="s">
        <v>7</v>
      </c>
    </row>
    <row r="251" spans="1:20">
      <c r="A251" s="2" t="s">
        <v>3463</v>
      </c>
      <c r="B251" s="2" t="s">
        <v>3759</v>
      </c>
      <c r="C251" s="101">
        <v>1094</v>
      </c>
      <c r="D251" s="1" t="s">
        <v>10635</v>
      </c>
      <c r="E251" s="1" t="s">
        <v>1465</v>
      </c>
      <c r="F251" s="1"/>
      <c r="G251" s="1" t="s">
        <v>3403</v>
      </c>
      <c r="H251" s="1"/>
      <c r="I251" s="1"/>
      <c r="J251" s="1"/>
      <c r="K251" s="1" t="s">
        <v>10636</v>
      </c>
      <c r="L251" s="1" t="s">
        <v>10637</v>
      </c>
      <c r="M251" s="1"/>
      <c r="N251" s="1"/>
      <c r="O251" s="1"/>
      <c r="P251" s="1"/>
      <c r="Q251" s="1"/>
      <c r="R251" s="1"/>
      <c r="S251" s="1" t="s">
        <v>52</v>
      </c>
      <c r="T251" s="1" t="s">
        <v>7</v>
      </c>
    </row>
    <row r="252" spans="1:20">
      <c r="A252" s="2" t="s">
        <v>3463</v>
      </c>
      <c r="B252" s="2" t="s">
        <v>3759</v>
      </c>
      <c r="C252" s="101">
        <v>1095</v>
      </c>
      <c r="D252" s="1" t="s">
        <v>11151</v>
      </c>
      <c r="E252" s="1" t="s">
        <v>1465</v>
      </c>
      <c r="F252" s="1"/>
      <c r="G252" s="1" t="s">
        <v>3403</v>
      </c>
      <c r="H252" s="1" t="s">
        <v>5670</v>
      </c>
      <c r="I252" s="1"/>
      <c r="J252" s="1"/>
      <c r="K252" s="1" t="s">
        <v>11152</v>
      </c>
      <c r="L252" s="1" t="s">
        <v>11153</v>
      </c>
      <c r="M252" s="1"/>
      <c r="N252" s="1"/>
      <c r="O252" s="1"/>
      <c r="P252" s="1"/>
      <c r="Q252" s="1"/>
      <c r="R252" s="1"/>
      <c r="S252" s="1" t="s">
        <v>607</v>
      </c>
      <c r="T252" s="1" t="s">
        <v>7</v>
      </c>
    </row>
    <row r="253" spans="1:20">
      <c r="A253" s="2" t="s">
        <v>3463</v>
      </c>
      <c r="B253" s="2" t="s">
        <v>3759</v>
      </c>
      <c r="C253" s="101">
        <v>1096</v>
      </c>
      <c r="D253" s="1" t="s">
        <v>11154</v>
      </c>
      <c r="E253" s="1" t="s">
        <v>11155</v>
      </c>
      <c r="F253" s="1"/>
      <c r="G253" s="1" t="s">
        <v>3403</v>
      </c>
      <c r="H253" s="1"/>
      <c r="I253" s="1"/>
      <c r="J253" s="1"/>
      <c r="K253" s="1" t="s">
        <v>11156</v>
      </c>
      <c r="L253" s="1" t="s">
        <v>11157</v>
      </c>
      <c r="M253" s="1"/>
      <c r="N253" s="1"/>
      <c r="O253" s="1"/>
      <c r="P253" s="1"/>
      <c r="Q253" s="1"/>
      <c r="R253" s="1"/>
      <c r="S253" s="1" t="s">
        <v>3747</v>
      </c>
      <c r="T253" s="1" t="s">
        <v>7</v>
      </c>
    </row>
    <row r="254" spans="1:20">
      <c r="A254" s="2" t="s">
        <v>3463</v>
      </c>
      <c r="B254" s="2" t="s">
        <v>3759</v>
      </c>
      <c r="C254" s="101">
        <v>1097</v>
      </c>
      <c r="D254" s="1" t="s">
        <v>11158</v>
      </c>
      <c r="E254" s="1" t="s">
        <v>11159</v>
      </c>
      <c r="F254" s="1"/>
      <c r="G254" s="1" t="s">
        <v>3403</v>
      </c>
      <c r="H254" s="1"/>
      <c r="I254" s="1"/>
      <c r="J254" s="1"/>
      <c r="K254" s="1" t="s">
        <v>11160</v>
      </c>
      <c r="L254" s="1"/>
      <c r="M254" s="1"/>
      <c r="N254" s="1"/>
      <c r="O254" s="1"/>
      <c r="P254" s="1"/>
      <c r="Q254" s="1"/>
      <c r="R254" s="1"/>
      <c r="S254" s="1" t="s">
        <v>39</v>
      </c>
      <c r="T254" s="1" t="s">
        <v>7</v>
      </c>
    </row>
    <row r="255" spans="1:20">
      <c r="A255" s="101" t="s">
        <v>3465</v>
      </c>
      <c r="B255" s="101" t="s">
        <v>3759</v>
      </c>
      <c r="C255" s="101">
        <v>2001</v>
      </c>
      <c r="D255" s="101" t="s">
        <v>11891</v>
      </c>
      <c r="E255" s="102" t="s">
        <v>11176</v>
      </c>
      <c r="F255" s="102"/>
      <c r="G255" s="102" t="s">
        <v>3403</v>
      </c>
      <c r="H255" s="102"/>
      <c r="I255" s="102"/>
      <c r="J255" s="102"/>
      <c r="K255" s="102" t="s">
        <v>11892</v>
      </c>
      <c r="L255" s="102" t="s">
        <v>11893</v>
      </c>
      <c r="M255" s="102"/>
      <c r="N255" s="102"/>
      <c r="O255" s="102"/>
      <c r="P255" s="102"/>
      <c r="Q255" s="102"/>
      <c r="R255" s="102"/>
      <c r="S255" s="102" t="s">
        <v>34</v>
      </c>
      <c r="T255" s="102" t="s">
        <v>9</v>
      </c>
    </row>
    <row r="256" spans="1:20">
      <c r="A256" s="101" t="s">
        <v>3465</v>
      </c>
      <c r="B256" s="101" t="s">
        <v>3759</v>
      </c>
      <c r="C256" s="101">
        <v>2002</v>
      </c>
      <c r="D256" s="102" t="s">
        <v>11894</v>
      </c>
      <c r="E256" s="102" t="s">
        <v>11320</v>
      </c>
      <c r="F256" s="102"/>
      <c r="G256" s="102" t="s">
        <v>3403</v>
      </c>
      <c r="H256" s="102"/>
      <c r="I256" s="102"/>
      <c r="J256" s="102"/>
      <c r="K256" s="102" t="s">
        <v>11895</v>
      </c>
      <c r="L256" s="102" t="s">
        <v>11896</v>
      </c>
      <c r="M256" s="102"/>
      <c r="N256" s="102"/>
      <c r="O256" s="102"/>
      <c r="P256" s="102"/>
      <c r="Q256" s="102"/>
      <c r="R256" s="102"/>
      <c r="S256" s="102" t="s">
        <v>37</v>
      </c>
      <c r="T256" s="102" t="s">
        <v>9</v>
      </c>
    </row>
    <row r="257" spans="1:20">
      <c r="A257" s="101" t="s">
        <v>3465</v>
      </c>
      <c r="B257" s="101" t="s">
        <v>3759</v>
      </c>
      <c r="C257" s="101">
        <v>2003</v>
      </c>
      <c r="D257" s="102" t="s">
        <v>11897</v>
      </c>
      <c r="E257" s="102" t="s">
        <v>11001</v>
      </c>
      <c r="F257" s="102"/>
      <c r="G257" s="102" t="s">
        <v>3403</v>
      </c>
      <c r="H257" s="102" t="s">
        <v>5180</v>
      </c>
      <c r="I257" s="102"/>
      <c r="J257" s="102"/>
      <c r="K257" s="102" t="s">
        <v>11898</v>
      </c>
      <c r="L257" s="102" t="s">
        <v>11899</v>
      </c>
      <c r="M257" s="102"/>
      <c r="N257" s="102"/>
      <c r="O257" s="102"/>
      <c r="P257" s="102"/>
      <c r="Q257" s="102"/>
      <c r="R257" s="102"/>
      <c r="S257" s="102" t="s">
        <v>183</v>
      </c>
      <c r="T257" s="102" t="s">
        <v>9</v>
      </c>
    </row>
    <row r="258" spans="1:20">
      <c r="A258" s="101" t="s">
        <v>3465</v>
      </c>
      <c r="B258" s="101" t="s">
        <v>3759</v>
      </c>
      <c r="C258" s="101">
        <v>2005</v>
      </c>
      <c r="D258" s="102" t="s">
        <v>11900</v>
      </c>
      <c r="E258" s="102" t="s">
        <v>11001</v>
      </c>
      <c r="F258" s="102"/>
      <c r="G258" s="102" t="s">
        <v>3403</v>
      </c>
      <c r="H258" s="102"/>
      <c r="I258" s="102"/>
      <c r="J258" s="102"/>
      <c r="K258" s="102" t="s">
        <v>11901</v>
      </c>
      <c r="L258" s="102"/>
      <c r="M258" s="102"/>
      <c r="N258" s="102"/>
      <c r="O258" s="102"/>
      <c r="P258" s="102"/>
      <c r="Q258" s="102"/>
      <c r="R258" s="102"/>
      <c r="S258" s="102" t="s">
        <v>181</v>
      </c>
      <c r="T258" s="102" t="s">
        <v>9</v>
      </c>
    </row>
    <row r="259" spans="1:20">
      <c r="A259" s="101" t="s">
        <v>3465</v>
      </c>
      <c r="B259" s="101" t="s">
        <v>3759</v>
      </c>
      <c r="C259" s="101">
        <v>2006</v>
      </c>
      <c r="D259" s="102" t="s">
        <v>11902</v>
      </c>
      <c r="E259" s="102" t="s">
        <v>1464</v>
      </c>
      <c r="F259" s="102"/>
      <c r="G259" s="102" t="s">
        <v>3403</v>
      </c>
      <c r="H259" s="102"/>
      <c r="I259" s="102"/>
      <c r="J259" s="102"/>
      <c r="K259" s="102" t="s">
        <v>11903</v>
      </c>
      <c r="L259" s="102" t="s">
        <v>11904</v>
      </c>
      <c r="M259" s="102"/>
      <c r="N259" s="102"/>
      <c r="O259" s="102"/>
      <c r="P259" s="102"/>
      <c r="Q259" s="102"/>
      <c r="R259" s="102"/>
      <c r="S259" s="102" t="s">
        <v>44</v>
      </c>
      <c r="T259" s="102" t="s">
        <v>9</v>
      </c>
    </row>
    <row r="260" spans="1:20">
      <c r="A260" s="101" t="s">
        <v>3465</v>
      </c>
      <c r="B260" s="101" t="s">
        <v>3759</v>
      </c>
      <c r="C260" s="101">
        <v>2007</v>
      </c>
      <c r="D260" s="102" t="s">
        <v>11905</v>
      </c>
      <c r="E260" s="102" t="s">
        <v>1464</v>
      </c>
      <c r="F260" s="102"/>
      <c r="G260" s="102" t="s">
        <v>3403</v>
      </c>
      <c r="H260" s="102"/>
      <c r="I260" s="102"/>
      <c r="J260" s="102"/>
      <c r="K260" s="102" t="s">
        <v>8613</v>
      </c>
      <c r="L260" s="102"/>
      <c r="M260" s="102"/>
      <c r="N260" s="102"/>
      <c r="O260" s="102"/>
      <c r="P260" s="102"/>
      <c r="Q260" s="102"/>
      <c r="R260" s="102"/>
      <c r="S260" s="102" t="s">
        <v>181</v>
      </c>
      <c r="T260" s="102" t="s">
        <v>9</v>
      </c>
    </row>
    <row r="261" spans="1:20">
      <c r="A261" s="101" t="s">
        <v>3465</v>
      </c>
      <c r="B261" s="101" t="s">
        <v>3759</v>
      </c>
      <c r="C261" s="101">
        <v>2008</v>
      </c>
      <c r="D261" s="102" t="s">
        <v>11906</v>
      </c>
      <c r="E261" s="102" t="s">
        <v>11001</v>
      </c>
      <c r="F261" s="102"/>
      <c r="G261" s="102" t="s">
        <v>3403</v>
      </c>
      <c r="H261" s="102"/>
      <c r="I261" s="102"/>
      <c r="J261" s="102"/>
      <c r="K261" s="102" t="s">
        <v>11907</v>
      </c>
      <c r="L261" s="102"/>
      <c r="M261" s="102"/>
      <c r="N261" s="102"/>
      <c r="O261" s="102"/>
      <c r="P261" s="102"/>
      <c r="Q261" s="102"/>
      <c r="R261" s="102"/>
      <c r="S261" s="102" t="s">
        <v>32</v>
      </c>
      <c r="T261" s="102" t="s">
        <v>9</v>
      </c>
    </row>
    <row r="262" spans="1:20">
      <c r="A262" s="101" t="s">
        <v>3465</v>
      </c>
      <c r="B262" s="101" t="s">
        <v>3759</v>
      </c>
      <c r="C262" s="101">
        <v>2009</v>
      </c>
      <c r="D262" s="102" t="s">
        <v>11908</v>
      </c>
      <c r="E262" s="102" t="s">
        <v>1374</v>
      </c>
      <c r="F262" s="102"/>
      <c r="G262" s="102" t="s">
        <v>3403</v>
      </c>
      <c r="H262" s="102"/>
      <c r="I262" s="102"/>
      <c r="J262" s="102"/>
      <c r="K262" s="102" t="s">
        <v>11909</v>
      </c>
      <c r="L262" s="102"/>
      <c r="M262" s="102"/>
      <c r="N262" s="102"/>
      <c r="O262" s="102"/>
      <c r="P262" s="102"/>
      <c r="Q262" s="102"/>
      <c r="R262" s="102"/>
      <c r="S262" s="102" t="s">
        <v>53</v>
      </c>
      <c r="T262" s="102" t="s">
        <v>9</v>
      </c>
    </row>
    <row r="263" spans="1:20">
      <c r="A263" s="101" t="s">
        <v>3465</v>
      </c>
      <c r="B263" s="101" t="s">
        <v>3759</v>
      </c>
      <c r="C263" s="101">
        <v>2011</v>
      </c>
      <c r="D263" s="102" t="s">
        <v>11910</v>
      </c>
      <c r="E263" s="102" t="s">
        <v>1375</v>
      </c>
      <c r="F263" s="102"/>
      <c r="G263" s="102" t="s">
        <v>3403</v>
      </c>
      <c r="H263" s="102"/>
      <c r="I263" s="102"/>
      <c r="J263" s="102"/>
      <c r="K263" s="102" t="s">
        <v>11911</v>
      </c>
      <c r="L263" s="102"/>
      <c r="M263" s="102"/>
      <c r="N263" s="102"/>
      <c r="O263" s="102"/>
      <c r="P263" s="102"/>
      <c r="Q263" s="102"/>
      <c r="R263" s="102"/>
      <c r="S263" s="102" t="s">
        <v>177</v>
      </c>
      <c r="T263" s="102" t="s">
        <v>9</v>
      </c>
    </row>
    <row r="264" spans="1:20">
      <c r="A264" s="101" t="s">
        <v>3465</v>
      </c>
      <c r="B264" s="101" t="s">
        <v>3759</v>
      </c>
      <c r="C264" s="101">
        <v>2012</v>
      </c>
      <c r="D264" s="102" t="s">
        <v>11912</v>
      </c>
      <c r="E264" s="102" t="s">
        <v>1375</v>
      </c>
      <c r="F264" s="102"/>
      <c r="G264" s="102" t="s">
        <v>3403</v>
      </c>
      <c r="H264" s="102"/>
      <c r="I264" s="102"/>
      <c r="J264" s="102"/>
      <c r="K264" s="102" t="s">
        <v>8016</v>
      </c>
      <c r="L264" s="102" t="s">
        <v>8613</v>
      </c>
      <c r="M264" s="102"/>
      <c r="N264" s="102"/>
      <c r="O264" s="102"/>
      <c r="P264" s="102"/>
      <c r="Q264" s="102"/>
      <c r="R264" s="102"/>
      <c r="S264" s="102" t="s">
        <v>31</v>
      </c>
      <c r="T264" s="102" t="s">
        <v>9</v>
      </c>
    </row>
    <row r="265" spans="1:20">
      <c r="A265" s="101" t="s">
        <v>3465</v>
      </c>
      <c r="B265" s="101" t="s">
        <v>3759</v>
      </c>
      <c r="C265" s="101">
        <v>2014</v>
      </c>
      <c r="D265" s="102" t="s">
        <v>11913</v>
      </c>
      <c r="E265" s="102" t="s">
        <v>1374</v>
      </c>
      <c r="F265" s="102"/>
      <c r="G265" s="102" t="s">
        <v>3403</v>
      </c>
      <c r="H265" s="102"/>
      <c r="I265" s="102"/>
      <c r="J265" s="102"/>
      <c r="K265" s="102" t="s">
        <v>11914</v>
      </c>
      <c r="L265" s="102"/>
      <c r="M265" s="102"/>
      <c r="N265" s="102"/>
      <c r="O265" s="102"/>
      <c r="P265" s="102"/>
      <c r="Q265" s="102"/>
      <c r="R265" s="102"/>
      <c r="S265" s="102" t="s">
        <v>8</v>
      </c>
      <c r="T265" s="102" t="s">
        <v>9</v>
      </c>
    </row>
    <row r="266" spans="1:20">
      <c r="A266" s="101" t="s">
        <v>3465</v>
      </c>
      <c r="B266" s="101" t="s">
        <v>3759</v>
      </c>
      <c r="C266" s="101">
        <v>2016</v>
      </c>
      <c r="D266" s="102" t="s">
        <v>11915</v>
      </c>
      <c r="E266" s="102" t="s">
        <v>1374</v>
      </c>
      <c r="F266" s="102"/>
      <c r="G266" s="102" t="s">
        <v>3403</v>
      </c>
      <c r="H266" s="102"/>
      <c r="I266" s="102"/>
      <c r="J266" s="102"/>
      <c r="K266" s="102" t="s">
        <v>11916</v>
      </c>
      <c r="L266" s="102" t="s">
        <v>11917</v>
      </c>
      <c r="M266" s="102"/>
      <c r="N266" s="102"/>
      <c r="O266" s="102"/>
      <c r="P266" s="102"/>
      <c r="Q266" s="102"/>
      <c r="R266" s="102"/>
      <c r="S266" s="102" t="s">
        <v>5685</v>
      </c>
      <c r="T266" s="102" t="s">
        <v>9</v>
      </c>
    </row>
    <row r="267" spans="1:20">
      <c r="A267" s="101" t="s">
        <v>3465</v>
      </c>
      <c r="B267" s="101" t="s">
        <v>3759</v>
      </c>
      <c r="C267" s="101">
        <v>2017</v>
      </c>
      <c r="D267" s="102" t="s">
        <v>11918</v>
      </c>
      <c r="E267" s="102" t="s">
        <v>1375</v>
      </c>
      <c r="F267" s="102"/>
      <c r="G267" s="102" t="s">
        <v>3403</v>
      </c>
      <c r="H267" s="102"/>
      <c r="I267" s="102"/>
      <c r="J267" s="102"/>
      <c r="K267" s="102" t="s">
        <v>11919</v>
      </c>
      <c r="L267" s="102"/>
      <c r="M267" s="102"/>
      <c r="N267" s="102"/>
      <c r="O267" s="102"/>
      <c r="P267" s="102"/>
      <c r="Q267" s="102"/>
      <c r="R267" s="102"/>
      <c r="S267" s="102" t="s">
        <v>169</v>
      </c>
      <c r="T267" s="102" t="s">
        <v>9</v>
      </c>
    </row>
    <row r="268" spans="1:20">
      <c r="A268" s="101" t="s">
        <v>3465</v>
      </c>
      <c r="B268" s="101" t="s">
        <v>3759</v>
      </c>
      <c r="C268" s="101">
        <v>2018</v>
      </c>
      <c r="D268" s="102" t="s">
        <v>11920</v>
      </c>
      <c r="E268" s="102" t="s">
        <v>1374</v>
      </c>
      <c r="F268" s="102"/>
      <c r="G268" s="102" t="s">
        <v>3403</v>
      </c>
      <c r="H268" s="102"/>
      <c r="I268" s="102"/>
      <c r="J268" s="102"/>
      <c r="K268" s="102" t="s">
        <v>11921</v>
      </c>
      <c r="L268" s="102"/>
      <c r="M268" s="102"/>
      <c r="N268" s="102"/>
      <c r="O268" s="102"/>
      <c r="P268" s="102"/>
      <c r="Q268" s="102"/>
      <c r="R268" s="102"/>
      <c r="S268" s="102" t="s">
        <v>33</v>
      </c>
      <c r="T268" s="102" t="s">
        <v>9</v>
      </c>
    </row>
    <row r="269" spans="1:20">
      <c r="A269" s="101" t="s">
        <v>3465</v>
      </c>
      <c r="B269" s="101" t="s">
        <v>3759</v>
      </c>
      <c r="C269" s="101">
        <v>2019</v>
      </c>
      <c r="D269" s="102" t="s">
        <v>11922</v>
      </c>
      <c r="E269" s="102" t="s">
        <v>11558</v>
      </c>
      <c r="F269" s="102"/>
      <c r="G269" s="102" t="s">
        <v>3403</v>
      </c>
      <c r="H269" s="102"/>
      <c r="I269" s="102"/>
      <c r="J269" s="102"/>
      <c r="K269" s="102" t="s">
        <v>11923</v>
      </c>
      <c r="L269" s="102"/>
      <c r="M269" s="102"/>
      <c r="N269" s="102"/>
      <c r="O269" s="102"/>
      <c r="P269" s="102"/>
      <c r="Q269" s="102"/>
      <c r="R269" s="102"/>
      <c r="S269" s="102" t="s">
        <v>40</v>
      </c>
      <c r="T269" s="102" t="s">
        <v>9</v>
      </c>
    </row>
    <row r="270" spans="1:20">
      <c r="A270" s="101" t="s">
        <v>3465</v>
      </c>
      <c r="B270" s="101" t="s">
        <v>3759</v>
      </c>
      <c r="C270" s="101">
        <v>2020</v>
      </c>
      <c r="D270" s="102" t="s">
        <v>11924</v>
      </c>
      <c r="E270" s="102" t="s">
        <v>1379</v>
      </c>
      <c r="F270" s="102"/>
      <c r="G270" s="102" t="s">
        <v>3403</v>
      </c>
      <c r="H270" s="102"/>
      <c r="I270" s="102"/>
      <c r="J270" s="102"/>
      <c r="K270" s="102" t="s">
        <v>11925</v>
      </c>
      <c r="L270" s="102"/>
      <c r="M270" s="102"/>
      <c r="N270" s="102"/>
      <c r="O270" s="102"/>
      <c r="P270" s="102"/>
      <c r="Q270" s="102"/>
      <c r="R270" s="102"/>
      <c r="S270" s="102" t="s">
        <v>26</v>
      </c>
      <c r="T270" s="102" t="s">
        <v>9</v>
      </c>
    </row>
    <row r="271" spans="1:20">
      <c r="A271" s="101" t="s">
        <v>3465</v>
      </c>
      <c r="B271" s="101" t="s">
        <v>3759</v>
      </c>
      <c r="C271" s="101">
        <v>2021</v>
      </c>
      <c r="D271" s="102" t="s">
        <v>11926</v>
      </c>
      <c r="E271" s="102" t="s">
        <v>1378</v>
      </c>
      <c r="F271" s="102"/>
      <c r="G271" s="102" t="s">
        <v>3403</v>
      </c>
      <c r="H271" s="102"/>
      <c r="I271" s="102"/>
      <c r="J271" s="102"/>
      <c r="K271" s="102" t="s">
        <v>11927</v>
      </c>
      <c r="L271" s="102"/>
      <c r="M271" s="102"/>
      <c r="N271" s="102"/>
      <c r="O271" s="102"/>
      <c r="P271" s="102"/>
      <c r="Q271" s="102"/>
      <c r="R271" s="102"/>
      <c r="S271" s="102" t="s">
        <v>11</v>
      </c>
      <c r="T271" s="102" t="s">
        <v>9</v>
      </c>
    </row>
    <row r="272" spans="1:20">
      <c r="A272" s="101" t="s">
        <v>3465</v>
      </c>
      <c r="B272" s="101" t="s">
        <v>3759</v>
      </c>
      <c r="C272" s="101">
        <v>2022</v>
      </c>
      <c r="D272" s="102" t="s">
        <v>11928</v>
      </c>
      <c r="E272" s="102" t="s">
        <v>1379</v>
      </c>
      <c r="F272" s="102"/>
      <c r="G272" s="102" t="s">
        <v>3403</v>
      </c>
      <c r="H272" s="102"/>
      <c r="I272" s="102"/>
      <c r="J272" s="102"/>
      <c r="K272" s="102" t="s">
        <v>11929</v>
      </c>
      <c r="L272" s="102"/>
      <c r="M272" s="102"/>
      <c r="N272" s="102"/>
      <c r="O272" s="102"/>
      <c r="P272" s="102"/>
      <c r="Q272" s="102"/>
      <c r="R272" s="102"/>
      <c r="S272" s="102" t="s">
        <v>180</v>
      </c>
      <c r="T272" s="102" t="s">
        <v>9</v>
      </c>
    </row>
    <row r="273" spans="1:20">
      <c r="A273" s="101" t="s">
        <v>3465</v>
      </c>
      <c r="B273" s="101" t="s">
        <v>3759</v>
      </c>
      <c r="C273" s="101">
        <v>2023</v>
      </c>
      <c r="D273" s="102" t="s">
        <v>11930</v>
      </c>
      <c r="E273" s="102" t="s">
        <v>1378</v>
      </c>
      <c r="F273" s="102"/>
      <c r="G273" s="102" t="s">
        <v>3403</v>
      </c>
      <c r="H273" s="102"/>
      <c r="I273" s="102"/>
      <c r="J273" s="102"/>
      <c r="K273" s="102" t="s">
        <v>11931</v>
      </c>
      <c r="L273" s="102"/>
      <c r="M273" s="102"/>
      <c r="N273" s="102"/>
      <c r="O273" s="102"/>
      <c r="P273" s="102"/>
      <c r="Q273" s="102"/>
      <c r="R273" s="102"/>
      <c r="S273" s="102" t="s">
        <v>179</v>
      </c>
      <c r="T273" s="102" t="s">
        <v>9</v>
      </c>
    </row>
    <row r="274" spans="1:20">
      <c r="A274" s="101" t="s">
        <v>3465</v>
      </c>
      <c r="B274" s="101" t="s">
        <v>3759</v>
      </c>
      <c r="C274" s="101">
        <v>2024</v>
      </c>
      <c r="D274" s="102" t="s">
        <v>11932</v>
      </c>
      <c r="E274" s="102" t="s">
        <v>1385</v>
      </c>
      <c r="F274" s="102"/>
      <c r="G274" s="102" t="s">
        <v>3403</v>
      </c>
      <c r="H274" s="102"/>
      <c r="I274" s="102"/>
      <c r="J274" s="102"/>
      <c r="K274" s="102" t="s">
        <v>11933</v>
      </c>
      <c r="L274" s="102" t="s">
        <v>4113</v>
      </c>
      <c r="M274" s="102" t="s">
        <v>11934</v>
      </c>
      <c r="N274" s="102" t="s">
        <v>11935</v>
      </c>
      <c r="O274" s="102" t="s">
        <v>11936</v>
      </c>
      <c r="P274" s="102"/>
      <c r="Q274" s="102"/>
      <c r="R274" s="102"/>
      <c r="S274" s="102" t="s">
        <v>177</v>
      </c>
      <c r="T274" s="102" t="s">
        <v>9</v>
      </c>
    </row>
    <row r="275" spans="1:20">
      <c r="A275" s="101" t="s">
        <v>3465</v>
      </c>
      <c r="B275" s="101" t="s">
        <v>3759</v>
      </c>
      <c r="C275" s="101">
        <v>2025</v>
      </c>
      <c r="D275" s="102" t="s">
        <v>11937</v>
      </c>
      <c r="E275" s="102" t="s">
        <v>1385</v>
      </c>
      <c r="F275" s="102"/>
      <c r="G275" s="102" t="s">
        <v>3403</v>
      </c>
      <c r="H275" s="102"/>
      <c r="I275" s="102"/>
      <c r="J275" s="102"/>
      <c r="K275" s="102" t="s">
        <v>7010</v>
      </c>
      <c r="L275" s="102" t="s">
        <v>11938</v>
      </c>
      <c r="M275" s="102"/>
      <c r="N275" s="102"/>
      <c r="O275" s="102"/>
      <c r="P275" s="102"/>
      <c r="Q275" s="102"/>
      <c r="R275" s="102"/>
      <c r="S275" s="102" t="s">
        <v>31</v>
      </c>
      <c r="T275" s="102" t="s">
        <v>9</v>
      </c>
    </row>
    <row r="276" spans="1:20">
      <c r="A276" s="101" t="s">
        <v>3465</v>
      </c>
      <c r="B276" s="101" t="s">
        <v>3759</v>
      </c>
      <c r="C276" s="101">
        <v>2026</v>
      </c>
      <c r="D276" s="102" t="s">
        <v>11939</v>
      </c>
      <c r="E276" s="102" t="s">
        <v>1381</v>
      </c>
      <c r="F276" s="102"/>
      <c r="G276" s="102" t="s">
        <v>3403</v>
      </c>
      <c r="H276" s="102" t="s">
        <v>5180</v>
      </c>
      <c r="I276" s="102"/>
      <c r="J276" s="102"/>
      <c r="K276" s="102" t="s">
        <v>11940</v>
      </c>
      <c r="L276" s="102" t="s">
        <v>11096</v>
      </c>
      <c r="M276" s="102"/>
      <c r="N276" s="102"/>
      <c r="O276" s="102"/>
      <c r="P276" s="102"/>
      <c r="Q276" s="102"/>
      <c r="R276" s="102"/>
      <c r="S276" s="102" t="s">
        <v>175</v>
      </c>
      <c r="T276" s="102" t="s">
        <v>9</v>
      </c>
    </row>
    <row r="277" spans="1:20">
      <c r="A277" s="101" t="s">
        <v>3465</v>
      </c>
      <c r="B277" s="101" t="s">
        <v>3759</v>
      </c>
      <c r="C277" s="101">
        <v>2027</v>
      </c>
      <c r="D277" s="102" t="s">
        <v>11941</v>
      </c>
      <c r="E277" s="102" t="s">
        <v>1385</v>
      </c>
      <c r="F277" s="102"/>
      <c r="G277" s="102" t="s">
        <v>3403</v>
      </c>
      <c r="H277" s="102"/>
      <c r="I277" s="102"/>
      <c r="J277" s="102"/>
      <c r="K277" s="102" t="s">
        <v>11942</v>
      </c>
      <c r="L277" s="102"/>
      <c r="M277" s="102"/>
      <c r="N277" s="102"/>
      <c r="O277" s="102"/>
      <c r="P277" s="102"/>
      <c r="Q277" s="102"/>
      <c r="R277" s="102"/>
      <c r="S277" s="102" t="s">
        <v>169</v>
      </c>
      <c r="T277" s="102" t="s">
        <v>9</v>
      </c>
    </row>
    <row r="278" spans="1:20">
      <c r="A278" s="101" t="s">
        <v>3465</v>
      </c>
      <c r="B278" s="101" t="s">
        <v>3759</v>
      </c>
      <c r="C278" s="101">
        <v>2028</v>
      </c>
      <c r="D278" s="102" t="s">
        <v>11943</v>
      </c>
      <c r="E278" s="102" t="s">
        <v>1386</v>
      </c>
      <c r="F278" s="102"/>
      <c r="G278" s="102" t="s">
        <v>3403</v>
      </c>
      <c r="H278" s="102" t="s">
        <v>5670</v>
      </c>
      <c r="I278" s="102"/>
      <c r="J278" s="102"/>
      <c r="K278" s="102" t="s">
        <v>11944</v>
      </c>
      <c r="L278" s="102" t="s">
        <v>11945</v>
      </c>
      <c r="M278" s="102"/>
      <c r="N278" s="102"/>
      <c r="O278" s="102"/>
      <c r="P278" s="102"/>
      <c r="Q278" s="102"/>
      <c r="R278" s="102"/>
      <c r="S278" s="102" t="s">
        <v>604</v>
      </c>
      <c r="T278" s="102" t="s">
        <v>9</v>
      </c>
    </row>
    <row r="279" spans="1:20">
      <c r="A279" s="101" t="s">
        <v>3465</v>
      </c>
      <c r="B279" s="101" t="s">
        <v>3759</v>
      </c>
      <c r="C279" s="101">
        <v>2029</v>
      </c>
      <c r="D279" s="102" t="s">
        <v>11946</v>
      </c>
      <c r="E279" s="102" t="s">
        <v>11469</v>
      </c>
      <c r="F279" s="102"/>
      <c r="G279" s="102" t="s">
        <v>3403</v>
      </c>
      <c r="H279" s="102"/>
      <c r="I279" s="102"/>
      <c r="J279" s="102"/>
      <c r="K279" s="102" t="s">
        <v>11947</v>
      </c>
      <c r="L279" s="102" t="s">
        <v>11948</v>
      </c>
      <c r="M279" s="102"/>
      <c r="N279" s="102"/>
      <c r="O279" s="102"/>
      <c r="P279" s="102"/>
      <c r="Q279" s="102"/>
      <c r="R279" s="102"/>
      <c r="S279" s="102" t="s">
        <v>169</v>
      </c>
      <c r="T279" s="102" t="s">
        <v>9</v>
      </c>
    </row>
    <row r="280" spans="1:20">
      <c r="A280" s="101" t="s">
        <v>3465</v>
      </c>
      <c r="B280" s="101" t="s">
        <v>3759</v>
      </c>
      <c r="C280" s="101">
        <v>2030</v>
      </c>
      <c r="D280" s="102" t="s">
        <v>11949</v>
      </c>
      <c r="E280" s="102" t="s">
        <v>1541</v>
      </c>
      <c r="F280" s="102"/>
      <c r="G280" s="102" t="s">
        <v>3403</v>
      </c>
      <c r="H280" s="102"/>
      <c r="I280" s="102"/>
      <c r="J280" s="102"/>
      <c r="K280" s="102" t="s">
        <v>11950</v>
      </c>
      <c r="L280" s="102"/>
      <c r="M280" s="102"/>
      <c r="N280" s="102"/>
      <c r="O280" s="102"/>
      <c r="P280" s="102"/>
      <c r="Q280" s="102"/>
      <c r="R280" s="102"/>
      <c r="S280" s="102" t="s">
        <v>182</v>
      </c>
      <c r="T280" s="102" t="s">
        <v>9</v>
      </c>
    </row>
    <row r="281" spans="1:20">
      <c r="A281" s="101" t="s">
        <v>3465</v>
      </c>
      <c r="B281" s="101" t="s">
        <v>3759</v>
      </c>
      <c r="C281" s="101">
        <v>2031</v>
      </c>
      <c r="D281" s="102" t="s">
        <v>11951</v>
      </c>
      <c r="E281" s="102" t="s">
        <v>10639</v>
      </c>
      <c r="F281" s="102"/>
      <c r="G281" s="102" t="s">
        <v>3403</v>
      </c>
      <c r="H281" s="102" t="s">
        <v>5670</v>
      </c>
      <c r="I281" s="102"/>
      <c r="J281" s="102"/>
      <c r="K281" s="102" t="s">
        <v>11952</v>
      </c>
      <c r="L281" s="102" t="s">
        <v>11953</v>
      </c>
      <c r="M281" s="102"/>
      <c r="N281" s="102"/>
      <c r="O281" s="102"/>
      <c r="P281" s="102"/>
      <c r="Q281" s="102"/>
      <c r="R281" s="102"/>
      <c r="S281" s="102" t="s">
        <v>607</v>
      </c>
      <c r="T281" s="102" t="s">
        <v>9</v>
      </c>
    </row>
    <row r="282" spans="1:20">
      <c r="A282" s="101" t="s">
        <v>3465</v>
      </c>
      <c r="B282" s="101" t="s">
        <v>3759</v>
      </c>
      <c r="C282" s="101">
        <v>2032</v>
      </c>
      <c r="D282" s="102" t="s">
        <v>11954</v>
      </c>
      <c r="E282" s="102" t="s">
        <v>11882</v>
      </c>
      <c r="F282" s="102"/>
      <c r="G282" s="102" t="s">
        <v>3403</v>
      </c>
      <c r="H282" s="102"/>
      <c r="I282" s="102"/>
      <c r="J282" s="102"/>
      <c r="K282" s="102" t="s">
        <v>11955</v>
      </c>
      <c r="L282" s="102"/>
      <c r="M282" s="102"/>
      <c r="N282" s="102"/>
      <c r="O282" s="102"/>
      <c r="P282" s="102"/>
      <c r="Q282" s="102"/>
      <c r="R282" s="102"/>
      <c r="S282" s="102" t="s">
        <v>182</v>
      </c>
      <c r="T282" s="102" t="s">
        <v>9</v>
      </c>
    </row>
    <row r="283" spans="1:20">
      <c r="A283" s="101" t="s">
        <v>4768</v>
      </c>
      <c r="B283" s="101" t="s">
        <v>3759</v>
      </c>
      <c r="C283" s="101">
        <v>3004</v>
      </c>
      <c r="D283" s="102" t="s">
        <v>11956</v>
      </c>
      <c r="E283" s="102" t="s">
        <v>11001</v>
      </c>
      <c r="F283" s="102"/>
      <c r="G283" s="102" t="s">
        <v>3403</v>
      </c>
      <c r="H283" s="102"/>
      <c r="I283" s="102"/>
      <c r="J283" s="102"/>
      <c r="K283" s="102" t="s">
        <v>11957</v>
      </c>
      <c r="L283" s="102" t="s">
        <v>11958</v>
      </c>
      <c r="M283" s="102"/>
      <c r="N283" s="102"/>
      <c r="O283" s="102"/>
      <c r="P283" s="102"/>
      <c r="Q283" s="102"/>
      <c r="R283" s="102"/>
      <c r="S283" s="102" t="s">
        <v>604</v>
      </c>
      <c r="T283" s="102" t="s">
        <v>41</v>
      </c>
    </row>
    <row r="284" spans="1:20">
      <c r="A284" s="101" t="s">
        <v>4768</v>
      </c>
      <c r="B284" s="101" t="s">
        <v>3759</v>
      </c>
      <c r="C284" s="101">
        <v>3010</v>
      </c>
      <c r="D284" s="102" t="s">
        <v>11959</v>
      </c>
      <c r="E284" s="102" t="s">
        <v>1374</v>
      </c>
      <c r="F284" s="102"/>
      <c r="G284" s="102" t="s">
        <v>3403</v>
      </c>
      <c r="H284" s="102"/>
      <c r="I284" s="102"/>
      <c r="J284" s="102"/>
      <c r="K284" s="102" t="s">
        <v>11960</v>
      </c>
      <c r="L284" s="102" t="s">
        <v>11961</v>
      </c>
      <c r="M284" s="102"/>
      <c r="N284" s="102"/>
      <c r="O284" s="102"/>
      <c r="P284" s="102"/>
      <c r="Q284" s="102"/>
      <c r="R284" s="102"/>
      <c r="S284" s="102" t="s">
        <v>17</v>
      </c>
      <c r="T284" s="102" t="s">
        <v>41</v>
      </c>
    </row>
    <row r="285" spans="1:20">
      <c r="A285" s="101" t="s">
        <v>4768</v>
      </c>
      <c r="B285" s="101" t="s">
        <v>3759</v>
      </c>
      <c r="C285" s="101">
        <v>3013</v>
      </c>
      <c r="D285" s="102" t="s">
        <v>11962</v>
      </c>
      <c r="E285" s="102" t="s">
        <v>1374</v>
      </c>
      <c r="F285" s="102"/>
      <c r="G285" s="102" t="s">
        <v>3403</v>
      </c>
      <c r="H285" s="102"/>
      <c r="I285" s="102"/>
      <c r="J285" s="102"/>
      <c r="K285" s="102" t="s">
        <v>7296</v>
      </c>
      <c r="L285" s="102" t="s">
        <v>11963</v>
      </c>
      <c r="M285" s="102" t="s">
        <v>11964</v>
      </c>
      <c r="N285" s="102"/>
      <c r="O285" s="102"/>
      <c r="P285" s="102"/>
      <c r="Q285" s="102"/>
      <c r="R285" s="102"/>
      <c r="S285" s="102" t="s">
        <v>37</v>
      </c>
      <c r="T285" s="102" t="s">
        <v>41</v>
      </c>
    </row>
    <row r="286" spans="1:20">
      <c r="A286" s="101" t="s">
        <v>4053</v>
      </c>
      <c r="B286" s="101" t="s">
        <v>3759</v>
      </c>
      <c r="C286" s="101">
        <v>4015</v>
      </c>
      <c r="D286" s="102" t="s">
        <v>10561</v>
      </c>
      <c r="E286" s="102" t="s">
        <v>1375</v>
      </c>
      <c r="F286" s="102"/>
      <c r="G286" s="102" t="s">
        <v>3403</v>
      </c>
      <c r="H286" s="102"/>
      <c r="I286" s="102"/>
      <c r="J286" s="102"/>
      <c r="K286" s="102" t="s">
        <v>10562</v>
      </c>
      <c r="L286" s="102" t="s">
        <v>10563</v>
      </c>
      <c r="M286" s="102"/>
      <c r="N286" s="102"/>
      <c r="O286" s="102"/>
      <c r="P286" s="102"/>
      <c r="Q286" s="102"/>
      <c r="R286" s="102"/>
      <c r="S286" s="102" t="s">
        <v>3999</v>
      </c>
      <c r="T286" s="102" t="s">
        <v>4000</v>
      </c>
    </row>
    <row r="287" spans="1:20">
      <c r="C287" s="101" t="s">
        <v>3456</v>
      </c>
    </row>
    <row r="288" spans="1:20">
      <c r="A288" t="s">
        <v>3498</v>
      </c>
      <c r="B288" t="s">
        <v>3758</v>
      </c>
      <c r="C288" s="101">
        <v>1</v>
      </c>
      <c r="D288" t="s">
        <v>10641</v>
      </c>
      <c r="E288" t="s">
        <v>1370</v>
      </c>
      <c r="G288" t="s">
        <v>3399</v>
      </c>
      <c r="K288" t="s">
        <v>10642</v>
      </c>
      <c r="L288" t="s">
        <v>3768</v>
      </c>
      <c r="S288" t="s">
        <v>5685</v>
      </c>
      <c r="T288" t="s">
        <v>4</v>
      </c>
    </row>
    <row r="289" spans="1:20">
      <c r="A289" t="s">
        <v>3498</v>
      </c>
      <c r="B289" t="s">
        <v>3758</v>
      </c>
      <c r="C289" s="101">
        <v>2</v>
      </c>
      <c r="D289" t="s">
        <v>10643</v>
      </c>
      <c r="E289" t="s">
        <v>1370</v>
      </c>
      <c r="G289" t="s">
        <v>3399</v>
      </c>
      <c r="K289" t="s">
        <v>10644</v>
      </c>
      <c r="S289" t="s">
        <v>52</v>
      </c>
      <c r="T289" t="s">
        <v>4</v>
      </c>
    </row>
    <row r="290" spans="1:20">
      <c r="A290" t="s">
        <v>3498</v>
      </c>
      <c r="B290" t="s">
        <v>3758</v>
      </c>
      <c r="C290" s="101">
        <v>3</v>
      </c>
      <c r="D290" t="s">
        <v>10645</v>
      </c>
      <c r="E290" t="s">
        <v>1370</v>
      </c>
      <c r="G290" t="s">
        <v>3399</v>
      </c>
      <c r="K290" t="s">
        <v>4397</v>
      </c>
      <c r="L290" t="s">
        <v>3768</v>
      </c>
      <c r="S290" t="s">
        <v>26</v>
      </c>
      <c r="T290" t="s">
        <v>4</v>
      </c>
    </row>
    <row r="291" spans="1:20">
      <c r="A291" t="s">
        <v>3498</v>
      </c>
      <c r="B291" t="s">
        <v>3758</v>
      </c>
      <c r="C291" s="101">
        <v>4</v>
      </c>
      <c r="D291" t="s">
        <v>10646</v>
      </c>
      <c r="E291" t="s">
        <v>1370</v>
      </c>
      <c r="G291" t="s">
        <v>3399</v>
      </c>
      <c r="K291" t="s">
        <v>8859</v>
      </c>
      <c r="L291" t="s">
        <v>10444</v>
      </c>
      <c r="S291" t="s">
        <v>45</v>
      </c>
      <c r="T291" t="s">
        <v>4</v>
      </c>
    </row>
    <row r="292" spans="1:20">
      <c r="A292" t="s">
        <v>3498</v>
      </c>
      <c r="B292" t="s">
        <v>3758</v>
      </c>
      <c r="C292" s="101">
        <v>5</v>
      </c>
      <c r="D292" t="s">
        <v>10647</v>
      </c>
      <c r="E292" t="s">
        <v>1370</v>
      </c>
      <c r="G292" t="s">
        <v>3399</v>
      </c>
      <c r="K292" t="s">
        <v>10648</v>
      </c>
      <c r="S292" t="s">
        <v>36</v>
      </c>
      <c r="T292" t="s">
        <v>4</v>
      </c>
    </row>
    <row r="293" spans="1:20">
      <c r="A293" t="s">
        <v>3498</v>
      </c>
      <c r="B293" t="s">
        <v>3758</v>
      </c>
      <c r="C293" s="101">
        <v>6</v>
      </c>
      <c r="D293" t="s">
        <v>10649</v>
      </c>
      <c r="E293" t="s">
        <v>1370</v>
      </c>
      <c r="G293" t="s">
        <v>3399</v>
      </c>
      <c r="H293" t="s">
        <v>5180</v>
      </c>
      <c r="K293" t="s">
        <v>10650</v>
      </c>
      <c r="S293" t="s">
        <v>183</v>
      </c>
      <c r="T293" t="s">
        <v>4</v>
      </c>
    </row>
    <row r="294" spans="1:20">
      <c r="A294" t="s">
        <v>3498</v>
      </c>
      <c r="B294" t="s">
        <v>3758</v>
      </c>
      <c r="C294" s="101">
        <v>7</v>
      </c>
      <c r="D294" t="s">
        <v>10651</v>
      </c>
      <c r="E294" t="s">
        <v>1370</v>
      </c>
      <c r="G294" t="s">
        <v>3399</v>
      </c>
      <c r="K294" t="s">
        <v>10652</v>
      </c>
      <c r="S294" t="s">
        <v>170</v>
      </c>
      <c r="T294" t="s">
        <v>4</v>
      </c>
    </row>
    <row r="295" spans="1:20">
      <c r="A295" t="s">
        <v>3498</v>
      </c>
      <c r="B295" t="s">
        <v>3758</v>
      </c>
      <c r="C295" s="101">
        <v>8</v>
      </c>
      <c r="D295" t="s">
        <v>10653</v>
      </c>
      <c r="E295" t="s">
        <v>1370</v>
      </c>
      <c r="G295" t="s">
        <v>3399</v>
      </c>
      <c r="K295" t="s">
        <v>10654</v>
      </c>
      <c r="L295" t="s">
        <v>10655</v>
      </c>
      <c r="S295" t="s">
        <v>31</v>
      </c>
      <c r="T295" t="s">
        <v>4</v>
      </c>
    </row>
    <row r="296" spans="1:20">
      <c r="A296" t="s">
        <v>3498</v>
      </c>
      <c r="B296" t="s">
        <v>3758</v>
      </c>
      <c r="C296" s="101">
        <v>9</v>
      </c>
      <c r="D296" t="s">
        <v>10656</v>
      </c>
      <c r="E296" t="s">
        <v>1370</v>
      </c>
      <c r="G296" t="s">
        <v>3399</v>
      </c>
      <c r="K296" t="s">
        <v>10657</v>
      </c>
      <c r="S296" t="s">
        <v>17</v>
      </c>
      <c r="T296" t="s">
        <v>4</v>
      </c>
    </row>
    <row r="297" spans="1:20">
      <c r="A297" t="s">
        <v>3498</v>
      </c>
      <c r="B297" t="s">
        <v>3758</v>
      </c>
      <c r="C297" s="101">
        <v>10</v>
      </c>
      <c r="D297" t="s">
        <v>10658</v>
      </c>
      <c r="E297" t="s">
        <v>1370</v>
      </c>
      <c r="G297" t="s">
        <v>3399</v>
      </c>
      <c r="K297" t="s">
        <v>10659</v>
      </c>
      <c r="L297" t="s">
        <v>3768</v>
      </c>
      <c r="S297" t="s">
        <v>30</v>
      </c>
      <c r="T297" t="s">
        <v>4</v>
      </c>
    </row>
    <row r="298" spans="1:20">
      <c r="A298" t="s">
        <v>3498</v>
      </c>
      <c r="B298" t="s">
        <v>3758</v>
      </c>
      <c r="C298" s="101">
        <v>11</v>
      </c>
      <c r="D298" t="s">
        <v>5050</v>
      </c>
      <c r="E298" t="s">
        <v>1370</v>
      </c>
      <c r="G298" t="s">
        <v>3399</v>
      </c>
      <c r="K298" t="s">
        <v>10660</v>
      </c>
      <c r="L298" t="s">
        <v>5052</v>
      </c>
      <c r="S298" t="s">
        <v>50</v>
      </c>
      <c r="T298" t="s">
        <v>4</v>
      </c>
    </row>
    <row r="299" spans="1:20">
      <c r="A299" t="s">
        <v>3498</v>
      </c>
      <c r="B299" t="s">
        <v>3758</v>
      </c>
      <c r="C299" s="101">
        <v>12</v>
      </c>
      <c r="D299" t="s">
        <v>10661</v>
      </c>
      <c r="E299" t="s">
        <v>1370</v>
      </c>
      <c r="G299" t="s">
        <v>3399</v>
      </c>
      <c r="K299" t="s">
        <v>10662</v>
      </c>
      <c r="S299" t="s">
        <v>173</v>
      </c>
      <c r="T299" t="s">
        <v>4</v>
      </c>
    </row>
    <row r="300" spans="1:20">
      <c r="A300" t="s">
        <v>3498</v>
      </c>
      <c r="B300" t="s">
        <v>3758</v>
      </c>
      <c r="C300" s="101">
        <v>13</v>
      </c>
      <c r="D300" t="s">
        <v>10663</v>
      </c>
      <c r="E300" t="s">
        <v>1370</v>
      </c>
      <c r="G300" t="s">
        <v>3399</v>
      </c>
      <c r="K300" t="s">
        <v>10664</v>
      </c>
      <c r="S300" t="s">
        <v>172</v>
      </c>
      <c r="T300" t="s">
        <v>4</v>
      </c>
    </row>
    <row r="301" spans="1:20">
      <c r="A301" t="s">
        <v>3498</v>
      </c>
      <c r="B301" t="s">
        <v>3758</v>
      </c>
      <c r="C301" s="101">
        <v>14</v>
      </c>
      <c r="D301" t="s">
        <v>10665</v>
      </c>
      <c r="E301" t="s">
        <v>1370</v>
      </c>
      <c r="G301" t="s">
        <v>3399</v>
      </c>
      <c r="K301" t="s">
        <v>10666</v>
      </c>
      <c r="L301" t="s">
        <v>5330</v>
      </c>
      <c r="S301" t="s">
        <v>44</v>
      </c>
      <c r="T301" t="s">
        <v>4</v>
      </c>
    </row>
    <row r="302" spans="1:20">
      <c r="A302" t="s">
        <v>3498</v>
      </c>
      <c r="B302" t="s">
        <v>3758</v>
      </c>
      <c r="C302" s="101">
        <v>15</v>
      </c>
      <c r="D302" t="s">
        <v>10667</v>
      </c>
      <c r="E302" t="s">
        <v>1370</v>
      </c>
      <c r="G302" t="s">
        <v>3399</v>
      </c>
      <c r="K302" t="s">
        <v>10668</v>
      </c>
      <c r="L302" t="s">
        <v>3768</v>
      </c>
      <c r="S302" t="s">
        <v>5719</v>
      </c>
      <c r="T302" t="s">
        <v>4</v>
      </c>
    </row>
    <row r="303" spans="1:20">
      <c r="A303" t="s">
        <v>3498</v>
      </c>
      <c r="B303" t="s">
        <v>3758</v>
      </c>
      <c r="C303" s="101">
        <v>16</v>
      </c>
      <c r="D303" t="s">
        <v>10669</v>
      </c>
      <c r="E303" t="s">
        <v>1370</v>
      </c>
      <c r="G303" t="s">
        <v>3399</v>
      </c>
      <c r="K303" t="s">
        <v>10670</v>
      </c>
      <c r="L303" t="s">
        <v>6410</v>
      </c>
      <c r="S303" t="s">
        <v>5381</v>
      </c>
      <c r="T303" t="s">
        <v>4</v>
      </c>
    </row>
    <row r="304" spans="1:20">
      <c r="A304" t="s">
        <v>3498</v>
      </c>
      <c r="B304" t="s">
        <v>3758</v>
      </c>
      <c r="C304" s="101">
        <v>17</v>
      </c>
      <c r="D304" t="s">
        <v>10671</v>
      </c>
      <c r="E304" t="s">
        <v>1370</v>
      </c>
      <c r="G304" t="s">
        <v>3399</v>
      </c>
      <c r="K304" t="s">
        <v>10672</v>
      </c>
      <c r="S304" t="s">
        <v>50</v>
      </c>
      <c r="T304" t="s">
        <v>4</v>
      </c>
    </row>
    <row r="305" spans="1:20">
      <c r="A305" t="s">
        <v>3498</v>
      </c>
      <c r="B305" t="s">
        <v>3758</v>
      </c>
      <c r="C305" s="101">
        <v>18</v>
      </c>
      <c r="D305" t="s">
        <v>10673</v>
      </c>
      <c r="E305" t="s">
        <v>1370</v>
      </c>
      <c r="G305" t="s">
        <v>3399</v>
      </c>
      <c r="K305" t="s">
        <v>10674</v>
      </c>
      <c r="S305" t="s">
        <v>173</v>
      </c>
      <c r="T305" t="s">
        <v>4</v>
      </c>
    </row>
    <row r="306" spans="1:20">
      <c r="A306" t="s">
        <v>3498</v>
      </c>
      <c r="B306" t="s">
        <v>3758</v>
      </c>
      <c r="C306" s="101">
        <v>19</v>
      </c>
      <c r="D306" t="s">
        <v>10675</v>
      </c>
      <c r="E306" t="s">
        <v>1370</v>
      </c>
      <c r="G306" t="s">
        <v>3399</v>
      </c>
      <c r="H306" t="s">
        <v>5180</v>
      </c>
      <c r="K306" t="s">
        <v>10676</v>
      </c>
      <c r="S306" t="s">
        <v>175</v>
      </c>
      <c r="T306" t="s">
        <v>4</v>
      </c>
    </row>
    <row r="307" spans="1:20">
      <c r="A307" t="s">
        <v>3498</v>
      </c>
      <c r="B307" t="s">
        <v>3758</v>
      </c>
      <c r="C307" s="101">
        <v>20</v>
      </c>
      <c r="D307" t="s">
        <v>10677</v>
      </c>
      <c r="E307" t="s">
        <v>1370</v>
      </c>
      <c r="G307" t="s">
        <v>3399</v>
      </c>
      <c r="K307" t="s">
        <v>10678</v>
      </c>
      <c r="S307" t="s">
        <v>182</v>
      </c>
      <c r="T307" t="s">
        <v>4</v>
      </c>
    </row>
    <row r="308" spans="1:20">
      <c r="A308" t="s">
        <v>3498</v>
      </c>
      <c r="B308" t="s">
        <v>3758</v>
      </c>
      <c r="C308" s="101">
        <v>21</v>
      </c>
      <c r="D308" t="s">
        <v>10679</v>
      </c>
      <c r="E308" t="s">
        <v>1370</v>
      </c>
      <c r="G308" t="s">
        <v>3399</v>
      </c>
      <c r="K308" t="s">
        <v>10680</v>
      </c>
      <c r="S308" t="s">
        <v>49</v>
      </c>
      <c r="T308" t="s">
        <v>4</v>
      </c>
    </row>
    <row r="309" spans="1:20">
      <c r="A309" t="s">
        <v>3498</v>
      </c>
      <c r="B309" t="s">
        <v>3758</v>
      </c>
      <c r="C309" s="101">
        <v>22</v>
      </c>
      <c r="D309" t="s">
        <v>10681</v>
      </c>
      <c r="E309" t="s">
        <v>1370</v>
      </c>
      <c r="G309" t="s">
        <v>3399</v>
      </c>
      <c r="K309" t="s">
        <v>10682</v>
      </c>
      <c r="S309" t="s">
        <v>5</v>
      </c>
      <c r="T309" t="s">
        <v>4</v>
      </c>
    </row>
    <row r="310" spans="1:20">
      <c r="A310" t="s">
        <v>3498</v>
      </c>
      <c r="B310" t="s">
        <v>3758</v>
      </c>
      <c r="C310" s="101">
        <v>23</v>
      </c>
      <c r="D310" t="s">
        <v>10683</v>
      </c>
      <c r="E310" t="s">
        <v>1372</v>
      </c>
      <c r="G310" t="s">
        <v>3399</v>
      </c>
      <c r="K310" t="s">
        <v>10684</v>
      </c>
      <c r="L310" t="s">
        <v>10420</v>
      </c>
      <c r="S310" t="s">
        <v>45</v>
      </c>
      <c r="T310" t="s">
        <v>4</v>
      </c>
    </row>
    <row r="311" spans="1:20">
      <c r="A311" t="s">
        <v>3498</v>
      </c>
      <c r="B311" t="s">
        <v>3758</v>
      </c>
      <c r="C311" s="101">
        <v>24</v>
      </c>
      <c r="D311" t="s">
        <v>10685</v>
      </c>
      <c r="E311" t="s">
        <v>1372</v>
      </c>
      <c r="G311" t="s">
        <v>3399</v>
      </c>
      <c r="K311" t="s">
        <v>10686</v>
      </c>
      <c r="S311" t="s">
        <v>180</v>
      </c>
      <c r="T311" t="s">
        <v>4</v>
      </c>
    </row>
    <row r="312" spans="1:20">
      <c r="A312" t="s">
        <v>3498</v>
      </c>
      <c r="B312" t="s">
        <v>3758</v>
      </c>
      <c r="C312" s="101">
        <v>25</v>
      </c>
      <c r="D312" t="s">
        <v>10687</v>
      </c>
      <c r="E312" t="s">
        <v>1372</v>
      </c>
      <c r="G312" t="s">
        <v>3399</v>
      </c>
      <c r="K312" t="s">
        <v>10688</v>
      </c>
      <c r="L312" t="s">
        <v>10563</v>
      </c>
      <c r="S312" t="s">
        <v>39</v>
      </c>
      <c r="T312" t="s">
        <v>4</v>
      </c>
    </row>
    <row r="313" spans="1:20">
      <c r="A313" t="s">
        <v>3498</v>
      </c>
      <c r="B313" t="s">
        <v>3758</v>
      </c>
      <c r="C313" s="101">
        <v>26</v>
      </c>
      <c r="D313" t="s">
        <v>10689</v>
      </c>
      <c r="E313" t="s">
        <v>1372</v>
      </c>
      <c r="G313" t="s">
        <v>3399</v>
      </c>
      <c r="K313" t="s">
        <v>10690</v>
      </c>
      <c r="S313" t="s">
        <v>169</v>
      </c>
      <c r="T313" t="s">
        <v>4</v>
      </c>
    </row>
    <row r="314" spans="1:20">
      <c r="A314" t="s">
        <v>3498</v>
      </c>
      <c r="B314" t="s">
        <v>3758</v>
      </c>
      <c r="C314" s="101">
        <v>27</v>
      </c>
      <c r="D314" t="s">
        <v>10691</v>
      </c>
      <c r="E314" t="s">
        <v>1464</v>
      </c>
      <c r="G314" t="s">
        <v>3399</v>
      </c>
      <c r="K314" t="s">
        <v>10692</v>
      </c>
      <c r="L314" t="s">
        <v>4240</v>
      </c>
      <c r="S314" t="s">
        <v>180</v>
      </c>
      <c r="T314" t="s">
        <v>4</v>
      </c>
    </row>
    <row r="315" spans="1:20">
      <c r="A315" t="s">
        <v>3498</v>
      </c>
      <c r="B315" t="s">
        <v>3758</v>
      </c>
      <c r="C315" s="101">
        <v>28</v>
      </c>
      <c r="D315" t="s">
        <v>5061</v>
      </c>
      <c r="E315" t="s">
        <v>1372</v>
      </c>
      <c r="G315" t="s">
        <v>3399</v>
      </c>
      <c r="K315" t="s">
        <v>5062</v>
      </c>
      <c r="S315" t="s">
        <v>177</v>
      </c>
      <c r="T315" t="s">
        <v>4</v>
      </c>
    </row>
    <row r="316" spans="1:20">
      <c r="A316" t="s">
        <v>3498</v>
      </c>
      <c r="B316" t="s">
        <v>3758</v>
      </c>
      <c r="C316" s="101">
        <v>29</v>
      </c>
      <c r="D316" t="s">
        <v>10693</v>
      </c>
      <c r="E316" t="s">
        <v>1372</v>
      </c>
      <c r="G316" t="s">
        <v>3399</v>
      </c>
      <c r="K316" t="s">
        <v>10694</v>
      </c>
      <c r="L316" t="s">
        <v>10695</v>
      </c>
      <c r="S316" t="s">
        <v>28</v>
      </c>
      <c r="T316" t="s">
        <v>4</v>
      </c>
    </row>
    <row r="317" spans="1:20">
      <c r="A317" t="s">
        <v>3498</v>
      </c>
      <c r="B317" t="s">
        <v>3758</v>
      </c>
      <c r="C317" s="101">
        <v>30</v>
      </c>
      <c r="D317" t="s">
        <v>10696</v>
      </c>
      <c r="E317" t="s">
        <v>1372</v>
      </c>
      <c r="G317" t="s">
        <v>3399</v>
      </c>
      <c r="K317" t="s">
        <v>10697</v>
      </c>
      <c r="S317" t="s">
        <v>175</v>
      </c>
      <c r="T317" t="s">
        <v>4</v>
      </c>
    </row>
    <row r="318" spans="1:20">
      <c r="A318" t="s">
        <v>3498</v>
      </c>
      <c r="B318" t="s">
        <v>3758</v>
      </c>
      <c r="C318" s="101">
        <v>31</v>
      </c>
      <c r="D318" t="s">
        <v>10698</v>
      </c>
      <c r="E318" t="s">
        <v>1372</v>
      </c>
      <c r="G318" t="s">
        <v>3399</v>
      </c>
      <c r="K318" t="s">
        <v>4113</v>
      </c>
      <c r="L318" t="s">
        <v>10699</v>
      </c>
      <c r="M318" t="s">
        <v>10700</v>
      </c>
      <c r="S318" t="s">
        <v>5281</v>
      </c>
      <c r="T318" t="s">
        <v>4</v>
      </c>
    </row>
    <row r="319" spans="1:20">
      <c r="A319" t="s">
        <v>3498</v>
      </c>
      <c r="B319" t="s">
        <v>3758</v>
      </c>
      <c r="C319" s="101">
        <v>32</v>
      </c>
      <c r="D319" t="s">
        <v>10701</v>
      </c>
      <c r="E319" t="s">
        <v>1372</v>
      </c>
      <c r="G319" t="s">
        <v>3399</v>
      </c>
      <c r="K319" t="s">
        <v>10702</v>
      </c>
      <c r="S319" t="s">
        <v>40</v>
      </c>
      <c r="T319" t="s">
        <v>4</v>
      </c>
    </row>
    <row r="320" spans="1:20">
      <c r="A320" t="s">
        <v>3498</v>
      </c>
      <c r="B320" t="s">
        <v>3758</v>
      </c>
      <c r="C320" s="101">
        <v>33</v>
      </c>
      <c r="D320" t="s">
        <v>10703</v>
      </c>
      <c r="E320" t="s">
        <v>1372</v>
      </c>
      <c r="G320" t="s">
        <v>3399</v>
      </c>
      <c r="K320" t="s">
        <v>10704</v>
      </c>
      <c r="S320" t="s">
        <v>8</v>
      </c>
      <c r="T320" t="s">
        <v>4</v>
      </c>
    </row>
    <row r="321" spans="1:20">
      <c r="A321" t="s">
        <v>3498</v>
      </c>
      <c r="B321" t="s">
        <v>3758</v>
      </c>
      <c r="C321" s="101">
        <v>34</v>
      </c>
      <c r="D321" t="s">
        <v>10705</v>
      </c>
      <c r="E321" t="s">
        <v>1372</v>
      </c>
      <c r="G321" t="s">
        <v>3399</v>
      </c>
      <c r="K321" t="s">
        <v>10706</v>
      </c>
      <c r="S321" t="s">
        <v>48</v>
      </c>
      <c r="T321" t="s">
        <v>4</v>
      </c>
    </row>
    <row r="322" spans="1:20">
      <c r="A322" t="s">
        <v>3498</v>
      </c>
      <c r="B322" t="s">
        <v>3758</v>
      </c>
      <c r="C322" s="101">
        <v>35</v>
      </c>
      <c r="D322" t="s">
        <v>10707</v>
      </c>
      <c r="E322" t="s">
        <v>1372</v>
      </c>
      <c r="G322" t="s">
        <v>3399</v>
      </c>
      <c r="K322" t="s">
        <v>10706</v>
      </c>
      <c r="S322" t="s">
        <v>181</v>
      </c>
      <c r="T322" t="s">
        <v>4</v>
      </c>
    </row>
    <row r="323" spans="1:20">
      <c r="A323" t="s">
        <v>3498</v>
      </c>
      <c r="B323" t="s">
        <v>3758</v>
      </c>
      <c r="C323" s="101">
        <v>36</v>
      </c>
      <c r="D323" t="s">
        <v>10708</v>
      </c>
      <c r="E323" t="s">
        <v>1372</v>
      </c>
      <c r="G323" t="s">
        <v>3399</v>
      </c>
      <c r="K323" t="s">
        <v>10709</v>
      </c>
      <c r="L323" t="s">
        <v>7432</v>
      </c>
      <c r="S323" t="s">
        <v>26</v>
      </c>
      <c r="T323" t="s">
        <v>4</v>
      </c>
    </row>
    <row r="324" spans="1:20">
      <c r="A324" t="s">
        <v>3498</v>
      </c>
      <c r="B324" t="s">
        <v>3758</v>
      </c>
      <c r="C324" s="101">
        <v>37</v>
      </c>
      <c r="D324" t="s">
        <v>10710</v>
      </c>
      <c r="E324" t="s">
        <v>1372</v>
      </c>
      <c r="G324" t="s">
        <v>3399</v>
      </c>
      <c r="K324" t="s">
        <v>10711</v>
      </c>
      <c r="S324" t="s">
        <v>171</v>
      </c>
      <c r="T324" t="s">
        <v>4</v>
      </c>
    </row>
    <row r="325" spans="1:20">
      <c r="A325" t="s">
        <v>3498</v>
      </c>
      <c r="B325" t="s">
        <v>3758</v>
      </c>
      <c r="C325" s="101">
        <v>38</v>
      </c>
      <c r="D325" t="s">
        <v>10712</v>
      </c>
      <c r="E325" t="s">
        <v>1372</v>
      </c>
      <c r="G325" t="s">
        <v>3399</v>
      </c>
      <c r="K325" t="s">
        <v>10713</v>
      </c>
      <c r="S325" t="s">
        <v>35</v>
      </c>
      <c r="T325" t="s">
        <v>4</v>
      </c>
    </row>
    <row r="326" spans="1:20">
      <c r="A326" t="s">
        <v>3498</v>
      </c>
      <c r="B326" t="s">
        <v>3758</v>
      </c>
      <c r="C326" s="101">
        <v>39</v>
      </c>
      <c r="D326" t="s">
        <v>10714</v>
      </c>
      <c r="E326" t="s">
        <v>1372</v>
      </c>
      <c r="G326" t="s">
        <v>3399</v>
      </c>
      <c r="K326" t="s">
        <v>10715</v>
      </c>
      <c r="S326" t="s">
        <v>170</v>
      </c>
      <c r="T326" t="s">
        <v>4</v>
      </c>
    </row>
    <row r="327" spans="1:20">
      <c r="A327" t="s">
        <v>3498</v>
      </c>
      <c r="B327" t="s">
        <v>3758</v>
      </c>
      <c r="C327" s="101">
        <v>40</v>
      </c>
      <c r="D327" t="s">
        <v>10716</v>
      </c>
      <c r="E327" t="s">
        <v>1372</v>
      </c>
      <c r="G327" t="s">
        <v>3399</v>
      </c>
      <c r="K327" t="s">
        <v>10717</v>
      </c>
      <c r="L327" t="s">
        <v>4240</v>
      </c>
      <c r="S327" t="s">
        <v>5685</v>
      </c>
      <c r="T327" t="s">
        <v>4</v>
      </c>
    </row>
    <row r="328" spans="1:20">
      <c r="A328" t="s">
        <v>3498</v>
      </c>
      <c r="B328" t="s">
        <v>3758</v>
      </c>
      <c r="C328" s="101">
        <v>41</v>
      </c>
      <c r="D328" t="s">
        <v>10718</v>
      </c>
      <c r="E328" t="s">
        <v>1372</v>
      </c>
      <c r="G328" t="s">
        <v>3399</v>
      </c>
      <c r="K328" t="s">
        <v>10719</v>
      </c>
      <c r="S328" t="s">
        <v>10720</v>
      </c>
      <c r="T328" t="s">
        <v>4</v>
      </c>
    </row>
    <row r="329" spans="1:20">
      <c r="A329" t="s">
        <v>3498</v>
      </c>
      <c r="B329" t="s">
        <v>3758</v>
      </c>
      <c r="C329" s="101">
        <v>42</v>
      </c>
      <c r="D329" t="s">
        <v>10721</v>
      </c>
      <c r="E329" t="s">
        <v>1372</v>
      </c>
      <c r="G329" t="s">
        <v>3399</v>
      </c>
      <c r="K329" t="s">
        <v>10722</v>
      </c>
      <c r="L329" t="s">
        <v>10655</v>
      </c>
      <c r="S329" t="s">
        <v>31</v>
      </c>
      <c r="T329" t="s">
        <v>4</v>
      </c>
    </row>
    <row r="330" spans="1:20">
      <c r="A330" t="s">
        <v>3498</v>
      </c>
      <c r="B330" t="s">
        <v>3758</v>
      </c>
      <c r="C330" s="101">
        <v>43</v>
      </c>
      <c r="D330" t="s">
        <v>10723</v>
      </c>
      <c r="E330" t="s">
        <v>1372</v>
      </c>
      <c r="G330" t="s">
        <v>3399</v>
      </c>
      <c r="K330" t="s">
        <v>10724</v>
      </c>
      <c r="S330" t="s">
        <v>37</v>
      </c>
      <c r="T330" t="s">
        <v>4</v>
      </c>
    </row>
    <row r="331" spans="1:20">
      <c r="A331" t="s">
        <v>3498</v>
      </c>
      <c r="B331" t="s">
        <v>3758</v>
      </c>
      <c r="C331" s="101">
        <v>44</v>
      </c>
      <c r="D331" t="s">
        <v>10725</v>
      </c>
      <c r="E331" t="s">
        <v>1372</v>
      </c>
      <c r="G331" t="s">
        <v>3399</v>
      </c>
      <c r="K331" t="s">
        <v>10686</v>
      </c>
      <c r="S331" t="s">
        <v>46</v>
      </c>
      <c r="T331" t="s">
        <v>4</v>
      </c>
    </row>
    <row r="332" spans="1:20">
      <c r="A332" t="s">
        <v>3498</v>
      </c>
      <c r="B332" t="s">
        <v>3758</v>
      </c>
      <c r="C332" s="101">
        <v>45</v>
      </c>
      <c r="D332" t="s">
        <v>10726</v>
      </c>
      <c r="E332" t="s">
        <v>1374</v>
      </c>
      <c r="G332" t="s">
        <v>3399</v>
      </c>
      <c r="K332" t="s">
        <v>10727</v>
      </c>
      <c r="S332" t="s">
        <v>605</v>
      </c>
      <c r="T332" t="s">
        <v>4</v>
      </c>
    </row>
    <row r="333" spans="1:20">
      <c r="A333" t="s">
        <v>3498</v>
      </c>
      <c r="B333" t="s">
        <v>3758</v>
      </c>
      <c r="C333" s="101">
        <v>46</v>
      </c>
      <c r="D333" t="s">
        <v>10728</v>
      </c>
      <c r="E333" t="s">
        <v>1374</v>
      </c>
      <c r="G333" t="s">
        <v>3399</v>
      </c>
      <c r="K333" t="s">
        <v>10729</v>
      </c>
      <c r="L333" t="s">
        <v>10730</v>
      </c>
      <c r="S333" t="s">
        <v>31</v>
      </c>
      <c r="T333" t="s">
        <v>4</v>
      </c>
    </row>
    <row r="334" spans="1:20">
      <c r="A334" t="s">
        <v>3498</v>
      </c>
      <c r="B334" t="s">
        <v>3758</v>
      </c>
      <c r="C334" s="101">
        <v>47</v>
      </c>
      <c r="D334" t="s">
        <v>10731</v>
      </c>
      <c r="E334" t="s">
        <v>1374</v>
      </c>
      <c r="G334" t="s">
        <v>3399</v>
      </c>
      <c r="K334" t="s">
        <v>9710</v>
      </c>
      <c r="S334" t="s">
        <v>171</v>
      </c>
      <c r="T334" t="s">
        <v>4</v>
      </c>
    </row>
    <row r="335" spans="1:20">
      <c r="A335" t="s">
        <v>3498</v>
      </c>
      <c r="B335" t="s">
        <v>3758</v>
      </c>
      <c r="C335" s="101">
        <v>48</v>
      </c>
      <c r="D335" t="s">
        <v>10732</v>
      </c>
      <c r="E335" t="s">
        <v>1374</v>
      </c>
      <c r="G335" t="s">
        <v>3399</v>
      </c>
      <c r="K335" t="s">
        <v>10733</v>
      </c>
      <c r="L335" t="s">
        <v>10734</v>
      </c>
      <c r="S335" t="s">
        <v>607</v>
      </c>
      <c r="T335" t="s">
        <v>4</v>
      </c>
    </row>
    <row r="336" spans="1:20">
      <c r="A336" t="s">
        <v>3498</v>
      </c>
      <c r="B336" t="s">
        <v>3758</v>
      </c>
      <c r="C336" s="101">
        <v>49</v>
      </c>
      <c r="D336" t="s">
        <v>10735</v>
      </c>
      <c r="E336" t="s">
        <v>1374</v>
      </c>
      <c r="G336" t="s">
        <v>3399</v>
      </c>
      <c r="K336" t="s">
        <v>7296</v>
      </c>
      <c r="L336" t="s">
        <v>10736</v>
      </c>
      <c r="S336" t="s">
        <v>28</v>
      </c>
      <c r="T336" t="s">
        <v>4</v>
      </c>
    </row>
    <row r="337" spans="1:20">
      <c r="A337" t="s">
        <v>3498</v>
      </c>
      <c r="B337" t="s">
        <v>3758</v>
      </c>
      <c r="C337" s="101">
        <v>50</v>
      </c>
      <c r="D337" t="s">
        <v>10737</v>
      </c>
      <c r="E337" t="s">
        <v>1374</v>
      </c>
      <c r="G337" t="s">
        <v>3399</v>
      </c>
      <c r="K337" t="s">
        <v>10738</v>
      </c>
      <c r="S337" t="s">
        <v>53</v>
      </c>
      <c r="T337" t="s">
        <v>4</v>
      </c>
    </row>
    <row r="338" spans="1:20">
      <c r="A338" t="s">
        <v>3498</v>
      </c>
      <c r="B338" t="s">
        <v>3758</v>
      </c>
      <c r="C338" s="101">
        <v>51</v>
      </c>
      <c r="D338" t="s">
        <v>5087</v>
      </c>
      <c r="E338" t="s">
        <v>1375</v>
      </c>
      <c r="G338" t="s">
        <v>3399</v>
      </c>
      <c r="K338" t="s">
        <v>5088</v>
      </c>
      <c r="S338" t="s">
        <v>30</v>
      </c>
      <c r="T338" t="s">
        <v>4</v>
      </c>
    </row>
    <row r="339" spans="1:20">
      <c r="A339" t="s">
        <v>3498</v>
      </c>
      <c r="B339" t="s">
        <v>3758</v>
      </c>
      <c r="C339" s="101">
        <v>52</v>
      </c>
      <c r="D339" t="s">
        <v>10739</v>
      </c>
      <c r="E339" t="s">
        <v>1374</v>
      </c>
      <c r="G339" t="s">
        <v>3399</v>
      </c>
      <c r="K339" t="s">
        <v>10740</v>
      </c>
      <c r="S339" t="s">
        <v>16</v>
      </c>
      <c r="T339" t="s">
        <v>4</v>
      </c>
    </row>
    <row r="340" spans="1:20">
      <c r="A340" t="s">
        <v>3498</v>
      </c>
      <c r="B340" t="s">
        <v>3758</v>
      </c>
      <c r="C340" s="101">
        <v>53</v>
      </c>
      <c r="D340" t="s">
        <v>10741</v>
      </c>
      <c r="E340" t="s">
        <v>1374</v>
      </c>
      <c r="G340" t="s">
        <v>3399</v>
      </c>
      <c r="K340" t="s">
        <v>10742</v>
      </c>
      <c r="S340" t="s">
        <v>182</v>
      </c>
      <c r="T340" t="s">
        <v>4</v>
      </c>
    </row>
    <row r="341" spans="1:20">
      <c r="A341" t="s">
        <v>3498</v>
      </c>
      <c r="B341" t="s">
        <v>3758</v>
      </c>
      <c r="C341" s="101">
        <v>54</v>
      </c>
      <c r="D341" t="s">
        <v>5079</v>
      </c>
      <c r="E341" t="s">
        <v>1375</v>
      </c>
      <c r="G341" t="s">
        <v>3399</v>
      </c>
      <c r="K341" t="s">
        <v>5080</v>
      </c>
      <c r="S341" t="s">
        <v>606</v>
      </c>
      <c r="T341" t="s">
        <v>4</v>
      </c>
    </row>
    <row r="342" spans="1:20">
      <c r="A342" t="s">
        <v>3498</v>
      </c>
      <c r="B342" t="s">
        <v>3758</v>
      </c>
      <c r="C342" s="101">
        <v>55</v>
      </c>
      <c r="D342" t="s">
        <v>10743</v>
      </c>
      <c r="E342" t="s">
        <v>1375</v>
      </c>
      <c r="G342" t="s">
        <v>3399</v>
      </c>
      <c r="K342" t="s">
        <v>10744</v>
      </c>
      <c r="L342" t="s">
        <v>10745</v>
      </c>
      <c r="S342" t="s">
        <v>30</v>
      </c>
      <c r="T342" t="s">
        <v>4</v>
      </c>
    </row>
    <row r="343" spans="1:20">
      <c r="A343" t="s">
        <v>3498</v>
      </c>
      <c r="B343" t="s">
        <v>3758</v>
      </c>
      <c r="C343" s="101">
        <v>56</v>
      </c>
      <c r="D343" t="s">
        <v>10746</v>
      </c>
      <c r="E343" t="s">
        <v>1374</v>
      </c>
      <c r="G343" t="s">
        <v>3399</v>
      </c>
      <c r="H343" t="s">
        <v>5180</v>
      </c>
      <c r="K343" t="s">
        <v>10747</v>
      </c>
      <c r="S343" t="s">
        <v>175</v>
      </c>
      <c r="T343" t="s">
        <v>4</v>
      </c>
    </row>
    <row r="344" spans="1:20">
      <c r="A344" t="s">
        <v>3498</v>
      </c>
      <c r="B344" t="s">
        <v>3758</v>
      </c>
      <c r="C344" s="101">
        <v>57</v>
      </c>
      <c r="D344" t="s">
        <v>10748</v>
      </c>
      <c r="E344" t="s">
        <v>1375</v>
      </c>
      <c r="G344" t="s">
        <v>3399</v>
      </c>
      <c r="K344" t="s">
        <v>10749</v>
      </c>
      <c r="S344" t="s">
        <v>40</v>
      </c>
      <c r="T344" t="s">
        <v>4</v>
      </c>
    </row>
    <row r="345" spans="1:20">
      <c r="A345" t="s">
        <v>3498</v>
      </c>
      <c r="B345" t="s">
        <v>3758</v>
      </c>
      <c r="C345" s="101">
        <v>58</v>
      </c>
      <c r="D345" t="s">
        <v>10750</v>
      </c>
      <c r="E345" t="s">
        <v>1374</v>
      </c>
      <c r="G345" t="s">
        <v>3399</v>
      </c>
      <c r="K345" t="s">
        <v>10751</v>
      </c>
      <c r="S345" t="s">
        <v>173</v>
      </c>
      <c r="T345" t="s">
        <v>4</v>
      </c>
    </row>
    <row r="346" spans="1:20">
      <c r="A346" t="s">
        <v>3498</v>
      </c>
      <c r="B346" t="s">
        <v>3758</v>
      </c>
      <c r="C346" s="101">
        <v>59</v>
      </c>
      <c r="D346" t="s">
        <v>10752</v>
      </c>
      <c r="E346" t="s">
        <v>1374</v>
      </c>
      <c r="G346" t="s">
        <v>3399</v>
      </c>
      <c r="K346" t="s">
        <v>10753</v>
      </c>
      <c r="S346" t="s">
        <v>8</v>
      </c>
      <c r="T346" t="s">
        <v>4</v>
      </c>
    </row>
    <row r="347" spans="1:20">
      <c r="A347" t="s">
        <v>3498</v>
      </c>
      <c r="B347" t="s">
        <v>3758</v>
      </c>
      <c r="C347" s="101">
        <v>60</v>
      </c>
      <c r="D347" t="s">
        <v>10754</v>
      </c>
      <c r="E347" t="s">
        <v>1374</v>
      </c>
      <c r="G347" t="s">
        <v>3399</v>
      </c>
      <c r="K347" t="s">
        <v>10755</v>
      </c>
      <c r="L347" t="s">
        <v>3768</v>
      </c>
      <c r="S347" t="s">
        <v>39</v>
      </c>
      <c r="T347" t="s">
        <v>4</v>
      </c>
    </row>
    <row r="348" spans="1:20">
      <c r="A348" t="s">
        <v>3498</v>
      </c>
      <c r="B348" t="s">
        <v>3758</v>
      </c>
      <c r="C348" s="101">
        <v>61</v>
      </c>
      <c r="D348" t="s">
        <v>10756</v>
      </c>
      <c r="E348" t="s">
        <v>1375</v>
      </c>
      <c r="G348" t="s">
        <v>3399</v>
      </c>
      <c r="K348" t="s">
        <v>10757</v>
      </c>
      <c r="S348" t="s">
        <v>45</v>
      </c>
      <c r="T348" t="s">
        <v>4</v>
      </c>
    </row>
    <row r="349" spans="1:20">
      <c r="A349" t="s">
        <v>3498</v>
      </c>
      <c r="B349" t="s">
        <v>3758</v>
      </c>
      <c r="C349" s="101">
        <v>62</v>
      </c>
      <c r="D349" t="s">
        <v>10758</v>
      </c>
      <c r="E349" t="s">
        <v>1375</v>
      </c>
      <c r="G349" t="s">
        <v>3399</v>
      </c>
      <c r="K349" t="s">
        <v>10759</v>
      </c>
      <c r="S349" t="s">
        <v>168</v>
      </c>
      <c r="T349" t="s">
        <v>4</v>
      </c>
    </row>
    <row r="350" spans="1:20">
      <c r="A350" t="s">
        <v>3498</v>
      </c>
      <c r="B350" t="s">
        <v>3758</v>
      </c>
      <c r="C350" s="101">
        <v>63</v>
      </c>
      <c r="D350" t="s">
        <v>4718</v>
      </c>
      <c r="E350" t="s">
        <v>1374</v>
      </c>
      <c r="G350" t="s">
        <v>3399</v>
      </c>
      <c r="K350" t="s">
        <v>10760</v>
      </c>
      <c r="S350" t="s">
        <v>52</v>
      </c>
      <c r="T350" t="s">
        <v>4</v>
      </c>
    </row>
    <row r="351" spans="1:20">
      <c r="A351" t="s">
        <v>3498</v>
      </c>
      <c r="B351" t="s">
        <v>3758</v>
      </c>
      <c r="C351" s="101">
        <v>64</v>
      </c>
      <c r="D351" t="s">
        <v>10761</v>
      </c>
      <c r="E351" t="s">
        <v>1374</v>
      </c>
      <c r="G351" t="s">
        <v>3399</v>
      </c>
      <c r="K351" t="s">
        <v>10762</v>
      </c>
      <c r="L351" t="s">
        <v>10763</v>
      </c>
      <c r="S351" t="s">
        <v>38</v>
      </c>
      <c r="T351" t="s">
        <v>4</v>
      </c>
    </row>
    <row r="352" spans="1:20">
      <c r="A352" t="s">
        <v>3498</v>
      </c>
      <c r="B352" t="s">
        <v>3758</v>
      </c>
      <c r="C352" s="101">
        <v>65</v>
      </c>
      <c r="D352" t="s">
        <v>10764</v>
      </c>
      <c r="E352" t="s">
        <v>1374</v>
      </c>
      <c r="G352" t="s">
        <v>3399</v>
      </c>
      <c r="K352" t="s">
        <v>10765</v>
      </c>
      <c r="S352" t="s">
        <v>39</v>
      </c>
      <c r="T352" t="s">
        <v>4</v>
      </c>
    </row>
    <row r="353" spans="1:20">
      <c r="A353" t="s">
        <v>3498</v>
      </c>
      <c r="B353" t="s">
        <v>3758</v>
      </c>
      <c r="C353" s="101">
        <v>66</v>
      </c>
      <c r="D353" t="s">
        <v>10766</v>
      </c>
      <c r="E353" t="s">
        <v>1374</v>
      </c>
      <c r="G353" t="s">
        <v>3399</v>
      </c>
      <c r="K353" t="s">
        <v>10767</v>
      </c>
      <c r="S353" t="s">
        <v>5685</v>
      </c>
      <c r="T353" t="s">
        <v>4</v>
      </c>
    </row>
    <row r="354" spans="1:20">
      <c r="A354" t="s">
        <v>3498</v>
      </c>
      <c r="B354" t="s">
        <v>3758</v>
      </c>
      <c r="C354" s="101">
        <v>67</v>
      </c>
      <c r="D354" t="s">
        <v>5091</v>
      </c>
      <c r="E354" t="s">
        <v>1374</v>
      </c>
      <c r="G354" t="s">
        <v>3399</v>
      </c>
      <c r="K354" t="s">
        <v>4113</v>
      </c>
      <c r="L354" t="s">
        <v>4369</v>
      </c>
      <c r="M354" t="s">
        <v>4506</v>
      </c>
      <c r="S354" t="s">
        <v>35</v>
      </c>
      <c r="T354" t="s">
        <v>4</v>
      </c>
    </row>
    <row r="355" spans="1:20">
      <c r="A355" t="s">
        <v>3498</v>
      </c>
      <c r="B355" t="s">
        <v>3758</v>
      </c>
      <c r="C355" s="101">
        <v>68</v>
      </c>
      <c r="D355" t="s">
        <v>10768</v>
      </c>
      <c r="E355" t="s">
        <v>1378</v>
      </c>
      <c r="G355" t="s">
        <v>3399</v>
      </c>
      <c r="K355" t="s">
        <v>10769</v>
      </c>
      <c r="S355" t="s">
        <v>14</v>
      </c>
      <c r="T355" t="s">
        <v>4</v>
      </c>
    </row>
    <row r="356" spans="1:20">
      <c r="A356" t="s">
        <v>3498</v>
      </c>
      <c r="B356" t="s">
        <v>3758</v>
      </c>
      <c r="C356" s="101">
        <v>69</v>
      </c>
      <c r="D356" t="s">
        <v>10770</v>
      </c>
      <c r="E356" t="s">
        <v>1378</v>
      </c>
      <c r="G356" t="s">
        <v>3399</v>
      </c>
      <c r="H356" t="s">
        <v>5180</v>
      </c>
      <c r="K356" t="s">
        <v>10771</v>
      </c>
      <c r="S356" t="s">
        <v>179</v>
      </c>
      <c r="T356" t="s">
        <v>4</v>
      </c>
    </row>
    <row r="357" spans="1:20">
      <c r="A357" t="s">
        <v>3498</v>
      </c>
      <c r="B357" t="s">
        <v>3758</v>
      </c>
      <c r="C357" s="101">
        <v>70</v>
      </c>
      <c r="D357" t="s">
        <v>10772</v>
      </c>
      <c r="E357" t="s">
        <v>1378</v>
      </c>
      <c r="G357" t="s">
        <v>3399</v>
      </c>
      <c r="K357" t="s">
        <v>10773</v>
      </c>
      <c r="L357" t="s">
        <v>4195</v>
      </c>
      <c r="S357" t="s">
        <v>3747</v>
      </c>
      <c r="T357" t="s">
        <v>4</v>
      </c>
    </row>
    <row r="358" spans="1:20">
      <c r="A358" t="s">
        <v>3498</v>
      </c>
      <c r="B358" t="s">
        <v>3758</v>
      </c>
      <c r="C358" s="101">
        <v>71</v>
      </c>
      <c r="D358" t="s">
        <v>10774</v>
      </c>
      <c r="E358" t="s">
        <v>1378</v>
      </c>
      <c r="G358" t="s">
        <v>3399</v>
      </c>
      <c r="K358" t="s">
        <v>10775</v>
      </c>
      <c r="S358" t="s">
        <v>6</v>
      </c>
      <c r="T358" t="s">
        <v>4</v>
      </c>
    </row>
    <row r="359" spans="1:20">
      <c r="A359" t="s">
        <v>3498</v>
      </c>
      <c r="B359" t="s">
        <v>3758</v>
      </c>
      <c r="C359" s="101">
        <v>72</v>
      </c>
      <c r="D359" t="s">
        <v>5103</v>
      </c>
      <c r="E359" t="s">
        <v>1379</v>
      </c>
      <c r="G359" t="s">
        <v>3399</v>
      </c>
      <c r="K359" t="s">
        <v>3749</v>
      </c>
      <c r="L359" t="s">
        <v>5104</v>
      </c>
      <c r="S359" t="s">
        <v>49</v>
      </c>
      <c r="T359" t="s">
        <v>4</v>
      </c>
    </row>
    <row r="360" spans="1:20">
      <c r="A360" t="s">
        <v>3498</v>
      </c>
      <c r="B360" t="s">
        <v>3758</v>
      </c>
      <c r="C360" s="101">
        <v>73</v>
      </c>
      <c r="D360" t="s">
        <v>10776</v>
      </c>
      <c r="E360" t="s">
        <v>1378</v>
      </c>
      <c r="G360" t="s">
        <v>3399</v>
      </c>
      <c r="K360" t="s">
        <v>10777</v>
      </c>
      <c r="S360" t="s">
        <v>18</v>
      </c>
      <c r="T360" t="s">
        <v>4</v>
      </c>
    </row>
    <row r="361" spans="1:20">
      <c r="A361" t="s">
        <v>3498</v>
      </c>
      <c r="B361" t="s">
        <v>3758</v>
      </c>
      <c r="C361" s="101">
        <v>74</v>
      </c>
      <c r="D361" t="s">
        <v>10778</v>
      </c>
      <c r="E361" t="s">
        <v>1378</v>
      </c>
      <c r="G361" t="s">
        <v>3399</v>
      </c>
      <c r="K361" t="s">
        <v>10779</v>
      </c>
      <c r="S361" t="s">
        <v>32</v>
      </c>
      <c r="T361" t="s">
        <v>4</v>
      </c>
    </row>
    <row r="362" spans="1:20">
      <c r="A362" t="s">
        <v>3498</v>
      </c>
      <c r="B362" t="s">
        <v>3758</v>
      </c>
      <c r="C362" s="101">
        <v>75</v>
      </c>
      <c r="D362" t="s">
        <v>5094</v>
      </c>
      <c r="E362" t="s">
        <v>1378</v>
      </c>
      <c r="G362" t="s">
        <v>3399</v>
      </c>
      <c r="K362" t="s">
        <v>3749</v>
      </c>
      <c r="L362" t="s">
        <v>4953</v>
      </c>
      <c r="S362" t="s">
        <v>17</v>
      </c>
      <c r="T362" t="s">
        <v>4</v>
      </c>
    </row>
    <row r="363" spans="1:20">
      <c r="A363" t="s">
        <v>3498</v>
      </c>
      <c r="B363" t="s">
        <v>3758</v>
      </c>
      <c r="C363" s="101">
        <v>76</v>
      </c>
      <c r="D363" t="s">
        <v>3748</v>
      </c>
      <c r="E363" t="s">
        <v>1378</v>
      </c>
      <c r="G363" t="s">
        <v>3399</v>
      </c>
      <c r="K363" t="s">
        <v>3749</v>
      </c>
      <c r="S363" t="s">
        <v>30</v>
      </c>
      <c r="T363" t="s">
        <v>4</v>
      </c>
    </row>
    <row r="364" spans="1:20">
      <c r="A364" t="s">
        <v>3498</v>
      </c>
      <c r="B364" t="s">
        <v>3758</v>
      </c>
      <c r="C364" s="101">
        <v>77</v>
      </c>
      <c r="D364" t="s">
        <v>10780</v>
      </c>
      <c r="E364" t="s">
        <v>1378</v>
      </c>
      <c r="G364" t="s">
        <v>3399</v>
      </c>
      <c r="K364" t="s">
        <v>10781</v>
      </c>
      <c r="S364" t="s">
        <v>3119</v>
      </c>
      <c r="T364" t="s">
        <v>4</v>
      </c>
    </row>
    <row r="365" spans="1:20">
      <c r="A365" t="s">
        <v>3498</v>
      </c>
      <c r="B365" t="s">
        <v>3758</v>
      </c>
      <c r="C365" s="101">
        <v>78</v>
      </c>
      <c r="D365" t="s">
        <v>10782</v>
      </c>
      <c r="E365" t="s">
        <v>1378</v>
      </c>
      <c r="G365" t="s">
        <v>3399</v>
      </c>
      <c r="K365" t="s">
        <v>10783</v>
      </c>
      <c r="S365" t="s">
        <v>44</v>
      </c>
      <c r="T365" t="s">
        <v>4</v>
      </c>
    </row>
    <row r="366" spans="1:20">
      <c r="A366" t="s">
        <v>3498</v>
      </c>
      <c r="B366" t="s">
        <v>3758</v>
      </c>
      <c r="C366" s="101">
        <v>79</v>
      </c>
      <c r="D366" t="s">
        <v>10784</v>
      </c>
      <c r="E366" t="s">
        <v>1379</v>
      </c>
      <c r="G366" t="s">
        <v>3399</v>
      </c>
      <c r="K366" t="s">
        <v>10785</v>
      </c>
      <c r="S366" t="s">
        <v>8</v>
      </c>
      <c r="T366" t="s">
        <v>4</v>
      </c>
    </row>
    <row r="367" spans="1:20">
      <c r="A367" t="s">
        <v>3498</v>
      </c>
      <c r="B367" t="s">
        <v>3758</v>
      </c>
      <c r="C367" s="101">
        <v>80</v>
      </c>
      <c r="D367" t="s">
        <v>10786</v>
      </c>
      <c r="E367" t="s">
        <v>1379</v>
      </c>
      <c r="G367" t="s">
        <v>3399</v>
      </c>
      <c r="K367" t="s">
        <v>10787</v>
      </c>
      <c r="S367" t="s">
        <v>50</v>
      </c>
      <c r="T367" t="s">
        <v>4</v>
      </c>
    </row>
    <row r="368" spans="1:20">
      <c r="A368" t="s">
        <v>3498</v>
      </c>
      <c r="B368" t="s">
        <v>3758</v>
      </c>
      <c r="C368" s="101">
        <v>81</v>
      </c>
      <c r="D368" t="s">
        <v>5095</v>
      </c>
      <c r="E368" t="s">
        <v>1378</v>
      </c>
      <c r="G368" t="s">
        <v>3399</v>
      </c>
      <c r="K368" t="s">
        <v>5096</v>
      </c>
      <c r="S368" t="s">
        <v>46</v>
      </c>
      <c r="T368" t="s">
        <v>4</v>
      </c>
    </row>
    <row r="369" spans="1:20">
      <c r="A369" t="s">
        <v>3498</v>
      </c>
      <c r="B369" t="s">
        <v>3758</v>
      </c>
      <c r="C369" s="101">
        <v>82</v>
      </c>
      <c r="D369" t="s">
        <v>10788</v>
      </c>
      <c r="E369" t="s">
        <v>1378</v>
      </c>
      <c r="G369" t="s">
        <v>3399</v>
      </c>
      <c r="K369" t="s">
        <v>10706</v>
      </c>
      <c r="L369" t="s">
        <v>10789</v>
      </c>
      <c r="S369" t="s">
        <v>31</v>
      </c>
      <c r="T369" t="s">
        <v>4</v>
      </c>
    </row>
    <row r="370" spans="1:20">
      <c r="A370" t="s">
        <v>3498</v>
      </c>
      <c r="B370" t="s">
        <v>3758</v>
      </c>
      <c r="C370" s="101">
        <v>83</v>
      </c>
      <c r="D370" t="s">
        <v>10790</v>
      </c>
      <c r="E370" t="s">
        <v>1378</v>
      </c>
      <c r="G370" t="s">
        <v>3399</v>
      </c>
      <c r="K370" t="s">
        <v>10791</v>
      </c>
      <c r="S370" t="s">
        <v>48</v>
      </c>
      <c r="T370" t="s">
        <v>4</v>
      </c>
    </row>
    <row r="371" spans="1:20">
      <c r="A371" t="s">
        <v>3498</v>
      </c>
      <c r="B371" t="s">
        <v>3758</v>
      </c>
      <c r="C371" s="101">
        <v>84</v>
      </c>
      <c r="D371" t="s">
        <v>10792</v>
      </c>
      <c r="E371" t="s">
        <v>1378</v>
      </c>
      <c r="G371" t="s">
        <v>3447</v>
      </c>
      <c r="H371" t="s">
        <v>5672</v>
      </c>
      <c r="K371" t="s">
        <v>10793</v>
      </c>
      <c r="S371" t="s">
        <v>5281</v>
      </c>
      <c r="T371" t="s">
        <v>4</v>
      </c>
    </row>
    <row r="372" spans="1:20">
      <c r="A372" t="s">
        <v>3498</v>
      </c>
      <c r="B372" t="s">
        <v>3758</v>
      </c>
      <c r="C372" s="101">
        <v>85</v>
      </c>
      <c r="D372" t="s">
        <v>10794</v>
      </c>
      <c r="E372" t="s">
        <v>1378</v>
      </c>
      <c r="G372" t="s">
        <v>3399</v>
      </c>
      <c r="K372" t="s">
        <v>9710</v>
      </c>
      <c r="S372" t="s">
        <v>181</v>
      </c>
      <c r="T372" t="s">
        <v>4</v>
      </c>
    </row>
    <row r="373" spans="1:20">
      <c r="A373" t="s">
        <v>3498</v>
      </c>
      <c r="B373" t="s">
        <v>3758</v>
      </c>
      <c r="C373" s="101">
        <v>86</v>
      </c>
      <c r="D373" t="s">
        <v>5097</v>
      </c>
      <c r="E373" t="s">
        <v>5098</v>
      </c>
      <c r="G373" t="s">
        <v>3399</v>
      </c>
      <c r="K373" t="s">
        <v>5099</v>
      </c>
      <c r="L373" t="s">
        <v>5100</v>
      </c>
      <c r="S373" t="s">
        <v>606</v>
      </c>
      <c r="T373" t="s">
        <v>4</v>
      </c>
    </row>
    <row r="374" spans="1:20">
      <c r="A374" t="s">
        <v>3498</v>
      </c>
      <c r="B374" t="s">
        <v>3758</v>
      </c>
      <c r="C374" s="101">
        <v>87</v>
      </c>
      <c r="D374" t="s">
        <v>10795</v>
      </c>
      <c r="E374" t="s">
        <v>1378</v>
      </c>
      <c r="G374" t="s">
        <v>3399</v>
      </c>
      <c r="K374" t="s">
        <v>10796</v>
      </c>
      <c r="S374" t="s">
        <v>35</v>
      </c>
      <c r="T374" t="s">
        <v>4</v>
      </c>
    </row>
    <row r="375" spans="1:20">
      <c r="A375" t="s">
        <v>3498</v>
      </c>
      <c r="B375" t="s">
        <v>3758</v>
      </c>
      <c r="C375" s="101">
        <v>88</v>
      </c>
      <c r="D375" t="s">
        <v>10797</v>
      </c>
      <c r="E375" t="s">
        <v>1379</v>
      </c>
      <c r="G375" t="s">
        <v>3399</v>
      </c>
      <c r="K375" t="s">
        <v>10798</v>
      </c>
      <c r="S375" t="s">
        <v>29</v>
      </c>
      <c r="T375" t="s">
        <v>4</v>
      </c>
    </row>
    <row r="376" spans="1:20">
      <c r="A376" t="s">
        <v>3498</v>
      </c>
      <c r="B376" t="s">
        <v>3758</v>
      </c>
      <c r="C376" s="101">
        <v>89</v>
      </c>
      <c r="D376" t="s">
        <v>10799</v>
      </c>
      <c r="E376" t="s">
        <v>1379</v>
      </c>
      <c r="G376" t="s">
        <v>3399</v>
      </c>
      <c r="K376" t="s">
        <v>10800</v>
      </c>
      <c r="S376" t="s">
        <v>604</v>
      </c>
      <c r="T376" t="s">
        <v>4</v>
      </c>
    </row>
    <row r="377" spans="1:20">
      <c r="A377" t="s">
        <v>3498</v>
      </c>
      <c r="B377" t="s">
        <v>3758</v>
      </c>
      <c r="C377" s="101">
        <v>90</v>
      </c>
      <c r="D377" t="s">
        <v>10801</v>
      </c>
      <c r="E377" t="s">
        <v>1378</v>
      </c>
      <c r="G377" t="s">
        <v>3399</v>
      </c>
      <c r="K377" t="s">
        <v>10802</v>
      </c>
      <c r="S377" t="s">
        <v>5719</v>
      </c>
      <c r="T377" t="s">
        <v>4</v>
      </c>
    </row>
    <row r="378" spans="1:20">
      <c r="A378" t="s">
        <v>3498</v>
      </c>
      <c r="B378" t="s">
        <v>3758</v>
      </c>
      <c r="C378" s="101">
        <v>91</v>
      </c>
      <c r="D378" t="s">
        <v>10803</v>
      </c>
      <c r="E378" t="s">
        <v>1378</v>
      </c>
      <c r="G378" t="s">
        <v>3399</v>
      </c>
      <c r="K378" t="s">
        <v>10804</v>
      </c>
      <c r="S378" t="s">
        <v>179</v>
      </c>
      <c r="T378" t="s">
        <v>4</v>
      </c>
    </row>
    <row r="379" spans="1:20">
      <c r="A379" t="s">
        <v>3498</v>
      </c>
      <c r="B379" t="s">
        <v>3758</v>
      </c>
      <c r="C379" s="101">
        <v>92</v>
      </c>
      <c r="D379" t="s">
        <v>10805</v>
      </c>
      <c r="E379" t="s">
        <v>1378</v>
      </c>
      <c r="G379" t="s">
        <v>3399</v>
      </c>
      <c r="K379" t="s">
        <v>10806</v>
      </c>
      <c r="S379" t="s">
        <v>3747</v>
      </c>
      <c r="T379" t="s">
        <v>4</v>
      </c>
    </row>
    <row r="380" spans="1:20">
      <c r="A380" t="s">
        <v>3498</v>
      </c>
      <c r="B380" t="s">
        <v>3758</v>
      </c>
      <c r="C380" s="101">
        <v>93</v>
      </c>
      <c r="D380" t="s">
        <v>10807</v>
      </c>
      <c r="E380" t="s">
        <v>1378</v>
      </c>
      <c r="G380" t="s">
        <v>3399</v>
      </c>
      <c r="K380" t="s">
        <v>10808</v>
      </c>
      <c r="S380" t="s">
        <v>170</v>
      </c>
      <c r="T380" t="s">
        <v>4</v>
      </c>
    </row>
    <row r="381" spans="1:20">
      <c r="A381" t="s">
        <v>3498</v>
      </c>
      <c r="B381" t="s">
        <v>3758</v>
      </c>
      <c r="C381" s="101">
        <v>94</v>
      </c>
      <c r="D381" t="s">
        <v>10809</v>
      </c>
      <c r="E381" t="s">
        <v>1381</v>
      </c>
      <c r="G381" t="s">
        <v>3399</v>
      </c>
      <c r="K381" t="s">
        <v>10810</v>
      </c>
      <c r="S381" t="s">
        <v>607</v>
      </c>
      <c r="T381" t="s">
        <v>4</v>
      </c>
    </row>
    <row r="382" spans="1:20">
      <c r="A382" t="s">
        <v>3498</v>
      </c>
      <c r="B382" t="s">
        <v>3758</v>
      </c>
      <c r="C382" s="101">
        <v>95</v>
      </c>
      <c r="D382" t="s">
        <v>10811</v>
      </c>
      <c r="E382" t="s">
        <v>1381</v>
      </c>
      <c r="G382" t="s">
        <v>3399</v>
      </c>
      <c r="K382" t="s">
        <v>10812</v>
      </c>
      <c r="L382" t="s">
        <v>10813</v>
      </c>
      <c r="S382" t="s">
        <v>37</v>
      </c>
      <c r="T382" t="s">
        <v>4</v>
      </c>
    </row>
    <row r="383" spans="1:20">
      <c r="A383" t="s">
        <v>3498</v>
      </c>
      <c r="B383" t="s">
        <v>3758</v>
      </c>
      <c r="C383" s="101">
        <v>96</v>
      </c>
      <c r="D383" t="s">
        <v>10814</v>
      </c>
      <c r="E383" t="s">
        <v>1381</v>
      </c>
      <c r="G383" t="s">
        <v>3399</v>
      </c>
      <c r="K383" t="s">
        <v>4113</v>
      </c>
      <c r="L383" t="s">
        <v>10815</v>
      </c>
      <c r="M383" t="s">
        <v>4369</v>
      </c>
      <c r="S383" t="s">
        <v>5719</v>
      </c>
      <c r="T383" t="s">
        <v>4</v>
      </c>
    </row>
    <row r="384" spans="1:20">
      <c r="A384" t="s">
        <v>3498</v>
      </c>
      <c r="B384" t="s">
        <v>3758</v>
      </c>
      <c r="C384" s="101">
        <v>97</v>
      </c>
      <c r="D384" t="s">
        <v>10816</v>
      </c>
      <c r="E384" t="s">
        <v>1381</v>
      </c>
      <c r="G384" t="s">
        <v>3399</v>
      </c>
      <c r="K384" t="s">
        <v>10817</v>
      </c>
      <c r="S384" t="s">
        <v>5685</v>
      </c>
      <c r="T384" t="s">
        <v>4</v>
      </c>
    </row>
    <row r="385" spans="1:20">
      <c r="A385" t="s">
        <v>3498</v>
      </c>
      <c r="B385" t="s">
        <v>3758</v>
      </c>
      <c r="C385" s="101">
        <v>98</v>
      </c>
      <c r="D385" t="s">
        <v>10818</v>
      </c>
      <c r="E385" t="s">
        <v>1385</v>
      </c>
      <c r="G385" t="s">
        <v>3399</v>
      </c>
      <c r="K385" t="s">
        <v>10819</v>
      </c>
      <c r="L385" t="s">
        <v>10820</v>
      </c>
      <c r="S385" t="s">
        <v>38</v>
      </c>
      <c r="T385" t="s">
        <v>4</v>
      </c>
    </row>
    <row r="386" spans="1:20">
      <c r="A386" t="s">
        <v>3498</v>
      </c>
      <c r="B386" t="s">
        <v>3758</v>
      </c>
      <c r="C386" s="101">
        <v>99</v>
      </c>
      <c r="D386" t="s">
        <v>10821</v>
      </c>
      <c r="E386" t="s">
        <v>1381</v>
      </c>
      <c r="G386" t="s">
        <v>3399</v>
      </c>
      <c r="K386" t="s">
        <v>10822</v>
      </c>
      <c r="L386" t="s">
        <v>10823</v>
      </c>
      <c r="S386" t="s">
        <v>39</v>
      </c>
      <c r="T386" t="s">
        <v>4</v>
      </c>
    </row>
    <row r="387" spans="1:20">
      <c r="A387" t="s">
        <v>3498</v>
      </c>
      <c r="B387" t="s">
        <v>3758</v>
      </c>
      <c r="C387" s="101">
        <v>100</v>
      </c>
      <c r="D387" t="s">
        <v>10824</v>
      </c>
      <c r="E387" t="s">
        <v>1385</v>
      </c>
      <c r="G387" t="s">
        <v>3399</v>
      </c>
      <c r="K387" t="s">
        <v>10825</v>
      </c>
      <c r="S387" t="s">
        <v>181</v>
      </c>
      <c r="T387" t="s">
        <v>4</v>
      </c>
    </row>
    <row r="388" spans="1:20">
      <c r="A388" t="s">
        <v>3498</v>
      </c>
      <c r="B388" t="s">
        <v>3758</v>
      </c>
      <c r="C388" s="101">
        <v>101</v>
      </c>
      <c r="D388" t="s">
        <v>10826</v>
      </c>
      <c r="E388" t="s">
        <v>1381</v>
      </c>
      <c r="G388" t="s">
        <v>3399</v>
      </c>
      <c r="K388" t="s">
        <v>10827</v>
      </c>
      <c r="S388" t="s">
        <v>6</v>
      </c>
      <c r="T388" t="s">
        <v>4</v>
      </c>
    </row>
    <row r="389" spans="1:20">
      <c r="A389" t="s">
        <v>3498</v>
      </c>
      <c r="B389" t="s">
        <v>3758</v>
      </c>
      <c r="C389" s="101">
        <v>102</v>
      </c>
      <c r="D389" t="s">
        <v>10828</v>
      </c>
      <c r="E389" t="s">
        <v>1385</v>
      </c>
      <c r="G389" t="s">
        <v>3399</v>
      </c>
      <c r="K389" t="s">
        <v>10829</v>
      </c>
      <c r="S389" t="s">
        <v>605</v>
      </c>
      <c r="T389" t="s">
        <v>4</v>
      </c>
    </row>
    <row r="390" spans="1:20">
      <c r="A390" t="s">
        <v>3498</v>
      </c>
      <c r="B390" t="s">
        <v>3758</v>
      </c>
      <c r="C390" s="101">
        <v>103</v>
      </c>
      <c r="D390" t="s">
        <v>5109</v>
      </c>
      <c r="E390" t="s">
        <v>1381</v>
      </c>
      <c r="G390" t="s">
        <v>3399</v>
      </c>
      <c r="K390" t="s">
        <v>3749</v>
      </c>
      <c r="L390" t="s">
        <v>5110</v>
      </c>
      <c r="S390" t="s">
        <v>31</v>
      </c>
      <c r="T390" t="s">
        <v>4</v>
      </c>
    </row>
    <row r="391" spans="1:20">
      <c r="A391" t="s">
        <v>3498</v>
      </c>
      <c r="B391" t="s">
        <v>3758</v>
      </c>
      <c r="C391" s="101">
        <v>104</v>
      </c>
      <c r="D391" t="s">
        <v>10830</v>
      </c>
      <c r="E391" t="s">
        <v>1381</v>
      </c>
      <c r="G391" t="s">
        <v>3399</v>
      </c>
      <c r="K391" t="s">
        <v>10831</v>
      </c>
      <c r="S391" t="s">
        <v>27</v>
      </c>
      <c r="T391" t="s">
        <v>4</v>
      </c>
    </row>
    <row r="392" spans="1:20">
      <c r="A392" t="s">
        <v>3498</v>
      </c>
      <c r="B392" t="s">
        <v>3758</v>
      </c>
      <c r="C392" s="101">
        <v>105</v>
      </c>
      <c r="D392" t="s">
        <v>5117</v>
      </c>
      <c r="E392" t="s">
        <v>1381</v>
      </c>
      <c r="G392" t="s">
        <v>3399</v>
      </c>
      <c r="K392" t="s">
        <v>3749</v>
      </c>
      <c r="L392" t="s">
        <v>4953</v>
      </c>
      <c r="S392" t="s">
        <v>15</v>
      </c>
      <c r="T392" t="s">
        <v>4</v>
      </c>
    </row>
    <row r="393" spans="1:20">
      <c r="A393" t="s">
        <v>3498</v>
      </c>
      <c r="B393" t="s">
        <v>3758</v>
      </c>
      <c r="C393" s="101">
        <v>106</v>
      </c>
      <c r="D393" t="s">
        <v>10832</v>
      </c>
      <c r="E393" t="s">
        <v>1381</v>
      </c>
      <c r="G393" t="s">
        <v>3399</v>
      </c>
      <c r="K393" t="s">
        <v>10833</v>
      </c>
      <c r="S393" t="s">
        <v>173</v>
      </c>
      <c r="T393" t="s">
        <v>4</v>
      </c>
    </row>
    <row r="394" spans="1:20">
      <c r="A394" t="s">
        <v>3498</v>
      </c>
      <c r="B394" t="s">
        <v>3758</v>
      </c>
      <c r="C394" s="101">
        <v>107</v>
      </c>
      <c r="D394" t="s">
        <v>5105</v>
      </c>
      <c r="E394" t="s">
        <v>1381</v>
      </c>
      <c r="G394" t="s">
        <v>3399</v>
      </c>
      <c r="K394" t="s">
        <v>5106</v>
      </c>
      <c r="S394" t="s">
        <v>606</v>
      </c>
      <c r="T394" t="s">
        <v>4</v>
      </c>
    </row>
    <row r="395" spans="1:20">
      <c r="A395" t="s">
        <v>3498</v>
      </c>
      <c r="B395" t="s">
        <v>3758</v>
      </c>
      <c r="C395" s="101">
        <v>108</v>
      </c>
      <c r="D395" t="s">
        <v>5118</v>
      </c>
      <c r="E395" t="s">
        <v>1385</v>
      </c>
      <c r="G395" t="s">
        <v>3399</v>
      </c>
      <c r="K395" t="s">
        <v>4277</v>
      </c>
      <c r="L395" t="s">
        <v>4369</v>
      </c>
      <c r="M395" t="s">
        <v>5119</v>
      </c>
      <c r="S395" t="s">
        <v>170</v>
      </c>
      <c r="T395" t="s">
        <v>4</v>
      </c>
    </row>
    <row r="396" spans="1:20">
      <c r="A396" t="s">
        <v>3498</v>
      </c>
      <c r="B396" t="s">
        <v>3758</v>
      </c>
      <c r="C396" s="101">
        <v>109</v>
      </c>
      <c r="D396" t="s">
        <v>4721</v>
      </c>
      <c r="E396" t="s">
        <v>1381</v>
      </c>
      <c r="G396" t="s">
        <v>3399</v>
      </c>
      <c r="K396" t="s">
        <v>4722</v>
      </c>
      <c r="S396" t="s">
        <v>44</v>
      </c>
      <c r="T396" t="s">
        <v>4</v>
      </c>
    </row>
    <row r="397" spans="1:20">
      <c r="A397" t="s">
        <v>3498</v>
      </c>
      <c r="B397" t="s">
        <v>3758</v>
      </c>
      <c r="C397" s="101">
        <v>110</v>
      </c>
      <c r="D397" t="s">
        <v>10834</v>
      </c>
      <c r="E397" t="s">
        <v>1381</v>
      </c>
      <c r="G397" t="s">
        <v>3399</v>
      </c>
      <c r="K397" t="s">
        <v>10835</v>
      </c>
      <c r="S397" t="s">
        <v>53</v>
      </c>
      <c r="T397" t="s">
        <v>4</v>
      </c>
    </row>
    <row r="398" spans="1:20">
      <c r="A398" t="s">
        <v>3498</v>
      </c>
      <c r="B398" t="s">
        <v>3758</v>
      </c>
      <c r="C398" s="101">
        <v>111</v>
      </c>
      <c r="D398" t="s">
        <v>10836</v>
      </c>
      <c r="E398" t="s">
        <v>1381</v>
      </c>
      <c r="G398" t="s">
        <v>3399</v>
      </c>
      <c r="K398" t="s">
        <v>10837</v>
      </c>
      <c r="S398" t="s">
        <v>46</v>
      </c>
      <c r="T398" t="s">
        <v>4</v>
      </c>
    </row>
    <row r="399" spans="1:20">
      <c r="A399" t="s">
        <v>3498</v>
      </c>
      <c r="B399" t="s">
        <v>3758</v>
      </c>
      <c r="C399" s="101">
        <v>112</v>
      </c>
      <c r="D399" t="s">
        <v>5116</v>
      </c>
      <c r="E399" t="s">
        <v>1381</v>
      </c>
      <c r="G399" t="s">
        <v>3399</v>
      </c>
      <c r="K399" t="s">
        <v>4277</v>
      </c>
      <c r="L399" t="s">
        <v>4369</v>
      </c>
      <c r="M399" t="s">
        <v>5041</v>
      </c>
      <c r="S399" t="s">
        <v>32</v>
      </c>
      <c r="T399" t="s">
        <v>4</v>
      </c>
    </row>
    <row r="400" spans="1:20">
      <c r="A400" t="s">
        <v>3498</v>
      </c>
      <c r="B400" t="s">
        <v>3758</v>
      </c>
      <c r="C400" s="101">
        <v>113</v>
      </c>
      <c r="D400" t="s">
        <v>10838</v>
      </c>
      <c r="E400" t="s">
        <v>1385</v>
      </c>
      <c r="G400" t="s">
        <v>3447</v>
      </c>
      <c r="H400" t="s">
        <v>13391</v>
      </c>
      <c r="K400" t="s">
        <v>4113</v>
      </c>
      <c r="L400" t="s">
        <v>10839</v>
      </c>
      <c r="M400" t="s">
        <v>10840</v>
      </c>
      <c r="S400" t="s">
        <v>5281</v>
      </c>
      <c r="T400" t="s">
        <v>4</v>
      </c>
    </row>
    <row r="401" spans="1:20">
      <c r="A401" t="s">
        <v>3498</v>
      </c>
      <c r="B401" t="s">
        <v>3758</v>
      </c>
      <c r="C401" s="101">
        <v>114</v>
      </c>
      <c r="D401" t="s">
        <v>10841</v>
      </c>
      <c r="E401" t="s">
        <v>1381</v>
      </c>
      <c r="G401" t="s">
        <v>3399</v>
      </c>
      <c r="K401" t="s">
        <v>10842</v>
      </c>
      <c r="S401" t="s">
        <v>14</v>
      </c>
      <c r="T401" t="s">
        <v>4</v>
      </c>
    </row>
    <row r="402" spans="1:20">
      <c r="A402" t="s">
        <v>3498</v>
      </c>
      <c r="B402" t="s">
        <v>3758</v>
      </c>
      <c r="C402" s="101">
        <v>115</v>
      </c>
      <c r="D402" t="s">
        <v>5113</v>
      </c>
      <c r="E402" t="s">
        <v>1385</v>
      </c>
      <c r="G402" t="s">
        <v>3399</v>
      </c>
      <c r="K402" t="s">
        <v>10843</v>
      </c>
      <c r="L402" t="s">
        <v>10844</v>
      </c>
      <c r="S402" t="s">
        <v>176</v>
      </c>
      <c r="T402" t="s">
        <v>4</v>
      </c>
    </row>
    <row r="403" spans="1:20">
      <c r="A403" t="s">
        <v>3498</v>
      </c>
      <c r="B403" t="s">
        <v>3758</v>
      </c>
      <c r="C403" s="101">
        <v>116</v>
      </c>
      <c r="D403" t="s">
        <v>5123</v>
      </c>
      <c r="E403" t="s">
        <v>1386</v>
      </c>
      <c r="G403" t="s">
        <v>3399</v>
      </c>
      <c r="K403" t="s">
        <v>5124</v>
      </c>
      <c r="S403" t="s">
        <v>5</v>
      </c>
      <c r="T403" t="s">
        <v>4</v>
      </c>
    </row>
    <row r="404" spans="1:20">
      <c r="A404" s="101" t="s">
        <v>3463</v>
      </c>
      <c r="B404" s="101" t="s">
        <v>3758</v>
      </c>
      <c r="C404" s="101">
        <v>1001</v>
      </c>
      <c r="D404" s="101" t="s">
        <v>11306</v>
      </c>
      <c r="E404" s="101" t="s">
        <v>1370</v>
      </c>
      <c r="F404" s="101"/>
      <c r="G404" s="101" t="s">
        <v>3399</v>
      </c>
      <c r="H404" s="101"/>
      <c r="I404" s="101"/>
      <c r="J404" s="101"/>
      <c r="K404" s="101" t="s">
        <v>11307</v>
      </c>
      <c r="L404" s="101" t="s">
        <v>4893</v>
      </c>
      <c r="M404" s="101"/>
      <c r="N404" s="101"/>
      <c r="O404" s="101"/>
      <c r="P404" s="101"/>
      <c r="Q404" s="101"/>
      <c r="R404" s="101"/>
      <c r="S404" s="101" t="s">
        <v>11</v>
      </c>
      <c r="T404" s="101" t="s">
        <v>7</v>
      </c>
    </row>
    <row r="405" spans="1:20">
      <c r="A405" s="101" t="s">
        <v>3463</v>
      </c>
      <c r="B405" s="101" t="s">
        <v>3758</v>
      </c>
      <c r="C405" s="101">
        <v>1002</v>
      </c>
      <c r="D405" s="101" t="s">
        <v>11308</v>
      </c>
      <c r="E405" s="101" t="s">
        <v>1370</v>
      </c>
      <c r="F405" s="101"/>
      <c r="G405" s="101" t="s">
        <v>3399</v>
      </c>
      <c r="H405" s="101"/>
      <c r="I405" s="101"/>
      <c r="J405" s="101"/>
      <c r="K405" s="102" t="s">
        <v>11309</v>
      </c>
      <c r="L405" s="102"/>
      <c r="M405" s="102"/>
      <c r="N405" s="102"/>
      <c r="O405" s="102"/>
      <c r="P405" s="102"/>
      <c r="Q405" s="102"/>
      <c r="R405" s="102"/>
      <c r="S405" s="102" t="s">
        <v>27</v>
      </c>
      <c r="T405" s="102" t="s">
        <v>7</v>
      </c>
    </row>
    <row r="406" spans="1:20">
      <c r="A406" s="101" t="s">
        <v>3463</v>
      </c>
      <c r="B406" s="101" t="s">
        <v>3758</v>
      </c>
      <c r="C406" s="101">
        <v>1003</v>
      </c>
      <c r="D406" s="102" t="s">
        <v>11310</v>
      </c>
      <c r="E406" s="102" t="s">
        <v>10337</v>
      </c>
      <c r="F406" s="102"/>
      <c r="G406" s="102" t="s">
        <v>3399</v>
      </c>
      <c r="H406" s="102"/>
      <c r="I406" s="102"/>
      <c r="J406" s="102"/>
      <c r="K406" s="102" t="s">
        <v>11311</v>
      </c>
      <c r="L406" s="102"/>
      <c r="M406" s="102"/>
      <c r="N406" s="102"/>
      <c r="O406" s="102"/>
      <c r="P406" s="102"/>
      <c r="Q406" s="102"/>
      <c r="R406" s="102"/>
      <c r="S406" s="102" t="s">
        <v>17</v>
      </c>
      <c r="T406" s="102" t="s">
        <v>7</v>
      </c>
    </row>
    <row r="407" spans="1:20">
      <c r="A407" s="101" t="s">
        <v>3463</v>
      </c>
      <c r="B407" s="101" t="s">
        <v>3758</v>
      </c>
      <c r="C407" s="101">
        <v>1004</v>
      </c>
      <c r="D407" s="102" t="s">
        <v>11312</v>
      </c>
      <c r="E407" s="102" t="s">
        <v>1370</v>
      </c>
      <c r="F407" s="102"/>
      <c r="G407" s="102" t="s">
        <v>3399</v>
      </c>
      <c r="H407" s="102"/>
      <c r="I407" s="102"/>
      <c r="J407" s="102"/>
      <c r="K407" s="102" t="s">
        <v>11313</v>
      </c>
      <c r="L407" s="102" t="s">
        <v>4240</v>
      </c>
      <c r="M407" s="102"/>
      <c r="N407" s="102"/>
      <c r="O407" s="102"/>
      <c r="P407" s="102"/>
      <c r="Q407" s="102"/>
      <c r="R407" s="102"/>
      <c r="S407" s="102" t="s">
        <v>48</v>
      </c>
      <c r="T407" s="102" t="s">
        <v>7</v>
      </c>
    </row>
    <row r="408" spans="1:20">
      <c r="A408" s="101" t="s">
        <v>3463</v>
      </c>
      <c r="B408" s="101" t="s">
        <v>3758</v>
      </c>
      <c r="C408" s="101">
        <v>1005</v>
      </c>
      <c r="D408" s="102" t="s">
        <v>11314</v>
      </c>
      <c r="E408" s="102" t="s">
        <v>1370</v>
      </c>
      <c r="F408" s="102"/>
      <c r="G408" s="102" t="s">
        <v>3399</v>
      </c>
      <c r="H408" s="102"/>
      <c r="I408" s="102"/>
      <c r="J408" s="102"/>
      <c r="K408" s="102" t="s">
        <v>11315</v>
      </c>
      <c r="L408" s="102" t="s">
        <v>11316</v>
      </c>
      <c r="M408" s="102"/>
      <c r="N408" s="102"/>
      <c r="O408" s="102"/>
      <c r="P408" s="102"/>
      <c r="Q408" s="102"/>
      <c r="R408" s="102"/>
      <c r="S408" s="102" t="s">
        <v>174</v>
      </c>
      <c r="T408" s="102" t="s">
        <v>7</v>
      </c>
    </row>
    <row r="409" spans="1:20">
      <c r="A409" s="101" t="s">
        <v>3463</v>
      </c>
      <c r="B409" s="101" t="s">
        <v>3758</v>
      </c>
      <c r="C409" s="101">
        <v>1006</v>
      </c>
      <c r="D409" s="102" t="s">
        <v>11317</v>
      </c>
      <c r="E409" s="102" t="s">
        <v>10337</v>
      </c>
      <c r="F409" s="102"/>
      <c r="G409" s="102" t="s">
        <v>3399</v>
      </c>
      <c r="H409" s="102"/>
      <c r="I409" s="102"/>
      <c r="J409" s="102"/>
      <c r="K409" s="102" t="s">
        <v>11318</v>
      </c>
      <c r="L409" s="102"/>
      <c r="M409" s="102"/>
      <c r="N409" s="102"/>
      <c r="O409" s="102"/>
      <c r="P409" s="102"/>
      <c r="Q409" s="102"/>
      <c r="R409" s="102"/>
      <c r="S409" s="102" t="s">
        <v>169</v>
      </c>
      <c r="T409" s="102" t="s">
        <v>7</v>
      </c>
    </row>
    <row r="410" spans="1:20">
      <c r="A410" s="101" t="s">
        <v>3463</v>
      </c>
      <c r="B410" s="101" t="s">
        <v>3758</v>
      </c>
      <c r="C410" s="101">
        <v>1007</v>
      </c>
      <c r="D410" s="102" t="s">
        <v>11319</v>
      </c>
      <c r="E410" s="102" t="s">
        <v>11320</v>
      </c>
      <c r="F410" s="102"/>
      <c r="G410" s="102" t="s">
        <v>3399</v>
      </c>
      <c r="H410" s="102"/>
      <c r="I410" s="102"/>
      <c r="J410" s="102"/>
      <c r="K410" s="102" t="s">
        <v>11321</v>
      </c>
      <c r="L410" s="102" t="s">
        <v>11322</v>
      </c>
      <c r="M410" s="102"/>
      <c r="N410" s="102"/>
      <c r="O410" s="102"/>
      <c r="P410" s="102"/>
      <c r="Q410" s="102"/>
      <c r="R410" s="102"/>
      <c r="S410" s="102" t="s">
        <v>31</v>
      </c>
      <c r="T410" s="102" t="s">
        <v>7</v>
      </c>
    </row>
    <row r="411" spans="1:20">
      <c r="A411" s="101" t="s">
        <v>3463</v>
      </c>
      <c r="B411" s="101" t="s">
        <v>3758</v>
      </c>
      <c r="C411" s="101">
        <v>1008</v>
      </c>
      <c r="D411" s="102" t="s">
        <v>11323</v>
      </c>
      <c r="E411" s="102" t="s">
        <v>1370</v>
      </c>
      <c r="F411" s="102"/>
      <c r="G411" s="102" t="s">
        <v>3399</v>
      </c>
      <c r="H411" s="102"/>
      <c r="I411" s="102"/>
      <c r="J411" s="102"/>
      <c r="K411" s="102" t="s">
        <v>11324</v>
      </c>
      <c r="L411" s="102"/>
      <c r="M411" s="102"/>
      <c r="N411" s="102"/>
      <c r="O411" s="102"/>
      <c r="P411" s="102"/>
      <c r="Q411" s="102"/>
      <c r="R411" s="102"/>
      <c r="S411" s="102" t="s">
        <v>170</v>
      </c>
      <c r="T411" s="102" t="s">
        <v>7</v>
      </c>
    </row>
    <row r="412" spans="1:20">
      <c r="A412" s="101" t="s">
        <v>3463</v>
      </c>
      <c r="B412" s="101" t="s">
        <v>3758</v>
      </c>
      <c r="C412" s="101">
        <v>1009</v>
      </c>
      <c r="D412" s="102" t="s">
        <v>11325</v>
      </c>
      <c r="E412" s="102" t="s">
        <v>1370</v>
      </c>
      <c r="F412" s="102"/>
      <c r="G412" s="102" t="s">
        <v>3399</v>
      </c>
      <c r="H412" s="102"/>
      <c r="I412" s="102"/>
      <c r="J412" s="102"/>
      <c r="K412" s="102" t="s">
        <v>11326</v>
      </c>
      <c r="L412" s="102" t="s">
        <v>11327</v>
      </c>
      <c r="M412" s="102"/>
      <c r="N412" s="102"/>
      <c r="O412" s="102"/>
      <c r="P412" s="102"/>
      <c r="Q412" s="102"/>
      <c r="R412" s="102"/>
      <c r="S412" s="102" t="s">
        <v>27</v>
      </c>
      <c r="T412" s="102" t="s">
        <v>7</v>
      </c>
    </row>
    <row r="413" spans="1:20">
      <c r="A413" s="101" t="s">
        <v>3463</v>
      </c>
      <c r="B413" s="101" t="s">
        <v>3758</v>
      </c>
      <c r="C413" s="101">
        <v>1010</v>
      </c>
      <c r="D413" s="102" t="s">
        <v>11328</v>
      </c>
      <c r="E413" s="102" t="s">
        <v>1370</v>
      </c>
      <c r="F413" s="102"/>
      <c r="G413" s="102" t="s">
        <v>3399</v>
      </c>
      <c r="H413" s="102"/>
      <c r="I413" s="102"/>
      <c r="J413" s="102"/>
      <c r="K413" s="102" t="s">
        <v>11329</v>
      </c>
      <c r="L413" s="102"/>
      <c r="M413" s="102"/>
      <c r="N413" s="102"/>
      <c r="O413" s="102"/>
      <c r="P413" s="102"/>
      <c r="Q413" s="102"/>
      <c r="R413" s="102"/>
      <c r="S413" s="102" t="s">
        <v>26</v>
      </c>
      <c r="T413" s="102" t="s">
        <v>7</v>
      </c>
    </row>
    <row r="414" spans="1:20">
      <c r="A414" s="101" t="s">
        <v>3463</v>
      </c>
      <c r="B414" s="101" t="s">
        <v>3758</v>
      </c>
      <c r="C414" s="101">
        <v>1011</v>
      </c>
      <c r="D414" s="102" t="s">
        <v>11330</v>
      </c>
      <c r="E414" s="102" t="s">
        <v>10337</v>
      </c>
      <c r="F414" s="102"/>
      <c r="G414" s="102" t="s">
        <v>3399</v>
      </c>
      <c r="H414" s="102"/>
      <c r="I414" s="102"/>
      <c r="J414" s="102"/>
      <c r="K414" s="102" t="s">
        <v>11331</v>
      </c>
      <c r="L414" s="102" t="s">
        <v>11332</v>
      </c>
      <c r="M414" s="102"/>
      <c r="N414" s="102"/>
      <c r="O414" s="102"/>
      <c r="P414" s="102"/>
      <c r="Q414" s="102"/>
      <c r="R414" s="102"/>
      <c r="S414" s="102" t="s">
        <v>174</v>
      </c>
      <c r="T414" s="102" t="s">
        <v>7</v>
      </c>
    </row>
    <row r="415" spans="1:20">
      <c r="A415" s="101" t="s">
        <v>3463</v>
      </c>
      <c r="B415" s="101" t="s">
        <v>3758</v>
      </c>
      <c r="C415" s="101">
        <v>1012</v>
      </c>
      <c r="D415" s="102" t="s">
        <v>11333</v>
      </c>
      <c r="E415" s="102" t="s">
        <v>10337</v>
      </c>
      <c r="F415" s="102"/>
      <c r="G415" s="102" t="s">
        <v>3399</v>
      </c>
      <c r="H415" s="102"/>
      <c r="I415" s="102"/>
      <c r="J415" s="102"/>
      <c r="K415" s="102" t="s">
        <v>11334</v>
      </c>
      <c r="L415" s="102"/>
      <c r="M415" s="102"/>
      <c r="N415" s="102"/>
      <c r="O415" s="102"/>
      <c r="P415" s="102"/>
      <c r="Q415" s="102"/>
      <c r="R415" s="102"/>
      <c r="S415" s="102" t="s">
        <v>168</v>
      </c>
      <c r="T415" s="102" t="s">
        <v>7</v>
      </c>
    </row>
    <row r="416" spans="1:20">
      <c r="A416" s="101" t="s">
        <v>3463</v>
      </c>
      <c r="B416" s="101" t="s">
        <v>3758</v>
      </c>
      <c r="C416" s="101">
        <v>1013</v>
      </c>
      <c r="D416" s="102" t="s">
        <v>11335</v>
      </c>
      <c r="E416" s="102" t="s">
        <v>1370</v>
      </c>
      <c r="F416" s="102"/>
      <c r="G416" s="102" t="s">
        <v>3399</v>
      </c>
      <c r="H416" s="102"/>
      <c r="I416" s="102"/>
      <c r="J416" s="102"/>
      <c r="K416" s="102" t="s">
        <v>11336</v>
      </c>
      <c r="L416" s="102" t="s">
        <v>11337</v>
      </c>
      <c r="M416" s="102"/>
      <c r="N416" s="102"/>
      <c r="O416" s="102"/>
      <c r="P416" s="102"/>
      <c r="Q416" s="102"/>
      <c r="R416" s="102"/>
      <c r="S416" s="102" t="s">
        <v>6</v>
      </c>
      <c r="T416" s="102" t="s">
        <v>7</v>
      </c>
    </row>
    <row r="417" spans="1:20">
      <c r="A417" s="101" t="s">
        <v>3463</v>
      </c>
      <c r="B417" s="101" t="s">
        <v>3758</v>
      </c>
      <c r="C417" s="101">
        <v>1014</v>
      </c>
      <c r="D417" s="102" t="s">
        <v>11338</v>
      </c>
      <c r="E417" s="102" t="s">
        <v>1372</v>
      </c>
      <c r="F417" s="102"/>
      <c r="G417" s="102" t="s">
        <v>3399</v>
      </c>
      <c r="H417" s="102"/>
      <c r="I417" s="102"/>
      <c r="J417" s="102"/>
      <c r="K417" s="102" t="s">
        <v>11339</v>
      </c>
      <c r="L417" s="102"/>
      <c r="M417" s="102"/>
      <c r="N417" s="102"/>
      <c r="O417" s="102"/>
      <c r="P417" s="102"/>
      <c r="Q417" s="102"/>
      <c r="R417" s="102"/>
      <c r="S417" s="102" t="s">
        <v>169</v>
      </c>
      <c r="T417" s="102" t="s">
        <v>7</v>
      </c>
    </row>
    <row r="418" spans="1:20">
      <c r="A418" s="101" t="s">
        <v>3463</v>
      </c>
      <c r="B418" s="101" t="s">
        <v>3758</v>
      </c>
      <c r="C418" s="101">
        <v>1015</v>
      </c>
      <c r="D418" s="102" t="s">
        <v>11340</v>
      </c>
      <c r="E418" s="102" t="s">
        <v>1372</v>
      </c>
      <c r="F418" s="102"/>
      <c r="G418" s="102" t="s">
        <v>3399</v>
      </c>
      <c r="H418" s="102"/>
      <c r="I418" s="102"/>
      <c r="J418" s="102"/>
      <c r="K418" s="102" t="s">
        <v>11341</v>
      </c>
      <c r="L418" s="102"/>
      <c r="M418" s="102"/>
      <c r="N418" s="102"/>
      <c r="O418" s="102"/>
      <c r="P418" s="102"/>
      <c r="Q418" s="102"/>
      <c r="R418" s="102"/>
      <c r="S418" s="102" t="s">
        <v>39</v>
      </c>
      <c r="T418" s="102" t="s">
        <v>7</v>
      </c>
    </row>
    <row r="419" spans="1:20">
      <c r="A419" s="101" t="s">
        <v>3463</v>
      </c>
      <c r="B419" s="101" t="s">
        <v>3758</v>
      </c>
      <c r="C419" s="101">
        <v>1016</v>
      </c>
      <c r="D419" s="102" t="s">
        <v>11342</v>
      </c>
      <c r="E419" s="102" t="s">
        <v>1372</v>
      </c>
      <c r="F419" s="102"/>
      <c r="G419" s="102" t="s">
        <v>3399</v>
      </c>
      <c r="H419" s="102"/>
      <c r="I419" s="102"/>
      <c r="J419" s="102"/>
      <c r="K419" s="102" t="s">
        <v>11343</v>
      </c>
      <c r="L419" s="102"/>
      <c r="M419" s="102"/>
      <c r="N419" s="102"/>
      <c r="O419" s="102"/>
      <c r="P419" s="102"/>
      <c r="Q419" s="102"/>
      <c r="R419" s="102"/>
      <c r="S419" s="102" t="s">
        <v>50</v>
      </c>
      <c r="T419" s="102" t="s">
        <v>7</v>
      </c>
    </row>
    <row r="420" spans="1:20">
      <c r="A420" s="101" t="s">
        <v>3463</v>
      </c>
      <c r="B420" s="101" t="s">
        <v>3758</v>
      </c>
      <c r="C420" s="101">
        <v>1017</v>
      </c>
      <c r="D420" s="102" t="s">
        <v>11344</v>
      </c>
      <c r="E420" s="102" t="s">
        <v>11001</v>
      </c>
      <c r="F420" s="102"/>
      <c r="G420" s="102" t="s">
        <v>3399</v>
      </c>
      <c r="H420" s="102"/>
      <c r="I420" s="102"/>
      <c r="J420" s="102"/>
      <c r="K420" s="102" t="s">
        <v>11345</v>
      </c>
      <c r="L420" s="102"/>
      <c r="M420" s="102"/>
      <c r="N420" s="102"/>
      <c r="O420" s="102"/>
      <c r="P420" s="102"/>
      <c r="Q420" s="102"/>
      <c r="R420" s="102"/>
      <c r="S420" s="102" t="s">
        <v>28</v>
      </c>
      <c r="T420" s="102" t="s">
        <v>7</v>
      </c>
    </row>
    <row r="421" spans="1:20">
      <c r="A421" s="101" t="s">
        <v>3463</v>
      </c>
      <c r="B421" s="101" t="s">
        <v>3758</v>
      </c>
      <c r="C421" s="101">
        <v>1018</v>
      </c>
      <c r="D421" s="102" t="s">
        <v>11346</v>
      </c>
      <c r="E421" s="102" t="s">
        <v>1372</v>
      </c>
      <c r="F421" s="102"/>
      <c r="G421" s="102" t="s">
        <v>3399</v>
      </c>
      <c r="H421" s="102"/>
      <c r="I421" s="102"/>
      <c r="J421" s="102"/>
      <c r="K421" s="102" t="s">
        <v>11347</v>
      </c>
      <c r="L421" s="102" t="s">
        <v>10343</v>
      </c>
      <c r="M421" s="102" t="s">
        <v>10789</v>
      </c>
      <c r="N421" s="102"/>
      <c r="O421" s="102"/>
      <c r="P421" s="102"/>
      <c r="Q421" s="102"/>
      <c r="R421" s="102"/>
      <c r="S421" s="102" t="s">
        <v>34</v>
      </c>
      <c r="T421" s="102" t="s">
        <v>7</v>
      </c>
    </row>
    <row r="422" spans="1:20">
      <c r="A422" s="101" t="s">
        <v>3463</v>
      </c>
      <c r="B422" s="101" t="s">
        <v>3758</v>
      </c>
      <c r="C422" s="101">
        <v>1019</v>
      </c>
      <c r="D422" s="102" t="s">
        <v>11348</v>
      </c>
      <c r="E422" s="102" t="s">
        <v>1372</v>
      </c>
      <c r="F422" s="102"/>
      <c r="G422" s="102" t="s">
        <v>3399</v>
      </c>
      <c r="H422" s="102"/>
      <c r="I422" s="102"/>
      <c r="J422" s="102"/>
      <c r="K422" s="102" t="s">
        <v>11349</v>
      </c>
      <c r="L422" s="102"/>
      <c r="M422" s="102"/>
      <c r="N422" s="102"/>
      <c r="O422" s="102"/>
      <c r="P422" s="102"/>
      <c r="Q422" s="102"/>
      <c r="R422" s="102"/>
      <c r="S422" s="102" t="s">
        <v>178</v>
      </c>
      <c r="T422" s="102" t="s">
        <v>7</v>
      </c>
    </row>
    <row r="423" spans="1:20">
      <c r="A423" s="101" t="s">
        <v>3463</v>
      </c>
      <c r="B423" s="101" t="s">
        <v>3758</v>
      </c>
      <c r="C423" s="101">
        <v>1020</v>
      </c>
      <c r="D423" s="102" t="s">
        <v>11350</v>
      </c>
      <c r="E423" s="102" t="s">
        <v>1372</v>
      </c>
      <c r="F423" s="102"/>
      <c r="G423" s="102" t="s">
        <v>3399</v>
      </c>
      <c r="H423" s="102"/>
      <c r="I423" s="102"/>
      <c r="J423" s="102"/>
      <c r="K423" s="102" t="s">
        <v>11351</v>
      </c>
      <c r="L423" s="102"/>
      <c r="M423" s="102"/>
      <c r="N423" s="102"/>
      <c r="O423" s="102"/>
      <c r="P423" s="102"/>
      <c r="Q423" s="102"/>
      <c r="R423" s="102"/>
      <c r="S423" s="102" t="s">
        <v>606</v>
      </c>
      <c r="T423" s="102" t="s">
        <v>7</v>
      </c>
    </row>
    <row r="424" spans="1:20">
      <c r="A424" s="101" t="s">
        <v>3463</v>
      </c>
      <c r="B424" s="101" t="s">
        <v>3758</v>
      </c>
      <c r="C424" s="101">
        <v>1021</v>
      </c>
      <c r="D424" s="102" t="s">
        <v>11352</v>
      </c>
      <c r="E424" s="102" t="s">
        <v>1372</v>
      </c>
      <c r="F424" s="102"/>
      <c r="G424" s="102" t="s">
        <v>3399</v>
      </c>
      <c r="H424" s="102"/>
      <c r="I424" s="102"/>
      <c r="J424" s="102"/>
      <c r="K424" s="102" t="s">
        <v>11353</v>
      </c>
      <c r="L424" s="102"/>
      <c r="M424" s="102"/>
      <c r="N424" s="102"/>
      <c r="O424" s="102"/>
      <c r="P424" s="102"/>
      <c r="Q424" s="102"/>
      <c r="R424" s="102"/>
      <c r="S424" s="102" t="s">
        <v>175</v>
      </c>
      <c r="T424" s="102" t="s">
        <v>7</v>
      </c>
    </row>
    <row r="425" spans="1:20">
      <c r="A425" s="101" t="s">
        <v>3463</v>
      </c>
      <c r="B425" s="101" t="s">
        <v>3758</v>
      </c>
      <c r="C425" s="101">
        <v>1022</v>
      </c>
      <c r="D425" s="102" t="s">
        <v>11354</v>
      </c>
      <c r="E425" s="102" t="s">
        <v>1372</v>
      </c>
      <c r="F425" s="102"/>
      <c r="G425" s="102" t="s">
        <v>3399</v>
      </c>
      <c r="H425" s="102"/>
      <c r="I425" s="102"/>
      <c r="J425" s="102"/>
      <c r="K425" s="102" t="s">
        <v>11355</v>
      </c>
      <c r="L425" s="102"/>
      <c r="M425" s="102"/>
      <c r="N425" s="102"/>
      <c r="O425" s="102"/>
      <c r="P425" s="102"/>
      <c r="Q425" s="102"/>
      <c r="R425" s="102"/>
      <c r="S425" s="102" t="s">
        <v>32</v>
      </c>
      <c r="T425" s="102" t="s">
        <v>7</v>
      </c>
    </row>
    <row r="426" spans="1:20">
      <c r="A426" s="101" t="s">
        <v>3463</v>
      </c>
      <c r="B426" s="101" t="s">
        <v>3758</v>
      </c>
      <c r="C426" s="101">
        <v>1023</v>
      </c>
      <c r="D426" s="102" t="s">
        <v>10718</v>
      </c>
      <c r="E426" s="102" t="s">
        <v>1372</v>
      </c>
      <c r="F426" s="102"/>
      <c r="G426" s="102" t="s">
        <v>3399</v>
      </c>
      <c r="H426" s="102"/>
      <c r="I426" s="102"/>
      <c r="J426" s="102"/>
      <c r="K426" s="102" t="s">
        <v>10719</v>
      </c>
      <c r="L426" s="102"/>
      <c r="M426" s="102"/>
      <c r="N426" s="102"/>
      <c r="O426" s="102"/>
      <c r="P426" s="102"/>
      <c r="Q426" s="102"/>
      <c r="R426" s="102"/>
      <c r="S426" s="102" t="s">
        <v>768</v>
      </c>
      <c r="T426" s="102" t="s">
        <v>7</v>
      </c>
    </row>
    <row r="427" spans="1:20">
      <c r="A427" s="101" t="s">
        <v>3463</v>
      </c>
      <c r="B427" s="101" t="s">
        <v>3758</v>
      </c>
      <c r="C427" s="101">
        <v>1024</v>
      </c>
      <c r="D427" s="102" t="s">
        <v>11356</v>
      </c>
      <c r="E427" s="102" t="s">
        <v>1372</v>
      </c>
      <c r="F427" s="102"/>
      <c r="G427" s="102" t="s">
        <v>3399</v>
      </c>
      <c r="H427" s="102"/>
      <c r="I427" s="102"/>
      <c r="J427" s="102"/>
      <c r="K427" s="102" t="s">
        <v>11357</v>
      </c>
      <c r="L427" s="102"/>
      <c r="M427" s="102"/>
      <c r="N427" s="102"/>
      <c r="O427" s="102"/>
      <c r="P427" s="102"/>
      <c r="Q427" s="102"/>
      <c r="R427" s="102"/>
      <c r="S427" s="102"/>
      <c r="T427" s="102"/>
    </row>
    <row r="428" spans="1:20">
      <c r="A428" s="101" t="s">
        <v>3463</v>
      </c>
      <c r="B428" s="101" t="s">
        <v>3758</v>
      </c>
      <c r="C428" s="101">
        <v>1025</v>
      </c>
      <c r="D428" s="102" t="s">
        <v>11358</v>
      </c>
      <c r="E428" s="102" t="s">
        <v>1386</v>
      </c>
      <c r="F428" s="102"/>
      <c r="G428" s="102" t="s">
        <v>3399</v>
      </c>
      <c r="H428" s="102"/>
      <c r="I428" s="102"/>
      <c r="J428" s="102"/>
      <c r="K428" s="102" t="s">
        <v>11359</v>
      </c>
      <c r="L428" s="102"/>
      <c r="M428" s="102"/>
      <c r="N428" s="102"/>
      <c r="O428" s="102"/>
      <c r="P428" s="102"/>
      <c r="Q428" s="102"/>
      <c r="R428" s="102"/>
      <c r="S428" s="102" t="s">
        <v>33</v>
      </c>
      <c r="T428" s="102" t="s">
        <v>7</v>
      </c>
    </row>
    <row r="429" spans="1:20">
      <c r="A429" s="101" t="s">
        <v>3463</v>
      </c>
      <c r="B429" s="101" t="s">
        <v>3758</v>
      </c>
      <c r="C429" s="101">
        <v>1026</v>
      </c>
      <c r="D429" s="102" t="s">
        <v>11360</v>
      </c>
      <c r="E429" s="102" t="s">
        <v>1372</v>
      </c>
      <c r="F429" s="102"/>
      <c r="G429" s="102" t="s">
        <v>3399</v>
      </c>
      <c r="H429" s="102"/>
      <c r="I429" s="102"/>
      <c r="J429" s="102"/>
      <c r="K429" s="102" t="s">
        <v>7296</v>
      </c>
      <c r="L429" s="102" t="s">
        <v>11361</v>
      </c>
      <c r="M429" s="102" t="s">
        <v>11362</v>
      </c>
      <c r="N429" s="102"/>
      <c r="O429" s="102"/>
      <c r="P429" s="102"/>
      <c r="Q429" s="102"/>
      <c r="R429" s="102"/>
      <c r="S429" s="102" t="s">
        <v>28</v>
      </c>
      <c r="T429" s="102" t="s">
        <v>7</v>
      </c>
    </row>
    <row r="430" spans="1:20">
      <c r="A430" s="101" t="s">
        <v>3463</v>
      </c>
      <c r="B430" s="101" t="s">
        <v>3758</v>
      </c>
      <c r="C430" s="101">
        <v>1027</v>
      </c>
      <c r="D430" s="102" t="s">
        <v>11363</v>
      </c>
      <c r="E430" s="102" t="s">
        <v>1374</v>
      </c>
      <c r="F430" s="102"/>
      <c r="G430" s="102" t="s">
        <v>3399</v>
      </c>
      <c r="H430" s="102"/>
      <c r="I430" s="102"/>
      <c r="J430" s="102"/>
      <c r="K430" s="102" t="s">
        <v>11364</v>
      </c>
      <c r="L430" s="102"/>
      <c r="M430" s="102"/>
      <c r="N430" s="102"/>
      <c r="O430" s="102"/>
      <c r="P430" s="102"/>
      <c r="Q430" s="102"/>
      <c r="R430" s="102"/>
      <c r="S430" s="102" t="s">
        <v>176</v>
      </c>
      <c r="T430" s="102" t="s">
        <v>7</v>
      </c>
    </row>
    <row r="431" spans="1:20">
      <c r="A431" s="101" t="s">
        <v>3463</v>
      </c>
      <c r="B431" s="101" t="s">
        <v>3758</v>
      </c>
      <c r="C431" s="101">
        <v>1028</v>
      </c>
      <c r="D431" s="102" t="s">
        <v>11365</v>
      </c>
      <c r="E431" s="102" t="s">
        <v>1374</v>
      </c>
      <c r="F431" s="102"/>
      <c r="G431" s="102" t="s">
        <v>3399</v>
      </c>
      <c r="H431" s="102"/>
      <c r="I431" s="102"/>
      <c r="J431" s="102"/>
      <c r="K431" s="102" t="s">
        <v>11366</v>
      </c>
      <c r="L431" s="102"/>
      <c r="M431" s="102"/>
      <c r="N431" s="102"/>
      <c r="O431" s="102"/>
      <c r="P431" s="102"/>
      <c r="Q431" s="102"/>
      <c r="R431" s="102"/>
      <c r="S431" s="102" t="s">
        <v>14</v>
      </c>
      <c r="T431" s="102" t="s">
        <v>7</v>
      </c>
    </row>
    <row r="432" spans="1:20">
      <c r="A432" s="101" t="s">
        <v>3463</v>
      </c>
      <c r="B432" s="101" t="s">
        <v>3758</v>
      </c>
      <c r="C432" s="101">
        <v>1029</v>
      </c>
      <c r="D432" s="102" t="s">
        <v>11367</v>
      </c>
      <c r="E432" s="102" t="s">
        <v>1374</v>
      </c>
      <c r="F432" s="102"/>
      <c r="G432" s="102" t="s">
        <v>3399</v>
      </c>
      <c r="H432" s="102"/>
      <c r="I432" s="102"/>
      <c r="J432" s="102"/>
      <c r="K432" s="102" t="s">
        <v>11368</v>
      </c>
      <c r="L432" s="102"/>
      <c r="M432" s="102"/>
      <c r="N432" s="102"/>
      <c r="O432" s="102"/>
      <c r="P432" s="102"/>
      <c r="Q432" s="102"/>
      <c r="R432" s="102"/>
      <c r="S432" s="102" t="s">
        <v>39</v>
      </c>
      <c r="T432" s="102" t="s">
        <v>7</v>
      </c>
    </row>
    <row r="433" spans="1:20">
      <c r="A433" s="101" t="s">
        <v>3463</v>
      </c>
      <c r="B433" s="101" t="s">
        <v>3758</v>
      </c>
      <c r="C433" s="101">
        <v>1030</v>
      </c>
      <c r="D433" s="102" t="s">
        <v>11369</v>
      </c>
      <c r="E433" s="102" t="s">
        <v>1374</v>
      </c>
      <c r="F433" s="102"/>
      <c r="G433" s="102" t="s">
        <v>3399</v>
      </c>
      <c r="H433" s="102"/>
      <c r="I433" s="102"/>
      <c r="J433" s="102"/>
      <c r="K433" s="102" t="s">
        <v>11370</v>
      </c>
      <c r="L433" s="102" t="s">
        <v>11371</v>
      </c>
      <c r="M433" s="102"/>
      <c r="N433" s="102"/>
      <c r="O433" s="102"/>
      <c r="P433" s="102"/>
      <c r="Q433" s="102"/>
      <c r="R433" s="102"/>
      <c r="S433" s="102" t="s">
        <v>45</v>
      </c>
      <c r="T433" s="102" t="s">
        <v>7</v>
      </c>
    </row>
    <row r="434" spans="1:20">
      <c r="A434" s="101" t="s">
        <v>3463</v>
      </c>
      <c r="B434" s="101" t="s">
        <v>3758</v>
      </c>
      <c r="C434" s="101">
        <v>1031</v>
      </c>
      <c r="D434" s="102" t="s">
        <v>11372</v>
      </c>
      <c r="E434" s="102" t="s">
        <v>1374</v>
      </c>
      <c r="F434" s="102"/>
      <c r="G434" s="102" t="s">
        <v>3399</v>
      </c>
      <c r="H434" s="102"/>
      <c r="I434" s="102"/>
      <c r="J434" s="102"/>
      <c r="K434" s="102" t="s">
        <v>11373</v>
      </c>
      <c r="L434" s="102"/>
      <c r="M434" s="102"/>
      <c r="N434" s="102"/>
      <c r="O434" s="102"/>
      <c r="P434" s="102"/>
      <c r="Q434" s="102"/>
      <c r="R434" s="102"/>
      <c r="S434" s="102" t="s">
        <v>172</v>
      </c>
      <c r="T434" s="102" t="s">
        <v>7</v>
      </c>
    </row>
    <row r="435" spans="1:20">
      <c r="A435" s="101" t="s">
        <v>3463</v>
      </c>
      <c r="B435" s="101" t="s">
        <v>3758</v>
      </c>
      <c r="C435" s="101">
        <v>1032</v>
      </c>
      <c r="D435" s="102" t="s">
        <v>10766</v>
      </c>
      <c r="E435" s="102" t="s">
        <v>1374</v>
      </c>
      <c r="F435" s="102"/>
      <c r="G435" s="102" t="s">
        <v>3399</v>
      </c>
      <c r="H435" s="102"/>
      <c r="I435" s="102"/>
      <c r="J435" s="102"/>
      <c r="K435" s="102" t="s">
        <v>10767</v>
      </c>
      <c r="L435" s="102"/>
      <c r="M435" s="102"/>
      <c r="N435" s="102"/>
      <c r="O435" s="102"/>
      <c r="P435" s="102"/>
      <c r="Q435" s="102"/>
      <c r="R435" s="102"/>
      <c r="S435" s="102" t="s">
        <v>173</v>
      </c>
      <c r="T435" s="102" t="s">
        <v>7</v>
      </c>
    </row>
    <row r="436" spans="1:20">
      <c r="A436" s="101" t="s">
        <v>3463</v>
      </c>
      <c r="B436" s="101" t="s">
        <v>3758</v>
      </c>
      <c r="C436" s="101">
        <v>1033</v>
      </c>
      <c r="D436" s="102" t="s">
        <v>11374</v>
      </c>
      <c r="E436" s="102" t="s">
        <v>1374</v>
      </c>
      <c r="F436" s="102"/>
      <c r="G436" s="102" t="s">
        <v>3399</v>
      </c>
      <c r="H436" s="102"/>
      <c r="I436" s="102"/>
      <c r="J436" s="102"/>
      <c r="K436" s="102" t="s">
        <v>11375</v>
      </c>
      <c r="L436" s="102" t="s">
        <v>11376</v>
      </c>
      <c r="M436" s="102"/>
      <c r="N436" s="102"/>
      <c r="O436" s="102"/>
      <c r="P436" s="102"/>
      <c r="Q436" s="102"/>
      <c r="R436" s="102"/>
      <c r="S436" s="102" t="s">
        <v>5719</v>
      </c>
      <c r="T436" s="102" t="s">
        <v>7</v>
      </c>
    </row>
    <row r="437" spans="1:20">
      <c r="A437" s="101" t="s">
        <v>3463</v>
      </c>
      <c r="B437" s="101" t="s">
        <v>3758</v>
      </c>
      <c r="C437" s="101">
        <v>1034</v>
      </c>
      <c r="D437" s="102" t="s">
        <v>11377</v>
      </c>
      <c r="E437" s="102" t="s">
        <v>1375</v>
      </c>
      <c r="F437" s="102"/>
      <c r="G437" s="102" t="s">
        <v>3399</v>
      </c>
      <c r="H437" s="102"/>
      <c r="I437" s="102"/>
      <c r="J437" s="102"/>
      <c r="K437" s="102" t="s">
        <v>11378</v>
      </c>
      <c r="L437" s="102"/>
      <c r="M437" s="102"/>
      <c r="N437" s="102"/>
      <c r="O437" s="102"/>
      <c r="P437" s="102"/>
      <c r="Q437" s="102"/>
      <c r="R437" s="102"/>
      <c r="S437" s="102" t="s">
        <v>180</v>
      </c>
      <c r="T437" s="102" t="s">
        <v>7</v>
      </c>
    </row>
    <row r="438" spans="1:20">
      <c r="A438" s="101" t="s">
        <v>3463</v>
      </c>
      <c r="B438" s="101" t="s">
        <v>3758</v>
      </c>
      <c r="C438" s="101">
        <v>1035</v>
      </c>
      <c r="D438" s="102" t="s">
        <v>11379</v>
      </c>
      <c r="E438" s="102" t="s">
        <v>11380</v>
      </c>
      <c r="F438" s="102"/>
      <c r="G438" s="102" t="s">
        <v>3399</v>
      </c>
      <c r="H438" s="102"/>
      <c r="I438" s="102"/>
      <c r="J438" s="102"/>
      <c r="K438" s="102" t="s">
        <v>11381</v>
      </c>
      <c r="L438" s="102"/>
      <c r="M438" s="102"/>
      <c r="N438" s="102"/>
      <c r="O438" s="102"/>
      <c r="P438" s="102"/>
      <c r="Q438" s="102"/>
      <c r="R438" s="102"/>
      <c r="S438" s="102" t="s">
        <v>5381</v>
      </c>
      <c r="T438" s="102" t="s">
        <v>7</v>
      </c>
    </row>
    <row r="439" spans="1:20">
      <c r="A439" s="101" t="s">
        <v>3463</v>
      </c>
      <c r="B439" s="101" t="s">
        <v>3758</v>
      </c>
      <c r="C439" s="101">
        <v>1036</v>
      </c>
      <c r="D439" s="102" t="s">
        <v>11382</v>
      </c>
      <c r="E439" s="102" t="s">
        <v>1374</v>
      </c>
      <c r="F439" s="102"/>
      <c r="G439" s="102" t="s">
        <v>3399</v>
      </c>
      <c r="H439" s="102"/>
      <c r="I439" s="102"/>
      <c r="J439" s="102"/>
      <c r="K439" s="102" t="s">
        <v>11383</v>
      </c>
      <c r="L439" s="102"/>
      <c r="M439" s="102"/>
      <c r="N439" s="102"/>
      <c r="O439" s="102"/>
      <c r="P439" s="102"/>
      <c r="Q439" s="102"/>
      <c r="R439" s="102"/>
      <c r="S439" s="102" t="s">
        <v>180</v>
      </c>
      <c r="T439" s="102" t="s">
        <v>7</v>
      </c>
    </row>
    <row r="440" spans="1:20">
      <c r="A440" s="101" t="s">
        <v>3463</v>
      </c>
      <c r="B440" s="101" t="s">
        <v>3758</v>
      </c>
      <c r="C440" s="101">
        <v>1037</v>
      </c>
      <c r="D440" s="102" t="s">
        <v>11384</v>
      </c>
      <c r="E440" s="102" t="s">
        <v>1374</v>
      </c>
      <c r="F440" s="102"/>
      <c r="G440" s="102" t="s">
        <v>3399</v>
      </c>
      <c r="H440" s="102"/>
      <c r="I440" s="102"/>
      <c r="J440" s="102"/>
      <c r="K440" s="102" t="s">
        <v>11385</v>
      </c>
      <c r="L440" s="102"/>
      <c r="M440" s="102"/>
      <c r="N440" s="102"/>
      <c r="O440" s="102"/>
      <c r="P440" s="102"/>
      <c r="Q440" s="102"/>
      <c r="R440" s="102"/>
      <c r="S440" s="102" t="s">
        <v>38</v>
      </c>
      <c r="T440" s="102" t="s">
        <v>7</v>
      </c>
    </row>
    <row r="441" spans="1:20">
      <c r="A441" s="101" t="s">
        <v>3463</v>
      </c>
      <c r="B441" s="101" t="s">
        <v>3758</v>
      </c>
      <c r="C441" s="101">
        <v>1038</v>
      </c>
      <c r="D441" s="102" t="s">
        <v>10758</v>
      </c>
      <c r="E441" s="102" t="s">
        <v>1375</v>
      </c>
      <c r="F441" s="102"/>
      <c r="G441" s="102" t="s">
        <v>3399</v>
      </c>
      <c r="H441" s="102"/>
      <c r="I441" s="102"/>
      <c r="J441" s="102"/>
      <c r="K441" s="102" t="s">
        <v>10759</v>
      </c>
      <c r="L441" s="102"/>
      <c r="M441" s="102"/>
      <c r="N441" s="102"/>
      <c r="O441" s="102"/>
      <c r="P441" s="102"/>
      <c r="Q441" s="102"/>
      <c r="R441" s="102"/>
      <c r="S441" s="102" t="s">
        <v>844</v>
      </c>
      <c r="T441" s="102" t="s">
        <v>7</v>
      </c>
    </row>
    <row r="442" spans="1:20">
      <c r="A442" s="101" t="s">
        <v>3463</v>
      </c>
      <c r="B442" s="101" t="s">
        <v>3758</v>
      </c>
      <c r="C442" s="101">
        <v>1039</v>
      </c>
      <c r="D442" s="102" t="s">
        <v>11386</v>
      </c>
      <c r="E442" s="102" t="s">
        <v>1374</v>
      </c>
      <c r="F442" s="102"/>
      <c r="G442" s="102" t="s">
        <v>3399</v>
      </c>
      <c r="H442" s="102"/>
      <c r="I442" s="102"/>
      <c r="J442" s="102"/>
      <c r="K442" s="102" t="s">
        <v>11387</v>
      </c>
      <c r="L442" s="102"/>
      <c r="M442" s="102"/>
      <c r="N442" s="102"/>
      <c r="O442" s="102"/>
      <c r="P442" s="102"/>
      <c r="Q442" s="102"/>
      <c r="R442" s="102"/>
      <c r="S442" s="102" t="s">
        <v>32</v>
      </c>
      <c r="T442" s="102" t="s">
        <v>7</v>
      </c>
    </row>
    <row r="443" spans="1:20">
      <c r="A443" s="101" t="s">
        <v>3463</v>
      </c>
      <c r="B443" s="101" t="s">
        <v>3758</v>
      </c>
      <c r="C443" s="101">
        <v>1040</v>
      </c>
      <c r="D443" s="102" t="s">
        <v>11388</v>
      </c>
      <c r="E443" s="102" t="s">
        <v>1374</v>
      </c>
      <c r="F443" s="102"/>
      <c r="G443" s="102" t="s">
        <v>3399</v>
      </c>
      <c r="H443" s="102"/>
      <c r="I443" s="102"/>
      <c r="J443" s="102"/>
      <c r="K443" s="102" t="s">
        <v>11389</v>
      </c>
      <c r="L443" s="102" t="s">
        <v>8866</v>
      </c>
      <c r="M443" s="102"/>
      <c r="N443" s="102"/>
      <c r="O443" s="102"/>
      <c r="P443" s="102"/>
      <c r="Q443" s="102"/>
      <c r="R443" s="102"/>
      <c r="S443" s="102" t="s">
        <v>44</v>
      </c>
      <c r="T443" s="102" t="s">
        <v>7</v>
      </c>
    </row>
    <row r="444" spans="1:20">
      <c r="A444" s="101" t="s">
        <v>3463</v>
      </c>
      <c r="B444" s="101" t="s">
        <v>3758</v>
      </c>
      <c r="C444" s="101">
        <v>1041</v>
      </c>
      <c r="D444" s="102" t="s">
        <v>11390</v>
      </c>
      <c r="E444" s="102" t="s">
        <v>1374</v>
      </c>
      <c r="F444" s="102"/>
      <c r="G444" s="102" t="s">
        <v>3399</v>
      </c>
      <c r="H444" s="102"/>
      <c r="I444" s="102"/>
      <c r="J444" s="102"/>
      <c r="K444" s="102" t="s">
        <v>11391</v>
      </c>
      <c r="L444" s="102"/>
      <c r="M444" s="102"/>
      <c r="N444" s="102"/>
      <c r="O444" s="102"/>
      <c r="P444" s="102"/>
      <c r="Q444" s="102"/>
      <c r="R444" s="102"/>
      <c r="S444" s="102" t="s">
        <v>169</v>
      </c>
      <c r="T444" s="102" t="s">
        <v>7</v>
      </c>
    </row>
    <row r="445" spans="1:20">
      <c r="A445" s="101" t="s">
        <v>3463</v>
      </c>
      <c r="B445" s="101" t="s">
        <v>3758</v>
      </c>
      <c r="C445" s="101">
        <v>1042</v>
      </c>
      <c r="D445" s="102" t="s">
        <v>11392</v>
      </c>
      <c r="E445" s="102" t="s">
        <v>1374</v>
      </c>
      <c r="F445" s="102"/>
      <c r="G445" s="102" t="s">
        <v>3399</v>
      </c>
      <c r="H445" s="102"/>
      <c r="I445" s="102"/>
      <c r="J445" s="102"/>
      <c r="K445" s="102" t="s">
        <v>7241</v>
      </c>
      <c r="L445" s="102" t="s">
        <v>11393</v>
      </c>
      <c r="M445" s="102"/>
      <c r="N445" s="102"/>
      <c r="O445" s="102"/>
      <c r="P445" s="102"/>
      <c r="Q445" s="102"/>
      <c r="R445" s="102"/>
      <c r="S445" s="102" t="s">
        <v>37</v>
      </c>
      <c r="T445" s="102" t="s">
        <v>7</v>
      </c>
    </row>
    <row r="446" spans="1:20">
      <c r="A446" s="101" t="s">
        <v>3463</v>
      </c>
      <c r="B446" s="101" t="s">
        <v>3758</v>
      </c>
      <c r="C446" s="101">
        <v>1043</v>
      </c>
      <c r="D446" s="102" t="s">
        <v>11394</v>
      </c>
      <c r="E446" s="102" t="s">
        <v>1374</v>
      </c>
      <c r="F446" s="102"/>
      <c r="G446" s="102" t="s">
        <v>3399</v>
      </c>
      <c r="H446" s="102"/>
      <c r="I446" s="102"/>
      <c r="J446" s="102"/>
      <c r="K446" s="102" t="s">
        <v>11395</v>
      </c>
      <c r="L446" s="102"/>
      <c r="M446" s="102"/>
      <c r="N446" s="102"/>
      <c r="O446" s="102"/>
      <c r="P446" s="102"/>
      <c r="Q446" s="102"/>
      <c r="R446" s="102"/>
      <c r="S446" s="102" t="s">
        <v>177</v>
      </c>
      <c r="T446" s="102" t="s">
        <v>7</v>
      </c>
    </row>
    <row r="447" spans="1:20">
      <c r="A447" s="101" t="s">
        <v>3463</v>
      </c>
      <c r="B447" s="101" t="s">
        <v>3758</v>
      </c>
      <c r="C447" s="101">
        <v>1044</v>
      </c>
      <c r="D447" s="102" t="s">
        <v>11396</v>
      </c>
      <c r="E447" s="102" t="s">
        <v>1374</v>
      </c>
      <c r="F447" s="102"/>
      <c r="G447" s="102" t="s">
        <v>3399</v>
      </c>
      <c r="H447" s="102"/>
      <c r="I447" s="102"/>
      <c r="J447" s="102"/>
      <c r="K447" s="102" t="s">
        <v>11397</v>
      </c>
      <c r="L447" s="102"/>
      <c r="M447" s="102"/>
      <c r="N447" s="102"/>
      <c r="O447" s="102"/>
      <c r="P447" s="102"/>
      <c r="Q447" s="102"/>
      <c r="R447" s="102"/>
      <c r="S447" s="102" t="s">
        <v>3119</v>
      </c>
      <c r="T447" s="102" t="s">
        <v>7</v>
      </c>
    </row>
    <row r="448" spans="1:20">
      <c r="A448" s="101" t="s">
        <v>3463</v>
      </c>
      <c r="B448" s="101" t="s">
        <v>3758</v>
      </c>
      <c r="C448" s="101">
        <v>1045</v>
      </c>
      <c r="D448" s="102" t="s">
        <v>11398</v>
      </c>
      <c r="E448" s="102" t="s">
        <v>1375</v>
      </c>
      <c r="F448" s="102"/>
      <c r="G448" s="102" t="s">
        <v>3399</v>
      </c>
      <c r="H448" s="102"/>
      <c r="I448" s="102"/>
      <c r="J448" s="102"/>
      <c r="K448" s="102" t="s">
        <v>5052</v>
      </c>
      <c r="L448" s="102"/>
      <c r="M448" s="102"/>
      <c r="N448" s="102"/>
      <c r="O448" s="102"/>
      <c r="P448" s="102"/>
      <c r="Q448" s="102"/>
      <c r="R448" s="102"/>
      <c r="S448" s="102" t="s">
        <v>38</v>
      </c>
      <c r="T448" s="102" t="s">
        <v>7</v>
      </c>
    </row>
    <row r="449" spans="1:20">
      <c r="A449" s="101" t="s">
        <v>3463</v>
      </c>
      <c r="B449" s="101" t="s">
        <v>3758</v>
      </c>
      <c r="C449" s="101">
        <v>1046</v>
      </c>
      <c r="D449" s="102" t="s">
        <v>11399</v>
      </c>
      <c r="E449" s="102" t="s">
        <v>1374</v>
      </c>
      <c r="F449" s="102"/>
      <c r="G449" s="102" t="s">
        <v>3399</v>
      </c>
      <c r="H449" s="102"/>
      <c r="I449" s="102"/>
      <c r="J449" s="102"/>
      <c r="K449" s="102" t="s">
        <v>11400</v>
      </c>
      <c r="L449" s="102"/>
      <c r="M449" s="102"/>
      <c r="N449" s="102"/>
      <c r="O449" s="102"/>
      <c r="P449" s="102"/>
      <c r="Q449" s="102"/>
      <c r="R449" s="102"/>
      <c r="S449" s="102" t="s">
        <v>169</v>
      </c>
      <c r="T449" s="102" t="s">
        <v>7</v>
      </c>
    </row>
    <row r="450" spans="1:20">
      <c r="A450" s="101" t="s">
        <v>3463</v>
      </c>
      <c r="B450" s="101" t="s">
        <v>3758</v>
      </c>
      <c r="C450" s="101">
        <v>1047</v>
      </c>
      <c r="D450" s="102" t="s">
        <v>11401</v>
      </c>
      <c r="E450" s="102" t="s">
        <v>1375</v>
      </c>
      <c r="F450" s="102"/>
      <c r="G450" s="102" t="s">
        <v>3399</v>
      </c>
      <c r="H450" s="102"/>
      <c r="I450" s="102"/>
      <c r="J450" s="102"/>
      <c r="K450" s="102" t="s">
        <v>11402</v>
      </c>
      <c r="L450" s="102"/>
      <c r="M450" s="102"/>
      <c r="N450" s="102"/>
      <c r="O450" s="102"/>
      <c r="P450" s="102"/>
      <c r="Q450" s="102"/>
      <c r="R450" s="102"/>
      <c r="S450" s="102" t="s">
        <v>10</v>
      </c>
      <c r="T450" s="102" t="s">
        <v>7</v>
      </c>
    </row>
    <row r="451" spans="1:20">
      <c r="A451" s="101" t="s">
        <v>3463</v>
      </c>
      <c r="B451" s="101" t="s">
        <v>3758</v>
      </c>
      <c r="C451" s="101">
        <v>1048</v>
      </c>
      <c r="D451" s="102" t="s">
        <v>11403</v>
      </c>
      <c r="E451" s="102" t="s">
        <v>1374</v>
      </c>
      <c r="F451" s="102"/>
      <c r="G451" s="102" t="s">
        <v>3399</v>
      </c>
      <c r="H451" s="102"/>
      <c r="I451" s="102"/>
      <c r="J451" s="102"/>
      <c r="K451" s="102" t="s">
        <v>11404</v>
      </c>
      <c r="L451" s="102"/>
      <c r="M451" s="102"/>
      <c r="N451" s="102"/>
      <c r="O451" s="102"/>
      <c r="P451" s="102"/>
      <c r="Q451" s="102"/>
      <c r="R451" s="102"/>
      <c r="S451" s="102" t="s">
        <v>181</v>
      </c>
      <c r="T451" s="102" t="s">
        <v>7</v>
      </c>
    </row>
    <row r="452" spans="1:20">
      <c r="A452" s="101" t="s">
        <v>3463</v>
      </c>
      <c r="B452" s="101" t="s">
        <v>3758</v>
      </c>
      <c r="C452" s="101">
        <v>1049</v>
      </c>
      <c r="D452" s="102" t="s">
        <v>11405</v>
      </c>
      <c r="E452" s="102" t="s">
        <v>1379</v>
      </c>
      <c r="F452" s="102"/>
      <c r="G452" s="102" t="s">
        <v>3399</v>
      </c>
      <c r="H452" s="102"/>
      <c r="I452" s="102"/>
      <c r="J452" s="102"/>
      <c r="K452" s="102" t="s">
        <v>11406</v>
      </c>
      <c r="L452" s="102"/>
      <c r="M452" s="102"/>
      <c r="N452" s="102"/>
      <c r="O452" s="102"/>
      <c r="P452" s="102"/>
      <c r="Q452" s="102"/>
      <c r="R452" s="102"/>
      <c r="S452" s="102" t="s">
        <v>169</v>
      </c>
      <c r="T452" s="102" t="s">
        <v>7</v>
      </c>
    </row>
    <row r="453" spans="1:20">
      <c r="A453" s="101" t="s">
        <v>3463</v>
      </c>
      <c r="B453" s="101" t="s">
        <v>3758</v>
      </c>
      <c r="C453" s="101">
        <v>1050</v>
      </c>
      <c r="D453" s="102" t="s">
        <v>3748</v>
      </c>
      <c r="E453" s="102" t="s">
        <v>1378</v>
      </c>
      <c r="F453" s="102"/>
      <c r="G453" s="102" t="s">
        <v>3399</v>
      </c>
      <c r="H453" s="102"/>
      <c r="I453" s="102"/>
      <c r="J453" s="102"/>
      <c r="K453" s="102" t="s">
        <v>3749</v>
      </c>
      <c r="L453" s="102"/>
      <c r="M453" s="102"/>
      <c r="N453" s="102"/>
      <c r="O453" s="102"/>
      <c r="P453" s="102"/>
      <c r="Q453" s="102"/>
      <c r="R453" s="102"/>
      <c r="S453" s="102" t="s">
        <v>171</v>
      </c>
      <c r="T453" s="102" t="s">
        <v>7</v>
      </c>
    </row>
    <row r="454" spans="1:20">
      <c r="A454" s="101" t="s">
        <v>3463</v>
      </c>
      <c r="B454" s="101" t="s">
        <v>3758</v>
      </c>
      <c r="C454" s="101">
        <v>1051</v>
      </c>
      <c r="D454" s="102" t="s">
        <v>11407</v>
      </c>
      <c r="E454" s="102" t="s">
        <v>1378</v>
      </c>
      <c r="F454" s="102"/>
      <c r="G454" s="102" t="s">
        <v>3399</v>
      </c>
      <c r="H454" s="102"/>
      <c r="I454" s="102"/>
      <c r="J454" s="102"/>
      <c r="K454" s="102" t="s">
        <v>11408</v>
      </c>
      <c r="L454" s="102"/>
      <c r="M454" s="102"/>
      <c r="N454" s="102"/>
      <c r="O454" s="102"/>
      <c r="P454" s="102"/>
      <c r="Q454" s="102"/>
      <c r="R454" s="102"/>
      <c r="S454" s="102" t="s">
        <v>3119</v>
      </c>
      <c r="T454" s="102" t="s">
        <v>7</v>
      </c>
    </row>
    <row r="455" spans="1:20">
      <c r="A455" s="101" t="s">
        <v>3463</v>
      </c>
      <c r="B455" s="101" t="s">
        <v>3758</v>
      </c>
      <c r="C455" s="101">
        <v>1052</v>
      </c>
      <c r="D455" s="102" t="s">
        <v>11409</v>
      </c>
      <c r="E455" s="102" t="s">
        <v>1378</v>
      </c>
      <c r="F455" s="102"/>
      <c r="G455" s="102" t="s">
        <v>3399</v>
      </c>
      <c r="H455" s="102"/>
      <c r="I455" s="102"/>
      <c r="J455" s="102"/>
      <c r="K455" s="102" t="s">
        <v>11410</v>
      </c>
      <c r="L455" s="102" t="s">
        <v>4953</v>
      </c>
      <c r="M455" s="102"/>
      <c r="N455" s="102"/>
      <c r="O455" s="102"/>
      <c r="P455" s="102"/>
      <c r="Q455" s="102"/>
      <c r="R455" s="102"/>
      <c r="S455" s="102" t="s">
        <v>17</v>
      </c>
      <c r="T455" s="102" t="s">
        <v>7</v>
      </c>
    </row>
    <row r="456" spans="1:20">
      <c r="A456" s="101" t="s">
        <v>3463</v>
      </c>
      <c r="B456" s="101" t="s">
        <v>3758</v>
      </c>
      <c r="C456" s="101">
        <v>1053</v>
      </c>
      <c r="D456" s="102" t="s">
        <v>11411</v>
      </c>
      <c r="E456" s="102" t="s">
        <v>1379</v>
      </c>
      <c r="F456" s="102"/>
      <c r="G456" s="102" t="s">
        <v>3399</v>
      </c>
      <c r="H456" s="102"/>
      <c r="I456" s="102"/>
      <c r="J456" s="102"/>
      <c r="K456" s="102" t="s">
        <v>11412</v>
      </c>
      <c r="L456" s="102"/>
      <c r="M456" s="102"/>
      <c r="N456" s="102"/>
      <c r="O456" s="102"/>
      <c r="P456" s="102"/>
      <c r="Q456" s="102"/>
      <c r="R456" s="102"/>
      <c r="S456" s="102" t="s">
        <v>183</v>
      </c>
      <c r="T456" s="102" t="s">
        <v>7</v>
      </c>
    </row>
    <row r="457" spans="1:20">
      <c r="A457" s="101" t="s">
        <v>3463</v>
      </c>
      <c r="B457" s="101" t="s">
        <v>3758</v>
      </c>
      <c r="C457" s="101">
        <v>1054</v>
      </c>
      <c r="D457" s="102" t="s">
        <v>11413</v>
      </c>
      <c r="E457" s="102" t="s">
        <v>1378</v>
      </c>
      <c r="F457" s="102"/>
      <c r="G457" s="102" t="s">
        <v>3399</v>
      </c>
      <c r="H457" s="102"/>
      <c r="I457" s="102"/>
      <c r="J457" s="102"/>
      <c r="K457" s="102" t="s">
        <v>7296</v>
      </c>
      <c r="L457" s="102" t="s">
        <v>11414</v>
      </c>
      <c r="M457" s="102"/>
      <c r="N457" s="102"/>
      <c r="O457" s="102"/>
      <c r="P457" s="102"/>
      <c r="Q457" s="102"/>
      <c r="R457" s="102"/>
      <c r="S457" s="102" t="s">
        <v>28</v>
      </c>
      <c r="T457" s="102" t="s">
        <v>7</v>
      </c>
    </row>
    <row r="458" spans="1:20">
      <c r="A458" s="101" t="s">
        <v>3463</v>
      </c>
      <c r="B458" s="101" t="s">
        <v>3758</v>
      </c>
      <c r="C458" s="101">
        <v>1055</v>
      </c>
      <c r="D458" s="102" t="s">
        <v>10774</v>
      </c>
      <c r="E458" s="102" t="s">
        <v>1378</v>
      </c>
      <c r="F458" s="102"/>
      <c r="G458" s="102" t="s">
        <v>3399</v>
      </c>
      <c r="H458" s="102"/>
      <c r="I458" s="102"/>
      <c r="J458" s="102"/>
      <c r="K458" s="102" t="s">
        <v>10775</v>
      </c>
      <c r="L458" s="102"/>
      <c r="M458" s="102"/>
      <c r="N458" s="102"/>
      <c r="O458" s="102"/>
      <c r="P458" s="102"/>
      <c r="Q458" s="102"/>
      <c r="R458" s="102"/>
      <c r="S458" s="102" t="s">
        <v>170</v>
      </c>
      <c r="T458" s="102" t="s">
        <v>7</v>
      </c>
    </row>
    <row r="459" spans="1:20">
      <c r="A459" s="101" t="s">
        <v>3463</v>
      </c>
      <c r="B459" s="101" t="s">
        <v>3758</v>
      </c>
      <c r="C459" s="101">
        <v>1056</v>
      </c>
      <c r="D459" s="102" t="s">
        <v>11415</v>
      </c>
      <c r="E459" s="102" t="s">
        <v>1378</v>
      </c>
      <c r="F459" s="102"/>
      <c r="G459" s="102" t="s">
        <v>3399</v>
      </c>
      <c r="H459" s="102"/>
      <c r="I459" s="102"/>
      <c r="J459" s="102"/>
      <c r="K459" s="102" t="s">
        <v>11101</v>
      </c>
      <c r="L459" s="102"/>
      <c r="M459" s="102"/>
      <c r="N459" s="102"/>
      <c r="O459" s="102"/>
      <c r="P459" s="102"/>
      <c r="Q459" s="102"/>
      <c r="R459" s="102"/>
      <c r="S459" s="102" t="s">
        <v>171</v>
      </c>
      <c r="T459" s="102" t="s">
        <v>7</v>
      </c>
    </row>
    <row r="460" spans="1:20">
      <c r="A460" s="101" t="s">
        <v>3463</v>
      </c>
      <c r="B460" s="101" t="s">
        <v>3758</v>
      </c>
      <c r="C460" s="101">
        <v>1057</v>
      </c>
      <c r="D460" s="102" t="s">
        <v>11416</v>
      </c>
      <c r="E460" s="102" t="s">
        <v>1379</v>
      </c>
      <c r="F460" s="102"/>
      <c r="G460" s="102" t="s">
        <v>3399</v>
      </c>
      <c r="H460" s="102" t="s">
        <v>5180</v>
      </c>
      <c r="I460" s="102"/>
      <c r="J460" s="102"/>
      <c r="K460" s="102" t="s">
        <v>3749</v>
      </c>
      <c r="L460" s="102"/>
      <c r="M460" s="102"/>
      <c r="N460" s="102"/>
      <c r="O460" s="102"/>
      <c r="P460" s="102"/>
      <c r="Q460" s="102"/>
      <c r="R460" s="102"/>
      <c r="S460" s="102" t="s">
        <v>179</v>
      </c>
      <c r="T460" s="102" t="s">
        <v>7</v>
      </c>
    </row>
    <row r="461" spans="1:20">
      <c r="A461" s="101" t="s">
        <v>3463</v>
      </c>
      <c r="B461" s="101" t="s">
        <v>3758</v>
      </c>
      <c r="C461" s="101">
        <v>1058</v>
      </c>
      <c r="D461" s="102" t="s">
        <v>11417</v>
      </c>
      <c r="E461" s="102" t="s">
        <v>1378</v>
      </c>
      <c r="F461" s="102"/>
      <c r="G461" s="102" t="s">
        <v>3399</v>
      </c>
      <c r="H461" s="102"/>
      <c r="I461" s="102"/>
      <c r="J461" s="102"/>
      <c r="K461" s="102" t="s">
        <v>11418</v>
      </c>
      <c r="L461" s="102" t="s">
        <v>11419</v>
      </c>
      <c r="M461" s="102"/>
      <c r="N461" s="102"/>
      <c r="O461" s="102"/>
      <c r="P461" s="102"/>
      <c r="Q461" s="102"/>
      <c r="R461" s="102"/>
      <c r="S461" s="102" t="s">
        <v>36</v>
      </c>
      <c r="T461" s="102" t="s">
        <v>7</v>
      </c>
    </row>
    <row r="462" spans="1:20">
      <c r="A462" s="101" t="s">
        <v>3463</v>
      </c>
      <c r="B462" s="101" t="s">
        <v>3758</v>
      </c>
      <c r="C462" s="101">
        <v>1059</v>
      </c>
      <c r="D462" s="102" t="s">
        <v>11420</v>
      </c>
      <c r="E462" s="102" t="s">
        <v>1378</v>
      </c>
      <c r="F462" s="102"/>
      <c r="G462" s="102" t="s">
        <v>3399</v>
      </c>
      <c r="H462" s="102"/>
      <c r="I462" s="102"/>
      <c r="J462" s="102"/>
      <c r="K462" s="102" t="s">
        <v>11421</v>
      </c>
      <c r="L462" s="102" t="s">
        <v>5208</v>
      </c>
      <c r="M462" s="102"/>
      <c r="N462" s="102"/>
      <c r="O462" s="102"/>
      <c r="P462" s="102"/>
      <c r="Q462" s="102"/>
      <c r="R462" s="102"/>
      <c r="S462" s="102" t="s">
        <v>170</v>
      </c>
      <c r="T462" s="102" t="s">
        <v>7</v>
      </c>
    </row>
    <row r="463" spans="1:20">
      <c r="A463" s="101" t="s">
        <v>3463</v>
      </c>
      <c r="B463" s="101" t="s">
        <v>3758</v>
      </c>
      <c r="C463" s="101">
        <v>1060</v>
      </c>
      <c r="D463" s="102" t="s">
        <v>11422</v>
      </c>
      <c r="E463" s="102" t="s">
        <v>1378</v>
      </c>
      <c r="F463" s="102"/>
      <c r="G463" s="102" t="s">
        <v>3399</v>
      </c>
      <c r="H463" s="102"/>
      <c r="I463" s="102"/>
      <c r="J463" s="102"/>
      <c r="K463" s="102" t="s">
        <v>11423</v>
      </c>
      <c r="L463" s="102" t="s">
        <v>11424</v>
      </c>
      <c r="M463" s="102"/>
      <c r="N463" s="102"/>
      <c r="O463" s="102"/>
      <c r="P463" s="102"/>
      <c r="Q463" s="102"/>
      <c r="R463" s="102"/>
      <c r="S463" s="102" t="s">
        <v>46</v>
      </c>
      <c r="T463" s="102" t="s">
        <v>7</v>
      </c>
    </row>
    <row r="464" spans="1:20">
      <c r="A464" s="101" t="s">
        <v>3463</v>
      </c>
      <c r="B464" s="101" t="s">
        <v>3758</v>
      </c>
      <c r="C464" s="101">
        <v>1061</v>
      </c>
      <c r="D464" s="102" t="s">
        <v>11425</v>
      </c>
      <c r="E464" s="102" t="s">
        <v>1378</v>
      </c>
      <c r="F464" s="102"/>
      <c r="G464" s="102" t="s">
        <v>3399</v>
      </c>
      <c r="H464" s="102"/>
      <c r="I464" s="102"/>
      <c r="J464" s="102"/>
      <c r="K464" s="102" t="s">
        <v>11426</v>
      </c>
      <c r="L464" s="102"/>
      <c r="M464" s="102"/>
      <c r="N464" s="102"/>
      <c r="O464" s="102"/>
      <c r="P464" s="102"/>
      <c r="Q464" s="102"/>
      <c r="R464" s="102"/>
      <c r="S464" s="102" t="s">
        <v>5685</v>
      </c>
      <c r="T464" s="102" t="s">
        <v>7</v>
      </c>
    </row>
    <row r="465" spans="1:20">
      <c r="A465" s="101" t="s">
        <v>3463</v>
      </c>
      <c r="B465" s="101" t="s">
        <v>3758</v>
      </c>
      <c r="C465" s="101">
        <v>1062</v>
      </c>
      <c r="D465" s="102" t="s">
        <v>11427</v>
      </c>
      <c r="E465" s="102" t="s">
        <v>1378</v>
      </c>
      <c r="F465" s="102"/>
      <c r="G465" s="102" t="s">
        <v>3399</v>
      </c>
      <c r="H465" s="102"/>
      <c r="I465" s="102"/>
      <c r="J465" s="102"/>
      <c r="K465" s="102" t="s">
        <v>11428</v>
      </c>
      <c r="L465" s="102"/>
      <c r="M465" s="102"/>
      <c r="N465" s="102"/>
      <c r="O465" s="102"/>
      <c r="P465" s="102"/>
      <c r="Q465" s="102"/>
      <c r="R465" s="102"/>
      <c r="S465" s="102" t="s">
        <v>26</v>
      </c>
      <c r="T465" s="102" t="s">
        <v>7</v>
      </c>
    </row>
    <row r="466" spans="1:20">
      <c r="A466" s="101" t="s">
        <v>3463</v>
      </c>
      <c r="B466" s="101" t="s">
        <v>3758</v>
      </c>
      <c r="C466" s="101">
        <v>1063</v>
      </c>
      <c r="D466" s="102" t="s">
        <v>11429</v>
      </c>
      <c r="E466" s="102" t="s">
        <v>1378</v>
      </c>
      <c r="F466" s="102"/>
      <c r="G466" s="102" t="s">
        <v>3399</v>
      </c>
      <c r="H466" s="102"/>
      <c r="I466" s="102"/>
      <c r="J466" s="102"/>
      <c r="K466" s="102" t="s">
        <v>11430</v>
      </c>
      <c r="L466" s="102"/>
      <c r="M466" s="102"/>
      <c r="N466" s="102"/>
      <c r="O466" s="102"/>
      <c r="P466" s="102"/>
      <c r="Q466" s="102"/>
      <c r="R466" s="102"/>
      <c r="S466" s="102" t="s">
        <v>3747</v>
      </c>
      <c r="T466" s="102" t="s">
        <v>7</v>
      </c>
    </row>
    <row r="467" spans="1:20">
      <c r="A467" s="101" t="s">
        <v>3463</v>
      </c>
      <c r="B467" s="101" t="s">
        <v>3758</v>
      </c>
      <c r="C467" s="101">
        <v>1064</v>
      </c>
      <c r="D467" s="102" t="s">
        <v>11431</v>
      </c>
      <c r="E467" s="102" t="s">
        <v>1378</v>
      </c>
      <c r="F467" s="102"/>
      <c r="G467" s="102" t="s">
        <v>3399</v>
      </c>
      <c r="H467" s="102"/>
      <c r="I467" s="102"/>
      <c r="J467" s="102"/>
      <c r="K467" s="102" t="s">
        <v>11432</v>
      </c>
      <c r="L467" s="102"/>
      <c r="M467" s="102"/>
      <c r="N467" s="102"/>
      <c r="O467" s="102"/>
      <c r="P467" s="102"/>
      <c r="Q467" s="102"/>
      <c r="R467" s="102"/>
      <c r="S467" s="102" t="s">
        <v>171</v>
      </c>
      <c r="T467" s="102" t="s">
        <v>7</v>
      </c>
    </row>
    <row r="468" spans="1:20">
      <c r="A468" s="101" t="s">
        <v>3463</v>
      </c>
      <c r="B468" s="101" t="s">
        <v>3758</v>
      </c>
      <c r="C468" s="101">
        <v>1065</v>
      </c>
      <c r="D468" s="102" t="s">
        <v>11433</v>
      </c>
      <c r="E468" s="102" t="s">
        <v>1378</v>
      </c>
      <c r="F468" s="102"/>
      <c r="G468" s="102" t="s">
        <v>3399</v>
      </c>
      <c r="H468" s="102"/>
      <c r="I468" s="102"/>
      <c r="J468" s="102"/>
      <c r="K468" s="102" t="s">
        <v>11434</v>
      </c>
      <c r="L468" s="102"/>
      <c r="M468" s="102"/>
      <c r="N468" s="102"/>
      <c r="O468" s="102"/>
      <c r="P468" s="102"/>
      <c r="Q468" s="102"/>
      <c r="R468" s="102"/>
      <c r="S468" s="102" t="s">
        <v>5</v>
      </c>
      <c r="T468" s="102" t="s">
        <v>7</v>
      </c>
    </row>
    <row r="469" spans="1:20">
      <c r="A469" s="101" t="s">
        <v>3463</v>
      </c>
      <c r="B469" s="101" t="s">
        <v>3758</v>
      </c>
      <c r="C469" s="101">
        <v>1066</v>
      </c>
      <c r="D469" s="102" t="s">
        <v>11435</v>
      </c>
      <c r="E469" s="102" t="s">
        <v>11436</v>
      </c>
      <c r="F469" s="102"/>
      <c r="G469" s="102" t="s">
        <v>3399</v>
      </c>
      <c r="H469" s="102"/>
      <c r="I469" s="102"/>
      <c r="J469" s="102"/>
      <c r="K469" s="102" t="s">
        <v>11437</v>
      </c>
      <c r="L469" s="102"/>
      <c r="M469" s="102"/>
      <c r="N469" s="102"/>
      <c r="O469" s="102"/>
      <c r="P469" s="102"/>
      <c r="Q469" s="102"/>
      <c r="R469" s="102"/>
      <c r="S469" s="102" t="s">
        <v>606</v>
      </c>
      <c r="T469" s="102" t="s">
        <v>7</v>
      </c>
    </row>
    <row r="470" spans="1:20">
      <c r="A470" s="101" t="s">
        <v>3463</v>
      </c>
      <c r="B470" s="101" t="s">
        <v>3758</v>
      </c>
      <c r="C470" s="101">
        <v>1067</v>
      </c>
      <c r="D470" s="102" t="s">
        <v>11438</v>
      </c>
      <c r="E470" s="102" t="s">
        <v>1378</v>
      </c>
      <c r="F470" s="102"/>
      <c r="G470" s="102" t="s">
        <v>3399</v>
      </c>
      <c r="H470" s="102"/>
      <c r="I470" s="102"/>
      <c r="J470" s="102"/>
      <c r="K470" s="102" t="s">
        <v>11439</v>
      </c>
      <c r="L470" s="102"/>
      <c r="M470" s="102"/>
      <c r="N470" s="102"/>
      <c r="O470" s="102"/>
      <c r="P470" s="102"/>
      <c r="Q470" s="102"/>
      <c r="R470" s="102"/>
      <c r="S470" s="102" t="s">
        <v>26</v>
      </c>
      <c r="T470" s="102" t="s">
        <v>7</v>
      </c>
    </row>
    <row r="471" spans="1:20">
      <c r="A471" s="101" t="s">
        <v>3463</v>
      </c>
      <c r="B471" s="101" t="s">
        <v>3758</v>
      </c>
      <c r="C471" s="101">
        <v>1068</v>
      </c>
      <c r="D471" s="102" t="s">
        <v>11440</v>
      </c>
      <c r="E471" s="102" t="s">
        <v>1378</v>
      </c>
      <c r="F471" s="102"/>
      <c r="G471" s="102" t="s">
        <v>3399</v>
      </c>
      <c r="H471" s="102"/>
      <c r="I471" s="102"/>
      <c r="J471" s="102"/>
      <c r="K471" s="102" t="s">
        <v>11441</v>
      </c>
      <c r="L471" s="102" t="s">
        <v>11442</v>
      </c>
      <c r="M471" s="102"/>
      <c r="N471" s="102"/>
      <c r="O471" s="102"/>
      <c r="P471" s="102"/>
      <c r="Q471" s="102"/>
      <c r="R471" s="102"/>
      <c r="S471" s="102" t="s">
        <v>5719</v>
      </c>
      <c r="T471" s="102" t="s">
        <v>7</v>
      </c>
    </row>
    <row r="472" spans="1:20">
      <c r="A472" s="101" t="s">
        <v>3463</v>
      </c>
      <c r="B472" s="101" t="s">
        <v>3758</v>
      </c>
      <c r="C472" s="101">
        <v>1069</v>
      </c>
      <c r="D472" s="102" t="s">
        <v>11443</v>
      </c>
      <c r="E472" s="102" t="s">
        <v>1385</v>
      </c>
      <c r="F472" s="102"/>
      <c r="G472" s="102" t="s">
        <v>3399</v>
      </c>
      <c r="H472" s="102"/>
      <c r="I472" s="102"/>
      <c r="J472" s="102"/>
      <c r="K472" s="102" t="s">
        <v>11444</v>
      </c>
      <c r="L472" s="102" t="s">
        <v>11445</v>
      </c>
      <c r="M472" s="102"/>
      <c r="N472" s="102"/>
      <c r="O472" s="102"/>
      <c r="P472" s="102"/>
      <c r="Q472" s="102"/>
      <c r="R472" s="102"/>
      <c r="S472" s="102" t="s">
        <v>33</v>
      </c>
      <c r="T472" s="102" t="s">
        <v>7</v>
      </c>
    </row>
    <row r="473" spans="1:20">
      <c r="A473" s="101" t="s">
        <v>3463</v>
      </c>
      <c r="B473" s="101" t="s">
        <v>3758</v>
      </c>
      <c r="C473" s="101">
        <v>1070</v>
      </c>
      <c r="D473" s="102" t="s">
        <v>11446</v>
      </c>
      <c r="E473" s="102" t="s">
        <v>1385</v>
      </c>
      <c r="F473" s="102"/>
      <c r="G473" s="102" t="s">
        <v>3399</v>
      </c>
      <c r="H473" s="102"/>
      <c r="I473" s="102"/>
      <c r="J473" s="102"/>
      <c r="K473" s="102" t="s">
        <v>11447</v>
      </c>
      <c r="L473" s="102"/>
      <c r="M473" s="102"/>
      <c r="N473" s="102"/>
      <c r="O473" s="102"/>
      <c r="P473" s="102"/>
      <c r="Q473" s="102"/>
      <c r="R473" s="102"/>
      <c r="S473" s="102" t="s">
        <v>6</v>
      </c>
      <c r="T473" s="102" t="s">
        <v>7</v>
      </c>
    </row>
    <row r="474" spans="1:20">
      <c r="A474" s="101" t="s">
        <v>3463</v>
      </c>
      <c r="B474" s="101" t="s">
        <v>3758</v>
      </c>
      <c r="C474" s="101">
        <v>1071</v>
      </c>
      <c r="D474" s="102" t="s">
        <v>11448</v>
      </c>
      <c r="E474" s="102" t="s">
        <v>1381</v>
      </c>
      <c r="F474" s="102"/>
      <c r="G474" s="102" t="s">
        <v>3399</v>
      </c>
      <c r="H474" s="102"/>
      <c r="I474" s="102"/>
      <c r="J474" s="102"/>
      <c r="K474" s="102" t="s">
        <v>11449</v>
      </c>
      <c r="L474" s="102"/>
      <c r="M474" s="102"/>
      <c r="N474" s="102"/>
      <c r="O474" s="102"/>
      <c r="P474" s="102"/>
      <c r="Q474" s="102"/>
      <c r="R474" s="102"/>
      <c r="S474" s="102" t="s">
        <v>53</v>
      </c>
      <c r="T474" s="102" t="s">
        <v>7</v>
      </c>
    </row>
    <row r="475" spans="1:20">
      <c r="A475" s="101" t="s">
        <v>3463</v>
      </c>
      <c r="B475" s="101" t="s">
        <v>3758</v>
      </c>
      <c r="C475" s="101">
        <v>1072</v>
      </c>
      <c r="D475" s="102" t="s">
        <v>11450</v>
      </c>
      <c r="E475" s="102" t="s">
        <v>1385</v>
      </c>
      <c r="F475" s="102"/>
      <c r="G475" s="102" t="s">
        <v>3399</v>
      </c>
      <c r="H475" s="102"/>
      <c r="I475" s="102"/>
      <c r="J475" s="102"/>
      <c r="K475" s="102" t="s">
        <v>11451</v>
      </c>
      <c r="L475" s="102"/>
      <c r="M475" s="102"/>
      <c r="N475" s="102"/>
      <c r="O475" s="102"/>
      <c r="P475" s="102"/>
      <c r="Q475" s="102"/>
      <c r="R475" s="102"/>
      <c r="S475" s="102" t="s">
        <v>172</v>
      </c>
      <c r="T475" s="102" t="s">
        <v>7</v>
      </c>
    </row>
    <row r="476" spans="1:20">
      <c r="A476" s="101" t="s">
        <v>3463</v>
      </c>
      <c r="B476" s="101" t="s">
        <v>3758</v>
      </c>
      <c r="C476" s="101">
        <v>1073</v>
      </c>
      <c r="D476" s="102" t="s">
        <v>11452</v>
      </c>
      <c r="E476" s="102" t="s">
        <v>1381</v>
      </c>
      <c r="F476" s="102"/>
      <c r="G476" s="102" t="s">
        <v>3399</v>
      </c>
      <c r="H476" s="102"/>
      <c r="I476" s="102"/>
      <c r="J476" s="102"/>
      <c r="K476" s="102" t="s">
        <v>11453</v>
      </c>
      <c r="L476" s="102" t="s">
        <v>10655</v>
      </c>
      <c r="M476" s="102"/>
      <c r="N476" s="102"/>
      <c r="O476" s="102"/>
      <c r="P476" s="102"/>
      <c r="Q476" s="102"/>
      <c r="R476" s="102"/>
      <c r="S476" s="102" t="s">
        <v>31</v>
      </c>
      <c r="T476" s="102" t="s">
        <v>7</v>
      </c>
    </row>
    <row r="477" spans="1:20">
      <c r="A477" s="101" t="s">
        <v>3463</v>
      </c>
      <c r="B477" s="101" t="s">
        <v>3758</v>
      </c>
      <c r="C477" s="101">
        <v>1074</v>
      </c>
      <c r="D477" s="102" t="s">
        <v>11454</v>
      </c>
      <c r="E477" s="102" t="s">
        <v>1385</v>
      </c>
      <c r="F477" s="102"/>
      <c r="G477" s="102" t="s">
        <v>3399</v>
      </c>
      <c r="H477" s="102"/>
      <c r="I477" s="102"/>
      <c r="J477" s="102"/>
      <c r="K477" s="102" t="s">
        <v>11455</v>
      </c>
      <c r="L477" s="102"/>
      <c r="M477" s="102"/>
      <c r="N477" s="102"/>
      <c r="O477" s="102"/>
      <c r="P477" s="102"/>
      <c r="Q477" s="102"/>
      <c r="R477" s="102"/>
      <c r="S477" s="102" t="s">
        <v>27</v>
      </c>
      <c r="T477" s="102" t="s">
        <v>7</v>
      </c>
    </row>
    <row r="478" spans="1:20">
      <c r="A478" s="101" t="s">
        <v>3463</v>
      </c>
      <c r="B478" s="101" t="s">
        <v>3758</v>
      </c>
      <c r="C478" s="101">
        <v>1075</v>
      </c>
      <c r="D478" s="102" t="s">
        <v>11456</v>
      </c>
      <c r="E478" s="102" t="s">
        <v>1381</v>
      </c>
      <c r="F478" s="102"/>
      <c r="G478" s="102" t="s">
        <v>3399</v>
      </c>
      <c r="H478" s="102"/>
      <c r="I478" s="102"/>
      <c r="J478" s="102"/>
      <c r="K478" s="102" t="s">
        <v>11457</v>
      </c>
      <c r="L478" s="102"/>
      <c r="M478" s="102"/>
      <c r="N478" s="102"/>
      <c r="O478" s="102"/>
      <c r="P478" s="102"/>
      <c r="Q478" s="102"/>
      <c r="R478" s="102"/>
      <c r="S478" s="102" t="s">
        <v>181</v>
      </c>
      <c r="T478" s="102" t="s">
        <v>7</v>
      </c>
    </row>
    <row r="479" spans="1:20">
      <c r="A479" s="101" t="s">
        <v>3463</v>
      </c>
      <c r="B479" s="101" t="s">
        <v>3758</v>
      </c>
      <c r="C479" s="101">
        <v>1076</v>
      </c>
      <c r="D479" s="102" t="s">
        <v>11458</v>
      </c>
      <c r="E479" s="102" t="s">
        <v>1381</v>
      </c>
      <c r="F479" s="102"/>
      <c r="G479" s="102" t="s">
        <v>3399</v>
      </c>
      <c r="H479" s="102"/>
      <c r="I479" s="102"/>
      <c r="J479" s="102"/>
      <c r="K479" s="102" t="s">
        <v>6394</v>
      </c>
      <c r="L479" s="102" t="s">
        <v>11459</v>
      </c>
      <c r="M479" s="102"/>
      <c r="N479" s="102"/>
      <c r="O479" s="102"/>
      <c r="P479" s="102"/>
      <c r="Q479" s="102"/>
      <c r="R479" s="102"/>
      <c r="S479" s="102" t="s">
        <v>37</v>
      </c>
      <c r="T479" s="102" t="s">
        <v>7</v>
      </c>
    </row>
    <row r="480" spans="1:20">
      <c r="A480" s="101" t="s">
        <v>3463</v>
      </c>
      <c r="B480" s="101" t="s">
        <v>3758</v>
      </c>
      <c r="C480" s="101">
        <v>1077</v>
      </c>
      <c r="D480" s="102" t="s">
        <v>11460</v>
      </c>
      <c r="E480" s="102" t="s">
        <v>1385</v>
      </c>
      <c r="F480" s="102"/>
      <c r="G480" s="102" t="s">
        <v>3399</v>
      </c>
      <c r="H480" s="102"/>
      <c r="I480" s="102"/>
      <c r="J480" s="102"/>
      <c r="K480" s="102" t="s">
        <v>11461</v>
      </c>
      <c r="L480" s="102" t="s">
        <v>11462</v>
      </c>
      <c r="M480" s="102"/>
      <c r="N480" s="102"/>
      <c r="O480" s="102"/>
      <c r="P480" s="102"/>
      <c r="Q480" s="102"/>
      <c r="R480" s="102"/>
      <c r="S480" s="102" t="s">
        <v>34</v>
      </c>
      <c r="T480" s="102" t="s">
        <v>7</v>
      </c>
    </row>
    <row r="481" spans="1:20">
      <c r="A481" s="101" t="s">
        <v>3463</v>
      </c>
      <c r="B481" s="101" t="s">
        <v>3758</v>
      </c>
      <c r="C481" s="101">
        <v>1078</v>
      </c>
      <c r="D481" s="102" t="s">
        <v>11463</v>
      </c>
      <c r="E481" s="102" t="s">
        <v>1385</v>
      </c>
      <c r="F481" s="102"/>
      <c r="G481" s="102" t="s">
        <v>3399</v>
      </c>
      <c r="H481" s="102"/>
      <c r="I481" s="102"/>
      <c r="J481" s="102"/>
      <c r="K481" s="102" t="s">
        <v>11464</v>
      </c>
      <c r="L481" s="102"/>
      <c r="M481" s="102"/>
      <c r="N481" s="102"/>
      <c r="O481" s="102"/>
      <c r="P481" s="102"/>
      <c r="Q481" s="102"/>
      <c r="R481" s="102"/>
      <c r="S481" s="102" t="s">
        <v>170</v>
      </c>
      <c r="T481" s="102" t="s">
        <v>7</v>
      </c>
    </row>
    <row r="482" spans="1:20">
      <c r="A482" s="101" t="s">
        <v>3463</v>
      </c>
      <c r="B482" s="101" t="s">
        <v>3758</v>
      </c>
      <c r="C482" s="101">
        <v>1079</v>
      </c>
      <c r="D482" s="102" t="s">
        <v>11465</v>
      </c>
      <c r="E482" s="102" t="s">
        <v>1465</v>
      </c>
      <c r="F482" s="102"/>
      <c r="G482" s="102" t="s">
        <v>3399</v>
      </c>
      <c r="H482" s="102"/>
      <c r="I482" s="102"/>
      <c r="J482" s="102"/>
      <c r="K482" s="102" t="s">
        <v>9710</v>
      </c>
      <c r="L482" s="102" t="s">
        <v>10655</v>
      </c>
      <c r="M482" s="102"/>
      <c r="N482" s="102"/>
      <c r="O482" s="102"/>
      <c r="P482" s="102"/>
      <c r="Q482" s="102"/>
      <c r="R482" s="102"/>
      <c r="S482" s="102" t="s">
        <v>31</v>
      </c>
      <c r="T482" s="102" t="s">
        <v>7</v>
      </c>
    </row>
    <row r="483" spans="1:20">
      <c r="A483" s="101" t="s">
        <v>3463</v>
      </c>
      <c r="B483" s="101" t="s">
        <v>3758</v>
      </c>
      <c r="C483" s="101">
        <v>1080</v>
      </c>
      <c r="D483" s="102" t="s">
        <v>11466</v>
      </c>
      <c r="E483" s="102" t="s">
        <v>1465</v>
      </c>
      <c r="F483" s="102"/>
      <c r="G483" s="102" t="s">
        <v>3399</v>
      </c>
      <c r="H483" s="102"/>
      <c r="I483" s="102"/>
      <c r="J483" s="102"/>
      <c r="K483" s="102" t="s">
        <v>11467</v>
      </c>
      <c r="L483" s="102"/>
      <c r="M483" s="102"/>
      <c r="N483" s="102"/>
      <c r="O483" s="102"/>
      <c r="P483" s="102"/>
      <c r="Q483" s="102"/>
      <c r="R483" s="102"/>
      <c r="S483" s="102" t="s">
        <v>45</v>
      </c>
      <c r="T483" s="102" t="s">
        <v>7</v>
      </c>
    </row>
    <row r="484" spans="1:20">
      <c r="A484" s="101" t="s">
        <v>3463</v>
      </c>
      <c r="B484" s="101" t="s">
        <v>3758</v>
      </c>
      <c r="C484" s="101">
        <v>1081</v>
      </c>
      <c r="D484" s="102" t="s">
        <v>11468</v>
      </c>
      <c r="E484" s="102" t="s">
        <v>11469</v>
      </c>
      <c r="F484" s="102"/>
      <c r="G484" s="102" t="s">
        <v>3399</v>
      </c>
      <c r="H484" s="102"/>
      <c r="I484" s="102"/>
      <c r="J484" s="102"/>
      <c r="K484" s="102" t="s">
        <v>11470</v>
      </c>
      <c r="L484" s="102"/>
      <c r="M484" s="102"/>
      <c r="N484" s="102"/>
      <c r="O484" s="102"/>
      <c r="P484" s="102"/>
      <c r="Q484" s="102"/>
      <c r="R484" s="102"/>
      <c r="S484" s="102" t="s">
        <v>179</v>
      </c>
      <c r="T484" s="102" t="s">
        <v>7</v>
      </c>
    </row>
    <row r="485" spans="1:20">
      <c r="A485" s="101" t="s">
        <v>3463</v>
      </c>
      <c r="B485" s="101" t="s">
        <v>3758</v>
      </c>
      <c r="C485" s="101">
        <v>1082</v>
      </c>
      <c r="D485" s="102" t="s">
        <v>11471</v>
      </c>
      <c r="E485" s="102" t="s">
        <v>1386</v>
      </c>
      <c r="F485" s="102"/>
      <c r="G485" s="102" t="s">
        <v>3399</v>
      </c>
      <c r="H485" s="102"/>
      <c r="I485" s="102"/>
      <c r="J485" s="102"/>
      <c r="K485" s="102" t="s">
        <v>11472</v>
      </c>
      <c r="L485" s="102" t="s">
        <v>4953</v>
      </c>
      <c r="M485" s="102"/>
      <c r="N485" s="102"/>
      <c r="O485" s="102"/>
      <c r="P485" s="102"/>
      <c r="Q485" s="102"/>
      <c r="R485" s="102"/>
      <c r="S485" s="102" t="s">
        <v>29</v>
      </c>
      <c r="T485" s="102" t="s">
        <v>7</v>
      </c>
    </row>
    <row r="486" spans="1:20">
      <c r="A486" s="101" t="s">
        <v>3463</v>
      </c>
      <c r="B486" s="101" t="s">
        <v>3758</v>
      </c>
      <c r="C486" s="101">
        <v>1083</v>
      </c>
      <c r="D486" s="102" t="s">
        <v>11473</v>
      </c>
      <c r="E486" s="102" t="s">
        <v>1386</v>
      </c>
      <c r="F486" s="102"/>
      <c r="G486" s="102" t="s">
        <v>3399</v>
      </c>
      <c r="H486" s="102"/>
      <c r="I486" s="102"/>
      <c r="J486" s="102"/>
      <c r="K486" s="102" t="s">
        <v>11474</v>
      </c>
      <c r="L486" s="102"/>
      <c r="M486" s="102"/>
      <c r="N486" s="102"/>
      <c r="O486" s="102"/>
      <c r="P486" s="102"/>
      <c r="Q486" s="102"/>
      <c r="R486" s="102"/>
      <c r="S486" s="102" t="s">
        <v>3747</v>
      </c>
      <c r="T486" s="102" t="s">
        <v>7</v>
      </c>
    </row>
    <row r="487" spans="1:20">
      <c r="A487" s="101" t="s">
        <v>3463</v>
      </c>
      <c r="B487" s="101" t="s">
        <v>3758</v>
      </c>
      <c r="C487" s="101">
        <v>1084</v>
      </c>
      <c r="D487" s="102" t="s">
        <v>11475</v>
      </c>
      <c r="E487" s="102" t="s">
        <v>1465</v>
      </c>
      <c r="F487" s="102"/>
      <c r="G487" s="102" t="s">
        <v>3399</v>
      </c>
      <c r="H487" s="102"/>
      <c r="I487" s="102"/>
      <c r="J487" s="102"/>
      <c r="K487" s="102" t="s">
        <v>11476</v>
      </c>
      <c r="L487" s="102"/>
      <c r="M487" s="102"/>
      <c r="N487" s="102"/>
      <c r="O487" s="102"/>
      <c r="P487" s="102"/>
      <c r="Q487" s="102"/>
      <c r="R487" s="102"/>
      <c r="S487" s="102" t="s">
        <v>40</v>
      </c>
      <c r="T487" s="102" t="s">
        <v>7</v>
      </c>
    </row>
    <row r="488" spans="1:20">
      <c r="A488" s="101" t="s">
        <v>3463</v>
      </c>
      <c r="B488" s="101" t="s">
        <v>3758</v>
      </c>
      <c r="C488" s="101">
        <v>1085</v>
      </c>
      <c r="D488" s="102" t="s">
        <v>11477</v>
      </c>
      <c r="E488" s="102" t="s">
        <v>1465</v>
      </c>
      <c r="F488" s="102"/>
      <c r="G488" s="102" t="s">
        <v>3399</v>
      </c>
      <c r="H488" s="102"/>
      <c r="I488" s="102"/>
      <c r="J488" s="102"/>
      <c r="K488" s="102" t="s">
        <v>11478</v>
      </c>
      <c r="L488" s="102"/>
      <c r="M488" s="102"/>
      <c r="N488" s="102"/>
      <c r="O488" s="102"/>
      <c r="P488" s="102"/>
      <c r="Q488" s="102"/>
      <c r="R488" s="102"/>
      <c r="S488" s="102" t="s">
        <v>44</v>
      </c>
      <c r="T488" s="102" t="s">
        <v>7</v>
      </c>
    </row>
    <row r="489" spans="1:20">
      <c r="A489" s="101" t="s">
        <v>3463</v>
      </c>
      <c r="B489" s="101" t="s">
        <v>3758</v>
      </c>
      <c r="C489" s="101">
        <v>1086</v>
      </c>
      <c r="D489" s="102" t="s">
        <v>11479</v>
      </c>
      <c r="E489" s="102" t="s">
        <v>11480</v>
      </c>
      <c r="F489" s="102"/>
      <c r="G489" s="102" t="s">
        <v>3399</v>
      </c>
      <c r="H489" s="102"/>
      <c r="I489" s="102"/>
      <c r="J489" s="102"/>
      <c r="K489" s="102" t="s">
        <v>11481</v>
      </c>
      <c r="L489" s="102"/>
      <c r="M489" s="102"/>
      <c r="N489" s="102"/>
      <c r="O489" s="102"/>
      <c r="P489" s="102"/>
      <c r="Q489" s="102"/>
      <c r="R489" s="102"/>
      <c r="S489" s="102" t="s">
        <v>171</v>
      </c>
      <c r="T489" s="102" t="s">
        <v>7</v>
      </c>
    </row>
    <row r="490" spans="1:20">
      <c r="A490" s="102" t="s">
        <v>3465</v>
      </c>
      <c r="B490" s="102" t="s">
        <v>3758</v>
      </c>
      <c r="C490" s="101">
        <v>2001</v>
      </c>
      <c r="D490" s="101" t="s">
        <v>11681</v>
      </c>
      <c r="E490" s="102" t="s">
        <v>11176</v>
      </c>
      <c r="F490" s="102"/>
      <c r="G490" s="102" t="s">
        <v>3399</v>
      </c>
      <c r="H490" s="102"/>
      <c r="I490" s="102"/>
      <c r="J490" s="102"/>
      <c r="K490" s="102" t="s">
        <v>5110</v>
      </c>
      <c r="L490" s="102" t="s">
        <v>11682</v>
      </c>
      <c r="M490" s="102"/>
      <c r="N490" s="102"/>
      <c r="O490" s="102"/>
      <c r="P490" s="102"/>
      <c r="Q490" s="102"/>
      <c r="R490" s="102"/>
      <c r="S490" s="102" t="s">
        <v>31</v>
      </c>
      <c r="T490" s="102" t="s">
        <v>9</v>
      </c>
    </row>
    <row r="491" spans="1:20">
      <c r="A491" s="102" t="s">
        <v>3465</v>
      </c>
      <c r="B491" s="102" t="s">
        <v>3758</v>
      </c>
      <c r="C491" s="101">
        <v>2003</v>
      </c>
      <c r="D491" s="102" t="s">
        <v>11683</v>
      </c>
      <c r="E491" s="102" t="s">
        <v>10337</v>
      </c>
      <c r="F491" s="102"/>
      <c r="G491" s="102" t="s">
        <v>3399</v>
      </c>
      <c r="H491" s="102"/>
      <c r="I491" s="102"/>
      <c r="J491" s="102"/>
      <c r="K491" s="102" t="s">
        <v>11684</v>
      </c>
      <c r="L491" s="102" t="s">
        <v>11685</v>
      </c>
      <c r="M491" s="102"/>
      <c r="N491" s="102"/>
      <c r="O491" s="102"/>
      <c r="P491" s="102"/>
      <c r="Q491" s="102"/>
      <c r="R491" s="102"/>
      <c r="S491" s="102" t="s">
        <v>10</v>
      </c>
      <c r="T491" s="102" t="s">
        <v>9</v>
      </c>
    </row>
    <row r="492" spans="1:20">
      <c r="A492" s="102" t="s">
        <v>3465</v>
      </c>
      <c r="B492" s="102" t="s">
        <v>3758</v>
      </c>
      <c r="C492" s="101">
        <v>2004</v>
      </c>
      <c r="D492" s="102" t="s">
        <v>11686</v>
      </c>
      <c r="E492" s="102" t="s">
        <v>10337</v>
      </c>
      <c r="F492" s="102"/>
      <c r="G492" s="102" t="s">
        <v>3399</v>
      </c>
      <c r="H492" s="102"/>
      <c r="I492" s="102"/>
      <c r="J492" s="102"/>
      <c r="K492" s="102" t="s">
        <v>11687</v>
      </c>
      <c r="L492" s="102" t="s">
        <v>11688</v>
      </c>
      <c r="M492" s="102"/>
      <c r="N492" s="102"/>
      <c r="O492" s="102"/>
      <c r="P492" s="102"/>
      <c r="Q492" s="102"/>
      <c r="R492" s="102"/>
      <c r="S492" s="102" t="s">
        <v>38</v>
      </c>
      <c r="T492" s="102" t="s">
        <v>9</v>
      </c>
    </row>
    <row r="493" spans="1:20">
      <c r="A493" s="102" t="s">
        <v>3465</v>
      </c>
      <c r="B493" s="102" t="s">
        <v>3758</v>
      </c>
      <c r="C493" s="101">
        <v>2005</v>
      </c>
      <c r="D493" s="102" t="s">
        <v>11689</v>
      </c>
      <c r="E493" s="102" t="s">
        <v>10337</v>
      </c>
      <c r="F493" s="102"/>
      <c r="G493" s="102" t="s">
        <v>3399</v>
      </c>
      <c r="H493" s="102"/>
      <c r="I493" s="102"/>
      <c r="J493" s="102"/>
      <c r="K493" s="102" t="s">
        <v>11690</v>
      </c>
      <c r="L493" s="102" t="s">
        <v>11691</v>
      </c>
      <c r="M493" s="102"/>
      <c r="N493" s="102"/>
      <c r="O493" s="102"/>
      <c r="P493" s="102"/>
      <c r="Q493" s="102"/>
      <c r="R493" s="102"/>
      <c r="S493" s="102" t="s">
        <v>5685</v>
      </c>
      <c r="T493" s="102" t="s">
        <v>9</v>
      </c>
    </row>
    <row r="494" spans="1:20">
      <c r="A494" s="102" t="s">
        <v>3465</v>
      </c>
      <c r="B494" s="102" t="s">
        <v>3758</v>
      </c>
      <c r="C494" s="101">
        <v>2006</v>
      </c>
      <c r="D494" s="102" t="s">
        <v>11692</v>
      </c>
      <c r="E494" s="102" t="s">
        <v>10337</v>
      </c>
      <c r="F494" s="102"/>
      <c r="G494" s="102" t="s">
        <v>3399</v>
      </c>
      <c r="H494" s="102"/>
      <c r="I494" s="102"/>
      <c r="J494" s="102"/>
      <c r="K494" s="102" t="s">
        <v>11693</v>
      </c>
      <c r="L494" s="102"/>
      <c r="M494" s="102"/>
      <c r="N494" s="102"/>
      <c r="O494" s="102"/>
      <c r="P494" s="102"/>
      <c r="Q494" s="102"/>
      <c r="R494" s="102"/>
      <c r="S494" s="102" t="s">
        <v>46</v>
      </c>
      <c r="T494" s="102" t="s">
        <v>9</v>
      </c>
    </row>
    <row r="495" spans="1:20">
      <c r="A495" s="102" t="s">
        <v>3465</v>
      </c>
      <c r="B495" s="102" t="s">
        <v>3758</v>
      </c>
      <c r="C495" s="101">
        <v>2007</v>
      </c>
      <c r="D495" s="102" t="s">
        <v>11694</v>
      </c>
      <c r="E495" s="102" t="s">
        <v>10337</v>
      </c>
      <c r="F495" s="102"/>
      <c r="G495" s="102" t="s">
        <v>3399</v>
      </c>
      <c r="H495" s="102"/>
      <c r="I495" s="102"/>
      <c r="J495" s="102"/>
      <c r="K495" s="102" t="s">
        <v>11695</v>
      </c>
      <c r="L495" s="102"/>
      <c r="M495" s="102"/>
      <c r="N495" s="102"/>
      <c r="O495" s="102"/>
      <c r="P495" s="102"/>
      <c r="Q495" s="102"/>
      <c r="R495" s="102"/>
      <c r="S495" s="102" t="s">
        <v>173</v>
      </c>
      <c r="T495" s="102" t="s">
        <v>9</v>
      </c>
    </row>
    <row r="496" spans="1:20">
      <c r="A496" s="102" t="s">
        <v>3465</v>
      </c>
      <c r="B496" s="102" t="s">
        <v>3758</v>
      </c>
      <c r="C496" s="101">
        <v>2008</v>
      </c>
      <c r="D496" s="102" t="s">
        <v>11696</v>
      </c>
      <c r="E496" s="102" t="s">
        <v>10337</v>
      </c>
      <c r="F496" s="102"/>
      <c r="G496" s="102" t="s">
        <v>3399</v>
      </c>
      <c r="H496" s="102"/>
      <c r="I496" s="102"/>
      <c r="J496" s="102"/>
      <c r="K496" s="102" t="s">
        <v>11697</v>
      </c>
      <c r="L496" s="102"/>
      <c r="M496" s="102"/>
      <c r="N496" s="102"/>
      <c r="O496" s="102"/>
      <c r="P496" s="102"/>
      <c r="Q496" s="102"/>
      <c r="R496" s="102"/>
      <c r="S496" s="102" t="s">
        <v>176</v>
      </c>
      <c r="T496" s="102" t="s">
        <v>9</v>
      </c>
    </row>
    <row r="497" spans="1:20">
      <c r="A497" s="102" t="s">
        <v>3465</v>
      </c>
      <c r="B497" s="102" t="s">
        <v>3758</v>
      </c>
      <c r="C497" s="101">
        <v>2010</v>
      </c>
      <c r="D497" s="102" t="s">
        <v>11698</v>
      </c>
      <c r="E497" s="102" t="s">
        <v>10337</v>
      </c>
      <c r="F497" s="102"/>
      <c r="G497" s="102" t="s">
        <v>3399</v>
      </c>
      <c r="H497" s="102"/>
      <c r="I497" s="102"/>
      <c r="J497" s="102"/>
      <c r="K497" s="102" t="s">
        <v>11699</v>
      </c>
      <c r="L497" s="102" t="s">
        <v>11700</v>
      </c>
      <c r="M497" s="102"/>
      <c r="N497" s="102"/>
      <c r="O497" s="102"/>
      <c r="P497" s="102"/>
      <c r="Q497" s="102"/>
      <c r="R497" s="102"/>
      <c r="S497" s="102" t="s">
        <v>45</v>
      </c>
      <c r="T497" s="102" t="s">
        <v>9</v>
      </c>
    </row>
    <row r="498" spans="1:20">
      <c r="A498" s="102" t="s">
        <v>3465</v>
      </c>
      <c r="B498" s="102" t="s">
        <v>3758</v>
      </c>
      <c r="C498" s="101">
        <v>2011</v>
      </c>
      <c r="D498" s="102" t="s">
        <v>11701</v>
      </c>
      <c r="E498" s="102" t="s">
        <v>11320</v>
      </c>
      <c r="F498" s="102"/>
      <c r="G498" s="102" t="s">
        <v>3399</v>
      </c>
      <c r="H498" s="102"/>
      <c r="I498" s="102"/>
      <c r="J498" s="102"/>
      <c r="K498" s="102" t="s">
        <v>11702</v>
      </c>
      <c r="L498" s="102"/>
      <c r="M498" s="102"/>
      <c r="N498" s="102"/>
      <c r="O498" s="102"/>
      <c r="P498" s="102"/>
      <c r="Q498" s="102"/>
      <c r="R498" s="102"/>
      <c r="S498" s="102" t="s">
        <v>35</v>
      </c>
      <c r="T498" s="102" t="s">
        <v>9</v>
      </c>
    </row>
    <row r="499" spans="1:20">
      <c r="A499" s="102" t="s">
        <v>3465</v>
      </c>
      <c r="B499" s="102" t="s">
        <v>3758</v>
      </c>
      <c r="C499" s="101">
        <v>2012</v>
      </c>
      <c r="D499" s="102" t="s">
        <v>11703</v>
      </c>
      <c r="E499" s="102" t="s">
        <v>1370</v>
      </c>
      <c r="F499" s="102"/>
      <c r="G499" s="102" t="s">
        <v>3399</v>
      </c>
      <c r="H499" s="102"/>
      <c r="I499" s="102"/>
      <c r="J499" s="102"/>
      <c r="K499" s="102" t="s">
        <v>11704</v>
      </c>
      <c r="L499" s="102" t="s">
        <v>11705</v>
      </c>
      <c r="M499" s="102"/>
      <c r="N499" s="102"/>
      <c r="O499" s="102"/>
      <c r="P499" s="102"/>
      <c r="Q499" s="102"/>
      <c r="R499" s="102"/>
      <c r="S499" s="102" t="s">
        <v>170</v>
      </c>
      <c r="T499" s="102" t="s">
        <v>9</v>
      </c>
    </row>
    <row r="500" spans="1:20">
      <c r="A500" s="102" t="s">
        <v>3465</v>
      </c>
      <c r="B500" s="102" t="s">
        <v>3758</v>
      </c>
      <c r="C500" s="101">
        <v>2013</v>
      </c>
      <c r="D500" s="102" t="s">
        <v>11706</v>
      </c>
      <c r="E500" s="102" t="s">
        <v>1370</v>
      </c>
      <c r="F500" s="102"/>
      <c r="G500" s="102" t="s">
        <v>3399</v>
      </c>
      <c r="H500" s="102"/>
      <c r="I500" s="102"/>
      <c r="J500" s="102"/>
      <c r="K500" s="102" t="s">
        <v>11707</v>
      </c>
      <c r="L500" s="102"/>
      <c r="M500" s="102"/>
      <c r="N500" s="102"/>
      <c r="O500" s="102"/>
      <c r="P500" s="102"/>
      <c r="Q500" s="102"/>
      <c r="R500" s="102"/>
      <c r="S500" s="102" t="s">
        <v>171</v>
      </c>
      <c r="T500" s="102" t="s">
        <v>9</v>
      </c>
    </row>
    <row r="501" spans="1:20">
      <c r="A501" s="102" t="s">
        <v>3465</v>
      </c>
      <c r="B501" s="102" t="s">
        <v>3758</v>
      </c>
      <c r="C501" s="101">
        <v>2015</v>
      </c>
      <c r="D501" s="102" t="s">
        <v>11708</v>
      </c>
      <c r="E501" s="102" t="s">
        <v>1372</v>
      </c>
      <c r="F501" s="102"/>
      <c r="G501" s="102" t="s">
        <v>3399</v>
      </c>
      <c r="H501" s="102"/>
      <c r="I501" s="102"/>
      <c r="J501" s="102"/>
      <c r="K501" s="102" t="s">
        <v>11709</v>
      </c>
      <c r="L501" s="102" t="s">
        <v>11710</v>
      </c>
      <c r="M501" s="102"/>
      <c r="N501" s="102"/>
      <c r="O501" s="102"/>
      <c r="P501" s="102"/>
      <c r="Q501" s="102"/>
      <c r="R501" s="102"/>
      <c r="S501" s="102" t="s">
        <v>6</v>
      </c>
      <c r="T501" s="102" t="s">
        <v>9</v>
      </c>
    </row>
    <row r="502" spans="1:20">
      <c r="A502" s="102" t="s">
        <v>3465</v>
      </c>
      <c r="B502" s="102" t="s">
        <v>3758</v>
      </c>
      <c r="C502" s="101">
        <v>2016</v>
      </c>
      <c r="D502" s="102" t="s">
        <v>11711</v>
      </c>
      <c r="E502" s="102" t="s">
        <v>1372</v>
      </c>
      <c r="F502" s="102"/>
      <c r="G502" s="102" t="s">
        <v>3399</v>
      </c>
      <c r="H502" s="102"/>
      <c r="I502" s="102"/>
      <c r="J502" s="102"/>
      <c r="K502" s="102" t="s">
        <v>11712</v>
      </c>
      <c r="L502" s="102" t="s">
        <v>11713</v>
      </c>
      <c r="M502" s="102"/>
      <c r="N502" s="102"/>
      <c r="O502" s="102"/>
      <c r="P502" s="102"/>
      <c r="Q502" s="102"/>
      <c r="R502" s="102"/>
      <c r="S502" s="102" t="s">
        <v>46</v>
      </c>
      <c r="T502" s="102" t="s">
        <v>9</v>
      </c>
    </row>
    <row r="503" spans="1:20">
      <c r="A503" s="102" t="s">
        <v>3465</v>
      </c>
      <c r="B503" s="102" t="s">
        <v>3758</v>
      </c>
      <c r="C503" s="101">
        <v>2017</v>
      </c>
      <c r="D503" s="102" t="s">
        <v>11714</v>
      </c>
      <c r="E503" s="102" t="s">
        <v>1372</v>
      </c>
      <c r="F503" s="102"/>
      <c r="G503" s="102" t="s">
        <v>3399</v>
      </c>
      <c r="H503" s="102"/>
      <c r="I503" s="102"/>
      <c r="J503" s="102"/>
      <c r="K503" s="102" t="s">
        <v>10454</v>
      </c>
      <c r="L503" s="102" t="s">
        <v>11715</v>
      </c>
      <c r="M503" s="102"/>
      <c r="N503" s="102"/>
      <c r="O503" s="102"/>
      <c r="P503" s="102"/>
      <c r="Q503" s="102"/>
      <c r="R503" s="102"/>
      <c r="S503" s="102" t="s">
        <v>11</v>
      </c>
      <c r="T503" s="102" t="s">
        <v>9</v>
      </c>
    </row>
    <row r="504" spans="1:20">
      <c r="A504" s="102" t="s">
        <v>3465</v>
      </c>
      <c r="B504" s="102" t="s">
        <v>3758</v>
      </c>
      <c r="C504" s="101">
        <v>2018</v>
      </c>
      <c r="D504" s="102" t="s">
        <v>11716</v>
      </c>
      <c r="E504" s="102" t="s">
        <v>11001</v>
      </c>
      <c r="F504" s="102"/>
      <c r="G504" s="102" t="s">
        <v>3399</v>
      </c>
      <c r="H504" s="102"/>
      <c r="I504" s="102"/>
      <c r="J504" s="102"/>
      <c r="K504" s="102" t="s">
        <v>11717</v>
      </c>
      <c r="L504" s="102" t="s">
        <v>11718</v>
      </c>
      <c r="M504" s="102" t="s">
        <v>11719</v>
      </c>
      <c r="N504" s="102"/>
      <c r="O504" s="102"/>
      <c r="P504" s="102"/>
      <c r="Q504" s="102"/>
      <c r="R504" s="102"/>
      <c r="S504" s="102" t="s">
        <v>34</v>
      </c>
      <c r="T504" s="102" t="s">
        <v>9</v>
      </c>
    </row>
    <row r="505" spans="1:20">
      <c r="A505" s="102" t="s">
        <v>3465</v>
      </c>
      <c r="B505" s="102" t="s">
        <v>3758</v>
      </c>
      <c r="C505" s="101">
        <v>2019</v>
      </c>
      <c r="D505" s="102" t="s">
        <v>11720</v>
      </c>
      <c r="E505" s="102" t="s">
        <v>1372</v>
      </c>
      <c r="F505" s="102"/>
      <c r="G505" s="102" t="s">
        <v>3399</v>
      </c>
      <c r="H505" s="102"/>
      <c r="I505" s="102"/>
      <c r="J505" s="102"/>
      <c r="K505" s="102" t="s">
        <v>11721</v>
      </c>
      <c r="L505" s="102" t="s">
        <v>11722</v>
      </c>
      <c r="M505" s="102"/>
      <c r="N505" s="102"/>
      <c r="O505" s="102"/>
      <c r="P505" s="102"/>
      <c r="Q505" s="102"/>
      <c r="R505" s="102"/>
      <c r="S505" s="102" t="s">
        <v>27</v>
      </c>
      <c r="T505" s="102" t="s">
        <v>9</v>
      </c>
    </row>
    <row r="506" spans="1:20">
      <c r="A506" s="104" t="s">
        <v>3465</v>
      </c>
      <c r="B506" s="104" t="s">
        <v>3758</v>
      </c>
      <c r="C506" s="103">
        <v>2020</v>
      </c>
      <c r="D506" s="104" t="s">
        <v>11723</v>
      </c>
      <c r="E506" s="104" t="s">
        <v>11001</v>
      </c>
      <c r="F506" s="104"/>
      <c r="G506" s="104" t="s">
        <v>6910</v>
      </c>
      <c r="H506" s="104"/>
      <c r="I506" s="104"/>
      <c r="J506" s="104"/>
      <c r="K506" s="104" t="s">
        <v>6911</v>
      </c>
      <c r="L506" s="104" t="s">
        <v>11724</v>
      </c>
      <c r="M506" s="104"/>
      <c r="N506" s="104"/>
      <c r="O506" s="104"/>
      <c r="P506" s="104"/>
      <c r="Q506" s="104"/>
      <c r="R506" s="102"/>
      <c r="S506" s="102" t="s">
        <v>5719</v>
      </c>
      <c r="T506" s="102" t="s">
        <v>9</v>
      </c>
    </row>
    <row r="507" spans="1:20">
      <c r="A507" s="102" t="s">
        <v>3465</v>
      </c>
      <c r="B507" s="102" t="s">
        <v>3758</v>
      </c>
      <c r="C507" s="101">
        <v>2021</v>
      </c>
      <c r="D507" s="102" t="s">
        <v>11725</v>
      </c>
      <c r="E507" s="102" t="s">
        <v>1372</v>
      </c>
      <c r="F507" s="102"/>
      <c r="G507" s="102" t="s">
        <v>3399</v>
      </c>
      <c r="H507" s="102"/>
      <c r="I507" s="102"/>
      <c r="J507" s="102"/>
      <c r="K507" s="102" t="s">
        <v>11726</v>
      </c>
      <c r="L507" s="102"/>
      <c r="M507" s="102"/>
      <c r="N507" s="102"/>
      <c r="O507" s="102"/>
      <c r="P507" s="102"/>
      <c r="Q507" s="102"/>
      <c r="R507" s="102"/>
      <c r="S507" s="102"/>
      <c r="T507" s="102" t="s">
        <v>9</v>
      </c>
    </row>
    <row r="508" spans="1:20">
      <c r="A508" s="102" t="s">
        <v>3465</v>
      </c>
      <c r="B508" s="102" t="s">
        <v>3758</v>
      </c>
      <c r="C508" s="101">
        <v>2022</v>
      </c>
      <c r="D508" s="102" t="s">
        <v>11727</v>
      </c>
      <c r="E508" s="102" t="s">
        <v>1386</v>
      </c>
      <c r="F508" s="102"/>
      <c r="G508" s="102" t="s">
        <v>3399</v>
      </c>
      <c r="H508" s="102"/>
      <c r="I508" s="102"/>
      <c r="J508" s="102"/>
      <c r="K508" s="102" t="s">
        <v>11728</v>
      </c>
      <c r="L508" s="102"/>
      <c r="M508" s="102"/>
      <c r="N508" s="102"/>
      <c r="O508" s="102"/>
      <c r="P508" s="102"/>
      <c r="Q508" s="102"/>
      <c r="R508" s="102"/>
      <c r="S508" s="102" t="s">
        <v>33</v>
      </c>
      <c r="T508" s="102" t="s">
        <v>9</v>
      </c>
    </row>
    <row r="509" spans="1:20">
      <c r="A509" s="102" t="s">
        <v>3465</v>
      </c>
      <c r="B509" s="102" t="s">
        <v>3758</v>
      </c>
      <c r="C509" s="101">
        <v>2023</v>
      </c>
      <c r="D509" s="102" t="s">
        <v>11729</v>
      </c>
      <c r="E509" s="102" t="s">
        <v>11001</v>
      </c>
      <c r="F509" s="102"/>
      <c r="G509" s="102" t="s">
        <v>3399</v>
      </c>
      <c r="H509" s="102"/>
      <c r="I509" s="102"/>
      <c r="J509" s="102"/>
      <c r="K509" s="102" t="s">
        <v>11730</v>
      </c>
      <c r="L509" s="102"/>
      <c r="M509" s="102"/>
      <c r="N509" s="102"/>
      <c r="O509" s="102"/>
      <c r="P509" s="102"/>
      <c r="Q509" s="102"/>
      <c r="R509" s="102"/>
      <c r="S509" s="102" t="s">
        <v>3119</v>
      </c>
      <c r="T509" s="102" t="s">
        <v>9</v>
      </c>
    </row>
    <row r="510" spans="1:20">
      <c r="A510" s="102" t="s">
        <v>3465</v>
      </c>
      <c r="B510" s="102" t="s">
        <v>3758</v>
      </c>
      <c r="C510" s="101">
        <v>2024</v>
      </c>
      <c r="D510" s="102" t="s">
        <v>11731</v>
      </c>
      <c r="E510" s="102" t="s">
        <v>1375</v>
      </c>
      <c r="F510" s="102"/>
      <c r="G510" s="102" t="s">
        <v>3399</v>
      </c>
      <c r="H510" s="102"/>
      <c r="I510" s="102"/>
      <c r="J510" s="102"/>
      <c r="K510" s="102" t="s">
        <v>11732</v>
      </c>
      <c r="L510" s="102"/>
      <c r="M510" s="102"/>
      <c r="N510" s="102"/>
      <c r="O510" s="102"/>
      <c r="P510" s="102"/>
      <c r="Q510" s="102"/>
      <c r="R510" s="102"/>
      <c r="S510" s="102" t="s">
        <v>14</v>
      </c>
      <c r="T510" s="102" t="s">
        <v>9</v>
      </c>
    </row>
    <row r="511" spans="1:20">
      <c r="A511" s="102" t="s">
        <v>3465</v>
      </c>
      <c r="B511" s="102" t="s">
        <v>3758</v>
      </c>
      <c r="C511" s="101">
        <v>2025</v>
      </c>
      <c r="D511" s="102" t="s">
        <v>11733</v>
      </c>
      <c r="E511" s="102" t="s">
        <v>1375</v>
      </c>
      <c r="F511" s="102"/>
      <c r="G511" s="102" t="s">
        <v>3399</v>
      </c>
      <c r="H511" s="102"/>
      <c r="I511" s="102"/>
      <c r="J511" s="102"/>
      <c r="K511" s="102" t="s">
        <v>11067</v>
      </c>
      <c r="L511" s="102" t="s">
        <v>5271</v>
      </c>
      <c r="M511" s="102" t="s">
        <v>11734</v>
      </c>
      <c r="N511" s="102" t="s">
        <v>11735</v>
      </c>
      <c r="O511" s="102" t="s">
        <v>11736</v>
      </c>
      <c r="P511" s="102"/>
      <c r="Q511" s="102"/>
      <c r="R511" s="102"/>
      <c r="S511" s="102" t="s">
        <v>39</v>
      </c>
      <c r="T511" s="102" t="s">
        <v>9</v>
      </c>
    </row>
    <row r="512" spans="1:20">
      <c r="A512" s="102" t="s">
        <v>3465</v>
      </c>
      <c r="B512" s="102" t="s">
        <v>3758</v>
      </c>
      <c r="C512" s="101">
        <v>2026</v>
      </c>
      <c r="D512" s="102" t="s">
        <v>11737</v>
      </c>
      <c r="E512" s="102" t="s">
        <v>1374</v>
      </c>
      <c r="F512" s="102"/>
      <c r="G512" s="102" t="s">
        <v>3399</v>
      </c>
      <c r="H512" s="102"/>
      <c r="I512" s="102"/>
      <c r="J512" s="102"/>
      <c r="K512" s="102" t="s">
        <v>11738</v>
      </c>
      <c r="L512" s="102"/>
      <c r="M512" s="102"/>
      <c r="N512" s="102"/>
      <c r="O512" s="102"/>
      <c r="P512" s="102"/>
      <c r="Q512" s="102"/>
      <c r="R512" s="102"/>
      <c r="S512" s="102" t="s">
        <v>5281</v>
      </c>
      <c r="T512" s="102" t="s">
        <v>9</v>
      </c>
    </row>
    <row r="513" spans="1:20">
      <c r="A513" s="102" t="s">
        <v>3465</v>
      </c>
      <c r="B513" s="102" t="s">
        <v>3758</v>
      </c>
      <c r="C513" s="101">
        <v>2027</v>
      </c>
      <c r="D513" s="102" t="s">
        <v>11739</v>
      </c>
      <c r="E513" s="102" t="s">
        <v>1374</v>
      </c>
      <c r="F513" s="102"/>
      <c r="G513" s="102" t="s">
        <v>3399</v>
      </c>
      <c r="H513" s="102"/>
      <c r="I513" s="102"/>
      <c r="J513" s="102"/>
      <c r="K513" s="102" t="s">
        <v>11740</v>
      </c>
      <c r="L513" s="102" t="s">
        <v>11741</v>
      </c>
      <c r="M513" s="102"/>
      <c r="N513" s="102"/>
      <c r="O513" s="102"/>
      <c r="P513" s="102"/>
      <c r="Q513" s="102"/>
      <c r="R513" s="102"/>
      <c r="S513" s="102" t="s">
        <v>38</v>
      </c>
      <c r="T513" s="102" t="s">
        <v>9</v>
      </c>
    </row>
    <row r="514" spans="1:20">
      <c r="A514" s="102" t="s">
        <v>3465</v>
      </c>
      <c r="B514" s="102" t="s">
        <v>3758</v>
      </c>
      <c r="C514" s="101">
        <v>2029</v>
      </c>
      <c r="D514" s="102" t="s">
        <v>11742</v>
      </c>
      <c r="E514" s="102" t="s">
        <v>1375</v>
      </c>
      <c r="F514" s="102"/>
      <c r="G514" s="102" t="s">
        <v>3399</v>
      </c>
      <c r="H514" s="102"/>
      <c r="I514" s="102"/>
      <c r="J514" s="102"/>
      <c r="K514" s="102" t="s">
        <v>11743</v>
      </c>
      <c r="L514" s="102" t="s">
        <v>11744</v>
      </c>
      <c r="M514" s="102"/>
      <c r="N514" s="102"/>
      <c r="O514" s="102"/>
      <c r="P514" s="102"/>
      <c r="Q514" s="102"/>
      <c r="R514" s="102"/>
      <c r="S514" s="102" t="s">
        <v>182</v>
      </c>
      <c r="T514" s="102" t="s">
        <v>9</v>
      </c>
    </row>
    <row r="515" spans="1:20">
      <c r="A515" s="102" t="s">
        <v>3465</v>
      </c>
      <c r="B515" s="102" t="s">
        <v>3758</v>
      </c>
      <c r="C515" s="101">
        <v>2030</v>
      </c>
      <c r="D515" s="102" t="s">
        <v>11745</v>
      </c>
      <c r="E515" s="102" t="s">
        <v>1375</v>
      </c>
      <c r="F515" s="102"/>
      <c r="G515" s="102" t="s">
        <v>3399</v>
      </c>
      <c r="H515" s="102"/>
      <c r="I515" s="102"/>
      <c r="J515" s="102"/>
      <c r="K515" s="102" t="s">
        <v>11746</v>
      </c>
      <c r="L515" s="102" t="s">
        <v>11747</v>
      </c>
      <c r="M515" s="102"/>
      <c r="N515" s="102"/>
      <c r="O515" s="102"/>
      <c r="P515" s="102"/>
      <c r="Q515" s="102"/>
      <c r="R515" s="102"/>
      <c r="S515" s="102" t="s">
        <v>48</v>
      </c>
      <c r="T515" s="102" t="s">
        <v>9</v>
      </c>
    </row>
    <row r="516" spans="1:20">
      <c r="A516" s="102" t="s">
        <v>3465</v>
      </c>
      <c r="B516" s="102" t="s">
        <v>3758</v>
      </c>
      <c r="C516" s="101">
        <v>2031</v>
      </c>
      <c r="D516" s="102" t="s">
        <v>11748</v>
      </c>
      <c r="E516" s="102" t="s">
        <v>1374</v>
      </c>
      <c r="F516" s="102"/>
      <c r="G516" s="102" t="s">
        <v>3399</v>
      </c>
      <c r="H516" s="102"/>
      <c r="I516" s="102"/>
      <c r="J516" s="102"/>
      <c r="K516" s="102" t="s">
        <v>11749</v>
      </c>
      <c r="L516" s="102"/>
      <c r="M516" s="102"/>
      <c r="N516" s="102"/>
      <c r="O516" s="102"/>
      <c r="P516" s="102"/>
      <c r="Q516" s="102"/>
      <c r="R516" s="102"/>
      <c r="S516" s="102"/>
      <c r="T516" s="102" t="s">
        <v>9</v>
      </c>
    </row>
    <row r="517" spans="1:20">
      <c r="A517" s="102" t="s">
        <v>3465</v>
      </c>
      <c r="B517" s="102" t="s">
        <v>3758</v>
      </c>
      <c r="C517" s="101">
        <v>2032</v>
      </c>
      <c r="D517" s="102" t="s">
        <v>11750</v>
      </c>
      <c r="E517" s="102" t="s">
        <v>1374</v>
      </c>
      <c r="F517" s="102"/>
      <c r="G517" s="102" t="s">
        <v>3399</v>
      </c>
      <c r="H517" s="102"/>
      <c r="I517" s="102"/>
      <c r="J517" s="102"/>
      <c r="K517" s="102" t="s">
        <v>6890</v>
      </c>
      <c r="L517" s="102" t="s">
        <v>11751</v>
      </c>
      <c r="M517" s="102"/>
      <c r="N517" s="102"/>
      <c r="O517" s="102"/>
      <c r="P517" s="102"/>
      <c r="Q517" s="102"/>
      <c r="R517" s="102"/>
      <c r="S517" s="102" t="s">
        <v>17</v>
      </c>
      <c r="T517" s="102" t="s">
        <v>9</v>
      </c>
    </row>
    <row r="518" spans="1:20">
      <c r="A518" s="102" t="s">
        <v>3465</v>
      </c>
      <c r="B518" s="102" t="s">
        <v>3758</v>
      </c>
      <c r="C518" s="101">
        <v>2033</v>
      </c>
      <c r="D518" s="102" t="s">
        <v>11752</v>
      </c>
      <c r="E518" s="102" t="s">
        <v>1375</v>
      </c>
      <c r="F518" s="102"/>
      <c r="G518" s="102" t="s">
        <v>3399</v>
      </c>
      <c r="H518" s="102"/>
      <c r="I518" s="102"/>
      <c r="J518" s="102"/>
      <c r="K518" s="102" t="s">
        <v>11753</v>
      </c>
      <c r="L518" s="102" t="s">
        <v>11754</v>
      </c>
      <c r="M518" s="102"/>
      <c r="N518" s="102"/>
      <c r="O518" s="102"/>
      <c r="P518" s="102"/>
      <c r="Q518" s="102"/>
      <c r="R518" s="102"/>
      <c r="S518" s="102" t="s">
        <v>30</v>
      </c>
      <c r="T518" s="102" t="s">
        <v>9</v>
      </c>
    </row>
    <row r="519" spans="1:20">
      <c r="A519" s="102" t="s">
        <v>3465</v>
      </c>
      <c r="B519" s="102" t="s">
        <v>3758</v>
      </c>
      <c r="C519" s="101">
        <v>2034</v>
      </c>
      <c r="D519" s="102" t="s">
        <v>11755</v>
      </c>
      <c r="E519" s="102" t="s">
        <v>11543</v>
      </c>
      <c r="F519" s="102"/>
      <c r="G519" s="102" t="s">
        <v>3399</v>
      </c>
      <c r="H519" s="102"/>
      <c r="I519" s="102"/>
      <c r="J519" s="102"/>
      <c r="K519" s="102" t="s">
        <v>11756</v>
      </c>
      <c r="L519" s="102"/>
      <c r="M519" s="102"/>
      <c r="N519" s="102"/>
      <c r="O519" s="102"/>
      <c r="P519" s="102"/>
      <c r="Q519" s="102"/>
      <c r="R519" s="102"/>
      <c r="S519" s="102" t="s">
        <v>177</v>
      </c>
      <c r="T519" s="102" t="s">
        <v>9</v>
      </c>
    </row>
    <row r="520" spans="1:20">
      <c r="A520" s="102" t="s">
        <v>3465</v>
      </c>
      <c r="B520" s="102" t="s">
        <v>3758</v>
      </c>
      <c r="C520" s="101">
        <v>2035</v>
      </c>
      <c r="D520" s="102" t="s">
        <v>11757</v>
      </c>
      <c r="E520" s="102" t="s">
        <v>1375</v>
      </c>
      <c r="F520" s="102"/>
      <c r="G520" s="102" t="s">
        <v>3399</v>
      </c>
      <c r="H520" s="102"/>
      <c r="I520" s="102"/>
      <c r="J520" s="102"/>
      <c r="K520" s="102" t="s">
        <v>11758</v>
      </c>
      <c r="L520" s="102" t="s">
        <v>11759</v>
      </c>
      <c r="M520" s="102"/>
      <c r="N520" s="102"/>
      <c r="O520" s="102"/>
      <c r="P520" s="102"/>
      <c r="Q520" s="102"/>
      <c r="R520" s="102"/>
      <c r="S520" s="102" t="s">
        <v>34</v>
      </c>
      <c r="T520" s="102" t="s">
        <v>9</v>
      </c>
    </row>
    <row r="521" spans="1:20">
      <c r="A521" s="102" t="s">
        <v>3465</v>
      </c>
      <c r="B521" s="102" t="s">
        <v>3758</v>
      </c>
      <c r="C521" s="101">
        <v>2036</v>
      </c>
      <c r="D521" s="102" t="s">
        <v>11760</v>
      </c>
      <c r="E521" s="102" t="s">
        <v>1375</v>
      </c>
      <c r="F521" s="102"/>
      <c r="G521" s="102" t="s">
        <v>3399</v>
      </c>
      <c r="H521" s="102"/>
      <c r="I521" s="102"/>
      <c r="J521" s="102"/>
      <c r="K521" s="102" t="s">
        <v>4113</v>
      </c>
      <c r="L521" s="102" t="s">
        <v>11761</v>
      </c>
      <c r="M521" s="102" t="s">
        <v>11762</v>
      </c>
      <c r="N521" s="102"/>
      <c r="O521" s="102"/>
      <c r="P521" s="102"/>
      <c r="Q521" s="102"/>
      <c r="R521" s="102"/>
      <c r="S521" s="102" t="s">
        <v>176</v>
      </c>
      <c r="T521" s="102" t="s">
        <v>9</v>
      </c>
    </row>
    <row r="522" spans="1:20">
      <c r="A522" s="102" t="s">
        <v>3465</v>
      </c>
      <c r="B522" s="102" t="s">
        <v>3758</v>
      </c>
      <c r="C522" s="101">
        <v>2037</v>
      </c>
      <c r="D522" s="102" t="s">
        <v>11763</v>
      </c>
      <c r="E522" s="102" t="s">
        <v>1374</v>
      </c>
      <c r="F522" s="102"/>
      <c r="G522" s="102" t="s">
        <v>3399</v>
      </c>
      <c r="H522" s="102"/>
      <c r="I522" s="102"/>
      <c r="J522" s="102"/>
      <c r="K522" s="102" t="s">
        <v>11764</v>
      </c>
      <c r="L522" s="102" t="s">
        <v>11765</v>
      </c>
      <c r="M522" s="102"/>
      <c r="N522" s="102"/>
      <c r="O522" s="102"/>
      <c r="P522" s="102"/>
      <c r="Q522" s="102"/>
      <c r="R522" s="102"/>
      <c r="S522" s="102" t="s">
        <v>168</v>
      </c>
      <c r="T522" s="102" t="s">
        <v>9</v>
      </c>
    </row>
    <row r="523" spans="1:20">
      <c r="A523" s="102" t="s">
        <v>3465</v>
      </c>
      <c r="B523" s="102" t="s">
        <v>3758</v>
      </c>
      <c r="C523" s="101">
        <v>2038</v>
      </c>
      <c r="D523" s="102" t="s">
        <v>11766</v>
      </c>
      <c r="E523" s="102" t="s">
        <v>1374</v>
      </c>
      <c r="F523" s="102"/>
      <c r="G523" s="102" t="s">
        <v>3399</v>
      </c>
      <c r="H523" s="102"/>
      <c r="I523" s="102"/>
      <c r="J523" s="102"/>
      <c r="K523" s="102" t="s">
        <v>11767</v>
      </c>
      <c r="L523" s="102"/>
      <c r="M523" s="102"/>
      <c r="N523" s="102"/>
      <c r="O523" s="102"/>
      <c r="P523" s="102"/>
      <c r="Q523" s="102"/>
      <c r="R523" s="102"/>
      <c r="S523" s="102" t="s">
        <v>168</v>
      </c>
      <c r="T523" s="102" t="s">
        <v>9</v>
      </c>
    </row>
    <row r="524" spans="1:20">
      <c r="A524" s="102" t="s">
        <v>3465</v>
      </c>
      <c r="B524" s="102" t="s">
        <v>3758</v>
      </c>
      <c r="C524" s="101">
        <v>2039</v>
      </c>
      <c r="D524" s="102" t="s">
        <v>11768</v>
      </c>
      <c r="E524" s="102" t="s">
        <v>1375</v>
      </c>
      <c r="F524" s="102"/>
      <c r="G524" s="102" t="s">
        <v>3399</v>
      </c>
      <c r="H524" s="102"/>
      <c r="I524" s="102"/>
      <c r="J524" s="102"/>
      <c r="K524" s="102" t="s">
        <v>11769</v>
      </c>
      <c r="L524" s="102" t="s">
        <v>11770</v>
      </c>
      <c r="M524" s="102"/>
      <c r="N524" s="102"/>
      <c r="O524" s="102"/>
      <c r="P524" s="102"/>
      <c r="Q524" s="102"/>
      <c r="R524" s="102"/>
      <c r="S524" s="102" t="s">
        <v>50</v>
      </c>
      <c r="T524" s="102" t="s">
        <v>9</v>
      </c>
    </row>
    <row r="525" spans="1:20">
      <c r="A525" s="102" t="s">
        <v>3465</v>
      </c>
      <c r="B525" s="102" t="s">
        <v>3758</v>
      </c>
      <c r="C525" s="101">
        <v>2040</v>
      </c>
      <c r="D525" s="102" t="s">
        <v>11771</v>
      </c>
      <c r="E525" s="102" t="s">
        <v>1375</v>
      </c>
      <c r="F525" s="102"/>
      <c r="G525" s="102" t="s">
        <v>3399</v>
      </c>
      <c r="H525" s="102"/>
      <c r="I525" s="102"/>
      <c r="J525" s="102"/>
      <c r="K525" s="102" t="s">
        <v>11772</v>
      </c>
      <c r="L525" s="102" t="s">
        <v>11773</v>
      </c>
      <c r="M525" s="102"/>
      <c r="N525" s="102"/>
      <c r="O525" s="102"/>
      <c r="P525" s="102"/>
      <c r="Q525" s="102"/>
      <c r="R525" s="102"/>
      <c r="S525" s="102" t="s">
        <v>27</v>
      </c>
      <c r="T525" s="102" t="s">
        <v>9</v>
      </c>
    </row>
    <row r="526" spans="1:20">
      <c r="A526" s="102" t="s">
        <v>3465</v>
      </c>
      <c r="B526" s="102" t="s">
        <v>3758</v>
      </c>
      <c r="C526" s="101">
        <v>2042</v>
      </c>
      <c r="D526" s="102" t="s">
        <v>11774</v>
      </c>
      <c r="E526" s="102" t="s">
        <v>1374</v>
      </c>
      <c r="F526" s="102"/>
      <c r="G526" s="102" t="s">
        <v>3399</v>
      </c>
      <c r="H526" s="102"/>
      <c r="I526" s="102"/>
      <c r="J526" s="102"/>
      <c r="K526" s="102" t="s">
        <v>11775</v>
      </c>
      <c r="L526" s="102"/>
      <c r="M526" s="102"/>
      <c r="N526" s="102"/>
      <c r="O526" s="102"/>
      <c r="P526" s="102"/>
      <c r="Q526" s="102"/>
      <c r="R526" s="102"/>
      <c r="S526" s="102" t="s">
        <v>39</v>
      </c>
      <c r="T526" s="102" t="s">
        <v>9</v>
      </c>
    </row>
    <row r="527" spans="1:20">
      <c r="A527" s="102" t="s">
        <v>3465</v>
      </c>
      <c r="B527" s="102" t="s">
        <v>3758</v>
      </c>
      <c r="C527" s="101">
        <v>2044</v>
      </c>
      <c r="D527" s="102" t="s">
        <v>11776</v>
      </c>
      <c r="E527" s="102" t="s">
        <v>1375</v>
      </c>
      <c r="F527" s="102"/>
      <c r="G527" s="102" t="s">
        <v>3399</v>
      </c>
      <c r="H527" s="102"/>
      <c r="I527" s="102"/>
      <c r="J527" s="102"/>
      <c r="K527" s="102" t="s">
        <v>11777</v>
      </c>
      <c r="L527" s="102" t="s">
        <v>11778</v>
      </c>
      <c r="M527" s="102"/>
      <c r="N527" s="102"/>
      <c r="O527" s="102"/>
      <c r="P527" s="102"/>
      <c r="Q527" s="102"/>
      <c r="R527" s="102"/>
      <c r="S527" s="102" t="s">
        <v>35</v>
      </c>
      <c r="T527" s="102" t="s">
        <v>9</v>
      </c>
    </row>
    <row r="528" spans="1:20">
      <c r="A528" s="102" t="s">
        <v>3465</v>
      </c>
      <c r="B528" s="102" t="s">
        <v>3758</v>
      </c>
      <c r="C528" s="101">
        <v>2045</v>
      </c>
      <c r="D528" s="102" t="s">
        <v>11779</v>
      </c>
      <c r="E528" s="102" t="s">
        <v>1374</v>
      </c>
      <c r="F528" s="102"/>
      <c r="G528" s="102" t="s">
        <v>3399</v>
      </c>
      <c r="H528" s="102"/>
      <c r="I528" s="102"/>
      <c r="J528" s="102"/>
      <c r="K528" s="102" t="s">
        <v>11780</v>
      </c>
      <c r="L528" s="102"/>
      <c r="M528" s="102"/>
      <c r="N528" s="102"/>
      <c r="O528" s="102"/>
      <c r="P528" s="102"/>
      <c r="Q528" s="102"/>
      <c r="R528" s="102"/>
      <c r="S528" s="102" t="s">
        <v>28</v>
      </c>
      <c r="T528" s="102" t="s">
        <v>9</v>
      </c>
    </row>
    <row r="529" spans="1:20">
      <c r="A529" s="102" t="s">
        <v>3465</v>
      </c>
      <c r="B529" s="102" t="s">
        <v>3758</v>
      </c>
      <c r="C529" s="101">
        <v>2046</v>
      </c>
      <c r="D529" s="102" t="s">
        <v>11781</v>
      </c>
      <c r="E529" s="102" t="s">
        <v>1375</v>
      </c>
      <c r="F529" s="102"/>
      <c r="G529" s="102" t="s">
        <v>3399</v>
      </c>
      <c r="H529" s="102"/>
      <c r="I529" s="102"/>
      <c r="J529" s="102"/>
      <c r="K529" s="102" t="s">
        <v>11782</v>
      </c>
      <c r="L529" s="102" t="s">
        <v>11783</v>
      </c>
      <c r="M529" s="102"/>
      <c r="N529" s="102"/>
      <c r="O529" s="102"/>
      <c r="P529" s="102"/>
      <c r="Q529" s="102"/>
      <c r="R529" s="102"/>
      <c r="S529" s="102" t="s">
        <v>17</v>
      </c>
      <c r="T529" s="102" t="s">
        <v>9</v>
      </c>
    </row>
    <row r="530" spans="1:20">
      <c r="A530" s="102" t="s">
        <v>3465</v>
      </c>
      <c r="B530" s="102" t="s">
        <v>3758</v>
      </c>
      <c r="C530" s="101">
        <v>2047</v>
      </c>
      <c r="D530" s="102" t="s">
        <v>11784</v>
      </c>
      <c r="E530" s="102" t="s">
        <v>1379</v>
      </c>
      <c r="F530" s="102"/>
      <c r="G530" s="102" t="s">
        <v>3399</v>
      </c>
      <c r="H530" s="102"/>
      <c r="I530" s="102"/>
      <c r="J530" s="102"/>
      <c r="K530" s="102" t="s">
        <v>11785</v>
      </c>
      <c r="L530" s="102"/>
      <c r="M530" s="102"/>
      <c r="N530" s="102"/>
      <c r="O530" s="102"/>
      <c r="P530" s="102"/>
      <c r="Q530" s="102"/>
      <c r="R530" s="102"/>
      <c r="S530" s="102" t="s">
        <v>605</v>
      </c>
      <c r="T530" s="102" t="s">
        <v>9</v>
      </c>
    </row>
    <row r="531" spans="1:20">
      <c r="A531" s="102" t="s">
        <v>3465</v>
      </c>
      <c r="B531" s="102" t="s">
        <v>3758</v>
      </c>
      <c r="C531" s="101">
        <v>2048</v>
      </c>
      <c r="D531" s="102" t="s">
        <v>11786</v>
      </c>
      <c r="E531" s="102" t="s">
        <v>11436</v>
      </c>
      <c r="F531" s="102"/>
      <c r="G531" s="102" t="s">
        <v>3399</v>
      </c>
      <c r="H531" s="102"/>
      <c r="I531" s="102"/>
      <c r="J531" s="102"/>
      <c r="K531" s="102" t="s">
        <v>8477</v>
      </c>
      <c r="L531" s="102" t="s">
        <v>11787</v>
      </c>
      <c r="M531" s="102"/>
      <c r="N531" s="102"/>
      <c r="O531" s="102"/>
      <c r="P531" s="102"/>
      <c r="Q531" s="102"/>
      <c r="R531" s="102"/>
      <c r="S531" s="102" t="s">
        <v>607</v>
      </c>
      <c r="T531" s="102" t="s">
        <v>9</v>
      </c>
    </row>
    <row r="532" spans="1:20">
      <c r="A532" s="102" t="s">
        <v>3465</v>
      </c>
      <c r="B532" s="102" t="s">
        <v>3758</v>
      </c>
      <c r="C532" s="101">
        <v>2049</v>
      </c>
      <c r="D532" s="102" t="s">
        <v>11788</v>
      </c>
      <c r="E532" s="102" t="s">
        <v>1378</v>
      </c>
      <c r="F532" s="102"/>
      <c r="G532" s="102" t="s">
        <v>3399</v>
      </c>
      <c r="H532" s="102"/>
      <c r="I532" s="102"/>
      <c r="J532" s="102"/>
      <c r="K532" s="102" t="s">
        <v>11789</v>
      </c>
      <c r="L532" s="102"/>
      <c r="M532" s="102"/>
      <c r="N532" s="102"/>
      <c r="O532" s="102"/>
      <c r="P532" s="102"/>
      <c r="Q532" s="102"/>
      <c r="R532" s="102"/>
      <c r="S532" s="102" t="s">
        <v>26</v>
      </c>
      <c r="T532" s="102" t="s">
        <v>9</v>
      </c>
    </row>
    <row r="533" spans="1:20">
      <c r="A533" s="102" t="s">
        <v>3465</v>
      </c>
      <c r="B533" s="102" t="s">
        <v>3758</v>
      </c>
      <c r="C533" s="101">
        <v>2050</v>
      </c>
      <c r="D533" s="102" t="s">
        <v>11790</v>
      </c>
      <c r="E533" s="102" t="s">
        <v>11791</v>
      </c>
      <c r="F533" s="102"/>
      <c r="G533" s="102" t="s">
        <v>3399</v>
      </c>
      <c r="H533" s="102"/>
      <c r="I533" s="102"/>
      <c r="J533" s="102"/>
      <c r="K533" s="102" t="s">
        <v>11792</v>
      </c>
      <c r="L533" s="102"/>
      <c r="M533" s="102"/>
      <c r="N533" s="102"/>
      <c r="O533" s="102"/>
      <c r="P533" s="102"/>
      <c r="Q533" s="102"/>
      <c r="R533" s="102"/>
      <c r="S533" s="102" t="s">
        <v>169</v>
      </c>
      <c r="T533" s="102" t="s">
        <v>9</v>
      </c>
    </row>
    <row r="534" spans="1:20">
      <c r="A534" s="102" t="s">
        <v>3465</v>
      </c>
      <c r="B534" s="102" t="s">
        <v>3758</v>
      </c>
      <c r="C534" s="101">
        <v>2051</v>
      </c>
      <c r="D534" s="102" t="s">
        <v>11793</v>
      </c>
      <c r="E534" s="102" t="s">
        <v>1379</v>
      </c>
      <c r="F534" s="102"/>
      <c r="G534" s="102" t="s">
        <v>3399</v>
      </c>
      <c r="H534" s="102"/>
      <c r="I534" s="102"/>
      <c r="J534" s="102"/>
      <c r="K534" s="102" t="s">
        <v>11794</v>
      </c>
      <c r="L534" s="102"/>
      <c r="M534" s="102"/>
      <c r="N534" s="102"/>
      <c r="O534" s="102"/>
      <c r="P534" s="102"/>
      <c r="Q534" s="102"/>
      <c r="R534" s="102"/>
      <c r="S534" s="102" t="s">
        <v>179</v>
      </c>
      <c r="T534" s="102" t="s">
        <v>9</v>
      </c>
    </row>
    <row r="535" spans="1:20">
      <c r="A535" s="102" t="s">
        <v>3465</v>
      </c>
      <c r="B535" s="102" t="s">
        <v>3758</v>
      </c>
      <c r="C535" s="101">
        <v>2052</v>
      </c>
      <c r="D535" s="102" t="s">
        <v>11795</v>
      </c>
      <c r="E535" s="102" t="s">
        <v>1379</v>
      </c>
      <c r="F535" s="102"/>
      <c r="G535" s="102" t="s">
        <v>3399</v>
      </c>
      <c r="H535" s="102"/>
      <c r="I535" s="102"/>
      <c r="J535" s="102"/>
      <c r="K535" s="102" t="s">
        <v>11796</v>
      </c>
      <c r="L535" s="102" t="s">
        <v>11797</v>
      </c>
      <c r="M535" s="102"/>
      <c r="N535" s="102"/>
      <c r="O535" s="102"/>
      <c r="P535" s="102"/>
      <c r="Q535" s="102"/>
      <c r="R535" s="102"/>
      <c r="S535" s="102" t="s">
        <v>5381</v>
      </c>
      <c r="T535" s="102" t="s">
        <v>9</v>
      </c>
    </row>
    <row r="536" spans="1:20">
      <c r="A536" s="102" t="s">
        <v>3465</v>
      </c>
      <c r="B536" s="102" t="s">
        <v>3758</v>
      </c>
      <c r="C536" s="101">
        <v>2054</v>
      </c>
      <c r="D536" s="102" t="s">
        <v>11798</v>
      </c>
      <c r="E536" s="102" t="s">
        <v>1378</v>
      </c>
      <c r="F536" s="102"/>
      <c r="G536" s="102" t="s">
        <v>3399</v>
      </c>
      <c r="H536" s="102"/>
      <c r="I536" s="102"/>
      <c r="J536" s="102"/>
      <c r="K536" s="102" t="s">
        <v>11799</v>
      </c>
      <c r="L536" s="102"/>
      <c r="M536" s="102"/>
      <c r="N536" s="102"/>
      <c r="O536" s="102"/>
      <c r="P536" s="102"/>
      <c r="Q536" s="102"/>
      <c r="R536" s="102"/>
      <c r="S536" s="102" t="s">
        <v>8</v>
      </c>
      <c r="T536" s="102" t="s">
        <v>9</v>
      </c>
    </row>
    <row r="537" spans="1:20">
      <c r="A537" s="102" t="s">
        <v>3465</v>
      </c>
      <c r="B537" s="102" t="s">
        <v>3758</v>
      </c>
      <c r="C537" s="101">
        <v>2055</v>
      </c>
      <c r="D537" s="102" t="s">
        <v>11800</v>
      </c>
      <c r="E537" s="102" t="s">
        <v>1379</v>
      </c>
      <c r="F537" s="102"/>
      <c r="G537" s="102" t="s">
        <v>3399</v>
      </c>
      <c r="H537" s="102"/>
      <c r="I537" s="102"/>
      <c r="J537" s="102"/>
      <c r="K537" s="102" t="s">
        <v>11801</v>
      </c>
      <c r="L537" s="102"/>
      <c r="M537" s="102"/>
      <c r="N537" s="102"/>
      <c r="O537" s="102"/>
      <c r="P537" s="102"/>
      <c r="Q537" s="102"/>
      <c r="R537" s="102"/>
      <c r="S537" s="102" t="s">
        <v>169</v>
      </c>
      <c r="T537" s="102" t="s">
        <v>9</v>
      </c>
    </row>
    <row r="538" spans="1:20">
      <c r="A538" s="102" t="s">
        <v>3465</v>
      </c>
      <c r="B538" s="102" t="s">
        <v>3758</v>
      </c>
      <c r="C538" s="101">
        <v>2056</v>
      </c>
      <c r="D538" s="102" t="s">
        <v>11802</v>
      </c>
      <c r="E538" s="102" t="s">
        <v>1379</v>
      </c>
      <c r="F538" s="102"/>
      <c r="G538" s="102" t="s">
        <v>3399</v>
      </c>
      <c r="H538" s="102"/>
      <c r="I538" s="102"/>
      <c r="J538" s="102"/>
      <c r="K538" s="102" t="s">
        <v>11803</v>
      </c>
      <c r="L538" s="102"/>
      <c r="M538" s="102"/>
      <c r="N538" s="102"/>
      <c r="O538" s="102"/>
      <c r="P538" s="102"/>
      <c r="Q538" s="102"/>
      <c r="R538" s="102"/>
      <c r="S538" s="102" t="s">
        <v>50</v>
      </c>
      <c r="T538" s="102" t="s">
        <v>9</v>
      </c>
    </row>
    <row r="539" spans="1:20">
      <c r="A539" s="102" t="s">
        <v>3465</v>
      </c>
      <c r="B539" s="102" t="s">
        <v>3758</v>
      </c>
      <c r="C539" s="101">
        <v>2057</v>
      </c>
      <c r="D539" s="102" t="s">
        <v>11804</v>
      </c>
      <c r="E539" s="102" t="s">
        <v>1379</v>
      </c>
      <c r="F539" s="102"/>
      <c r="G539" s="102" t="s">
        <v>3399</v>
      </c>
      <c r="H539" s="102"/>
      <c r="I539" s="102"/>
      <c r="J539" s="102"/>
      <c r="K539" s="102" t="s">
        <v>11805</v>
      </c>
      <c r="L539" s="102"/>
      <c r="M539" s="102"/>
      <c r="N539" s="102"/>
      <c r="O539" s="102"/>
      <c r="P539" s="102"/>
      <c r="Q539" s="102"/>
      <c r="R539" s="102"/>
      <c r="S539" s="102" t="s">
        <v>604</v>
      </c>
      <c r="T539" s="102" t="s">
        <v>9</v>
      </c>
    </row>
    <row r="540" spans="1:20">
      <c r="A540" s="102" t="s">
        <v>3465</v>
      </c>
      <c r="B540" s="102" t="s">
        <v>3758</v>
      </c>
      <c r="C540" s="101">
        <v>2058</v>
      </c>
      <c r="D540" s="102" t="s">
        <v>11806</v>
      </c>
      <c r="E540" s="102" t="s">
        <v>1385</v>
      </c>
      <c r="F540" s="102"/>
      <c r="G540" s="102" t="s">
        <v>3399</v>
      </c>
      <c r="H540" s="102"/>
      <c r="I540" s="102"/>
      <c r="J540" s="102"/>
      <c r="K540" s="102" t="s">
        <v>11807</v>
      </c>
      <c r="L540" s="102" t="s">
        <v>11808</v>
      </c>
      <c r="M540" s="102"/>
      <c r="N540" s="102"/>
      <c r="O540" s="102"/>
      <c r="P540" s="102"/>
      <c r="Q540" s="102"/>
      <c r="R540" s="102"/>
      <c r="S540" s="102" t="s">
        <v>5685</v>
      </c>
      <c r="T540" s="102" t="s">
        <v>9</v>
      </c>
    </row>
    <row r="541" spans="1:20">
      <c r="A541" s="102" t="s">
        <v>3465</v>
      </c>
      <c r="B541" s="102" t="s">
        <v>3758</v>
      </c>
      <c r="C541" s="101">
        <v>2059</v>
      </c>
      <c r="D541" s="102" t="s">
        <v>11809</v>
      </c>
      <c r="E541" s="102" t="s">
        <v>1385</v>
      </c>
      <c r="F541" s="102"/>
      <c r="G541" s="102" t="s">
        <v>3399</v>
      </c>
      <c r="H541" s="102"/>
      <c r="I541" s="102"/>
      <c r="J541" s="102"/>
      <c r="K541" s="102" t="s">
        <v>11810</v>
      </c>
      <c r="L541" s="102" t="s">
        <v>5208</v>
      </c>
      <c r="M541" s="102"/>
      <c r="N541" s="102"/>
      <c r="O541" s="102"/>
      <c r="P541" s="102"/>
      <c r="Q541" s="102"/>
      <c r="R541" s="102"/>
      <c r="S541" s="102" t="s">
        <v>170</v>
      </c>
      <c r="T541" s="102" t="s">
        <v>9</v>
      </c>
    </row>
    <row r="542" spans="1:20">
      <c r="A542" s="102" t="s">
        <v>3465</v>
      </c>
      <c r="B542" s="102" t="s">
        <v>3758</v>
      </c>
      <c r="C542" s="101">
        <v>2060</v>
      </c>
      <c r="D542" s="102" t="s">
        <v>11811</v>
      </c>
      <c r="E542" s="102" t="s">
        <v>1385</v>
      </c>
      <c r="F542" s="102"/>
      <c r="G542" s="102" t="s">
        <v>3399</v>
      </c>
      <c r="H542" s="102"/>
      <c r="I542" s="102"/>
      <c r="J542" s="102"/>
      <c r="K542" s="102" t="s">
        <v>11812</v>
      </c>
      <c r="L542" s="102"/>
      <c r="M542" s="102"/>
      <c r="N542" s="102"/>
      <c r="O542" s="102"/>
      <c r="P542" s="102"/>
      <c r="Q542" s="102"/>
      <c r="R542" s="102"/>
      <c r="S542" s="102" t="s">
        <v>48</v>
      </c>
      <c r="T542" s="102" t="s">
        <v>9</v>
      </c>
    </row>
    <row r="543" spans="1:20">
      <c r="A543" s="102" t="s">
        <v>3465</v>
      </c>
      <c r="B543" s="102" t="s">
        <v>3758</v>
      </c>
      <c r="C543" s="101">
        <v>2061</v>
      </c>
      <c r="D543" s="102" t="s">
        <v>11813</v>
      </c>
      <c r="E543" s="102" t="s">
        <v>1385</v>
      </c>
      <c r="F543" s="102"/>
      <c r="G543" s="102" t="s">
        <v>3399</v>
      </c>
      <c r="H543" s="102"/>
      <c r="I543" s="102"/>
      <c r="J543" s="102"/>
      <c r="K543" s="102" t="s">
        <v>11814</v>
      </c>
      <c r="L543" s="102"/>
      <c r="M543" s="102"/>
      <c r="N543" s="102"/>
      <c r="O543" s="102"/>
      <c r="P543" s="102"/>
      <c r="Q543" s="102"/>
      <c r="R543" s="102"/>
      <c r="S543" s="102" t="s">
        <v>29</v>
      </c>
      <c r="T543" s="102" t="s">
        <v>9</v>
      </c>
    </row>
    <row r="544" spans="1:20">
      <c r="A544" s="102" t="s">
        <v>3465</v>
      </c>
      <c r="B544" s="102" t="s">
        <v>3758</v>
      </c>
      <c r="C544" s="101">
        <v>2062</v>
      </c>
      <c r="D544" s="102" t="s">
        <v>11815</v>
      </c>
      <c r="E544" s="102" t="s">
        <v>1381</v>
      </c>
      <c r="F544" s="102"/>
      <c r="G544" s="102" t="s">
        <v>3399</v>
      </c>
      <c r="H544" s="102"/>
      <c r="I544" s="102"/>
      <c r="J544" s="102"/>
      <c r="K544" s="102" t="s">
        <v>11816</v>
      </c>
      <c r="L544" s="102"/>
      <c r="M544" s="102"/>
      <c r="N544" s="102"/>
      <c r="O544" s="102"/>
      <c r="P544" s="102"/>
      <c r="Q544" s="102"/>
      <c r="R544" s="102"/>
      <c r="S544" s="102" t="s">
        <v>26</v>
      </c>
      <c r="T544" s="102" t="s">
        <v>9</v>
      </c>
    </row>
    <row r="545" spans="1:20">
      <c r="A545" s="102" t="s">
        <v>3465</v>
      </c>
      <c r="B545" s="102" t="s">
        <v>3758</v>
      </c>
      <c r="C545" s="101">
        <v>2063</v>
      </c>
      <c r="D545" s="102" t="s">
        <v>11817</v>
      </c>
      <c r="E545" s="102" t="s">
        <v>1385</v>
      </c>
      <c r="F545" s="102"/>
      <c r="G545" s="102" t="s">
        <v>3399</v>
      </c>
      <c r="H545" s="102"/>
      <c r="I545" s="102"/>
      <c r="J545" s="102"/>
      <c r="K545" s="102" t="s">
        <v>11818</v>
      </c>
      <c r="L545" s="102" t="s">
        <v>11819</v>
      </c>
      <c r="M545" s="102"/>
      <c r="N545" s="102"/>
      <c r="O545" s="102"/>
      <c r="P545" s="102"/>
      <c r="Q545" s="102"/>
      <c r="R545" s="102"/>
      <c r="S545" s="102" t="s">
        <v>5719</v>
      </c>
      <c r="T545" s="102" t="s">
        <v>9</v>
      </c>
    </row>
    <row r="546" spans="1:20">
      <c r="A546" s="102" t="s">
        <v>3465</v>
      </c>
      <c r="B546" s="102" t="s">
        <v>3758</v>
      </c>
      <c r="C546" s="101">
        <v>2064</v>
      </c>
      <c r="D546" s="102" t="s">
        <v>11820</v>
      </c>
      <c r="E546" s="102" t="s">
        <v>1385</v>
      </c>
      <c r="F546" s="102"/>
      <c r="G546" s="102" t="s">
        <v>3399</v>
      </c>
      <c r="H546" s="102"/>
      <c r="I546" s="102"/>
      <c r="J546" s="102"/>
      <c r="K546" s="102" t="s">
        <v>11821</v>
      </c>
      <c r="L546" s="102" t="s">
        <v>11822</v>
      </c>
      <c r="M546" s="102"/>
      <c r="N546" s="102"/>
      <c r="O546" s="102"/>
      <c r="P546" s="102"/>
      <c r="Q546" s="102"/>
      <c r="R546" s="102"/>
      <c r="S546" s="102" t="s">
        <v>52</v>
      </c>
      <c r="T546" s="102" t="s">
        <v>9</v>
      </c>
    </row>
    <row r="547" spans="1:20">
      <c r="A547" s="102" t="s">
        <v>3465</v>
      </c>
      <c r="B547" s="102" t="s">
        <v>3758</v>
      </c>
      <c r="C547" s="101">
        <v>2065</v>
      </c>
      <c r="D547" s="102" t="s">
        <v>11823</v>
      </c>
      <c r="E547" s="102" t="s">
        <v>1385</v>
      </c>
      <c r="F547" s="102"/>
      <c r="G547" s="102" t="s">
        <v>3399</v>
      </c>
      <c r="H547" s="102"/>
      <c r="I547" s="102"/>
      <c r="J547" s="102"/>
      <c r="K547" s="102" t="s">
        <v>4162</v>
      </c>
      <c r="L547" s="102" t="s">
        <v>11824</v>
      </c>
      <c r="M547" s="102" t="s">
        <v>11825</v>
      </c>
      <c r="N547" s="102" t="s">
        <v>5119</v>
      </c>
      <c r="O547" s="102" t="s">
        <v>11826</v>
      </c>
      <c r="P547" s="102"/>
      <c r="Q547" s="102"/>
      <c r="R547" s="102"/>
      <c r="S547" s="102" t="s">
        <v>5281</v>
      </c>
      <c r="T547" s="102" t="s">
        <v>9</v>
      </c>
    </row>
    <row r="548" spans="1:20">
      <c r="A548" s="102" t="s">
        <v>3465</v>
      </c>
      <c r="B548" s="102" t="s">
        <v>3758</v>
      </c>
      <c r="C548" s="101">
        <v>2066</v>
      </c>
      <c r="D548" s="102" t="s">
        <v>11827</v>
      </c>
      <c r="E548" s="102" t="s">
        <v>11828</v>
      </c>
      <c r="F548" s="102"/>
      <c r="G548" s="102" t="s">
        <v>3399</v>
      </c>
      <c r="H548" s="102"/>
      <c r="I548" s="102"/>
      <c r="J548" s="102"/>
      <c r="K548" s="102" t="s">
        <v>11829</v>
      </c>
      <c r="L548" s="102" t="s">
        <v>11830</v>
      </c>
      <c r="M548" s="102"/>
      <c r="N548" s="102"/>
      <c r="O548" s="102"/>
      <c r="P548" s="102"/>
      <c r="Q548" s="102"/>
      <c r="R548" s="102"/>
      <c r="S548" s="102" t="s">
        <v>52</v>
      </c>
      <c r="T548" s="102" t="s">
        <v>9</v>
      </c>
    </row>
    <row r="549" spans="1:20">
      <c r="A549" s="102" t="s">
        <v>3465</v>
      </c>
      <c r="B549" s="102" t="s">
        <v>3758</v>
      </c>
      <c r="C549" s="101">
        <v>2067</v>
      </c>
      <c r="D549" s="102" t="s">
        <v>11831</v>
      </c>
      <c r="E549" s="102" t="s">
        <v>1465</v>
      </c>
      <c r="F549" s="102"/>
      <c r="G549" s="102" t="s">
        <v>3399</v>
      </c>
      <c r="H549" s="102"/>
      <c r="I549" s="102"/>
      <c r="J549" s="102"/>
      <c r="K549" s="102" t="s">
        <v>11832</v>
      </c>
      <c r="L549" s="102"/>
      <c r="M549" s="102"/>
      <c r="N549" s="102"/>
      <c r="O549" s="102"/>
      <c r="P549" s="102"/>
      <c r="Q549" s="102"/>
      <c r="R549" s="102"/>
      <c r="S549" s="102" t="s">
        <v>171</v>
      </c>
      <c r="T549" s="102" t="s">
        <v>9</v>
      </c>
    </row>
    <row r="550" spans="1:20">
      <c r="A550" s="102" t="s">
        <v>3465</v>
      </c>
      <c r="B550" s="102" t="s">
        <v>3758</v>
      </c>
      <c r="C550" s="101">
        <v>2068</v>
      </c>
      <c r="D550" s="102" t="s">
        <v>11833</v>
      </c>
      <c r="E550" s="102" t="s">
        <v>1386</v>
      </c>
      <c r="F550" s="102"/>
      <c r="G550" s="102" t="s">
        <v>3399</v>
      </c>
      <c r="H550" s="102"/>
      <c r="I550" s="102"/>
      <c r="J550" s="102"/>
      <c r="K550" s="102" t="s">
        <v>11834</v>
      </c>
      <c r="L550" s="102"/>
      <c r="M550" s="102"/>
      <c r="N550" s="102"/>
      <c r="O550" s="102"/>
      <c r="P550" s="102"/>
      <c r="Q550" s="102"/>
      <c r="R550" s="102"/>
      <c r="S550" s="102" t="s">
        <v>179</v>
      </c>
      <c r="T550" s="102" t="s">
        <v>9</v>
      </c>
    </row>
    <row r="551" spans="1:20">
      <c r="A551" s="102" t="s">
        <v>3465</v>
      </c>
      <c r="B551" s="102" t="s">
        <v>3758</v>
      </c>
      <c r="C551" s="101">
        <v>2069</v>
      </c>
      <c r="D551" s="102" t="s">
        <v>11835</v>
      </c>
      <c r="E551" s="102" t="s">
        <v>1386</v>
      </c>
      <c r="F551" s="102"/>
      <c r="G551" s="102" t="s">
        <v>3399</v>
      </c>
      <c r="H551" s="102"/>
      <c r="I551" s="102"/>
      <c r="J551" s="102"/>
      <c r="K551" s="102" t="s">
        <v>11836</v>
      </c>
      <c r="L551" s="102"/>
      <c r="M551" s="102"/>
      <c r="N551" s="102"/>
      <c r="O551" s="102"/>
      <c r="P551" s="102"/>
      <c r="Q551" s="102"/>
      <c r="R551" s="102"/>
      <c r="S551" s="102" t="s">
        <v>170</v>
      </c>
      <c r="T551" s="102" t="s">
        <v>9</v>
      </c>
    </row>
    <row r="552" spans="1:20">
      <c r="A552" s="102" t="s">
        <v>3465</v>
      </c>
      <c r="B552" s="102" t="s">
        <v>3758</v>
      </c>
      <c r="C552" s="101">
        <v>2070</v>
      </c>
      <c r="D552" s="102" t="s">
        <v>11837</v>
      </c>
      <c r="E552" s="102" t="s">
        <v>1465</v>
      </c>
      <c r="F552" s="102"/>
      <c r="G552" s="102" t="s">
        <v>3399</v>
      </c>
      <c r="H552" s="102"/>
      <c r="I552" s="102"/>
      <c r="J552" s="102"/>
      <c r="K552" s="102" t="s">
        <v>11838</v>
      </c>
      <c r="L552" s="102"/>
      <c r="M552" s="102"/>
      <c r="N552" s="102"/>
      <c r="O552" s="102"/>
      <c r="P552" s="102"/>
      <c r="Q552" s="102"/>
      <c r="R552" s="102"/>
      <c r="S552" s="102" t="s">
        <v>46</v>
      </c>
      <c r="T552" s="102" t="s">
        <v>9</v>
      </c>
    </row>
    <row r="553" spans="1:20">
      <c r="A553" s="102" t="s">
        <v>3465</v>
      </c>
      <c r="B553" s="102" t="s">
        <v>3758</v>
      </c>
      <c r="C553" s="101">
        <v>2071</v>
      </c>
      <c r="D553" s="102" t="s">
        <v>11839</v>
      </c>
      <c r="E553" s="102" t="s">
        <v>1465</v>
      </c>
      <c r="F553" s="102"/>
      <c r="G553" s="102" t="s">
        <v>3399</v>
      </c>
      <c r="H553" s="102"/>
      <c r="I553" s="102"/>
      <c r="J553" s="102"/>
      <c r="K553" s="102" t="s">
        <v>11840</v>
      </c>
      <c r="L553" s="102"/>
      <c r="M553" s="102"/>
      <c r="N553" s="102"/>
      <c r="O553" s="102"/>
      <c r="P553" s="102"/>
      <c r="Q553" s="102"/>
      <c r="R553" s="102"/>
      <c r="S553" s="102" t="s">
        <v>29</v>
      </c>
      <c r="T553" s="102" t="s">
        <v>9</v>
      </c>
    </row>
    <row r="554" spans="1:20">
      <c r="A554" s="102" t="s">
        <v>3465</v>
      </c>
      <c r="B554" s="102" t="s">
        <v>3758</v>
      </c>
      <c r="C554" s="101">
        <v>2072</v>
      </c>
      <c r="D554" s="102" t="s">
        <v>11841</v>
      </c>
      <c r="E554" s="102" t="s">
        <v>1386</v>
      </c>
      <c r="F554" s="102"/>
      <c r="G554" s="102" t="s">
        <v>3399</v>
      </c>
      <c r="H554" s="102"/>
      <c r="I554" s="102"/>
      <c r="J554" s="102"/>
      <c r="K554" s="102" t="s">
        <v>11842</v>
      </c>
      <c r="L554" s="102"/>
      <c r="M554" s="102"/>
      <c r="N554" s="102"/>
      <c r="O554" s="102"/>
      <c r="P554" s="102"/>
      <c r="Q554" s="102"/>
      <c r="R554" s="102"/>
      <c r="S554" s="102" t="s">
        <v>175</v>
      </c>
      <c r="T554" s="102" t="s">
        <v>9</v>
      </c>
    </row>
    <row r="555" spans="1:20">
      <c r="A555" s="102" t="s">
        <v>3465</v>
      </c>
      <c r="B555" s="102" t="s">
        <v>3758</v>
      </c>
      <c r="C555" s="101">
        <v>2074</v>
      </c>
      <c r="D555" s="102" t="s">
        <v>11843</v>
      </c>
      <c r="E555" s="102" t="s">
        <v>1386</v>
      </c>
      <c r="F555" s="102"/>
      <c r="G555" s="102" t="s">
        <v>3399</v>
      </c>
      <c r="H555" s="102"/>
      <c r="I555" s="102"/>
      <c r="J555" s="102"/>
      <c r="K555" s="102" t="s">
        <v>11844</v>
      </c>
      <c r="L555" s="102"/>
      <c r="M555" s="102"/>
      <c r="N555" s="102"/>
      <c r="O555" s="102"/>
      <c r="P555" s="102"/>
      <c r="Q555" s="102"/>
      <c r="R555" s="102"/>
      <c r="S555" s="102" t="s">
        <v>40</v>
      </c>
      <c r="T555" s="102" t="s">
        <v>9</v>
      </c>
    </row>
    <row r="556" spans="1:20">
      <c r="A556" s="102" t="s">
        <v>3465</v>
      </c>
      <c r="B556" s="102" t="s">
        <v>3758</v>
      </c>
      <c r="C556" s="101">
        <v>2075</v>
      </c>
      <c r="D556" s="102" t="s">
        <v>11845</v>
      </c>
      <c r="E556" s="102" t="s">
        <v>1465</v>
      </c>
      <c r="F556" s="102"/>
      <c r="G556" s="102" t="s">
        <v>3399</v>
      </c>
      <c r="H556" s="102"/>
      <c r="I556" s="102"/>
      <c r="J556" s="102"/>
      <c r="K556" s="102" t="s">
        <v>11846</v>
      </c>
      <c r="L556" s="102"/>
      <c r="M556" s="102"/>
      <c r="N556" s="102"/>
      <c r="O556" s="102"/>
      <c r="P556" s="102"/>
      <c r="Q556" s="102"/>
      <c r="R556" s="102"/>
      <c r="S556" s="102" t="s">
        <v>605</v>
      </c>
      <c r="T556" s="102" t="s">
        <v>9</v>
      </c>
    </row>
    <row r="557" spans="1:20">
      <c r="A557" s="102" t="s">
        <v>3465</v>
      </c>
      <c r="B557" s="102" t="s">
        <v>3758</v>
      </c>
      <c r="C557" s="101">
        <v>2076</v>
      </c>
      <c r="D557" s="102" t="s">
        <v>11847</v>
      </c>
      <c r="E557" s="102" t="s">
        <v>1465</v>
      </c>
      <c r="F557" s="102"/>
      <c r="G557" s="102" t="s">
        <v>3399</v>
      </c>
      <c r="H557" s="102"/>
      <c r="I557" s="102"/>
      <c r="J557" s="102"/>
      <c r="K557" s="102" t="s">
        <v>4113</v>
      </c>
      <c r="L557" s="102" t="s">
        <v>11848</v>
      </c>
      <c r="M557" s="102" t="s">
        <v>11849</v>
      </c>
      <c r="N557" s="102"/>
      <c r="O557" s="102"/>
      <c r="P557" s="102"/>
      <c r="Q557" s="102"/>
      <c r="R557" s="102"/>
      <c r="S557" s="102" t="s">
        <v>53</v>
      </c>
      <c r="T557" s="102" t="s">
        <v>9</v>
      </c>
    </row>
    <row r="558" spans="1:20">
      <c r="A558" s="102" t="s">
        <v>3465</v>
      </c>
      <c r="B558" s="102" t="s">
        <v>3758</v>
      </c>
      <c r="C558" s="101">
        <v>2077</v>
      </c>
      <c r="D558" s="102" t="s">
        <v>11850</v>
      </c>
      <c r="E558" s="102" t="s">
        <v>1465</v>
      </c>
      <c r="F558" s="102"/>
      <c r="G558" s="102" t="s">
        <v>3399</v>
      </c>
      <c r="H558" s="102"/>
      <c r="I558" s="102"/>
      <c r="J558" s="102"/>
      <c r="K558" s="102" t="s">
        <v>11851</v>
      </c>
      <c r="L558" s="102" t="s">
        <v>6957</v>
      </c>
      <c r="M558" s="102"/>
      <c r="N558" s="102"/>
      <c r="O558" s="102"/>
      <c r="P558" s="102"/>
      <c r="Q558" s="102"/>
      <c r="R558" s="102"/>
      <c r="S558" s="102" t="s">
        <v>179</v>
      </c>
      <c r="T558" s="102" t="s">
        <v>9</v>
      </c>
    </row>
    <row r="559" spans="1:20">
      <c r="A559" s="102" t="s">
        <v>3465</v>
      </c>
      <c r="B559" s="102" t="s">
        <v>3758</v>
      </c>
      <c r="C559" s="101">
        <v>2078</v>
      </c>
      <c r="D559" s="102" t="s">
        <v>11852</v>
      </c>
      <c r="E559" s="102" t="s">
        <v>1541</v>
      </c>
      <c r="F559" s="102"/>
      <c r="G559" s="102" t="s">
        <v>3399</v>
      </c>
      <c r="H559" s="102"/>
      <c r="I559" s="102"/>
      <c r="J559" s="102"/>
      <c r="K559" s="102" t="s">
        <v>11853</v>
      </c>
      <c r="L559" s="102" t="s">
        <v>11801</v>
      </c>
      <c r="M559" s="102"/>
      <c r="N559" s="102"/>
      <c r="O559" s="102"/>
      <c r="P559" s="102"/>
      <c r="Q559" s="102"/>
      <c r="R559" s="102"/>
      <c r="S559" s="102" t="s">
        <v>49</v>
      </c>
      <c r="T559" s="102" t="s">
        <v>9</v>
      </c>
    </row>
    <row r="560" spans="1:20">
      <c r="A560" s="102" t="s">
        <v>3465</v>
      </c>
      <c r="B560" s="102" t="s">
        <v>3758</v>
      </c>
      <c r="C560" s="101">
        <v>2079</v>
      </c>
      <c r="D560" s="102" t="s">
        <v>11854</v>
      </c>
      <c r="E560" s="102" t="s">
        <v>1541</v>
      </c>
      <c r="F560" s="102"/>
      <c r="G560" s="102" t="s">
        <v>3399</v>
      </c>
      <c r="H560" s="102"/>
      <c r="I560" s="102"/>
      <c r="J560" s="102"/>
      <c r="K560" s="102" t="s">
        <v>11855</v>
      </c>
      <c r="L560" s="102"/>
      <c r="M560" s="102"/>
      <c r="N560" s="102"/>
      <c r="O560" s="102"/>
      <c r="P560" s="102"/>
      <c r="Q560" s="102"/>
      <c r="R560" s="102"/>
      <c r="S560" s="102" t="s">
        <v>178</v>
      </c>
      <c r="T560" s="102" t="s">
        <v>9</v>
      </c>
    </row>
    <row r="561" spans="1:20">
      <c r="A561" s="102" t="s">
        <v>3465</v>
      </c>
      <c r="B561" s="102" t="s">
        <v>3758</v>
      </c>
      <c r="C561" s="101">
        <v>2081</v>
      </c>
      <c r="D561" s="102" t="s">
        <v>11856</v>
      </c>
      <c r="E561" s="102" t="s">
        <v>11159</v>
      </c>
      <c r="F561" s="102"/>
      <c r="G561" s="102" t="s">
        <v>3399</v>
      </c>
      <c r="H561" s="102"/>
      <c r="I561" s="102"/>
      <c r="J561" s="102"/>
      <c r="K561" s="102" t="s">
        <v>11857</v>
      </c>
      <c r="L561" s="102"/>
      <c r="M561" s="102"/>
      <c r="N561" s="102"/>
      <c r="O561" s="102"/>
      <c r="P561" s="102"/>
      <c r="Q561" s="102"/>
      <c r="R561" s="102"/>
      <c r="S561" s="102" t="s">
        <v>183</v>
      </c>
      <c r="T561" s="102" t="s">
        <v>9</v>
      </c>
    </row>
    <row r="562" spans="1:20">
      <c r="A562" s="102" t="s">
        <v>3465</v>
      </c>
      <c r="B562" s="102" t="s">
        <v>3758</v>
      </c>
      <c r="C562" s="101">
        <v>2082</v>
      </c>
      <c r="D562" s="102" t="s">
        <v>11858</v>
      </c>
      <c r="E562" s="102" t="s">
        <v>1541</v>
      </c>
      <c r="F562" s="102"/>
      <c r="G562" s="102" t="s">
        <v>3399</v>
      </c>
      <c r="H562" s="102"/>
      <c r="I562" s="102"/>
      <c r="J562" s="102"/>
      <c r="K562" s="102" t="s">
        <v>11859</v>
      </c>
      <c r="L562" s="102"/>
      <c r="M562" s="102"/>
      <c r="N562" s="102"/>
      <c r="O562" s="102"/>
      <c r="P562" s="102"/>
      <c r="Q562" s="102"/>
      <c r="R562" s="102"/>
      <c r="S562" s="102" t="s">
        <v>32</v>
      </c>
      <c r="T562" s="102" t="s">
        <v>9</v>
      </c>
    </row>
    <row r="563" spans="1:20">
      <c r="A563" s="102" t="s">
        <v>3465</v>
      </c>
      <c r="B563" s="102" t="s">
        <v>3758</v>
      </c>
      <c r="C563" s="101">
        <v>2083</v>
      </c>
      <c r="D563" s="102" t="s">
        <v>11860</v>
      </c>
      <c r="E563" s="102" t="s">
        <v>11645</v>
      </c>
      <c r="F563" s="102"/>
      <c r="G563" s="102" t="s">
        <v>3399</v>
      </c>
      <c r="H563" s="102"/>
      <c r="I563" s="102"/>
      <c r="J563" s="102"/>
      <c r="K563" s="102" t="s">
        <v>11861</v>
      </c>
      <c r="L563" s="102"/>
      <c r="M563" s="102"/>
      <c r="N563" s="102"/>
      <c r="O563" s="102"/>
      <c r="P563" s="102"/>
      <c r="Q563" s="102"/>
      <c r="R563" s="102"/>
      <c r="S563" s="102" t="s">
        <v>182</v>
      </c>
      <c r="T563" s="102" t="s">
        <v>9</v>
      </c>
    </row>
    <row r="564" spans="1:20">
      <c r="A564" s="102" t="s">
        <v>3465</v>
      </c>
      <c r="B564" s="102" t="s">
        <v>3758</v>
      </c>
      <c r="C564" s="101">
        <v>2084</v>
      </c>
      <c r="D564" s="102" t="s">
        <v>11862</v>
      </c>
      <c r="E564" s="102" t="s">
        <v>1541</v>
      </c>
      <c r="F564" s="102"/>
      <c r="G564" s="102" t="s">
        <v>3399</v>
      </c>
      <c r="H564" s="102"/>
      <c r="I564" s="102"/>
      <c r="J564" s="102"/>
      <c r="K564" s="102" t="s">
        <v>11863</v>
      </c>
      <c r="L564" s="102" t="s">
        <v>11864</v>
      </c>
      <c r="M564" s="102"/>
      <c r="N564" s="102"/>
      <c r="O564" s="102"/>
      <c r="P564" s="102"/>
      <c r="Q564" s="102"/>
      <c r="R564" s="102"/>
      <c r="S564" s="102" t="s">
        <v>170</v>
      </c>
      <c r="T564" s="102" t="s">
        <v>9</v>
      </c>
    </row>
    <row r="565" spans="1:20">
      <c r="A565" s="102" t="s">
        <v>3465</v>
      </c>
      <c r="B565" s="102" t="s">
        <v>3758</v>
      </c>
      <c r="C565" s="101">
        <v>2085</v>
      </c>
      <c r="D565" s="102" t="s">
        <v>11865</v>
      </c>
      <c r="E565" s="102" t="s">
        <v>1541</v>
      </c>
      <c r="F565" s="102"/>
      <c r="G565" s="102" t="s">
        <v>3399</v>
      </c>
      <c r="H565" s="102"/>
      <c r="I565" s="102"/>
      <c r="J565" s="102"/>
      <c r="K565" s="102" t="s">
        <v>11866</v>
      </c>
      <c r="L565" s="102"/>
      <c r="M565" s="102"/>
      <c r="N565" s="102"/>
      <c r="O565" s="102"/>
      <c r="P565" s="102"/>
      <c r="Q565" s="102"/>
      <c r="R565" s="102"/>
      <c r="S565" s="102" t="s">
        <v>52</v>
      </c>
      <c r="T565" s="102" t="s">
        <v>9</v>
      </c>
    </row>
    <row r="566" spans="1:20">
      <c r="A566" s="102" t="s">
        <v>3465</v>
      </c>
      <c r="B566" s="102" t="s">
        <v>3758</v>
      </c>
      <c r="C566" s="101">
        <v>2086</v>
      </c>
      <c r="D566" s="102" t="s">
        <v>11867</v>
      </c>
      <c r="E566" s="102" t="s">
        <v>1541</v>
      </c>
      <c r="F566" s="102"/>
      <c r="G566" s="102" t="s">
        <v>3399</v>
      </c>
      <c r="H566" s="102"/>
      <c r="I566" s="102"/>
      <c r="J566" s="102"/>
      <c r="K566" s="102" t="s">
        <v>7296</v>
      </c>
      <c r="L566" s="102" t="s">
        <v>11868</v>
      </c>
      <c r="M566" s="102"/>
      <c r="N566" s="102"/>
      <c r="O566" s="102"/>
      <c r="P566" s="102"/>
      <c r="Q566" s="102"/>
      <c r="R566" s="102"/>
      <c r="S566" s="102" t="s">
        <v>28</v>
      </c>
      <c r="T566" s="102" t="s">
        <v>9</v>
      </c>
    </row>
    <row r="567" spans="1:20">
      <c r="A567" s="102" t="s">
        <v>3465</v>
      </c>
      <c r="B567" s="102" t="s">
        <v>3758</v>
      </c>
      <c r="C567" s="101">
        <v>2087</v>
      </c>
      <c r="D567" s="102" t="s">
        <v>11869</v>
      </c>
      <c r="E567" s="102" t="s">
        <v>11159</v>
      </c>
      <c r="F567" s="102"/>
      <c r="G567" s="102" t="s">
        <v>3399</v>
      </c>
      <c r="H567" s="102"/>
      <c r="I567" s="102"/>
      <c r="J567" s="102"/>
      <c r="K567" s="102" t="s">
        <v>11870</v>
      </c>
      <c r="L567" s="102"/>
      <c r="M567" s="102"/>
      <c r="N567" s="102"/>
      <c r="O567" s="102"/>
      <c r="P567" s="102"/>
      <c r="Q567" s="102"/>
      <c r="R567" s="102"/>
      <c r="S567" s="102" t="s">
        <v>36</v>
      </c>
      <c r="T567" s="102" t="s">
        <v>9</v>
      </c>
    </row>
    <row r="568" spans="1:20">
      <c r="A568" s="102" t="s">
        <v>3465</v>
      </c>
      <c r="B568" s="102" t="s">
        <v>3758</v>
      </c>
      <c r="C568" s="101">
        <v>2088</v>
      </c>
      <c r="D568" s="102" t="s">
        <v>11871</v>
      </c>
      <c r="E568" s="102" t="s">
        <v>10639</v>
      </c>
      <c r="F568" s="102"/>
      <c r="G568" s="102" t="s">
        <v>3399</v>
      </c>
      <c r="H568" s="102"/>
      <c r="I568" s="102"/>
      <c r="J568" s="102"/>
      <c r="K568" s="102" t="s">
        <v>11872</v>
      </c>
      <c r="L568" s="102"/>
      <c r="M568" s="102"/>
      <c r="N568" s="102"/>
      <c r="O568" s="102"/>
      <c r="P568" s="102"/>
      <c r="Q568" s="102"/>
      <c r="R568" s="102"/>
      <c r="S568" s="102" t="s">
        <v>174</v>
      </c>
      <c r="T568" s="102" t="s">
        <v>9</v>
      </c>
    </row>
    <row r="569" spans="1:20">
      <c r="A569" s="102" t="s">
        <v>3465</v>
      </c>
      <c r="B569" s="102" t="s">
        <v>3758</v>
      </c>
      <c r="C569" s="101">
        <v>2089</v>
      </c>
      <c r="D569" s="102" t="s">
        <v>11873</v>
      </c>
      <c r="E569" s="102" t="s">
        <v>10639</v>
      </c>
      <c r="F569" s="102"/>
      <c r="G569" s="102" t="s">
        <v>3399</v>
      </c>
      <c r="H569" s="102"/>
      <c r="I569" s="102"/>
      <c r="J569" s="102"/>
      <c r="K569" s="102" t="s">
        <v>11874</v>
      </c>
      <c r="L569" s="102"/>
      <c r="M569" s="102"/>
      <c r="N569" s="102"/>
      <c r="O569" s="102"/>
      <c r="P569" s="102"/>
      <c r="Q569" s="102"/>
      <c r="R569" s="102"/>
      <c r="S569" s="102" t="s">
        <v>44</v>
      </c>
      <c r="T569" s="102" t="s">
        <v>9</v>
      </c>
    </row>
    <row r="570" spans="1:20">
      <c r="A570" s="102" t="s">
        <v>3465</v>
      </c>
      <c r="B570" s="102" t="s">
        <v>3758</v>
      </c>
      <c r="C570" s="101">
        <v>2090</v>
      </c>
      <c r="D570" s="102" t="s">
        <v>11875</v>
      </c>
      <c r="E570" s="102" t="s">
        <v>11876</v>
      </c>
      <c r="F570" s="102"/>
      <c r="G570" s="102" t="s">
        <v>3399</v>
      </c>
      <c r="H570" s="102"/>
      <c r="I570" s="102"/>
      <c r="J570" s="102"/>
      <c r="K570" s="102" t="s">
        <v>11877</v>
      </c>
      <c r="L570" s="102"/>
      <c r="M570" s="102"/>
      <c r="N570" s="102"/>
      <c r="O570" s="102"/>
      <c r="P570" s="102"/>
      <c r="Q570" s="102"/>
      <c r="R570" s="102"/>
      <c r="S570" s="102" t="s">
        <v>173</v>
      </c>
      <c r="T570" s="102" t="s">
        <v>9</v>
      </c>
    </row>
    <row r="571" spans="1:20">
      <c r="A571" s="102" t="s">
        <v>3465</v>
      </c>
      <c r="B571" s="102" t="s">
        <v>3758</v>
      </c>
      <c r="C571" s="101">
        <v>2091</v>
      </c>
      <c r="D571" s="102" t="s">
        <v>11878</v>
      </c>
      <c r="E571" s="102" t="s">
        <v>10639</v>
      </c>
      <c r="F571" s="102"/>
      <c r="G571" s="102" t="s">
        <v>3399</v>
      </c>
      <c r="H571" s="102"/>
      <c r="I571" s="102"/>
      <c r="J571" s="102"/>
      <c r="K571" s="102" t="s">
        <v>11879</v>
      </c>
      <c r="L571" s="102" t="s">
        <v>11880</v>
      </c>
      <c r="M571" s="102"/>
      <c r="N571" s="102"/>
      <c r="O571" s="102"/>
      <c r="P571" s="102"/>
      <c r="Q571" s="102"/>
      <c r="R571" s="102"/>
      <c r="S571" s="102" t="s">
        <v>182</v>
      </c>
      <c r="T571" s="102" t="s">
        <v>9</v>
      </c>
    </row>
    <row r="572" spans="1:20">
      <c r="A572" s="102" t="s">
        <v>3465</v>
      </c>
      <c r="B572" s="102" t="s">
        <v>3758</v>
      </c>
      <c r="C572" s="101">
        <v>2094</v>
      </c>
      <c r="D572" s="102" t="s">
        <v>11881</v>
      </c>
      <c r="E572" s="102" t="s">
        <v>11882</v>
      </c>
      <c r="F572" s="102"/>
      <c r="G572" s="102" t="s">
        <v>3399</v>
      </c>
      <c r="H572" s="102"/>
      <c r="I572" s="102"/>
      <c r="J572" s="102"/>
      <c r="K572" s="102" t="s">
        <v>11883</v>
      </c>
      <c r="L572" s="102" t="s">
        <v>11884</v>
      </c>
      <c r="M572" s="102"/>
      <c r="N572" s="102"/>
      <c r="O572" s="102"/>
      <c r="P572" s="102"/>
      <c r="Q572" s="102"/>
      <c r="R572" s="102"/>
      <c r="S572" s="102" t="s">
        <v>45</v>
      </c>
      <c r="T572" s="102" t="s">
        <v>9</v>
      </c>
    </row>
    <row r="573" spans="1:20">
      <c r="A573" s="102" t="s">
        <v>13312</v>
      </c>
      <c r="B573" s="102" t="s">
        <v>3758</v>
      </c>
      <c r="C573" s="101">
        <v>3002</v>
      </c>
      <c r="D573" s="102" t="s">
        <v>11659</v>
      </c>
      <c r="E573" s="102" t="s">
        <v>11320</v>
      </c>
      <c r="F573" s="102"/>
      <c r="G573" s="102" t="s">
        <v>3399</v>
      </c>
      <c r="H573" s="102"/>
      <c r="I573" s="102"/>
      <c r="J573" s="102"/>
      <c r="K573" s="102" t="s">
        <v>11660</v>
      </c>
      <c r="L573" s="102" t="s">
        <v>11661</v>
      </c>
      <c r="M573" s="102"/>
      <c r="N573" s="102"/>
      <c r="O573" s="102"/>
      <c r="P573" s="102"/>
      <c r="Q573" s="102"/>
      <c r="R573" s="102"/>
      <c r="S573" s="102" t="s">
        <v>52</v>
      </c>
      <c r="T573" s="102" t="s">
        <v>41</v>
      </c>
    </row>
    <row r="574" spans="1:20">
      <c r="A574" s="102" t="s">
        <v>13312</v>
      </c>
      <c r="B574" s="102" t="s">
        <v>3758</v>
      </c>
      <c r="C574" s="101">
        <v>3028</v>
      </c>
      <c r="D574" s="102" t="s">
        <v>11662</v>
      </c>
      <c r="E574" s="102" t="s">
        <v>11380</v>
      </c>
      <c r="F574" s="102"/>
      <c r="G574" s="102" t="s">
        <v>3399</v>
      </c>
      <c r="H574" s="102"/>
      <c r="I574" s="102"/>
      <c r="J574" s="102"/>
      <c r="K574" s="102" t="s">
        <v>11663</v>
      </c>
      <c r="L574" s="102"/>
      <c r="M574" s="102"/>
      <c r="N574" s="102"/>
      <c r="O574" s="102"/>
      <c r="P574" s="102"/>
      <c r="Q574" s="102"/>
      <c r="R574" s="102"/>
      <c r="S574" s="102" t="s">
        <v>35</v>
      </c>
      <c r="T574" s="102" t="s">
        <v>41</v>
      </c>
    </row>
    <row r="575" spans="1:20">
      <c r="A575" s="102" t="s">
        <v>13312</v>
      </c>
      <c r="B575" s="102" t="s">
        <v>3758</v>
      </c>
      <c r="C575" s="101">
        <v>3041</v>
      </c>
      <c r="D575" s="102" t="s">
        <v>11664</v>
      </c>
      <c r="E575" s="102" t="s">
        <v>1374</v>
      </c>
      <c r="F575" s="102"/>
      <c r="G575" s="102" t="s">
        <v>3399</v>
      </c>
      <c r="H575" s="102"/>
      <c r="I575" s="102"/>
      <c r="J575" s="102"/>
      <c r="K575" s="102" t="s">
        <v>11665</v>
      </c>
      <c r="L575" s="102" t="s">
        <v>11666</v>
      </c>
      <c r="M575" s="102"/>
      <c r="N575" s="102"/>
      <c r="O575" s="102"/>
      <c r="P575" s="102"/>
      <c r="Q575" s="102"/>
      <c r="R575" s="102"/>
      <c r="S575" s="102" t="s">
        <v>39</v>
      </c>
      <c r="T575" s="102" t="s">
        <v>41</v>
      </c>
    </row>
    <row r="576" spans="1:20">
      <c r="A576" s="102" t="s">
        <v>13312</v>
      </c>
      <c r="B576" s="102" t="s">
        <v>3758</v>
      </c>
      <c r="C576" s="101">
        <v>3053</v>
      </c>
      <c r="D576" s="102" t="s">
        <v>11667</v>
      </c>
      <c r="E576" s="102" t="s">
        <v>1378</v>
      </c>
      <c r="F576" s="102"/>
      <c r="G576" s="102" t="s">
        <v>3399</v>
      </c>
      <c r="H576" s="102"/>
      <c r="I576" s="102"/>
      <c r="J576" s="102"/>
      <c r="K576" s="102" t="s">
        <v>11668</v>
      </c>
      <c r="L576" s="102" t="s">
        <v>11669</v>
      </c>
      <c r="M576" s="102"/>
      <c r="N576" s="102"/>
      <c r="O576" s="102"/>
      <c r="P576" s="102"/>
      <c r="Q576" s="102"/>
      <c r="R576" s="102"/>
      <c r="S576" s="102" t="s">
        <v>45</v>
      </c>
      <c r="T576" s="102" t="s">
        <v>41</v>
      </c>
    </row>
    <row r="577" spans="1:20">
      <c r="A577" s="102" t="s">
        <v>13312</v>
      </c>
      <c r="B577" s="102" t="s">
        <v>3758</v>
      </c>
      <c r="C577" s="101">
        <v>3073</v>
      </c>
      <c r="D577" s="102" t="s">
        <v>11670</v>
      </c>
      <c r="E577" s="102" t="s">
        <v>1465</v>
      </c>
      <c r="F577" s="102"/>
      <c r="G577" s="102" t="s">
        <v>3399</v>
      </c>
      <c r="H577" s="102"/>
      <c r="I577" s="102"/>
      <c r="J577" s="102"/>
      <c r="K577" s="102" t="s">
        <v>11671</v>
      </c>
      <c r="L577" s="102"/>
      <c r="M577" s="102"/>
      <c r="N577" s="102"/>
      <c r="O577" s="102"/>
      <c r="P577" s="102"/>
      <c r="Q577" s="102"/>
      <c r="R577" s="102"/>
      <c r="S577" s="102" t="s">
        <v>32</v>
      </c>
      <c r="T577" s="102" t="s">
        <v>41</v>
      </c>
    </row>
    <row r="578" spans="1:20">
      <c r="A578" s="102" t="s">
        <v>13312</v>
      </c>
      <c r="B578" s="102" t="s">
        <v>3758</v>
      </c>
      <c r="C578" s="101">
        <v>3080</v>
      </c>
      <c r="D578" s="102" t="s">
        <v>11672</v>
      </c>
      <c r="E578" s="102" t="s">
        <v>1541</v>
      </c>
      <c r="F578" s="102"/>
      <c r="G578" s="102" t="s">
        <v>3399</v>
      </c>
      <c r="H578" s="102"/>
      <c r="I578" s="102"/>
      <c r="J578" s="102"/>
      <c r="K578" s="102" t="s">
        <v>11673</v>
      </c>
      <c r="L578" s="102"/>
      <c r="M578" s="102"/>
      <c r="N578" s="102"/>
      <c r="O578" s="102"/>
      <c r="P578" s="102"/>
      <c r="Q578" s="102"/>
      <c r="R578" s="102"/>
      <c r="S578" s="102" t="s">
        <v>30</v>
      </c>
      <c r="T578" s="102" t="s">
        <v>41</v>
      </c>
    </row>
    <row r="579" spans="1:20">
      <c r="A579" s="102" t="s">
        <v>13312</v>
      </c>
      <c r="B579" s="102" t="s">
        <v>3758</v>
      </c>
      <c r="C579" s="101">
        <v>3092</v>
      </c>
      <c r="D579" s="102" t="s">
        <v>11674</v>
      </c>
      <c r="E579" s="102" t="s">
        <v>11675</v>
      </c>
      <c r="F579" s="102"/>
      <c r="G579" s="102" t="s">
        <v>3399</v>
      </c>
      <c r="H579" s="102"/>
      <c r="I579" s="102"/>
      <c r="J579" s="102"/>
      <c r="K579" s="102" t="s">
        <v>11676</v>
      </c>
      <c r="L579" s="102"/>
      <c r="M579" s="102"/>
      <c r="N579" s="102"/>
      <c r="O579" s="102"/>
      <c r="P579" s="102"/>
      <c r="Q579" s="102"/>
      <c r="R579" s="102"/>
      <c r="S579" s="102" t="s">
        <v>181</v>
      </c>
      <c r="T579" s="102" t="s">
        <v>41</v>
      </c>
    </row>
    <row r="580" spans="1:20">
      <c r="A580" s="102" t="s">
        <v>13312</v>
      </c>
      <c r="B580" s="102" t="s">
        <v>3758</v>
      </c>
      <c r="C580" s="101">
        <v>3095</v>
      </c>
      <c r="D580" s="102" t="s">
        <v>11677</v>
      </c>
      <c r="E580" s="102" t="s">
        <v>11678</v>
      </c>
      <c r="F580" s="102"/>
      <c r="G580" s="102" t="s">
        <v>3399</v>
      </c>
      <c r="H580" s="102"/>
      <c r="I580" s="102"/>
      <c r="J580" s="102"/>
      <c r="K580" s="102" t="s">
        <v>11679</v>
      </c>
      <c r="L580" s="102" t="s">
        <v>11680</v>
      </c>
      <c r="M580" s="102"/>
      <c r="N580" s="102"/>
      <c r="O580" s="102"/>
      <c r="P580" s="102"/>
      <c r="Q580" s="102"/>
      <c r="R580" s="102"/>
      <c r="S580" s="102" t="s">
        <v>5685</v>
      </c>
      <c r="T580" s="102" t="s">
        <v>41</v>
      </c>
    </row>
    <row r="581" spans="1:20">
      <c r="A581" s="102" t="s">
        <v>4053</v>
      </c>
      <c r="B581" s="102" t="s">
        <v>3758</v>
      </c>
      <c r="C581" s="101">
        <v>4009</v>
      </c>
      <c r="D581" s="102" t="s">
        <v>11885</v>
      </c>
      <c r="E581" s="102" t="s">
        <v>10337</v>
      </c>
      <c r="F581" s="102"/>
      <c r="G581" s="102" t="s">
        <v>3399</v>
      </c>
      <c r="H581" s="102"/>
      <c r="I581" s="102"/>
      <c r="J581" s="102"/>
      <c r="K581" s="102" t="s">
        <v>11886</v>
      </c>
      <c r="L581" s="102"/>
      <c r="M581" s="102"/>
      <c r="N581" s="102"/>
      <c r="O581" s="102"/>
      <c r="P581" s="102"/>
      <c r="Q581" s="102"/>
      <c r="R581" s="102"/>
      <c r="S581" s="102" t="s">
        <v>3999</v>
      </c>
      <c r="T581" s="102" t="s">
        <v>4000</v>
      </c>
    </row>
    <row r="582" spans="1:20">
      <c r="A582" s="102" t="s">
        <v>4053</v>
      </c>
      <c r="B582" s="102" t="s">
        <v>3758</v>
      </c>
      <c r="C582" s="101">
        <v>4014</v>
      </c>
      <c r="D582" s="102" t="s">
        <v>10718</v>
      </c>
      <c r="E582" s="102" t="s">
        <v>1372</v>
      </c>
      <c r="F582" s="102"/>
      <c r="G582" s="102" t="s">
        <v>3399</v>
      </c>
      <c r="H582" s="102"/>
      <c r="I582" s="102"/>
      <c r="J582" s="102"/>
      <c r="K582" s="102" t="s">
        <v>10719</v>
      </c>
      <c r="L582" s="102"/>
      <c r="M582" s="102"/>
      <c r="N582" s="102"/>
      <c r="O582" s="102"/>
      <c r="P582" s="102"/>
      <c r="Q582" s="102"/>
      <c r="R582" s="102"/>
      <c r="S582" s="102" t="s">
        <v>3999</v>
      </c>
      <c r="T582" s="102" t="s">
        <v>4000</v>
      </c>
    </row>
    <row r="583" spans="1:20">
      <c r="A583" s="102" t="s">
        <v>4053</v>
      </c>
      <c r="B583" s="102" t="s">
        <v>3758</v>
      </c>
      <c r="C583" s="101">
        <v>4043</v>
      </c>
      <c r="D583" s="102" t="s">
        <v>11887</v>
      </c>
      <c r="E583" s="102" t="s">
        <v>1374</v>
      </c>
      <c r="F583" s="102"/>
      <c r="G583" s="102" t="s">
        <v>3399</v>
      </c>
      <c r="H583" s="102"/>
      <c r="I583" s="102"/>
      <c r="J583" s="102"/>
      <c r="K583" s="102" t="s">
        <v>11888</v>
      </c>
      <c r="L583" s="102"/>
      <c r="M583" s="102"/>
      <c r="N583" s="102"/>
      <c r="O583" s="102"/>
      <c r="P583" s="102"/>
      <c r="Q583" s="102"/>
      <c r="R583" s="102"/>
      <c r="S583" s="102" t="s">
        <v>3999</v>
      </c>
      <c r="T583" s="102" t="s">
        <v>4000</v>
      </c>
    </row>
    <row r="584" spans="1:20">
      <c r="A584" s="102" t="s">
        <v>4053</v>
      </c>
      <c r="B584" s="102" t="s">
        <v>3758</v>
      </c>
      <c r="C584" s="101">
        <v>4093</v>
      </c>
      <c r="D584" s="102" t="s">
        <v>11889</v>
      </c>
      <c r="E584" s="102" t="s">
        <v>11882</v>
      </c>
      <c r="F584" s="102"/>
      <c r="G584" s="102" t="s">
        <v>3399</v>
      </c>
      <c r="H584" s="102"/>
      <c r="I584" s="102"/>
      <c r="J584" s="102"/>
      <c r="K584" s="102" t="s">
        <v>11890</v>
      </c>
      <c r="L584" s="102" t="s">
        <v>10789</v>
      </c>
      <c r="M584" s="102"/>
      <c r="N584" s="102"/>
      <c r="O584" s="102"/>
      <c r="P584" s="102"/>
      <c r="Q584" s="102"/>
      <c r="R584" s="102"/>
      <c r="S584" s="102" t="s">
        <v>3999</v>
      </c>
      <c r="T584" s="102" t="s">
        <v>4000</v>
      </c>
    </row>
    <row r="585" spans="1:20">
      <c r="C585" s="101" t="s">
        <v>3456</v>
      </c>
    </row>
    <row r="586" spans="1:20">
      <c r="A586" t="s">
        <v>3498</v>
      </c>
      <c r="B586" t="s">
        <v>8730</v>
      </c>
      <c r="C586" s="101">
        <v>1</v>
      </c>
      <c r="D586" t="s">
        <v>10845</v>
      </c>
      <c r="E586" t="s">
        <v>1370</v>
      </c>
      <c r="G586" t="s">
        <v>3434</v>
      </c>
      <c r="H586" t="s">
        <v>3402</v>
      </c>
      <c r="K586" t="s">
        <v>3401</v>
      </c>
      <c r="L586" t="s">
        <v>10846</v>
      </c>
      <c r="S586" t="s">
        <v>174</v>
      </c>
      <c r="T586" t="s">
        <v>4</v>
      </c>
    </row>
    <row r="587" spans="1:20">
      <c r="A587" t="s">
        <v>3498</v>
      </c>
      <c r="B587" t="s">
        <v>8730</v>
      </c>
      <c r="C587" s="101">
        <v>2</v>
      </c>
      <c r="D587" t="s">
        <v>10847</v>
      </c>
      <c r="E587" t="s">
        <v>1370</v>
      </c>
      <c r="G587" t="s">
        <v>3434</v>
      </c>
      <c r="H587" t="s">
        <v>3402</v>
      </c>
      <c r="K587" t="s">
        <v>3401</v>
      </c>
      <c r="L587" t="s">
        <v>10848</v>
      </c>
      <c r="S587" t="s">
        <v>14</v>
      </c>
      <c r="T587" t="s">
        <v>4</v>
      </c>
    </row>
    <row r="588" spans="1:20">
      <c r="A588" t="s">
        <v>3498</v>
      </c>
      <c r="B588" t="s">
        <v>8730</v>
      </c>
      <c r="C588" s="101">
        <v>3</v>
      </c>
      <c r="D588" t="s">
        <v>10849</v>
      </c>
      <c r="E588" t="s">
        <v>1370</v>
      </c>
      <c r="G588" t="s">
        <v>3434</v>
      </c>
      <c r="H588" t="s">
        <v>3402</v>
      </c>
      <c r="K588" t="s">
        <v>3401</v>
      </c>
      <c r="L588" t="s">
        <v>10850</v>
      </c>
      <c r="S588" t="s">
        <v>33</v>
      </c>
      <c r="T588" t="s">
        <v>4</v>
      </c>
    </row>
    <row r="589" spans="1:20">
      <c r="A589" t="s">
        <v>3498</v>
      </c>
      <c r="B589" t="s">
        <v>8730</v>
      </c>
      <c r="C589" s="101">
        <v>4</v>
      </c>
      <c r="D589" t="s">
        <v>10851</v>
      </c>
      <c r="E589" t="s">
        <v>1370</v>
      </c>
      <c r="G589" t="s">
        <v>3434</v>
      </c>
      <c r="H589" t="s">
        <v>3402</v>
      </c>
      <c r="K589" t="s">
        <v>3401</v>
      </c>
      <c r="L589" t="s">
        <v>10852</v>
      </c>
      <c r="S589" t="s">
        <v>52</v>
      </c>
      <c r="T589" t="s">
        <v>4</v>
      </c>
    </row>
    <row r="590" spans="1:20">
      <c r="A590" t="s">
        <v>3498</v>
      </c>
      <c r="B590" t="s">
        <v>8730</v>
      </c>
      <c r="C590" s="101">
        <v>5</v>
      </c>
      <c r="D590" t="s">
        <v>10853</v>
      </c>
      <c r="E590" t="s">
        <v>1370</v>
      </c>
      <c r="G590" t="s">
        <v>3434</v>
      </c>
      <c r="H590" t="s">
        <v>3402</v>
      </c>
      <c r="K590" t="s">
        <v>3401</v>
      </c>
      <c r="L590" t="s">
        <v>10854</v>
      </c>
      <c r="M590" t="s">
        <v>10855</v>
      </c>
      <c r="S590" t="s">
        <v>14</v>
      </c>
      <c r="T590" t="s">
        <v>4</v>
      </c>
    </row>
    <row r="591" spans="1:20">
      <c r="A591" t="s">
        <v>3498</v>
      </c>
      <c r="B591" t="s">
        <v>8730</v>
      </c>
      <c r="C591" s="101">
        <v>6</v>
      </c>
      <c r="D591" t="s">
        <v>10856</v>
      </c>
      <c r="E591" t="s">
        <v>1370</v>
      </c>
      <c r="G591" t="s">
        <v>3434</v>
      </c>
      <c r="H591" t="s">
        <v>3402</v>
      </c>
      <c r="K591" t="s">
        <v>3401</v>
      </c>
      <c r="L591" t="s">
        <v>10857</v>
      </c>
      <c r="S591" t="s">
        <v>39</v>
      </c>
      <c r="T591" t="s">
        <v>4</v>
      </c>
    </row>
    <row r="592" spans="1:20">
      <c r="A592" t="s">
        <v>3498</v>
      </c>
      <c r="B592" t="s">
        <v>8730</v>
      </c>
      <c r="C592" s="101">
        <v>7</v>
      </c>
      <c r="D592" t="s">
        <v>10858</v>
      </c>
      <c r="E592" t="s">
        <v>1370</v>
      </c>
      <c r="G592" t="s">
        <v>3086</v>
      </c>
      <c r="H592" t="s">
        <v>13408</v>
      </c>
      <c r="K592" t="s">
        <v>10859</v>
      </c>
      <c r="L592" t="s">
        <v>6457</v>
      </c>
      <c r="P592" t="s">
        <v>155</v>
      </c>
      <c r="S592" t="s">
        <v>40</v>
      </c>
      <c r="T592" t="s">
        <v>4</v>
      </c>
    </row>
    <row r="593" spans="1:20">
      <c r="A593" t="s">
        <v>3498</v>
      </c>
      <c r="B593" t="s">
        <v>8730</v>
      </c>
      <c r="C593" s="101">
        <v>8</v>
      </c>
      <c r="D593" t="s">
        <v>10860</v>
      </c>
      <c r="E593" t="s">
        <v>1370</v>
      </c>
      <c r="G593" t="s">
        <v>3434</v>
      </c>
      <c r="H593" t="s">
        <v>3402</v>
      </c>
      <c r="K593" t="s">
        <v>3401</v>
      </c>
      <c r="L593" t="s">
        <v>10861</v>
      </c>
      <c r="S593" t="s">
        <v>3747</v>
      </c>
      <c r="T593" t="s">
        <v>4</v>
      </c>
    </row>
    <row r="594" spans="1:20">
      <c r="A594" t="s">
        <v>3498</v>
      </c>
      <c r="B594" t="s">
        <v>8730</v>
      </c>
      <c r="C594" s="101">
        <v>9</v>
      </c>
      <c r="D594" t="s">
        <v>10862</v>
      </c>
      <c r="E594" t="s">
        <v>1370</v>
      </c>
      <c r="G594" t="s">
        <v>3434</v>
      </c>
      <c r="K594" t="s">
        <v>10863</v>
      </c>
      <c r="S594" t="s">
        <v>10</v>
      </c>
      <c r="T594" t="s">
        <v>4</v>
      </c>
    </row>
    <row r="595" spans="1:20">
      <c r="A595" t="s">
        <v>3498</v>
      </c>
      <c r="B595" t="s">
        <v>8730</v>
      </c>
      <c r="C595" s="101">
        <v>10</v>
      </c>
      <c r="D595" t="s">
        <v>10864</v>
      </c>
      <c r="E595" t="s">
        <v>1370</v>
      </c>
      <c r="G595" t="s">
        <v>3434</v>
      </c>
      <c r="H595" t="s">
        <v>3402</v>
      </c>
      <c r="K595" t="s">
        <v>3401</v>
      </c>
      <c r="L595" t="s">
        <v>10865</v>
      </c>
      <c r="S595" t="s">
        <v>40</v>
      </c>
      <c r="T595" t="s">
        <v>4</v>
      </c>
    </row>
    <row r="596" spans="1:20">
      <c r="A596" t="s">
        <v>3498</v>
      </c>
      <c r="B596" t="s">
        <v>8730</v>
      </c>
      <c r="C596" s="101">
        <v>11</v>
      </c>
      <c r="D596" t="s">
        <v>10866</v>
      </c>
      <c r="E596" t="s">
        <v>1370</v>
      </c>
      <c r="G596" t="s">
        <v>3434</v>
      </c>
      <c r="H596" t="s">
        <v>3402</v>
      </c>
      <c r="K596" t="s">
        <v>3401</v>
      </c>
      <c r="L596" t="s">
        <v>10867</v>
      </c>
      <c r="M596" t="s">
        <v>10868</v>
      </c>
      <c r="S596" t="s">
        <v>10</v>
      </c>
      <c r="T596" t="s">
        <v>4</v>
      </c>
    </row>
    <row r="597" spans="1:20">
      <c r="A597" t="s">
        <v>3498</v>
      </c>
      <c r="B597" t="s">
        <v>8730</v>
      </c>
      <c r="C597" s="101">
        <v>12</v>
      </c>
      <c r="D597" t="s">
        <v>10869</v>
      </c>
      <c r="E597" t="s">
        <v>1370</v>
      </c>
      <c r="G597" t="s">
        <v>3434</v>
      </c>
      <c r="H597" t="s">
        <v>3402</v>
      </c>
      <c r="K597" t="s">
        <v>3401</v>
      </c>
      <c r="L597" t="s">
        <v>10870</v>
      </c>
      <c r="S597" t="s">
        <v>45</v>
      </c>
      <c r="T597" t="s">
        <v>4</v>
      </c>
    </row>
    <row r="598" spans="1:20">
      <c r="A598" t="s">
        <v>3498</v>
      </c>
      <c r="B598" t="s">
        <v>8730</v>
      </c>
      <c r="C598" s="101">
        <v>13</v>
      </c>
      <c r="D598" t="s">
        <v>10871</v>
      </c>
      <c r="E598" t="s">
        <v>1370</v>
      </c>
      <c r="G598" t="s">
        <v>3434</v>
      </c>
      <c r="H598" t="s">
        <v>3402</v>
      </c>
      <c r="K598" t="s">
        <v>3401</v>
      </c>
      <c r="L598" t="s">
        <v>10872</v>
      </c>
      <c r="M598" t="s">
        <v>10873</v>
      </c>
      <c r="S598" t="s">
        <v>172</v>
      </c>
      <c r="T598" t="s">
        <v>4</v>
      </c>
    </row>
    <row r="599" spans="1:20">
      <c r="A599" t="s">
        <v>3498</v>
      </c>
      <c r="B599" t="s">
        <v>8730</v>
      </c>
      <c r="C599" s="101">
        <v>14</v>
      </c>
      <c r="D599" t="s">
        <v>10874</v>
      </c>
      <c r="E599" t="s">
        <v>1370</v>
      </c>
      <c r="G599" t="s">
        <v>3434</v>
      </c>
      <c r="H599" t="s">
        <v>3402</v>
      </c>
      <c r="K599" t="s">
        <v>5489</v>
      </c>
      <c r="L599" t="s">
        <v>10875</v>
      </c>
      <c r="S599" t="s">
        <v>171</v>
      </c>
      <c r="T599" t="s">
        <v>4</v>
      </c>
    </row>
    <row r="600" spans="1:20">
      <c r="A600" t="s">
        <v>3498</v>
      </c>
      <c r="B600" t="s">
        <v>8730</v>
      </c>
      <c r="C600" s="101">
        <v>15</v>
      </c>
      <c r="D600" t="s">
        <v>10876</v>
      </c>
      <c r="E600" t="s">
        <v>1370</v>
      </c>
      <c r="G600" t="s">
        <v>3434</v>
      </c>
      <c r="H600" t="s">
        <v>13388</v>
      </c>
      <c r="K600" t="s">
        <v>5508</v>
      </c>
      <c r="L600" t="s">
        <v>10877</v>
      </c>
      <c r="M600" t="s">
        <v>10878</v>
      </c>
      <c r="S600" t="s">
        <v>17</v>
      </c>
      <c r="T600" t="s">
        <v>4</v>
      </c>
    </row>
    <row r="601" spans="1:20">
      <c r="A601" t="s">
        <v>3498</v>
      </c>
      <c r="B601" t="s">
        <v>8730</v>
      </c>
      <c r="C601" s="101">
        <v>16</v>
      </c>
      <c r="D601" t="s">
        <v>10879</v>
      </c>
      <c r="E601" t="s">
        <v>1370</v>
      </c>
      <c r="G601" t="s">
        <v>3434</v>
      </c>
      <c r="H601" t="s">
        <v>3402</v>
      </c>
      <c r="K601" t="s">
        <v>5508</v>
      </c>
      <c r="L601" t="s">
        <v>6457</v>
      </c>
      <c r="M601" t="s">
        <v>10880</v>
      </c>
      <c r="S601" t="s">
        <v>27</v>
      </c>
      <c r="T601" t="s">
        <v>4</v>
      </c>
    </row>
    <row r="602" spans="1:20">
      <c r="A602" t="s">
        <v>3498</v>
      </c>
      <c r="B602" t="s">
        <v>8730</v>
      </c>
      <c r="C602" s="101">
        <v>17</v>
      </c>
      <c r="D602" t="s">
        <v>10881</v>
      </c>
      <c r="E602" t="s">
        <v>1372</v>
      </c>
      <c r="G602" t="s">
        <v>3434</v>
      </c>
      <c r="H602" t="s">
        <v>3402</v>
      </c>
      <c r="K602" t="s">
        <v>3401</v>
      </c>
      <c r="L602" t="s">
        <v>10882</v>
      </c>
      <c r="S602" t="s">
        <v>52</v>
      </c>
      <c r="T602" t="s">
        <v>4</v>
      </c>
    </row>
    <row r="603" spans="1:20">
      <c r="A603" t="s">
        <v>3498</v>
      </c>
      <c r="B603" t="s">
        <v>8730</v>
      </c>
      <c r="C603" s="101">
        <v>18</v>
      </c>
      <c r="D603" t="s">
        <v>10883</v>
      </c>
      <c r="E603" t="s">
        <v>1372</v>
      </c>
      <c r="G603" t="s">
        <v>3434</v>
      </c>
      <c r="K603" t="s">
        <v>10884</v>
      </c>
      <c r="S603" t="s">
        <v>32</v>
      </c>
      <c r="T603" t="s">
        <v>4</v>
      </c>
    </row>
    <row r="604" spans="1:20">
      <c r="A604" t="s">
        <v>3498</v>
      </c>
      <c r="B604" t="s">
        <v>8730</v>
      </c>
      <c r="C604" s="101">
        <v>19</v>
      </c>
      <c r="D604" t="s">
        <v>10885</v>
      </c>
      <c r="E604" t="s">
        <v>1372</v>
      </c>
      <c r="G604" t="s">
        <v>3434</v>
      </c>
      <c r="H604" t="s">
        <v>3402</v>
      </c>
      <c r="K604" t="s">
        <v>3401</v>
      </c>
      <c r="L604" t="s">
        <v>10886</v>
      </c>
      <c r="S604" t="s">
        <v>26</v>
      </c>
      <c r="T604" t="s">
        <v>4</v>
      </c>
    </row>
    <row r="605" spans="1:20">
      <c r="A605" t="s">
        <v>3498</v>
      </c>
      <c r="B605" t="s">
        <v>8730</v>
      </c>
      <c r="C605" s="101">
        <v>20</v>
      </c>
      <c r="D605" t="s">
        <v>10887</v>
      </c>
      <c r="E605" t="s">
        <v>1372</v>
      </c>
      <c r="G605" t="s">
        <v>3434</v>
      </c>
      <c r="K605" t="s">
        <v>10888</v>
      </c>
      <c r="S605" t="s">
        <v>27</v>
      </c>
      <c r="T605" t="s">
        <v>4</v>
      </c>
    </row>
    <row r="606" spans="1:20">
      <c r="A606" t="s">
        <v>3498</v>
      </c>
      <c r="B606" t="s">
        <v>8730</v>
      </c>
      <c r="C606" s="101">
        <v>21</v>
      </c>
      <c r="D606" t="s">
        <v>10889</v>
      </c>
      <c r="E606" t="s">
        <v>1372</v>
      </c>
      <c r="G606" t="s">
        <v>3434</v>
      </c>
      <c r="H606" t="s">
        <v>3402</v>
      </c>
      <c r="K606" t="s">
        <v>3401</v>
      </c>
      <c r="L606" t="s">
        <v>10890</v>
      </c>
      <c r="S606" t="s">
        <v>3747</v>
      </c>
      <c r="T606" t="s">
        <v>4</v>
      </c>
    </row>
    <row r="607" spans="1:20">
      <c r="A607" t="s">
        <v>3498</v>
      </c>
      <c r="B607" t="s">
        <v>8730</v>
      </c>
      <c r="C607" s="101">
        <v>22</v>
      </c>
      <c r="D607" t="s">
        <v>10891</v>
      </c>
      <c r="E607" t="s">
        <v>1372</v>
      </c>
      <c r="G607" t="s">
        <v>3434</v>
      </c>
      <c r="H607" t="s">
        <v>3402</v>
      </c>
      <c r="K607" t="s">
        <v>3401</v>
      </c>
      <c r="L607" t="s">
        <v>9314</v>
      </c>
      <c r="S607" t="s">
        <v>5719</v>
      </c>
      <c r="T607" t="s">
        <v>4</v>
      </c>
    </row>
    <row r="608" spans="1:20">
      <c r="A608" t="s">
        <v>3498</v>
      </c>
      <c r="B608" t="s">
        <v>8730</v>
      </c>
      <c r="C608" s="101">
        <v>23</v>
      </c>
      <c r="D608" t="s">
        <v>10892</v>
      </c>
      <c r="E608" t="s">
        <v>1372</v>
      </c>
      <c r="G608" t="s">
        <v>3434</v>
      </c>
      <c r="H608" t="s">
        <v>3402</v>
      </c>
      <c r="K608" t="s">
        <v>12</v>
      </c>
      <c r="L608" t="s">
        <v>3401</v>
      </c>
      <c r="M608" t="s">
        <v>10893</v>
      </c>
      <c r="N608" t="s">
        <v>10894</v>
      </c>
      <c r="S608" t="s">
        <v>31</v>
      </c>
      <c r="T608" t="s">
        <v>4</v>
      </c>
    </row>
    <row r="609" spans="1:20">
      <c r="A609" t="s">
        <v>3498</v>
      </c>
      <c r="B609" t="s">
        <v>8730</v>
      </c>
      <c r="C609" s="101">
        <v>24</v>
      </c>
      <c r="D609" t="s">
        <v>10895</v>
      </c>
      <c r="E609" t="s">
        <v>1372</v>
      </c>
      <c r="G609" t="s">
        <v>3434</v>
      </c>
      <c r="H609" t="s">
        <v>3402</v>
      </c>
      <c r="K609" t="s">
        <v>12</v>
      </c>
      <c r="L609" t="s">
        <v>3401</v>
      </c>
      <c r="M609" t="s">
        <v>10896</v>
      </c>
      <c r="S609" t="s">
        <v>44</v>
      </c>
      <c r="T609" t="s">
        <v>4</v>
      </c>
    </row>
    <row r="610" spans="1:20">
      <c r="A610" t="s">
        <v>3498</v>
      </c>
      <c r="B610" t="s">
        <v>8730</v>
      </c>
      <c r="C610" s="101">
        <v>25</v>
      </c>
      <c r="D610" t="s">
        <v>10897</v>
      </c>
      <c r="E610" t="s">
        <v>1372</v>
      </c>
      <c r="G610" t="s">
        <v>3434</v>
      </c>
      <c r="H610" t="s">
        <v>3402</v>
      </c>
      <c r="K610" t="s">
        <v>5508</v>
      </c>
      <c r="L610" t="s">
        <v>10867</v>
      </c>
      <c r="M610" t="s">
        <v>10898</v>
      </c>
      <c r="S610" t="s">
        <v>172</v>
      </c>
      <c r="T610" t="s">
        <v>4</v>
      </c>
    </row>
    <row r="611" spans="1:20">
      <c r="A611" t="s">
        <v>3498</v>
      </c>
      <c r="B611" t="s">
        <v>8730</v>
      </c>
      <c r="C611" s="101">
        <v>26</v>
      </c>
      <c r="D611" t="s">
        <v>10899</v>
      </c>
      <c r="E611" t="s">
        <v>1372</v>
      </c>
      <c r="G611" t="s">
        <v>3434</v>
      </c>
      <c r="K611" t="s">
        <v>10900</v>
      </c>
      <c r="S611" t="s">
        <v>46</v>
      </c>
      <c r="T611" t="s">
        <v>4</v>
      </c>
    </row>
    <row r="612" spans="1:20">
      <c r="A612" t="s">
        <v>3498</v>
      </c>
      <c r="B612" t="s">
        <v>8730</v>
      </c>
      <c r="C612" s="101">
        <v>27</v>
      </c>
      <c r="D612" t="s">
        <v>10901</v>
      </c>
      <c r="E612" t="s">
        <v>1372</v>
      </c>
      <c r="G612" t="s">
        <v>3434</v>
      </c>
      <c r="H612" t="s">
        <v>3402</v>
      </c>
      <c r="K612" t="s">
        <v>3401</v>
      </c>
      <c r="L612" t="s">
        <v>10902</v>
      </c>
      <c r="M612" t="s">
        <v>10903</v>
      </c>
      <c r="S612" t="s">
        <v>36</v>
      </c>
      <c r="T612" t="s">
        <v>4</v>
      </c>
    </row>
    <row r="613" spans="1:20">
      <c r="A613" t="s">
        <v>3498</v>
      </c>
      <c r="B613" t="s">
        <v>8730</v>
      </c>
      <c r="C613" s="101">
        <v>28</v>
      </c>
      <c r="D613" t="s">
        <v>10904</v>
      </c>
      <c r="E613" t="s">
        <v>1372</v>
      </c>
      <c r="G613" t="s">
        <v>3434</v>
      </c>
      <c r="H613" t="s">
        <v>3402</v>
      </c>
      <c r="K613" t="s">
        <v>3401</v>
      </c>
      <c r="L613" t="s">
        <v>10905</v>
      </c>
      <c r="S613" t="s">
        <v>5</v>
      </c>
      <c r="T613" t="s">
        <v>4</v>
      </c>
    </row>
    <row r="614" spans="1:20">
      <c r="A614" t="s">
        <v>3498</v>
      </c>
      <c r="B614" t="s">
        <v>8730</v>
      </c>
      <c r="C614" s="101">
        <v>29</v>
      </c>
      <c r="D614" t="s">
        <v>10906</v>
      </c>
      <c r="E614" t="s">
        <v>1372</v>
      </c>
      <c r="G614" t="s">
        <v>3434</v>
      </c>
      <c r="H614" t="s">
        <v>3402</v>
      </c>
      <c r="K614" t="s">
        <v>3401</v>
      </c>
      <c r="L614" t="s">
        <v>5654</v>
      </c>
      <c r="M614" t="s">
        <v>10823</v>
      </c>
      <c r="S614" t="s">
        <v>46</v>
      </c>
      <c r="T614" t="s">
        <v>4</v>
      </c>
    </row>
    <row r="615" spans="1:20">
      <c r="A615" t="s">
        <v>3498</v>
      </c>
      <c r="B615" t="s">
        <v>8730</v>
      </c>
      <c r="C615" s="101">
        <v>30</v>
      </c>
      <c r="D615" t="s">
        <v>10907</v>
      </c>
      <c r="E615" t="s">
        <v>1372</v>
      </c>
      <c r="G615" t="s">
        <v>3434</v>
      </c>
      <c r="K615" t="s">
        <v>10908</v>
      </c>
      <c r="L615" t="s">
        <v>10909</v>
      </c>
      <c r="S615" t="s">
        <v>607</v>
      </c>
      <c r="T615" t="s">
        <v>4</v>
      </c>
    </row>
    <row r="616" spans="1:20">
      <c r="A616" t="s">
        <v>3498</v>
      </c>
      <c r="B616" t="s">
        <v>8730</v>
      </c>
      <c r="C616" s="101">
        <v>31</v>
      </c>
      <c r="D616" t="s">
        <v>10910</v>
      </c>
      <c r="E616" t="s">
        <v>1372</v>
      </c>
      <c r="G616" t="s">
        <v>3434</v>
      </c>
      <c r="H616" t="s">
        <v>3402</v>
      </c>
      <c r="K616" t="s">
        <v>3401</v>
      </c>
      <c r="L616" t="s">
        <v>10911</v>
      </c>
      <c r="S616" t="s">
        <v>30</v>
      </c>
      <c r="T616" t="s">
        <v>4</v>
      </c>
    </row>
    <row r="617" spans="1:20">
      <c r="A617" t="s">
        <v>3498</v>
      </c>
      <c r="B617" t="s">
        <v>8730</v>
      </c>
      <c r="C617" s="101">
        <v>32</v>
      </c>
      <c r="D617" t="s">
        <v>10912</v>
      </c>
      <c r="E617" t="s">
        <v>1372</v>
      </c>
      <c r="G617" t="s">
        <v>3434</v>
      </c>
      <c r="H617" t="s">
        <v>13397</v>
      </c>
      <c r="K617" t="s">
        <v>1168</v>
      </c>
      <c r="L617" t="s">
        <v>10913</v>
      </c>
      <c r="S617" t="s">
        <v>45</v>
      </c>
      <c r="T617" t="s">
        <v>4</v>
      </c>
    </row>
    <row r="618" spans="1:20">
      <c r="A618" t="s">
        <v>3498</v>
      </c>
      <c r="B618" t="s">
        <v>8730</v>
      </c>
      <c r="C618" s="101">
        <v>33</v>
      </c>
      <c r="D618" t="s">
        <v>10914</v>
      </c>
      <c r="E618" t="s">
        <v>1372</v>
      </c>
      <c r="G618" t="s">
        <v>3434</v>
      </c>
      <c r="H618" t="s">
        <v>3402</v>
      </c>
      <c r="K618" t="s">
        <v>3401</v>
      </c>
      <c r="L618" t="s">
        <v>10915</v>
      </c>
      <c r="S618" t="s">
        <v>34</v>
      </c>
      <c r="T618" t="s">
        <v>4</v>
      </c>
    </row>
    <row r="619" spans="1:20">
      <c r="A619" t="s">
        <v>3498</v>
      </c>
      <c r="B619" t="s">
        <v>8730</v>
      </c>
      <c r="C619" s="101">
        <v>34</v>
      </c>
      <c r="D619" t="s">
        <v>10916</v>
      </c>
      <c r="E619" t="s">
        <v>1372</v>
      </c>
      <c r="G619" t="s">
        <v>3434</v>
      </c>
      <c r="H619" t="s">
        <v>3402</v>
      </c>
      <c r="K619" t="s">
        <v>3401</v>
      </c>
      <c r="L619" t="s">
        <v>10917</v>
      </c>
      <c r="S619" t="s">
        <v>6</v>
      </c>
      <c r="T619" t="s">
        <v>4</v>
      </c>
    </row>
    <row r="620" spans="1:20">
      <c r="A620" t="s">
        <v>3498</v>
      </c>
      <c r="B620" t="s">
        <v>8730</v>
      </c>
      <c r="C620" s="101">
        <v>35</v>
      </c>
      <c r="D620" t="s">
        <v>10918</v>
      </c>
      <c r="E620" t="s">
        <v>1372</v>
      </c>
      <c r="G620" t="s">
        <v>3434</v>
      </c>
      <c r="H620" t="s">
        <v>3402</v>
      </c>
      <c r="K620" t="s">
        <v>3401</v>
      </c>
      <c r="L620" t="s">
        <v>10919</v>
      </c>
      <c r="M620" t="s">
        <v>10920</v>
      </c>
      <c r="S620" t="s">
        <v>48</v>
      </c>
      <c r="T620" t="s">
        <v>4</v>
      </c>
    </row>
    <row r="621" spans="1:20">
      <c r="A621" t="s">
        <v>3498</v>
      </c>
      <c r="B621" t="s">
        <v>8730</v>
      </c>
      <c r="C621" s="101">
        <v>36</v>
      </c>
      <c r="D621" t="s">
        <v>10921</v>
      </c>
      <c r="E621" t="s">
        <v>1372</v>
      </c>
      <c r="G621" t="s">
        <v>3434</v>
      </c>
      <c r="H621" t="s">
        <v>3402</v>
      </c>
      <c r="K621" t="s">
        <v>3401</v>
      </c>
      <c r="L621" t="s">
        <v>10922</v>
      </c>
      <c r="S621" t="s">
        <v>18</v>
      </c>
      <c r="T621" t="s">
        <v>4</v>
      </c>
    </row>
    <row r="622" spans="1:20">
      <c r="A622" t="s">
        <v>3498</v>
      </c>
      <c r="B622" t="s">
        <v>8730</v>
      </c>
      <c r="C622" s="101">
        <v>37</v>
      </c>
      <c r="D622" t="s">
        <v>10923</v>
      </c>
      <c r="E622" t="s">
        <v>1372</v>
      </c>
      <c r="G622" t="s">
        <v>3434</v>
      </c>
      <c r="H622" t="s">
        <v>3402</v>
      </c>
      <c r="K622" t="s">
        <v>3401</v>
      </c>
      <c r="L622" t="s">
        <v>10911</v>
      </c>
      <c r="S622" t="s">
        <v>28</v>
      </c>
      <c r="T622" t="s">
        <v>4</v>
      </c>
    </row>
    <row r="623" spans="1:20">
      <c r="A623" t="s">
        <v>3498</v>
      </c>
      <c r="B623" t="s">
        <v>8730</v>
      </c>
      <c r="C623" s="101">
        <v>38</v>
      </c>
      <c r="D623" t="s">
        <v>10924</v>
      </c>
      <c r="E623" t="s">
        <v>1372</v>
      </c>
      <c r="G623" t="s">
        <v>3434</v>
      </c>
      <c r="H623" t="s">
        <v>3402</v>
      </c>
      <c r="K623" t="s">
        <v>3401</v>
      </c>
      <c r="L623" t="s">
        <v>10925</v>
      </c>
      <c r="S623" t="s">
        <v>181</v>
      </c>
      <c r="T623" t="s">
        <v>4</v>
      </c>
    </row>
    <row r="624" spans="1:20">
      <c r="A624" t="s">
        <v>3498</v>
      </c>
      <c r="B624" t="s">
        <v>8730</v>
      </c>
      <c r="C624" s="101">
        <v>39</v>
      </c>
      <c r="D624" t="s">
        <v>10926</v>
      </c>
      <c r="E624" t="s">
        <v>1374</v>
      </c>
      <c r="G624" t="s">
        <v>3434</v>
      </c>
      <c r="H624" t="s">
        <v>3402</v>
      </c>
      <c r="K624" t="s">
        <v>3401</v>
      </c>
      <c r="L624" t="s">
        <v>10927</v>
      </c>
      <c r="M624" t="s">
        <v>10928</v>
      </c>
      <c r="S624" t="s">
        <v>34</v>
      </c>
      <c r="T624" t="s">
        <v>4</v>
      </c>
    </row>
    <row r="625" spans="1:20">
      <c r="A625" t="s">
        <v>3498</v>
      </c>
      <c r="B625" t="s">
        <v>8730</v>
      </c>
      <c r="C625" s="101">
        <v>40</v>
      </c>
      <c r="D625" t="s">
        <v>10929</v>
      </c>
      <c r="E625" t="s">
        <v>1374</v>
      </c>
      <c r="G625" t="s">
        <v>3434</v>
      </c>
      <c r="H625" t="s">
        <v>3402</v>
      </c>
      <c r="K625" t="s">
        <v>3401</v>
      </c>
      <c r="L625" t="s">
        <v>10930</v>
      </c>
      <c r="S625" t="s">
        <v>180</v>
      </c>
      <c r="T625" t="s">
        <v>4</v>
      </c>
    </row>
    <row r="626" spans="1:20">
      <c r="A626" t="s">
        <v>3498</v>
      </c>
      <c r="B626" t="s">
        <v>8730</v>
      </c>
      <c r="C626" s="101">
        <v>41</v>
      </c>
      <c r="D626" t="s">
        <v>10931</v>
      </c>
      <c r="E626" t="s">
        <v>1374</v>
      </c>
      <c r="G626" t="s">
        <v>3434</v>
      </c>
      <c r="H626" t="s">
        <v>3402</v>
      </c>
      <c r="K626" t="s">
        <v>3</v>
      </c>
      <c r="L626" t="s">
        <v>3401</v>
      </c>
      <c r="M626" t="s">
        <v>10932</v>
      </c>
      <c r="S626" t="s">
        <v>183</v>
      </c>
      <c r="T626" t="s">
        <v>4</v>
      </c>
    </row>
    <row r="627" spans="1:20">
      <c r="A627" t="s">
        <v>3498</v>
      </c>
      <c r="B627" t="s">
        <v>8730</v>
      </c>
      <c r="C627" s="101">
        <v>42</v>
      </c>
      <c r="D627" t="s">
        <v>10933</v>
      </c>
      <c r="E627" t="s">
        <v>1374</v>
      </c>
      <c r="G627" t="s">
        <v>3434</v>
      </c>
      <c r="K627" t="s">
        <v>10934</v>
      </c>
      <c r="S627" t="s">
        <v>170</v>
      </c>
      <c r="T627" t="s">
        <v>4</v>
      </c>
    </row>
    <row r="628" spans="1:20">
      <c r="A628" t="s">
        <v>3498</v>
      </c>
      <c r="B628" t="s">
        <v>8730</v>
      </c>
      <c r="C628" s="101">
        <v>43</v>
      </c>
      <c r="D628" t="s">
        <v>10935</v>
      </c>
      <c r="E628" t="s">
        <v>1374</v>
      </c>
      <c r="G628" t="s">
        <v>3434</v>
      </c>
      <c r="H628" t="s">
        <v>3402</v>
      </c>
      <c r="K628" t="s">
        <v>3401</v>
      </c>
      <c r="L628" t="s">
        <v>5654</v>
      </c>
      <c r="M628" t="s">
        <v>10936</v>
      </c>
      <c r="S628" t="s">
        <v>53</v>
      </c>
      <c r="T628" t="s">
        <v>4</v>
      </c>
    </row>
    <row r="629" spans="1:20">
      <c r="A629" t="s">
        <v>3498</v>
      </c>
      <c r="B629" t="s">
        <v>8730</v>
      </c>
      <c r="C629" s="101">
        <v>44</v>
      </c>
      <c r="D629" t="s">
        <v>10937</v>
      </c>
      <c r="E629" t="s">
        <v>1374</v>
      </c>
      <c r="G629" t="s">
        <v>3434</v>
      </c>
      <c r="H629" t="s">
        <v>3402</v>
      </c>
      <c r="K629" t="s">
        <v>5600</v>
      </c>
      <c r="L629" t="s">
        <v>10938</v>
      </c>
      <c r="M629" t="s">
        <v>6533</v>
      </c>
      <c r="S629" t="s">
        <v>604</v>
      </c>
      <c r="T629" t="s">
        <v>4</v>
      </c>
    </row>
    <row r="630" spans="1:20">
      <c r="A630" t="s">
        <v>3498</v>
      </c>
      <c r="B630" t="s">
        <v>8730</v>
      </c>
      <c r="C630" s="101">
        <v>45</v>
      </c>
      <c r="D630" t="s">
        <v>10939</v>
      </c>
      <c r="E630" t="s">
        <v>1375</v>
      </c>
      <c r="G630" t="s">
        <v>3434</v>
      </c>
      <c r="H630" t="s">
        <v>3402</v>
      </c>
      <c r="K630" t="s">
        <v>3401</v>
      </c>
      <c r="L630" t="s">
        <v>10940</v>
      </c>
      <c r="S630" t="s">
        <v>604</v>
      </c>
      <c r="T630" t="s">
        <v>4</v>
      </c>
    </row>
    <row r="631" spans="1:20">
      <c r="A631" t="s">
        <v>3498</v>
      </c>
      <c r="B631" t="s">
        <v>8730</v>
      </c>
      <c r="C631" s="101">
        <v>46</v>
      </c>
      <c r="D631" t="s">
        <v>10941</v>
      </c>
      <c r="E631" t="s">
        <v>1374</v>
      </c>
      <c r="G631" t="s">
        <v>3434</v>
      </c>
      <c r="H631" t="s">
        <v>3402</v>
      </c>
      <c r="K631" t="s">
        <v>5600</v>
      </c>
      <c r="L631" t="s">
        <v>10942</v>
      </c>
      <c r="S631" t="s">
        <v>3119</v>
      </c>
      <c r="T631" t="s">
        <v>4</v>
      </c>
    </row>
    <row r="632" spans="1:20">
      <c r="A632" t="s">
        <v>3498</v>
      </c>
      <c r="B632" t="s">
        <v>8730</v>
      </c>
      <c r="C632" s="101">
        <v>47</v>
      </c>
      <c r="D632" t="s">
        <v>10943</v>
      </c>
      <c r="E632" t="s">
        <v>1374</v>
      </c>
      <c r="G632" t="s">
        <v>3434</v>
      </c>
      <c r="H632" t="s">
        <v>3402</v>
      </c>
      <c r="K632" t="s">
        <v>3401</v>
      </c>
      <c r="L632" t="s">
        <v>10944</v>
      </c>
      <c r="S632" t="s">
        <v>40</v>
      </c>
      <c r="T632" t="s">
        <v>4</v>
      </c>
    </row>
    <row r="633" spans="1:20">
      <c r="A633" t="s">
        <v>3498</v>
      </c>
      <c r="B633" t="s">
        <v>8730</v>
      </c>
      <c r="C633" s="101">
        <v>48</v>
      </c>
      <c r="D633" t="s">
        <v>10945</v>
      </c>
      <c r="E633" t="s">
        <v>1374</v>
      </c>
      <c r="G633" t="s">
        <v>3434</v>
      </c>
      <c r="H633" t="s">
        <v>3402</v>
      </c>
      <c r="K633" t="s">
        <v>3401</v>
      </c>
      <c r="L633" t="s">
        <v>10946</v>
      </c>
      <c r="S633" t="s">
        <v>11</v>
      </c>
      <c r="T633" t="s">
        <v>4</v>
      </c>
    </row>
    <row r="634" spans="1:20">
      <c r="A634" t="s">
        <v>3498</v>
      </c>
      <c r="B634" t="s">
        <v>8730</v>
      </c>
      <c r="C634" s="101">
        <v>49</v>
      </c>
      <c r="D634" t="s">
        <v>10947</v>
      </c>
      <c r="E634" t="s">
        <v>1374</v>
      </c>
      <c r="G634" t="s">
        <v>3086</v>
      </c>
      <c r="H634" t="s">
        <v>13389</v>
      </c>
      <c r="K634" t="s">
        <v>10948</v>
      </c>
      <c r="L634" t="s">
        <v>0</v>
      </c>
      <c r="M634" t="s">
        <v>10949</v>
      </c>
      <c r="P634" t="s">
        <v>154</v>
      </c>
      <c r="S634" t="s">
        <v>14</v>
      </c>
      <c r="T634" t="s">
        <v>4</v>
      </c>
    </row>
    <row r="635" spans="1:20">
      <c r="A635" t="s">
        <v>3498</v>
      </c>
      <c r="B635" t="s">
        <v>8730</v>
      </c>
      <c r="C635" s="101">
        <v>50</v>
      </c>
      <c r="D635" t="s">
        <v>10950</v>
      </c>
      <c r="E635" t="s">
        <v>1374</v>
      </c>
      <c r="G635" t="s">
        <v>3434</v>
      </c>
      <c r="H635" t="s">
        <v>3402</v>
      </c>
      <c r="K635" t="s">
        <v>3401</v>
      </c>
      <c r="L635" t="s">
        <v>10951</v>
      </c>
      <c r="M635" t="s">
        <v>5474</v>
      </c>
      <c r="S635" t="s">
        <v>8</v>
      </c>
      <c r="T635" t="s">
        <v>4</v>
      </c>
    </row>
    <row r="636" spans="1:20">
      <c r="A636" t="s">
        <v>3498</v>
      </c>
      <c r="B636" t="s">
        <v>8730</v>
      </c>
      <c r="C636" s="101">
        <v>51</v>
      </c>
      <c r="D636" t="s">
        <v>10952</v>
      </c>
      <c r="E636" t="s">
        <v>1379</v>
      </c>
      <c r="G636" t="s">
        <v>3434</v>
      </c>
      <c r="H636" t="s">
        <v>3402</v>
      </c>
      <c r="K636" t="s">
        <v>12</v>
      </c>
      <c r="L636" t="s">
        <v>3401</v>
      </c>
      <c r="M636" t="s">
        <v>10953</v>
      </c>
      <c r="S636" t="s">
        <v>169</v>
      </c>
      <c r="T636" t="s">
        <v>4</v>
      </c>
    </row>
    <row r="637" spans="1:20">
      <c r="A637" t="s">
        <v>3498</v>
      </c>
      <c r="B637" t="s">
        <v>8730</v>
      </c>
      <c r="C637" s="101">
        <v>52</v>
      </c>
      <c r="D637" t="s">
        <v>10954</v>
      </c>
      <c r="E637" t="s">
        <v>1381</v>
      </c>
      <c r="G637" t="s">
        <v>3434</v>
      </c>
      <c r="H637" t="s">
        <v>3402</v>
      </c>
      <c r="K637" t="s">
        <v>5600</v>
      </c>
      <c r="L637" t="s">
        <v>10955</v>
      </c>
      <c r="S637" t="s">
        <v>5</v>
      </c>
      <c r="T637" t="s">
        <v>4</v>
      </c>
    </row>
    <row r="638" spans="1:20">
      <c r="A638" t="s">
        <v>3498</v>
      </c>
      <c r="B638" t="s">
        <v>8730</v>
      </c>
      <c r="C638" s="101">
        <v>53</v>
      </c>
      <c r="D638" t="s">
        <v>10956</v>
      </c>
      <c r="E638" t="s">
        <v>1386</v>
      </c>
      <c r="G638" t="s">
        <v>3434</v>
      </c>
      <c r="H638" t="s">
        <v>3402</v>
      </c>
      <c r="K638" t="s">
        <v>3401</v>
      </c>
      <c r="L638" t="s">
        <v>10957</v>
      </c>
      <c r="M638" t="s">
        <v>5654</v>
      </c>
      <c r="S638" t="s">
        <v>27</v>
      </c>
      <c r="T638" t="s">
        <v>4</v>
      </c>
    </row>
    <row r="639" spans="1:20">
      <c r="A639" t="s">
        <v>3463</v>
      </c>
      <c r="B639" t="s">
        <v>8730</v>
      </c>
      <c r="C639" s="101">
        <v>1001</v>
      </c>
      <c r="D639" t="s">
        <v>11161</v>
      </c>
      <c r="E639" t="s">
        <v>1370</v>
      </c>
      <c r="G639" t="s">
        <v>3434</v>
      </c>
      <c r="H639" t="s">
        <v>3402</v>
      </c>
      <c r="K639" t="s">
        <v>11162</v>
      </c>
      <c r="L639" t="s">
        <v>11163</v>
      </c>
      <c r="M639" t="s">
        <v>11164</v>
      </c>
      <c r="S639" t="s">
        <v>183</v>
      </c>
      <c r="T639" t="s">
        <v>7</v>
      </c>
    </row>
    <row r="640" spans="1:20">
      <c r="A640" t="s">
        <v>3463</v>
      </c>
      <c r="B640" t="s">
        <v>8730</v>
      </c>
      <c r="C640" s="101">
        <v>1002</v>
      </c>
      <c r="D640" t="s">
        <v>11165</v>
      </c>
      <c r="E640" t="s">
        <v>1370</v>
      </c>
      <c r="G640" t="s">
        <v>3434</v>
      </c>
      <c r="K640" t="s">
        <v>11166</v>
      </c>
      <c r="S640" t="s">
        <v>180</v>
      </c>
      <c r="T640" t="s">
        <v>7</v>
      </c>
    </row>
    <row r="641" spans="1:20">
      <c r="A641" t="s">
        <v>3463</v>
      </c>
      <c r="B641" t="s">
        <v>8730</v>
      </c>
      <c r="C641" s="101">
        <v>1003</v>
      </c>
      <c r="D641" t="s">
        <v>11167</v>
      </c>
      <c r="E641" t="s">
        <v>1370</v>
      </c>
      <c r="G641" t="s">
        <v>3434</v>
      </c>
      <c r="H641" t="s">
        <v>3402</v>
      </c>
      <c r="K641" t="s">
        <v>3401</v>
      </c>
      <c r="L641" t="s">
        <v>11168</v>
      </c>
      <c r="S641" t="s">
        <v>17</v>
      </c>
      <c r="T641" t="s">
        <v>7</v>
      </c>
    </row>
    <row r="642" spans="1:20">
      <c r="A642" t="s">
        <v>3463</v>
      </c>
      <c r="B642" t="s">
        <v>8730</v>
      </c>
      <c r="C642" s="101">
        <v>1004</v>
      </c>
      <c r="D642" t="s">
        <v>11169</v>
      </c>
      <c r="E642" t="s">
        <v>1370</v>
      </c>
      <c r="G642" t="s">
        <v>3434</v>
      </c>
      <c r="K642" t="s">
        <v>11170</v>
      </c>
      <c r="L642" t="s">
        <v>11171</v>
      </c>
      <c r="S642" t="s">
        <v>604</v>
      </c>
      <c r="T642" t="s">
        <v>7</v>
      </c>
    </row>
    <row r="643" spans="1:20">
      <c r="A643" t="s">
        <v>3463</v>
      </c>
      <c r="B643" t="s">
        <v>8730</v>
      </c>
      <c r="C643" s="101">
        <v>1005</v>
      </c>
      <c r="D643" t="s">
        <v>11172</v>
      </c>
      <c r="E643" t="s">
        <v>1370</v>
      </c>
      <c r="G643" t="s">
        <v>3434</v>
      </c>
      <c r="H643" t="s">
        <v>3402</v>
      </c>
      <c r="K643" t="s">
        <v>3401</v>
      </c>
      <c r="L643" t="s">
        <v>11173</v>
      </c>
      <c r="M643" t="s">
        <v>11174</v>
      </c>
    </row>
    <row r="644" spans="1:20">
      <c r="A644" t="s">
        <v>3463</v>
      </c>
      <c r="B644" t="s">
        <v>8730</v>
      </c>
      <c r="C644" s="101">
        <v>1006</v>
      </c>
      <c r="D644" t="s">
        <v>11175</v>
      </c>
      <c r="E644" t="s">
        <v>13449</v>
      </c>
      <c r="H644" t="s">
        <v>13409</v>
      </c>
      <c r="K644" t="s">
        <v>11177</v>
      </c>
      <c r="P644" t="s">
        <v>167</v>
      </c>
      <c r="S644" t="s">
        <v>46</v>
      </c>
      <c r="T644" t="s">
        <v>7</v>
      </c>
    </row>
    <row r="645" spans="1:20">
      <c r="A645" t="s">
        <v>3463</v>
      </c>
      <c r="B645" t="s">
        <v>8730</v>
      </c>
      <c r="C645" s="101">
        <v>1007</v>
      </c>
      <c r="D645" t="s">
        <v>11178</v>
      </c>
      <c r="E645" t="s">
        <v>1370</v>
      </c>
      <c r="G645" t="s">
        <v>3434</v>
      </c>
      <c r="H645" t="s">
        <v>3402</v>
      </c>
      <c r="K645" t="s">
        <v>5600</v>
      </c>
      <c r="L645" t="s">
        <v>11179</v>
      </c>
      <c r="S645" t="s">
        <v>6</v>
      </c>
      <c r="T645" t="s">
        <v>7</v>
      </c>
    </row>
    <row r="646" spans="1:20">
      <c r="A646" t="s">
        <v>3463</v>
      </c>
      <c r="B646" t="s">
        <v>8730</v>
      </c>
      <c r="C646" s="101">
        <v>1008</v>
      </c>
      <c r="D646" t="s">
        <v>11180</v>
      </c>
      <c r="E646" t="s">
        <v>1370</v>
      </c>
      <c r="G646" t="s">
        <v>3434</v>
      </c>
      <c r="K646" t="s">
        <v>11181</v>
      </c>
      <c r="L646" t="s">
        <v>11182</v>
      </c>
      <c r="S646" t="s">
        <v>607</v>
      </c>
      <c r="T646" t="s">
        <v>7</v>
      </c>
    </row>
    <row r="647" spans="1:20">
      <c r="A647" t="s">
        <v>3463</v>
      </c>
      <c r="B647" t="s">
        <v>8730</v>
      </c>
      <c r="C647" s="101">
        <v>1009</v>
      </c>
      <c r="D647" t="s">
        <v>11183</v>
      </c>
      <c r="E647" t="s">
        <v>1372</v>
      </c>
      <c r="G647" t="s">
        <v>3434</v>
      </c>
      <c r="K647" t="s">
        <v>11184</v>
      </c>
      <c r="S647" t="s">
        <v>172</v>
      </c>
      <c r="T647" t="s">
        <v>7</v>
      </c>
    </row>
    <row r="648" spans="1:20">
      <c r="A648" t="s">
        <v>3463</v>
      </c>
      <c r="B648" t="s">
        <v>8730</v>
      </c>
      <c r="C648" s="101">
        <v>1010</v>
      </c>
      <c r="D648" t="s">
        <v>11185</v>
      </c>
      <c r="E648" t="s">
        <v>1372</v>
      </c>
      <c r="G648" t="s">
        <v>3434</v>
      </c>
      <c r="K648" t="s">
        <v>11186</v>
      </c>
      <c r="S648" t="s">
        <v>53</v>
      </c>
      <c r="T648" t="s">
        <v>7</v>
      </c>
    </row>
    <row r="649" spans="1:20">
      <c r="A649" t="s">
        <v>3463</v>
      </c>
      <c r="B649" t="s">
        <v>8730</v>
      </c>
      <c r="C649" s="101">
        <v>1011</v>
      </c>
      <c r="D649" t="s">
        <v>11187</v>
      </c>
      <c r="E649" t="s">
        <v>1372</v>
      </c>
      <c r="G649" t="s">
        <v>3434</v>
      </c>
      <c r="K649" t="s">
        <v>11188</v>
      </c>
      <c r="S649" t="s">
        <v>30</v>
      </c>
      <c r="T649" t="s">
        <v>7</v>
      </c>
    </row>
    <row r="650" spans="1:20">
      <c r="A650" t="s">
        <v>3463</v>
      </c>
      <c r="B650" t="s">
        <v>8730</v>
      </c>
      <c r="C650" s="101">
        <v>1012</v>
      </c>
      <c r="D650" t="s">
        <v>11189</v>
      </c>
      <c r="E650" t="s">
        <v>1372</v>
      </c>
      <c r="G650" t="s">
        <v>3434</v>
      </c>
      <c r="H650" t="s">
        <v>3402</v>
      </c>
      <c r="K650" t="s">
        <v>3401</v>
      </c>
      <c r="L650" t="s">
        <v>11190</v>
      </c>
      <c r="M650" t="s">
        <v>11191</v>
      </c>
      <c r="S650" t="s">
        <v>14</v>
      </c>
      <c r="T650" t="s">
        <v>7</v>
      </c>
    </row>
    <row r="651" spans="1:20">
      <c r="A651" t="s">
        <v>3463</v>
      </c>
      <c r="B651" t="s">
        <v>8730</v>
      </c>
      <c r="C651" s="101">
        <v>1013</v>
      </c>
      <c r="D651" t="s">
        <v>11192</v>
      </c>
      <c r="E651" t="s">
        <v>1372</v>
      </c>
      <c r="G651" t="s">
        <v>3434</v>
      </c>
      <c r="H651" t="s">
        <v>3402</v>
      </c>
      <c r="K651" t="s">
        <v>3401</v>
      </c>
      <c r="L651" t="s">
        <v>11193</v>
      </c>
      <c r="S651" t="s">
        <v>40</v>
      </c>
      <c r="T651" t="s">
        <v>7</v>
      </c>
    </row>
    <row r="652" spans="1:20">
      <c r="A652" t="s">
        <v>3463</v>
      </c>
      <c r="B652" t="s">
        <v>8730</v>
      </c>
      <c r="C652" s="101">
        <v>1014</v>
      </c>
      <c r="D652" t="s">
        <v>11194</v>
      </c>
      <c r="E652" t="s">
        <v>1372</v>
      </c>
      <c r="G652" t="s">
        <v>3434</v>
      </c>
      <c r="H652" t="s">
        <v>3402</v>
      </c>
      <c r="K652" t="s">
        <v>3401</v>
      </c>
      <c r="L652" t="s">
        <v>11195</v>
      </c>
      <c r="S652" t="s">
        <v>8</v>
      </c>
      <c r="T652" t="s">
        <v>7</v>
      </c>
    </row>
    <row r="653" spans="1:20">
      <c r="A653" t="s">
        <v>3463</v>
      </c>
      <c r="B653" t="s">
        <v>8730</v>
      </c>
      <c r="C653" s="101">
        <v>1015</v>
      </c>
      <c r="D653" t="s">
        <v>11196</v>
      </c>
      <c r="E653" t="s">
        <v>1372</v>
      </c>
      <c r="G653" t="s">
        <v>3434</v>
      </c>
      <c r="H653" t="s">
        <v>3402</v>
      </c>
      <c r="K653" t="s">
        <v>5508</v>
      </c>
      <c r="L653" t="s">
        <v>11197</v>
      </c>
      <c r="S653" t="s">
        <v>34</v>
      </c>
      <c r="T653" t="s">
        <v>7</v>
      </c>
    </row>
    <row r="654" spans="1:20">
      <c r="A654" t="s">
        <v>3463</v>
      </c>
      <c r="B654" t="s">
        <v>8730</v>
      </c>
      <c r="C654" s="101">
        <v>1016</v>
      </c>
      <c r="D654" t="s">
        <v>11198</v>
      </c>
      <c r="E654" t="s">
        <v>1372</v>
      </c>
      <c r="G654" t="s">
        <v>3434</v>
      </c>
      <c r="K654" t="s">
        <v>11199</v>
      </c>
      <c r="S654" t="s">
        <v>5</v>
      </c>
      <c r="T654" t="s">
        <v>7</v>
      </c>
    </row>
    <row r="655" spans="1:20">
      <c r="A655" t="s">
        <v>3463</v>
      </c>
      <c r="B655" t="s">
        <v>8730</v>
      </c>
      <c r="C655" s="101">
        <v>1017</v>
      </c>
      <c r="D655" t="s">
        <v>11200</v>
      </c>
      <c r="E655" t="s">
        <v>1372</v>
      </c>
      <c r="G655" t="s">
        <v>3434</v>
      </c>
      <c r="H655" t="s">
        <v>3402</v>
      </c>
      <c r="K655" t="s">
        <v>3401</v>
      </c>
      <c r="L655" t="s">
        <v>11201</v>
      </c>
      <c r="M655" t="s">
        <v>11202</v>
      </c>
      <c r="S655" t="s">
        <v>48</v>
      </c>
      <c r="T655" t="s">
        <v>7</v>
      </c>
    </row>
    <row r="656" spans="1:20">
      <c r="A656" t="s">
        <v>3463</v>
      </c>
      <c r="B656" t="s">
        <v>8730</v>
      </c>
      <c r="C656" s="101">
        <v>1018</v>
      </c>
      <c r="D656" t="s">
        <v>11203</v>
      </c>
      <c r="E656" t="s">
        <v>1372</v>
      </c>
      <c r="G656" t="s">
        <v>3434</v>
      </c>
      <c r="H656" t="s">
        <v>13394</v>
      </c>
      <c r="K656" t="s">
        <v>6806</v>
      </c>
      <c r="L656" t="s">
        <v>11204</v>
      </c>
      <c r="M656" t="s">
        <v>11205</v>
      </c>
      <c r="N656" t="s">
        <v>11206</v>
      </c>
      <c r="S656" t="s">
        <v>5719</v>
      </c>
      <c r="T656" t="s">
        <v>7</v>
      </c>
    </row>
    <row r="657" spans="1:20">
      <c r="A657" t="s">
        <v>3463</v>
      </c>
      <c r="B657" t="s">
        <v>8730</v>
      </c>
      <c r="C657" s="101">
        <v>1019</v>
      </c>
      <c r="D657" t="s">
        <v>11207</v>
      </c>
      <c r="E657" t="s">
        <v>1372</v>
      </c>
      <c r="G657" t="s">
        <v>3086</v>
      </c>
      <c r="H657" t="s">
        <v>13410</v>
      </c>
      <c r="K657" t="s">
        <v>11208</v>
      </c>
      <c r="L657" t="s">
        <v>11209</v>
      </c>
      <c r="M657" t="s">
        <v>10953</v>
      </c>
      <c r="P657" t="s">
        <v>154</v>
      </c>
      <c r="S657" t="s">
        <v>27</v>
      </c>
      <c r="T657" t="s">
        <v>7</v>
      </c>
    </row>
    <row r="658" spans="1:20">
      <c r="A658" t="s">
        <v>3463</v>
      </c>
      <c r="B658" t="s">
        <v>8730</v>
      </c>
      <c r="C658" s="101">
        <v>1020</v>
      </c>
      <c r="D658" t="s">
        <v>11210</v>
      </c>
      <c r="E658" t="s">
        <v>1372</v>
      </c>
      <c r="G658" t="s">
        <v>3434</v>
      </c>
      <c r="H658" t="s">
        <v>3402</v>
      </c>
      <c r="K658" t="s">
        <v>3401</v>
      </c>
      <c r="L658" t="s">
        <v>11211</v>
      </c>
      <c r="M658" t="s">
        <v>11212</v>
      </c>
      <c r="S658" t="s">
        <v>36</v>
      </c>
      <c r="T658" t="s">
        <v>7</v>
      </c>
    </row>
    <row r="659" spans="1:20">
      <c r="A659" t="s">
        <v>3463</v>
      </c>
      <c r="B659" t="s">
        <v>8730</v>
      </c>
      <c r="C659" s="101">
        <v>1021</v>
      </c>
      <c r="D659" t="s">
        <v>11213</v>
      </c>
      <c r="E659" t="s">
        <v>1372</v>
      </c>
      <c r="G659" t="s">
        <v>3434</v>
      </c>
      <c r="H659" t="s">
        <v>3402</v>
      </c>
      <c r="K659" t="s">
        <v>3401</v>
      </c>
      <c r="L659" t="s">
        <v>11214</v>
      </c>
      <c r="S659" t="s">
        <v>168</v>
      </c>
      <c r="T659" t="s">
        <v>7</v>
      </c>
    </row>
    <row r="660" spans="1:20">
      <c r="A660" t="s">
        <v>3463</v>
      </c>
      <c r="B660" t="s">
        <v>8730</v>
      </c>
      <c r="C660" s="101">
        <v>1022</v>
      </c>
      <c r="D660" t="s">
        <v>11215</v>
      </c>
      <c r="E660" t="s">
        <v>1372</v>
      </c>
      <c r="G660" t="s">
        <v>3086</v>
      </c>
      <c r="H660" t="s">
        <v>3089</v>
      </c>
      <c r="K660" t="s">
        <v>11208</v>
      </c>
      <c r="L660" t="s">
        <v>11216</v>
      </c>
      <c r="M660" t="s">
        <v>6457</v>
      </c>
      <c r="P660" t="s">
        <v>155</v>
      </c>
      <c r="S660" t="s">
        <v>40</v>
      </c>
      <c r="T660" t="s">
        <v>7</v>
      </c>
    </row>
    <row r="661" spans="1:20">
      <c r="A661" t="s">
        <v>3463</v>
      </c>
      <c r="B661" t="s">
        <v>8730</v>
      </c>
      <c r="C661" s="101">
        <v>1023</v>
      </c>
      <c r="D661" t="s">
        <v>11217</v>
      </c>
      <c r="E661" t="s">
        <v>1374</v>
      </c>
      <c r="G661" t="s">
        <v>3434</v>
      </c>
      <c r="K661" t="s">
        <v>11218</v>
      </c>
      <c r="S661" t="s">
        <v>179</v>
      </c>
      <c r="T661" t="s">
        <v>7</v>
      </c>
    </row>
    <row r="662" spans="1:20">
      <c r="A662" t="s">
        <v>3463</v>
      </c>
      <c r="B662" t="s">
        <v>8730</v>
      </c>
      <c r="C662" s="101">
        <v>1024</v>
      </c>
      <c r="D662" t="s">
        <v>11219</v>
      </c>
      <c r="E662" t="s">
        <v>1374</v>
      </c>
      <c r="G662" t="s">
        <v>3434</v>
      </c>
      <c r="H662" t="s">
        <v>3402</v>
      </c>
      <c r="K662" t="s">
        <v>3401</v>
      </c>
      <c r="L662" t="s">
        <v>11220</v>
      </c>
      <c r="M662" t="s">
        <v>11221</v>
      </c>
      <c r="S662" t="s">
        <v>31</v>
      </c>
      <c r="T662" t="s">
        <v>7</v>
      </c>
    </row>
    <row r="663" spans="1:20">
      <c r="A663" t="s">
        <v>3463</v>
      </c>
      <c r="B663" t="s">
        <v>8730</v>
      </c>
      <c r="C663" s="101">
        <v>1025</v>
      </c>
      <c r="D663" t="s">
        <v>11222</v>
      </c>
      <c r="E663" t="s">
        <v>1374</v>
      </c>
      <c r="G663" t="s">
        <v>3434</v>
      </c>
      <c r="H663" t="s">
        <v>3402</v>
      </c>
      <c r="K663" t="s">
        <v>5489</v>
      </c>
      <c r="L663" t="s">
        <v>11223</v>
      </c>
      <c r="S663" t="s">
        <v>169</v>
      </c>
      <c r="T663" t="s">
        <v>7</v>
      </c>
    </row>
    <row r="664" spans="1:20">
      <c r="A664" t="s">
        <v>3463</v>
      </c>
      <c r="B664" t="s">
        <v>8730</v>
      </c>
      <c r="C664" s="101">
        <v>1026</v>
      </c>
      <c r="D664" t="s">
        <v>11224</v>
      </c>
      <c r="E664" t="s">
        <v>1374</v>
      </c>
      <c r="G664" t="s">
        <v>3434</v>
      </c>
      <c r="K664" t="s">
        <v>11225</v>
      </c>
      <c r="L664" t="s">
        <v>11226</v>
      </c>
      <c r="S664" t="s">
        <v>844</v>
      </c>
      <c r="T664" t="s">
        <v>7</v>
      </c>
    </row>
    <row r="665" spans="1:20">
      <c r="A665" t="s">
        <v>3463</v>
      </c>
      <c r="B665" t="s">
        <v>8730</v>
      </c>
      <c r="C665" s="101">
        <v>1027</v>
      </c>
      <c r="D665" t="s">
        <v>11227</v>
      </c>
      <c r="E665" t="s">
        <v>1374</v>
      </c>
      <c r="G665" t="s">
        <v>3434</v>
      </c>
      <c r="K665" t="s">
        <v>5621</v>
      </c>
      <c r="L665" t="s">
        <v>11228</v>
      </c>
      <c r="M665" t="s">
        <v>11229</v>
      </c>
      <c r="S665" t="s">
        <v>28</v>
      </c>
      <c r="T665" t="s">
        <v>7</v>
      </c>
    </row>
    <row r="666" spans="1:20">
      <c r="A666" t="s">
        <v>3463</v>
      </c>
      <c r="B666" t="s">
        <v>8730</v>
      </c>
      <c r="C666" s="101">
        <v>1028</v>
      </c>
      <c r="D666" t="s">
        <v>11230</v>
      </c>
      <c r="E666" t="s">
        <v>1375</v>
      </c>
      <c r="G666" t="s">
        <v>3434</v>
      </c>
      <c r="K666" t="s">
        <v>11231</v>
      </c>
      <c r="S666" t="s">
        <v>50</v>
      </c>
      <c r="T666" t="s">
        <v>7</v>
      </c>
    </row>
    <row r="667" spans="1:20">
      <c r="A667" t="s">
        <v>3463</v>
      </c>
      <c r="B667" t="s">
        <v>8730</v>
      </c>
      <c r="C667" s="101">
        <v>1029</v>
      </c>
      <c r="D667" t="s">
        <v>11232</v>
      </c>
      <c r="E667" t="s">
        <v>1374</v>
      </c>
      <c r="G667" t="s">
        <v>3434</v>
      </c>
      <c r="H667" t="s">
        <v>3402</v>
      </c>
      <c r="K667" t="s">
        <v>11233</v>
      </c>
      <c r="L667" t="s">
        <v>3401</v>
      </c>
      <c r="M667" t="s">
        <v>11234</v>
      </c>
      <c r="S667" t="s">
        <v>38</v>
      </c>
      <c r="T667" t="s">
        <v>7</v>
      </c>
    </row>
    <row r="668" spans="1:20">
      <c r="A668" t="s">
        <v>3463</v>
      </c>
      <c r="B668" t="s">
        <v>8730</v>
      </c>
      <c r="C668" s="101">
        <v>1030</v>
      </c>
      <c r="D668" t="s">
        <v>11235</v>
      </c>
      <c r="E668" t="s">
        <v>1374</v>
      </c>
      <c r="G668" t="s">
        <v>3434</v>
      </c>
      <c r="K668" t="s">
        <v>7296</v>
      </c>
      <c r="L668" t="s">
        <v>11236</v>
      </c>
      <c r="S668" t="s">
        <v>28</v>
      </c>
      <c r="T668" t="s">
        <v>7</v>
      </c>
    </row>
    <row r="669" spans="1:20">
      <c r="A669" t="s">
        <v>3463</v>
      </c>
      <c r="B669" t="s">
        <v>8730</v>
      </c>
      <c r="C669" s="101">
        <v>1031</v>
      </c>
      <c r="D669" t="s">
        <v>11237</v>
      </c>
      <c r="E669" t="s">
        <v>1374</v>
      </c>
      <c r="G669" t="s">
        <v>3434</v>
      </c>
      <c r="H669" t="s">
        <v>3402</v>
      </c>
      <c r="K669" t="s">
        <v>3401</v>
      </c>
      <c r="L669" t="s">
        <v>11238</v>
      </c>
      <c r="M669" t="s">
        <v>10861</v>
      </c>
      <c r="S669" t="s">
        <v>170</v>
      </c>
      <c r="T669" t="s">
        <v>7</v>
      </c>
    </row>
    <row r="670" spans="1:20">
      <c r="A670" t="s">
        <v>3463</v>
      </c>
      <c r="B670" t="s">
        <v>8730</v>
      </c>
      <c r="C670" s="101">
        <v>1032</v>
      </c>
      <c r="D670" t="s">
        <v>11239</v>
      </c>
      <c r="E670" t="s">
        <v>1374</v>
      </c>
      <c r="G670" t="s">
        <v>3434</v>
      </c>
      <c r="K670" t="s">
        <v>11240</v>
      </c>
      <c r="L670" t="s">
        <v>11241</v>
      </c>
      <c r="M670" t="s">
        <v>11242</v>
      </c>
      <c r="S670" t="s">
        <v>46</v>
      </c>
      <c r="T670" t="s">
        <v>7</v>
      </c>
    </row>
    <row r="671" spans="1:20">
      <c r="A671" t="s">
        <v>3463</v>
      </c>
      <c r="B671" t="s">
        <v>8730</v>
      </c>
      <c r="C671" s="101">
        <v>1033</v>
      </c>
      <c r="D671" t="s">
        <v>11243</v>
      </c>
      <c r="E671" t="s">
        <v>1374</v>
      </c>
      <c r="G671" t="s">
        <v>3434</v>
      </c>
      <c r="H671" t="s">
        <v>3402</v>
      </c>
      <c r="K671" t="s">
        <v>3401</v>
      </c>
      <c r="L671" t="s">
        <v>11244</v>
      </c>
      <c r="M671" t="s">
        <v>11245</v>
      </c>
      <c r="S671" t="s">
        <v>11</v>
      </c>
      <c r="T671" t="s">
        <v>7</v>
      </c>
    </row>
    <row r="672" spans="1:20">
      <c r="A672" t="s">
        <v>3463</v>
      </c>
      <c r="B672" t="s">
        <v>8730</v>
      </c>
      <c r="C672" s="101">
        <v>1034</v>
      </c>
      <c r="D672" t="s">
        <v>11246</v>
      </c>
      <c r="E672" t="s">
        <v>1374</v>
      </c>
      <c r="G672" t="s">
        <v>3434</v>
      </c>
      <c r="H672" t="s">
        <v>3402</v>
      </c>
      <c r="K672" t="s">
        <v>3401</v>
      </c>
      <c r="L672" t="s">
        <v>11247</v>
      </c>
      <c r="S672" t="s">
        <v>52</v>
      </c>
      <c r="T672" t="s">
        <v>7</v>
      </c>
    </row>
    <row r="673" spans="1:20">
      <c r="A673" t="s">
        <v>3463</v>
      </c>
      <c r="B673" t="s">
        <v>8730</v>
      </c>
      <c r="C673" s="101">
        <v>1035</v>
      </c>
      <c r="D673" t="s">
        <v>11248</v>
      </c>
      <c r="E673" t="s">
        <v>1374</v>
      </c>
      <c r="G673" t="s">
        <v>3434</v>
      </c>
      <c r="K673" t="s">
        <v>11249</v>
      </c>
      <c r="S673" t="s">
        <v>38</v>
      </c>
      <c r="T673" t="s">
        <v>7</v>
      </c>
    </row>
    <row r="674" spans="1:20">
      <c r="A674" t="s">
        <v>3463</v>
      </c>
      <c r="B674" t="s">
        <v>8730</v>
      </c>
      <c r="C674" s="101">
        <v>1036</v>
      </c>
      <c r="D674" t="s">
        <v>11250</v>
      </c>
      <c r="E674" t="s">
        <v>1374</v>
      </c>
      <c r="G674" t="s">
        <v>3434</v>
      </c>
      <c r="K674" t="s">
        <v>11251</v>
      </c>
      <c r="L674" t="s">
        <v>11252</v>
      </c>
      <c r="S674" t="s">
        <v>17</v>
      </c>
      <c r="T674" t="s">
        <v>7</v>
      </c>
    </row>
    <row r="675" spans="1:20">
      <c r="A675" t="s">
        <v>3463</v>
      </c>
      <c r="B675" t="s">
        <v>8730</v>
      </c>
      <c r="C675" s="101">
        <v>1037</v>
      </c>
      <c r="D675" t="s">
        <v>11253</v>
      </c>
      <c r="E675" t="s">
        <v>1374</v>
      </c>
      <c r="G675" t="s">
        <v>5673</v>
      </c>
      <c r="H675" t="s">
        <v>13403</v>
      </c>
      <c r="K675" t="s">
        <v>11254</v>
      </c>
      <c r="S675" t="s">
        <v>5281</v>
      </c>
      <c r="T675" t="s">
        <v>7</v>
      </c>
    </row>
    <row r="676" spans="1:20">
      <c r="A676" t="s">
        <v>3463</v>
      </c>
      <c r="B676" t="s">
        <v>8730</v>
      </c>
      <c r="C676" s="101">
        <v>1038</v>
      </c>
      <c r="D676" t="s">
        <v>11255</v>
      </c>
      <c r="E676" t="s">
        <v>1374</v>
      </c>
      <c r="G676" t="s">
        <v>3434</v>
      </c>
      <c r="K676" t="s">
        <v>11256</v>
      </c>
      <c r="S676" t="s">
        <v>48</v>
      </c>
      <c r="T676" t="s">
        <v>7</v>
      </c>
    </row>
    <row r="677" spans="1:20">
      <c r="A677" t="s">
        <v>3463</v>
      </c>
      <c r="B677" t="s">
        <v>8730</v>
      </c>
      <c r="C677" s="101">
        <v>1039</v>
      </c>
      <c r="D677" t="s">
        <v>11257</v>
      </c>
      <c r="E677" t="s">
        <v>1374</v>
      </c>
      <c r="G677" t="s">
        <v>1526</v>
      </c>
      <c r="H677" t="s">
        <v>5674</v>
      </c>
      <c r="K677" t="s">
        <v>11258</v>
      </c>
      <c r="S677" t="s">
        <v>175</v>
      </c>
      <c r="T677" t="s">
        <v>7</v>
      </c>
    </row>
    <row r="678" spans="1:20">
      <c r="A678" t="s">
        <v>3463</v>
      </c>
      <c r="B678" t="s">
        <v>8730</v>
      </c>
      <c r="C678" s="101">
        <v>1040</v>
      </c>
      <c r="D678" t="s">
        <v>11259</v>
      </c>
      <c r="E678" t="s">
        <v>1374</v>
      </c>
      <c r="G678" t="s">
        <v>3434</v>
      </c>
      <c r="H678" t="s">
        <v>13397</v>
      </c>
      <c r="K678" t="s">
        <v>1168</v>
      </c>
      <c r="L678" t="s">
        <v>11260</v>
      </c>
      <c r="S678" t="s">
        <v>45</v>
      </c>
      <c r="T678" t="s">
        <v>7</v>
      </c>
    </row>
    <row r="679" spans="1:20">
      <c r="A679" t="s">
        <v>3463</v>
      </c>
      <c r="B679" t="s">
        <v>8730</v>
      </c>
      <c r="C679" s="101">
        <v>1041</v>
      </c>
      <c r="D679" t="s">
        <v>2625</v>
      </c>
      <c r="E679" t="s">
        <v>1375</v>
      </c>
      <c r="G679" t="s">
        <v>3086</v>
      </c>
      <c r="H679" t="s">
        <v>13411</v>
      </c>
      <c r="K679" t="s">
        <v>1423</v>
      </c>
      <c r="L679" t="s">
        <v>1424</v>
      </c>
      <c r="P679" t="s">
        <v>162</v>
      </c>
      <c r="S679" t="s">
        <v>40</v>
      </c>
      <c r="T679" t="s">
        <v>7</v>
      </c>
    </row>
    <row r="680" spans="1:20">
      <c r="A680" t="s">
        <v>3463</v>
      </c>
      <c r="B680" t="s">
        <v>8730</v>
      </c>
      <c r="C680" s="101">
        <v>1042</v>
      </c>
      <c r="D680" t="s">
        <v>11261</v>
      </c>
      <c r="E680" t="s">
        <v>1374</v>
      </c>
      <c r="G680" t="s">
        <v>3434</v>
      </c>
      <c r="K680" t="s">
        <v>11262</v>
      </c>
      <c r="S680" t="s">
        <v>45</v>
      </c>
      <c r="T680" t="s">
        <v>7</v>
      </c>
    </row>
    <row r="681" spans="1:20">
      <c r="A681" t="s">
        <v>3463</v>
      </c>
      <c r="B681" t="s">
        <v>8730</v>
      </c>
      <c r="C681" s="101">
        <v>1043</v>
      </c>
      <c r="D681" t="s">
        <v>11263</v>
      </c>
      <c r="E681" t="s">
        <v>1375</v>
      </c>
      <c r="G681" t="s">
        <v>3434</v>
      </c>
      <c r="H681" t="s">
        <v>3402</v>
      </c>
      <c r="K681" t="s">
        <v>5662</v>
      </c>
      <c r="L681" t="s">
        <v>5663</v>
      </c>
      <c r="M681" t="s">
        <v>11264</v>
      </c>
      <c r="S681" t="s">
        <v>35</v>
      </c>
      <c r="T681" t="s">
        <v>7</v>
      </c>
    </row>
    <row r="682" spans="1:20">
      <c r="A682" t="s">
        <v>3463</v>
      </c>
      <c r="B682" t="s">
        <v>8730</v>
      </c>
      <c r="C682" s="101">
        <v>1044</v>
      </c>
      <c r="D682" t="s">
        <v>11265</v>
      </c>
      <c r="E682" t="s">
        <v>1378</v>
      </c>
      <c r="G682" t="s">
        <v>3434</v>
      </c>
      <c r="H682" t="s">
        <v>3402</v>
      </c>
      <c r="K682" t="s">
        <v>4273</v>
      </c>
      <c r="L682" t="s">
        <v>11266</v>
      </c>
      <c r="M682" t="s">
        <v>11267</v>
      </c>
      <c r="S682" t="s">
        <v>35</v>
      </c>
      <c r="T682" t="s">
        <v>7</v>
      </c>
    </row>
    <row r="683" spans="1:20">
      <c r="A683" t="s">
        <v>3463</v>
      </c>
      <c r="B683" t="s">
        <v>8730</v>
      </c>
      <c r="C683" s="101">
        <v>1045</v>
      </c>
      <c r="D683" t="s">
        <v>11268</v>
      </c>
      <c r="E683" t="s">
        <v>1378</v>
      </c>
      <c r="G683" t="s">
        <v>3434</v>
      </c>
      <c r="K683" t="s">
        <v>11269</v>
      </c>
      <c r="L683" t="s">
        <v>11270</v>
      </c>
      <c r="S683" t="s">
        <v>30</v>
      </c>
      <c r="T683" t="s">
        <v>7</v>
      </c>
    </row>
    <row r="684" spans="1:20">
      <c r="A684" t="s">
        <v>3463</v>
      </c>
      <c r="B684" t="s">
        <v>8730</v>
      </c>
      <c r="C684" s="101">
        <v>1046</v>
      </c>
      <c r="D684" t="s">
        <v>11271</v>
      </c>
      <c r="E684" t="s">
        <v>1378</v>
      </c>
      <c r="G684" t="s">
        <v>3086</v>
      </c>
      <c r="H684" t="s">
        <v>13412</v>
      </c>
      <c r="K684" t="s">
        <v>11272</v>
      </c>
      <c r="L684" t="s">
        <v>1095</v>
      </c>
      <c r="M684" t="s">
        <v>11273</v>
      </c>
      <c r="P684" t="s">
        <v>166</v>
      </c>
      <c r="S684" t="s">
        <v>14</v>
      </c>
      <c r="T684" t="s">
        <v>7</v>
      </c>
    </row>
    <row r="685" spans="1:20">
      <c r="A685" t="s">
        <v>3463</v>
      </c>
      <c r="B685" t="s">
        <v>8730</v>
      </c>
      <c r="C685" s="101">
        <v>1047</v>
      </c>
      <c r="D685" t="s">
        <v>11274</v>
      </c>
      <c r="E685" t="s">
        <v>1378</v>
      </c>
      <c r="G685" t="s">
        <v>3434</v>
      </c>
      <c r="K685" t="s">
        <v>11275</v>
      </c>
      <c r="S685" t="s">
        <v>39</v>
      </c>
      <c r="T685" t="s">
        <v>7</v>
      </c>
    </row>
    <row r="686" spans="1:20">
      <c r="A686" t="s">
        <v>3463</v>
      </c>
      <c r="B686" t="s">
        <v>8730</v>
      </c>
      <c r="C686" s="101">
        <v>1048</v>
      </c>
      <c r="D686" t="s">
        <v>11276</v>
      </c>
      <c r="E686" t="s">
        <v>1379</v>
      </c>
      <c r="G686" t="s">
        <v>3434</v>
      </c>
      <c r="K686" t="s">
        <v>11277</v>
      </c>
      <c r="L686" t="s">
        <v>11278</v>
      </c>
      <c r="S686" t="s">
        <v>49</v>
      </c>
      <c r="T686" t="s">
        <v>7</v>
      </c>
    </row>
    <row r="687" spans="1:20">
      <c r="A687" t="s">
        <v>3463</v>
      </c>
      <c r="B687" t="s">
        <v>8730</v>
      </c>
      <c r="C687" s="101">
        <v>1049</v>
      </c>
      <c r="D687" t="s">
        <v>3433</v>
      </c>
      <c r="E687" t="s">
        <v>1378</v>
      </c>
      <c r="G687" t="s">
        <v>3434</v>
      </c>
      <c r="K687" t="s">
        <v>3435</v>
      </c>
      <c r="S687" t="s">
        <v>52</v>
      </c>
      <c r="T687" t="s">
        <v>7</v>
      </c>
    </row>
    <row r="688" spans="1:20">
      <c r="A688" t="s">
        <v>3463</v>
      </c>
      <c r="B688" t="s">
        <v>8730</v>
      </c>
      <c r="C688" s="101">
        <v>1050</v>
      </c>
      <c r="D688" t="s">
        <v>11279</v>
      </c>
      <c r="E688" t="s">
        <v>1378</v>
      </c>
      <c r="G688" t="s">
        <v>5673</v>
      </c>
      <c r="H688" t="s">
        <v>13391</v>
      </c>
      <c r="K688" t="s">
        <v>11280</v>
      </c>
      <c r="S688" t="s">
        <v>5281</v>
      </c>
      <c r="T688" t="s">
        <v>7</v>
      </c>
    </row>
    <row r="689" spans="1:20">
      <c r="A689" t="s">
        <v>3463</v>
      </c>
      <c r="B689" t="s">
        <v>8730</v>
      </c>
      <c r="C689" s="101">
        <v>1051</v>
      </c>
      <c r="D689" t="s">
        <v>11281</v>
      </c>
      <c r="E689" t="s">
        <v>1379</v>
      </c>
      <c r="G689" t="s">
        <v>3086</v>
      </c>
      <c r="H689" t="s">
        <v>13389</v>
      </c>
      <c r="K689" t="s">
        <v>11282</v>
      </c>
      <c r="P689" t="s">
        <v>1098</v>
      </c>
      <c r="S689" t="s">
        <v>27</v>
      </c>
      <c r="T689" t="s">
        <v>7</v>
      </c>
    </row>
    <row r="690" spans="1:20">
      <c r="A690" t="s">
        <v>3463</v>
      </c>
      <c r="B690" t="s">
        <v>8730</v>
      </c>
      <c r="C690" s="101">
        <v>1052</v>
      </c>
      <c r="D690" t="s">
        <v>11283</v>
      </c>
      <c r="E690" t="s">
        <v>1378</v>
      </c>
      <c r="G690" t="s">
        <v>3434</v>
      </c>
      <c r="H690" t="s">
        <v>3402</v>
      </c>
      <c r="K690" t="s">
        <v>12</v>
      </c>
      <c r="L690" t="s">
        <v>3401</v>
      </c>
      <c r="M690" t="s">
        <v>11264</v>
      </c>
      <c r="S690" t="s">
        <v>46</v>
      </c>
      <c r="T690" t="s">
        <v>7</v>
      </c>
    </row>
    <row r="691" spans="1:20">
      <c r="A691" t="s">
        <v>3463</v>
      </c>
      <c r="B691" t="s">
        <v>8730</v>
      </c>
      <c r="C691" s="101">
        <v>1053</v>
      </c>
      <c r="D691" t="s">
        <v>11284</v>
      </c>
      <c r="E691" t="s">
        <v>1379</v>
      </c>
      <c r="G691" t="s">
        <v>3434</v>
      </c>
      <c r="H691" t="s">
        <v>3402</v>
      </c>
      <c r="K691" t="s">
        <v>3401</v>
      </c>
      <c r="L691" t="s">
        <v>5574</v>
      </c>
      <c r="M691" t="s">
        <v>10846</v>
      </c>
      <c r="S691" t="s">
        <v>180</v>
      </c>
      <c r="T691" t="s">
        <v>7</v>
      </c>
    </row>
    <row r="692" spans="1:20">
      <c r="A692" t="s">
        <v>3463</v>
      </c>
      <c r="B692" t="s">
        <v>8730</v>
      </c>
      <c r="C692" s="101">
        <v>1054</v>
      </c>
      <c r="D692" t="s">
        <v>11285</v>
      </c>
      <c r="E692" t="s">
        <v>1379</v>
      </c>
      <c r="G692" t="s">
        <v>3434</v>
      </c>
      <c r="K692" t="s">
        <v>11286</v>
      </c>
      <c r="L692" t="s">
        <v>11287</v>
      </c>
      <c r="S692" t="s">
        <v>33</v>
      </c>
      <c r="T692" t="s">
        <v>7</v>
      </c>
    </row>
    <row r="693" spans="1:20">
      <c r="A693" t="s">
        <v>3463</v>
      </c>
      <c r="B693" t="s">
        <v>8730</v>
      </c>
      <c r="C693" s="101">
        <v>1055</v>
      </c>
      <c r="D693" t="s">
        <v>11288</v>
      </c>
      <c r="E693" t="s">
        <v>1379</v>
      </c>
      <c r="G693" t="s">
        <v>3434</v>
      </c>
      <c r="K693" t="s">
        <v>11289</v>
      </c>
      <c r="L693" t="s">
        <v>5577</v>
      </c>
      <c r="S693" t="s">
        <v>53</v>
      </c>
      <c r="T693" t="s">
        <v>7</v>
      </c>
    </row>
    <row r="694" spans="1:20">
      <c r="A694" t="s">
        <v>3463</v>
      </c>
      <c r="B694" t="s">
        <v>8730</v>
      </c>
      <c r="C694" s="101">
        <v>1056</v>
      </c>
      <c r="D694" t="s">
        <v>11290</v>
      </c>
      <c r="E694" t="s">
        <v>1378</v>
      </c>
      <c r="G694" t="s">
        <v>3434</v>
      </c>
      <c r="K694" t="s">
        <v>11291</v>
      </c>
      <c r="S694" t="s">
        <v>37</v>
      </c>
      <c r="T694" t="s">
        <v>7</v>
      </c>
    </row>
    <row r="695" spans="1:20">
      <c r="A695" t="s">
        <v>3463</v>
      </c>
      <c r="B695" t="s">
        <v>8730</v>
      </c>
      <c r="C695" s="101">
        <v>1057</v>
      </c>
      <c r="D695" t="s">
        <v>11292</v>
      </c>
      <c r="E695" t="s">
        <v>1381</v>
      </c>
      <c r="G695" t="s">
        <v>3434</v>
      </c>
      <c r="K695" t="s">
        <v>11293</v>
      </c>
      <c r="S695" t="s">
        <v>27</v>
      </c>
      <c r="T695" t="s">
        <v>7</v>
      </c>
    </row>
    <row r="696" spans="1:20">
      <c r="A696" t="s">
        <v>3463</v>
      </c>
      <c r="B696" t="s">
        <v>8730</v>
      </c>
      <c r="C696" s="101">
        <v>1058</v>
      </c>
      <c r="D696" t="s">
        <v>11294</v>
      </c>
      <c r="E696" t="s">
        <v>1381</v>
      </c>
      <c r="G696" t="s">
        <v>3434</v>
      </c>
      <c r="K696" t="s">
        <v>11295</v>
      </c>
      <c r="S696" t="s">
        <v>6</v>
      </c>
      <c r="T696" t="s">
        <v>7</v>
      </c>
    </row>
    <row r="697" spans="1:20">
      <c r="A697" t="s">
        <v>3463</v>
      </c>
      <c r="B697" t="s">
        <v>8730</v>
      </c>
      <c r="C697" s="101">
        <v>1059</v>
      </c>
      <c r="D697" t="s">
        <v>11296</v>
      </c>
      <c r="E697" t="s">
        <v>1385</v>
      </c>
      <c r="G697" t="s">
        <v>3434</v>
      </c>
      <c r="K697" t="s">
        <v>11297</v>
      </c>
      <c r="S697" t="s">
        <v>175</v>
      </c>
      <c r="T697" t="s">
        <v>7</v>
      </c>
    </row>
    <row r="698" spans="1:20">
      <c r="A698" t="s">
        <v>3463</v>
      </c>
      <c r="B698" t="s">
        <v>8730</v>
      </c>
      <c r="C698" s="101">
        <v>1060</v>
      </c>
      <c r="D698" t="s">
        <v>11298</v>
      </c>
      <c r="E698" t="s">
        <v>1381</v>
      </c>
      <c r="G698" t="s">
        <v>3434</v>
      </c>
      <c r="K698" t="s">
        <v>11299</v>
      </c>
      <c r="S698" t="s">
        <v>604</v>
      </c>
      <c r="T698" t="s">
        <v>7</v>
      </c>
    </row>
    <row r="699" spans="1:20">
      <c r="A699" t="s">
        <v>3463</v>
      </c>
      <c r="B699" t="s">
        <v>8730</v>
      </c>
      <c r="C699" s="101">
        <v>1061</v>
      </c>
      <c r="D699" t="s">
        <v>11300</v>
      </c>
      <c r="E699" t="s">
        <v>1385</v>
      </c>
      <c r="G699" t="s">
        <v>3434</v>
      </c>
      <c r="K699" t="s">
        <v>11301</v>
      </c>
      <c r="S699" t="s">
        <v>8</v>
      </c>
      <c r="T699" t="s">
        <v>7</v>
      </c>
    </row>
    <row r="700" spans="1:20">
      <c r="A700" t="s">
        <v>3463</v>
      </c>
      <c r="B700" t="s">
        <v>8730</v>
      </c>
      <c r="C700" s="101">
        <v>1062</v>
      </c>
      <c r="D700" t="s">
        <v>11302</v>
      </c>
      <c r="E700" t="s">
        <v>1465</v>
      </c>
      <c r="G700" t="s">
        <v>3086</v>
      </c>
      <c r="H700" t="s">
        <v>13413</v>
      </c>
      <c r="K700" t="s">
        <v>11197</v>
      </c>
      <c r="P700" t="s">
        <v>11303</v>
      </c>
      <c r="S700" t="s">
        <v>27</v>
      </c>
      <c r="T700" t="s">
        <v>7</v>
      </c>
    </row>
    <row r="701" spans="1:20">
      <c r="A701" t="s">
        <v>3463</v>
      </c>
      <c r="B701" t="s">
        <v>8730</v>
      </c>
      <c r="C701" s="101">
        <v>1063</v>
      </c>
      <c r="D701" t="s">
        <v>11304</v>
      </c>
      <c r="E701" t="s">
        <v>1386</v>
      </c>
      <c r="G701" t="s">
        <v>3434</v>
      </c>
      <c r="K701" t="s">
        <v>11305</v>
      </c>
      <c r="S701" t="s">
        <v>172</v>
      </c>
      <c r="T701" t="s">
        <v>7</v>
      </c>
    </row>
    <row r="702" spans="1:20">
      <c r="A702" t="s">
        <v>3465</v>
      </c>
      <c r="B702" t="s">
        <v>8730</v>
      </c>
      <c r="C702" s="101">
        <v>2001</v>
      </c>
      <c r="D702" t="s">
        <v>11482</v>
      </c>
      <c r="E702" t="s">
        <v>1370</v>
      </c>
      <c r="G702" t="s">
        <v>3434</v>
      </c>
      <c r="K702" t="s">
        <v>11483</v>
      </c>
      <c r="S702" t="s">
        <v>168</v>
      </c>
      <c r="T702" t="s">
        <v>9</v>
      </c>
    </row>
    <row r="703" spans="1:20">
      <c r="A703" t="s">
        <v>3465</v>
      </c>
      <c r="B703" t="s">
        <v>8730</v>
      </c>
      <c r="C703" s="101">
        <v>2002</v>
      </c>
      <c r="D703" t="s">
        <v>11484</v>
      </c>
      <c r="E703" t="s">
        <v>1370</v>
      </c>
      <c r="G703" t="s">
        <v>3434</v>
      </c>
      <c r="K703" t="s">
        <v>11485</v>
      </c>
      <c r="S703" t="s">
        <v>48</v>
      </c>
      <c r="T703" t="s">
        <v>9</v>
      </c>
    </row>
    <row r="704" spans="1:20">
      <c r="A704" t="s">
        <v>3465</v>
      </c>
      <c r="B704" t="s">
        <v>8730</v>
      </c>
      <c r="C704" s="101">
        <v>2003</v>
      </c>
      <c r="D704" t="s">
        <v>11486</v>
      </c>
      <c r="E704" t="s">
        <v>1370</v>
      </c>
      <c r="G704" t="s">
        <v>3434</v>
      </c>
      <c r="K704" t="s">
        <v>11487</v>
      </c>
      <c r="L704" t="s">
        <v>11488</v>
      </c>
      <c r="S704" t="s">
        <v>5685</v>
      </c>
      <c r="T704" t="s">
        <v>9</v>
      </c>
    </row>
    <row r="705" spans="1:20">
      <c r="A705" t="s">
        <v>3465</v>
      </c>
      <c r="B705" t="s">
        <v>8730</v>
      </c>
      <c r="C705" s="101">
        <v>2004</v>
      </c>
      <c r="D705" t="s">
        <v>11489</v>
      </c>
      <c r="E705" t="s">
        <v>1372</v>
      </c>
      <c r="G705" t="s">
        <v>3434</v>
      </c>
      <c r="K705" t="s">
        <v>11490</v>
      </c>
      <c r="L705" t="s">
        <v>11491</v>
      </c>
      <c r="M705" t="s">
        <v>11492</v>
      </c>
      <c r="S705" t="s">
        <v>5281</v>
      </c>
      <c r="T705" t="s">
        <v>9</v>
      </c>
    </row>
    <row r="706" spans="1:20">
      <c r="A706" t="s">
        <v>3465</v>
      </c>
      <c r="B706" t="s">
        <v>8730</v>
      </c>
      <c r="C706" s="101">
        <v>2005</v>
      </c>
      <c r="D706" t="s">
        <v>11493</v>
      </c>
      <c r="E706" t="s">
        <v>1372</v>
      </c>
      <c r="G706" t="s">
        <v>3434</v>
      </c>
      <c r="K706" t="s">
        <v>11494</v>
      </c>
      <c r="S706" t="s">
        <v>5381</v>
      </c>
      <c r="T706" t="s">
        <v>9</v>
      </c>
    </row>
    <row r="707" spans="1:20">
      <c r="A707" t="s">
        <v>3465</v>
      </c>
      <c r="B707" t="s">
        <v>8730</v>
      </c>
      <c r="C707" s="101">
        <v>2006</v>
      </c>
      <c r="D707" t="s">
        <v>11495</v>
      </c>
      <c r="E707" t="s">
        <v>1372</v>
      </c>
      <c r="G707" t="s">
        <v>3434</v>
      </c>
      <c r="H707" t="s">
        <v>3402</v>
      </c>
      <c r="K707" t="s">
        <v>3401</v>
      </c>
      <c r="L707" t="s">
        <v>11496</v>
      </c>
      <c r="S707" t="s">
        <v>52</v>
      </c>
      <c r="T707" t="s">
        <v>9</v>
      </c>
    </row>
    <row r="708" spans="1:20">
      <c r="A708" t="s">
        <v>3465</v>
      </c>
      <c r="B708" t="s">
        <v>8730</v>
      </c>
      <c r="C708" s="101">
        <v>2007</v>
      </c>
      <c r="D708" t="s">
        <v>11497</v>
      </c>
      <c r="E708" t="s">
        <v>1372</v>
      </c>
      <c r="G708" t="s">
        <v>3434</v>
      </c>
      <c r="K708" t="s">
        <v>11498</v>
      </c>
      <c r="S708" t="s">
        <v>49</v>
      </c>
      <c r="T708" t="s">
        <v>9</v>
      </c>
    </row>
    <row r="709" spans="1:20">
      <c r="A709" t="s">
        <v>3465</v>
      </c>
      <c r="B709" t="s">
        <v>8730</v>
      </c>
      <c r="C709" s="101">
        <v>2009</v>
      </c>
      <c r="D709" t="s">
        <v>11499</v>
      </c>
      <c r="E709" t="s">
        <v>1464</v>
      </c>
      <c r="G709" t="s">
        <v>3086</v>
      </c>
      <c r="H709" t="s">
        <v>3089</v>
      </c>
      <c r="K709" t="s">
        <v>11500</v>
      </c>
      <c r="P709" t="s">
        <v>154</v>
      </c>
      <c r="S709" t="s">
        <v>27</v>
      </c>
      <c r="T709" t="s">
        <v>9</v>
      </c>
    </row>
    <row r="710" spans="1:20">
      <c r="A710" t="s">
        <v>3465</v>
      </c>
      <c r="B710" t="s">
        <v>8730</v>
      </c>
      <c r="C710" s="101">
        <v>2010</v>
      </c>
      <c r="D710" t="s">
        <v>11501</v>
      </c>
      <c r="E710" t="s">
        <v>1372</v>
      </c>
      <c r="G710" t="s">
        <v>3434</v>
      </c>
      <c r="K710" t="s">
        <v>11502</v>
      </c>
      <c r="L710" t="s">
        <v>11503</v>
      </c>
      <c r="S710" t="s">
        <v>32</v>
      </c>
      <c r="T710" t="s">
        <v>9</v>
      </c>
    </row>
    <row r="711" spans="1:20">
      <c r="A711" t="s">
        <v>3465</v>
      </c>
      <c r="B711" t="s">
        <v>8730</v>
      </c>
      <c r="C711" s="101">
        <v>2011</v>
      </c>
      <c r="D711" t="s">
        <v>11504</v>
      </c>
      <c r="E711" t="s">
        <v>1372</v>
      </c>
      <c r="G711" t="s">
        <v>3086</v>
      </c>
      <c r="H711" t="s">
        <v>13408</v>
      </c>
      <c r="K711" t="s">
        <v>11505</v>
      </c>
      <c r="P711" t="s">
        <v>155</v>
      </c>
      <c r="S711" t="s">
        <v>40</v>
      </c>
      <c r="T711" t="s">
        <v>9</v>
      </c>
    </row>
    <row r="712" spans="1:20">
      <c r="A712" t="s">
        <v>3465</v>
      </c>
      <c r="B712" t="s">
        <v>8730</v>
      </c>
      <c r="C712" s="101">
        <v>2012</v>
      </c>
      <c r="D712" t="s">
        <v>11506</v>
      </c>
      <c r="E712" t="s">
        <v>1372</v>
      </c>
      <c r="G712" t="s">
        <v>3434</v>
      </c>
      <c r="H712" t="s">
        <v>13397</v>
      </c>
      <c r="K712" t="s">
        <v>1168</v>
      </c>
      <c r="L712" t="s">
        <v>11507</v>
      </c>
      <c r="S712" t="s">
        <v>45</v>
      </c>
      <c r="T712" t="s">
        <v>9</v>
      </c>
    </row>
    <row r="713" spans="1:20">
      <c r="A713" t="s">
        <v>3465</v>
      </c>
      <c r="B713" t="s">
        <v>8730</v>
      </c>
      <c r="C713" s="101">
        <v>2013</v>
      </c>
      <c r="D713" t="s">
        <v>11508</v>
      </c>
      <c r="E713" t="s">
        <v>1372</v>
      </c>
      <c r="G713" t="s">
        <v>1526</v>
      </c>
      <c r="K713" t="s">
        <v>11509</v>
      </c>
      <c r="L713" t="s">
        <v>11510</v>
      </c>
      <c r="S713" t="s">
        <v>37</v>
      </c>
      <c r="T713" t="s">
        <v>9</v>
      </c>
    </row>
    <row r="714" spans="1:20">
      <c r="A714" t="s">
        <v>3465</v>
      </c>
      <c r="B714" t="s">
        <v>8730</v>
      </c>
      <c r="C714" s="101">
        <v>2014</v>
      </c>
      <c r="D714" t="s">
        <v>11511</v>
      </c>
      <c r="E714" t="s">
        <v>1372</v>
      </c>
      <c r="G714" t="s">
        <v>3434</v>
      </c>
      <c r="K714" t="s">
        <v>11512</v>
      </c>
      <c r="L714" t="s">
        <v>11513</v>
      </c>
      <c r="S714" t="s">
        <v>607</v>
      </c>
      <c r="T714" t="s">
        <v>9</v>
      </c>
    </row>
    <row r="715" spans="1:20">
      <c r="A715" t="s">
        <v>3465</v>
      </c>
      <c r="B715" t="s">
        <v>8730</v>
      </c>
      <c r="C715" s="101">
        <v>2015</v>
      </c>
      <c r="D715" t="s">
        <v>11514</v>
      </c>
      <c r="E715" t="s">
        <v>1374</v>
      </c>
      <c r="G715" t="s">
        <v>3434</v>
      </c>
      <c r="H715" t="s">
        <v>13394</v>
      </c>
      <c r="K715" t="s">
        <v>6806</v>
      </c>
      <c r="L715" t="s">
        <v>11515</v>
      </c>
      <c r="M715" t="s">
        <v>11516</v>
      </c>
      <c r="N715" t="s">
        <v>11517</v>
      </c>
      <c r="S715" t="s">
        <v>5719</v>
      </c>
      <c r="T715" t="s">
        <v>9</v>
      </c>
    </row>
    <row r="716" spans="1:20">
      <c r="A716" t="s">
        <v>3465</v>
      </c>
      <c r="B716" t="s">
        <v>8730</v>
      </c>
      <c r="C716" s="101">
        <v>2016</v>
      </c>
      <c r="D716" t="s">
        <v>11518</v>
      </c>
      <c r="E716" t="s">
        <v>1374</v>
      </c>
      <c r="G716" t="s">
        <v>3434</v>
      </c>
      <c r="K716" t="s">
        <v>11519</v>
      </c>
      <c r="S716" t="s">
        <v>605</v>
      </c>
      <c r="T716" t="s">
        <v>9</v>
      </c>
    </row>
    <row r="717" spans="1:20">
      <c r="A717" t="s">
        <v>3465</v>
      </c>
      <c r="B717" t="s">
        <v>8730</v>
      </c>
      <c r="C717" s="101">
        <v>2017</v>
      </c>
      <c r="D717" t="s">
        <v>11520</v>
      </c>
      <c r="E717" t="s">
        <v>1374</v>
      </c>
      <c r="G717" t="s">
        <v>3434</v>
      </c>
      <c r="K717" t="s">
        <v>11521</v>
      </c>
      <c r="S717" t="s">
        <v>607</v>
      </c>
      <c r="T717" t="s">
        <v>9</v>
      </c>
    </row>
    <row r="718" spans="1:20">
      <c r="A718" t="s">
        <v>3465</v>
      </c>
      <c r="B718" t="s">
        <v>8730</v>
      </c>
      <c r="C718" s="101">
        <v>2018</v>
      </c>
      <c r="D718" t="s">
        <v>11522</v>
      </c>
      <c r="E718" t="s">
        <v>1375</v>
      </c>
      <c r="G718" t="s">
        <v>6685</v>
      </c>
      <c r="K718" t="s">
        <v>11197</v>
      </c>
      <c r="L718" t="s">
        <v>11523</v>
      </c>
      <c r="S718" t="s">
        <v>14</v>
      </c>
      <c r="T718" t="s">
        <v>9</v>
      </c>
    </row>
    <row r="719" spans="1:20">
      <c r="A719" t="s">
        <v>3465</v>
      </c>
      <c r="B719" t="s">
        <v>8730</v>
      </c>
      <c r="C719" s="101">
        <v>2019</v>
      </c>
      <c r="D719" t="s">
        <v>11524</v>
      </c>
      <c r="E719" t="s">
        <v>1374</v>
      </c>
      <c r="G719" t="s">
        <v>3434</v>
      </c>
      <c r="K719" t="s">
        <v>11525</v>
      </c>
      <c r="L719" t="s">
        <v>11526</v>
      </c>
      <c r="S719" t="s">
        <v>29</v>
      </c>
      <c r="T719" t="s">
        <v>9</v>
      </c>
    </row>
    <row r="720" spans="1:20">
      <c r="A720" t="s">
        <v>3465</v>
      </c>
      <c r="B720" t="s">
        <v>8730</v>
      </c>
      <c r="C720" s="101">
        <v>2020</v>
      </c>
      <c r="D720" t="s">
        <v>11527</v>
      </c>
      <c r="E720" t="s">
        <v>1374</v>
      </c>
      <c r="G720" t="s">
        <v>3434</v>
      </c>
      <c r="K720" t="s">
        <v>11528</v>
      </c>
      <c r="L720" t="s">
        <v>11529</v>
      </c>
      <c r="S720" t="s">
        <v>34</v>
      </c>
      <c r="T720" t="s">
        <v>9</v>
      </c>
    </row>
    <row r="721" spans="1:20">
      <c r="A721" t="s">
        <v>3465</v>
      </c>
      <c r="B721" t="s">
        <v>8730</v>
      </c>
      <c r="C721" s="101">
        <v>2021</v>
      </c>
      <c r="D721" t="s">
        <v>11530</v>
      </c>
      <c r="E721" t="s">
        <v>1374</v>
      </c>
      <c r="G721" t="s">
        <v>3434</v>
      </c>
      <c r="K721" t="s">
        <v>11531</v>
      </c>
      <c r="S721" t="s">
        <v>606</v>
      </c>
      <c r="T721" t="s">
        <v>9</v>
      </c>
    </row>
    <row r="722" spans="1:20">
      <c r="A722" t="s">
        <v>3465</v>
      </c>
      <c r="B722" t="s">
        <v>8730</v>
      </c>
      <c r="C722" s="101">
        <v>2022</v>
      </c>
      <c r="D722" t="s">
        <v>11532</v>
      </c>
      <c r="E722" t="s">
        <v>1374</v>
      </c>
      <c r="G722" t="s">
        <v>3434</v>
      </c>
      <c r="K722" t="s">
        <v>11533</v>
      </c>
      <c r="S722" t="s">
        <v>17</v>
      </c>
      <c r="T722" t="s">
        <v>9</v>
      </c>
    </row>
    <row r="723" spans="1:20">
      <c r="A723" s="76" t="s">
        <v>3465</v>
      </c>
      <c r="B723" s="76" t="s">
        <v>8730</v>
      </c>
      <c r="C723" s="103">
        <v>2023</v>
      </c>
      <c r="D723" s="76" t="s">
        <v>11534</v>
      </c>
      <c r="E723" s="76" t="s">
        <v>1374</v>
      </c>
      <c r="F723" s="76"/>
      <c r="G723" s="76" t="s">
        <v>3434</v>
      </c>
      <c r="H723" s="76"/>
      <c r="I723" s="76"/>
      <c r="J723" s="76"/>
      <c r="K723" s="76" t="s">
        <v>1495</v>
      </c>
      <c r="L723" s="76"/>
      <c r="M723" s="76"/>
      <c r="N723" s="76"/>
      <c r="O723" s="76"/>
      <c r="P723" s="76"/>
      <c r="Q723" s="76"/>
      <c r="S723" t="s">
        <v>171</v>
      </c>
      <c r="T723" t="s">
        <v>9</v>
      </c>
    </row>
    <row r="724" spans="1:20">
      <c r="A724" t="s">
        <v>3465</v>
      </c>
      <c r="B724" t="s">
        <v>8730</v>
      </c>
      <c r="C724" s="101">
        <v>2024</v>
      </c>
      <c r="D724" t="s">
        <v>11535</v>
      </c>
      <c r="E724" t="s">
        <v>1375</v>
      </c>
      <c r="G724" t="s">
        <v>3434</v>
      </c>
      <c r="K724" t="s">
        <v>11536</v>
      </c>
      <c r="S724" t="s">
        <v>3747</v>
      </c>
      <c r="T724" t="s">
        <v>9</v>
      </c>
    </row>
    <row r="725" spans="1:20">
      <c r="A725" t="s">
        <v>3465</v>
      </c>
      <c r="B725" t="s">
        <v>8730</v>
      </c>
      <c r="C725" s="101">
        <v>2025</v>
      </c>
      <c r="D725" t="s">
        <v>11537</v>
      </c>
      <c r="E725" t="s">
        <v>1374</v>
      </c>
      <c r="G725" t="s">
        <v>3434</v>
      </c>
      <c r="K725" t="s">
        <v>11538</v>
      </c>
      <c r="S725" t="s">
        <v>35</v>
      </c>
      <c r="T725" t="s">
        <v>9</v>
      </c>
    </row>
    <row r="726" spans="1:20">
      <c r="A726" s="76" t="s">
        <v>3465</v>
      </c>
      <c r="B726" s="76" t="s">
        <v>8730</v>
      </c>
      <c r="C726" s="103">
        <v>2026</v>
      </c>
      <c r="D726" s="76" t="s">
        <v>11539</v>
      </c>
      <c r="E726" s="76" t="s">
        <v>1374</v>
      </c>
      <c r="F726" s="76"/>
      <c r="G726" s="76" t="s">
        <v>3434</v>
      </c>
      <c r="H726" s="76"/>
      <c r="I726" s="76"/>
      <c r="J726" s="76"/>
      <c r="K726" s="76" t="s">
        <v>11540</v>
      </c>
      <c r="L726" s="76" t="s">
        <v>11541</v>
      </c>
      <c r="M726" s="76"/>
      <c r="N726" s="76"/>
      <c r="O726" s="76"/>
      <c r="P726" s="76"/>
      <c r="Q726" s="76"/>
      <c r="S726" t="s">
        <v>36</v>
      </c>
      <c r="T726" t="s">
        <v>9</v>
      </c>
    </row>
    <row r="727" spans="1:20">
      <c r="A727" t="s">
        <v>3465</v>
      </c>
      <c r="B727" t="s">
        <v>8730</v>
      </c>
      <c r="C727" s="101">
        <v>2027</v>
      </c>
      <c r="D727" t="s">
        <v>11542</v>
      </c>
      <c r="E727" t="s">
        <v>11543</v>
      </c>
      <c r="G727" t="s">
        <v>3434</v>
      </c>
      <c r="K727" t="s">
        <v>11544</v>
      </c>
      <c r="S727" t="s">
        <v>169</v>
      </c>
      <c r="T727" t="s">
        <v>9</v>
      </c>
    </row>
    <row r="728" spans="1:20">
      <c r="A728" t="s">
        <v>3465</v>
      </c>
      <c r="B728" t="s">
        <v>8730</v>
      </c>
      <c r="C728" s="101">
        <v>2028</v>
      </c>
      <c r="D728" t="s">
        <v>11545</v>
      </c>
      <c r="E728" t="s">
        <v>1374</v>
      </c>
      <c r="G728" t="s">
        <v>3434</v>
      </c>
      <c r="K728" t="s">
        <v>11546</v>
      </c>
      <c r="S728" t="s">
        <v>46</v>
      </c>
      <c r="T728" t="s">
        <v>9</v>
      </c>
    </row>
    <row r="729" spans="1:20">
      <c r="A729" t="s">
        <v>3465</v>
      </c>
      <c r="B729" t="s">
        <v>8730</v>
      </c>
      <c r="C729" s="101">
        <v>2029</v>
      </c>
      <c r="D729" t="s">
        <v>11547</v>
      </c>
      <c r="E729" t="s">
        <v>1374</v>
      </c>
      <c r="G729" t="s">
        <v>3434</v>
      </c>
      <c r="K729" t="s">
        <v>11548</v>
      </c>
      <c r="S729" t="s">
        <v>181</v>
      </c>
      <c r="T729" t="s">
        <v>9</v>
      </c>
    </row>
    <row r="730" spans="1:20">
      <c r="A730" t="s">
        <v>3465</v>
      </c>
      <c r="B730" t="s">
        <v>8730</v>
      </c>
      <c r="C730" s="101">
        <v>2030</v>
      </c>
      <c r="D730" t="s">
        <v>11549</v>
      </c>
      <c r="E730" t="s">
        <v>1374</v>
      </c>
      <c r="G730" t="s">
        <v>3434</v>
      </c>
      <c r="K730" t="s">
        <v>11550</v>
      </c>
      <c r="S730" t="s">
        <v>3119</v>
      </c>
      <c r="T730" t="s">
        <v>9</v>
      </c>
    </row>
    <row r="731" spans="1:20">
      <c r="A731" t="s">
        <v>3465</v>
      </c>
      <c r="B731" t="s">
        <v>8730</v>
      </c>
      <c r="C731" s="101">
        <v>2031</v>
      </c>
      <c r="D731" t="s">
        <v>11224</v>
      </c>
      <c r="E731" t="s">
        <v>1374</v>
      </c>
      <c r="G731" t="s">
        <v>3434</v>
      </c>
      <c r="K731" t="s">
        <v>11225</v>
      </c>
      <c r="L731" t="s">
        <v>11226</v>
      </c>
      <c r="S731" t="s">
        <v>15</v>
      </c>
      <c r="T731" t="s">
        <v>9</v>
      </c>
    </row>
    <row r="732" spans="1:20">
      <c r="A732" t="s">
        <v>3465</v>
      </c>
      <c r="B732" t="s">
        <v>8730</v>
      </c>
      <c r="C732" s="101">
        <v>2032</v>
      </c>
      <c r="D732" t="s">
        <v>11551</v>
      </c>
      <c r="E732" t="s">
        <v>1375</v>
      </c>
      <c r="G732" t="s">
        <v>3434</v>
      </c>
      <c r="K732" t="s">
        <v>11552</v>
      </c>
      <c r="L732" t="s">
        <v>11553</v>
      </c>
      <c r="S732" t="s">
        <v>5</v>
      </c>
      <c r="T732" t="s">
        <v>9</v>
      </c>
    </row>
    <row r="733" spans="1:20">
      <c r="A733" t="s">
        <v>3465</v>
      </c>
      <c r="B733" t="s">
        <v>8730</v>
      </c>
      <c r="C733" s="101">
        <v>2033</v>
      </c>
      <c r="D733" t="s">
        <v>11554</v>
      </c>
      <c r="E733" t="s">
        <v>1378</v>
      </c>
      <c r="G733" t="s">
        <v>3434</v>
      </c>
      <c r="K733" t="s">
        <v>11555</v>
      </c>
      <c r="L733" t="s">
        <v>11556</v>
      </c>
      <c r="S733" t="s">
        <v>172</v>
      </c>
      <c r="T733" t="s">
        <v>9</v>
      </c>
    </row>
    <row r="734" spans="1:20">
      <c r="A734" t="s">
        <v>3465</v>
      </c>
      <c r="B734" t="s">
        <v>8730</v>
      </c>
      <c r="C734" s="101">
        <v>2034</v>
      </c>
      <c r="D734" t="s">
        <v>11557</v>
      </c>
      <c r="E734" t="s">
        <v>11558</v>
      </c>
      <c r="G734" t="s">
        <v>3434</v>
      </c>
      <c r="K734" t="s">
        <v>11559</v>
      </c>
      <c r="S734" t="s">
        <v>169</v>
      </c>
      <c r="T734" t="s">
        <v>9</v>
      </c>
    </row>
    <row r="735" spans="1:20">
      <c r="A735" t="s">
        <v>3465</v>
      </c>
      <c r="B735" t="s">
        <v>8730</v>
      </c>
      <c r="C735" s="101">
        <v>2035</v>
      </c>
      <c r="D735" t="s">
        <v>11560</v>
      </c>
      <c r="E735" t="s">
        <v>1378</v>
      </c>
      <c r="G735" t="s">
        <v>3434</v>
      </c>
      <c r="K735" t="s">
        <v>11561</v>
      </c>
      <c r="S735" t="s">
        <v>174</v>
      </c>
      <c r="T735" t="s">
        <v>9</v>
      </c>
    </row>
    <row r="736" spans="1:20">
      <c r="A736" t="s">
        <v>3465</v>
      </c>
      <c r="B736" t="s">
        <v>8730</v>
      </c>
      <c r="C736" s="101">
        <v>2036</v>
      </c>
      <c r="D736" t="s">
        <v>11562</v>
      </c>
      <c r="E736" t="s">
        <v>1378</v>
      </c>
      <c r="G736" t="s">
        <v>3434</v>
      </c>
      <c r="K736" t="s">
        <v>11563</v>
      </c>
      <c r="S736" t="s">
        <v>48</v>
      </c>
      <c r="T736" t="s">
        <v>9</v>
      </c>
    </row>
    <row r="737" spans="1:20">
      <c r="A737" t="s">
        <v>3465</v>
      </c>
      <c r="B737" t="s">
        <v>8730</v>
      </c>
      <c r="C737" s="101">
        <v>2037</v>
      </c>
      <c r="D737" t="s">
        <v>11564</v>
      </c>
      <c r="E737" t="s">
        <v>11558</v>
      </c>
      <c r="G737" t="s">
        <v>3434</v>
      </c>
      <c r="H737" t="s">
        <v>3402</v>
      </c>
      <c r="K737" t="s">
        <v>11162</v>
      </c>
      <c r="L737" t="s">
        <v>11565</v>
      </c>
      <c r="S737" t="s">
        <v>180</v>
      </c>
      <c r="T737" t="s">
        <v>9</v>
      </c>
    </row>
    <row r="738" spans="1:20">
      <c r="A738" s="76" t="s">
        <v>3465</v>
      </c>
      <c r="B738" s="76" t="s">
        <v>8730</v>
      </c>
      <c r="C738" s="103">
        <v>2038</v>
      </c>
      <c r="D738" s="76" t="s">
        <v>11566</v>
      </c>
      <c r="E738" s="76" t="s">
        <v>1378</v>
      </c>
      <c r="F738" s="76"/>
      <c r="G738" s="76" t="s">
        <v>3434</v>
      </c>
      <c r="H738" s="76"/>
      <c r="I738" s="76"/>
      <c r="J738" s="76"/>
      <c r="K738" s="76" t="s">
        <v>11567</v>
      </c>
      <c r="L738" s="76" t="s">
        <v>11568</v>
      </c>
      <c r="M738" s="76"/>
      <c r="N738" s="76"/>
      <c r="O738" s="76"/>
      <c r="P738" s="76"/>
      <c r="Q738" s="76"/>
      <c r="S738" t="s">
        <v>183</v>
      </c>
      <c r="T738" t="s">
        <v>9</v>
      </c>
    </row>
    <row r="739" spans="1:20">
      <c r="A739" s="76" t="s">
        <v>3465</v>
      </c>
      <c r="B739" s="76" t="s">
        <v>8730</v>
      </c>
      <c r="C739" s="103">
        <v>2039</v>
      </c>
      <c r="D739" s="76" t="s">
        <v>11569</v>
      </c>
      <c r="E739" s="76" t="s">
        <v>1378</v>
      </c>
      <c r="F739" s="76"/>
      <c r="G739" s="76" t="s">
        <v>3434</v>
      </c>
      <c r="H739" s="76"/>
      <c r="I739" s="76"/>
      <c r="J739" s="76"/>
      <c r="K739" s="76" t="s">
        <v>11570</v>
      </c>
      <c r="L739" s="76"/>
      <c r="M739" s="76"/>
      <c r="N739" s="76"/>
      <c r="O739" s="76"/>
      <c r="P739" s="76"/>
      <c r="Q739" s="76"/>
      <c r="S739" t="s">
        <v>172</v>
      </c>
      <c r="T739" t="s">
        <v>9</v>
      </c>
    </row>
    <row r="740" spans="1:20">
      <c r="A740" t="s">
        <v>3465</v>
      </c>
      <c r="B740" t="s">
        <v>8730</v>
      </c>
      <c r="C740" s="101">
        <v>2040</v>
      </c>
      <c r="D740" t="s">
        <v>11571</v>
      </c>
      <c r="E740" t="s">
        <v>1378</v>
      </c>
      <c r="G740" t="s">
        <v>3434</v>
      </c>
      <c r="K740" t="s">
        <v>11572</v>
      </c>
      <c r="S740" t="s">
        <v>180</v>
      </c>
      <c r="T740" t="s">
        <v>9</v>
      </c>
    </row>
    <row r="741" spans="1:20">
      <c r="A741" t="s">
        <v>3465</v>
      </c>
      <c r="B741" t="s">
        <v>8730</v>
      </c>
      <c r="C741" s="101">
        <v>2041</v>
      </c>
      <c r="D741" t="s">
        <v>11573</v>
      </c>
      <c r="E741" t="s">
        <v>1378</v>
      </c>
      <c r="G741" t="s">
        <v>3434</v>
      </c>
      <c r="K741" t="s">
        <v>11574</v>
      </c>
      <c r="L741" t="s">
        <v>11575</v>
      </c>
      <c r="S741" t="s">
        <v>10</v>
      </c>
      <c r="T741" t="s">
        <v>9</v>
      </c>
    </row>
    <row r="742" spans="1:20">
      <c r="A742" t="s">
        <v>3465</v>
      </c>
      <c r="B742" t="s">
        <v>8730</v>
      </c>
      <c r="C742" s="101">
        <v>2042</v>
      </c>
      <c r="D742" t="s">
        <v>11576</v>
      </c>
      <c r="E742" t="s">
        <v>1379</v>
      </c>
      <c r="G742" t="s">
        <v>3434</v>
      </c>
      <c r="K742" t="s">
        <v>11577</v>
      </c>
      <c r="L742" t="s">
        <v>4407</v>
      </c>
      <c r="M742" t="s">
        <v>11578</v>
      </c>
      <c r="S742" t="s">
        <v>178</v>
      </c>
      <c r="T742" t="s">
        <v>9</v>
      </c>
    </row>
    <row r="743" spans="1:20">
      <c r="A743" t="s">
        <v>3465</v>
      </c>
      <c r="B743" t="s">
        <v>8730</v>
      </c>
      <c r="C743" s="101">
        <v>2043</v>
      </c>
      <c r="D743" t="s">
        <v>11579</v>
      </c>
      <c r="E743" t="s">
        <v>1378</v>
      </c>
      <c r="G743" t="s">
        <v>3434</v>
      </c>
      <c r="H743" t="s">
        <v>3402</v>
      </c>
      <c r="K743" t="s">
        <v>3401</v>
      </c>
      <c r="L743" t="s">
        <v>11580</v>
      </c>
      <c r="S743" t="s">
        <v>3747</v>
      </c>
      <c r="T743" t="s">
        <v>9</v>
      </c>
    </row>
    <row r="744" spans="1:20">
      <c r="A744" s="76" t="s">
        <v>3465</v>
      </c>
      <c r="B744" s="76" t="s">
        <v>8730</v>
      </c>
      <c r="C744" s="103">
        <v>2044</v>
      </c>
      <c r="D744" s="76" t="s">
        <v>11581</v>
      </c>
      <c r="E744" s="76" t="s">
        <v>1378</v>
      </c>
      <c r="F744" s="76"/>
      <c r="G744" s="76" t="s">
        <v>3434</v>
      </c>
      <c r="H744" s="76"/>
      <c r="I744" s="76"/>
      <c r="J744" s="76"/>
      <c r="K744" s="76" t="s">
        <v>11582</v>
      </c>
      <c r="L744" s="76" t="s">
        <v>11583</v>
      </c>
      <c r="M744" s="76"/>
      <c r="N744" s="76"/>
      <c r="O744" s="76"/>
      <c r="P744" s="76"/>
      <c r="Q744" s="76"/>
      <c r="S744" t="s">
        <v>5685</v>
      </c>
      <c r="T744" t="s">
        <v>9</v>
      </c>
    </row>
    <row r="745" spans="1:20">
      <c r="A745" t="s">
        <v>3465</v>
      </c>
      <c r="B745" t="s">
        <v>8730</v>
      </c>
      <c r="C745" s="101">
        <v>2045</v>
      </c>
      <c r="D745" t="s">
        <v>11584</v>
      </c>
      <c r="E745" t="s">
        <v>1379</v>
      </c>
      <c r="G745" t="s">
        <v>3434</v>
      </c>
      <c r="K745" t="s">
        <v>11585</v>
      </c>
      <c r="L745" t="s">
        <v>11586</v>
      </c>
      <c r="S745" t="s">
        <v>11</v>
      </c>
      <c r="T745" t="s">
        <v>9</v>
      </c>
    </row>
    <row r="746" spans="1:20">
      <c r="A746" t="s">
        <v>3465</v>
      </c>
      <c r="B746" t="s">
        <v>8730</v>
      </c>
      <c r="C746" s="101">
        <v>2046</v>
      </c>
      <c r="D746" t="s">
        <v>11587</v>
      </c>
      <c r="E746" t="s">
        <v>1379</v>
      </c>
      <c r="G746" t="s">
        <v>3434</v>
      </c>
      <c r="H746" t="s">
        <v>3402</v>
      </c>
      <c r="K746" t="s">
        <v>3401</v>
      </c>
      <c r="L746" t="s">
        <v>11588</v>
      </c>
      <c r="S746" t="s">
        <v>170</v>
      </c>
      <c r="T746" t="s">
        <v>9</v>
      </c>
    </row>
    <row r="747" spans="1:20">
      <c r="A747" t="s">
        <v>3465</v>
      </c>
      <c r="B747" t="s">
        <v>8730</v>
      </c>
      <c r="C747" s="101">
        <v>2047</v>
      </c>
      <c r="D747" t="s">
        <v>11589</v>
      </c>
      <c r="E747" t="s">
        <v>1378</v>
      </c>
      <c r="G747" t="s">
        <v>1526</v>
      </c>
      <c r="K747" t="s">
        <v>11590</v>
      </c>
      <c r="L747" t="s">
        <v>11591</v>
      </c>
      <c r="T747" t="s">
        <v>9</v>
      </c>
    </row>
    <row r="748" spans="1:20">
      <c r="A748" t="s">
        <v>3465</v>
      </c>
      <c r="B748" t="s">
        <v>8730</v>
      </c>
      <c r="C748" s="101">
        <v>2048</v>
      </c>
      <c r="D748" t="s">
        <v>11592</v>
      </c>
      <c r="E748" t="s">
        <v>13449</v>
      </c>
      <c r="G748" t="s">
        <v>3617</v>
      </c>
      <c r="K748" t="s">
        <v>11593</v>
      </c>
      <c r="L748" t="s">
        <v>11594</v>
      </c>
      <c r="M748" t="s">
        <v>11595</v>
      </c>
      <c r="S748" t="s">
        <v>30</v>
      </c>
      <c r="T748" t="s">
        <v>9</v>
      </c>
    </row>
    <row r="749" spans="1:20">
      <c r="A749" t="s">
        <v>3465</v>
      </c>
      <c r="B749" t="s">
        <v>8730</v>
      </c>
      <c r="C749" s="101">
        <v>2050</v>
      </c>
      <c r="D749" t="s">
        <v>11596</v>
      </c>
      <c r="E749" t="s">
        <v>1378</v>
      </c>
      <c r="G749" t="s">
        <v>3434</v>
      </c>
      <c r="K749" t="s">
        <v>11597</v>
      </c>
      <c r="L749" t="s">
        <v>11598</v>
      </c>
      <c r="M749" t="s">
        <v>11599</v>
      </c>
      <c r="S749" t="s">
        <v>53</v>
      </c>
      <c r="T749" t="s">
        <v>9</v>
      </c>
    </row>
    <row r="750" spans="1:20">
      <c r="A750" t="s">
        <v>3465</v>
      </c>
      <c r="B750" t="s">
        <v>8730</v>
      </c>
      <c r="C750" s="101">
        <v>2051</v>
      </c>
      <c r="D750" t="s">
        <v>11600</v>
      </c>
      <c r="E750" t="s">
        <v>1379</v>
      </c>
      <c r="G750" t="s">
        <v>3434</v>
      </c>
      <c r="H750" t="s">
        <v>3402</v>
      </c>
      <c r="K750" t="s">
        <v>5508</v>
      </c>
      <c r="L750" t="s">
        <v>11601</v>
      </c>
      <c r="S750" t="s">
        <v>8</v>
      </c>
      <c r="T750" t="s">
        <v>9</v>
      </c>
    </row>
    <row r="751" spans="1:20">
      <c r="A751" t="s">
        <v>3465</v>
      </c>
      <c r="B751" t="s">
        <v>8730</v>
      </c>
      <c r="C751" s="101">
        <v>2053</v>
      </c>
      <c r="D751" t="s">
        <v>11602</v>
      </c>
      <c r="E751" t="s">
        <v>1385</v>
      </c>
      <c r="G751" t="s">
        <v>3434</v>
      </c>
      <c r="K751" t="s">
        <v>11603</v>
      </c>
      <c r="S751" t="s">
        <v>168</v>
      </c>
      <c r="T751" t="s">
        <v>9</v>
      </c>
    </row>
    <row r="752" spans="1:20">
      <c r="A752" t="s">
        <v>3465</v>
      </c>
      <c r="B752" t="s">
        <v>8730</v>
      </c>
      <c r="C752" s="101">
        <v>2054</v>
      </c>
      <c r="D752" t="s">
        <v>11604</v>
      </c>
      <c r="E752" t="s">
        <v>1381</v>
      </c>
      <c r="G752" t="s">
        <v>3434</v>
      </c>
      <c r="K752" t="s">
        <v>11605</v>
      </c>
      <c r="S752" t="s">
        <v>8</v>
      </c>
      <c r="T752" t="s">
        <v>9</v>
      </c>
    </row>
    <row r="753" spans="1:20">
      <c r="A753" t="s">
        <v>3465</v>
      </c>
      <c r="B753" t="s">
        <v>8730</v>
      </c>
      <c r="C753" s="101">
        <v>2055</v>
      </c>
      <c r="D753" t="s">
        <v>11606</v>
      </c>
      <c r="E753" t="s">
        <v>1381</v>
      </c>
      <c r="G753" t="s">
        <v>3434</v>
      </c>
      <c r="H753" t="s">
        <v>3402</v>
      </c>
      <c r="K753" t="s">
        <v>3401</v>
      </c>
      <c r="L753" t="s">
        <v>11607</v>
      </c>
      <c r="S753" t="s">
        <v>172</v>
      </c>
      <c r="T753" t="s">
        <v>9</v>
      </c>
    </row>
    <row r="754" spans="1:20">
      <c r="A754" t="s">
        <v>3465</v>
      </c>
      <c r="B754" t="s">
        <v>8730</v>
      </c>
      <c r="C754" s="101">
        <v>2056</v>
      </c>
      <c r="D754" t="s">
        <v>11608</v>
      </c>
      <c r="E754" t="s">
        <v>1385</v>
      </c>
      <c r="G754" t="s">
        <v>3434</v>
      </c>
      <c r="K754" t="s">
        <v>3</v>
      </c>
      <c r="L754" t="s">
        <v>11609</v>
      </c>
      <c r="S754" t="s">
        <v>27</v>
      </c>
      <c r="T754" t="s">
        <v>9</v>
      </c>
    </row>
    <row r="755" spans="1:20">
      <c r="A755" t="s">
        <v>3465</v>
      </c>
      <c r="B755" t="s">
        <v>8730</v>
      </c>
      <c r="C755" s="101">
        <v>2057</v>
      </c>
      <c r="D755" t="s">
        <v>11610</v>
      </c>
      <c r="E755" t="s">
        <v>1385</v>
      </c>
      <c r="G755" t="s">
        <v>3434</v>
      </c>
      <c r="H755" t="s">
        <v>13397</v>
      </c>
      <c r="K755" t="s">
        <v>1168</v>
      </c>
      <c r="L755" t="s">
        <v>11611</v>
      </c>
      <c r="S755" t="s">
        <v>44</v>
      </c>
      <c r="T755" t="s">
        <v>9</v>
      </c>
    </row>
    <row r="756" spans="1:20">
      <c r="A756" t="s">
        <v>3465</v>
      </c>
      <c r="B756" t="s">
        <v>8730</v>
      </c>
      <c r="C756" s="101">
        <v>2058</v>
      </c>
      <c r="D756" t="s">
        <v>11612</v>
      </c>
      <c r="E756" t="s">
        <v>1385</v>
      </c>
      <c r="G756" t="s">
        <v>3434</v>
      </c>
      <c r="K756" t="s">
        <v>11613</v>
      </c>
      <c r="S756" t="s">
        <v>32</v>
      </c>
      <c r="T756" t="s">
        <v>9</v>
      </c>
    </row>
    <row r="757" spans="1:20">
      <c r="A757" t="s">
        <v>3465</v>
      </c>
      <c r="B757" t="s">
        <v>8730</v>
      </c>
      <c r="C757" s="101">
        <v>2059</v>
      </c>
      <c r="D757" t="s">
        <v>11614</v>
      </c>
      <c r="E757" t="s">
        <v>1381</v>
      </c>
      <c r="G757" t="s">
        <v>3434</v>
      </c>
      <c r="K757" t="s">
        <v>11615</v>
      </c>
      <c r="S757" t="s">
        <v>45</v>
      </c>
      <c r="T757" t="s">
        <v>9</v>
      </c>
    </row>
    <row r="758" spans="1:20">
      <c r="A758" t="s">
        <v>3465</v>
      </c>
      <c r="B758" t="s">
        <v>8730</v>
      </c>
      <c r="C758" s="101">
        <v>2060</v>
      </c>
      <c r="D758" t="s">
        <v>11616</v>
      </c>
      <c r="E758" t="s">
        <v>1385</v>
      </c>
      <c r="G758" t="s">
        <v>3434</v>
      </c>
      <c r="K758" t="s">
        <v>11617</v>
      </c>
      <c r="S758" t="s">
        <v>183</v>
      </c>
      <c r="T758" t="s">
        <v>9</v>
      </c>
    </row>
    <row r="759" spans="1:20">
      <c r="A759" t="s">
        <v>3465</v>
      </c>
      <c r="B759" t="s">
        <v>8730</v>
      </c>
      <c r="C759" s="101">
        <v>2061</v>
      </c>
      <c r="D759" t="s">
        <v>11618</v>
      </c>
      <c r="E759" t="s">
        <v>1381</v>
      </c>
      <c r="G759" t="s">
        <v>3434</v>
      </c>
      <c r="K759" t="s">
        <v>11619</v>
      </c>
      <c r="S759" t="s">
        <v>15</v>
      </c>
      <c r="T759" t="s">
        <v>9</v>
      </c>
    </row>
    <row r="760" spans="1:20">
      <c r="A760" t="s">
        <v>3465</v>
      </c>
      <c r="B760" t="s">
        <v>8730</v>
      </c>
      <c r="C760" s="101">
        <v>2062</v>
      </c>
      <c r="D760" t="s">
        <v>11620</v>
      </c>
      <c r="E760" t="s">
        <v>1385</v>
      </c>
      <c r="G760" t="s">
        <v>3434</v>
      </c>
      <c r="K760" t="s">
        <v>11621</v>
      </c>
      <c r="S760" t="s">
        <v>16</v>
      </c>
      <c r="T760" t="s">
        <v>9</v>
      </c>
    </row>
    <row r="761" spans="1:20">
      <c r="A761" t="s">
        <v>3465</v>
      </c>
      <c r="B761" t="s">
        <v>8730</v>
      </c>
      <c r="C761" s="101">
        <v>2063</v>
      </c>
      <c r="D761" t="s">
        <v>11622</v>
      </c>
      <c r="E761" t="s">
        <v>1386</v>
      </c>
      <c r="G761" t="s">
        <v>3434</v>
      </c>
      <c r="K761" t="s">
        <v>11623</v>
      </c>
      <c r="S761" t="s">
        <v>174</v>
      </c>
      <c r="T761" t="s">
        <v>9</v>
      </c>
    </row>
    <row r="762" spans="1:20">
      <c r="A762" t="s">
        <v>3465</v>
      </c>
      <c r="B762" t="s">
        <v>8730</v>
      </c>
      <c r="C762" s="101">
        <v>2064</v>
      </c>
      <c r="D762" t="s">
        <v>11624</v>
      </c>
      <c r="E762" t="s">
        <v>1386</v>
      </c>
      <c r="G762" t="s">
        <v>3434</v>
      </c>
      <c r="K762" t="s">
        <v>11625</v>
      </c>
      <c r="S762" t="s">
        <v>6</v>
      </c>
      <c r="T762" t="s">
        <v>9</v>
      </c>
    </row>
    <row r="763" spans="1:20">
      <c r="A763" t="s">
        <v>3465</v>
      </c>
      <c r="B763" t="s">
        <v>8730</v>
      </c>
      <c r="C763" s="101">
        <v>2065</v>
      </c>
      <c r="D763" t="s">
        <v>11626</v>
      </c>
      <c r="E763" t="s">
        <v>1386</v>
      </c>
      <c r="G763" t="s">
        <v>3434</v>
      </c>
      <c r="K763" t="s">
        <v>11627</v>
      </c>
      <c r="L763" t="s">
        <v>11628</v>
      </c>
      <c r="S763" t="s">
        <v>5719</v>
      </c>
      <c r="T763" t="s">
        <v>9</v>
      </c>
    </row>
    <row r="764" spans="1:20">
      <c r="A764" t="s">
        <v>3465</v>
      </c>
      <c r="B764" t="s">
        <v>8730</v>
      </c>
      <c r="C764" s="101">
        <v>2066</v>
      </c>
      <c r="D764" t="s">
        <v>11629</v>
      </c>
      <c r="E764" t="s">
        <v>1465</v>
      </c>
      <c r="G764" t="s">
        <v>3434</v>
      </c>
      <c r="K764" t="s">
        <v>11630</v>
      </c>
      <c r="S764" t="s">
        <v>3747</v>
      </c>
      <c r="T764" t="s">
        <v>9</v>
      </c>
    </row>
    <row r="765" spans="1:20">
      <c r="A765" t="s">
        <v>3465</v>
      </c>
      <c r="B765" t="s">
        <v>8730</v>
      </c>
      <c r="C765" s="101">
        <v>2067</v>
      </c>
      <c r="D765" t="s">
        <v>2710</v>
      </c>
      <c r="E765" t="s">
        <v>1465</v>
      </c>
      <c r="G765" t="s">
        <v>3087</v>
      </c>
      <c r="H765" t="s">
        <v>13414</v>
      </c>
      <c r="K765" t="s">
        <v>1523</v>
      </c>
      <c r="L765" t="s">
        <v>1524</v>
      </c>
      <c r="P765" t="s">
        <v>4858</v>
      </c>
      <c r="T765" t="s">
        <v>9</v>
      </c>
    </row>
    <row r="766" spans="1:20">
      <c r="A766" t="s">
        <v>3465</v>
      </c>
      <c r="B766" t="s">
        <v>8730</v>
      </c>
      <c r="C766" s="101">
        <v>2068</v>
      </c>
      <c r="D766" t="s">
        <v>2711</v>
      </c>
      <c r="E766" t="s">
        <v>1465</v>
      </c>
      <c r="G766" t="s">
        <v>1526</v>
      </c>
      <c r="K766" t="s">
        <v>1540</v>
      </c>
      <c r="S766" t="s">
        <v>179</v>
      </c>
      <c r="T766" t="s">
        <v>9</v>
      </c>
    </row>
    <row r="767" spans="1:20">
      <c r="A767" t="s">
        <v>3465</v>
      </c>
      <c r="B767" t="s">
        <v>8730</v>
      </c>
      <c r="C767" s="101">
        <v>2069</v>
      </c>
      <c r="D767" t="s">
        <v>11631</v>
      </c>
      <c r="E767" t="s">
        <v>1386</v>
      </c>
      <c r="G767" t="s">
        <v>3434</v>
      </c>
      <c r="K767" t="s">
        <v>11632</v>
      </c>
      <c r="S767" t="s">
        <v>178</v>
      </c>
      <c r="T767" t="s">
        <v>9</v>
      </c>
    </row>
    <row r="768" spans="1:20">
      <c r="A768" t="s">
        <v>3465</v>
      </c>
      <c r="B768" t="s">
        <v>8730</v>
      </c>
      <c r="C768" s="101">
        <v>2070</v>
      </c>
      <c r="D768" t="s">
        <v>11633</v>
      </c>
      <c r="E768" t="s">
        <v>1465</v>
      </c>
      <c r="G768" t="s">
        <v>3434</v>
      </c>
      <c r="K768" t="s">
        <v>11634</v>
      </c>
      <c r="L768" t="s">
        <v>11635</v>
      </c>
      <c r="S768" t="s">
        <v>36</v>
      </c>
      <c r="T768" t="s">
        <v>9</v>
      </c>
    </row>
    <row r="769" spans="1:20">
      <c r="A769" t="s">
        <v>3465</v>
      </c>
      <c r="B769" t="s">
        <v>8730</v>
      </c>
      <c r="C769" s="101">
        <v>2071</v>
      </c>
      <c r="D769" t="s">
        <v>11636</v>
      </c>
      <c r="E769" t="s">
        <v>1465</v>
      </c>
      <c r="G769" t="s">
        <v>3434</v>
      </c>
      <c r="K769" t="s">
        <v>11637</v>
      </c>
      <c r="S769" t="s">
        <v>175</v>
      </c>
      <c r="T769" t="s">
        <v>9</v>
      </c>
    </row>
    <row r="770" spans="1:20">
      <c r="A770" t="s">
        <v>3465</v>
      </c>
      <c r="B770" t="s">
        <v>8730</v>
      </c>
      <c r="C770" s="101">
        <v>2072</v>
      </c>
      <c r="D770" t="s">
        <v>11638</v>
      </c>
      <c r="E770" t="s">
        <v>1465</v>
      </c>
      <c r="G770" t="s">
        <v>3434</v>
      </c>
      <c r="K770" t="s">
        <v>11639</v>
      </c>
      <c r="S770" t="s">
        <v>169</v>
      </c>
      <c r="T770" t="s">
        <v>9</v>
      </c>
    </row>
    <row r="771" spans="1:20">
      <c r="A771" t="s">
        <v>3465</v>
      </c>
      <c r="B771" t="s">
        <v>8730</v>
      </c>
      <c r="C771" s="101">
        <v>2073</v>
      </c>
      <c r="D771" t="s">
        <v>11640</v>
      </c>
      <c r="E771" t="s">
        <v>1386</v>
      </c>
      <c r="G771" t="s">
        <v>3434</v>
      </c>
      <c r="K771" t="s">
        <v>11641</v>
      </c>
      <c r="S771" t="s">
        <v>30</v>
      </c>
      <c r="T771" t="s">
        <v>9</v>
      </c>
    </row>
    <row r="772" spans="1:20">
      <c r="A772" t="s">
        <v>3465</v>
      </c>
      <c r="B772" t="s">
        <v>8730</v>
      </c>
      <c r="C772" s="101">
        <v>2074</v>
      </c>
      <c r="D772" t="s">
        <v>11642</v>
      </c>
      <c r="E772" t="s">
        <v>11159</v>
      </c>
      <c r="G772" t="s">
        <v>3434</v>
      </c>
      <c r="K772" t="s">
        <v>11643</v>
      </c>
      <c r="S772" t="s">
        <v>15</v>
      </c>
      <c r="T772" t="s">
        <v>9</v>
      </c>
    </row>
    <row r="773" spans="1:20">
      <c r="A773" t="s">
        <v>3465</v>
      </c>
      <c r="B773" t="s">
        <v>8730</v>
      </c>
      <c r="C773" s="101">
        <v>2075</v>
      </c>
      <c r="D773" t="s">
        <v>11644</v>
      </c>
      <c r="E773" t="s">
        <v>11645</v>
      </c>
      <c r="G773" t="s">
        <v>3434</v>
      </c>
      <c r="K773" t="s">
        <v>11646</v>
      </c>
      <c r="L773" t="s">
        <v>11647</v>
      </c>
      <c r="M773" t="s">
        <v>11648</v>
      </c>
      <c r="S773" t="s">
        <v>171</v>
      </c>
      <c r="T773" t="s">
        <v>9</v>
      </c>
    </row>
    <row r="774" spans="1:20">
      <c r="A774" s="101" t="s">
        <v>4768</v>
      </c>
      <c r="B774" s="101" t="s">
        <v>8730</v>
      </c>
      <c r="C774" s="101">
        <v>3052</v>
      </c>
      <c r="D774" s="102" t="s">
        <v>11654</v>
      </c>
      <c r="E774" s="102" t="s">
        <v>1378</v>
      </c>
      <c r="F774" s="102"/>
      <c r="G774" s="102" t="s">
        <v>13395</v>
      </c>
      <c r="H774" s="102" t="s">
        <v>13396</v>
      </c>
      <c r="I774" s="102"/>
      <c r="J774" s="102"/>
      <c r="K774" s="102" t="s">
        <v>1989</v>
      </c>
      <c r="L774" s="102" t="s">
        <v>11655</v>
      </c>
      <c r="M774" s="102" t="s">
        <v>11656</v>
      </c>
      <c r="N774" s="102" t="s">
        <v>11657</v>
      </c>
      <c r="O774" s="102"/>
      <c r="P774" s="102" t="s">
        <v>11658</v>
      </c>
      <c r="Q774" s="102"/>
      <c r="R774" s="102"/>
      <c r="S774" s="102" t="s">
        <v>14</v>
      </c>
      <c r="T774" s="102" t="s">
        <v>41</v>
      </c>
    </row>
    <row r="775" spans="1:20">
      <c r="A775" s="101" t="s">
        <v>4053</v>
      </c>
      <c r="B775" s="101" t="s">
        <v>8730</v>
      </c>
      <c r="C775" s="101">
        <v>4008</v>
      </c>
      <c r="D775" s="102" t="s">
        <v>11649</v>
      </c>
      <c r="E775" s="102" t="s">
        <v>1372</v>
      </c>
      <c r="F775" s="102"/>
      <c r="G775" s="102" t="s">
        <v>3434</v>
      </c>
      <c r="H775" s="102" t="s">
        <v>3402</v>
      </c>
      <c r="I775" s="102"/>
      <c r="J775" s="102"/>
      <c r="K775" s="102" t="s">
        <v>5508</v>
      </c>
      <c r="L775" s="102" t="s">
        <v>11650</v>
      </c>
      <c r="M775" s="102" t="s">
        <v>11651</v>
      </c>
      <c r="N775" s="102"/>
      <c r="O775" s="102"/>
      <c r="P775" s="102"/>
      <c r="Q775" s="102"/>
      <c r="R775" s="102"/>
      <c r="S775" s="102" t="s">
        <v>3999</v>
      </c>
      <c r="T775" s="102" t="s">
        <v>4000</v>
      </c>
    </row>
    <row r="776" spans="1:20">
      <c r="A776" s="101" t="s">
        <v>4053</v>
      </c>
      <c r="B776" s="101" t="s">
        <v>8730</v>
      </c>
      <c r="C776" s="101">
        <v>4049</v>
      </c>
      <c r="D776" s="102" t="s">
        <v>11652</v>
      </c>
      <c r="E776" s="102" t="s">
        <v>1378</v>
      </c>
      <c r="F776" s="102"/>
      <c r="G776" s="102" t="s">
        <v>3434</v>
      </c>
      <c r="H776" s="102"/>
      <c r="I776" s="102"/>
      <c r="J776" s="102"/>
      <c r="K776" s="102" t="s">
        <v>11653</v>
      </c>
      <c r="L776" s="102"/>
      <c r="M776" s="102"/>
      <c r="N776" s="102"/>
      <c r="O776" s="102"/>
      <c r="P776" s="102"/>
      <c r="Q776" s="102"/>
      <c r="R776" s="102"/>
      <c r="S776" s="102" t="s">
        <v>3999</v>
      </c>
      <c r="T776" s="102" t="s">
        <v>4000</v>
      </c>
    </row>
  </sheetData>
  <autoFilter ref="A1:T776"/>
  <phoneticPr fontId="1"/>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Y775"/>
  <sheetViews>
    <sheetView zoomScale="85" zoomScaleNormal="85" workbookViewId="0">
      <pane ySplit="1" topLeftCell="A2" activePane="bottomLeft" state="frozen"/>
      <selection pane="bottomLeft" activeCell="J5" sqref="J5"/>
    </sheetView>
  </sheetViews>
  <sheetFormatPr defaultRowHeight="13.5"/>
  <cols>
    <col min="1" max="1" width="2.875" bestFit="1" customWidth="1"/>
    <col min="2" max="2" width="2.625" bestFit="1" customWidth="1"/>
    <col min="3" max="3" width="5.5" bestFit="1" customWidth="1"/>
    <col min="11" max="11" width="12.125" customWidth="1"/>
  </cols>
  <sheetData>
    <row r="1" spans="1:25" s="1" customFormat="1">
      <c r="D1" s="1" t="s">
        <v>3151</v>
      </c>
      <c r="E1" s="1" t="s">
        <v>3152</v>
      </c>
      <c r="F1" s="1" t="s">
        <v>3160</v>
      </c>
      <c r="G1" s="1" t="s">
        <v>3153</v>
      </c>
      <c r="I1" s="1" t="s">
        <v>3155</v>
      </c>
      <c r="J1" s="1" t="s">
        <v>3156</v>
      </c>
      <c r="K1" s="1" t="s">
        <v>3157</v>
      </c>
      <c r="P1" s="2" t="s">
        <v>3456</v>
      </c>
      <c r="Q1" s="64" t="s">
        <v>4051</v>
      </c>
      <c r="R1" s="64" t="s">
        <v>4052</v>
      </c>
      <c r="S1" s="1" t="s">
        <v>3159</v>
      </c>
      <c r="V1" s="4" t="s">
        <v>3881</v>
      </c>
      <c r="W1" s="8" t="s">
        <v>3882</v>
      </c>
      <c r="X1" s="9" t="s">
        <v>3906</v>
      </c>
      <c r="Y1" s="10" t="s">
        <v>3907</v>
      </c>
    </row>
    <row r="2" spans="1:25">
      <c r="A2" t="s">
        <v>3498</v>
      </c>
      <c r="B2" t="s">
        <v>3759</v>
      </c>
      <c r="C2" s="101">
        <v>1</v>
      </c>
      <c r="D2" t="s">
        <v>11965</v>
      </c>
      <c r="E2" t="s">
        <v>1606</v>
      </c>
      <c r="G2" t="s">
        <v>3403</v>
      </c>
      <c r="K2" t="s">
        <v>11966</v>
      </c>
      <c r="S2" t="s">
        <v>32</v>
      </c>
      <c r="T2" t="s">
        <v>4</v>
      </c>
    </row>
    <row r="3" spans="1:25">
      <c r="A3" t="s">
        <v>3498</v>
      </c>
      <c r="B3" t="s">
        <v>3759</v>
      </c>
      <c r="C3" s="101">
        <v>2</v>
      </c>
      <c r="D3" t="s">
        <v>11967</v>
      </c>
      <c r="E3" t="s">
        <v>1606</v>
      </c>
      <c r="G3" t="s">
        <v>3403</v>
      </c>
      <c r="K3" t="s">
        <v>10365</v>
      </c>
      <c r="S3" t="s">
        <v>180</v>
      </c>
      <c r="T3" t="s">
        <v>4</v>
      </c>
    </row>
    <row r="4" spans="1:25">
      <c r="A4" t="s">
        <v>3498</v>
      </c>
      <c r="B4" t="s">
        <v>3759</v>
      </c>
      <c r="C4" s="101">
        <v>3</v>
      </c>
      <c r="D4" t="s">
        <v>4897</v>
      </c>
      <c r="E4" t="s">
        <v>4898</v>
      </c>
      <c r="G4" t="s">
        <v>3403</v>
      </c>
      <c r="K4" t="s">
        <v>4899</v>
      </c>
      <c r="S4" t="s">
        <v>31</v>
      </c>
      <c r="T4" t="s">
        <v>4</v>
      </c>
    </row>
    <row r="5" spans="1:25">
      <c r="A5" t="s">
        <v>3498</v>
      </c>
      <c r="B5" t="s">
        <v>3759</v>
      </c>
      <c r="C5" s="101">
        <v>4</v>
      </c>
      <c r="D5" t="s">
        <v>11968</v>
      </c>
      <c r="E5" t="s">
        <v>1606</v>
      </c>
      <c r="G5" t="s">
        <v>3403</v>
      </c>
      <c r="H5" t="s">
        <v>5180</v>
      </c>
      <c r="K5" t="s">
        <v>4589</v>
      </c>
      <c r="L5" t="s">
        <v>11969</v>
      </c>
      <c r="S5" t="s">
        <v>175</v>
      </c>
      <c r="T5" t="s">
        <v>4</v>
      </c>
    </row>
    <row r="6" spans="1:25">
      <c r="A6" t="s">
        <v>3498</v>
      </c>
      <c r="B6" t="s">
        <v>3759</v>
      </c>
      <c r="C6" s="101">
        <v>5</v>
      </c>
      <c r="D6" t="s">
        <v>11970</v>
      </c>
      <c r="E6" t="s">
        <v>1606</v>
      </c>
      <c r="G6" t="s">
        <v>3403</v>
      </c>
      <c r="K6" t="s">
        <v>4113</v>
      </c>
      <c r="L6" t="s">
        <v>6103</v>
      </c>
      <c r="M6" t="s">
        <v>6104</v>
      </c>
      <c r="S6" t="s">
        <v>33</v>
      </c>
      <c r="T6" t="s">
        <v>4</v>
      </c>
    </row>
    <row r="7" spans="1:25">
      <c r="A7" t="s">
        <v>3498</v>
      </c>
      <c r="B7" t="s">
        <v>3759</v>
      </c>
      <c r="C7" s="101">
        <v>6</v>
      </c>
      <c r="D7" t="s">
        <v>11971</v>
      </c>
      <c r="E7" t="s">
        <v>1606</v>
      </c>
      <c r="G7" t="s">
        <v>3403</v>
      </c>
      <c r="K7" t="s">
        <v>11972</v>
      </c>
      <c r="S7" t="s">
        <v>50</v>
      </c>
      <c r="T7" t="s">
        <v>4</v>
      </c>
    </row>
    <row r="8" spans="1:25">
      <c r="A8" t="s">
        <v>3498</v>
      </c>
      <c r="B8" t="s">
        <v>3759</v>
      </c>
      <c r="C8" s="101">
        <v>7</v>
      </c>
      <c r="D8" t="s">
        <v>11973</v>
      </c>
      <c r="E8" t="s">
        <v>1606</v>
      </c>
      <c r="G8" t="s">
        <v>3403</v>
      </c>
      <c r="K8" t="s">
        <v>11974</v>
      </c>
      <c r="S8" t="s">
        <v>52</v>
      </c>
      <c r="T8" t="s">
        <v>4</v>
      </c>
    </row>
    <row r="9" spans="1:25">
      <c r="A9" t="s">
        <v>3498</v>
      </c>
      <c r="B9" t="s">
        <v>3759</v>
      </c>
      <c r="C9" s="101">
        <v>8</v>
      </c>
      <c r="D9" t="s">
        <v>11975</v>
      </c>
      <c r="E9" t="s">
        <v>1606</v>
      </c>
      <c r="G9" t="s">
        <v>3403</v>
      </c>
      <c r="K9" t="s">
        <v>6078</v>
      </c>
      <c r="S9" t="s">
        <v>180</v>
      </c>
      <c r="T9" t="s">
        <v>4</v>
      </c>
    </row>
    <row r="10" spans="1:25">
      <c r="A10" t="s">
        <v>3498</v>
      </c>
      <c r="B10" t="s">
        <v>3759</v>
      </c>
      <c r="C10" s="101">
        <v>9</v>
      </c>
      <c r="D10" t="s">
        <v>11976</v>
      </c>
      <c r="E10" t="s">
        <v>1606</v>
      </c>
      <c r="G10" t="s">
        <v>3403</v>
      </c>
      <c r="K10" t="s">
        <v>4589</v>
      </c>
      <c r="L10" t="s">
        <v>11977</v>
      </c>
      <c r="S10" t="s">
        <v>604</v>
      </c>
      <c r="T10" t="s">
        <v>4</v>
      </c>
    </row>
    <row r="11" spans="1:25">
      <c r="A11" t="s">
        <v>3498</v>
      </c>
      <c r="B11" t="s">
        <v>3759</v>
      </c>
      <c r="C11" s="101">
        <v>10</v>
      </c>
      <c r="D11" t="s">
        <v>11978</v>
      </c>
      <c r="E11" t="s">
        <v>1606</v>
      </c>
      <c r="G11" t="s">
        <v>3403</v>
      </c>
      <c r="K11" t="s">
        <v>11979</v>
      </c>
      <c r="S11" t="s">
        <v>29</v>
      </c>
      <c r="T11" t="s">
        <v>4</v>
      </c>
    </row>
    <row r="12" spans="1:25">
      <c r="A12" t="s">
        <v>3498</v>
      </c>
      <c r="B12" t="s">
        <v>3759</v>
      </c>
      <c r="C12" s="101">
        <v>11</v>
      </c>
      <c r="D12" t="s">
        <v>11980</v>
      </c>
      <c r="E12" t="s">
        <v>1606</v>
      </c>
      <c r="G12" t="s">
        <v>3403</v>
      </c>
      <c r="K12" t="s">
        <v>11981</v>
      </c>
      <c r="S12" t="s">
        <v>168</v>
      </c>
      <c r="T12" t="s">
        <v>4</v>
      </c>
    </row>
    <row r="13" spans="1:25">
      <c r="A13" t="s">
        <v>3498</v>
      </c>
      <c r="B13" t="s">
        <v>3759</v>
      </c>
      <c r="C13" s="101">
        <v>12</v>
      </c>
      <c r="D13" t="s">
        <v>11982</v>
      </c>
      <c r="E13" t="s">
        <v>1606</v>
      </c>
      <c r="G13" t="s">
        <v>3403</v>
      </c>
      <c r="K13" t="s">
        <v>11983</v>
      </c>
      <c r="S13" t="s">
        <v>178</v>
      </c>
      <c r="T13" t="s">
        <v>4</v>
      </c>
    </row>
    <row r="14" spans="1:25">
      <c r="A14" t="s">
        <v>3498</v>
      </c>
      <c r="B14" t="s">
        <v>3759</v>
      </c>
      <c r="C14" s="101">
        <v>13</v>
      </c>
      <c r="D14" t="s">
        <v>11984</v>
      </c>
      <c r="E14" t="s">
        <v>1606</v>
      </c>
      <c r="G14" t="s">
        <v>3403</v>
      </c>
      <c r="K14" t="s">
        <v>11985</v>
      </c>
      <c r="S14" t="s">
        <v>172</v>
      </c>
      <c r="T14" t="s">
        <v>4</v>
      </c>
    </row>
    <row r="15" spans="1:25">
      <c r="A15" t="s">
        <v>3498</v>
      </c>
      <c r="B15" t="s">
        <v>3759</v>
      </c>
      <c r="C15" s="101">
        <v>14</v>
      </c>
      <c r="D15" t="s">
        <v>11986</v>
      </c>
      <c r="E15" t="s">
        <v>1606</v>
      </c>
      <c r="G15" t="s">
        <v>3403</v>
      </c>
      <c r="K15" t="s">
        <v>11987</v>
      </c>
      <c r="S15" t="s">
        <v>5</v>
      </c>
      <c r="T15" t="s">
        <v>4</v>
      </c>
    </row>
    <row r="16" spans="1:25">
      <c r="A16" t="s">
        <v>3498</v>
      </c>
      <c r="B16" t="s">
        <v>3759</v>
      </c>
      <c r="C16" s="101">
        <v>15</v>
      </c>
      <c r="D16" t="s">
        <v>11988</v>
      </c>
      <c r="E16" t="s">
        <v>1606</v>
      </c>
      <c r="G16" t="s">
        <v>3403</v>
      </c>
      <c r="K16" t="s">
        <v>11989</v>
      </c>
      <c r="S16" t="s">
        <v>18</v>
      </c>
      <c r="T16" t="s">
        <v>4</v>
      </c>
    </row>
    <row r="17" spans="1:20">
      <c r="A17" t="s">
        <v>3498</v>
      </c>
      <c r="B17" t="s">
        <v>3759</v>
      </c>
      <c r="C17" s="101">
        <v>16</v>
      </c>
      <c r="D17" t="s">
        <v>11990</v>
      </c>
      <c r="E17" t="s">
        <v>1606</v>
      </c>
      <c r="G17" t="s">
        <v>3403</v>
      </c>
      <c r="K17" t="s">
        <v>11991</v>
      </c>
      <c r="S17" t="s">
        <v>50</v>
      </c>
      <c r="T17" t="s">
        <v>4</v>
      </c>
    </row>
    <row r="18" spans="1:20">
      <c r="A18" t="s">
        <v>3498</v>
      </c>
      <c r="B18" t="s">
        <v>3759</v>
      </c>
      <c r="C18" s="101">
        <v>17</v>
      </c>
      <c r="D18" t="s">
        <v>4889</v>
      </c>
      <c r="E18" t="s">
        <v>1606</v>
      </c>
      <c r="G18" t="s">
        <v>3403</v>
      </c>
      <c r="K18" t="s">
        <v>4890</v>
      </c>
      <c r="S18" t="s">
        <v>37</v>
      </c>
      <c r="T18" t="s">
        <v>4</v>
      </c>
    </row>
    <row r="19" spans="1:20">
      <c r="A19" t="s">
        <v>3498</v>
      </c>
      <c r="B19" t="s">
        <v>3759</v>
      </c>
      <c r="C19" s="101">
        <v>18</v>
      </c>
      <c r="D19" t="s">
        <v>11992</v>
      </c>
      <c r="E19" t="s">
        <v>1606</v>
      </c>
      <c r="G19" t="s">
        <v>3403</v>
      </c>
      <c r="K19" t="s">
        <v>11993</v>
      </c>
      <c r="S19" t="s">
        <v>168</v>
      </c>
      <c r="T19" t="s">
        <v>4</v>
      </c>
    </row>
    <row r="20" spans="1:20">
      <c r="A20" t="s">
        <v>3498</v>
      </c>
      <c r="B20" t="s">
        <v>3759</v>
      </c>
      <c r="C20" s="101">
        <v>19</v>
      </c>
      <c r="D20" t="s">
        <v>11994</v>
      </c>
      <c r="E20" t="s">
        <v>1606</v>
      </c>
      <c r="G20" t="s">
        <v>3403</v>
      </c>
      <c r="K20" t="s">
        <v>11995</v>
      </c>
      <c r="L20" t="s">
        <v>11996</v>
      </c>
      <c r="S20" t="s">
        <v>607</v>
      </c>
      <c r="T20" t="s">
        <v>4</v>
      </c>
    </row>
    <row r="21" spans="1:20">
      <c r="A21" t="s">
        <v>3498</v>
      </c>
      <c r="B21" t="s">
        <v>3759</v>
      </c>
      <c r="C21" s="101">
        <v>20</v>
      </c>
      <c r="D21" t="s">
        <v>11997</v>
      </c>
      <c r="E21" t="s">
        <v>1606</v>
      </c>
      <c r="G21" t="s">
        <v>3403</v>
      </c>
      <c r="K21" t="s">
        <v>11998</v>
      </c>
      <c r="S21" t="s">
        <v>48</v>
      </c>
      <c r="T21" t="s">
        <v>4</v>
      </c>
    </row>
    <row r="22" spans="1:20">
      <c r="A22" t="s">
        <v>3498</v>
      </c>
      <c r="B22" t="s">
        <v>3759</v>
      </c>
      <c r="C22" s="101">
        <v>21</v>
      </c>
      <c r="D22" t="s">
        <v>11999</v>
      </c>
      <c r="E22" t="s">
        <v>1606</v>
      </c>
      <c r="G22" t="s">
        <v>3403</v>
      </c>
      <c r="K22" t="s">
        <v>12000</v>
      </c>
      <c r="S22" t="s">
        <v>48</v>
      </c>
      <c r="T22" t="s">
        <v>4</v>
      </c>
    </row>
    <row r="23" spans="1:20">
      <c r="A23" t="s">
        <v>3498</v>
      </c>
      <c r="B23" t="s">
        <v>3759</v>
      </c>
      <c r="C23" s="101">
        <v>22</v>
      </c>
      <c r="D23" t="s">
        <v>12001</v>
      </c>
      <c r="E23" t="s">
        <v>1606</v>
      </c>
      <c r="G23" t="s">
        <v>3403</v>
      </c>
      <c r="K23" t="s">
        <v>12002</v>
      </c>
      <c r="L23" t="s">
        <v>5239</v>
      </c>
      <c r="S23" t="s">
        <v>31</v>
      </c>
      <c r="T23" t="s">
        <v>4</v>
      </c>
    </row>
    <row r="24" spans="1:20">
      <c r="A24" t="s">
        <v>3498</v>
      </c>
      <c r="B24" t="s">
        <v>3759</v>
      </c>
      <c r="C24" s="101">
        <v>23</v>
      </c>
      <c r="D24" t="s">
        <v>12003</v>
      </c>
      <c r="E24" t="s">
        <v>4898</v>
      </c>
      <c r="G24" t="s">
        <v>3403</v>
      </c>
      <c r="K24" t="s">
        <v>12004</v>
      </c>
      <c r="S24" t="s">
        <v>50</v>
      </c>
      <c r="T24" t="s">
        <v>4</v>
      </c>
    </row>
    <row r="25" spans="1:20">
      <c r="A25" t="s">
        <v>3498</v>
      </c>
      <c r="B25" t="s">
        <v>3759</v>
      </c>
      <c r="C25" s="101">
        <v>24</v>
      </c>
      <c r="D25" t="s">
        <v>12005</v>
      </c>
      <c r="E25" t="s">
        <v>1606</v>
      </c>
      <c r="G25" t="s">
        <v>3403</v>
      </c>
      <c r="K25" t="s">
        <v>12006</v>
      </c>
      <c r="L25" t="s">
        <v>12007</v>
      </c>
      <c r="S25" t="s">
        <v>44</v>
      </c>
      <c r="T25" t="s">
        <v>4</v>
      </c>
    </row>
    <row r="26" spans="1:20">
      <c r="A26" t="s">
        <v>3498</v>
      </c>
      <c r="B26" t="s">
        <v>3759</v>
      </c>
      <c r="C26" s="101">
        <v>25</v>
      </c>
      <c r="D26" t="s">
        <v>12008</v>
      </c>
      <c r="E26" t="s">
        <v>1606</v>
      </c>
      <c r="G26" t="s">
        <v>3403</v>
      </c>
      <c r="K26" t="s">
        <v>12009</v>
      </c>
      <c r="S26" t="s">
        <v>16</v>
      </c>
      <c r="T26" t="s">
        <v>4</v>
      </c>
    </row>
    <row r="27" spans="1:20">
      <c r="A27" t="s">
        <v>3498</v>
      </c>
      <c r="B27" t="s">
        <v>3759</v>
      </c>
      <c r="C27" s="101">
        <v>26</v>
      </c>
      <c r="D27" t="s">
        <v>12010</v>
      </c>
      <c r="E27" t="s">
        <v>1606</v>
      </c>
      <c r="G27" t="s">
        <v>3403</v>
      </c>
      <c r="K27" t="s">
        <v>12011</v>
      </c>
      <c r="S27" t="s">
        <v>176</v>
      </c>
      <c r="T27" t="s">
        <v>4</v>
      </c>
    </row>
    <row r="28" spans="1:20">
      <c r="A28" t="s">
        <v>3498</v>
      </c>
      <c r="B28" t="s">
        <v>3759</v>
      </c>
      <c r="C28" s="101">
        <v>27</v>
      </c>
      <c r="D28" t="s">
        <v>12012</v>
      </c>
      <c r="E28" t="s">
        <v>1606</v>
      </c>
      <c r="G28" t="s">
        <v>3403</v>
      </c>
      <c r="K28" t="s">
        <v>12013</v>
      </c>
      <c r="S28" t="s">
        <v>52</v>
      </c>
      <c r="T28" t="s">
        <v>4</v>
      </c>
    </row>
    <row r="29" spans="1:20">
      <c r="A29" t="s">
        <v>3498</v>
      </c>
      <c r="B29" t="s">
        <v>3759</v>
      </c>
      <c r="C29" s="101">
        <v>28</v>
      </c>
      <c r="D29" t="s">
        <v>12014</v>
      </c>
      <c r="E29" t="s">
        <v>1606</v>
      </c>
      <c r="G29" t="s">
        <v>3403</v>
      </c>
      <c r="K29" t="s">
        <v>12015</v>
      </c>
      <c r="L29" t="s">
        <v>12016</v>
      </c>
      <c r="S29" t="s">
        <v>27</v>
      </c>
      <c r="T29" t="s">
        <v>4</v>
      </c>
    </row>
    <row r="30" spans="1:20">
      <c r="A30" t="s">
        <v>3498</v>
      </c>
      <c r="B30" t="s">
        <v>3759</v>
      </c>
      <c r="C30" s="101">
        <v>29</v>
      </c>
      <c r="D30" t="s">
        <v>12017</v>
      </c>
      <c r="E30" t="s">
        <v>1606</v>
      </c>
      <c r="G30" t="s">
        <v>3403</v>
      </c>
      <c r="K30" t="s">
        <v>12018</v>
      </c>
      <c r="S30" t="s">
        <v>48</v>
      </c>
      <c r="T30" t="s">
        <v>4</v>
      </c>
    </row>
    <row r="31" spans="1:20">
      <c r="A31" t="s">
        <v>3498</v>
      </c>
      <c r="B31" t="s">
        <v>3759</v>
      </c>
      <c r="C31" s="101">
        <v>30</v>
      </c>
      <c r="D31" t="s">
        <v>12019</v>
      </c>
      <c r="E31" t="s">
        <v>1606</v>
      </c>
      <c r="G31" t="s">
        <v>3403</v>
      </c>
      <c r="K31" t="s">
        <v>12020</v>
      </c>
      <c r="L31" t="s">
        <v>3768</v>
      </c>
      <c r="S31" t="s">
        <v>3747</v>
      </c>
      <c r="T31" t="s">
        <v>4</v>
      </c>
    </row>
    <row r="32" spans="1:20">
      <c r="A32" t="s">
        <v>3498</v>
      </c>
      <c r="B32" t="s">
        <v>3759</v>
      </c>
      <c r="C32" s="101">
        <v>31</v>
      </c>
      <c r="D32" t="s">
        <v>12021</v>
      </c>
      <c r="E32" t="s">
        <v>1606</v>
      </c>
      <c r="G32" t="s">
        <v>3403</v>
      </c>
      <c r="K32" t="s">
        <v>12022</v>
      </c>
      <c r="S32" t="s">
        <v>16</v>
      </c>
      <c r="T32" t="s">
        <v>4</v>
      </c>
    </row>
    <row r="33" spans="1:20">
      <c r="A33" t="s">
        <v>3498</v>
      </c>
      <c r="B33" t="s">
        <v>3759</v>
      </c>
      <c r="C33" s="101">
        <v>32</v>
      </c>
      <c r="D33" t="s">
        <v>4914</v>
      </c>
      <c r="E33" t="s">
        <v>1606</v>
      </c>
      <c r="G33" t="s">
        <v>3403</v>
      </c>
      <c r="K33" t="s">
        <v>4915</v>
      </c>
      <c r="S33" t="s">
        <v>46</v>
      </c>
      <c r="T33" t="s">
        <v>4</v>
      </c>
    </row>
    <row r="34" spans="1:20">
      <c r="A34" t="s">
        <v>3498</v>
      </c>
      <c r="B34" t="s">
        <v>3759</v>
      </c>
      <c r="C34" s="101">
        <v>33</v>
      </c>
      <c r="D34" t="s">
        <v>12023</v>
      </c>
      <c r="E34" t="s">
        <v>1606</v>
      </c>
      <c r="G34" t="s">
        <v>3403</v>
      </c>
      <c r="K34" t="s">
        <v>12024</v>
      </c>
      <c r="L34" t="s">
        <v>4953</v>
      </c>
      <c r="S34" t="s">
        <v>17</v>
      </c>
      <c r="T34" t="s">
        <v>4</v>
      </c>
    </row>
    <row r="35" spans="1:20">
      <c r="A35" t="s">
        <v>3498</v>
      </c>
      <c r="B35" t="s">
        <v>3759</v>
      </c>
      <c r="C35" s="101">
        <v>34</v>
      </c>
      <c r="D35" t="s">
        <v>12025</v>
      </c>
      <c r="E35" t="s">
        <v>1606</v>
      </c>
      <c r="G35" t="s">
        <v>3403</v>
      </c>
      <c r="K35" t="s">
        <v>12026</v>
      </c>
      <c r="S35" t="s">
        <v>170</v>
      </c>
      <c r="T35" t="s">
        <v>4</v>
      </c>
    </row>
    <row r="36" spans="1:20">
      <c r="A36" t="s">
        <v>3498</v>
      </c>
      <c r="B36" t="s">
        <v>3759</v>
      </c>
      <c r="C36" s="101">
        <v>35</v>
      </c>
      <c r="D36" t="s">
        <v>12027</v>
      </c>
      <c r="E36" t="s">
        <v>1606</v>
      </c>
      <c r="G36" t="s">
        <v>3403</v>
      </c>
      <c r="K36" t="s">
        <v>12028</v>
      </c>
      <c r="S36" t="s">
        <v>31</v>
      </c>
      <c r="T36" t="s">
        <v>4</v>
      </c>
    </row>
    <row r="37" spans="1:20">
      <c r="A37" t="s">
        <v>3498</v>
      </c>
      <c r="B37" t="s">
        <v>3759</v>
      </c>
      <c r="C37" s="101">
        <v>36</v>
      </c>
      <c r="D37" t="s">
        <v>12029</v>
      </c>
      <c r="E37" t="s">
        <v>1606</v>
      </c>
      <c r="G37" t="s">
        <v>3403</v>
      </c>
      <c r="K37" t="s">
        <v>12030</v>
      </c>
      <c r="S37" t="s">
        <v>26</v>
      </c>
      <c r="T37" t="s">
        <v>4</v>
      </c>
    </row>
    <row r="38" spans="1:20">
      <c r="A38" t="s">
        <v>3498</v>
      </c>
      <c r="B38" t="s">
        <v>3759</v>
      </c>
      <c r="C38" s="101">
        <v>37</v>
      </c>
      <c r="D38" t="s">
        <v>12031</v>
      </c>
      <c r="E38" t="s">
        <v>1606</v>
      </c>
      <c r="G38" t="s">
        <v>3403</v>
      </c>
      <c r="K38" t="s">
        <v>12032</v>
      </c>
      <c r="S38" t="s">
        <v>5719</v>
      </c>
      <c r="T38" t="s">
        <v>4</v>
      </c>
    </row>
    <row r="39" spans="1:20">
      <c r="A39" t="s">
        <v>3498</v>
      </c>
      <c r="B39" t="s">
        <v>3759</v>
      </c>
      <c r="C39" s="101">
        <v>38</v>
      </c>
      <c r="D39" t="s">
        <v>4918</v>
      </c>
      <c r="E39" t="s">
        <v>1606</v>
      </c>
      <c r="G39" t="s">
        <v>3403</v>
      </c>
      <c r="K39" t="s">
        <v>4589</v>
      </c>
      <c r="L39" t="s">
        <v>4919</v>
      </c>
      <c r="S39" t="s">
        <v>176</v>
      </c>
      <c r="T39" t="s">
        <v>4</v>
      </c>
    </row>
    <row r="40" spans="1:20">
      <c r="A40" t="s">
        <v>3498</v>
      </c>
      <c r="B40" t="s">
        <v>3759</v>
      </c>
      <c r="C40" s="101">
        <v>39</v>
      </c>
      <c r="D40" t="s">
        <v>12033</v>
      </c>
      <c r="E40" t="s">
        <v>1606</v>
      </c>
      <c r="G40" t="s">
        <v>3403</v>
      </c>
      <c r="K40" t="s">
        <v>12034</v>
      </c>
      <c r="S40" t="s">
        <v>40</v>
      </c>
      <c r="T40" t="s">
        <v>4</v>
      </c>
    </row>
    <row r="41" spans="1:20">
      <c r="A41" t="s">
        <v>3498</v>
      </c>
      <c r="B41" t="s">
        <v>3759</v>
      </c>
      <c r="C41" s="101">
        <v>40</v>
      </c>
      <c r="D41" t="s">
        <v>12035</v>
      </c>
      <c r="E41" t="s">
        <v>1606</v>
      </c>
      <c r="G41" t="s">
        <v>3403</v>
      </c>
      <c r="K41" t="s">
        <v>12036</v>
      </c>
      <c r="S41" t="s">
        <v>37</v>
      </c>
      <c r="T41" t="s">
        <v>4</v>
      </c>
    </row>
    <row r="42" spans="1:20">
      <c r="A42" t="s">
        <v>3498</v>
      </c>
      <c r="B42" t="s">
        <v>3759</v>
      </c>
      <c r="C42" s="101">
        <v>41</v>
      </c>
      <c r="D42" t="s">
        <v>12037</v>
      </c>
      <c r="E42" t="s">
        <v>1606</v>
      </c>
      <c r="G42" t="s">
        <v>3403</v>
      </c>
      <c r="K42" t="s">
        <v>12038</v>
      </c>
      <c r="S42" t="s">
        <v>17</v>
      </c>
      <c r="T42" t="s">
        <v>4</v>
      </c>
    </row>
    <row r="43" spans="1:20">
      <c r="A43" t="s">
        <v>3498</v>
      </c>
      <c r="B43" t="s">
        <v>3759</v>
      </c>
      <c r="C43" s="101">
        <v>42</v>
      </c>
      <c r="D43" t="s">
        <v>12039</v>
      </c>
      <c r="E43" t="s">
        <v>1606</v>
      </c>
      <c r="G43" t="s">
        <v>3403</v>
      </c>
      <c r="K43" t="s">
        <v>5014</v>
      </c>
      <c r="L43" t="s">
        <v>4589</v>
      </c>
      <c r="S43" t="s">
        <v>8</v>
      </c>
      <c r="T43" t="s">
        <v>4</v>
      </c>
    </row>
    <row r="44" spans="1:20">
      <c r="A44" t="s">
        <v>3498</v>
      </c>
      <c r="B44" t="s">
        <v>3759</v>
      </c>
      <c r="C44" s="101">
        <v>43</v>
      </c>
      <c r="D44" t="s">
        <v>4922</v>
      </c>
      <c r="E44" t="s">
        <v>1606</v>
      </c>
      <c r="G44" t="s">
        <v>3403</v>
      </c>
      <c r="K44" t="s">
        <v>4923</v>
      </c>
      <c r="S44" t="s">
        <v>604</v>
      </c>
      <c r="T44" t="s">
        <v>4</v>
      </c>
    </row>
    <row r="45" spans="1:20">
      <c r="A45" t="s">
        <v>3498</v>
      </c>
      <c r="B45" t="s">
        <v>3759</v>
      </c>
      <c r="C45" s="101">
        <v>44</v>
      </c>
      <c r="D45" t="s">
        <v>12040</v>
      </c>
      <c r="E45" t="s">
        <v>12041</v>
      </c>
      <c r="G45" t="s">
        <v>3403</v>
      </c>
      <c r="K45" t="s">
        <v>12042</v>
      </c>
      <c r="L45" t="s">
        <v>4589</v>
      </c>
      <c r="S45" t="s">
        <v>606</v>
      </c>
      <c r="T45" t="s">
        <v>4</v>
      </c>
    </row>
    <row r="46" spans="1:20">
      <c r="A46" t="s">
        <v>3498</v>
      </c>
      <c r="B46" t="s">
        <v>3759</v>
      </c>
      <c r="C46" s="101">
        <v>45</v>
      </c>
      <c r="D46" t="s">
        <v>12043</v>
      </c>
      <c r="E46" t="s">
        <v>1611</v>
      </c>
      <c r="G46" t="s">
        <v>3403</v>
      </c>
      <c r="K46" t="s">
        <v>12044</v>
      </c>
      <c r="S46" t="s">
        <v>39</v>
      </c>
      <c r="T46" t="s">
        <v>4</v>
      </c>
    </row>
    <row r="47" spans="1:20">
      <c r="A47" t="s">
        <v>3498</v>
      </c>
      <c r="B47" t="s">
        <v>3759</v>
      </c>
      <c r="C47" s="101">
        <v>46</v>
      </c>
      <c r="D47" t="s">
        <v>12045</v>
      </c>
      <c r="E47" t="s">
        <v>1611</v>
      </c>
      <c r="G47" t="s">
        <v>3403</v>
      </c>
      <c r="K47" t="s">
        <v>12046</v>
      </c>
      <c r="S47" t="s">
        <v>5685</v>
      </c>
      <c r="T47" t="s">
        <v>4</v>
      </c>
    </row>
    <row r="48" spans="1:20">
      <c r="A48" t="s">
        <v>3498</v>
      </c>
      <c r="B48" t="s">
        <v>3759</v>
      </c>
      <c r="C48" s="101">
        <v>47</v>
      </c>
      <c r="D48" t="s">
        <v>12047</v>
      </c>
      <c r="E48" t="s">
        <v>1611</v>
      </c>
      <c r="G48" t="s">
        <v>3403</v>
      </c>
      <c r="K48" t="s">
        <v>12048</v>
      </c>
      <c r="S48" t="s">
        <v>28</v>
      </c>
      <c r="T48" t="s">
        <v>4</v>
      </c>
    </row>
    <row r="49" spans="1:20">
      <c r="A49" t="s">
        <v>3498</v>
      </c>
      <c r="B49" t="s">
        <v>3759</v>
      </c>
      <c r="C49" s="101">
        <v>48</v>
      </c>
      <c r="D49" t="s">
        <v>12049</v>
      </c>
      <c r="E49" t="s">
        <v>1611</v>
      </c>
      <c r="G49" t="s">
        <v>3403</v>
      </c>
      <c r="K49" t="s">
        <v>12050</v>
      </c>
      <c r="L49" t="s">
        <v>12051</v>
      </c>
      <c r="S49" t="s">
        <v>5719</v>
      </c>
      <c r="T49" t="s">
        <v>4</v>
      </c>
    </row>
    <row r="50" spans="1:20">
      <c r="A50" t="s">
        <v>3498</v>
      </c>
      <c r="B50" t="s">
        <v>3759</v>
      </c>
      <c r="C50" s="101">
        <v>49</v>
      </c>
      <c r="D50" t="s">
        <v>12052</v>
      </c>
      <c r="E50" t="s">
        <v>1611</v>
      </c>
      <c r="G50" t="s">
        <v>3403</v>
      </c>
      <c r="K50" t="s">
        <v>12053</v>
      </c>
      <c r="L50" t="s">
        <v>11783</v>
      </c>
      <c r="S50" t="s">
        <v>17</v>
      </c>
      <c r="T50" t="s">
        <v>4</v>
      </c>
    </row>
    <row r="51" spans="1:20">
      <c r="A51" t="s">
        <v>3498</v>
      </c>
      <c r="B51" t="s">
        <v>3759</v>
      </c>
      <c r="C51" s="101">
        <v>50</v>
      </c>
      <c r="D51" t="s">
        <v>12054</v>
      </c>
      <c r="E51" t="s">
        <v>1611</v>
      </c>
      <c r="G51" t="s">
        <v>3403</v>
      </c>
      <c r="K51" t="s">
        <v>12055</v>
      </c>
      <c r="S51" t="s">
        <v>606</v>
      </c>
      <c r="T51" t="s">
        <v>4</v>
      </c>
    </row>
    <row r="52" spans="1:20">
      <c r="A52" t="s">
        <v>3498</v>
      </c>
      <c r="B52" t="s">
        <v>3759</v>
      </c>
      <c r="C52" s="101">
        <v>51</v>
      </c>
      <c r="D52" t="s">
        <v>12056</v>
      </c>
      <c r="E52" t="s">
        <v>1611</v>
      </c>
      <c r="G52" t="s">
        <v>3403</v>
      </c>
      <c r="K52" t="s">
        <v>6220</v>
      </c>
      <c r="L52" t="s">
        <v>12057</v>
      </c>
      <c r="S52" t="s">
        <v>38</v>
      </c>
      <c r="T52" t="s">
        <v>4</v>
      </c>
    </row>
    <row r="53" spans="1:20">
      <c r="A53" t="s">
        <v>3498</v>
      </c>
      <c r="B53" t="s">
        <v>3759</v>
      </c>
      <c r="C53" s="101">
        <v>52</v>
      </c>
      <c r="D53" t="s">
        <v>12058</v>
      </c>
      <c r="E53" t="s">
        <v>1611</v>
      </c>
      <c r="G53" t="s">
        <v>3403</v>
      </c>
      <c r="K53" t="s">
        <v>10365</v>
      </c>
      <c r="L53" t="s">
        <v>12059</v>
      </c>
      <c r="S53" t="s">
        <v>3119</v>
      </c>
      <c r="T53" t="s">
        <v>4</v>
      </c>
    </row>
    <row r="54" spans="1:20">
      <c r="A54" t="s">
        <v>3498</v>
      </c>
      <c r="B54" t="s">
        <v>3759</v>
      </c>
      <c r="C54" s="101">
        <v>53</v>
      </c>
      <c r="D54" t="s">
        <v>12060</v>
      </c>
      <c r="E54" t="s">
        <v>1611</v>
      </c>
      <c r="G54" t="s">
        <v>3403</v>
      </c>
      <c r="K54" t="s">
        <v>12061</v>
      </c>
      <c r="S54" t="s">
        <v>26</v>
      </c>
      <c r="T54" t="s">
        <v>4</v>
      </c>
    </row>
    <row r="55" spans="1:20">
      <c r="A55" t="s">
        <v>3498</v>
      </c>
      <c r="B55" t="s">
        <v>3759</v>
      </c>
      <c r="C55" s="101">
        <v>54</v>
      </c>
      <c r="D55" t="s">
        <v>12062</v>
      </c>
      <c r="E55" t="s">
        <v>1611</v>
      </c>
      <c r="G55" t="s">
        <v>3403</v>
      </c>
      <c r="K55" t="s">
        <v>12063</v>
      </c>
      <c r="S55" t="s">
        <v>30</v>
      </c>
      <c r="T55" t="s">
        <v>4</v>
      </c>
    </row>
    <row r="56" spans="1:20">
      <c r="A56" t="s">
        <v>3498</v>
      </c>
      <c r="B56" t="s">
        <v>3759</v>
      </c>
      <c r="C56" s="101">
        <v>55</v>
      </c>
      <c r="D56" t="s">
        <v>4948</v>
      </c>
      <c r="E56" t="s">
        <v>1686</v>
      </c>
      <c r="G56" t="s">
        <v>3403</v>
      </c>
      <c r="H56" t="s">
        <v>5180</v>
      </c>
      <c r="K56" t="s">
        <v>4933</v>
      </c>
      <c r="L56" t="s">
        <v>4949</v>
      </c>
      <c r="S56" t="s">
        <v>175</v>
      </c>
      <c r="T56" t="s">
        <v>4</v>
      </c>
    </row>
    <row r="57" spans="1:20">
      <c r="A57" t="s">
        <v>3498</v>
      </c>
      <c r="B57" t="s">
        <v>3759</v>
      </c>
      <c r="C57" s="101">
        <v>56</v>
      </c>
      <c r="D57" t="s">
        <v>12064</v>
      </c>
      <c r="E57" t="s">
        <v>1611</v>
      </c>
      <c r="G57" t="s">
        <v>3403</v>
      </c>
      <c r="K57" t="s">
        <v>4113</v>
      </c>
      <c r="L57" t="s">
        <v>12065</v>
      </c>
      <c r="M57" t="s">
        <v>4278</v>
      </c>
      <c r="N57" t="s">
        <v>12066</v>
      </c>
      <c r="S57" t="s">
        <v>33</v>
      </c>
      <c r="T57" t="s">
        <v>4</v>
      </c>
    </row>
    <row r="58" spans="1:20">
      <c r="A58" t="s">
        <v>3498</v>
      </c>
      <c r="B58" t="s">
        <v>3759</v>
      </c>
      <c r="C58" s="101">
        <v>57</v>
      </c>
      <c r="D58" t="s">
        <v>12067</v>
      </c>
      <c r="E58" t="s">
        <v>1611</v>
      </c>
      <c r="G58" t="s">
        <v>3403</v>
      </c>
      <c r="K58" t="s">
        <v>12061</v>
      </c>
      <c r="S58" t="s">
        <v>14</v>
      </c>
      <c r="T58" t="s">
        <v>4</v>
      </c>
    </row>
    <row r="59" spans="1:20">
      <c r="A59" t="s">
        <v>3498</v>
      </c>
      <c r="B59" t="s">
        <v>3759</v>
      </c>
      <c r="C59" s="101">
        <v>58</v>
      </c>
      <c r="D59" t="s">
        <v>4962</v>
      </c>
      <c r="E59" t="s">
        <v>1611</v>
      </c>
      <c r="G59" t="s">
        <v>3403</v>
      </c>
      <c r="K59" t="s">
        <v>4893</v>
      </c>
      <c r="L59" t="s">
        <v>4963</v>
      </c>
      <c r="S59" t="s">
        <v>17</v>
      </c>
      <c r="T59" t="s">
        <v>4</v>
      </c>
    </row>
    <row r="60" spans="1:20">
      <c r="A60" t="s">
        <v>3498</v>
      </c>
      <c r="B60" t="s">
        <v>3759</v>
      </c>
      <c r="C60" s="101">
        <v>59</v>
      </c>
      <c r="D60" t="s">
        <v>12068</v>
      </c>
      <c r="E60" t="s">
        <v>1611</v>
      </c>
      <c r="G60" t="s">
        <v>3403</v>
      </c>
      <c r="K60" t="s">
        <v>12069</v>
      </c>
      <c r="S60" t="s">
        <v>5685</v>
      </c>
      <c r="T60" t="s">
        <v>4</v>
      </c>
    </row>
    <row r="61" spans="1:20">
      <c r="A61" t="s">
        <v>3498</v>
      </c>
      <c r="B61" t="s">
        <v>3759</v>
      </c>
      <c r="C61" s="101">
        <v>60</v>
      </c>
      <c r="D61" t="s">
        <v>4970</v>
      </c>
      <c r="E61" t="s">
        <v>1611</v>
      </c>
      <c r="G61" t="s">
        <v>3403</v>
      </c>
      <c r="K61" t="s">
        <v>4971</v>
      </c>
      <c r="S61" t="s">
        <v>606</v>
      </c>
      <c r="T61" t="s">
        <v>4</v>
      </c>
    </row>
    <row r="62" spans="1:20">
      <c r="A62" t="s">
        <v>3498</v>
      </c>
      <c r="B62" t="s">
        <v>3759</v>
      </c>
      <c r="C62" s="101">
        <v>61</v>
      </c>
      <c r="D62" t="s">
        <v>12070</v>
      </c>
      <c r="E62" t="s">
        <v>1611</v>
      </c>
      <c r="G62" t="s">
        <v>3403</v>
      </c>
      <c r="K62" t="s">
        <v>12071</v>
      </c>
      <c r="S62" t="s">
        <v>52</v>
      </c>
      <c r="T62" t="s">
        <v>4</v>
      </c>
    </row>
    <row r="63" spans="1:20">
      <c r="A63" t="s">
        <v>3498</v>
      </c>
      <c r="B63" t="s">
        <v>3759</v>
      </c>
      <c r="C63" s="101">
        <v>62</v>
      </c>
      <c r="D63" t="s">
        <v>12072</v>
      </c>
      <c r="E63" t="s">
        <v>1611</v>
      </c>
      <c r="G63" t="s">
        <v>3403</v>
      </c>
      <c r="K63" t="s">
        <v>12073</v>
      </c>
      <c r="S63" t="s">
        <v>46</v>
      </c>
      <c r="T63" t="s">
        <v>4</v>
      </c>
    </row>
    <row r="64" spans="1:20">
      <c r="A64" t="s">
        <v>3498</v>
      </c>
      <c r="B64" t="s">
        <v>3759</v>
      </c>
      <c r="C64" s="101">
        <v>63</v>
      </c>
      <c r="D64" t="s">
        <v>12074</v>
      </c>
      <c r="E64" t="s">
        <v>1611</v>
      </c>
      <c r="G64" t="s">
        <v>3403</v>
      </c>
      <c r="K64" t="s">
        <v>12075</v>
      </c>
      <c r="S64" t="s">
        <v>29</v>
      </c>
      <c r="T64" t="s">
        <v>4</v>
      </c>
    </row>
    <row r="65" spans="1:20">
      <c r="A65" t="s">
        <v>3498</v>
      </c>
      <c r="B65" t="s">
        <v>3759</v>
      </c>
      <c r="C65" s="101">
        <v>64</v>
      </c>
      <c r="D65" t="s">
        <v>4966</v>
      </c>
      <c r="E65" t="s">
        <v>1611</v>
      </c>
      <c r="G65" t="s">
        <v>3403</v>
      </c>
      <c r="K65" t="s">
        <v>4967</v>
      </c>
      <c r="S65" t="s">
        <v>3119</v>
      </c>
      <c r="T65" t="s">
        <v>4</v>
      </c>
    </row>
    <row r="66" spans="1:20">
      <c r="A66" t="s">
        <v>3498</v>
      </c>
      <c r="B66" t="s">
        <v>3759</v>
      </c>
      <c r="C66" s="101">
        <v>65</v>
      </c>
      <c r="D66" t="s">
        <v>3427</v>
      </c>
      <c r="E66" t="s">
        <v>1611</v>
      </c>
      <c r="G66" t="s">
        <v>3403</v>
      </c>
      <c r="K66" t="s">
        <v>3428</v>
      </c>
      <c r="S66" t="s">
        <v>45</v>
      </c>
      <c r="T66" t="s">
        <v>4</v>
      </c>
    </row>
    <row r="67" spans="1:20">
      <c r="A67" t="s">
        <v>3498</v>
      </c>
      <c r="B67" t="s">
        <v>3759</v>
      </c>
      <c r="C67" s="101">
        <v>66</v>
      </c>
      <c r="D67" t="s">
        <v>12076</v>
      </c>
      <c r="E67" t="s">
        <v>1611</v>
      </c>
      <c r="G67" t="s">
        <v>3403</v>
      </c>
      <c r="K67" t="s">
        <v>12077</v>
      </c>
      <c r="S67" t="s">
        <v>14</v>
      </c>
      <c r="T67" t="s">
        <v>4</v>
      </c>
    </row>
    <row r="68" spans="1:20">
      <c r="A68" t="s">
        <v>3498</v>
      </c>
      <c r="B68" t="s">
        <v>3759</v>
      </c>
      <c r="C68" s="101">
        <v>67</v>
      </c>
      <c r="D68" t="s">
        <v>12078</v>
      </c>
      <c r="E68" t="s">
        <v>1611</v>
      </c>
      <c r="G68" t="s">
        <v>3403</v>
      </c>
      <c r="K68" t="s">
        <v>12079</v>
      </c>
      <c r="S68" t="s">
        <v>30</v>
      </c>
      <c r="T68" t="s">
        <v>4</v>
      </c>
    </row>
    <row r="69" spans="1:20">
      <c r="A69" t="s">
        <v>3498</v>
      </c>
      <c r="B69" t="s">
        <v>3759</v>
      </c>
      <c r="C69" s="101">
        <v>68</v>
      </c>
      <c r="D69" t="s">
        <v>12080</v>
      </c>
      <c r="E69" t="s">
        <v>1611</v>
      </c>
      <c r="G69" t="s">
        <v>3403</v>
      </c>
      <c r="K69" t="s">
        <v>10365</v>
      </c>
      <c r="L69" t="s">
        <v>12081</v>
      </c>
      <c r="M69" t="s">
        <v>12082</v>
      </c>
      <c r="S69" t="s">
        <v>15</v>
      </c>
      <c r="T69" t="s">
        <v>4</v>
      </c>
    </row>
    <row r="70" spans="1:20">
      <c r="A70" t="s">
        <v>3498</v>
      </c>
      <c r="B70" t="s">
        <v>3759</v>
      </c>
      <c r="C70" s="101">
        <v>69</v>
      </c>
      <c r="D70" t="s">
        <v>12083</v>
      </c>
      <c r="E70" t="s">
        <v>1611</v>
      </c>
      <c r="G70" t="s">
        <v>3403</v>
      </c>
      <c r="K70" t="s">
        <v>6394</v>
      </c>
      <c r="S70" t="s">
        <v>37</v>
      </c>
      <c r="T70" t="s">
        <v>4</v>
      </c>
    </row>
    <row r="71" spans="1:20">
      <c r="A71" t="s">
        <v>3498</v>
      </c>
      <c r="B71" t="s">
        <v>3759</v>
      </c>
      <c r="C71" s="101">
        <v>70</v>
      </c>
      <c r="D71" t="s">
        <v>4938</v>
      </c>
      <c r="E71" t="s">
        <v>1611</v>
      </c>
      <c r="G71" t="s">
        <v>3403</v>
      </c>
      <c r="K71" t="s">
        <v>4939</v>
      </c>
      <c r="S71" t="s">
        <v>35</v>
      </c>
      <c r="T71" t="s">
        <v>4</v>
      </c>
    </row>
    <row r="72" spans="1:20">
      <c r="A72" t="s">
        <v>3498</v>
      </c>
      <c r="B72" t="s">
        <v>3759</v>
      </c>
      <c r="C72" s="101">
        <v>71</v>
      </c>
      <c r="D72" t="s">
        <v>12084</v>
      </c>
      <c r="E72" t="s">
        <v>1611</v>
      </c>
      <c r="G72" t="s">
        <v>3403</v>
      </c>
      <c r="K72" t="s">
        <v>12085</v>
      </c>
      <c r="L72" t="s">
        <v>3768</v>
      </c>
      <c r="S72" t="s">
        <v>36</v>
      </c>
      <c r="T72" t="s">
        <v>4</v>
      </c>
    </row>
    <row r="73" spans="1:20">
      <c r="A73" t="s">
        <v>3498</v>
      </c>
      <c r="B73" t="s">
        <v>3759</v>
      </c>
      <c r="C73" s="101">
        <v>72</v>
      </c>
      <c r="D73" t="s">
        <v>12086</v>
      </c>
      <c r="E73" t="s">
        <v>1611</v>
      </c>
      <c r="G73" t="s">
        <v>3403</v>
      </c>
      <c r="K73" t="s">
        <v>12087</v>
      </c>
      <c r="S73" t="s">
        <v>5719</v>
      </c>
      <c r="T73" t="s">
        <v>4</v>
      </c>
    </row>
    <row r="74" spans="1:20">
      <c r="A74" t="s">
        <v>3498</v>
      </c>
      <c r="B74" t="s">
        <v>3759</v>
      </c>
      <c r="C74" s="101">
        <v>73</v>
      </c>
      <c r="D74" t="s">
        <v>12088</v>
      </c>
      <c r="E74" t="s">
        <v>1611</v>
      </c>
      <c r="G74" t="s">
        <v>3403</v>
      </c>
      <c r="K74" t="s">
        <v>12089</v>
      </c>
      <c r="S74" t="s">
        <v>5281</v>
      </c>
      <c r="T74" t="s">
        <v>4</v>
      </c>
    </row>
    <row r="75" spans="1:20">
      <c r="A75" t="s">
        <v>3498</v>
      </c>
      <c r="B75" t="s">
        <v>3759</v>
      </c>
      <c r="C75" s="101">
        <v>74</v>
      </c>
      <c r="D75" t="s">
        <v>12090</v>
      </c>
      <c r="E75" t="s">
        <v>1611</v>
      </c>
      <c r="G75" t="s">
        <v>3403</v>
      </c>
      <c r="K75" t="s">
        <v>12091</v>
      </c>
      <c r="S75" t="s">
        <v>607</v>
      </c>
      <c r="T75" t="s">
        <v>4</v>
      </c>
    </row>
    <row r="76" spans="1:20">
      <c r="A76" t="s">
        <v>3498</v>
      </c>
      <c r="B76" t="s">
        <v>3759</v>
      </c>
      <c r="C76" s="101">
        <v>75</v>
      </c>
      <c r="D76" t="s">
        <v>12092</v>
      </c>
      <c r="E76" t="s">
        <v>1611</v>
      </c>
      <c r="G76" t="s">
        <v>3403</v>
      </c>
      <c r="K76" t="s">
        <v>12093</v>
      </c>
      <c r="S76" t="s">
        <v>46</v>
      </c>
      <c r="T76" t="s">
        <v>4</v>
      </c>
    </row>
    <row r="77" spans="1:20">
      <c r="A77" t="s">
        <v>3498</v>
      </c>
      <c r="B77" t="s">
        <v>3759</v>
      </c>
      <c r="C77" s="101">
        <v>76</v>
      </c>
      <c r="D77" t="s">
        <v>12094</v>
      </c>
      <c r="E77" t="s">
        <v>1611</v>
      </c>
      <c r="G77" t="s">
        <v>3403</v>
      </c>
      <c r="K77" t="s">
        <v>12095</v>
      </c>
      <c r="S77" t="s">
        <v>168</v>
      </c>
      <c r="T77" t="s">
        <v>4</v>
      </c>
    </row>
    <row r="78" spans="1:20">
      <c r="A78" t="s">
        <v>3498</v>
      </c>
      <c r="B78" t="s">
        <v>3759</v>
      </c>
      <c r="C78" s="101">
        <v>77</v>
      </c>
      <c r="D78" t="s">
        <v>12096</v>
      </c>
      <c r="E78" t="s">
        <v>1611</v>
      </c>
      <c r="G78" t="s">
        <v>3403</v>
      </c>
      <c r="K78" t="s">
        <v>12097</v>
      </c>
      <c r="S78" t="s">
        <v>5281</v>
      </c>
      <c r="T78" t="s">
        <v>4</v>
      </c>
    </row>
    <row r="79" spans="1:20">
      <c r="A79" t="s">
        <v>3498</v>
      </c>
      <c r="B79" t="s">
        <v>3759</v>
      </c>
      <c r="C79" s="101">
        <v>78</v>
      </c>
      <c r="D79" t="s">
        <v>4083</v>
      </c>
      <c r="E79" t="s">
        <v>1611</v>
      </c>
      <c r="G79" t="s">
        <v>3403</v>
      </c>
      <c r="K79" t="s">
        <v>4084</v>
      </c>
      <c r="S79" t="s">
        <v>6</v>
      </c>
      <c r="T79" t="s">
        <v>4</v>
      </c>
    </row>
    <row r="80" spans="1:20">
      <c r="A80" t="s">
        <v>3498</v>
      </c>
      <c r="B80" t="s">
        <v>3759</v>
      </c>
      <c r="C80" s="101">
        <v>79</v>
      </c>
      <c r="D80" t="s">
        <v>12098</v>
      </c>
      <c r="E80" t="s">
        <v>1611</v>
      </c>
      <c r="G80" t="s">
        <v>3403</v>
      </c>
      <c r="K80" t="s">
        <v>12099</v>
      </c>
      <c r="S80" t="s">
        <v>39</v>
      </c>
      <c r="T80" t="s">
        <v>4</v>
      </c>
    </row>
    <row r="81" spans="1:20">
      <c r="A81" t="s">
        <v>3498</v>
      </c>
      <c r="B81" t="s">
        <v>3759</v>
      </c>
      <c r="C81" s="101">
        <v>80</v>
      </c>
      <c r="D81" t="s">
        <v>12100</v>
      </c>
      <c r="E81" t="s">
        <v>1686</v>
      </c>
      <c r="G81" t="s">
        <v>3403</v>
      </c>
      <c r="K81" t="s">
        <v>5317</v>
      </c>
      <c r="S81" t="s">
        <v>177</v>
      </c>
      <c r="T81" t="s">
        <v>4</v>
      </c>
    </row>
    <row r="82" spans="1:20">
      <c r="A82" t="s">
        <v>3498</v>
      </c>
      <c r="B82" t="s">
        <v>3759</v>
      </c>
      <c r="C82" s="101">
        <v>81</v>
      </c>
      <c r="D82" t="s">
        <v>12101</v>
      </c>
      <c r="E82" t="s">
        <v>1611</v>
      </c>
      <c r="G82" t="s">
        <v>3403</v>
      </c>
      <c r="K82" t="s">
        <v>12102</v>
      </c>
      <c r="S82" t="s">
        <v>31</v>
      </c>
      <c r="T82" t="s">
        <v>4</v>
      </c>
    </row>
    <row r="83" spans="1:20">
      <c r="A83" t="s">
        <v>3498</v>
      </c>
      <c r="B83" t="s">
        <v>3759</v>
      </c>
      <c r="C83" s="101">
        <v>82</v>
      </c>
      <c r="D83" t="s">
        <v>4968</v>
      </c>
      <c r="E83" t="s">
        <v>1611</v>
      </c>
      <c r="G83" t="s">
        <v>3403</v>
      </c>
      <c r="K83" t="s">
        <v>4969</v>
      </c>
      <c r="L83" t="s">
        <v>3768</v>
      </c>
      <c r="S83" t="s">
        <v>50</v>
      </c>
      <c r="T83" t="s">
        <v>4</v>
      </c>
    </row>
    <row r="84" spans="1:20">
      <c r="A84" t="s">
        <v>3498</v>
      </c>
      <c r="B84" t="s">
        <v>3759</v>
      </c>
      <c r="C84" s="101">
        <v>83</v>
      </c>
      <c r="D84" t="s">
        <v>12103</v>
      </c>
      <c r="E84" t="s">
        <v>1611</v>
      </c>
      <c r="G84" t="s">
        <v>3403</v>
      </c>
      <c r="K84" t="s">
        <v>12104</v>
      </c>
      <c r="S84" t="s">
        <v>37</v>
      </c>
      <c r="T84" t="s">
        <v>4</v>
      </c>
    </row>
    <row r="85" spans="1:20">
      <c r="A85" t="s">
        <v>3498</v>
      </c>
      <c r="B85" t="s">
        <v>3759</v>
      </c>
      <c r="C85" s="101">
        <v>84</v>
      </c>
      <c r="D85" t="s">
        <v>12105</v>
      </c>
      <c r="E85" t="s">
        <v>1611</v>
      </c>
      <c r="G85" t="s">
        <v>3403</v>
      </c>
      <c r="K85" t="s">
        <v>12106</v>
      </c>
      <c r="S85" t="s">
        <v>35</v>
      </c>
      <c r="T85" t="s">
        <v>4</v>
      </c>
    </row>
    <row r="86" spans="1:20">
      <c r="A86" t="s">
        <v>3498</v>
      </c>
      <c r="B86" t="s">
        <v>3759</v>
      </c>
      <c r="C86" s="101">
        <v>85</v>
      </c>
      <c r="D86" t="s">
        <v>12107</v>
      </c>
      <c r="E86" t="s">
        <v>1611</v>
      </c>
      <c r="G86" t="s">
        <v>3403</v>
      </c>
      <c r="K86" t="s">
        <v>12108</v>
      </c>
      <c r="S86" t="s">
        <v>5719</v>
      </c>
      <c r="T86" t="s">
        <v>4</v>
      </c>
    </row>
    <row r="87" spans="1:20">
      <c r="A87" t="s">
        <v>3498</v>
      </c>
      <c r="B87" t="s">
        <v>3759</v>
      </c>
      <c r="C87" s="101">
        <v>86</v>
      </c>
      <c r="D87" t="s">
        <v>12109</v>
      </c>
      <c r="E87" t="s">
        <v>1611</v>
      </c>
      <c r="G87" t="s">
        <v>3403</v>
      </c>
      <c r="H87" t="s">
        <v>5180</v>
      </c>
      <c r="K87" t="s">
        <v>6200</v>
      </c>
      <c r="L87" t="s">
        <v>12110</v>
      </c>
      <c r="S87" t="s">
        <v>183</v>
      </c>
      <c r="T87" t="s">
        <v>4</v>
      </c>
    </row>
    <row r="88" spans="1:20">
      <c r="A88" t="s">
        <v>3498</v>
      </c>
      <c r="B88" t="s">
        <v>3759</v>
      </c>
      <c r="C88" s="101">
        <v>87</v>
      </c>
      <c r="D88" t="s">
        <v>12111</v>
      </c>
      <c r="E88" t="s">
        <v>1611</v>
      </c>
      <c r="G88" t="s">
        <v>3403</v>
      </c>
      <c r="K88" t="s">
        <v>12112</v>
      </c>
      <c r="S88" t="s">
        <v>34</v>
      </c>
      <c r="T88" t="s">
        <v>4</v>
      </c>
    </row>
    <row r="89" spans="1:20">
      <c r="A89" t="s">
        <v>3498</v>
      </c>
      <c r="B89" t="s">
        <v>3759</v>
      </c>
      <c r="C89" s="101">
        <v>88</v>
      </c>
      <c r="D89" t="s">
        <v>12113</v>
      </c>
      <c r="E89" t="s">
        <v>1611</v>
      </c>
      <c r="G89" t="s">
        <v>3403</v>
      </c>
      <c r="K89" t="s">
        <v>12114</v>
      </c>
      <c r="S89" t="s">
        <v>52</v>
      </c>
      <c r="T89" t="s">
        <v>4</v>
      </c>
    </row>
    <row r="90" spans="1:20">
      <c r="A90" t="s">
        <v>3498</v>
      </c>
      <c r="B90" t="s">
        <v>3759</v>
      </c>
      <c r="C90" s="101">
        <v>89</v>
      </c>
      <c r="D90" t="s">
        <v>12115</v>
      </c>
      <c r="E90" t="s">
        <v>1611</v>
      </c>
      <c r="G90" t="s">
        <v>3403</v>
      </c>
      <c r="K90" t="s">
        <v>12116</v>
      </c>
      <c r="S90" t="s">
        <v>40</v>
      </c>
      <c r="T90" t="s">
        <v>4</v>
      </c>
    </row>
    <row r="91" spans="1:20">
      <c r="A91" t="s">
        <v>3498</v>
      </c>
      <c r="B91" t="s">
        <v>3759</v>
      </c>
      <c r="C91" s="101">
        <v>90</v>
      </c>
      <c r="D91" t="s">
        <v>4932</v>
      </c>
      <c r="E91" t="s">
        <v>1611</v>
      </c>
      <c r="G91" t="s">
        <v>3403</v>
      </c>
      <c r="K91" t="s">
        <v>4933</v>
      </c>
      <c r="S91" t="s">
        <v>5685</v>
      </c>
      <c r="T91" t="s">
        <v>4</v>
      </c>
    </row>
    <row r="92" spans="1:20">
      <c r="A92" t="s">
        <v>3498</v>
      </c>
      <c r="B92" t="s">
        <v>3759</v>
      </c>
      <c r="C92" s="101">
        <v>91</v>
      </c>
      <c r="D92" t="s">
        <v>12117</v>
      </c>
      <c r="E92" t="s">
        <v>1611</v>
      </c>
      <c r="G92" t="s">
        <v>3403</v>
      </c>
      <c r="K92" t="s">
        <v>12118</v>
      </c>
      <c r="S92" t="s">
        <v>5685</v>
      </c>
      <c r="T92" t="s">
        <v>4</v>
      </c>
    </row>
    <row r="93" spans="1:20">
      <c r="A93" t="s">
        <v>3498</v>
      </c>
      <c r="B93" t="s">
        <v>3759</v>
      </c>
      <c r="C93" s="101">
        <v>92</v>
      </c>
      <c r="D93" t="s">
        <v>12119</v>
      </c>
      <c r="E93" t="s">
        <v>1611</v>
      </c>
      <c r="G93" t="s">
        <v>3403</v>
      </c>
      <c r="K93" t="s">
        <v>10688</v>
      </c>
      <c r="S93" t="s">
        <v>32</v>
      </c>
      <c r="T93" t="s">
        <v>4</v>
      </c>
    </row>
    <row r="94" spans="1:20">
      <c r="A94" t="s">
        <v>3498</v>
      </c>
      <c r="B94" t="s">
        <v>3759</v>
      </c>
      <c r="C94" s="101">
        <v>93</v>
      </c>
      <c r="D94" t="s">
        <v>12120</v>
      </c>
      <c r="E94" t="s">
        <v>1611</v>
      </c>
      <c r="G94" t="s">
        <v>3403</v>
      </c>
      <c r="K94" t="s">
        <v>12121</v>
      </c>
      <c r="S94" t="s">
        <v>177</v>
      </c>
      <c r="T94" t="s">
        <v>4</v>
      </c>
    </row>
    <row r="95" spans="1:20">
      <c r="A95" t="s">
        <v>3498</v>
      </c>
      <c r="B95" t="s">
        <v>3759</v>
      </c>
      <c r="C95" s="101">
        <v>94</v>
      </c>
      <c r="D95" t="s">
        <v>12122</v>
      </c>
      <c r="E95" t="s">
        <v>1611</v>
      </c>
      <c r="G95" t="s">
        <v>3403</v>
      </c>
      <c r="K95" t="s">
        <v>8819</v>
      </c>
      <c r="S95" t="s">
        <v>5</v>
      </c>
      <c r="T95" t="s">
        <v>4</v>
      </c>
    </row>
    <row r="96" spans="1:20">
      <c r="A96" t="s">
        <v>3498</v>
      </c>
      <c r="B96" t="s">
        <v>3759</v>
      </c>
      <c r="C96" s="101">
        <v>95</v>
      </c>
      <c r="D96" t="s">
        <v>12123</v>
      </c>
      <c r="E96" t="s">
        <v>1611</v>
      </c>
      <c r="G96" t="s">
        <v>3403</v>
      </c>
      <c r="K96" t="s">
        <v>5014</v>
      </c>
      <c r="L96" t="s">
        <v>8016</v>
      </c>
      <c r="M96" t="s">
        <v>12028</v>
      </c>
      <c r="S96" t="s">
        <v>34</v>
      </c>
      <c r="T96" t="s">
        <v>4</v>
      </c>
    </row>
    <row r="97" spans="1:20">
      <c r="A97" t="s">
        <v>3498</v>
      </c>
      <c r="B97" t="s">
        <v>3759</v>
      </c>
      <c r="C97" s="101">
        <v>96</v>
      </c>
      <c r="D97" t="s">
        <v>12124</v>
      </c>
      <c r="E97" t="s">
        <v>1611</v>
      </c>
      <c r="G97" t="s">
        <v>3403</v>
      </c>
      <c r="K97" t="s">
        <v>12125</v>
      </c>
      <c r="S97" t="s">
        <v>173</v>
      </c>
      <c r="T97" t="s">
        <v>4</v>
      </c>
    </row>
    <row r="98" spans="1:20">
      <c r="A98" t="s">
        <v>3498</v>
      </c>
      <c r="B98" t="s">
        <v>3759</v>
      </c>
      <c r="C98" s="101">
        <v>97</v>
      </c>
      <c r="D98" t="s">
        <v>12126</v>
      </c>
      <c r="E98" t="s">
        <v>1618</v>
      </c>
      <c r="G98" t="s">
        <v>3403</v>
      </c>
      <c r="K98" t="s">
        <v>4113</v>
      </c>
      <c r="L98" t="s">
        <v>5004</v>
      </c>
      <c r="M98" t="s">
        <v>5438</v>
      </c>
      <c r="S98" t="s">
        <v>30</v>
      </c>
      <c r="T98" t="s">
        <v>4</v>
      </c>
    </row>
    <row r="99" spans="1:20">
      <c r="A99" t="s">
        <v>3498</v>
      </c>
      <c r="B99" t="s">
        <v>3759</v>
      </c>
      <c r="C99" s="101">
        <v>98</v>
      </c>
      <c r="D99" t="s">
        <v>12127</v>
      </c>
      <c r="E99" t="s">
        <v>1618</v>
      </c>
      <c r="G99" t="s">
        <v>3403</v>
      </c>
      <c r="K99" t="s">
        <v>12128</v>
      </c>
      <c r="S99" t="s">
        <v>3119</v>
      </c>
      <c r="T99" t="s">
        <v>4</v>
      </c>
    </row>
    <row r="100" spans="1:20">
      <c r="A100" t="s">
        <v>3498</v>
      </c>
      <c r="B100" t="s">
        <v>3759</v>
      </c>
      <c r="C100" s="101">
        <v>99</v>
      </c>
      <c r="D100" t="s">
        <v>3750</v>
      </c>
      <c r="E100" t="s">
        <v>1618</v>
      </c>
      <c r="G100" t="s">
        <v>3403</v>
      </c>
      <c r="K100" t="s">
        <v>12129</v>
      </c>
      <c r="S100" t="s">
        <v>17</v>
      </c>
      <c r="T100" t="s">
        <v>4</v>
      </c>
    </row>
    <row r="101" spans="1:20">
      <c r="A101" t="s">
        <v>3498</v>
      </c>
      <c r="B101" t="s">
        <v>3759</v>
      </c>
      <c r="C101" s="101">
        <v>100</v>
      </c>
      <c r="D101" t="s">
        <v>12130</v>
      </c>
      <c r="E101" t="s">
        <v>1618</v>
      </c>
      <c r="G101" t="s">
        <v>3403</v>
      </c>
      <c r="K101" t="s">
        <v>12131</v>
      </c>
      <c r="S101" t="s">
        <v>5</v>
      </c>
      <c r="T101" t="s">
        <v>4</v>
      </c>
    </row>
    <row r="102" spans="1:20">
      <c r="A102" t="s">
        <v>3498</v>
      </c>
      <c r="B102" t="s">
        <v>3759</v>
      </c>
      <c r="C102" s="101">
        <v>101</v>
      </c>
      <c r="D102" t="s">
        <v>4993</v>
      </c>
      <c r="E102" t="s">
        <v>1618</v>
      </c>
      <c r="G102" t="s">
        <v>3403</v>
      </c>
      <c r="K102" t="s">
        <v>4994</v>
      </c>
      <c r="S102" t="s">
        <v>26</v>
      </c>
      <c r="T102" t="s">
        <v>4</v>
      </c>
    </row>
    <row r="103" spans="1:20">
      <c r="A103" t="s">
        <v>3498</v>
      </c>
      <c r="B103" t="s">
        <v>3759</v>
      </c>
      <c r="C103" s="101">
        <v>102</v>
      </c>
      <c r="D103" t="s">
        <v>12132</v>
      </c>
      <c r="E103" t="s">
        <v>1618</v>
      </c>
      <c r="G103" t="s">
        <v>3403</v>
      </c>
      <c r="K103" t="s">
        <v>12133</v>
      </c>
      <c r="S103" t="s">
        <v>14</v>
      </c>
      <c r="T103" t="s">
        <v>4</v>
      </c>
    </row>
    <row r="104" spans="1:20">
      <c r="A104" t="s">
        <v>3498</v>
      </c>
      <c r="B104" t="s">
        <v>3759</v>
      </c>
      <c r="C104" s="101">
        <v>103</v>
      </c>
      <c r="D104" t="s">
        <v>12134</v>
      </c>
      <c r="E104" t="s">
        <v>1618</v>
      </c>
      <c r="G104" t="s">
        <v>3403</v>
      </c>
      <c r="K104" t="s">
        <v>12135</v>
      </c>
      <c r="S104" t="s">
        <v>37</v>
      </c>
      <c r="T104" t="s">
        <v>4</v>
      </c>
    </row>
    <row r="105" spans="1:20">
      <c r="A105" t="s">
        <v>3498</v>
      </c>
      <c r="B105" t="s">
        <v>3759</v>
      </c>
      <c r="C105" s="101">
        <v>104</v>
      </c>
      <c r="D105" t="s">
        <v>12136</v>
      </c>
      <c r="E105" t="s">
        <v>1618</v>
      </c>
      <c r="G105" t="s">
        <v>3403</v>
      </c>
      <c r="K105" t="s">
        <v>12137</v>
      </c>
      <c r="S105" t="s">
        <v>181</v>
      </c>
      <c r="T105" t="s">
        <v>4</v>
      </c>
    </row>
    <row r="106" spans="1:20">
      <c r="A106" t="s">
        <v>3498</v>
      </c>
      <c r="B106" t="s">
        <v>3759</v>
      </c>
      <c r="C106" s="101">
        <v>105</v>
      </c>
      <c r="D106" t="s">
        <v>12138</v>
      </c>
      <c r="E106" t="s">
        <v>1618</v>
      </c>
      <c r="G106" t="s">
        <v>3403</v>
      </c>
      <c r="K106" t="s">
        <v>12139</v>
      </c>
      <c r="S106" t="s">
        <v>32</v>
      </c>
      <c r="T106" t="s">
        <v>4</v>
      </c>
    </row>
    <row r="107" spans="1:20">
      <c r="A107" t="s">
        <v>3498</v>
      </c>
      <c r="B107" t="s">
        <v>3759</v>
      </c>
      <c r="C107" s="101">
        <v>106</v>
      </c>
      <c r="D107" t="s">
        <v>12140</v>
      </c>
      <c r="E107" t="s">
        <v>1618</v>
      </c>
      <c r="G107" t="s">
        <v>3403</v>
      </c>
      <c r="K107" t="s">
        <v>12141</v>
      </c>
      <c r="S107" t="s">
        <v>28</v>
      </c>
      <c r="T107" t="s">
        <v>4</v>
      </c>
    </row>
    <row r="108" spans="1:20">
      <c r="A108" t="s">
        <v>3498</v>
      </c>
      <c r="B108" t="s">
        <v>3759</v>
      </c>
      <c r="C108" s="101">
        <v>107</v>
      </c>
      <c r="D108" t="s">
        <v>12142</v>
      </c>
      <c r="E108" t="s">
        <v>1618</v>
      </c>
      <c r="G108" t="s">
        <v>3403</v>
      </c>
      <c r="K108" t="s">
        <v>12143</v>
      </c>
      <c r="L108" t="s">
        <v>10420</v>
      </c>
      <c r="S108" t="s">
        <v>44</v>
      </c>
      <c r="T108" t="s">
        <v>4</v>
      </c>
    </row>
    <row r="109" spans="1:20">
      <c r="A109" t="s">
        <v>3498</v>
      </c>
      <c r="B109" t="s">
        <v>3759</v>
      </c>
      <c r="C109" s="101">
        <v>108</v>
      </c>
      <c r="D109" t="s">
        <v>12144</v>
      </c>
      <c r="E109" t="s">
        <v>1618</v>
      </c>
      <c r="G109" t="s">
        <v>3403</v>
      </c>
      <c r="H109" t="s">
        <v>5180</v>
      </c>
      <c r="K109" t="s">
        <v>12145</v>
      </c>
      <c r="S109" t="s">
        <v>179</v>
      </c>
      <c r="T109" t="s">
        <v>4</v>
      </c>
    </row>
    <row r="110" spans="1:20">
      <c r="A110" t="s">
        <v>3498</v>
      </c>
      <c r="B110" t="s">
        <v>3759</v>
      </c>
      <c r="C110" s="101">
        <v>109</v>
      </c>
      <c r="D110" t="s">
        <v>12146</v>
      </c>
      <c r="E110" t="s">
        <v>1618</v>
      </c>
      <c r="G110" t="s">
        <v>3445</v>
      </c>
      <c r="H110" t="s">
        <v>13402</v>
      </c>
      <c r="K110" t="s">
        <v>12147</v>
      </c>
      <c r="S110" t="s">
        <v>5281</v>
      </c>
      <c r="T110" t="s">
        <v>4</v>
      </c>
    </row>
    <row r="111" spans="1:20">
      <c r="A111" t="s">
        <v>3498</v>
      </c>
      <c r="B111" t="s">
        <v>3759</v>
      </c>
      <c r="C111" s="101">
        <v>110</v>
      </c>
      <c r="D111" t="s">
        <v>12148</v>
      </c>
      <c r="E111" t="s">
        <v>1618</v>
      </c>
      <c r="G111" t="s">
        <v>3403</v>
      </c>
      <c r="K111" t="s">
        <v>12149</v>
      </c>
      <c r="S111" t="s">
        <v>172</v>
      </c>
      <c r="T111" t="s">
        <v>4</v>
      </c>
    </row>
    <row r="112" spans="1:20">
      <c r="A112" t="s">
        <v>3498</v>
      </c>
      <c r="B112" t="s">
        <v>3759</v>
      </c>
      <c r="C112" s="101">
        <v>111</v>
      </c>
      <c r="D112" t="s">
        <v>12150</v>
      </c>
      <c r="E112" t="s">
        <v>1618</v>
      </c>
      <c r="G112" t="s">
        <v>3403</v>
      </c>
      <c r="K112" t="s">
        <v>12151</v>
      </c>
      <c r="L112" t="s">
        <v>3768</v>
      </c>
      <c r="S112" t="s">
        <v>11</v>
      </c>
      <c r="T112" t="s">
        <v>4</v>
      </c>
    </row>
    <row r="113" spans="1:20">
      <c r="A113" t="s">
        <v>3498</v>
      </c>
      <c r="B113" t="s">
        <v>3759</v>
      </c>
      <c r="C113" s="101">
        <v>112</v>
      </c>
      <c r="D113" t="s">
        <v>12152</v>
      </c>
      <c r="E113" t="s">
        <v>1618</v>
      </c>
      <c r="G113" t="s">
        <v>3403</v>
      </c>
      <c r="K113" t="s">
        <v>12153</v>
      </c>
      <c r="S113" t="s">
        <v>48</v>
      </c>
      <c r="T113" t="s">
        <v>4</v>
      </c>
    </row>
    <row r="114" spans="1:20">
      <c r="A114" t="s">
        <v>3498</v>
      </c>
      <c r="B114" t="s">
        <v>3759</v>
      </c>
      <c r="C114" s="101">
        <v>113</v>
      </c>
      <c r="D114" t="s">
        <v>12154</v>
      </c>
      <c r="E114" t="s">
        <v>1618</v>
      </c>
      <c r="G114" t="s">
        <v>3403</v>
      </c>
      <c r="K114" t="s">
        <v>12155</v>
      </c>
      <c r="S114" t="s">
        <v>39</v>
      </c>
      <c r="T114" t="s">
        <v>4</v>
      </c>
    </row>
    <row r="115" spans="1:20">
      <c r="A115" t="s">
        <v>3498</v>
      </c>
      <c r="B115" t="s">
        <v>3759</v>
      </c>
      <c r="C115" s="101">
        <v>114</v>
      </c>
      <c r="D115" t="s">
        <v>12156</v>
      </c>
      <c r="E115" t="s">
        <v>1618</v>
      </c>
      <c r="G115" t="s">
        <v>3403</v>
      </c>
      <c r="K115" t="s">
        <v>12157</v>
      </c>
      <c r="S115" t="s">
        <v>605</v>
      </c>
      <c r="T115" t="s">
        <v>4</v>
      </c>
    </row>
    <row r="116" spans="1:20">
      <c r="A116" t="s">
        <v>3498</v>
      </c>
      <c r="B116" t="s">
        <v>3759</v>
      </c>
      <c r="C116" s="101">
        <v>115</v>
      </c>
      <c r="D116" t="s">
        <v>4982</v>
      </c>
      <c r="E116" t="s">
        <v>1688</v>
      </c>
      <c r="G116" t="s">
        <v>3403</v>
      </c>
      <c r="H116" t="s">
        <v>5180</v>
      </c>
      <c r="K116" t="s">
        <v>4983</v>
      </c>
      <c r="L116" t="s">
        <v>3768</v>
      </c>
      <c r="S116" t="s">
        <v>179</v>
      </c>
      <c r="T116" t="s">
        <v>4</v>
      </c>
    </row>
    <row r="117" spans="1:20">
      <c r="A117" t="s">
        <v>3498</v>
      </c>
      <c r="B117" t="s">
        <v>3759</v>
      </c>
      <c r="C117" s="101">
        <v>116</v>
      </c>
      <c r="D117" t="s">
        <v>12158</v>
      </c>
      <c r="E117" t="s">
        <v>1618</v>
      </c>
      <c r="G117" t="s">
        <v>3403</v>
      </c>
      <c r="K117" t="s">
        <v>12159</v>
      </c>
      <c r="S117" t="s">
        <v>29</v>
      </c>
      <c r="T117" t="s">
        <v>4</v>
      </c>
    </row>
    <row r="118" spans="1:20">
      <c r="A118" t="s">
        <v>3498</v>
      </c>
      <c r="B118" t="s">
        <v>3759</v>
      </c>
      <c r="C118" s="101">
        <v>117</v>
      </c>
      <c r="D118" t="s">
        <v>5013</v>
      </c>
      <c r="E118" t="s">
        <v>1618</v>
      </c>
      <c r="G118" t="s">
        <v>3403</v>
      </c>
      <c r="K118" t="s">
        <v>5014</v>
      </c>
      <c r="L118" t="s">
        <v>4933</v>
      </c>
      <c r="S118" t="s">
        <v>8</v>
      </c>
      <c r="T118" t="s">
        <v>4</v>
      </c>
    </row>
    <row r="119" spans="1:20">
      <c r="A119" t="s">
        <v>3498</v>
      </c>
      <c r="B119" t="s">
        <v>3759</v>
      </c>
      <c r="C119" s="101">
        <v>118</v>
      </c>
      <c r="D119" t="s">
        <v>12160</v>
      </c>
      <c r="E119" t="s">
        <v>1618</v>
      </c>
      <c r="G119" t="s">
        <v>3403</v>
      </c>
      <c r="K119" t="s">
        <v>12161</v>
      </c>
      <c r="L119" t="s">
        <v>12162</v>
      </c>
      <c r="S119" t="s">
        <v>45</v>
      </c>
      <c r="T119" t="s">
        <v>4</v>
      </c>
    </row>
    <row r="120" spans="1:20">
      <c r="A120" t="s">
        <v>3498</v>
      </c>
      <c r="B120" t="s">
        <v>3759</v>
      </c>
      <c r="C120" s="101">
        <v>119</v>
      </c>
      <c r="D120" t="s">
        <v>12163</v>
      </c>
      <c r="E120" t="s">
        <v>1618</v>
      </c>
      <c r="G120" t="s">
        <v>3403</v>
      </c>
      <c r="K120" t="s">
        <v>12164</v>
      </c>
      <c r="S120" t="s">
        <v>30</v>
      </c>
      <c r="T120" t="s">
        <v>4</v>
      </c>
    </row>
    <row r="121" spans="1:20">
      <c r="A121" t="s">
        <v>3498</v>
      </c>
      <c r="B121" t="s">
        <v>3759</v>
      </c>
      <c r="C121" s="101">
        <v>120</v>
      </c>
      <c r="D121" t="s">
        <v>5003</v>
      </c>
      <c r="E121" t="s">
        <v>1618</v>
      </c>
      <c r="G121" t="s">
        <v>3403</v>
      </c>
      <c r="K121" t="s">
        <v>4113</v>
      </c>
      <c r="L121" t="s">
        <v>5004</v>
      </c>
      <c r="M121" t="s">
        <v>4369</v>
      </c>
      <c r="S121" t="s">
        <v>44</v>
      </c>
      <c r="T121" t="s">
        <v>4</v>
      </c>
    </row>
    <row r="122" spans="1:20">
      <c r="A122" t="s">
        <v>3498</v>
      </c>
      <c r="B122" t="s">
        <v>3759</v>
      </c>
      <c r="C122" s="101">
        <v>121</v>
      </c>
      <c r="D122" t="s">
        <v>12165</v>
      </c>
      <c r="E122" t="s">
        <v>1618</v>
      </c>
      <c r="G122" t="s">
        <v>3403</v>
      </c>
      <c r="K122" t="s">
        <v>12166</v>
      </c>
      <c r="S122" t="s">
        <v>176</v>
      </c>
      <c r="T122" t="s">
        <v>4</v>
      </c>
    </row>
    <row r="123" spans="1:20">
      <c r="A123" t="s">
        <v>3498</v>
      </c>
      <c r="B123" t="s">
        <v>3759</v>
      </c>
      <c r="C123" s="101">
        <v>122</v>
      </c>
      <c r="D123" t="s">
        <v>12167</v>
      </c>
      <c r="E123" t="s">
        <v>1618</v>
      </c>
      <c r="G123" t="s">
        <v>3403</v>
      </c>
      <c r="K123" t="s">
        <v>12168</v>
      </c>
      <c r="S123" t="s">
        <v>38</v>
      </c>
      <c r="T123" t="s">
        <v>4</v>
      </c>
    </row>
    <row r="124" spans="1:20">
      <c r="A124" t="s">
        <v>3498</v>
      </c>
      <c r="B124" t="s">
        <v>3759</v>
      </c>
      <c r="C124" s="101">
        <v>123</v>
      </c>
      <c r="D124" t="s">
        <v>12169</v>
      </c>
      <c r="E124" t="s">
        <v>1618</v>
      </c>
      <c r="G124" t="s">
        <v>3403</v>
      </c>
      <c r="K124" t="s">
        <v>12168</v>
      </c>
      <c r="S124" t="s">
        <v>30</v>
      </c>
      <c r="T124" t="s">
        <v>4</v>
      </c>
    </row>
    <row r="125" spans="1:20">
      <c r="A125" t="s">
        <v>3498</v>
      </c>
      <c r="B125" t="s">
        <v>3759</v>
      </c>
      <c r="C125" s="101">
        <v>124</v>
      </c>
      <c r="D125" t="s">
        <v>12170</v>
      </c>
      <c r="E125" t="s">
        <v>1618</v>
      </c>
      <c r="G125" t="s">
        <v>3403</v>
      </c>
      <c r="K125" t="s">
        <v>6078</v>
      </c>
      <c r="L125" t="s">
        <v>12171</v>
      </c>
      <c r="S125" t="s">
        <v>44</v>
      </c>
      <c r="T125" t="s">
        <v>4</v>
      </c>
    </row>
    <row r="126" spans="1:20">
      <c r="A126" t="s">
        <v>3498</v>
      </c>
      <c r="B126" t="s">
        <v>3759</v>
      </c>
      <c r="C126" s="101">
        <v>125</v>
      </c>
      <c r="D126" t="s">
        <v>12172</v>
      </c>
      <c r="E126" t="s">
        <v>1618</v>
      </c>
      <c r="G126" t="s">
        <v>3403</v>
      </c>
      <c r="K126" t="s">
        <v>7296</v>
      </c>
      <c r="L126" t="s">
        <v>12173</v>
      </c>
      <c r="S126" t="s">
        <v>28</v>
      </c>
      <c r="T126" t="s">
        <v>4</v>
      </c>
    </row>
    <row r="127" spans="1:20">
      <c r="A127" t="s">
        <v>3498</v>
      </c>
      <c r="B127" t="s">
        <v>3759</v>
      </c>
      <c r="C127" s="101">
        <v>126</v>
      </c>
      <c r="D127" t="s">
        <v>12174</v>
      </c>
      <c r="E127" t="s">
        <v>1618</v>
      </c>
      <c r="G127" t="s">
        <v>3403</v>
      </c>
      <c r="H127" t="s">
        <v>5180</v>
      </c>
      <c r="K127" t="s">
        <v>12175</v>
      </c>
      <c r="L127" t="s">
        <v>12176</v>
      </c>
      <c r="S127" t="s">
        <v>183</v>
      </c>
      <c r="T127" t="s">
        <v>4</v>
      </c>
    </row>
    <row r="128" spans="1:20">
      <c r="A128" t="s">
        <v>3498</v>
      </c>
      <c r="B128" t="s">
        <v>3759</v>
      </c>
      <c r="C128" s="101">
        <v>127</v>
      </c>
      <c r="D128" t="s">
        <v>4988</v>
      </c>
      <c r="E128" t="s">
        <v>1618</v>
      </c>
      <c r="G128" t="s">
        <v>3403</v>
      </c>
      <c r="K128" t="s">
        <v>4989</v>
      </c>
      <c r="S128" t="s">
        <v>52</v>
      </c>
      <c r="T128" t="s">
        <v>4</v>
      </c>
    </row>
    <row r="129" spans="1:20">
      <c r="A129" t="s">
        <v>3498</v>
      </c>
      <c r="B129" t="s">
        <v>3759</v>
      </c>
      <c r="C129" s="101">
        <v>128</v>
      </c>
      <c r="D129" t="s">
        <v>12177</v>
      </c>
      <c r="E129" t="s">
        <v>1618</v>
      </c>
      <c r="G129" t="s">
        <v>3403</v>
      </c>
      <c r="K129" t="s">
        <v>10733</v>
      </c>
      <c r="L129" t="s">
        <v>12178</v>
      </c>
      <c r="S129" t="s">
        <v>607</v>
      </c>
      <c r="T129" t="s">
        <v>4</v>
      </c>
    </row>
    <row r="130" spans="1:20">
      <c r="A130" t="s">
        <v>3498</v>
      </c>
      <c r="B130" t="s">
        <v>3759</v>
      </c>
      <c r="C130" s="101">
        <v>129</v>
      </c>
      <c r="D130" t="s">
        <v>12179</v>
      </c>
      <c r="E130" t="s">
        <v>1618</v>
      </c>
      <c r="G130" t="s">
        <v>3403</v>
      </c>
      <c r="K130" t="s">
        <v>12180</v>
      </c>
      <c r="L130" t="s">
        <v>3768</v>
      </c>
      <c r="S130" t="s">
        <v>5281</v>
      </c>
      <c r="T130" t="s">
        <v>4</v>
      </c>
    </row>
    <row r="131" spans="1:20">
      <c r="A131" t="s">
        <v>3498</v>
      </c>
      <c r="B131" t="s">
        <v>3759</v>
      </c>
      <c r="C131" s="101">
        <v>130</v>
      </c>
      <c r="D131" t="s">
        <v>12181</v>
      </c>
      <c r="E131" t="s">
        <v>1618</v>
      </c>
      <c r="G131" t="s">
        <v>3403</v>
      </c>
      <c r="K131" t="s">
        <v>12182</v>
      </c>
      <c r="S131" t="s">
        <v>6</v>
      </c>
      <c r="T131" t="s">
        <v>4</v>
      </c>
    </row>
    <row r="132" spans="1:20">
      <c r="A132" t="s">
        <v>3498</v>
      </c>
      <c r="B132" t="s">
        <v>3759</v>
      </c>
      <c r="C132" s="101">
        <v>131</v>
      </c>
      <c r="D132" t="s">
        <v>12183</v>
      </c>
      <c r="E132" t="s">
        <v>1620</v>
      </c>
      <c r="G132" t="s">
        <v>3403</v>
      </c>
      <c r="K132" t="s">
        <v>12184</v>
      </c>
      <c r="S132" t="s">
        <v>5281</v>
      </c>
      <c r="T132" t="s">
        <v>4</v>
      </c>
    </row>
    <row r="133" spans="1:20">
      <c r="A133" t="s">
        <v>3498</v>
      </c>
      <c r="B133" t="s">
        <v>3759</v>
      </c>
      <c r="C133" s="101">
        <v>132</v>
      </c>
      <c r="D133" t="s">
        <v>12185</v>
      </c>
      <c r="E133" t="s">
        <v>1620</v>
      </c>
      <c r="G133" t="s">
        <v>3403</v>
      </c>
      <c r="K133" t="s">
        <v>6896</v>
      </c>
      <c r="L133" t="s">
        <v>12186</v>
      </c>
      <c r="S133" t="s">
        <v>46</v>
      </c>
      <c r="T133" t="s">
        <v>4</v>
      </c>
    </row>
    <row r="134" spans="1:20">
      <c r="A134" t="s">
        <v>3498</v>
      </c>
      <c r="B134" t="s">
        <v>3759</v>
      </c>
      <c r="C134" s="101">
        <v>133</v>
      </c>
      <c r="D134" t="s">
        <v>12187</v>
      </c>
      <c r="E134" t="s">
        <v>1620</v>
      </c>
      <c r="G134" t="s">
        <v>3403</v>
      </c>
      <c r="K134" t="s">
        <v>12188</v>
      </c>
      <c r="S134" t="s">
        <v>31</v>
      </c>
      <c r="T134" t="s">
        <v>4</v>
      </c>
    </row>
    <row r="135" spans="1:20">
      <c r="A135" t="s">
        <v>3498</v>
      </c>
      <c r="B135" t="s">
        <v>3759</v>
      </c>
      <c r="C135" s="101">
        <v>134</v>
      </c>
      <c r="D135" t="s">
        <v>5032</v>
      </c>
      <c r="E135" t="s">
        <v>1620</v>
      </c>
      <c r="G135" t="s">
        <v>3403</v>
      </c>
      <c r="K135" t="s">
        <v>5033</v>
      </c>
      <c r="S135" t="s">
        <v>53</v>
      </c>
      <c r="T135" t="s">
        <v>4</v>
      </c>
    </row>
    <row r="136" spans="1:20">
      <c r="A136" t="s">
        <v>3498</v>
      </c>
      <c r="B136" t="s">
        <v>3759</v>
      </c>
      <c r="C136" s="101">
        <v>135</v>
      </c>
      <c r="D136" t="s">
        <v>12189</v>
      </c>
      <c r="E136" t="s">
        <v>1620</v>
      </c>
      <c r="G136" t="s">
        <v>3403</v>
      </c>
      <c r="K136" t="s">
        <v>12190</v>
      </c>
      <c r="L136" t="s">
        <v>12191</v>
      </c>
      <c r="S136" t="s">
        <v>170</v>
      </c>
      <c r="T136" t="s">
        <v>4</v>
      </c>
    </row>
    <row r="137" spans="1:20">
      <c r="A137" t="s">
        <v>3498</v>
      </c>
      <c r="B137" t="s">
        <v>3759</v>
      </c>
      <c r="C137" s="101">
        <v>136</v>
      </c>
      <c r="D137" t="s">
        <v>12192</v>
      </c>
      <c r="E137" t="s">
        <v>1620</v>
      </c>
      <c r="G137" t="s">
        <v>3403</v>
      </c>
      <c r="K137" t="s">
        <v>12193</v>
      </c>
      <c r="S137" t="s">
        <v>6</v>
      </c>
      <c r="T137" t="s">
        <v>4</v>
      </c>
    </row>
    <row r="138" spans="1:20">
      <c r="A138" t="s">
        <v>3498</v>
      </c>
      <c r="B138" t="s">
        <v>3759</v>
      </c>
      <c r="C138" s="101">
        <v>137</v>
      </c>
      <c r="D138" t="s">
        <v>5030</v>
      </c>
      <c r="E138" t="s">
        <v>1620</v>
      </c>
      <c r="G138" t="s">
        <v>3403</v>
      </c>
      <c r="K138" t="s">
        <v>5031</v>
      </c>
      <c r="S138" t="s">
        <v>39</v>
      </c>
      <c r="T138" t="s">
        <v>4</v>
      </c>
    </row>
    <row r="139" spans="1:20">
      <c r="A139" t="s">
        <v>3498</v>
      </c>
      <c r="B139" t="s">
        <v>3759</v>
      </c>
      <c r="C139" s="101">
        <v>138</v>
      </c>
      <c r="D139" t="s">
        <v>12194</v>
      </c>
      <c r="E139" t="s">
        <v>1620</v>
      </c>
      <c r="G139" t="s">
        <v>3403</v>
      </c>
      <c r="K139" t="s">
        <v>12195</v>
      </c>
      <c r="S139" t="s">
        <v>3747</v>
      </c>
      <c r="T139" t="s">
        <v>4</v>
      </c>
    </row>
    <row r="140" spans="1:20">
      <c r="A140" t="s">
        <v>3498</v>
      </c>
      <c r="B140" t="s">
        <v>3759</v>
      </c>
      <c r="C140" s="101">
        <v>139</v>
      </c>
      <c r="D140" t="s">
        <v>12196</v>
      </c>
      <c r="E140" t="s">
        <v>1620</v>
      </c>
      <c r="G140" t="s">
        <v>3403</v>
      </c>
      <c r="K140" t="s">
        <v>12197</v>
      </c>
      <c r="S140" t="s">
        <v>50</v>
      </c>
      <c r="T140" t="s">
        <v>4</v>
      </c>
    </row>
    <row r="141" spans="1:20">
      <c r="A141" t="s">
        <v>3498</v>
      </c>
      <c r="B141" t="s">
        <v>3759</v>
      </c>
      <c r="C141" s="101">
        <v>140</v>
      </c>
      <c r="D141" t="s">
        <v>12198</v>
      </c>
      <c r="E141" t="s">
        <v>1620</v>
      </c>
      <c r="G141" t="s">
        <v>3403</v>
      </c>
      <c r="K141" t="s">
        <v>12199</v>
      </c>
      <c r="S141" t="s">
        <v>38</v>
      </c>
      <c r="T141" t="s">
        <v>4</v>
      </c>
    </row>
    <row r="142" spans="1:20">
      <c r="A142" t="s">
        <v>3498</v>
      </c>
      <c r="B142" t="s">
        <v>3759</v>
      </c>
      <c r="C142" s="101">
        <v>141</v>
      </c>
      <c r="D142" t="s">
        <v>12200</v>
      </c>
      <c r="E142" t="s">
        <v>1622</v>
      </c>
      <c r="G142" t="s">
        <v>3403</v>
      </c>
      <c r="K142" t="s">
        <v>12201</v>
      </c>
      <c r="S142" t="s">
        <v>32</v>
      </c>
      <c r="T142" t="s">
        <v>4</v>
      </c>
    </row>
    <row r="143" spans="1:20">
      <c r="A143" t="s">
        <v>3498</v>
      </c>
      <c r="B143" t="s">
        <v>3759</v>
      </c>
      <c r="C143" s="101">
        <v>142</v>
      </c>
      <c r="D143" t="s">
        <v>5034</v>
      </c>
      <c r="E143" t="s">
        <v>1622</v>
      </c>
      <c r="G143" t="s">
        <v>3403</v>
      </c>
      <c r="K143" t="s">
        <v>5035</v>
      </c>
      <c r="S143" t="s">
        <v>607</v>
      </c>
      <c r="T143" t="s">
        <v>4</v>
      </c>
    </row>
    <row r="144" spans="1:20">
      <c r="A144" t="s">
        <v>3498</v>
      </c>
      <c r="B144" t="s">
        <v>3759</v>
      </c>
      <c r="C144" s="101">
        <v>143</v>
      </c>
      <c r="D144" t="s">
        <v>12202</v>
      </c>
      <c r="E144" t="s">
        <v>1763</v>
      </c>
      <c r="G144" t="s">
        <v>3403</v>
      </c>
      <c r="K144" t="s">
        <v>5014</v>
      </c>
      <c r="L144" t="s">
        <v>12203</v>
      </c>
      <c r="S144" t="s">
        <v>8</v>
      </c>
      <c r="T144" t="s">
        <v>4</v>
      </c>
    </row>
    <row r="145" spans="1:20">
      <c r="A145" t="s">
        <v>3498</v>
      </c>
      <c r="B145" t="s">
        <v>3759</v>
      </c>
      <c r="C145" s="101">
        <v>144</v>
      </c>
      <c r="D145" t="s">
        <v>12204</v>
      </c>
      <c r="E145" t="s">
        <v>1622</v>
      </c>
      <c r="G145" t="s">
        <v>3445</v>
      </c>
      <c r="H145" t="s">
        <v>13415</v>
      </c>
      <c r="K145" t="s">
        <v>12205</v>
      </c>
      <c r="S145" t="s">
        <v>5281</v>
      </c>
      <c r="T145" t="s">
        <v>4</v>
      </c>
    </row>
    <row r="146" spans="1:20">
      <c r="A146" t="s">
        <v>3498</v>
      </c>
      <c r="B146" t="s">
        <v>3759</v>
      </c>
      <c r="C146" s="101">
        <v>145</v>
      </c>
      <c r="D146" t="s">
        <v>12206</v>
      </c>
      <c r="E146" t="s">
        <v>12207</v>
      </c>
      <c r="G146" t="s">
        <v>3403</v>
      </c>
      <c r="K146" t="s">
        <v>12208</v>
      </c>
      <c r="L146" t="s">
        <v>12209</v>
      </c>
      <c r="S146" t="s">
        <v>18</v>
      </c>
      <c r="T146" t="s">
        <v>4</v>
      </c>
    </row>
    <row r="147" spans="1:20">
      <c r="A147" t="s">
        <v>3498</v>
      </c>
      <c r="B147" t="s">
        <v>3759</v>
      </c>
      <c r="C147" s="101">
        <v>146</v>
      </c>
      <c r="D147" t="s">
        <v>12210</v>
      </c>
      <c r="E147" t="s">
        <v>1764</v>
      </c>
      <c r="G147" t="s">
        <v>3403</v>
      </c>
      <c r="K147" t="s">
        <v>12211</v>
      </c>
      <c r="S147" t="s">
        <v>8</v>
      </c>
      <c r="T147" t="s">
        <v>4</v>
      </c>
    </row>
    <row r="148" spans="1:20">
      <c r="A148" s="101" t="s">
        <v>3463</v>
      </c>
      <c r="B148" s="101" t="s">
        <v>3759</v>
      </c>
      <c r="C148" s="101">
        <v>1001</v>
      </c>
      <c r="D148" s="101" t="s">
        <v>12800</v>
      </c>
      <c r="E148" s="101" t="s">
        <v>1606</v>
      </c>
      <c r="F148" s="101"/>
      <c r="G148" s="101" t="s">
        <v>3403</v>
      </c>
      <c r="H148" s="101"/>
      <c r="I148" s="101"/>
      <c r="J148" s="101"/>
      <c r="K148" s="101" t="s">
        <v>12801</v>
      </c>
      <c r="L148" s="101"/>
      <c r="M148" s="101"/>
      <c r="N148" s="101"/>
      <c r="O148" s="101"/>
      <c r="P148" s="101"/>
      <c r="Q148" s="101"/>
      <c r="R148" s="101"/>
      <c r="S148" s="101" t="s">
        <v>31</v>
      </c>
      <c r="T148" s="101" t="s">
        <v>7</v>
      </c>
    </row>
    <row r="149" spans="1:20">
      <c r="A149" s="101" t="s">
        <v>3463</v>
      </c>
      <c r="B149" s="101" t="s">
        <v>3759</v>
      </c>
      <c r="C149" s="101">
        <v>1002</v>
      </c>
      <c r="D149" s="101" t="s">
        <v>12802</v>
      </c>
      <c r="E149" s="101" t="s">
        <v>12041</v>
      </c>
      <c r="F149" s="101"/>
      <c r="G149" s="101" t="s">
        <v>3403</v>
      </c>
      <c r="H149" s="101"/>
      <c r="I149" s="101"/>
      <c r="J149" s="101"/>
      <c r="K149" s="101" t="s">
        <v>12042</v>
      </c>
      <c r="L149" s="102" t="s">
        <v>12803</v>
      </c>
      <c r="M149" s="102"/>
      <c r="N149" s="102"/>
      <c r="O149" s="102"/>
      <c r="P149" s="102"/>
      <c r="Q149" s="102"/>
      <c r="R149" s="102"/>
      <c r="S149" s="102" t="s">
        <v>606</v>
      </c>
      <c r="T149" s="102" t="s">
        <v>7</v>
      </c>
    </row>
    <row r="150" spans="1:20">
      <c r="A150" s="101" t="s">
        <v>3463</v>
      </c>
      <c r="B150" s="101" t="s">
        <v>3759</v>
      </c>
      <c r="C150" s="101">
        <v>1003</v>
      </c>
      <c r="D150" s="102" t="s">
        <v>12804</v>
      </c>
      <c r="E150" s="102" t="s">
        <v>1606</v>
      </c>
      <c r="F150" s="102"/>
      <c r="G150" s="102" t="s">
        <v>3403</v>
      </c>
      <c r="H150" s="102"/>
      <c r="I150" s="102"/>
      <c r="J150" s="102"/>
      <c r="K150" s="102" t="s">
        <v>12805</v>
      </c>
      <c r="L150" s="102"/>
      <c r="M150" s="102"/>
      <c r="N150" s="102"/>
      <c r="O150" s="102"/>
      <c r="P150" s="102"/>
      <c r="Q150" s="102"/>
      <c r="R150" s="102"/>
      <c r="S150" s="102" t="s">
        <v>177</v>
      </c>
      <c r="T150" s="102" t="s">
        <v>7</v>
      </c>
    </row>
    <row r="151" spans="1:20">
      <c r="A151" s="101" t="s">
        <v>3463</v>
      </c>
      <c r="B151" s="101" t="s">
        <v>3759</v>
      </c>
      <c r="C151" s="101">
        <v>1004</v>
      </c>
      <c r="D151" s="102" t="s">
        <v>12806</v>
      </c>
      <c r="E151" s="102" t="s">
        <v>1606</v>
      </c>
      <c r="F151" s="102"/>
      <c r="G151" s="102" t="s">
        <v>3403</v>
      </c>
      <c r="H151" s="102"/>
      <c r="I151" s="102"/>
      <c r="J151" s="102"/>
      <c r="K151" s="102" t="s">
        <v>12807</v>
      </c>
      <c r="L151" s="102"/>
      <c r="M151" s="102"/>
      <c r="N151" s="102"/>
      <c r="O151" s="102"/>
      <c r="P151" s="102"/>
      <c r="Q151" s="102"/>
      <c r="R151" s="102"/>
      <c r="S151" s="102" t="s">
        <v>174</v>
      </c>
      <c r="T151" s="102" t="s">
        <v>7</v>
      </c>
    </row>
    <row r="152" spans="1:20">
      <c r="A152" s="101" t="s">
        <v>3463</v>
      </c>
      <c r="B152" s="101" t="s">
        <v>3759</v>
      </c>
      <c r="C152" s="101">
        <v>1005</v>
      </c>
      <c r="D152" s="102" t="s">
        <v>12808</v>
      </c>
      <c r="E152" s="102" t="s">
        <v>1606</v>
      </c>
      <c r="F152" s="102"/>
      <c r="G152" s="102" t="s">
        <v>3403</v>
      </c>
      <c r="H152" s="102"/>
      <c r="I152" s="102"/>
      <c r="J152" s="102"/>
      <c r="K152" s="102" t="s">
        <v>12809</v>
      </c>
      <c r="L152" s="102"/>
      <c r="M152" s="102"/>
      <c r="N152" s="102"/>
      <c r="O152" s="102"/>
      <c r="P152" s="102"/>
      <c r="Q152" s="102"/>
      <c r="R152" s="102"/>
      <c r="S152" s="102" t="s">
        <v>17</v>
      </c>
      <c r="T152" s="102" t="s">
        <v>7</v>
      </c>
    </row>
    <row r="153" spans="1:20">
      <c r="A153" s="101" t="s">
        <v>3463</v>
      </c>
      <c r="B153" s="101" t="s">
        <v>3759</v>
      </c>
      <c r="C153" s="101">
        <v>1006</v>
      </c>
      <c r="D153" s="102" t="s">
        <v>12040</v>
      </c>
      <c r="E153" s="102" t="s">
        <v>12041</v>
      </c>
      <c r="F153" s="102"/>
      <c r="G153" s="102" t="s">
        <v>3403</v>
      </c>
      <c r="H153" s="102"/>
      <c r="I153" s="102"/>
      <c r="J153" s="102"/>
      <c r="K153" s="102" t="s">
        <v>12042</v>
      </c>
      <c r="L153" s="102" t="s">
        <v>4589</v>
      </c>
      <c r="M153" s="102"/>
      <c r="N153" s="102"/>
      <c r="O153" s="102"/>
      <c r="P153" s="102"/>
      <c r="Q153" s="102"/>
      <c r="R153" s="102"/>
      <c r="S153" s="102" t="s">
        <v>184</v>
      </c>
      <c r="T153" s="102" t="s">
        <v>7</v>
      </c>
    </row>
    <row r="154" spans="1:20">
      <c r="A154" s="101" t="s">
        <v>3463</v>
      </c>
      <c r="B154" s="101" t="s">
        <v>3759</v>
      </c>
      <c r="C154" s="101">
        <v>1007</v>
      </c>
      <c r="D154" s="102" t="s">
        <v>12810</v>
      </c>
      <c r="E154" s="102" t="s">
        <v>4898</v>
      </c>
      <c r="F154" s="102"/>
      <c r="G154" s="102" t="s">
        <v>3403</v>
      </c>
      <c r="H154" s="102"/>
      <c r="I154" s="102"/>
      <c r="J154" s="102"/>
      <c r="K154" s="102" t="s">
        <v>12811</v>
      </c>
      <c r="L154" s="102"/>
      <c r="M154" s="102"/>
      <c r="N154" s="102"/>
      <c r="O154" s="102"/>
      <c r="P154" s="102"/>
      <c r="Q154" s="102"/>
      <c r="R154" s="102"/>
      <c r="S154" s="102" t="s">
        <v>38</v>
      </c>
      <c r="T154" s="102" t="s">
        <v>7</v>
      </c>
    </row>
    <row r="155" spans="1:20">
      <c r="A155" s="101" t="s">
        <v>3463</v>
      </c>
      <c r="B155" s="101" t="s">
        <v>3759</v>
      </c>
      <c r="C155" s="101">
        <v>1008</v>
      </c>
      <c r="D155" s="102" t="s">
        <v>12039</v>
      </c>
      <c r="E155" s="102" t="s">
        <v>1606</v>
      </c>
      <c r="F155" s="102"/>
      <c r="G155" s="102" t="s">
        <v>3403</v>
      </c>
      <c r="H155" s="102"/>
      <c r="I155" s="102"/>
      <c r="J155" s="102"/>
      <c r="K155" s="102" t="s">
        <v>5014</v>
      </c>
      <c r="L155" s="102" t="s">
        <v>4589</v>
      </c>
      <c r="M155" s="102"/>
      <c r="N155" s="102"/>
      <c r="O155" s="102"/>
      <c r="P155" s="102"/>
      <c r="Q155" s="102"/>
      <c r="R155" s="102"/>
      <c r="S155" s="102" t="s">
        <v>172</v>
      </c>
      <c r="T155" s="102" t="s">
        <v>7</v>
      </c>
    </row>
    <row r="156" spans="1:20">
      <c r="A156" s="101" t="s">
        <v>3463</v>
      </c>
      <c r="B156" s="101" t="s">
        <v>3759</v>
      </c>
      <c r="C156" s="101">
        <v>1009</v>
      </c>
      <c r="D156" s="102" t="s">
        <v>12812</v>
      </c>
      <c r="E156" s="102" t="s">
        <v>1606</v>
      </c>
      <c r="F156" s="102"/>
      <c r="G156" s="102" t="s">
        <v>3403</v>
      </c>
      <c r="H156" s="102"/>
      <c r="I156" s="102"/>
      <c r="J156" s="102"/>
      <c r="K156" s="102" t="s">
        <v>4589</v>
      </c>
      <c r="L156" s="102" t="s">
        <v>5208</v>
      </c>
      <c r="M156" s="102"/>
      <c r="N156" s="102"/>
      <c r="O156" s="102"/>
      <c r="P156" s="102"/>
      <c r="Q156" s="102"/>
      <c r="R156" s="102"/>
      <c r="S156" s="102" t="s">
        <v>170</v>
      </c>
      <c r="T156" s="102" t="s">
        <v>7</v>
      </c>
    </row>
    <row r="157" spans="1:20">
      <c r="A157" s="101" t="s">
        <v>3463</v>
      </c>
      <c r="B157" s="101" t="s">
        <v>3759</v>
      </c>
      <c r="C157" s="101">
        <v>1010</v>
      </c>
      <c r="D157" s="102" t="s">
        <v>12813</v>
      </c>
      <c r="E157" s="102" t="s">
        <v>4898</v>
      </c>
      <c r="F157" s="102"/>
      <c r="G157" s="102" t="s">
        <v>3403</v>
      </c>
      <c r="H157" s="102"/>
      <c r="I157" s="102"/>
      <c r="J157" s="102"/>
      <c r="K157" s="102" t="s">
        <v>12814</v>
      </c>
      <c r="L157" s="102"/>
      <c r="M157" s="102"/>
      <c r="N157" s="102"/>
      <c r="O157" s="102"/>
      <c r="P157" s="102"/>
      <c r="Q157" s="102"/>
      <c r="R157" s="102"/>
      <c r="S157" s="102" t="s">
        <v>35</v>
      </c>
      <c r="T157" s="102" t="s">
        <v>7</v>
      </c>
    </row>
    <row r="158" spans="1:20">
      <c r="A158" s="101" t="s">
        <v>3463</v>
      </c>
      <c r="B158" s="101" t="s">
        <v>3759</v>
      </c>
      <c r="C158" s="101">
        <v>1011</v>
      </c>
      <c r="D158" s="102" t="s">
        <v>12815</v>
      </c>
      <c r="E158" s="102" t="s">
        <v>1606</v>
      </c>
      <c r="F158" s="102"/>
      <c r="G158" s="102" t="s">
        <v>3403</v>
      </c>
      <c r="H158" s="102"/>
      <c r="I158" s="102"/>
      <c r="J158" s="102"/>
      <c r="K158" s="102" t="s">
        <v>12816</v>
      </c>
      <c r="L158" s="102"/>
      <c r="M158" s="102"/>
      <c r="N158" s="102"/>
      <c r="O158" s="102"/>
      <c r="P158" s="102"/>
      <c r="Q158" s="102"/>
      <c r="R158" s="102"/>
      <c r="S158" s="102" t="s">
        <v>607</v>
      </c>
      <c r="T158" s="102" t="s">
        <v>7</v>
      </c>
    </row>
    <row r="159" spans="1:20">
      <c r="A159" s="101" t="s">
        <v>3463</v>
      </c>
      <c r="B159" s="101" t="s">
        <v>3759</v>
      </c>
      <c r="C159" s="101">
        <v>1012</v>
      </c>
      <c r="D159" s="102" t="s">
        <v>12817</v>
      </c>
      <c r="E159" s="102" t="s">
        <v>1606</v>
      </c>
      <c r="F159" s="102"/>
      <c r="G159" s="102" t="s">
        <v>3403</v>
      </c>
      <c r="H159" s="102"/>
      <c r="I159" s="102"/>
      <c r="J159" s="102"/>
      <c r="K159" s="102" t="s">
        <v>12818</v>
      </c>
      <c r="L159" s="102"/>
      <c r="M159" s="102"/>
      <c r="N159" s="102"/>
      <c r="O159" s="102"/>
      <c r="P159" s="102"/>
      <c r="Q159" s="102"/>
      <c r="R159" s="102"/>
      <c r="S159" s="102" t="s">
        <v>14</v>
      </c>
      <c r="T159" s="102" t="s">
        <v>7</v>
      </c>
    </row>
    <row r="160" spans="1:20">
      <c r="A160" s="101" t="s">
        <v>3463</v>
      </c>
      <c r="B160" s="101" t="s">
        <v>3759</v>
      </c>
      <c r="C160" s="101">
        <v>1013</v>
      </c>
      <c r="D160" s="102" t="s">
        <v>12819</v>
      </c>
      <c r="E160" s="102" t="s">
        <v>1606</v>
      </c>
      <c r="F160" s="102"/>
      <c r="G160" s="102" t="s">
        <v>3403</v>
      </c>
      <c r="H160" s="102"/>
      <c r="I160" s="102"/>
      <c r="J160" s="102"/>
      <c r="K160" s="102" t="s">
        <v>12820</v>
      </c>
      <c r="L160" s="102"/>
      <c r="M160" s="102"/>
      <c r="N160" s="102"/>
      <c r="O160" s="102"/>
      <c r="P160" s="102"/>
      <c r="Q160" s="102"/>
      <c r="R160" s="102"/>
      <c r="S160" s="102" t="s">
        <v>26</v>
      </c>
      <c r="T160" s="102" t="s">
        <v>7</v>
      </c>
    </row>
    <row r="161" spans="1:20">
      <c r="A161" s="101" t="s">
        <v>3463</v>
      </c>
      <c r="B161" s="101" t="s">
        <v>3759</v>
      </c>
      <c r="C161" s="101">
        <v>1014</v>
      </c>
      <c r="D161" s="102" t="s">
        <v>12821</v>
      </c>
      <c r="E161" s="102" t="s">
        <v>1611</v>
      </c>
      <c r="F161" s="102"/>
      <c r="G161" s="102" t="s">
        <v>3403</v>
      </c>
      <c r="H161" s="102"/>
      <c r="I161" s="102"/>
      <c r="J161" s="102"/>
      <c r="K161" s="102" t="s">
        <v>4113</v>
      </c>
      <c r="L161" s="102" t="s">
        <v>12822</v>
      </c>
      <c r="M161" s="102" t="s">
        <v>12823</v>
      </c>
      <c r="N161" s="102"/>
      <c r="O161" s="102"/>
      <c r="P161" s="102"/>
      <c r="Q161" s="102"/>
      <c r="R161" s="102"/>
      <c r="S161" s="102" t="s">
        <v>32</v>
      </c>
      <c r="T161" s="102" t="s">
        <v>7</v>
      </c>
    </row>
    <row r="162" spans="1:20">
      <c r="A162" s="101" t="s">
        <v>3463</v>
      </c>
      <c r="B162" s="101" t="s">
        <v>3759</v>
      </c>
      <c r="C162" s="101">
        <v>1015</v>
      </c>
      <c r="D162" s="102" t="s">
        <v>12824</v>
      </c>
      <c r="E162" s="102" t="s">
        <v>1611</v>
      </c>
      <c r="F162" s="102"/>
      <c r="G162" s="102" t="s">
        <v>3403</v>
      </c>
      <c r="H162" s="102"/>
      <c r="I162" s="102"/>
      <c r="J162" s="102"/>
      <c r="K162" s="102" t="s">
        <v>12825</v>
      </c>
      <c r="L162" s="102"/>
      <c r="M162" s="102"/>
      <c r="N162" s="102"/>
      <c r="O162" s="102"/>
      <c r="P162" s="102"/>
      <c r="Q162" s="102"/>
      <c r="R162" s="102"/>
      <c r="S162" s="102" t="s">
        <v>5</v>
      </c>
      <c r="T162" s="102" t="s">
        <v>7</v>
      </c>
    </row>
    <row r="163" spans="1:20">
      <c r="A163" s="101" t="s">
        <v>3463</v>
      </c>
      <c r="B163" s="101" t="s">
        <v>3759</v>
      </c>
      <c r="C163" s="101">
        <v>1016</v>
      </c>
      <c r="D163" s="102" t="s">
        <v>12826</v>
      </c>
      <c r="E163" s="102" t="s">
        <v>1611</v>
      </c>
      <c r="F163" s="102"/>
      <c r="G163" s="102" t="s">
        <v>3403</v>
      </c>
      <c r="H163" s="102"/>
      <c r="I163" s="102"/>
      <c r="J163" s="102"/>
      <c r="K163" s="102" t="s">
        <v>12827</v>
      </c>
      <c r="L163" s="102"/>
      <c r="M163" s="102"/>
      <c r="N163" s="102"/>
      <c r="O163" s="102"/>
      <c r="P163" s="102"/>
      <c r="Q163" s="102"/>
      <c r="R163" s="102"/>
      <c r="S163" s="102" t="s">
        <v>46</v>
      </c>
      <c r="T163" s="102" t="s">
        <v>7</v>
      </c>
    </row>
    <row r="164" spans="1:20">
      <c r="A164" s="101" t="s">
        <v>3463</v>
      </c>
      <c r="B164" s="101" t="s">
        <v>3759</v>
      </c>
      <c r="C164" s="101">
        <v>1017</v>
      </c>
      <c r="D164" s="102" t="s">
        <v>12828</v>
      </c>
      <c r="E164" s="102" t="s">
        <v>1611</v>
      </c>
      <c r="F164" s="102"/>
      <c r="G164" s="102" t="s">
        <v>3403</v>
      </c>
      <c r="H164" s="102"/>
      <c r="I164" s="102"/>
      <c r="J164" s="102"/>
      <c r="K164" s="102" t="s">
        <v>6078</v>
      </c>
      <c r="L164" s="102" t="s">
        <v>12829</v>
      </c>
      <c r="M164" s="102"/>
      <c r="N164" s="102"/>
      <c r="O164" s="102"/>
      <c r="P164" s="102"/>
      <c r="Q164" s="102"/>
      <c r="R164" s="102"/>
      <c r="S164" s="102" t="s">
        <v>53</v>
      </c>
      <c r="T164" s="102" t="s">
        <v>7</v>
      </c>
    </row>
    <row r="165" spans="1:20">
      <c r="A165" s="101" t="s">
        <v>3463</v>
      </c>
      <c r="B165" s="101" t="s">
        <v>3759</v>
      </c>
      <c r="C165" s="101">
        <v>1018</v>
      </c>
      <c r="D165" s="102" t="s">
        <v>12076</v>
      </c>
      <c r="E165" s="102" t="s">
        <v>1611</v>
      </c>
      <c r="F165" s="102"/>
      <c r="G165" s="102" t="s">
        <v>3403</v>
      </c>
      <c r="H165" s="102"/>
      <c r="I165" s="102"/>
      <c r="J165" s="102"/>
      <c r="K165" s="102" t="s">
        <v>12077</v>
      </c>
      <c r="L165" s="102"/>
      <c r="M165" s="102"/>
      <c r="N165" s="102"/>
      <c r="O165" s="102"/>
      <c r="P165" s="102"/>
      <c r="Q165" s="102"/>
      <c r="R165" s="102"/>
      <c r="S165" s="102" t="s">
        <v>6</v>
      </c>
      <c r="T165" s="102" t="s">
        <v>7</v>
      </c>
    </row>
    <row r="166" spans="1:20">
      <c r="A166" s="101" t="s">
        <v>3463</v>
      </c>
      <c r="B166" s="101" t="s">
        <v>3759</v>
      </c>
      <c r="C166" s="101">
        <v>1019</v>
      </c>
      <c r="D166" s="102" t="s">
        <v>12830</v>
      </c>
      <c r="E166" s="102" t="s">
        <v>1611</v>
      </c>
      <c r="F166" s="102"/>
      <c r="G166" s="102" t="s">
        <v>3403</v>
      </c>
      <c r="H166" s="102"/>
      <c r="I166" s="102"/>
      <c r="J166" s="102"/>
      <c r="K166" s="102" t="s">
        <v>12831</v>
      </c>
      <c r="L166" s="102"/>
      <c r="M166" s="102"/>
      <c r="N166" s="102"/>
      <c r="O166" s="102"/>
      <c r="P166" s="102"/>
      <c r="Q166" s="102"/>
      <c r="R166" s="102"/>
      <c r="S166" s="102" t="s">
        <v>40</v>
      </c>
      <c r="T166" s="102" t="s">
        <v>7</v>
      </c>
    </row>
    <row r="167" spans="1:20">
      <c r="A167" s="101" t="s">
        <v>3463</v>
      </c>
      <c r="B167" s="101" t="s">
        <v>3759</v>
      </c>
      <c r="C167" s="101">
        <v>1020</v>
      </c>
      <c r="D167" s="102" t="s">
        <v>12832</v>
      </c>
      <c r="E167" s="102" t="s">
        <v>1611</v>
      </c>
      <c r="F167" s="102"/>
      <c r="G167" s="102" t="s">
        <v>3403</v>
      </c>
      <c r="H167" s="102"/>
      <c r="I167" s="102"/>
      <c r="J167" s="102"/>
      <c r="K167" s="102" t="s">
        <v>10365</v>
      </c>
      <c r="L167" s="102" t="s">
        <v>12833</v>
      </c>
      <c r="M167" s="102"/>
      <c r="N167" s="102"/>
      <c r="O167" s="102"/>
      <c r="P167" s="102"/>
      <c r="Q167" s="102"/>
      <c r="R167" s="102"/>
      <c r="S167" s="102" t="s">
        <v>49</v>
      </c>
      <c r="T167" s="102" t="s">
        <v>7</v>
      </c>
    </row>
    <row r="168" spans="1:20">
      <c r="A168" s="101" t="s">
        <v>3463</v>
      </c>
      <c r="B168" s="101" t="s">
        <v>3759</v>
      </c>
      <c r="C168" s="101">
        <v>1021</v>
      </c>
      <c r="D168" s="102" t="s">
        <v>12834</v>
      </c>
      <c r="E168" s="102" t="s">
        <v>1611</v>
      </c>
      <c r="F168" s="102"/>
      <c r="G168" s="102" t="s">
        <v>3403</v>
      </c>
      <c r="H168" s="102"/>
      <c r="I168" s="102"/>
      <c r="J168" s="102"/>
      <c r="K168" s="102" t="s">
        <v>12835</v>
      </c>
      <c r="L168" s="102"/>
      <c r="M168" s="102"/>
      <c r="N168" s="102"/>
      <c r="O168" s="102"/>
      <c r="P168" s="102"/>
      <c r="Q168" s="102"/>
      <c r="R168" s="102"/>
      <c r="S168" s="102" t="s">
        <v>10</v>
      </c>
      <c r="T168" s="102" t="s">
        <v>7</v>
      </c>
    </row>
    <row r="169" spans="1:20">
      <c r="A169" s="101" t="s">
        <v>3463</v>
      </c>
      <c r="B169" s="101" t="s">
        <v>3759</v>
      </c>
      <c r="C169" s="101">
        <v>1022</v>
      </c>
      <c r="D169" s="102" t="s">
        <v>12836</v>
      </c>
      <c r="E169" s="102" t="s">
        <v>1611</v>
      </c>
      <c r="F169" s="102"/>
      <c r="G169" s="102" t="s">
        <v>3403</v>
      </c>
      <c r="H169" s="102"/>
      <c r="I169" s="102"/>
      <c r="J169" s="102"/>
      <c r="K169" s="102" t="s">
        <v>12837</v>
      </c>
      <c r="L169" s="102" t="s">
        <v>3768</v>
      </c>
      <c r="M169" s="102"/>
      <c r="N169" s="102"/>
      <c r="O169" s="102"/>
      <c r="P169" s="102"/>
      <c r="Q169" s="102"/>
      <c r="R169" s="102"/>
      <c r="S169" s="102" t="s">
        <v>30</v>
      </c>
      <c r="T169" s="102" t="s">
        <v>7</v>
      </c>
    </row>
    <row r="170" spans="1:20">
      <c r="A170" s="101" t="s">
        <v>3463</v>
      </c>
      <c r="B170" s="101" t="s">
        <v>3759</v>
      </c>
      <c r="C170" s="101">
        <v>1023</v>
      </c>
      <c r="D170" s="102" t="s">
        <v>12838</v>
      </c>
      <c r="E170" s="102" t="s">
        <v>1611</v>
      </c>
      <c r="F170" s="102"/>
      <c r="G170" s="102" t="s">
        <v>3403</v>
      </c>
      <c r="H170" s="102"/>
      <c r="I170" s="102"/>
      <c r="J170" s="102"/>
      <c r="K170" s="102" t="s">
        <v>12839</v>
      </c>
      <c r="L170" s="102" t="s">
        <v>3768</v>
      </c>
      <c r="M170" s="102"/>
      <c r="N170" s="102"/>
      <c r="O170" s="102"/>
      <c r="P170" s="102"/>
      <c r="Q170" s="102"/>
      <c r="R170" s="102"/>
      <c r="S170" s="102" t="s">
        <v>5281</v>
      </c>
      <c r="T170" s="102" t="s">
        <v>7</v>
      </c>
    </row>
    <row r="171" spans="1:20">
      <c r="A171" s="101" t="s">
        <v>3463</v>
      </c>
      <c r="B171" s="101" t="s">
        <v>3759</v>
      </c>
      <c r="C171" s="101">
        <v>1024</v>
      </c>
      <c r="D171" s="102" t="s">
        <v>12840</v>
      </c>
      <c r="E171" s="102" t="s">
        <v>1611</v>
      </c>
      <c r="F171" s="102"/>
      <c r="G171" s="102" t="s">
        <v>3403</v>
      </c>
      <c r="H171" s="102"/>
      <c r="I171" s="102"/>
      <c r="J171" s="102"/>
      <c r="K171" s="102" t="s">
        <v>12841</v>
      </c>
      <c r="L171" s="102"/>
      <c r="M171" s="102"/>
      <c r="N171" s="102"/>
      <c r="O171" s="102"/>
      <c r="P171" s="102"/>
      <c r="Q171" s="102"/>
      <c r="R171" s="102"/>
      <c r="S171" s="102" t="s">
        <v>605</v>
      </c>
      <c r="T171" s="102" t="s">
        <v>7</v>
      </c>
    </row>
    <row r="172" spans="1:20">
      <c r="A172" s="101" t="s">
        <v>3463</v>
      </c>
      <c r="B172" s="101" t="s">
        <v>3759</v>
      </c>
      <c r="C172" s="101">
        <v>1025</v>
      </c>
      <c r="D172" s="102" t="s">
        <v>12842</v>
      </c>
      <c r="E172" s="102" t="s">
        <v>1611</v>
      </c>
      <c r="F172" s="102"/>
      <c r="G172" s="102" t="s">
        <v>3403</v>
      </c>
      <c r="H172" s="102"/>
      <c r="I172" s="102"/>
      <c r="J172" s="102"/>
      <c r="K172" s="102" t="s">
        <v>5327</v>
      </c>
      <c r="L172" s="102"/>
      <c r="M172" s="102"/>
      <c r="N172" s="102"/>
      <c r="O172" s="102"/>
      <c r="P172" s="102"/>
      <c r="Q172" s="102"/>
      <c r="R172" s="102"/>
      <c r="S172" s="102" t="s">
        <v>172</v>
      </c>
      <c r="T172" s="102" t="s">
        <v>7</v>
      </c>
    </row>
    <row r="173" spans="1:20">
      <c r="A173" s="101" t="s">
        <v>3463</v>
      </c>
      <c r="B173" s="101" t="s">
        <v>3759</v>
      </c>
      <c r="C173" s="101">
        <v>1026</v>
      </c>
      <c r="D173" s="102" t="s">
        <v>12843</v>
      </c>
      <c r="E173" s="102" t="s">
        <v>1611</v>
      </c>
      <c r="F173" s="102"/>
      <c r="G173" s="102" t="s">
        <v>3403</v>
      </c>
      <c r="H173" s="102"/>
      <c r="I173" s="102"/>
      <c r="J173" s="102"/>
      <c r="K173" s="102" t="s">
        <v>12844</v>
      </c>
      <c r="L173" s="102" t="s">
        <v>12845</v>
      </c>
      <c r="M173" s="102"/>
      <c r="N173" s="102"/>
      <c r="O173" s="102"/>
      <c r="P173" s="102"/>
      <c r="Q173" s="102"/>
      <c r="R173" s="102"/>
      <c r="S173" s="102" t="s">
        <v>27</v>
      </c>
      <c r="T173" s="102" t="s">
        <v>7</v>
      </c>
    </row>
    <row r="174" spans="1:20">
      <c r="A174" s="101" t="s">
        <v>3463</v>
      </c>
      <c r="B174" s="101" t="s">
        <v>3759</v>
      </c>
      <c r="C174" s="101">
        <v>1027</v>
      </c>
      <c r="D174" s="102" t="s">
        <v>12846</v>
      </c>
      <c r="E174" s="102" t="s">
        <v>1618</v>
      </c>
      <c r="F174" s="102"/>
      <c r="G174" s="102" t="s">
        <v>3403</v>
      </c>
      <c r="H174" s="102"/>
      <c r="I174" s="102"/>
      <c r="J174" s="102"/>
      <c r="K174" s="102" t="s">
        <v>12847</v>
      </c>
      <c r="L174" s="102"/>
      <c r="M174" s="102"/>
      <c r="N174" s="102"/>
      <c r="O174" s="102"/>
      <c r="P174" s="102"/>
      <c r="Q174" s="102"/>
      <c r="R174" s="102"/>
      <c r="S174" s="102" t="s">
        <v>11</v>
      </c>
      <c r="T174" s="102" t="s">
        <v>7</v>
      </c>
    </row>
    <row r="175" spans="1:20">
      <c r="A175" s="101" t="s">
        <v>3463</v>
      </c>
      <c r="B175" s="101" t="s">
        <v>3759</v>
      </c>
      <c r="C175" s="101">
        <v>1028</v>
      </c>
      <c r="D175" s="102" t="s">
        <v>12848</v>
      </c>
      <c r="E175" s="102" t="s">
        <v>1618</v>
      </c>
      <c r="F175" s="102"/>
      <c r="G175" s="102" t="s">
        <v>3403</v>
      </c>
      <c r="H175" s="102"/>
      <c r="I175" s="102"/>
      <c r="J175" s="102"/>
      <c r="K175" s="102" t="s">
        <v>12849</v>
      </c>
      <c r="L175" s="102" t="s">
        <v>12850</v>
      </c>
      <c r="M175" s="102"/>
      <c r="N175" s="102"/>
      <c r="O175" s="102"/>
      <c r="P175" s="102"/>
      <c r="Q175" s="102"/>
      <c r="R175" s="102"/>
      <c r="S175" s="102" t="s">
        <v>27</v>
      </c>
      <c r="T175" s="102" t="s">
        <v>7</v>
      </c>
    </row>
    <row r="176" spans="1:20">
      <c r="A176" s="101" t="s">
        <v>3463</v>
      </c>
      <c r="B176" s="101" t="s">
        <v>3759</v>
      </c>
      <c r="C176" s="101">
        <v>1029</v>
      </c>
      <c r="D176" s="102" t="s">
        <v>12851</v>
      </c>
      <c r="E176" s="102" t="s">
        <v>1618</v>
      </c>
      <c r="F176" s="102"/>
      <c r="G176" s="102" t="s">
        <v>3403</v>
      </c>
      <c r="H176" s="102"/>
      <c r="I176" s="102"/>
      <c r="J176" s="102"/>
      <c r="K176" s="102" t="s">
        <v>7010</v>
      </c>
      <c r="L176" s="102" t="s">
        <v>4933</v>
      </c>
      <c r="M176" s="102"/>
      <c r="N176" s="102"/>
      <c r="O176" s="102"/>
      <c r="P176" s="102"/>
      <c r="Q176" s="102"/>
      <c r="R176" s="102"/>
      <c r="S176" s="102" t="s">
        <v>31</v>
      </c>
      <c r="T176" s="102" t="s">
        <v>7</v>
      </c>
    </row>
    <row r="177" spans="1:20">
      <c r="A177" s="101" t="s">
        <v>3463</v>
      </c>
      <c r="B177" s="101" t="s">
        <v>3759</v>
      </c>
      <c r="C177" s="101">
        <v>1030</v>
      </c>
      <c r="D177" s="102" t="s">
        <v>12852</v>
      </c>
      <c r="E177" s="102" t="s">
        <v>1618</v>
      </c>
      <c r="F177" s="102"/>
      <c r="G177" s="102" t="s">
        <v>3403</v>
      </c>
      <c r="H177" s="102"/>
      <c r="I177" s="102"/>
      <c r="J177" s="102"/>
      <c r="K177" s="102" t="s">
        <v>12853</v>
      </c>
      <c r="L177" s="102"/>
      <c r="M177" s="102"/>
      <c r="N177" s="102"/>
      <c r="O177" s="102"/>
      <c r="P177" s="102"/>
      <c r="Q177" s="102"/>
      <c r="R177" s="102"/>
      <c r="S177" s="102" t="s">
        <v>5</v>
      </c>
      <c r="T177" s="102" t="s">
        <v>7</v>
      </c>
    </row>
    <row r="178" spans="1:20">
      <c r="A178" s="101" t="s">
        <v>3463</v>
      </c>
      <c r="B178" s="101" t="s">
        <v>3759</v>
      </c>
      <c r="C178" s="101">
        <v>1031</v>
      </c>
      <c r="D178" s="102" t="s">
        <v>12854</v>
      </c>
      <c r="E178" s="102" t="s">
        <v>1618</v>
      </c>
      <c r="F178" s="102"/>
      <c r="G178" s="102" t="s">
        <v>3403</v>
      </c>
      <c r="H178" s="102"/>
      <c r="I178" s="102"/>
      <c r="J178" s="102"/>
      <c r="K178" s="102" t="s">
        <v>12855</v>
      </c>
      <c r="L178" s="102" t="s">
        <v>12856</v>
      </c>
      <c r="M178" s="102"/>
      <c r="N178" s="102"/>
      <c r="O178" s="102"/>
      <c r="P178" s="102"/>
      <c r="Q178" s="102"/>
      <c r="R178" s="102"/>
      <c r="S178" s="102" t="s">
        <v>27</v>
      </c>
      <c r="T178" s="102" t="s">
        <v>7</v>
      </c>
    </row>
    <row r="179" spans="1:20">
      <c r="A179" s="101" t="s">
        <v>3463</v>
      </c>
      <c r="B179" s="101" t="s">
        <v>3759</v>
      </c>
      <c r="C179" s="101">
        <v>1032</v>
      </c>
      <c r="D179" s="102" t="s">
        <v>12857</v>
      </c>
      <c r="E179" s="102" t="s">
        <v>1618</v>
      </c>
      <c r="F179" s="102"/>
      <c r="G179" s="102" t="s">
        <v>3403</v>
      </c>
      <c r="H179" s="102"/>
      <c r="I179" s="102"/>
      <c r="J179" s="102"/>
      <c r="K179" s="102" t="s">
        <v>12858</v>
      </c>
      <c r="L179" s="102"/>
      <c r="M179" s="102"/>
      <c r="N179" s="102"/>
      <c r="O179" s="102"/>
      <c r="P179" s="102"/>
      <c r="Q179" s="102"/>
      <c r="R179" s="102"/>
      <c r="S179" s="102" t="s">
        <v>606</v>
      </c>
      <c r="T179" s="102" t="s">
        <v>7</v>
      </c>
    </row>
    <row r="180" spans="1:20">
      <c r="A180" s="101" t="s">
        <v>3463</v>
      </c>
      <c r="B180" s="101" t="s">
        <v>3759</v>
      </c>
      <c r="C180" s="101">
        <v>1033</v>
      </c>
      <c r="D180" s="102" t="s">
        <v>12859</v>
      </c>
      <c r="E180" s="102" t="s">
        <v>1618</v>
      </c>
      <c r="F180" s="102"/>
      <c r="G180" s="102" t="s">
        <v>3403</v>
      </c>
      <c r="H180" s="102"/>
      <c r="I180" s="102"/>
      <c r="J180" s="102"/>
      <c r="K180" s="102" t="s">
        <v>12860</v>
      </c>
      <c r="L180" s="102"/>
      <c r="M180" s="102"/>
      <c r="N180" s="102"/>
      <c r="O180" s="102"/>
      <c r="P180" s="102"/>
      <c r="Q180" s="102"/>
      <c r="R180" s="102"/>
      <c r="S180" s="102" t="s">
        <v>18</v>
      </c>
      <c r="T180" s="102" t="s">
        <v>7</v>
      </c>
    </row>
    <row r="181" spans="1:20">
      <c r="A181" s="101" t="s">
        <v>3463</v>
      </c>
      <c r="B181" s="101" t="s">
        <v>3759</v>
      </c>
      <c r="C181" s="101">
        <v>1034</v>
      </c>
      <c r="D181" s="102" t="s">
        <v>12861</v>
      </c>
      <c r="E181" s="102" t="s">
        <v>1618</v>
      </c>
      <c r="F181" s="102"/>
      <c r="G181" s="102" t="s">
        <v>3403</v>
      </c>
      <c r="H181" s="102" t="s">
        <v>5180</v>
      </c>
      <c r="I181" s="102"/>
      <c r="J181" s="102"/>
      <c r="K181" s="102" t="s">
        <v>12862</v>
      </c>
      <c r="L181" s="102"/>
      <c r="M181" s="102"/>
      <c r="N181" s="102"/>
      <c r="O181" s="102"/>
      <c r="P181" s="102"/>
      <c r="Q181" s="102"/>
      <c r="R181" s="102"/>
      <c r="S181" s="102" t="s">
        <v>183</v>
      </c>
      <c r="T181" s="102" t="s">
        <v>7</v>
      </c>
    </row>
    <row r="182" spans="1:20">
      <c r="A182" s="101" t="s">
        <v>3463</v>
      </c>
      <c r="B182" s="101" t="s">
        <v>3759</v>
      </c>
      <c r="C182" s="101">
        <v>1035</v>
      </c>
      <c r="D182" s="102" t="s">
        <v>12863</v>
      </c>
      <c r="E182" s="102" t="s">
        <v>1618</v>
      </c>
      <c r="F182" s="102"/>
      <c r="G182" s="102" t="s">
        <v>3403</v>
      </c>
      <c r="H182" s="102"/>
      <c r="I182" s="102"/>
      <c r="J182" s="102"/>
      <c r="K182" s="102" t="s">
        <v>4113</v>
      </c>
      <c r="L182" s="102" t="s">
        <v>12864</v>
      </c>
      <c r="M182" s="102" t="s">
        <v>12865</v>
      </c>
      <c r="N182" s="102"/>
      <c r="O182" s="102"/>
      <c r="P182" s="102"/>
      <c r="Q182" s="102"/>
      <c r="R182" s="102"/>
      <c r="S182" s="102" t="s">
        <v>53</v>
      </c>
      <c r="T182" s="102" t="s">
        <v>7</v>
      </c>
    </row>
    <row r="183" spans="1:20">
      <c r="A183" s="101" t="s">
        <v>3463</v>
      </c>
      <c r="B183" s="101" t="s">
        <v>3759</v>
      </c>
      <c r="C183" s="101">
        <v>1036</v>
      </c>
      <c r="D183" s="102" t="s">
        <v>12866</v>
      </c>
      <c r="E183" s="102" t="s">
        <v>1618</v>
      </c>
      <c r="F183" s="102"/>
      <c r="G183" s="102" t="s">
        <v>3403</v>
      </c>
      <c r="H183" s="102"/>
      <c r="I183" s="102"/>
      <c r="J183" s="102"/>
      <c r="K183" s="102" t="s">
        <v>12867</v>
      </c>
      <c r="L183" s="102"/>
      <c r="M183" s="102"/>
      <c r="N183" s="102"/>
      <c r="O183" s="102"/>
      <c r="P183" s="102"/>
      <c r="Q183" s="102"/>
      <c r="R183" s="102"/>
      <c r="S183" s="102" t="s">
        <v>52</v>
      </c>
      <c r="T183" s="102" t="s">
        <v>7</v>
      </c>
    </row>
    <row r="184" spans="1:20">
      <c r="A184" s="101" t="s">
        <v>3463</v>
      </c>
      <c r="B184" s="101" t="s">
        <v>3759</v>
      </c>
      <c r="C184" s="101">
        <v>1037</v>
      </c>
      <c r="D184" s="102" t="s">
        <v>12868</v>
      </c>
      <c r="E184" s="102" t="s">
        <v>1618</v>
      </c>
      <c r="F184" s="102"/>
      <c r="G184" s="102" t="s">
        <v>3403</v>
      </c>
      <c r="H184" s="102"/>
      <c r="I184" s="102"/>
      <c r="J184" s="102"/>
      <c r="K184" s="102" t="s">
        <v>12869</v>
      </c>
      <c r="L184" s="102"/>
      <c r="M184" s="102"/>
      <c r="N184" s="102"/>
      <c r="O184" s="102"/>
      <c r="P184" s="102"/>
      <c r="Q184" s="102"/>
      <c r="R184" s="102"/>
      <c r="S184" s="102" t="s">
        <v>32</v>
      </c>
      <c r="T184" s="102" t="s">
        <v>7</v>
      </c>
    </row>
    <row r="185" spans="1:20">
      <c r="A185" s="101" t="s">
        <v>3463</v>
      </c>
      <c r="B185" s="101" t="s">
        <v>3759</v>
      </c>
      <c r="C185" s="101">
        <v>1038</v>
      </c>
      <c r="D185" s="102" t="s">
        <v>12870</v>
      </c>
      <c r="E185" s="102" t="s">
        <v>1618</v>
      </c>
      <c r="F185" s="102"/>
      <c r="G185" s="102" t="s">
        <v>3403</v>
      </c>
      <c r="H185" s="102"/>
      <c r="I185" s="102"/>
      <c r="J185" s="102"/>
      <c r="K185" s="102" t="s">
        <v>12871</v>
      </c>
      <c r="L185" s="102"/>
      <c r="M185" s="102"/>
      <c r="N185" s="102"/>
      <c r="O185" s="102"/>
      <c r="P185" s="102"/>
      <c r="Q185" s="102"/>
      <c r="R185" s="102"/>
      <c r="S185" s="102" t="s">
        <v>174</v>
      </c>
      <c r="T185" s="102" t="s">
        <v>7</v>
      </c>
    </row>
    <row r="186" spans="1:20">
      <c r="A186" s="101" t="s">
        <v>3463</v>
      </c>
      <c r="B186" s="101" t="s">
        <v>3759</v>
      </c>
      <c r="C186" s="101">
        <v>1039</v>
      </c>
      <c r="D186" s="102" t="s">
        <v>12872</v>
      </c>
      <c r="E186" s="102" t="s">
        <v>1618</v>
      </c>
      <c r="F186" s="102"/>
      <c r="G186" s="102" t="s">
        <v>3403</v>
      </c>
      <c r="H186" s="102"/>
      <c r="I186" s="102"/>
      <c r="J186" s="102"/>
      <c r="K186" s="102" t="s">
        <v>12873</v>
      </c>
      <c r="L186" s="102"/>
      <c r="M186" s="102"/>
      <c r="N186" s="102"/>
      <c r="O186" s="102"/>
      <c r="P186" s="102"/>
      <c r="Q186" s="102"/>
      <c r="R186" s="102"/>
      <c r="S186" s="102" t="s">
        <v>39</v>
      </c>
      <c r="T186" s="102" t="s">
        <v>7</v>
      </c>
    </row>
    <row r="187" spans="1:20">
      <c r="A187" s="101" t="s">
        <v>3463</v>
      </c>
      <c r="B187" s="101" t="s">
        <v>3759</v>
      </c>
      <c r="C187" s="101">
        <v>1040</v>
      </c>
      <c r="D187" s="102" t="s">
        <v>12874</v>
      </c>
      <c r="E187" s="102" t="s">
        <v>1618</v>
      </c>
      <c r="F187" s="102"/>
      <c r="G187" s="102" t="s">
        <v>3403</v>
      </c>
      <c r="H187" s="102"/>
      <c r="I187" s="102"/>
      <c r="J187" s="102"/>
      <c r="K187" s="102" t="s">
        <v>12875</v>
      </c>
      <c r="L187" s="102" t="s">
        <v>12876</v>
      </c>
      <c r="M187" s="102" t="s">
        <v>3768</v>
      </c>
      <c r="N187" s="102"/>
      <c r="O187" s="102"/>
      <c r="P187" s="102"/>
      <c r="Q187" s="102"/>
      <c r="R187" s="102"/>
      <c r="S187" s="102" t="s">
        <v>10</v>
      </c>
      <c r="T187" s="102" t="s">
        <v>7</v>
      </c>
    </row>
    <row r="188" spans="1:20">
      <c r="A188" s="101" t="s">
        <v>3463</v>
      </c>
      <c r="B188" s="101" t="s">
        <v>3759</v>
      </c>
      <c r="C188" s="101">
        <v>1041</v>
      </c>
      <c r="D188" s="102" t="s">
        <v>12877</v>
      </c>
      <c r="E188" s="102" t="s">
        <v>1618</v>
      </c>
      <c r="F188" s="102"/>
      <c r="G188" s="102" t="s">
        <v>3403</v>
      </c>
      <c r="H188" s="102"/>
      <c r="I188" s="102"/>
      <c r="J188" s="102"/>
      <c r="K188" s="102" t="s">
        <v>12878</v>
      </c>
      <c r="L188" s="102"/>
      <c r="M188" s="102"/>
      <c r="N188" s="102"/>
      <c r="O188" s="102"/>
      <c r="P188" s="102"/>
      <c r="Q188" s="102"/>
      <c r="R188" s="102"/>
      <c r="S188" s="102" t="s">
        <v>17</v>
      </c>
      <c r="T188" s="102" t="s">
        <v>7</v>
      </c>
    </row>
    <row r="189" spans="1:20">
      <c r="A189" s="101" t="s">
        <v>3463</v>
      </c>
      <c r="B189" s="101" t="s">
        <v>3759</v>
      </c>
      <c r="C189" s="101">
        <v>1042</v>
      </c>
      <c r="D189" s="102" t="s">
        <v>12879</v>
      </c>
      <c r="E189" s="102" t="s">
        <v>1620</v>
      </c>
      <c r="F189" s="102"/>
      <c r="G189" s="102" t="s">
        <v>3403</v>
      </c>
      <c r="H189" s="102"/>
      <c r="I189" s="102"/>
      <c r="J189" s="102"/>
      <c r="K189" s="102" t="s">
        <v>12880</v>
      </c>
      <c r="L189" s="102"/>
      <c r="M189" s="102"/>
      <c r="N189" s="102"/>
      <c r="O189" s="102"/>
      <c r="P189" s="102"/>
      <c r="Q189" s="102"/>
      <c r="R189" s="102"/>
      <c r="S189" s="102" t="s">
        <v>28</v>
      </c>
      <c r="T189" s="102" t="s">
        <v>7</v>
      </c>
    </row>
    <row r="190" spans="1:20">
      <c r="A190" s="101" t="s">
        <v>3463</v>
      </c>
      <c r="B190" s="101" t="s">
        <v>3759</v>
      </c>
      <c r="C190" s="101">
        <v>1043</v>
      </c>
      <c r="D190" s="102" t="s">
        <v>12881</v>
      </c>
      <c r="E190" s="102" t="s">
        <v>1620</v>
      </c>
      <c r="F190" s="102"/>
      <c r="G190" s="102" t="s">
        <v>3403</v>
      </c>
      <c r="H190" s="102"/>
      <c r="I190" s="102"/>
      <c r="J190" s="102"/>
      <c r="K190" s="102" t="s">
        <v>12882</v>
      </c>
      <c r="L190" s="102"/>
      <c r="M190" s="102"/>
      <c r="N190" s="102"/>
      <c r="O190" s="102"/>
      <c r="P190" s="102"/>
      <c r="Q190" s="102"/>
      <c r="R190" s="102"/>
      <c r="S190" s="102" t="s">
        <v>35</v>
      </c>
      <c r="T190" s="102" t="s">
        <v>7</v>
      </c>
    </row>
    <row r="191" spans="1:20">
      <c r="A191" s="101" t="s">
        <v>3463</v>
      </c>
      <c r="B191" s="101" t="s">
        <v>3759</v>
      </c>
      <c r="C191" s="101">
        <v>1044</v>
      </c>
      <c r="D191" s="102" t="s">
        <v>12883</v>
      </c>
      <c r="E191" s="102" t="s">
        <v>1620</v>
      </c>
      <c r="F191" s="102"/>
      <c r="G191" s="102" t="s">
        <v>3403</v>
      </c>
      <c r="H191" s="102"/>
      <c r="I191" s="102"/>
      <c r="J191" s="102"/>
      <c r="K191" s="102" t="s">
        <v>4933</v>
      </c>
      <c r="L191" s="102" t="s">
        <v>6172</v>
      </c>
      <c r="M191" s="102"/>
      <c r="N191" s="102"/>
      <c r="O191" s="102"/>
      <c r="P191" s="102"/>
      <c r="Q191" s="102"/>
      <c r="R191" s="102"/>
      <c r="S191" s="102" t="s">
        <v>49</v>
      </c>
      <c r="T191" s="102" t="s">
        <v>7</v>
      </c>
    </row>
    <row r="192" spans="1:20">
      <c r="A192" s="101" t="s">
        <v>3463</v>
      </c>
      <c r="B192" s="101" t="s">
        <v>3759</v>
      </c>
      <c r="C192" s="101">
        <v>1045</v>
      </c>
      <c r="D192" s="102" t="s">
        <v>12884</v>
      </c>
      <c r="E192" s="102" t="s">
        <v>1620</v>
      </c>
      <c r="F192" s="102"/>
      <c r="G192" s="102" t="s">
        <v>3403</v>
      </c>
      <c r="H192" s="102"/>
      <c r="I192" s="102"/>
      <c r="J192" s="102"/>
      <c r="K192" s="102" t="s">
        <v>12885</v>
      </c>
      <c r="L192" s="102"/>
      <c r="M192" s="102"/>
      <c r="N192" s="102"/>
      <c r="O192" s="102"/>
      <c r="P192" s="102"/>
      <c r="Q192" s="102"/>
      <c r="R192" s="102"/>
      <c r="S192" s="102" t="s">
        <v>53</v>
      </c>
      <c r="T192" s="102" t="s">
        <v>7</v>
      </c>
    </row>
    <row r="193" spans="1:20">
      <c r="A193" s="101" t="s">
        <v>3463</v>
      </c>
      <c r="B193" s="101" t="s">
        <v>3759</v>
      </c>
      <c r="C193" s="101">
        <v>1046</v>
      </c>
      <c r="D193" s="102" t="s">
        <v>12886</v>
      </c>
      <c r="E193" s="102" t="s">
        <v>1620</v>
      </c>
      <c r="F193" s="102"/>
      <c r="G193" s="102" t="s">
        <v>3403</v>
      </c>
      <c r="H193" s="102"/>
      <c r="I193" s="102"/>
      <c r="J193" s="102"/>
      <c r="K193" s="102" t="s">
        <v>10347</v>
      </c>
      <c r="L193" s="102" t="s">
        <v>12887</v>
      </c>
      <c r="M193" s="102"/>
      <c r="N193" s="102"/>
      <c r="O193" s="102"/>
      <c r="P193" s="102"/>
      <c r="Q193" s="102"/>
      <c r="R193" s="102"/>
      <c r="S193" s="102" t="s">
        <v>5719</v>
      </c>
      <c r="T193" s="102" t="s">
        <v>7</v>
      </c>
    </row>
    <row r="194" spans="1:20">
      <c r="A194" s="101" t="s">
        <v>3463</v>
      </c>
      <c r="B194" s="101" t="s">
        <v>3759</v>
      </c>
      <c r="C194" s="101">
        <v>1047</v>
      </c>
      <c r="D194" s="102" t="s">
        <v>12888</v>
      </c>
      <c r="E194" s="102" t="s">
        <v>1620</v>
      </c>
      <c r="F194" s="102"/>
      <c r="G194" s="102" t="s">
        <v>3403</v>
      </c>
      <c r="H194" s="102"/>
      <c r="I194" s="102"/>
      <c r="J194" s="102"/>
      <c r="K194" s="102" t="s">
        <v>12675</v>
      </c>
      <c r="L194" s="102"/>
      <c r="M194" s="102"/>
      <c r="N194" s="102"/>
      <c r="O194" s="102"/>
      <c r="P194" s="102"/>
      <c r="Q194" s="102"/>
      <c r="R194" s="102"/>
      <c r="S194" s="102" t="s">
        <v>168</v>
      </c>
      <c r="T194" s="102" t="s">
        <v>7</v>
      </c>
    </row>
    <row r="195" spans="1:20">
      <c r="A195" s="101" t="s">
        <v>3463</v>
      </c>
      <c r="B195" s="101" t="s">
        <v>3759</v>
      </c>
      <c r="C195" s="101">
        <v>1048</v>
      </c>
      <c r="D195" s="102" t="s">
        <v>12889</v>
      </c>
      <c r="E195" s="102" t="s">
        <v>1621</v>
      </c>
      <c r="F195" s="102"/>
      <c r="G195" s="102" t="s">
        <v>3403</v>
      </c>
      <c r="H195" s="102"/>
      <c r="I195" s="102"/>
      <c r="J195" s="102"/>
      <c r="K195" s="102" t="s">
        <v>12890</v>
      </c>
      <c r="L195" s="102"/>
      <c r="M195" s="102"/>
      <c r="N195" s="102"/>
      <c r="O195" s="102"/>
      <c r="P195" s="102"/>
      <c r="Q195" s="102"/>
      <c r="R195" s="102"/>
      <c r="S195" s="102" t="s">
        <v>32</v>
      </c>
      <c r="T195" s="102" t="s">
        <v>7</v>
      </c>
    </row>
    <row r="196" spans="1:20">
      <c r="A196" s="101" t="s">
        <v>3463</v>
      </c>
      <c r="B196" s="101" t="s">
        <v>3759</v>
      </c>
      <c r="C196" s="101">
        <v>1049</v>
      </c>
      <c r="D196" s="102" t="s">
        <v>12891</v>
      </c>
      <c r="E196" s="102" t="s">
        <v>1620</v>
      </c>
      <c r="F196" s="102"/>
      <c r="G196" s="102" t="s">
        <v>3403</v>
      </c>
      <c r="H196" s="102" t="s">
        <v>5670</v>
      </c>
      <c r="I196" s="102"/>
      <c r="J196" s="102"/>
      <c r="K196" s="102" t="s">
        <v>12892</v>
      </c>
      <c r="L196" s="102" t="s">
        <v>12893</v>
      </c>
      <c r="M196" s="102"/>
      <c r="N196" s="102"/>
      <c r="O196" s="102"/>
      <c r="P196" s="102"/>
      <c r="Q196" s="102"/>
      <c r="R196" s="102"/>
      <c r="S196" s="102" t="s">
        <v>604</v>
      </c>
      <c r="T196" s="102" t="s">
        <v>7</v>
      </c>
    </row>
    <row r="197" spans="1:20">
      <c r="A197" s="101" t="s">
        <v>3463</v>
      </c>
      <c r="B197" s="101" t="s">
        <v>3759</v>
      </c>
      <c r="C197" s="101">
        <v>1050</v>
      </c>
      <c r="D197" s="102" t="s">
        <v>12894</v>
      </c>
      <c r="E197" s="102" t="s">
        <v>1621</v>
      </c>
      <c r="F197" s="102"/>
      <c r="G197" s="102" t="s">
        <v>3403</v>
      </c>
      <c r="H197" s="102"/>
      <c r="I197" s="102"/>
      <c r="J197" s="102"/>
      <c r="K197" s="102" t="s">
        <v>4933</v>
      </c>
      <c r="L197" s="102" t="s">
        <v>3768</v>
      </c>
      <c r="M197" s="102"/>
      <c r="N197" s="102"/>
      <c r="O197" s="102"/>
      <c r="P197" s="102"/>
      <c r="Q197" s="102"/>
      <c r="R197" s="102"/>
      <c r="S197" s="102" t="s">
        <v>30</v>
      </c>
      <c r="T197" s="102" t="s">
        <v>7</v>
      </c>
    </row>
    <row r="198" spans="1:20">
      <c r="A198" s="101" t="s">
        <v>3463</v>
      </c>
      <c r="B198" s="101" t="s">
        <v>3759</v>
      </c>
      <c r="C198" s="101">
        <v>1051</v>
      </c>
      <c r="D198" s="102" t="s">
        <v>12895</v>
      </c>
      <c r="E198" s="102" t="s">
        <v>1620</v>
      </c>
      <c r="F198" s="102"/>
      <c r="G198" s="102" t="s">
        <v>3403</v>
      </c>
      <c r="H198" s="102"/>
      <c r="I198" s="102"/>
      <c r="J198" s="102"/>
      <c r="K198" s="102" t="s">
        <v>12203</v>
      </c>
      <c r="L198" s="102"/>
      <c r="M198" s="102"/>
      <c r="N198" s="102"/>
      <c r="O198" s="102"/>
      <c r="P198" s="102"/>
      <c r="Q198" s="102"/>
      <c r="R198" s="102"/>
      <c r="S198" s="102" t="s">
        <v>5719</v>
      </c>
      <c r="T198" s="102" t="s">
        <v>7</v>
      </c>
    </row>
    <row r="199" spans="1:20">
      <c r="A199" s="101" t="s">
        <v>3463</v>
      </c>
      <c r="B199" s="101" t="s">
        <v>3759</v>
      </c>
      <c r="C199" s="101">
        <v>1052</v>
      </c>
      <c r="D199" s="102" t="s">
        <v>12896</v>
      </c>
      <c r="E199" s="102" t="s">
        <v>1620</v>
      </c>
      <c r="F199" s="102"/>
      <c r="G199" s="102" t="s">
        <v>3403</v>
      </c>
      <c r="H199" s="102"/>
      <c r="I199" s="102"/>
      <c r="J199" s="102"/>
      <c r="K199" s="102" t="s">
        <v>12897</v>
      </c>
      <c r="L199" s="102"/>
      <c r="M199" s="102"/>
      <c r="N199" s="102"/>
      <c r="O199" s="102"/>
      <c r="P199" s="102"/>
      <c r="Q199" s="102"/>
      <c r="R199" s="102"/>
      <c r="S199" s="102" t="s">
        <v>50</v>
      </c>
      <c r="T199" s="102" t="s">
        <v>7</v>
      </c>
    </row>
    <row r="200" spans="1:20">
      <c r="A200" s="101" t="s">
        <v>3463</v>
      </c>
      <c r="B200" s="101" t="s">
        <v>3759</v>
      </c>
      <c r="C200" s="101">
        <v>1053</v>
      </c>
      <c r="D200" s="102" t="s">
        <v>12898</v>
      </c>
      <c r="E200" s="102" t="s">
        <v>1620</v>
      </c>
      <c r="F200" s="102"/>
      <c r="G200" s="102" t="s">
        <v>3403</v>
      </c>
      <c r="H200" s="102"/>
      <c r="I200" s="102"/>
      <c r="J200" s="102"/>
      <c r="K200" s="102" t="s">
        <v>12899</v>
      </c>
      <c r="L200" s="102"/>
      <c r="M200" s="102"/>
      <c r="N200" s="102"/>
      <c r="O200" s="102"/>
      <c r="P200" s="102"/>
      <c r="Q200" s="102"/>
      <c r="R200" s="102"/>
      <c r="S200" s="102" t="s">
        <v>14</v>
      </c>
      <c r="T200" s="102" t="s">
        <v>7</v>
      </c>
    </row>
    <row r="201" spans="1:20">
      <c r="A201" s="101" t="s">
        <v>3463</v>
      </c>
      <c r="B201" s="101" t="s">
        <v>3759</v>
      </c>
      <c r="C201" s="101">
        <v>1054</v>
      </c>
      <c r="D201" s="102" t="s">
        <v>12900</v>
      </c>
      <c r="E201" s="102" t="s">
        <v>1763</v>
      </c>
      <c r="F201" s="102"/>
      <c r="G201" s="102" t="s">
        <v>3403</v>
      </c>
      <c r="H201" s="102" t="s">
        <v>5670</v>
      </c>
      <c r="I201" s="102"/>
      <c r="J201" s="102"/>
      <c r="K201" s="102" t="s">
        <v>12901</v>
      </c>
      <c r="L201" s="102" t="s">
        <v>12902</v>
      </c>
      <c r="M201" s="102"/>
      <c r="N201" s="102"/>
      <c r="O201" s="102"/>
      <c r="P201" s="102"/>
      <c r="Q201" s="102"/>
      <c r="R201" s="102"/>
      <c r="S201" s="102" t="s">
        <v>607</v>
      </c>
      <c r="T201" s="102" t="s">
        <v>7</v>
      </c>
    </row>
    <row r="202" spans="1:20">
      <c r="A202" s="101" t="s">
        <v>3463</v>
      </c>
      <c r="B202" s="101" t="s">
        <v>3759</v>
      </c>
      <c r="C202" s="101">
        <v>1055</v>
      </c>
      <c r="D202" s="102" t="s">
        <v>12903</v>
      </c>
      <c r="E202" s="102" t="s">
        <v>1763</v>
      </c>
      <c r="F202" s="102"/>
      <c r="G202" s="102" t="s">
        <v>3403</v>
      </c>
      <c r="H202" s="102"/>
      <c r="I202" s="102"/>
      <c r="J202" s="102"/>
      <c r="K202" s="102" t="s">
        <v>12904</v>
      </c>
      <c r="L202" s="102"/>
      <c r="M202" s="102"/>
      <c r="N202" s="102"/>
      <c r="O202" s="102"/>
      <c r="P202" s="102"/>
      <c r="Q202" s="102"/>
      <c r="R202" s="102"/>
      <c r="S202" s="102" t="s">
        <v>177</v>
      </c>
      <c r="T202" s="102" t="s">
        <v>7</v>
      </c>
    </row>
    <row r="203" spans="1:20">
      <c r="A203" s="101" t="s">
        <v>3463</v>
      </c>
      <c r="B203" s="101" t="s">
        <v>3759</v>
      </c>
      <c r="C203" s="101">
        <v>1056</v>
      </c>
      <c r="D203" s="102" t="s">
        <v>12905</v>
      </c>
      <c r="E203" s="102" t="s">
        <v>1622</v>
      </c>
      <c r="F203" s="102"/>
      <c r="G203" s="102" t="s">
        <v>3445</v>
      </c>
      <c r="H203" s="102" t="s">
        <v>13415</v>
      </c>
      <c r="I203" s="102"/>
      <c r="J203" s="102"/>
      <c r="K203" s="102" t="s">
        <v>12906</v>
      </c>
      <c r="L203" s="102" t="s">
        <v>12907</v>
      </c>
      <c r="M203" s="102"/>
      <c r="N203" s="102"/>
      <c r="O203" s="102"/>
      <c r="P203" s="102"/>
      <c r="Q203" s="102"/>
      <c r="R203" s="102"/>
      <c r="S203" s="102" t="s">
        <v>768</v>
      </c>
      <c r="T203" s="102" t="s">
        <v>7</v>
      </c>
    </row>
    <row r="204" spans="1:20">
      <c r="A204" s="101" t="s">
        <v>3463</v>
      </c>
      <c r="B204" s="101" t="s">
        <v>3759</v>
      </c>
      <c r="C204" s="101">
        <v>1057</v>
      </c>
      <c r="D204" s="102" t="s">
        <v>12908</v>
      </c>
      <c r="E204" s="102" t="s">
        <v>1622</v>
      </c>
      <c r="F204" s="102"/>
      <c r="G204" s="102" t="s">
        <v>3403</v>
      </c>
      <c r="H204" s="102" t="s">
        <v>5180</v>
      </c>
      <c r="I204" s="102"/>
      <c r="J204" s="102"/>
      <c r="K204" s="102" t="s">
        <v>12909</v>
      </c>
      <c r="L204" s="102"/>
      <c r="M204" s="102"/>
      <c r="N204" s="102"/>
      <c r="O204" s="102"/>
      <c r="P204" s="102"/>
      <c r="Q204" s="102"/>
      <c r="R204" s="102"/>
      <c r="S204" s="102" t="s">
        <v>175</v>
      </c>
      <c r="T204" s="102" t="s">
        <v>7</v>
      </c>
    </row>
    <row r="205" spans="1:20">
      <c r="A205" s="101" t="s">
        <v>3463</v>
      </c>
      <c r="B205" s="101" t="s">
        <v>3759</v>
      </c>
      <c r="C205" s="101">
        <v>1058</v>
      </c>
      <c r="D205" s="102" t="s">
        <v>12910</v>
      </c>
      <c r="E205" s="102" t="s">
        <v>1622</v>
      </c>
      <c r="F205" s="102"/>
      <c r="G205" s="102" t="s">
        <v>3403</v>
      </c>
      <c r="H205" s="102"/>
      <c r="I205" s="102"/>
      <c r="J205" s="102"/>
      <c r="K205" s="102" t="s">
        <v>12911</v>
      </c>
      <c r="L205" s="102"/>
      <c r="M205" s="102"/>
      <c r="N205" s="102"/>
      <c r="O205" s="102"/>
      <c r="P205" s="102"/>
      <c r="Q205" s="102"/>
      <c r="R205" s="102"/>
      <c r="S205" s="102" t="s">
        <v>32</v>
      </c>
      <c r="T205" s="102" t="s">
        <v>7</v>
      </c>
    </row>
    <row r="206" spans="1:20">
      <c r="A206" s="101" t="s">
        <v>3463</v>
      </c>
      <c r="B206" s="101" t="s">
        <v>3759</v>
      </c>
      <c r="C206" s="101">
        <v>1059</v>
      </c>
      <c r="D206" s="102" t="s">
        <v>12912</v>
      </c>
      <c r="E206" s="102" t="s">
        <v>12207</v>
      </c>
      <c r="F206" s="102"/>
      <c r="G206" s="102" t="s">
        <v>3403</v>
      </c>
      <c r="H206" s="102"/>
      <c r="I206" s="102"/>
      <c r="J206" s="102"/>
      <c r="K206" s="102" t="s">
        <v>1232</v>
      </c>
      <c r="L206" s="102" t="s">
        <v>12913</v>
      </c>
      <c r="M206" s="102"/>
      <c r="N206" s="102"/>
      <c r="O206" s="102"/>
      <c r="P206" s="102"/>
      <c r="Q206" s="102"/>
      <c r="R206" s="102"/>
      <c r="S206" s="102" t="s">
        <v>38</v>
      </c>
      <c r="T206" s="102" t="s">
        <v>7</v>
      </c>
    </row>
    <row r="207" spans="1:20">
      <c r="A207" s="101" t="s">
        <v>3463</v>
      </c>
      <c r="B207" s="101" t="s">
        <v>3759</v>
      </c>
      <c r="C207" s="101">
        <v>1060</v>
      </c>
      <c r="D207" s="102" t="s">
        <v>12914</v>
      </c>
      <c r="E207" s="102" t="s">
        <v>1764</v>
      </c>
      <c r="F207" s="102"/>
      <c r="G207" s="102" t="s">
        <v>3403</v>
      </c>
      <c r="H207" s="102" t="s">
        <v>5670</v>
      </c>
      <c r="I207" s="102"/>
      <c r="J207" s="102"/>
      <c r="K207" s="102" t="s">
        <v>12915</v>
      </c>
      <c r="L207" s="102" t="s">
        <v>12916</v>
      </c>
      <c r="M207" s="102"/>
      <c r="N207" s="102"/>
      <c r="O207" s="102"/>
      <c r="P207" s="102"/>
      <c r="Q207" s="102"/>
      <c r="R207" s="102"/>
      <c r="S207" s="102" t="s">
        <v>607</v>
      </c>
      <c r="T207" s="102" t="s">
        <v>7</v>
      </c>
    </row>
    <row r="208" spans="1:20" ht="15" customHeight="1">
      <c r="A208" s="101" t="s">
        <v>3465</v>
      </c>
      <c r="B208" s="101" t="s">
        <v>3759</v>
      </c>
      <c r="C208" s="101">
        <v>2001</v>
      </c>
      <c r="D208" s="101" t="s">
        <v>12924</v>
      </c>
      <c r="E208" s="102" t="s">
        <v>12576</v>
      </c>
      <c r="F208" s="102"/>
      <c r="G208" s="102" t="s">
        <v>3403</v>
      </c>
      <c r="H208" s="102"/>
      <c r="I208" s="102"/>
      <c r="J208" s="102"/>
      <c r="K208" s="102" t="s">
        <v>12925</v>
      </c>
      <c r="L208" s="102" t="s">
        <v>12926</v>
      </c>
      <c r="M208" s="102"/>
      <c r="N208" s="102"/>
      <c r="O208" s="102"/>
      <c r="P208" s="102"/>
      <c r="Q208" s="102"/>
      <c r="R208" s="102"/>
      <c r="S208" s="102" t="s">
        <v>34</v>
      </c>
      <c r="T208" s="102" t="s">
        <v>9</v>
      </c>
    </row>
    <row r="209" spans="1:20" ht="15" customHeight="1">
      <c r="A209" s="101" t="s">
        <v>3465</v>
      </c>
      <c r="B209" s="101" t="s">
        <v>3759</v>
      </c>
      <c r="C209" s="101">
        <v>2003</v>
      </c>
      <c r="D209" s="102" t="s">
        <v>12927</v>
      </c>
      <c r="E209" s="102" t="s">
        <v>1606</v>
      </c>
      <c r="F209" s="102"/>
      <c r="G209" s="102" t="s">
        <v>3403</v>
      </c>
      <c r="H209" s="102"/>
      <c r="I209" s="102"/>
      <c r="J209" s="102"/>
      <c r="K209" s="102" t="s">
        <v>12928</v>
      </c>
      <c r="L209" s="102" t="s">
        <v>12929</v>
      </c>
      <c r="M209" s="102"/>
      <c r="N209" s="102"/>
      <c r="O209" s="102"/>
      <c r="P209" s="102"/>
      <c r="Q209" s="102"/>
      <c r="R209" s="102"/>
      <c r="S209" s="102" t="s">
        <v>180</v>
      </c>
      <c r="T209" s="102" t="s">
        <v>9</v>
      </c>
    </row>
    <row r="210" spans="1:20" ht="15" customHeight="1">
      <c r="A210" s="101" t="s">
        <v>3465</v>
      </c>
      <c r="B210" s="101" t="s">
        <v>3759</v>
      </c>
      <c r="C210" s="101">
        <v>2004</v>
      </c>
      <c r="D210" s="102" t="s">
        <v>12930</v>
      </c>
      <c r="E210" s="102" t="s">
        <v>1611</v>
      </c>
      <c r="F210" s="102"/>
      <c r="G210" s="102" t="s">
        <v>3403</v>
      </c>
      <c r="H210" s="102"/>
      <c r="I210" s="102"/>
      <c r="J210" s="102"/>
      <c r="K210" s="102" t="s">
        <v>12931</v>
      </c>
      <c r="L210" s="102" t="s">
        <v>12932</v>
      </c>
      <c r="M210" s="102"/>
      <c r="N210" s="102"/>
      <c r="O210" s="102"/>
      <c r="P210" s="102"/>
      <c r="Q210" s="102"/>
      <c r="R210" s="102"/>
      <c r="S210" s="102" t="s">
        <v>27</v>
      </c>
      <c r="T210" s="102" t="s">
        <v>9</v>
      </c>
    </row>
    <row r="211" spans="1:20" ht="15" customHeight="1">
      <c r="A211" s="101" t="s">
        <v>3465</v>
      </c>
      <c r="B211" s="101" t="s">
        <v>3759</v>
      </c>
      <c r="C211" s="101">
        <v>2005</v>
      </c>
      <c r="D211" s="102" t="s">
        <v>12933</v>
      </c>
      <c r="E211" s="102" t="s">
        <v>12934</v>
      </c>
      <c r="F211" s="102"/>
      <c r="G211" s="102" t="s">
        <v>3403</v>
      </c>
      <c r="H211" s="102"/>
      <c r="I211" s="102"/>
      <c r="J211" s="102"/>
      <c r="K211" s="102" t="s">
        <v>11957</v>
      </c>
      <c r="L211" s="102" t="s">
        <v>12935</v>
      </c>
      <c r="M211" s="102" t="s">
        <v>12936</v>
      </c>
      <c r="N211" s="102"/>
      <c r="O211" s="102"/>
      <c r="P211" s="102"/>
      <c r="Q211" s="102"/>
      <c r="R211" s="102"/>
      <c r="S211" s="102" t="s">
        <v>604</v>
      </c>
      <c r="T211" s="102" t="s">
        <v>9</v>
      </c>
    </row>
    <row r="212" spans="1:20" ht="15" customHeight="1">
      <c r="A212" s="101" t="s">
        <v>3465</v>
      </c>
      <c r="B212" s="101" t="s">
        <v>3759</v>
      </c>
      <c r="C212" s="101">
        <v>2006</v>
      </c>
      <c r="D212" s="102" t="s">
        <v>12937</v>
      </c>
      <c r="E212" s="102" t="s">
        <v>12934</v>
      </c>
      <c r="F212" s="102"/>
      <c r="G212" s="102" t="s">
        <v>3403</v>
      </c>
      <c r="H212" s="102"/>
      <c r="I212" s="102"/>
      <c r="J212" s="102"/>
      <c r="K212" s="102" t="s">
        <v>12938</v>
      </c>
      <c r="L212" s="102"/>
      <c r="M212" s="102"/>
      <c r="N212" s="102"/>
      <c r="O212" s="102"/>
      <c r="P212" s="102"/>
      <c r="Q212" s="102"/>
      <c r="R212" s="102"/>
      <c r="S212" s="102" t="s">
        <v>31</v>
      </c>
      <c r="T212" s="102" t="s">
        <v>9</v>
      </c>
    </row>
    <row r="213" spans="1:20" ht="15" customHeight="1">
      <c r="A213" s="101" t="s">
        <v>3465</v>
      </c>
      <c r="B213" s="101" t="s">
        <v>3759</v>
      </c>
      <c r="C213" s="101">
        <v>2007</v>
      </c>
      <c r="D213" s="102" t="s">
        <v>12939</v>
      </c>
      <c r="E213" s="102" t="s">
        <v>1611</v>
      </c>
      <c r="F213" s="102"/>
      <c r="G213" s="102" t="s">
        <v>3403</v>
      </c>
      <c r="H213" s="102"/>
      <c r="I213" s="102"/>
      <c r="J213" s="102"/>
      <c r="K213" s="102" t="s">
        <v>12940</v>
      </c>
      <c r="L213" s="102"/>
      <c r="M213" s="102"/>
      <c r="N213" s="102"/>
      <c r="O213" s="102"/>
      <c r="P213" s="102"/>
      <c r="Q213" s="102"/>
      <c r="R213" s="102"/>
      <c r="S213" s="102" t="s">
        <v>35</v>
      </c>
      <c r="T213" s="102" t="s">
        <v>9</v>
      </c>
    </row>
    <row r="214" spans="1:20" ht="15" customHeight="1">
      <c r="A214" s="101" t="s">
        <v>3465</v>
      </c>
      <c r="B214" s="101" t="s">
        <v>3759</v>
      </c>
      <c r="C214" s="101">
        <v>2008</v>
      </c>
      <c r="D214" s="102" t="s">
        <v>12941</v>
      </c>
      <c r="E214" s="102" t="s">
        <v>12934</v>
      </c>
      <c r="F214" s="102"/>
      <c r="G214" s="102" t="s">
        <v>3403</v>
      </c>
      <c r="H214" s="102" t="s">
        <v>5180</v>
      </c>
      <c r="I214" s="102"/>
      <c r="J214" s="102"/>
      <c r="K214" s="102" t="s">
        <v>12942</v>
      </c>
      <c r="L214" s="102" t="s">
        <v>12943</v>
      </c>
      <c r="M214" s="102"/>
      <c r="N214" s="102"/>
      <c r="O214" s="102"/>
      <c r="P214" s="102"/>
      <c r="Q214" s="102"/>
      <c r="R214" s="102"/>
      <c r="S214" s="102" t="s">
        <v>183</v>
      </c>
      <c r="T214" s="102" t="s">
        <v>9</v>
      </c>
    </row>
    <row r="215" spans="1:20" ht="15" customHeight="1">
      <c r="A215" s="101" t="s">
        <v>3465</v>
      </c>
      <c r="B215" s="101" t="s">
        <v>3759</v>
      </c>
      <c r="C215" s="101">
        <v>2009</v>
      </c>
      <c r="D215" s="102" t="s">
        <v>12944</v>
      </c>
      <c r="E215" s="102" t="s">
        <v>1618</v>
      </c>
      <c r="F215" s="102"/>
      <c r="G215" s="102" t="s">
        <v>3403</v>
      </c>
      <c r="H215" s="102"/>
      <c r="I215" s="102"/>
      <c r="J215" s="102"/>
      <c r="K215" s="102" t="s">
        <v>12945</v>
      </c>
      <c r="L215" s="102"/>
      <c r="M215" s="102"/>
      <c r="N215" s="102"/>
      <c r="O215" s="102"/>
      <c r="P215" s="102"/>
      <c r="Q215" s="102"/>
      <c r="R215" s="102"/>
      <c r="S215" s="102" t="s">
        <v>170</v>
      </c>
      <c r="T215" s="102" t="s">
        <v>9</v>
      </c>
    </row>
    <row r="216" spans="1:20" ht="15" customHeight="1">
      <c r="A216" s="101" t="s">
        <v>3465</v>
      </c>
      <c r="B216" s="101" t="s">
        <v>3759</v>
      </c>
      <c r="C216" s="101">
        <v>2010</v>
      </c>
      <c r="D216" s="102" t="s">
        <v>12946</v>
      </c>
      <c r="E216" s="102" t="s">
        <v>1618</v>
      </c>
      <c r="F216" s="102"/>
      <c r="G216" s="102" t="s">
        <v>3403</v>
      </c>
      <c r="H216" s="102"/>
      <c r="I216" s="102"/>
      <c r="J216" s="102"/>
      <c r="K216" s="102" t="s">
        <v>12947</v>
      </c>
      <c r="L216" s="102"/>
      <c r="M216" s="102"/>
      <c r="N216" s="102"/>
      <c r="O216" s="102"/>
      <c r="P216" s="102"/>
      <c r="Q216" s="102"/>
      <c r="R216" s="102"/>
      <c r="S216" s="102" t="s">
        <v>171</v>
      </c>
      <c r="T216" s="102" t="s">
        <v>9</v>
      </c>
    </row>
    <row r="217" spans="1:20" ht="15" customHeight="1">
      <c r="A217" s="101" t="s">
        <v>3465</v>
      </c>
      <c r="B217" s="101" t="s">
        <v>3759</v>
      </c>
      <c r="C217" s="101">
        <v>2012</v>
      </c>
      <c r="D217" s="102" t="s">
        <v>12948</v>
      </c>
      <c r="E217" s="102" t="s">
        <v>12949</v>
      </c>
      <c r="F217" s="102"/>
      <c r="G217" s="102" t="s">
        <v>3403</v>
      </c>
      <c r="H217" s="102"/>
      <c r="I217" s="102"/>
      <c r="J217" s="102"/>
      <c r="K217" s="102" t="s">
        <v>5014</v>
      </c>
      <c r="L217" s="102" t="s">
        <v>12950</v>
      </c>
      <c r="M217" s="102"/>
      <c r="N217" s="102"/>
      <c r="O217" s="102"/>
      <c r="P217" s="102"/>
      <c r="Q217" s="102"/>
      <c r="R217" s="102"/>
      <c r="S217" s="102" t="s">
        <v>172</v>
      </c>
      <c r="T217" s="102" t="s">
        <v>9</v>
      </c>
    </row>
    <row r="218" spans="1:20" ht="15" customHeight="1">
      <c r="A218" s="101" t="s">
        <v>3465</v>
      </c>
      <c r="B218" s="101" t="s">
        <v>3759</v>
      </c>
      <c r="C218" s="101">
        <v>2013</v>
      </c>
      <c r="D218" s="102" t="s">
        <v>12951</v>
      </c>
      <c r="E218" s="102" t="s">
        <v>1688</v>
      </c>
      <c r="F218" s="102"/>
      <c r="G218" s="102" t="s">
        <v>3403</v>
      </c>
      <c r="H218" s="102"/>
      <c r="I218" s="102"/>
      <c r="J218" s="102"/>
      <c r="K218" s="102" t="s">
        <v>12952</v>
      </c>
      <c r="L218" s="102"/>
      <c r="M218" s="102"/>
      <c r="N218" s="102"/>
      <c r="O218" s="102"/>
      <c r="P218" s="102"/>
      <c r="Q218" s="102"/>
      <c r="R218" s="102"/>
      <c r="S218" s="102" t="s">
        <v>171</v>
      </c>
      <c r="T218" s="102" t="s">
        <v>9</v>
      </c>
    </row>
    <row r="219" spans="1:20" ht="15" customHeight="1">
      <c r="A219" s="101" t="s">
        <v>3465</v>
      </c>
      <c r="B219" s="101" t="s">
        <v>3759</v>
      </c>
      <c r="C219" s="101">
        <v>2014</v>
      </c>
      <c r="D219" s="102" t="s">
        <v>12953</v>
      </c>
      <c r="E219" s="102" t="s">
        <v>1620</v>
      </c>
      <c r="F219" s="102"/>
      <c r="G219" s="102" t="s">
        <v>3403</v>
      </c>
      <c r="H219" s="102"/>
      <c r="I219" s="102"/>
      <c r="J219" s="102"/>
      <c r="K219" s="102" t="s">
        <v>12954</v>
      </c>
      <c r="L219" s="102"/>
      <c r="M219" s="102"/>
      <c r="N219" s="102"/>
      <c r="O219" s="102"/>
      <c r="P219" s="102"/>
      <c r="Q219" s="102"/>
      <c r="R219" s="102"/>
      <c r="S219" s="102" t="s">
        <v>32</v>
      </c>
      <c r="T219" s="102" t="s">
        <v>9</v>
      </c>
    </row>
    <row r="220" spans="1:20" ht="15" customHeight="1">
      <c r="A220" s="101" t="s">
        <v>3465</v>
      </c>
      <c r="B220" s="101" t="s">
        <v>3759</v>
      </c>
      <c r="C220" s="101">
        <v>2015</v>
      </c>
      <c r="D220" s="102" t="s">
        <v>12955</v>
      </c>
      <c r="E220" s="102" t="s">
        <v>1621</v>
      </c>
      <c r="F220" s="102"/>
      <c r="G220" s="102" t="s">
        <v>3403</v>
      </c>
      <c r="H220" s="102"/>
      <c r="I220" s="102"/>
      <c r="J220" s="102"/>
      <c r="K220" s="102" t="s">
        <v>12956</v>
      </c>
      <c r="L220" s="102" t="s">
        <v>12957</v>
      </c>
      <c r="M220" s="102"/>
      <c r="N220" s="102"/>
      <c r="O220" s="102"/>
      <c r="P220" s="102"/>
      <c r="Q220" s="102"/>
      <c r="R220" s="102"/>
      <c r="S220" s="102" t="s">
        <v>170</v>
      </c>
      <c r="T220" s="102" t="s">
        <v>9</v>
      </c>
    </row>
    <row r="221" spans="1:20" ht="15" customHeight="1">
      <c r="A221" s="101" t="s">
        <v>3465</v>
      </c>
      <c r="B221" s="101" t="s">
        <v>3759</v>
      </c>
      <c r="C221" s="101">
        <v>2016</v>
      </c>
      <c r="D221" s="102" t="s">
        <v>12958</v>
      </c>
      <c r="E221" s="102" t="s">
        <v>1620</v>
      </c>
      <c r="F221" s="102"/>
      <c r="G221" s="102" t="s">
        <v>3403</v>
      </c>
      <c r="H221" s="102"/>
      <c r="I221" s="102"/>
      <c r="J221" s="102"/>
      <c r="K221" s="102" t="s">
        <v>7010</v>
      </c>
      <c r="L221" s="102" t="s">
        <v>12959</v>
      </c>
      <c r="M221" s="102"/>
      <c r="N221" s="102"/>
      <c r="O221" s="102"/>
      <c r="P221" s="102"/>
      <c r="Q221" s="102"/>
      <c r="R221" s="102"/>
      <c r="S221" s="102" t="s">
        <v>31</v>
      </c>
      <c r="T221" s="102" t="s">
        <v>9</v>
      </c>
    </row>
    <row r="222" spans="1:20" ht="15" customHeight="1">
      <c r="A222" s="101" t="s">
        <v>3465</v>
      </c>
      <c r="B222" s="101" t="s">
        <v>3759</v>
      </c>
      <c r="C222" s="101">
        <v>2017</v>
      </c>
      <c r="D222" s="102" t="s">
        <v>12960</v>
      </c>
      <c r="E222" s="102" t="s">
        <v>1620</v>
      </c>
      <c r="F222" s="102"/>
      <c r="G222" s="102" t="s">
        <v>3403</v>
      </c>
      <c r="H222" s="102"/>
      <c r="I222" s="102"/>
      <c r="J222" s="102"/>
      <c r="K222" s="102" t="s">
        <v>12961</v>
      </c>
      <c r="L222" s="102"/>
      <c r="M222" s="102"/>
      <c r="N222" s="102"/>
      <c r="O222" s="102"/>
      <c r="P222" s="102"/>
      <c r="Q222" s="102"/>
      <c r="R222" s="102"/>
      <c r="S222" s="102" t="s">
        <v>173</v>
      </c>
      <c r="T222" s="102" t="s">
        <v>9</v>
      </c>
    </row>
    <row r="223" spans="1:20" ht="15" customHeight="1">
      <c r="A223" s="101" t="s">
        <v>3465</v>
      </c>
      <c r="B223" s="101" t="s">
        <v>3759</v>
      </c>
      <c r="C223" s="101">
        <v>2018</v>
      </c>
      <c r="D223" s="102" t="s">
        <v>12962</v>
      </c>
      <c r="E223" s="102" t="s">
        <v>1620</v>
      </c>
      <c r="F223" s="102"/>
      <c r="G223" s="102" t="s">
        <v>3403</v>
      </c>
      <c r="H223" s="102"/>
      <c r="I223" s="102"/>
      <c r="J223" s="102"/>
      <c r="K223" s="102" t="s">
        <v>12963</v>
      </c>
      <c r="L223" s="102"/>
      <c r="M223" s="102"/>
      <c r="N223" s="102"/>
      <c r="O223" s="102"/>
      <c r="P223" s="102"/>
      <c r="Q223" s="102"/>
      <c r="R223" s="102"/>
      <c r="S223" s="102" t="s">
        <v>606</v>
      </c>
      <c r="T223" s="102" t="s">
        <v>9</v>
      </c>
    </row>
    <row r="224" spans="1:20" ht="15" customHeight="1">
      <c r="A224" s="101" t="s">
        <v>3465</v>
      </c>
      <c r="B224" s="101" t="s">
        <v>3759</v>
      </c>
      <c r="C224" s="101">
        <v>2019</v>
      </c>
      <c r="D224" s="102" t="s">
        <v>12964</v>
      </c>
      <c r="E224" s="102" t="s">
        <v>1621</v>
      </c>
      <c r="F224" s="102"/>
      <c r="G224" s="102" t="s">
        <v>3403</v>
      </c>
      <c r="H224" s="102"/>
      <c r="I224" s="102"/>
      <c r="J224" s="102"/>
      <c r="K224" s="102" t="s">
        <v>12965</v>
      </c>
      <c r="L224" s="102"/>
      <c r="M224" s="102"/>
      <c r="N224" s="102"/>
      <c r="O224" s="102"/>
      <c r="P224" s="102"/>
      <c r="Q224" s="102"/>
      <c r="R224" s="102"/>
      <c r="S224" s="102" t="s">
        <v>46</v>
      </c>
      <c r="T224" s="102" t="s">
        <v>9</v>
      </c>
    </row>
    <row r="225" spans="1:20" ht="15" customHeight="1">
      <c r="A225" s="101" t="s">
        <v>3465</v>
      </c>
      <c r="B225" s="101" t="s">
        <v>3759</v>
      </c>
      <c r="C225" s="101">
        <v>2020</v>
      </c>
      <c r="D225" s="102" t="s">
        <v>12966</v>
      </c>
      <c r="E225" s="102" t="s">
        <v>12757</v>
      </c>
      <c r="F225" s="102"/>
      <c r="G225" s="102" t="s">
        <v>3403</v>
      </c>
      <c r="H225" s="102"/>
      <c r="I225" s="102"/>
      <c r="J225" s="102"/>
      <c r="K225" s="102" t="s">
        <v>12967</v>
      </c>
      <c r="L225" s="102"/>
      <c r="M225" s="102"/>
      <c r="N225" s="102"/>
      <c r="O225" s="102"/>
      <c r="P225" s="102"/>
      <c r="Q225" s="102"/>
      <c r="R225" s="102"/>
      <c r="S225" s="102" t="s">
        <v>40</v>
      </c>
      <c r="T225" s="102" t="s">
        <v>9</v>
      </c>
    </row>
    <row r="226" spans="1:20" ht="15" customHeight="1">
      <c r="A226" s="101" t="s">
        <v>3465</v>
      </c>
      <c r="B226" s="101" t="s">
        <v>3759</v>
      </c>
      <c r="C226" s="101">
        <v>2021</v>
      </c>
      <c r="D226" s="102" t="s">
        <v>12968</v>
      </c>
      <c r="E226" s="102" t="s">
        <v>1763</v>
      </c>
      <c r="F226" s="102"/>
      <c r="G226" s="102" t="s">
        <v>3403</v>
      </c>
      <c r="H226" s="102"/>
      <c r="I226" s="102"/>
      <c r="J226" s="102"/>
      <c r="K226" s="102" t="s">
        <v>12969</v>
      </c>
      <c r="L226" s="102"/>
      <c r="M226" s="102"/>
      <c r="N226" s="102"/>
      <c r="O226" s="102"/>
      <c r="P226" s="102"/>
      <c r="Q226" s="102"/>
      <c r="R226" s="102"/>
      <c r="S226" s="102" t="s">
        <v>3747</v>
      </c>
      <c r="T226" s="102" t="s">
        <v>9</v>
      </c>
    </row>
    <row r="227" spans="1:20" ht="15" customHeight="1">
      <c r="A227" s="101" t="s">
        <v>3465</v>
      </c>
      <c r="B227" s="101" t="s">
        <v>3759</v>
      </c>
      <c r="C227" s="101">
        <v>2022</v>
      </c>
      <c r="D227" s="102" t="s">
        <v>12905</v>
      </c>
      <c r="E227" s="102" t="s">
        <v>1622</v>
      </c>
      <c r="F227" s="102"/>
      <c r="G227" s="102" t="s">
        <v>3445</v>
      </c>
      <c r="H227" s="102" t="s">
        <v>13415</v>
      </c>
      <c r="I227" s="102"/>
      <c r="J227" s="102"/>
      <c r="K227" s="102" t="s">
        <v>12906</v>
      </c>
      <c r="L227" s="102" t="s">
        <v>12907</v>
      </c>
      <c r="M227" s="102"/>
      <c r="N227" s="102"/>
      <c r="O227" s="102"/>
      <c r="P227" s="102"/>
      <c r="Q227" s="102"/>
      <c r="R227" s="102"/>
      <c r="S227" s="102" t="s">
        <v>3119</v>
      </c>
      <c r="T227" s="102" t="s">
        <v>9</v>
      </c>
    </row>
    <row r="228" spans="1:20" ht="15" customHeight="1">
      <c r="A228" s="101" t="s">
        <v>3465</v>
      </c>
      <c r="B228" s="101" t="s">
        <v>3759</v>
      </c>
      <c r="C228" s="101">
        <v>2023</v>
      </c>
      <c r="D228" s="102" t="s">
        <v>12970</v>
      </c>
      <c r="E228" s="102" t="s">
        <v>1764</v>
      </c>
      <c r="F228" s="102"/>
      <c r="G228" s="102" t="s">
        <v>3403</v>
      </c>
      <c r="H228" s="102" t="s">
        <v>5670</v>
      </c>
      <c r="I228" s="102"/>
      <c r="J228" s="102"/>
      <c r="K228" s="102" t="s">
        <v>12971</v>
      </c>
      <c r="L228" s="102" t="s">
        <v>12972</v>
      </c>
      <c r="M228" s="102"/>
      <c r="N228" s="102"/>
      <c r="O228" s="102"/>
      <c r="P228" s="102"/>
      <c r="Q228" s="102"/>
      <c r="R228" s="102"/>
      <c r="S228" s="102" t="s">
        <v>607</v>
      </c>
      <c r="T228" s="102" t="s">
        <v>9</v>
      </c>
    </row>
    <row r="229" spans="1:20">
      <c r="A229" s="101" t="s">
        <v>4053</v>
      </c>
      <c r="B229" s="101" t="s">
        <v>3759</v>
      </c>
      <c r="C229" s="101">
        <v>4002</v>
      </c>
      <c r="D229" s="102" t="s">
        <v>12917</v>
      </c>
      <c r="E229" s="102" t="s">
        <v>1606</v>
      </c>
      <c r="F229" s="102"/>
      <c r="G229" s="102" t="s">
        <v>3403</v>
      </c>
      <c r="H229" s="102"/>
      <c r="I229" s="102"/>
      <c r="J229" s="102"/>
      <c r="K229" s="102" t="s">
        <v>12918</v>
      </c>
      <c r="L229" s="102"/>
      <c r="M229" s="102"/>
      <c r="N229" s="102"/>
      <c r="O229" s="102"/>
      <c r="P229" s="102"/>
      <c r="Q229" s="102"/>
      <c r="R229" s="102"/>
      <c r="S229" s="102" t="s">
        <v>3999</v>
      </c>
      <c r="T229" s="102" t="s">
        <v>4000</v>
      </c>
    </row>
    <row r="230" spans="1:20">
      <c r="A230" s="101" t="s">
        <v>4053</v>
      </c>
      <c r="B230" s="101" t="s">
        <v>3759</v>
      </c>
      <c r="C230" s="101">
        <v>4011</v>
      </c>
      <c r="D230" s="102" t="s">
        <v>12919</v>
      </c>
      <c r="E230" s="102" t="s">
        <v>1688</v>
      </c>
      <c r="F230" s="102"/>
      <c r="G230" s="102" t="s">
        <v>3403</v>
      </c>
      <c r="H230" s="102"/>
      <c r="I230" s="102"/>
      <c r="J230" s="102"/>
      <c r="K230" s="102" t="s">
        <v>12920</v>
      </c>
      <c r="L230" s="102"/>
      <c r="M230" s="102"/>
      <c r="N230" s="102"/>
      <c r="O230" s="102"/>
      <c r="P230" s="102"/>
      <c r="Q230" s="102"/>
      <c r="R230" s="102"/>
      <c r="S230" s="102" t="s">
        <v>3999</v>
      </c>
      <c r="T230" s="102" t="s">
        <v>4000</v>
      </c>
    </row>
    <row r="231" spans="1:20">
      <c r="C231" s="101" t="s">
        <v>3456</v>
      </c>
    </row>
    <row r="232" spans="1:20">
      <c r="A232" t="s">
        <v>3498</v>
      </c>
      <c r="B232" t="s">
        <v>3758</v>
      </c>
      <c r="C232" s="101">
        <v>1</v>
      </c>
      <c r="D232" t="s">
        <v>12212</v>
      </c>
      <c r="E232" t="s">
        <v>1606</v>
      </c>
      <c r="G232" t="s">
        <v>3399</v>
      </c>
      <c r="K232" t="s">
        <v>12213</v>
      </c>
      <c r="S232" t="s">
        <v>180</v>
      </c>
      <c r="T232" t="s">
        <v>4</v>
      </c>
    </row>
    <row r="233" spans="1:20">
      <c r="A233" t="s">
        <v>3498</v>
      </c>
      <c r="B233" t="s">
        <v>3758</v>
      </c>
      <c r="C233" s="101">
        <v>2</v>
      </c>
      <c r="D233" t="s">
        <v>12214</v>
      </c>
      <c r="E233" t="s">
        <v>1606</v>
      </c>
      <c r="G233" t="s">
        <v>3399</v>
      </c>
      <c r="K233" t="s">
        <v>4113</v>
      </c>
      <c r="L233" t="s">
        <v>12215</v>
      </c>
      <c r="M233" t="s">
        <v>12216</v>
      </c>
      <c r="S233" t="s">
        <v>26</v>
      </c>
      <c r="T233" t="s">
        <v>4</v>
      </c>
    </row>
    <row r="234" spans="1:20">
      <c r="A234" t="s">
        <v>3498</v>
      </c>
      <c r="B234" t="s">
        <v>3758</v>
      </c>
      <c r="C234" s="101">
        <v>3</v>
      </c>
      <c r="D234" t="s">
        <v>12217</v>
      </c>
      <c r="E234" t="s">
        <v>4898</v>
      </c>
      <c r="G234" t="s">
        <v>3399</v>
      </c>
      <c r="K234" t="s">
        <v>12218</v>
      </c>
      <c r="S234" t="s">
        <v>10</v>
      </c>
      <c r="T234" t="s">
        <v>4</v>
      </c>
    </row>
    <row r="235" spans="1:20">
      <c r="A235" t="s">
        <v>3498</v>
      </c>
      <c r="B235" t="s">
        <v>3758</v>
      </c>
      <c r="C235" s="101">
        <v>4</v>
      </c>
      <c r="D235" t="s">
        <v>12219</v>
      </c>
      <c r="E235" t="s">
        <v>1606</v>
      </c>
      <c r="G235" t="s">
        <v>3399</v>
      </c>
      <c r="K235" t="s">
        <v>12220</v>
      </c>
      <c r="S235" t="s">
        <v>5719</v>
      </c>
      <c r="T235" t="s">
        <v>4</v>
      </c>
    </row>
    <row r="236" spans="1:20">
      <c r="A236" t="s">
        <v>3498</v>
      </c>
      <c r="B236" t="s">
        <v>3758</v>
      </c>
      <c r="C236" s="101">
        <v>5</v>
      </c>
      <c r="D236" t="s">
        <v>12221</v>
      </c>
      <c r="E236" t="s">
        <v>1606</v>
      </c>
      <c r="G236" t="s">
        <v>3399</v>
      </c>
      <c r="K236" t="s">
        <v>12222</v>
      </c>
      <c r="S236" t="s">
        <v>169</v>
      </c>
      <c r="T236" t="s">
        <v>4</v>
      </c>
    </row>
    <row r="237" spans="1:20">
      <c r="A237" t="s">
        <v>3498</v>
      </c>
      <c r="B237" t="s">
        <v>3758</v>
      </c>
      <c r="C237" s="101">
        <v>6</v>
      </c>
      <c r="D237" t="s">
        <v>12223</v>
      </c>
      <c r="E237" t="s">
        <v>1606</v>
      </c>
      <c r="G237" t="s">
        <v>3399</v>
      </c>
      <c r="K237" t="s">
        <v>12224</v>
      </c>
      <c r="S237" t="s">
        <v>26</v>
      </c>
      <c r="T237" t="s">
        <v>4</v>
      </c>
    </row>
    <row r="238" spans="1:20">
      <c r="A238" t="s">
        <v>3498</v>
      </c>
      <c r="B238" t="s">
        <v>3758</v>
      </c>
      <c r="C238" s="101">
        <v>7</v>
      </c>
      <c r="D238" t="s">
        <v>12225</v>
      </c>
      <c r="E238" t="s">
        <v>1606</v>
      </c>
      <c r="G238" t="s">
        <v>3399</v>
      </c>
      <c r="K238" t="s">
        <v>12226</v>
      </c>
      <c r="S238" t="s">
        <v>5281</v>
      </c>
      <c r="T238" t="s">
        <v>4</v>
      </c>
    </row>
    <row r="239" spans="1:20">
      <c r="A239" t="s">
        <v>3498</v>
      </c>
      <c r="B239" t="s">
        <v>3758</v>
      </c>
      <c r="C239" s="101">
        <v>8</v>
      </c>
      <c r="D239" t="s">
        <v>12227</v>
      </c>
      <c r="E239" t="s">
        <v>1606</v>
      </c>
      <c r="G239" t="s">
        <v>3399</v>
      </c>
      <c r="K239" t="s">
        <v>12228</v>
      </c>
      <c r="S239" t="s">
        <v>30</v>
      </c>
      <c r="T239" t="s">
        <v>4</v>
      </c>
    </row>
    <row r="240" spans="1:20">
      <c r="A240" t="s">
        <v>3498</v>
      </c>
      <c r="B240" t="s">
        <v>3758</v>
      </c>
      <c r="C240" s="101">
        <v>9</v>
      </c>
      <c r="D240" t="s">
        <v>12229</v>
      </c>
      <c r="E240" t="s">
        <v>1606</v>
      </c>
      <c r="G240" t="s">
        <v>3399</v>
      </c>
      <c r="K240" t="s">
        <v>12230</v>
      </c>
      <c r="S240" t="s">
        <v>170</v>
      </c>
      <c r="T240" t="s">
        <v>4</v>
      </c>
    </row>
    <row r="241" spans="1:20">
      <c r="A241" t="s">
        <v>3498</v>
      </c>
      <c r="B241" t="s">
        <v>3758</v>
      </c>
      <c r="C241" s="101">
        <v>10</v>
      </c>
      <c r="D241" t="s">
        <v>12231</v>
      </c>
      <c r="E241" t="s">
        <v>1606</v>
      </c>
      <c r="G241" t="s">
        <v>3399</v>
      </c>
      <c r="K241" t="s">
        <v>12232</v>
      </c>
      <c r="S241" t="s">
        <v>35</v>
      </c>
      <c r="T241" t="s">
        <v>4</v>
      </c>
    </row>
    <row r="242" spans="1:20">
      <c r="A242" t="s">
        <v>3498</v>
      </c>
      <c r="B242" t="s">
        <v>3758</v>
      </c>
      <c r="C242" s="101">
        <v>11</v>
      </c>
      <c r="D242" t="s">
        <v>12233</v>
      </c>
      <c r="E242" t="s">
        <v>4898</v>
      </c>
      <c r="G242" t="s">
        <v>3399</v>
      </c>
      <c r="K242" t="s">
        <v>12234</v>
      </c>
      <c r="S242" t="s">
        <v>844</v>
      </c>
      <c r="T242" t="s">
        <v>4</v>
      </c>
    </row>
    <row r="243" spans="1:20">
      <c r="A243" t="s">
        <v>3498</v>
      </c>
      <c r="B243" t="s">
        <v>3758</v>
      </c>
      <c r="C243" s="101">
        <v>12</v>
      </c>
      <c r="D243" t="s">
        <v>12235</v>
      </c>
      <c r="E243" t="s">
        <v>1606</v>
      </c>
      <c r="G243" t="s">
        <v>3399</v>
      </c>
      <c r="K243" t="s">
        <v>12236</v>
      </c>
      <c r="L243" t="s">
        <v>12237</v>
      </c>
      <c r="S243" t="s">
        <v>45</v>
      </c>
      <c r="T243" t="s">
        <v>4</v>
      </c>
    </row>
    <row r="244" spans="1:20">
      <c r="A244" t="s">
        <v>3498</v>
      </c>
      <c r="B244" t="s">
        <v>3758</v>
      </c>
      <c r="C244" s="101">
        <v>13</v>
      </c>
      <c r="D244" t="s">
        <v>12238</v>
      </c>
      <c r="E244" t="s">
        <v>1611</v>
      </c>
      <c r="G244" t="s">
        <v>3399</v>
      </c>
      <c r="K244" t="s">
        <v>12239</v>
      </c>
      <c r="L244" t="s">
        <v>12240</v>
      </c>
      <c r="S244" t="s">
        <v>38</v>
      </c>
      <c r="T244" t="s">
        <v>4</v>
      </c>
    </row>
    <row r="245" spans="1:20">
      <c r="A245" t="s">
        <v>3498</v>
      </c>
      <c r="B245" t="s">
        <v>3758</v>
      </c>
      <c r="C245" s="101">
        <v>14</v>
      </c>
      <c r="D245" t="s">
        <v>5065</v>
      </c>
      <c r="E245" t="s">
        <v>1611</v>
      </c>
      <c r="G245" t="s">
        <v>3399</v>
      </c>
      <c r="K245" t="s">
        <v>5066</v>
      </c>
      <c r="S245" t="s">
        <v>3747</v>
      </c>
      <c r="T245" t="s">
        <v>4</v>
      </c>
    </row>
    <row r="246" spans="1:20">
      <c r="A246" t="s">
        <v>3498</v>
      </c>
      <c r="B246" t="s">
        <v>3758</v>
      </c>
      <c r="C246" s="101">
        <v>15</v>
      </c>
      <c r="D246" t="s">
        <v>12241</v>
      </c>
      <c r="E246" t="s">
        <v>1611</v>
      </c>
      <c r="G246" t="s">
        <v>3399</v>
      </c>
      <c r="K246" t="s">
        <v>12242</v>
      </c>
      <c r="S246" t="s">
        <v>28</v>
      </c>
      <c r="T246" t="s">
        <v>4</v>
      </c>
    </row>
    <row r="247" spans="1:20">
      <c r="A247" t="s">
        <v>3498</v>
      </c>
      <c r="B247" t="s">
        <v>3758</v>
      </c>
      <c r="C247" s="101">
        <v>16</v>
      </c>
      <c r="D247" t="s">
        <v>12243</v>
      </c>
      <c r="E247" t="s">
        <v>1611</v>
      </c>
      <c r="G247" t="s">
        <v>3399</v>
      </c>
      <c r="K247" t="s">
        <v>12244</v>
      </c>
      <c r="S247" t="s">
        <v>49</v>
      </c>
      <c r="T247" t="s">
        <v>4</v>
      </c>
    </row>
    <row r="248" spans="1:20">
      <c r="A248" t="s">
        <v>3498</v>
      </c>
      <c r="B248" t="s">
        <v>3758</v>
      </c>
      <c r="C248" s="101">
        <v>17</v>
      </c>
      <c r="D248" t="s">
        <v>12245</v>
      </c>
      <c r="E248" t="s">
        <v>1611</v>
      </c>
      <c r="G248" t="s">
        <v>3399</v>
      </c>
      <c r="K248" t="s">
        <v>12246</v>
      </c>
      <c r="S248" t="s">
        <v>26</v>
      </c>
      <c r="T248" t="s">
        <v>4</v>
      </c>
    </row>
    <row r="249" spans="1:20">
      <c r="A249" t="s">
        <v>3498</v>
      </c>
      <c r="B249" t="s">
        <v>3758</v>
      </c>
      <c r="C249" s="101">
        <v>18</v>
      </c>
      <c r="D249" t="s">
        <v>12247</v>
      </c>
      <c r="E249" t="s">
        <v>1611</v>
      </c>
      <c r="G249" t="s">
        <v>3399</v>
      </c>
      <c r="K249" t="s">
        <v>12248</v>
      </c>
      <c r="S249" t="s">
        <v>844</v>
      </c>
      <c r="T249" t="s">
        <v>4</v>
      </c>
    </row>
    <row r="250" spans="1:20">
      <c r="A250" t="s">
        <v>3498</v>
      </c>
      <c r="B250" t="s">
        <v>3758</v>
      </c>
      <c r="C250" s="101">
        <v>19</v>
      </c>
      <c r="D250" t="s">
        <v>5058</v>
      </c>
      <c r="E250" t="s">
        <v>1611</v>
      </c>
      <c r="G250" t="s">
        <v>3399</v>
      </c>
      <c r="K250" t="s">
        <v>4933</v>
      </c>
      <c r="L250" t="s">
        <v>4195</v>
      </c>
      <c r="S250" t="s">
        <v>3747</v>
      </c>
      <c r="T250" t="s">
        <v>4</v>
      </c>
    </row>
    <row r="251" spans="1:20">
      <c r="A251" t="s">
        <v>3498</v>
      </c>
      <c r="B251" t="s">
        <v>3758</v>
      </c>
      <c r="C251" s="101">
        <v>20</v>
      </c>
      <c r="D251" t="s">
        <v>12249</v>
      </c>
      <c r="E251" t="s">
        <v>1611</v>
      </c>
      <c r="G251" t="s">
        <v>3399</v>
      </c>
      <c r="K251" t="s">
        <v>12250</v>
      </c>
      <c r="S251" t="s">
        <v>32</v>
      </c>
      <c r="T251" t="s">
        <v>4</v>
      </c>
    </row>
    <row r="252" spans="1:20">
      <c r="A252" t="s">
        <v>3498</v>
      </c>
      <c r="B252" t="s">
        <v>3758</v>
      </c>
      <c r="C252" s="101">
        <v>21</v>
      </c>
      <c r="D252" t="s">
        <v>12251</v>
      </c>
      <c r="E252" t="s">
        <v>1611</v>
      </c>
      <c r="G252" t="s">
        <v>3399</v>
      </c>
      <c r="K252" t="s">
        <v>12252</v>
      </c>
      <c r="S252" t="s">
        <v>5719</v>
      </c>
      <c r="T252" t="s">
        <v>4</v>
      </c>
    </row>
    <row r="253" spans="1:20">
      <c r="A253" t="s">
        <v>3498</v>
      </c>
      <c r="B253" t="s">
        <v>3758</v>
      </c>
      <c r="C253" s="101">
        <v>22</v>
      </c>
      <c r="D253" t="s">
        <v>12253</v>
      </c>
      <c r="E253" t="s">
        <v>1611</v>
      </c>
      <c r="G253" t="s">
        <v>3399</v>
      </c>
      <c r="K253" t="s">
        <v>12254</v>
      </c>
      <c r="S253" t="s">
        <v>174</v>
      </c>
      <c r="T253" t="s">
        <v>4</v>
      </c>
    </row>
    <row r="254" spans="1:20">
      <c r="A254" t="s">
        <v>3498</v>
      </c>
      <c r="B254" t="s">
        <v>3758</v>
      </c>
      <c r="C254" s="101">
        <v>23</v>
      </c>
      <c r="D254" t="s">
        <v>12255</v>
      </c>
      <c r="E254" t="s">
        <v>1611</v>
      </c>
      <c r="G254" t="s">
        <v>3399</v>
      </c>
      <c r="K254" t="s">
        <v>12256</v>
      </c>
      <c r="L254" t="s">
        <v>12257</v>
      </c>
      <c r="S254" t="s">
        <v>45</v>
      </c>
      <c r="T254" t="s">
        <v>4</v>
      </c>
    </row>
    <row r="255" spans="1:20">
      <c r="A255" t="s">
        <v>3498</v>
      </c>
      <c r="B255" t="s">
        <v>3758</v>
      </c>
      <c r="C255" s="101">
        <v>24</v>
      </c>
      <c r="D255" t="s">
        <v>12258</v>
      </c>
      <c r="E255" t="s">
        <v>1611</v>
      </c>
      <c r="G255" t="s">
        <v>3399</v>
      </c>
      <c r="K255" t="s">
        <v>12259</v>
      </c>
      <c r="S255" t="s">
        <v>16</v>
      </c>
      <c r="T255" t="s">
        <v>4</v>
      </c>
    </row>
    <row r="256" spans="1:20">
      <c r="A256" t="s">
        <v>3498</v>
      </c>
      <c r="B256" t="s">
        <v>3758</v>
      </c>
      <c r="C256" s="101">
        <v>25</v>
      </c>
      <c r="D256" t="s">
        <v>12260</v>
      </c>
      <c r="E256" t="s">
        <v>1611</v>
      </c>
      <c r="G256" t="s">
        <v>3399</v>
      </c>
      <c r="K256" t="s">
        <v>12261</v>
      </c>
      <c r="S256" t="s">
        <v>181</v>
      </c>
      <c r="T256" t="s">
        <v>4</v>
      </c>
    </row>
    <row r="257" spans="1:20">
      <c r="A257" t="s">
        <v>3498</v>
      </c>
      <c r="B257" t="s">
        <v>3758</v>
      </c>
      <c r="C257" s="101">
        <v>26</v>
      </c>
      <c r="D257" t="s">
        <v>12262</v>
      </c>
      <c r="E257" t="s">
        <v>1611</v>
      </c>
      <c r="G257" t="s">
        <v>3399</v>
      </c>
      <c r="K257" t="s">
        <v>12263</v>
      </c>
      <c r="L257" t="s">
        <v>12264</v>
      </c>
      <c r="S257" t="s">
        <v>34</v>
      </c>
      <c r="T257" t="s">
        <v>4</v>
      </c>
    </row>
    <row r="258" spans="1:20">
      <c r="A258" t="s">
        <v>3498</v>
      </c>
      <c r="B258" t="s">
        <v>3758</v>
      </c>
      <c r="C258" s="101">
        <v>27</v>
      </c>
      <c r="D258" t="s">
        <v>12265</v>
      </c>
      <c r="E258" t="s">
        <v>1611</v>
      </c>
      <c r="G258" t="s">
        <v>3399</v>
      </c>
      <c r="K258" t="s">
        <v>10347</v>
      </c>
      <c r="L258" t="s">
        <v>12266</v>
      </c>
      <c r="S258" t="s">
        <v>5719</v>
      </c>
      <c r="T258" t="s">
        <v>4</v>
      </c>
    </row>
    <row r="259" spans="1:20">
      <c r="A259" t="s">
        <v>3498</v>
      </c>
      <c r="B259" t="s">
        <v>3758</v>
      </c>
      <c r="C259" s="101">
        <v>28</v>
      </c>
      <c r="D259" t="s">
        <v>12267</v>
      </c>
      <c r="E259" t="s">
        <v>1611</v>
      </c>
      <c r="G259" t="s">
        <v>3399</v>
      </c>
      <c r="K259" t="s">
        <v>12268</v>
      </c>
      <c r="L259" t="s">
        <v>12269</v>
      </c>
      <c r="S259" t="s">
        <v>28</v>
      </c>
      <c r="T259" t="s">
        <v>4</v>
      </c>
    </row>
    <row r="260" spans="1:20">
      <c r="A260" t="s">
        <v>3498</v>
      </c>
      <c r="B260" t="s">
        <v>3758</v>
      </c>
      <c r="C260" s="101">
        <v>29</v>
      </c>
      <c r="D260" t="s">
        <v>12270</v>
      </c>
      <c r="E260" t="s">
        <v>1611</v>
      </c>
      <c r="G260" t="s">
        <v>3399</v>
      </c>
      <c r="K260" t="s">
        <v>12271</v>
      </c>
      <c r="S260" t="s">
        <v>5685</v>
      </c>
      <c r="T260" t="s">
        <v>4</v>
      </c>
    </row>
    <row r="261" spans="1:20">
      <c r="A261" t="s">
        <v>3498</v>
      </c>
      <c r="B261" t="s">
        <v>3758</v>
      </c>
      <c r="C261" s="101">
        <v>30</v>
      </c>
      <c r="D261" t="s">
        <v>12272</v>
      </c>
      <c r="E261" t="s">
        <v>1611</v>
      </c>
      <c r="G261" t="s">
        <v>3399</v>
      </c>
      <c r="K261" t="s">
        <v>12273</v>
      </c>
      <c r="S261" t="s">
        <v>45</v>
      </c>
      <c r="T261" t="s">
        <v>4</v>
      </c>
    </row>
    <row r="262" spans="1:20">
      <c r="A262" t="s">
        <v>3498</v>
      </c>
      <c r="B262" t="s">
        <v>3758</v>
      </c>
      <c r="C262" s="101">
        <v>31</v>
      </c>
      <c r="D262" t="s">
        <v>12274</v>
      </c>
      <c r="E262" t="s">
        <v>1611</v>
      </c>
      <c r="G262" t="s">
        <v>3399</v>
      </c>
      <c r="K262" t="s">
        <v>12275</v>
      </c>
      <c r="S262" t="s">
        <v>182</v>
      </c>
      <c r="T262" t="s">
        <v>4</v>
      </c>
    </row>
    <row r="263" spans="1:20">
      <c r="A263" t="s">
        <v>3498</v>
      </c>
      <c r="B263" t="s">
        <v>3758</v>
      </c>
      <c r="C263" s="101">
        <v>32</v>
      </c>
      <c r="D263" t="s">
        <v>12276</v>
      </c>
      <c r="E263" t="s">
        <v>1611</v>
      </c>
      <c r="G263" t="s">
        <v>3399</v>
      </c>
      <c r="K263" t="s">
        <v>12277</v>
      </c>
      <c r="L263" t="s">
        <v>3768</v>
      </c>
      <c r="S263" t="s">
        <v>604</v>
      </c>
      <c r="T263" t="s">
        <v>4</v>
      </c>
    </row>
    <row r="264" spans="1:20">
      <c r="A264" t="s">
        <v>3498</v>
      </c>
      <c r="B264" t="s">
        <v>3758</v>
      </c>
      <c r="C264" s="101">
        <v>33</v>
      </c>
      <c r="D264" t="s">
        <v>12278</v>
      </c>
      <c r="E264" t="s">
        <v>1611</v>
      </c>
      <c r="G264" t="s">
        <v>3399</v>
      </c>
      <c r="K264" t="s">
        <v>12279</v>
      </c>
      <c r="S264" t="s">
        <v>14</v>
      </c>
      <c r="T264" t="s">
        <v>4</v>
      </c>
    </row>
    <row r="265" spans="1:20">
      <c r="A265" t="s">
        <v>3498</v>
      </c>
      <c r="B265" t="s">
        <v>3758</v>
      </c>
      <c r="C265" s="101">
        <v>34</v>
      </c>
      <c r="D265" t="s">
        <v>12280</v>
      </c>
      <c r="E265" t="s">
        <v>1611</v>
      </c>
      <c r="G265" t="s">
        <v>3399</v>
      </c>
      <c r="K265" t="s">
        <v>12281</v>
      </c>
      <c r="S265" t="s">
        <v>46</v>
      </c>
      <c r="T265" t="s">
        <v>4</v>
      </c>
    </row>
    <row r="266" spans="1:20">
      <c r="A266" t="s">
        <v>3498</v>
      </c>
      <c r="B266" t="s">
        <v>3758</v>
      </c>
      <c r="C266" s="101">
        <v>35</v>
      </c>
      <c r="D266" t="s">
        <v>12282</v>
      </c>
      <c r="E266" t="s">
        <v>1618</v>
      </c>
      <c r="G266" t="s">
        <v>3399</v>
      </c>
      <c r="K266" t="s">
        <v>12283</v>
      </c>
      <c r="L266" t="s">
        <v>12284</v>
      </c>
      <c r="S266" t="s">
        <v>48</v>
      </c>
      <c r="T266" t="s">
        <v>4</v>
      </c>
    </row>
    <row r="267" spans="1:20">
      <c r="A267" t="s">
        <v>3498</v>
      </c>
      <c r="B267" t="s">
        <v>3758</v>
      </c>
      <c r="C267" s="101">
        <v>36</v>
      </c>
      <c r="D267" t="s">
        <v>5072</v>
      </c>
      <c r="E267" t="s">
        <v>1618</v>
      </c>
      <c r="G267" t="s">
        <v>3399</v>
      </c>
      <c r="K267" t="s">
        <v>5002</v>
      </c>
      <c r="S267" t="s">
        <v>14</v>
      </c>
      <c r="T267" t="s">
        <v>4</v>
      </c>
    </row>
    <row r="268" spans="1:20">
      <c r="A268" t="s">
        <v>3498</v>
      </c>
      <c r="B268" t="s">
        <v>3758</v>
      </c>
      <c r="C268" s="101">
        <v>37</v>
      </c>
      <c r="D268" t="s">
        <v>12285</v>
      </c>
      <c r="E268" t="s">
        <v>1618</v>
      </c>
      <c r="G268" t="s">
        <v>3399</v>
      </c>
      <c r="K268" t="s">
        <v>4113</v>
      </c>
      <c r="L268" t="s">
        <v>12286</v>
      </c>
      <c r="M268" t="s">
        <v>12287</v>
      </c>
      <c r="N268" t="s">
        <v>12288</v>
      </c>
      <c r="S268" t="s">
        <v>168</v>
      </c>
      <c r="T268" t="s">
        <v>4</v>
      </c>
    </row>
    <row r="269" spans="1:20">
      <c r="A269" t="s">
        <v>3498</v>
      </c>
      <c r="B269" t="s">
        <v>3758</v>
      </c>
      <c r="C269" s="101">
        <v>38</v>
      </c>
      <c r="D269" t="s">
        <v>12289</v>
      </c>
      <c r="E269" t="s">
        <v>1618</v>
      </c>
      <c r="G269" t="s">
        <v>3399</v>
      </c>
      <c r="K269" t="s">
        <v>12290</v>
      </c>
      <c r="S269" t="s">
        <v>178</v>
      </c>
      <c r="T269" t="s">
        <v>4</v>
      </c>
    </row>
    <row r="270" spans="1:20">
      <c r="A270" t="s">
        <v>3498</v>
      </c>
      <c r="B270" t="s">
        <v>3758</v>
      </c>
      <c r="C270" s="101">
        <v>39</v>
      </c>
      <c r="D270" t="s">
        <v>12291</v>
      </c>
      <c r="E270" t="s">
        <v>1618</v>
      </c>
      <c r="G270" t="s">
        <v>3399</v>
      </c>
      <c r="K270" t="s">
        <v>12292</v>
      </c>
      <c r="S270" t="s">
        <v>27</v>
      </c>
      <c r="T270" t="s">
        <v>4</v>
      </c>
    </row>
    <row r="271" spans="1:20">
      <c r="A271" t="s">
        <v>3498</v>
      </c>
      <c r="B271" t="s">
        <v>3758</v>
      </c>
      <c r="C271" s="101">
        <v>40</v>
      </c>
      <c r="D271" t="s">
        <v>12293</v>
      </c>
      <c r="E271" t="s">
        <v>1618</v>
      </c>
      <c r="G271" t="s">
        <v>3399</v>
      </c>
      <c r="K271" t="s">
        <v>12294</v>
      </c>
      <c r="S271" t="s">
        <v>52</v>
      </c>
      <c r="T271" t="s">
        <v>4</v>
      </c>
    </row>
    <row r="272" spans="1:20">
      <c r="A272" t="s">
        <v>3498</v>
      </c>
      <c r="B272" t="s">
        <v>3758</v>
      </c>
      <c r="C272" s="101">
        <v>41</v>
      </c>
      <c r="D272" t="s">
        <v>5069</v>
      </c>
      <c r="E272" t="s">
        <v>1618</v>
      </c>
      <c r="G272" t="s">
        <v>3399</v>
      </c>
      <c r="K272" t="s">
        <v>12295</v>
      </c>
      <c r="S272" t="s">
        <v>168</v>
      </c>
      <c r="T272" t="s">
        <v>4</v>
      </c>
    </row>
    <row r="273" spans="1:20">
      <c r="A273" t="s">
        <v>3498</v>
      </c>
      <c r="B273" t="s">
        <v>3758</v>
      </c>
      <c r="C273" s="101">
        <v>42</v>
      </c>
      <c r="D273" t="s">
        <v>12296</v>
      </c>
      <c r="E273" t="s">
        <v>1618</v>
      </c>
      <c r="G273" t="s">
        <v>3399</v>
      </c>
      <c r="K273" t="s">
        <v>12297</v>
      </c>
      <c r="S273" t="s">
        <v>49</v>
      </c>
      <c r="T273" t="s">
        <v>4</v>
      </c>
    </row>
    <row r="274" spans="1:20">
      <c r="A274" t="s">
        <v>3498</v>
      </c>
      <c r="B274" t="s">
        <v>3758</v>
      </c>
      <c r="C274" s="101">
        <v>43</v>
      </c>
      <c r="D274" t="s">
        <v>12298</v>
      </c>
      <c r="E274" t="s">
        <v>1618</v>
      </c>
      <c r="G274" t="s">
        <v>3399</v>
      </c>
      <c r="K274" t="s">
        <v>12299</v>
      </c>
      <c r="S274" t="s">
        <v>170</v>
      </c>
      <c r="T274" t="s">
        <v>4</v>
      </c>
    </row>
    <row r="275" spans="1:20">
      <c r="A275" t="s">
        <v>3498</v>
      </c>
      <c r="B275" t="s">
        <v>3758</v>
      </c>
      <c r="C275" s="101">
        <v>44</v>
      </c>
      <c r="D275" t="s">
        <v>12300</v>
      </c>
      <c r="E275" t="s">
        <v>1618</v>
      </c>
      <c r="G275" t="s">
        <v>3399</v>
      </c>
      <c r="K275" t="s">
        <v>12301</v>
      </c>
      <c r="S275" t="s">
        <v>53</v>
      </c>
      <c r="T275" t="s">
        <v>4</v>
      </c>
    </row>
    <row r="276" spans="1:20">
      <c r="A276" t="s">
        <v>3498</v>
      </c>
      <c r="B276" t="s">
        <v>3758</v>
      </c>
      <c r="C276" s="101">
        <v>45</v>
      </c>
      <c r="D276" t="s">
        <v>12302</v>
      </c>
      <c r="E276" t="s">
        <v>1618</v>
      </c>
      <c r="G276" t="s">
        <v>3399</v>
      </c>
      <c r="H276" t="s">
        <v>5180</v>
      </c>
      <c r="K276" t="s">
        <v>12303</v>
      </c>
      <c r="S276" t="s">
        <v>175</v>
      </c>
      <c r="T276" t="s">
        <v>4</v>
      </c>
    </row>
    <row r="277" spans="1:20">
      <c r="A277" t="s">
        <v>3498</v>
      </c>
      <c r="B277" t="s">
        <v>3758</v>
      </c>
      <c r="C277" s="101">
        <v>46</v>
      </c>
      <c r="D277" t="s">
        <v>12304</v>
      </c>
      <c r="E277" t="s">
        <v>1618</v>
      </c>
      <c r="G277" t="s">
        <v>3399</v>
      </c>
      <c r="K277" t="s">
        <v>7296</v>
      </c>
      <c r="L277" t="s">
        <v>12305</v>
      </c>
      <c r="S277" t="s">
        <v>28</v>
      </c>
      <c r="T277" t="s">
        <v>4</v>
      </c>
    </row>
    <row r="278" spans="1:20">
      <c r="A278" t="s">
        <v>3498</v>
      </c>
      <c r="B278" t="s">
        <v>3758</v>
      </c>
      <c r="C278" s="101">
        <v>47</v>
      </c>
      <c r="D278" t="s">
        <v>12306</v>
      </c>
      <c r="E278" t="s">
        <v>1618</v>
      </c>
      <c r="G278" t="s">
        <v>3399</v>
      </c>
      <c r="K278" t="s">
        <v>12307</v>
      </c>
      <c r="S278" t="s">
        <v>40</v>
      </c>
      <c r="T278" t="s">
        <v>4</v>
      </c>
    </row>
    <row r="279" spans="1:20">
      <c r="A279" t="s">
        <v>3498</v>
      </c>
      <c r="B279" t="s">
        <v>3758</v>
      </c>
      <c r="C279" s="101">
        <v>48</v>
      </c>
      <c r="D279" t="s">
        <v>5084</v>
      </c>
      <c r="E279" t="s">
        <v>1618</v>
      </c>
      <c r="G279" t="s">
        <v>3399</v>
      </c>
      <c r="K279" t="s">
        <v>4933</v>
      </c>
      <c r="L279" t="s">
        <v>4931</v>
      </c>
      <c r="S279" t="s">
        <v>46</v>
      </c>
      <c r="T279" t="s">
        <v>4</v>
      </c>
    </row>
    <row r="280" spans="1:20">
      <c r="A280" t="s">
        <v>3498</v>
      </c>
      <c r="B280" t="s">
        <v>3758</v>
      </c>
      <c r="C280" s="101">
        <v>49</v>
      </c>
      <c r="D280" t="s">
        <v>12308</v>
      </c>
      <c r="E280" t="s">
        <v>1618</v>
      </c>
      <c r="G280" t="s">
        <v>3399</v>
      </c>
      <c r="K280" t="s">
        <v>12309</v>
      </c>
      <c r="L280" t="s">
        <v>4953</v>
      </c>
      <c r="S280" t="s">
        <v>29</v>
      </c>
      <c r="T280" t="s">
        <v>4</v>
      </c>
    </row>
    <row r="281" spans="1:20">
      <c r="A281" t="s">
        <v>3498</v>
      </c>
      <c r="B281" t="s">
        <v>3758</v>
      </c>
      <c r="C281" s="101">
        <v>50</v>
      </c>
      <c r="D281" t="s">
        <v>12310</v>
      </c>
      <c r="E281" t="s">
        <v>1618</v>
      </c>
      <c r="G281" t="s">
        <v>3399</v>
      </c>
      <c r="K281" t="s">
        <v>12311</v>
      </c>
      <c r="S281" t="s">
        <v>15</v>
      </c>
      <c r="T281" t="s">
        <v>4</v>
      </c>
    </row>
    <row r="282" spans="1:20">
      <c r="A282" t="s">
        <v>3498</v>
      </c>
      <c r="B282" t="s">
        <v>3758</v>
      </c>
      <c r="C282" s="101">
        <v>51</v>
      </c>
      <c r="D282" t="s">
        <v>12312</v>
      </c>
      <c r="E282" t="s">
        <v>1618</v>
      </c>
      <c r="G282" t="s">
        <v>3399</v>
      </c>
      <c r="K282" t="s">
        <v>12313</v>
      </c>
      <c r="S282" t="s">
        <v>14</v>
      </c>
      <c r="T282" t="s">
        <v>4</v>
      </c>
    </row>
    <row r="283" spans="1:20">
      <c r="A283" t="s">
        <v>3498</v>
      </c>
      <c r="B283" t="s">
        <v>3758</v>
      </c>
      <c r="C283" s="101">
        <v>52</v>
      </c>
      <c r="D283" t="s">
        <v>12314</v>
      </c>
      <c r="E283" t="s">
        <v>1618</v>
      </c>
      <c r="G283" t="s">
        <v>3399</v>
      </c>
      <c r="K283" t="s">
        <v>12315</v>
      </c>
      <c r="L283" t="s">
        <v>12316</v>
      </c>
      <c r="S283" t="s">
        <v>31</v>
      </c>
      <c r="T283" t="s">
        <v>4</v>
      </c>
    </row>
    <row r="284" spans="1:20">
      <c r="A284" t="s">
        <v>3498</v>
      </c>
      <c r="B284" t="s">
        <v>3758</v>
      </c>
      <c r="C284" s="101">
        <v>53</v>
      </c>
      <c r="D284" t="s">
        <v>12317</v>
      </c>
      <c r="E284" t="s">
        <v>1618</v>
      </c>
      <c r="G284" t="s">
        <v>3399</v>
      </c>
      <c r="K284" t="s">
        <v>12318</v>
      </c>
      <c r="S284" t="s">
        <v>38</v>
      </c>
      <c r="T284" t="s">
        <v>4</v>
      </c>
    </row>
    <row r="285" spans="1:20">
      <c r="A285" t="s">
        <v>3498</v>
      </c>
      <c r="B285" t="s">
        <v>3758</v>
      </c>
      <c r="C285" s="101">
        <v>54</v>
      </c>
      <c r="D285" t="s">
        <v>12319</v>
      </c>
      <c r="E285" t="s">
        <v>1618</v>
      </c>
      <c r="G285" t="s">
        <v>3399</v>
      </c>
      <c r="K285" t="s">
        <v>12320</v>
      </c>
      <c r="S285" t="s">
        <v>17</v>
      </c>
      <c r="T285" t="s">
        <v>4</v>
      </c>
    </row>
    <row r="286" spans="1:20">
      <c r="A286" t="s">
        <v>3498</v>
      </c>
      <c r="B286" t="s">
        <v>3758</v>
      </c>
      <c r="C286" s="101">
        <v>55</v>
      </c>
      <c r="D286" t="s">
        <v>12321</v>
      </c>
      <c r="E286" t="s">
        <v>1618</v>
      </c>
      <c r="G286" t="s">
        <v>3399</v>
      </c>
      <c r="K286" t="s">
        <v>12050</v>
      </c>
      <c r="L286" t="s">
        <v>12322</v>
      </c>
      <c r="S286" t="s">
        <v>5719</v>
      </c>
      <c r="T286" t="s">
        <v>4</v>
      </c>
    </row>
    <row r="287" spans="1:20">
      <c r="A287" t="s">
        <v>3498</v>
      </c>
      <c r="B287" t="s">
        <v>3758</v>
      </c>
      <c r="C287" s="101">
        <v>56</v>
      </c>
      <c r="D287" t="s">
        <v>12323</v>
      </c>
      <c r="E287" t="s">
        <v>1621</v>
      </c>
      <c r="G287" t="s">
        <v>3399</v>
      </c>
      <c r="K287" t="s">
        <v>12324</v>
      </c>
      <c r="S287" t="s">
        <v>31</v>
      </c>
      <c r="T287" t="s">
        <v>4</v>
      </c>
    </row>
    <row r="288" spans="1:20">
      <c r="A288" t="s">
        <v>3498</v>
      </c>
      <c r="B288" t="s">
        <v>3758</v>
      </c>
      <c r="C288" s="101">
        <v>57</v>
      </c>
      <c r="D288" t="s">
        <v>12325</v>
      </c>
      <c r="E288" t="s">
        <v>1620</v>
      </c>
      <c r="G288" t="s">
        <v>3399</v>
      </c>
      <c r="K288" t="s">
        <v>12326</v>
      </c>
      <c r="S288" t="s">
        <v>178</v>
      </c>
      <c r="T288" t="s">
        <v>4</v>
      </c>
    </row>
    <row r="289" spans="1:20">
      <c r="A289" t="s">
        <v>3498</v>
      </c>
      <c r="B289" t="s">
        <v>3758</v>
      </c>
      <c r="C289" s="101">
        <v>58</v>
      </c>
      <c r="D289" t="s">
        <v>12327</v>
      </c>
      <c r="E289" t="s">
        <v>1620</v>
      </c>
      <c r="G289" t="s">
        <v>3399</v>
      </c>
      <c r="K289" t="s">
        <v>12328</v>
      </c>
      <c r="S289" t="s">
        <v>181</v>
      </c>
      <c r="T289" t="s">
        <v>4</v>
      </c>
    </row>
    <row r="290" spans="1:20">
      <c r="A290" t="s">
        <v>3498</v>
      </c>
      <c r="B290" t="s">
        <v>3758</v>
      </c>
      <c r="C290" s="101">
        <v>59</v>
      </c>
      <c r="D290" t="s">
        <v>12329</v>
      </c>
      <c r="E290" t="s">
        <v>1620</v>
      </c>
      <c r="G290" t="s">
        <v>3399</v>
      </c>
      <c r="H290" t="s">
        <v>5180</v>
      </c>
      <c r="K290" t="s">
        <v>12330</v>
      </c>
      <c r="S290" t="s">
        <v>175</v>
      </c>
      <c r="T290" t="s">
        <v>4</v>
      </c>
    </row>
    <row r="291" spans="1:20">
      <c r="A291" t="s">
        <v>3498</v>
      </c>
      <c r="B291" t="s">
        <v>3758</v>
      </c>
      <c r="C291" s="101">
        <v>60</v>
      </c>
      <c r="D291" t="s">
        <v>12331</v>
      </c>
      <c r="E291" t="s">
        <v>1620</v>
      </c>
      <c r="G291" t="s">
        <v>3399</v>
      </c>
      <c r="K291" t="s">
        <v>12332</v>
      </c>
      <c r="S291" t="s">
        <v>607</v>
      </c>
      <c r="T291" t="s">
        <v>4</v>
      </c>
    </row>
    <row r="292" spans="1:20">
      <c r="A292" t="s">
        <v>3498</v>
      </c>
      <c r="B292" t="s">
        <v>3758</v>
      </c>
      <c r="C292" s="101">
        <v>61</v>
      </c>
      <c r="D292" t="s">
        <v>3754</v>
      </c>
      <c r="E292" t="s">
        <v>1620</v>
      </c>
      <c r="G292" t="s">
        <v>3399</v>
      </c>
      <c r="K292" t="s">
        <v>12333</v>
      </c>
      <c r="S292" t="s">
        <v>36</v>
      </c>
      <c r="T292" t="s">
        <v>4</v>
      </c>
    </row>
    <row r="293" spans="1:20">
      <c r="A293" t="s">
        <v>3498</v>
      </c>
      <c r="B293" t="s">
        <v>3758</v>
      </c>
      <c r="C293" s="101">
        <v>62</v>
      </c>
      <c r="D293" t="s">
        <v>5092</v>
      </c>
      <c r="E293" t="s">
        <v>1621</v>
      </c>
      <c r="G293" t="s">
        <v>3399</v>
      </c>
      <c r="K293" t="s">
        <v>5093</v>
      </c>
      <c r="S293" t="s">
        <v>28</v>
      </c>
      <c r="T293" t="s">
        <v>4</v>
      </c>
    </row>
    <row r="294" spans="1:20">
      <c r="A294" t="s">
        <v>3498</v>
      </c>
      <c r="B294" t="s">
        <v>3758</v>
      </c>
      <c r="C294" s="101">
        <v>63</v>
      </c>
      <c r="D294" t="s">
        <v>12334</v>
      </c>
      <c r="E294" t="s">
        <v>1620</v>
      </c>
      <c r="G294" t="s">
        <v>3399</v>
      </c>
      <c r="K294" t="s">
        <v>12335</v>
      </c>
      <c r="S294" t="s">
        <v>27</v>
      </c>
      <c r="T294" t="s">
        <v>4</v>
      </c>
    </row>
    <row r="295" spans="1:20">
      <c r="A295" t="s">
        <v>3498</v>
      </c>
      <c r="B295" t="s">
        <v>3758</v>
      </c>
      <c r="C295" s="101">
        <v>64</v>
      </c>
      <c r="D295" t="s">
        <v>12336</v>
      </c>
      <c r="E295" t="s">
        <v>1620</v>
      </c>
      <c r="G295" t="s">
        <v>3399</v>
      </c>
      <c r="K295" t="s">
        <v>12337</v>
      </c>
      <c r="S295" t="s">
        <v>53</v>
      </c>
      <c r="T295" t="s">
        <v>4</v>
      </c>
    </row>
    <row r="296" spans="1:20">
      <c r="A296" t="s">
        <v>3498</v>
      </c>
      <c r="B296" t="s">
        <v>3758</v>
      </c>
      <c r="C296" s="101">
        <v>65</v>
      </c>
      <c r="D296" t="s">
        <v>12338</v>
      </c>
      <c r="E296" t="s">
        <v>1620</v>
      </c>
      <c r="G296" t="s">
        <v>3399</v>
      </c>
      <c r="K296" t="s">
        <v>4113</v>
      </c>
      <c r="L296" t="s">
        <v>5041</v>
      </c>
      <c r="M296" t="s">
        <v>12339</v>
      </c>
      <c r="N296" t="s">
        <v>12340</v>
      </c>
      <c r="S296" t="s">
        <v>177</v>
      </c>
      <c r="T296" t="s">
        <v>4</v>
      </c>
    </row>
    <row r="297" spans="1:20">
      <c r="A297" t="s">
        <v>3498</v>
      </c>
      <c r="B297" t="s">
        <v>3758</v>
      </c>
      <c r="C297" s="101">
        <v>66</v>
      </c>
      <c r="D297" t="s">
        <v>12341</v>
      </c>
      <c r="E297" t="s">
        <v>1620</v>
      </c>
      <c r="G297" t="s">
        <v>3399</v>
      </c>
      <c r="K297" t="s">
        <v>12342</v>
      </c>
      <c r="S297" t="s">
        <v>604</v>
      </c>
      <c r="T297" t="s">
        <v>4</v>
      </c>
    </row>
    <row r="298" spans="1:20">
      <c r="A298" t="s">
        <v>3498</v>
      </c>
      <c r="B298" t="s">
        <v>3758</v>
      </c>
      <c r="C298" s="101">
        <v>67</v>
      </c>
      <c r="D298" t="s">
        <v>12343</v>
      </c>
      <c r="E298" t="s">
        <v>1620</v>
      </c>
      <c r="G298" t="s">
        <v>3399</v>
      </c>
      <c r="K298" t="s">
        <v>12275</v>
      </c>
      <c r="L298" t="s">
        <v>6410</v>
      </c>
      <c r="S298" t="s">
        <v>5381</v>
      </c>
      <c r="T298" t="s">
        <v>4</v>
      </c>
    </row>
    <row r="299" spans="1:20">
      <c r="A299" t="s">
        <v>3498</v>
      </c>
      <c r="B299" t="s">
        <v>3758</v>
      </c>
      <c r="C299" s="101">
        <v>68</v>
      </c>
      <c r="D299" t="s">
        <v>12344</v>
      </c>
      <c r="E299" t="s">
        <v>1620</v>
      </c>
      <c r="G299" t="s">
        <v>3399</v>
      </c>
      <c r="K299" t="s">
        <v>12345</v>
      </c>
      <c r="S299" t="s">
        <v>48</v>
      </c>
      <c r="T299" t="s">
        <v>4</v>
      </c>
    </row>
    <row r="300" spans="1:20">
      <c r="A300" t="s">
        <v>3498</v>
      </c>
      <c r="B300" t="s">
        <v>3758</v>
      </c>
      <c r="C300" s="101">
        <v>69</v>
      </c>
      <c r="D300" t="s">
        <v>12346</v>
      </c>
      <c r="E300" t="s">
        <v>1620</v>
      </c>
      <c r="G300" t="s">
        <v>3399</v>
      </c>
      <c r="H300" t="s">
        <v>5180</v>
      </c>
      <c r="K300" t="s">
        <v>12347</v>
      </c>
      <c r="S300" t="s">
        <v>183</v>
      </c>
      <c r="T300" t="s">
        <v>4</v>
      </c>
    </row>
    <row r="301" spans="1:20">
      <c r="A301" t="s">
        <v>3498</v>
      </c>
      <c r="B301" t="s">
        <v>3758</v>
      </c>
      <c r="C301" s="101">
        <v>70</v>
      </c>
      <c r="D301" t="s">
        <v>12348</v>
      </c>
      <c r="E301" t="s">
        <v>1622</v>
      </c>
      <c r="G301" t="s">
        <v>3399</v>
      </c>
      <c r="K301" t="s">
        <v>12349</v>
      </c>
      <c r="S301" t="s">
        <v>181</v>
      </c>
      <c r="T301" t="s">
        <v>4</v>
      </c>
    </row>
    <row r="302" spans="1:20">
      <c r="A302" t="s">
        <v>3498</v>
      </c>
      <c r="B302" t="s">
        <v>3758</v>
      </c>
      <c r="C302" s="101">
        <v>71</v>
      </c>
      <c r="D302" t="s">
        <v>12350</v>
      </c>
      <c r="E302" t="s">
        <v>1622</v>
      </c>
      <c r="G302" t="s">
        <v>3399</v>
      </c>
      <c r="K302" t="s">
        <v>12351</v>
      </c>
      <c r="S302" t="s">
        <v>15</v>
      </c>
      <c r="T302" t="s">
        <v>4</v>
      </c>
    </row>
    <row r="303" spans="1:20">
      <c r="A303" t="s">
        <v>3498</v>
      </c>
      <c r="B303" t="s">
        <v>3758</v>
      </c>
      <c r="C303" s="101">
        <v>72</v>
      </c>
      <c r="D303" t="s">
        <v>12352</v>
      </c>
      <c r="E303" t="s">
        <v>1763</v>
      </c>
      <c r="G303" t="s">
        <v>3399</v>
      </c>
      <c r="K303" t="s">
        <v>12208</v>
      </c>
      <c r="S303" t="s">
        <v>169</v>
      </c>
      <c r="T303" t="s">
        <v>4</v>
      </c>
    </row>
    <row r="304" spans="1:20">
      <c r="A304" t="s">
        <v>3498</v>
      </c>
      <c r="B304" t="s">
        <v>3758</v>
      </c>
      <c r="C304" s="101">
        <v>73</v>
      </c>
      <c r="D304" t="s">
        <v>12353</v>
      </c>
      <c r="E304" t="s">
        <v>1622</v>
      </c>
      <c r="G304" t="s">
        <v>3399</v>
      </c>
      <c r="K304" t="s">
        <v>5317</v>
      </c>
      <c r="L304" t="s">
        <v>3768</v>
      </c>
      <c r="S304" t="s">
        <v>179</v>
      </c>
      <c r="T304" t="s">
        <v>4</v>
      </c>
    </row>
    <row r="305" spans="1:20">
      <c r="A305" t="s">
        <v>3498</v>
      </c>
      <c r="B305" t="s">
        <v>3758</v>
      </c>
      <c r="C305" s="101">
        <v>74</v>
      </c>
      <c r="D305" t="s">
        <v>4099</v>
      </c>
      <c r="E305" t="s">
        <v>1765</v>
      </c>
      <c r="G305" t="s">
        <v>3399</v>
      </c>
      <c r="K305" t="s">
        <v>4100</v>
      </c>
      <c r="S305" t="s">
        <v>6</v>
      </c>
      <c r="T305" t="s">
        <v>4</v>
      </c>
    </row>
    <row r="306" spans="1:20">
      <c r="A306" s="101" t="s">
        <v>3463</v>
      </c>
      <c r="B306" s="101" t="s">
        <v>3758</v>
      </c>
      <c r="C306" s="101">
        <v>1001</v>
      </c>
      <c r="D306" s="101" t="s">
        <v>12627</v>
      </c>
      <c r="E306" s="101" t="s">
        <v>12628</v>
      </c>
      <c r="F306" s="101"/>
      <c r="G306" s="101" t="s">
        <v>3399</v>
      </c>
      <c r="H306" s="101"/>
      <c r="I306" s="101"/>
      <c r="J306" s="101"/>
      <c r="K306" s="101" t="s">
        <v>12042</v>
      </c>
      <c r="L306" s="101" t="s">
        <v>12629</v>
      </c>
      <c r="M306" s="101"/>
      <c r="N306" s="101"/>
      <c r="O306" s="101"/>
      <c r="P306" s="101"/>
      <c r="Q306" s="101"/>
      <c r="R306" s="101"/>
      <c r="S306" s="101" t="s">
        <v>606</v>
      </c>
      <c r="T306" s="101" t="s">
        <v>7</v>
      </c>
    </row>
    <row r="307" spans="1:20">
      <c r="A307" s="101" t="s">
        <v>3463</v>
      </c>
      <c r="B307" s="101" t="s">
        <v>3758</v>
      </c>
      <c r="C307" s="101">
        <v>1002</v>
      </c>
      <c r="D307" s="101" t="s">
        <v>12233</v>
      </c>
      <c r="E307" s="101" t="s">
        <v>4898</v>
      </c>
      <c r="F307" s="101"/>
      <c r="G307" s="101" t="s">
        <v>3399</v>
      </c>
      <c r="H307" s="101"/>
      <c r="I307" s="101"/>
      <c r="J307" s="101"/>
      <c r="K307" s="102" t="s">
        <v>12234</v>
      </c>
      <c r="L307" s="102"/>
      <c r="M307" s="102"/>
      <c r="N307" s="102"/>
      <c r="O307" s="102"/>
      <c r="P307" s="102"/>
      <c r="Q307" s="102"/>
      <c r="R307" s="102"/>
      <c r="S307" s="102" t="s">
        <v>6</v>
      </c>
      <c r="T307" s="102" t="s">
        <v>7</v>
      </c>
    </row>
    <row r="308" spans="1:20">
      <c r="A308" s="101" t="s">
        <v>3463</v>
      </c>
      <c r="B308" s="101" t="s">
        <v>3758</v>
      </c>
      <c r="C308" s="101">
        <v>1003</v>
      </c>
      <c r="D308" s="102" t="s">
        <v>12630</v>
      </c>
      <c r="E308" s="102" t="s">
        <v>4898</v>
      </c>
      <c r="F308" s="102"/>
      <c r="G308" s="102" t="s">
        <v>3399</v>
      </c>
      <c r="H308" s="102"/>
      <c r="I308" s="102"/>
      <c r="J308" s="102"/>
      <c r="K308" s="102" t="s">
        <v>12631</v>
      </c>
      <c r="L308" s="102"/>
      <c r="M308" s="102"/>
      <c r="N308" s="102"/>
      <c r="O308" s="102"/>
      <c r="P308" s="102"/>
      <c r="Q308" s="102"/>
      <c r="R308" s="102"/>
      <c r="S308" s="102" t="s">
        <v>171</v>
      </c>
      <c r="T308" s="102" t="s">
        <v>7</v>
      </c>
    </row>
    <row r="309" spans="1:20">
      <c r="A309" s="101" t="s">
        <v>3463</v>
      </c>
      <c r="B309" s="101" t="s">
        <v>3758</v>
      </c>
      <c r="C309" s="101">
        <v>1004</v>
      </c>
      <c r="D309" s="102" t="s">
        <v>12632</v>
      </c>
      <c r="E309" s="102" t="s">
        <v>1606</v>
      </c>
      <c r="F309" s="102"/>
      <c r="G309" s="102" t="s">
        <v>3399</v>
      </c>
      <c r="H309" s="102"/>
      <c r="I309" s="102"/>
      <c r="J309" s="102"/>
      <c r="K309" s="102" t="s">
        <v>12633</v>
      </c>
      <c r="L309" s="102" t="s">
        <v>12634</v>
      </c>
      <c r="M309" s="102"/>
      <c r="N309" s="102"/>
      <c r="O309" s="102"/>
      <c r="P309" s="102"/>
      <c r="Q309" s="102"/>
      <c r="R309" s="102"/>
      <c r="S309" s="102" t="s">
        <v>36</v>
      </c>
      <c r="T309" s="102" t="s">
        <v>7</v>
      </c>
    </row>
    <row r="310" spans="1:20">
      <c r="A310" s="101" t="s">
        <v>3463</v>
      </c>
      <c r="B310" s="101" t="s">
        <v>3758</v>
      </c>
      <c r="C310" s="101">
        <v>1005</v>
      </c>
      <c r="D310" s="102" t="s">
        <v>12635</v>
      </c>
      <c r="E310" s="102" t="s">
        <v>1606</v>
      </c>
      <c r="F310" s="102"/>
      <c r="G310" s="102" t="s">
        <v>3399</v>
      </c>
      <c r="H310" s="102"/>
      <c r="I310" s="102"/>
      <c r="J310" s="102"/>
      <c r="K310" s="102" t="s">
        <v>12636</v>
      </c>
      <c r="L310" s="102" t="s">
        <v>3768</v>
      </c>
      <c r="M310" s="102"/>
      <c r="N310" s="102"/>
      <c r="O310" s="102"/>
      <c r="P310" s="102"/>
      <c r="Q310" s="102"/>
      <c r="R310" s="102"/>
      <c r="S310" s="102" t="s">
        <v>170</v>
      </c>
      <c r="T310" s="102" t="s">
        <v>7</v>
      </c>
    </row>
    <row r="311" spans="1:20">
      <c r="A311" s="101" t="s">
        <v>3463</v>
      </c>
      <c r="B311" s="101" t="s">
        <v>3758</v>
      </c>
      <c r="C311" s="101">
        <v>1006</v>
      </c>
      <c r="D311" s="102" t="s">
        <v>12637</v>
      </c>
      <c r="E311" s="102" t="s">
        <v>1606</v>
      </c>
      <c r="F311" s="102"/>
      <c r="G311" s="102" t="s">
        <v>3399</v>
      </c>
      <c r="H311" s="102"/>
      <c r="I311" s="102"/>
      <c r="J311" s="102"/>
      <c r="K311" s="102" t="s">
        <v>12638</v>
      </c>
      <c r="L311" s="102"/>
      <c r="M311" s="102"/>
      <c r="N311" s="102"/>
      <c r="O311" s="102"/>
      <c r="P311" s="102"/>
      <c r="Q311" s="102"/>
      <c r="R311" s="102"/>
      <c r="S311" s="102" t="s">
        <v>14</v>
      </c>
      <c r="T311" s="102" t="s">
        <v>7</v>
      </c>
    </row>
    <row r="312" spans="1:20">
      <c r="A312" s="101" t="s">
        <v>3463</v>
      </c>
      <c r="B312" s="101" t="s">
        <v>3758</v>
      </c>
      <c r="C312" s="101">
        <v>1007</v>
      </c>
      <c r="D312" s="102" t="s">
        <v>12639</v>
      </c>
      <c r="E312" s="102" t="s">
        <v>1606</v>
      </c>
      <c r="F312" s="102"/>
      <c r="G312" s="102" t="s">
        <v>3399</v>
      </c>
      <c r="H312" s="102"/>
      <c r="I312" s="102"/>
      <c r="J312" s="102"/>
      <c r="K312" s="102" t="s">
        <v>12640</v>
      </c>
      <c r="L312" s="102"/>
      <c r="M312" s="102"/>
      <c r="N312" s="102"/>
      <c r="O312" s="102"/>
      <c r="P312" s="102"/>
      <c r="Q312" s="102"/>
      <c r="R312" s="102"/>
      <c r="S312" s="102" t="s">
        <v>5</v>
      </c>
      <c r="T312" s="102" t="s">
        <v>7</v>
      </c>
    </row>
    <row r="313" spans="1:20">
      <c r="A313" s="101" t="s">
        <v>3463</v>
      </c>
      <c r="B313" s="101" t="s">
        <v>3758</v>
      </c>
      <c r="C313" s="101">
        <v>1008</v>
      </c>
      <c r="D313" s="102" t="s">
        <v>12641</v>
      </c>
      <c r="E313" s="102" t="s">
        <v>1611</v>
      </c>
      <c r="F313" s="102"/>
      <c r="G313" s="102" t="s">
        <v>3399</v>
      </c>
      <c r="H313" s="102"/>
      <c r="I313" s="102"/>
      <c r="J313" s="102"/>
      <c r="K313" s="102" t="s">
        <v>12642</v>
      </c>
      <c r="L313" s="102"/>
      <c r="M313" s="102"/>
      <c r="N313" s="102"/>
      <c r="O313" s="102"/>
      <c r="P313" s="102"/>
      <c r="Q313" s="102"/>
      <c r="R313" s="102"/>
      <c r="S313" s="102" t="s">
        <v>40</v>
      </c>
      <c r="T313" s="102" t="s">
        <v>7</v>
      </c>
    </row>
    <row r="314" spans="1:20">
      <c r="A314" s="101" t="s">
        <v>3463</v>
      </c>
      <c r="B314" s="101" t="s">
        <v>3758</v>
      </c>
      <c r="C314" s="101">
        <v>1009</v>
      </c>
      <c r="D314" s="102" t="s">
        <v>12643</v>
      </c>
      <c r="E314" s="102" t="s">
        <v>1611</v>
      </c>
      <c r="F314" s="102"/>
      <c r="G314" s="102" t="s">
        <v>3399</v>
      </c>
      <c r="H314" s="102"/>
      <c r="I314" s="102"/>
      <c r="J314" s="102"/>
      <c r="K314" s="102" t="s">
        <v>12644</v>
      </c>
      <c r="L314" s="102" t="s">
        <v>3768</v>
      </c>
      <c r="M314" s="102" t="s">
        <v>12645</v>
      </c>
      <c r="N314" s="102"/>
      <c r="O314" s="102"/>
      <c r="P314" s="102"/>
      <c r="Q314" s="102"/>
      <c r="R314" s="102"/>
      <c r="S314" s="102" t="s">
        <v>5719</v>
      </c>
      <c r="T314" s="102" t="s">
        <v>7</v>
      </c>
    </row>
    <row r="315" spans="1:20">
      <c r="A315" s="101" t="s">
        <v>3463</v>
      </c>
      <c r="B315" s="101" t="s">
        <v>3758</v>
      </c>
      <c r="C315" s="101">
        <v>1010</v>
      </c>
      <c r="D315" s="102" t="s">
        <v>12247</v>
      </c>
      <c r="E315" s="102" t="s">
        <v>1611</v>
      </c>
      <c r="F315" s="102"/>
      <c r="G315" s="102" t="s">
        <v>3399</v>
      </c>
      <c r="H315" s="102"/>
      <c r="I315" s="102"/>
      <c r="J315" s="102"/>
      <c r="K315" s="102" t="s">
        <v>12248</v>
      </c>
      <c r="L315" s="102"/>
      <c r="M315" s="102"/>
      <c r="N315" s="102"/>
      <c r="O315" s="102"/>
      <c r="P315" s="102"/>
      <c r="Q315" s="102"/>
      <c r="R315" s="102"/>
      <c r="S315" s="102" t="s">
        <v>181</v>
      </c>
      <c r="T315" s="102" t="s">
        <v>7</v>
      </c>
    </row>
    <row r="316" spans="1:20">
      <c r="A316" s="101" t="s">
        <v>3463</v>
      </c>
      <c r="B316" s="101" t="s">
        <v>3758</v>
      </c>
      <c r="C316" s="101">
        <v>1011</v>
      </c>
      <c r="D316" s="102" t="s">
        <v>12646</v>
      </c>
      <c r="E316" s="102" t="s">
        <v>1611</v>
      </c>
      <c r="F316" s="102"/>
      <c r="G316" s="102" t="s">
        <v>3399</v>
      </c>
      <c r="H316" s="102"/>
      <c r="I316" s="102"/>
      <c r="J316" s="102"/>
      <c r="K316" s="102" t="s">
        <v>12647</v>
      </c>
      <c r="L316" s="102"/>
      <c r="M316" s="102"/>
      <c r="N316" s="102"/>
      <c r="O316" s="102"/>
      <c r="P316" s="102"/>
      <c r="Q316" s="102"/>
      <c r="R316" s="102"/>
      <c r="S316" s="102" t="s">
        <v>26</v>
      </c>
      <c r="T316" s="102" t="s">
        <v>7</v>
      </c>
    </row>
    <row r="317" spans="1:20">
      <c r="A317" s="101" t="s">
        <v>3463</v>
      </c>
      <c r="B317" s="101" t="s">
        <v>3758</v>
      </c>
      <c r="C317" s="101">
        <v>1012</v>
      </c>
      <c r="D317" s="102" t="s">
        <v>12648</v>
      </c>
      <c r="E317" s="102" t="s">
        <v>1611</v>
      </c>
      <c r="F317" s="102"/>
      <c r="G317" s="102" t="s">
        <v>3399</v>
      </c>
      <c r="H317" s="102"/>
      <c r="I317" s="102"/>
      <c r="J317" s="102"/>
      <c r="K317" s="102" t="s">
        <v>7296</v>
      </c>
      <c r="L317" s="102" t="s">
        <v>12649</v>
      </c>
      <c r="M317" s="102"/>
      <c r="N317" s="102"/>
      <c r="O317" s="102"/>
      <c r="P317" s="102"/>
      <c r="Q317" s="102"/>
      <c r="R317" s="102"/>
      <c r="S317" s="102" t="s">
        <v>37</v>
      </c>
      <c r="T317" s="102" t="s">
        <v>7</v>
      </c>
    </row>
    <row r="318" spans="1:20">
      <c r="A318" s="101" t="s">
        <v>3463</v>
      </c>
      <c r="B318" s="101" t="s">
        <v>3758</v>
      </c>
      <c r="C318" s="101">
        <v>1013</v>
      </c>
      <c r="D318" s="102" t="s">
        <v>12650</v>
      </c>
      <c r="E318" s="102" t="s">
        <v>1611</v>
      </c>
      <c r="F318" s="102"/>
      <c r="G318" s="102" t="s">
        <v>3399</v>
      </c>
      <c r="H318" s="102"/>
      <c r="I318" s="102"/>
      <c r="J318" s="102"/>
      <c r="K318" s="102" t="s">
        <v>12651</v>
      </c>
      <c r="L318" s="102"/>
      <c r="M318" s="102"/>
      <c r="N318" s="102"/>
      <c r="O318" s="102"/>
      <c r="P318" s="102"/>
      <c r="Q318" s="102"/>
      <c r="R318" s="102"/>
      <c r="S318" s="102" t="s">
        <v>175</v>
      </c>
      <c r="T318" s="102" t="s">
        <v>7</v>
      </c>
    </row>
    <row r="319" spans="1:20">
      <c r="A319" s="101" t="s">
        <v>3463</v>
      </c>
      <c r="B319" s="101" t="s">
        <v>3758</v>
      </c>
      <c r="C319" s="101">
        <v>1014</v>
      </c>
      <c r="D319" s="102" t="s">
        <v>12652</v>
      </c>
      <c r="E319" s="102" t="s">
        <v>1611</v>
      </c>
      <c r="F319" s="102"/>
      <c r="G319" s="102" t="s">
        <v>3399</v>
      </c>
      <c r="H319" s="102"/>
      <c r="I319" s="102"/>
      <c r="J319" s="102"/>
      <c r="K319" s="102" t="s">
        <v>12653</v>
      </c>
      <c r="L319" s="102"/>
      <c r="M319" s="102"/>
      <c r="N319" s="102"/>
      <c r="O319" s="102"/>
      <c r="P319" s="102"/>
      <c r="Q319" s="102"/>
      <c r="R319" s="102"/>
      <c r="S319" s="102" t="s">
        <v>28</v>
      </c>
      <c r="T319" s="102" t="s">
        <v>7</v>
      </c>
    </row>
    <row r="320" spans="1:20">
      <c r="A320" s="101" t="s">
        <v>3463</v>
      </c>
      <c r="B320" s="101" t="s">
        <v>3758</v>
      </c>
      <c r="C320" s="101">
        <v>1015</v>
      </c>
      <c r="D320" s="102" t="s">
        <v>12654</v>
      </c>
      <c r="E320" s="102" t="s">
        <v>1611</v>
      </c>
      <c r="F320" s="102"/>
      <c r="G320" s="102" t="s">
        <v>3399</v>
      </c>
      <c r="H320" s="102"/>
      <c r="I320" s="102"/>
      <c r="J320" s="102"/>
      <c r="K320" s="102" t="s">
        <v>12655</v>
      </c>
      <c r="L320" s="102"/>
      <c r="M320" s="102"/>
      <c r="N320" s="102"/>
      <c r="O320" s="102"/>
      <c r="P320" s="102"/>
      <c r="Q320" s="102"/>
      <c r="R320" s="102"/>
      <c r="S320" s="102" t="s">
        <v>5719</v>
      </c>
      <c r="T320" s="102" t="s">
        <v>7</v>
      </c>
    </row>
    <row r="321" spans="1:20">
      <c r="A321" s="101" t="s">
        <v>3463</v>
      </c>
      <c r="B321" s="101" t="s">
        <v>3758</v>
      </c>
      <c r="C321" s="101">
        <v>1016</v>
      </c>
      <c r="D321" s="102" t="s">
        <v>12656</v>
      </c>
      <c r="E321" s="102" t="s">
        <v>1611</v>
      </c>
      <c r="F321" s="102"/>
      <c r="G321" s="102" t="s">
        <v>3399</v>
      </c>
      <c r="H321" s="102"/>
      <c r="I321" s="102"/>
      <c r="J321" s="102"/>
      <c r="K321" s="102" t="s">
        <v>12657</v>
      </c>
      <c r="L321" s="102"/>
      <c r="M321" s="102"/>
      <c r="N321" s="102"/>
      <c r="O321" s="102"/>
      <c r="P321" s="102"/>
      <c r="Q321" s="102"/>
      <c r="R321" s="102"/>
      <c r="S321" s="102" t="s">
        <v>171</v>
      </c>
      <c r="T321" s="102" t="s">
        <v>7</v>
      </c>
    </row>
    <row r="322" spans="1:20">
      <c r="A322" s="101" t="s">
        <v>3463</v>
      </c>
      <c r="B322" s="101" t="s">
        <v>3758</v>
      </c>
      <c r="C322" s="101">
        <v>1017</v>
      </c>
      <c r="D322" s="102" t="s">
        <v>12658</v>
      </c>
      <c r="E322" s="102" t="s">
        <v>1611</v>
      </c>
      <c r="F322" s="102"/>
      <c r="G322" s="102" t="s">
        <v>3399</v>
      </c>
      <c r="H322" s="102"/>
      <c r="I322" s="102"/>
      <c r="J322" s="102"/>
      <c r="K322" s="102" t="s">
        <v>12659</v>
      </c>
      <c r="L322" s="102" t="s">
        <v>7169</v>
      </c>
      <c r="M322" s="102"/>
      <c r="N322" s="102"/>
      <c r="O322" s="102"/>
      <c r="P322" s="102"/>
      <c r="Q322" s="102"/>
      <c r="R322" s="102"/>
      <c r="S322" s="102" t="s">
        <v>44</v>
      </c>
      <c r="T322" s="102" t="s">
        <v>7</v>
      </c>
    </row>
    <row r="323" spans="1:20">
      <c r="A323" s="101" t="s">
        <v>3463</v>
      </c>
      <c r="B323" s="101" t="s">
        <v>3758</v>
      </c>
      <c r="C323" s="101">
        <v>1018</v>
      </c>
      <c r="D323" s="102" t="s">
        <v>12660</v>
      </c>
      <c r="E323" s="102" t="s">
        <v>1611</v>
      </c>
      <c r="F323" s="102"/>
      <c r="G323" s="102" t="s">
        <v>3399</v>
      </c>
      <c r="H323" s="102"/>
      <c r="I323" s="102"/>
      <c r="J323" s="102"/>
      <c r="K323" s="102" t="s">
        <v>12661</v>
      </c>
      <c r="L323" s="102" t="s">
        <v>12662</v>
      </c>
      <c r="M323" s="102"/>
      <c r="N323" s="102"/>
      <c r="O323" s="102"/>
      <c r="P323" s="102"/>
      <c r="Q323" s="102"/>
      <c r="R323" s="102"/>
      <c r="S323" s="102" t="s">
        <v>48</v>
      </c>
      <c r="T323" s="102" t="s">
        <v>7</v>
      </c>
    </row>
    <row r="324" spans="1:20">
      <c r="A324" s="101" t="s">
        <v>3463</v>
      </c>
      <c r="B324" s="101" t="s">
        <v>3758</v>
      </c>
      <c r="C324" s="101">
        <v>1019</v>
      </c>
      <c r="D324" s="102" t="s">
        <v>12663</v>
      </c>
      <c r="E324" s="102" t="s">
        <v>1611</v>
      </c>
      <c r="F324" s="102"/>
      <c r="G324" s="102" t="s">
        <v>3399</v>
      </c>
      <c r="H324" s="102"/>
      <c r="I324" s="102"/>
      <c r="J324" s="102"/>
      <c r="K324" s="102" t="s">
        <v>12664</v>
      </c>
      <c r="L324" s="102" t="s">
        <v>12309</v>
      </c>
      <c r="M324" s="102"/>
      <c r="N324" s="102"/>
      <c r="O324" s="102"/>
      <c r="P324" s="102"/>
      <c r="Q324" s="102"/>
      <c r="R324" s="102"/>
      <c r="S324" s="102" t="s">
        <v>36</v>
      </c>
      <c r="T324" s="102" t="s">
        <v>7</v>
      </c>
    </row>
    <row r="325" spans="1:20">
      <c r="A325" s="101" t="s">
        <v>3463</v>
      </c>
      <c r="B325" s="101" t="s">
        <v>3758</v>
      </c>
      <c r="C325" s="101">
        <v>1020</v>
      </c>
      <c r="D325" s="102" t="s">
        <v>12665</v>
      </c>
      <c r="E325" s="102" t="s">
        <v>1618</v>
      </c>
      <c r="F325" s="102"/>
      <c r="G325" s="102" t="s">
        <v>3399</v>
      </c>
      <c r="H325" s="102"/>
      <c r="I325" s="102"/>
      <c r="J325" s="102"/>
      <c r="K325" s="102" t="s">
        <v>12666</v>
      </c>
      <c r="L325" s="102"/>
      <c r="M325" s="102"/>
      <c r="N325" s="102"/>
      <c r="O325" s="102"/>
      <c r="P325" s="102"/>
      <c r="Q325" s="102"/>
      <c r="R325" s="102"/>
      <c r="S325" s="102" t="s">
        <v>53</v>
      </c>
      <c r="T325" s="102" t="s">
        <v>7</v>
      </c>
    </row>
    <row r="326" spans="1:20">
      <c r="A326" s="101" t="s">
        <v>3463</v>
      </c>
      <c r="B326" s="101" t="s">
        <v>3758</v>
      </c>
      <c r="C326" s="101">
        <v>1021</v>
      </c>
      <c r="D326" s="102" t="s">
        <v>12667</v>
      </c>
      <c r="E326" s="102" t="s">
        <v>1618</v>
      </c>
      <c r="F326" s="102"/>
      <c r="G326" s="102" t="s">
        <v>3399</v>
      </c>
      <c r="H326" s="102"/>
      <c r="I326" s="102"/>
      <c r="J326" s="102"/>
      <c r="K326" s="102" t="s">
        <v>12668</v>
      </c>
      <c r="L326" s="102"/>
      <c r="M326" s="102"/>
      <c r="N326" s="102"/>
      <c r="O326" s="102"/>
      <c r="P326" s="102"/>
      <c r="Q326" s="102"/>
      <c r="R326" s="102"/>
      <c r="S326" s="102" t="s">
        <v>176</v>
      </c>
      <c r="T326" s="102" t="s">
        <v>7</v>
      </c>
    </row>
    <row r="327" spans="1:20">
      <c r="A327" s="101" t="s">
        <v>3463</v>
      </c>
      <c r="B327" s="101" t="s">
        <v>3758</v>
      </c>
      <c r="C327" s="101">
        <v>1022</v>
      </c>
      <c r="D327" s="102" t="s">
        <v>12669</v>
      </c>
      <c r="E327" s="102" t="s">
        <v>1618</v>
      </c>
      <c r="F327" s="102"/>
      <c r="G327" s="102" t="s">
        <v>3399</v>
      </c>
      <c r="H327" s="102"/>
      <c r="I327" s="102"/>
      <c r="J327" s="102"/>
      <c r="K327" s="102" t="s">
        <v>12670</v>
      </c>
      <c r="L327" s="102" t="s">
        <v>12671</v>
      </c>
      <c r="M327" s="102"/>
      <c r="N327" s="102"/>
      <c r="O327" s="102"/>
      <c r="P327" s="102"/>
      <c r="Q327" s="102"/>
      <c r="R327" s="102"/>
      <c r="S327" s="102" t="s">
        <v>183</v>
      </c>
      <c r="T327" s="102" t="s">
        <v>7</v>
      </c>
    </row>
    <row r="328" spans="1:20">
      <c r="A328" s="101" t="s">
        <v>3463</v>
      </c>
      <c r="B328" s="101" t="s">
        <v>3758</v>
      </c>
      <c r="C328" s="101">
        <v>1023</v>
      </c>
      <c r="D328" s="102" t="s">
        <v>12672</v>
      </c>
      <c r="E328" s="102" t="s">
        <v>1618</v>
      </c>
      <c r="F328" s="102"/>
      <c r="G328" s="102" t="s">
        <v>3399</v>
      </c>
      <c r="H328" s="102"/>
      <c r="I328" s="102"/>
      <c r="J328" s="102"/>
      <c r="K328" s="102" t="s">
        <v>12673</v>
      </c>
      <c r="L328" s="102"/>
      <c r="M328" s="102"/>
      <c r="N328" s="102"/>
      <c r="O328" s="102"/>
      <c r="P328" s="102"/>
      <c r="Q328" s="102"/>
      <c r="R328" s="102"/>
      <c r="S328" s="102" t="s">
        <v>29</v>
      </c>
      <c r="T328" s="102" t="s">
        <v>7</v>
      </c>
    </row>
    <row r="329" spans="1:20">
      <c r="A329" s="101" t="s">
        <v>3463</v>
      </c>
      <c r="B329" s="101" t="s">
        <v>3758</v>
      </c>
      <c r="C329" s="101">
        <v>1024</v>
      </c>
      <c r="D329" s="102" t="s">
        <v>12674</v>
      </c>
      <c r="E329" s="102" t="s">
        <v>1618</v>
      </c>
      <c r="F329" s="102"/>
      <c r="G329" s="102" t="s">
        <v>3399</v>
      </c>
      <c r="H329" s="102"/>
      <c r="I329" s="102"/>
      <c r="J329" s="102"/>
      <c r="K329" s="102" t="s">
        <v>12675</v>
      </c>
      <c r="L329" s="102" t="s">
        <v>12676</v>
      </c>
      <c r="M329" s="102"/>
      <c r="N329" s="102"/>
      <c r="O329" s="102"/>
      <c r="P329" s="102"/>
      <c r="Q329" s="102"/>
      <c r="R329" s="102"/>
      <c r="S329" s="102" t="s">
        <v>38</v>
      </c>
      <c r="T329" s="102" t="s">
        <v>7</v>
      </c>
    </row>
    <row r="330" spans="1:20">
      <c r="A330" s="101" t="s">
        <v>3463</v>
      </c>
      <c r="B330" s="101" t="s">
        <v>3758</v>
      </c>
      <c r="C330" s="101">
        <v>1025</v>
      </c>
      <c r="D330" s="102" t="s">
        <v>12677</v>
      </c>
      <c r="E330" s="102" t="s">
        <v>1618</v>
      </c>
      <c r="F330" s="102"/>
      <c r="G330" s="102" t="s">
        <v>3399</v>
      </c>
      <c r="H330" s="102"/>
      <c r="I330" s="102"/>
      <c r="J330" s="102"/>
      <c r="K330" s="102" t="s">
        <v>12046</v>
      </c>
      <c r="L330" s="102"/>
      <c r="M330" s="102"/>
      <c r="N330" s="102"/>
      <c r="O330" s="102"/>
      <c r="P330" s="102"/>
      <c r="Q330" s="102"/>
      <c r="R330" s="102"/>
      <c r="S330" s="102" t="s">
        <v>182</v>
      </c>
      <c r="T330" s="102" t="s">
        <v>7</v>
      </c>
    </row>
    <row r="331" spans="1:20">
      <c r="A331" s="101" t="s">
        <v>3463</v>
      </c>
      <c r="B331" s="101" t="s">
        <v>3758</v>
      </c>
      <c r="C331" s="101">
        <v>1026</v>
      </c>
      <c r="D331" s="102" t="s">
        <v>12678</v>
      </c>
      <c r="E331" s="102" t="s">
        <v>1618</v>
      </c>
      <c r="F331" s="102"/>
      <c r="G331" s="102" t="s">
        <v>3399</v>
      </c>
      <c r="H331" s="102"/>
      <c r="I331" s="102"/>
      <c r="J331" s="102"/>
      <c r="K331" s="102" t="s">
        <v>12679</v>
      </c>
      <c r="L331" s="102" t="s">
        <v>12333</v>
      </c>
      <c r="M331" s="102"/>
      <c r="N331" s="102"/>
      <c r="O331" s="102"/>
      <c r="P331" s="102"/>
      <c r="Q331" s="102"/>
      <c r="R331" s="102"/>
      <c r="S331" s="102" t="s">
        <v>30</v>
      </c>
      <c r="T331" s="102" t="s">
        <v>7</v>
      </c>
    </row>
    <row r="332" spans="1:20">
      <c r="A332" s="101" t="s">
        <v>3463</v>
      </c>
      <c r="B332" s="101" t="s">
        <v>3758</v>
      </c>
      <c r="C332" s="101">
        <v>1027</v>
      </c>
      <c r="D332" s="102" t="s">
        <v>12680</v>
      </c>
      <c r="E332" s="102" t="s">
        <v>1618</v>
      </c>
      <c r="F332" s="102"/>
      <c r="G332" s="102" t="s">
        <v>3399</v>
      </c>
      <c r="H332" s="102"/>
      <c r="I332" s="102"/>
      <c r="J332" s="102"/>
      <c r="K332" s="102" t="s">
        <v>12681</v>
      </c>
      <c r="L332" s="102"/>
      <c r="M332" s="102"/>
      <c r="N332" s="102"/>
      <c r="O332" s="102"/>
      <c r="P332" s="102"/>
      <c r="Q332" s="102"/>
      <c r="R332" s="102"/>
      <c r="S332" s="102" t="s">
        <v>5685</v>
      </c>
      <c r="T332" s="102" t="s">
        <v>7</v>
      </c>
    </row>
    <row r="333" spans="1:20">
      <c r="A333" s="101" t="s">
        <v>3463</v>
      </c>
      <c r="B333" s="101" t="s">
        <v>3758</v>
      </c>
      <c r="C333" s="101">
        <v>1028</v>
      </c>
      <c r="D333" s="102" t="s">
        <v>12682</v>
      </c>
      <c r="E333" s="102" t="s">
        <v>1618</v>
      </c>
      <c r="F333" s="102"/>
      <c r="G333" s="102" t="s">
        <v>3399</v>
      </c>
      <c r="H333" s="102"/>
      <c r="I333" s="102"/>
      <c r="J333" s="102"/>
      <c r="K333" s="102" t="s">
        <v>12683</v>
      </c>
      <c r="L333" s="102"/>
      <c r="M333" s="102"/>
      <c r="N333" s="102"/>
      <c r="O333" s="102"/>
      <c r="P333" s="102"/>
      <c r="Q333" s="102"/>
      <c r="R333" s="102"/>
      <c r="S333" s="102" t="s">
        <v>3119</v>
      </c>
      <c r="T333" s="102" t="s">
        <v>7</v>
      </c>
    </row>
    <row r="334" spans="1:20">
      <c r="A334" s="101" t="s">
        <v>3463</v>
      </c>
      <c r="B334" s="101" t="s">
        <v>3758</v>
      </c>
      <c r="C334" s="101">
        <v>1029</v>
      </c>
      <c r="D334" s="102" t="s">
        <v>12684</v>
      </c>
      <c r="E334" s="102" t="s">
        <v>1618</v>
      </c>
      <c r="F334" s="102"/>
      <c r="G334" s="102" t="s">
        <v>3399</v>
      </c>
      <c r="H334" s="102"/>
      <c r="I334" s="102"/>
      <c r="J334" s="102"/>
      <c r="K334" s="102" t="s">
        <v>4277</v>
      </c>
      <c r="L334" s="102" t="s">
        <v>4278</v>
      </c>
      <c r="M334" s="102" t="s">
        <v>5437</v>
      </c>
      <c r="N334" s="102"/>
      <c r="O334" s="102"/>
      <c r="P334" s="102"/>
      <c r="Q334" s="102"/>
      <c r="R334" s="102"/>
      <c r="S334" s="102" t="s">
        <v>27</v>
      </c>
      <c r="T334" s="102" t="s">
        <v>7</v>
      </c>
    </row>
    <row r="335" spans="1:20">
      <c r="A335" s="101" t="s">
        <v>3463</v>
      </c>
      <c r="B335" s="101" t="s">
        <v>3758</v>
      </c>
      <c r="C335" s="101">
        <v>1030</v>
      </c>
      <c r="D335" s="102" t="s">
        <v>12685</v>
      </c>
      <c r="E335" s="102" t="s">
        <v>1618</v>
      </c>
      <c r="F335" s="102"/>
      <c r="G335" s="102" t="s">
        <v>3399</v>
      </c>
      <c r="H335" s="102"/>
      <c r="I335" s="102"/>
      <c r="J335" s="102"/>
      <c r="K335" s="102" t="s">
        <v>12686</v>
      </c>
      <c r="L335" s="102"/>
      <c r="M335" s="102"/>
      <c r="N335" s="102"/>
      <c r="O335" s="102"/>
      <c r="P335" s="102"/>
      <c r="Q335" s="102"/>
      <c r="R335" s="102"/>
      <c r="S335" s="102" t="s">
        <v>171</v>
      </c>
      <c r="T335" s="102" t="s">
        <v>7</v>
      </c>
    </row>
    <row r="336" spans="1:20">
      <c r="A336" s="101" t="s">
        <v>3463</v>
      </c>
      <c r="B336" s="101" t="s">
        <v>3758</v>
      </c>
      <c r="C336" s="101">
        <v>1031</v>
      </c>
      <c r="D336" s="102" t="s">
        <v>12687</v>
      </c>
      <c r="E336" s="102" t="s">
        <v>1618</v>
      </c>
      <c r="F336" s="102"/>
      <c r="G336" s="102" t="s">
        <v>3399</v>
      </c>
      <c r="H336" s="102"/>
      <c r="I336" s="102"/>
      <c r="J336" s="102"/>
      <c r="K336" s="102" t="s">
        <v>12688</v>
      </c>
      <c r="L336" s="102"/>
      <c r="M336" s="102"/>
      <c r="N336" s="102"/>
      <c r="O336" s="102"/>
      <c r="P336" s="102"/>
      <c r="Q336" s="102"/>
      <c r="R336" s="102"/>
      <c r="S336" s="102" t="s">
        <v>10</v>
      </c>
      <c r="T336" s="102" t="s">
        <v>7</v>
      </c>
    </row>
    <row r="337" spans="1:20">
      <c r="A337" s="101" t="s">
        <v>3463</v>
      </c>
      <c r="B337" s="101" t="s">
        <v>3758</v>
      </c>
      <c r="C337" s="101">
        <v>1032</v>
      </c>
      <c r="D337" s="102" t="s">
        <v>12689</v>
      </c>
      <c r="E337" s="102" t="s">
        <v>1618</v>
      </c>
      <c r="F337" s="102"/>
      <c r="G337" s="102" t="s">
        <v>3399</v>
      </c>
      <c r="H337" s="102"/>
      <c r="I337" s="102"/>
      <c r="J337" s="102"/>
      <c r="K337" s="102" t="s">
        <v>12690</v>
      </c>
      <c r="L337" s="102"/>
      <c r="M337" s="102"/>
      <c r="N337" s="102"/>
      <c r="O337" s="102"/>
      <c r="P337" s="102"/>
      <c r="Q337" s="102"/>
      <c r="R337" s="102"/>
      <c r="S337" s="102" t="s">
        <v>5</v>
      </c>
      <c r="T337" s="102" t="s">
        <v>7</v>
      </c>
    </row>
    <row r="338" spans="1:20">
      <c r="A338" s="101" t="s">
        <v>3463</v>
      </c>
      <c r="B338" s="101" t="s">
        <v>3758</v>
      </c>
      <c r="C338" s="101">
        <v>1033</v>
      </c>
      <c r="D338" s="102" t="s">
        <v>12691</v>
      </c>
      <c r="E338" s="102" t="s">
        <v>1620</v>
      </c>
      <c r="F338" s="102"/>
      <c r="G338" s="102" t="s">
        <v>3399</v>
      </c>
      <c r="H338" s="102"/>
      <c r="I338" s="102"/>
      <c r="J338" s="102"/>
      <c r="K338" s="102" t="s">
        <v>12692</v>
      </c>
      <c r="L338" s="102"/>
      <c r="M338" s="102"/>
      <c r="N338" s="102"/>
      <c r="O338" s="102"/>
      <c r="P338" s="102"/>
      <c r="Q338" s="102"/>
      <c r="R338" s="102"/>
      <c r="S338" s="102" t="s">
        <v>605</v>
      </c>
      <c r="T338" s="102" t="s">
        <v>7</v>
      </c>
    </row>
    <row r="339" spans="1:20">
      <c r="A339" s="101" t="s">
        <v>3463</v>
      </c>
      <c r="B339" s="101" t="s">
        <v>3758</v>
      </c>
      <c r="C339" s="101">
        <v>1034</v>
      </c>
      <c r="D339" s="102" t="s">
        <v>12693</v>
      </c>
      <c r="E339" s="102" t="s">
        <v>1620</v>
      </c>
      <c r="F339" s="102"/>
      <c r="G339" s="102" t="s">
        <v>3399</v>
      </c>
      <c r="H339" s="102"/>
      <c r="I339" s="102"/>
      <c r="J339" s="102"/>
      <c r="K339" s="102" t="s">
        <v>12694</v>
      </c>
      <c r="L339" s="102"/>
      <c r="M339" s="102"/>
      <c r="N339" s="102"/>
      <c r="O339" s="102"/>
      <c r="P339" s="102"/>
      <c r="Q339" s="102"/>
      <c r="R339" s="102"/>
      <c r="S339" s="102" t="s">
        <v>38</v>
      </c>
      <c r="T339" s="102" t="s">
        <v>7</v>
      </c>
    </row>
    <row r="340" spans="1:20">
      <c r="A340" s="101" t="s">
        <v>3463</v>
      </c>
      <c r="B340" s="101" t="s">
        <v>3758</v>
      </c>
      <c r="C340" s="101">
        <v>1035</v>
      </c>
      <c r="D340" s="102" t="s">
        <v>12695</v>
      </c>
      <c r="E340" s="102" t="s">
        <v>1620</v>
      </c>
      <c r="F340" s="102"/>
      <c r="G340" s="102" t="s">
        <v>3447</v>
      </c>
      <c r="H340" s="102" t="s">
        <v>13402</v>
      </c>
      <c r="I340" s="102"/>
      <c r="J340" s="102"/>
      <c r="K340" s="102" t="s">
        <v>12696</v>
      </c>
      <c r="L340" s="102" t="s">
        <v>12697</v>
      </c>
      <c r="M340" s="102"/>
      <c r="N340" s="102"/>
      <c r="O340" s="102"/>
      <c r="P340" s="102"/>
      <c r="Q340" s="102"/>
      <c r="R340" s="102"/>
      <c r="S340" s="102" t="s">
        <v>3119</v>
      </c>
      <c r="T340" s="102" t="s">
        <v>7</v>
      </c>
    </row>
    <row r="341" spans="1:20">
      <c r="A341" s="101" t="s">
        <v>3463</v>
      </c>
      <c r="B341" s="101" t="s">
        <v>3758</v>
      </c>
      <c r="C341" s="101">
        <v>1036</v>
      </c>
      <c r="D341" s="102" t="s">
        <v>12698</v>
      </c>
      <c r="E341" s="102" t="s">
        <v>1620</v>
      </c>
      <c r="F341" s="102"/>
      <c r="G341" s="102" t="s">
        <v>3399</v>
      </c>
      <c r="H341" s="102"/>
      <c r="I341" s="102"/>
      <c r="J341" s="102"/>
      <c r="K341" s="102" t="s">
        <v>12699</v>
      </c>
      <c r="L341" s="102"/>
      <c r="M341" s="102"/>
      <c r="N341" s="102"/>
      <c r="O341" s="102"/>
      <c r="P341" s="102"/>
      <c r="Q341" s="102"/>
      <c r="R341" s="102"/>
      <c r="S341" s="102" t="s">
        <v>18</v>
      </c>
      <c r="T341" s="102" t="s">
        <v>7</v>
      </c>
    </row>
    <row r="342" spans="1:20">
      <c r="A342" s="101" t="s">
        <v>3463</v>
      </c>
      <c r="B342" s="101" t="s">
        <v>3758</v>
      </c>
      <c r="C342" s="101">
        <v>1037</v>
      </c>
      <c r="D342" s="102" t="s">
        <v>12700</v>
      </c>
      <c r="E342" s="102" t="s">
        <v>1620</v>
      </c>
      <c r="F342" s="102"/>
      <c r="G342" s="102" t="s">
        <v>3399</v>
      </c>
      <c r="H342" s="102"/>
      <c r="I342" s="102"/>
      <c r="J342" s="102"/>
      <c r="K342" s="102" t="s">
        <v>12701</v>
      </c>
      <c r="L342" s="102" t="s">
        <v>12702</v>
      </c>
      <c r="M342" s="102" t="s">
        <v>12703</v>
      </c>
      <c r="N342" s="102"/>
      <c r="O342" s="102"/>
      <c r="P342" s="102"/>
      <c r="Q342" s="102"/>
      <c r="R342" s="102"/>
      <c r="S342" s="102" t="s">
        <v>33</v>
      </c>
      <c r="T342" s="102" t="s">
        <v>7</v>
      </c>
    </row>
    <row r="343" spans="1:20">
      <c r="A343" s="101" t="s">
        <v>3463</v>
      </c>
      <c r="B343" s="101" t="s">
        <v>3758</v>
      </c>
      <c r="C343" s="101">
        <v>1038</v>
      </c>
      <c r="D343" s="102" t="s">
        <v>12704</v>
      </c>
      <c r="E343" s="102" t="s">
        <v>1620</v>
      </c>
      <c r="F343" s="102"/>
      <c r="G343" s="102" t="s">
        <v>3399</v>
      </c>
      <c r="H343" s="102"/>
      <c r="I343" s="102"/>
      <c r="J343" s="102"/>
      <c r="K343" s="102" t="s">
        <v>12705</v>
      </c>
      <c r="L343" s="102" t="s">
        <v>12706</v>
      </c>
      <c r="M343" s="102"/>
      <c r="N343" s="102"/>
      <c r="O343" s="102"/>
      <c r="P343" s="102"/>
      <c r="Q343" s="102"/>
      <c r="R343" s="102"/>
      <c r="S343" s="102" t="s">
        <v>5281</v>
      </c>
      <c r="T343" s="102" t="s">
        <v>7</v>
      </c>
    </row>
    <row r="344" spans="1:20">
      <c r="A344" s="101" t="s">
        <v>3463</v>
      </c>
      <c r="B344" s="101" t="s">
        <v>3758</v>
      </c>
      <c r="C344" s="101">
        <v>1039</v>
      </c>
      <c r="D344" s="102" t="s">
        <v>12707</v>
      </c>
      <c r="E344" s="102" t="s">
        <v>1620</v>
      </c>
      <c r="F344" s="102"/>
      <c r="G344" s="102" t="s">
        <v>3399</v>
      </c>
      <c r="H344" s="102"/>
      <c r="I344" s="102"/>
      <c r="J344" s="102"/>
      <c r="K344" s="102" t="s">
        <v>12708</v>
      </c>
      <c r="L344" s="102"/>
      <c r="M344" s="102"/>
      <c r="N344" s="102"/>
      <c r="O344" s="102"/>
      <c r="P344" s="102"/>
      <c r="Q344" s="102"/>
      <c r="R344" s="102"/>
      <c r="S344" s="102" t="s">
        <v>40</v>
      </c>
      <c r="T344" s="102" t="s">
        <v>7</v>
      </c>
    </row>
    <row r="345" spans="1:20">
      <c r="A345" s="101" t="s">
        <v>3463</v>
      </c>
      <c r="B345" s="101" t="s">
        <v>3758</v>
      </c>
      <c r="C345" s="101">
        <v>1040</v>
      </c>
      <c r="D345" s="102" t="s">
        <v>12709</v>
      </c>
      <c r="E345" s="102" t="s">
        <v>1620</v>
      </c>
      <c r="F345" s="102"/>
      <c r="G345" s="102" t="s">
        <v>3399</v>
      </c>
      <c r="H345" s="102"/>
      <c r="I345" s="102"/>
      <c r="J345" s="102"/>
      <c r="K345" s="102" t="s">
        <v>12710</v>
      </c>
      <c r="L345" s="102"/>
      <c r="M345" s="102"/>
      <c r="N345" s="102"/>
      <c r="O345" s="102"/>
      <c r="P345" s="102"/>
      <c r="Q345" s="102"/>
      <c r="R345" s="102"/>
      <c r="S345" s="102" t="s">
        <v>32</v>
      </c>
      <c r="T345" s="102" t="s">
        <v>7</v>
      </c>
    </row>
    <row r="346" spans="1:20">
      <c r="A346" s="101" t="s">
        <v>3463</v>
      </c>
      <c r="B346" s="101" t="s">
        <v>3758</v>
      </c>
      <c r="C346" s="101">
        <v>1041</v>
      </c>
      <c r="D346" s="102" t="s">
        <v>12711</v>
      </c>
      <c r="E346" s="102" t="s">
        <v>1620</v>
      </c>
      <c r="F346" s="102"/>
      <c r="G346" s="102" t="s">
        <v>3399</v>
      </c>
      <c r="H346" s="102"/>
      <c r="I346" s="102"/>
      <c r="J346" s="102"/>
      <c r="K346" s="102" t="s">
        <v>12712</v>
      </c>
      <c r="L346" s="102"/>
      <c r="M346" s="102"/>
      <c r="N346" s="102"/>
      <c r="O346" s="102"/>
      <c r="P346" s="102"/>
      <c r="Q346" s="102"/>
      <c r="R346" s="102"/>
      <c r="S346" s="102" t="s">
        <v>11</v>
      </c>
      <c r="T346" s="102" t="s">
        <v>7</v>
      </c>
    </row>
    <row r="347" spans="1:20">
      <c r="A347" s="101" t="s">
        <v>3463</v>
      </c>
      <c r="B347" s="101" t="s">
        <v>3758</v>
      </c>
      <c r="C347" s="101">
        <v>1042</v>
      </c>
      <c r="D347" s="102" t="s">
        <v>12713</v>
      </c>
      <c r="E347" s="102" t="s">
        <v>1620</v>
      </c>
      <c r="F347" s="102"/>
      <c r="G347" s="102" t="s">
        <v>3399</v>
      </c>
      <c r="H347" s="102"/>
      <c r="I347" s="102"/>
      <c r="J347" s="102"/>
      <c r="K347" s="102" t="s">
        <v>12714</v>
      </c>
      <c r="L347" s="102"/>
      <c r="M347" s="102"/>
      <c r="N347" s="102"/>
      <c r="O347" s="102"/>
      <c r="P347" s="102"/>
      <c r="Q347" s="102"/>
      <c r="R347" s="102"/>
      <c r="S347" s="102" t="s">
        <v>181</v>
      </c>
      <c r="T347" s="102" t="s">
        <v>7</v>
      </c>
    </row>
    <row r="348" spans="1:20">
      <c r="A348" s="101" t="s">
        <v>3463</v>
      </c>
      <c r="B348" s="101" t="s">
        <v>3758</v>
      </c>
      <c r="C348" s="101">
        <v>1043</v>
      </c>
      <c r="D348" s="102" t="s">
        <v>12715</v>
      </c>
      <c r="E348" s="102" t="s">
        <v>1621</v>
      </c>
      <c r="F348" s="102"/>
      <c r="G348" s="102" t="s">
        <v>3399</v>
      </c>
      <c r="H348" s="102"/>
      <c r="I348" s="102"/>
      <c r="J348" s="102"/>
      <c r="K348" s="102" t="s">
        <v>7432</v>
      </c>
      <c r="L348" s="102"/>
      <c r="M348" s="102"/>
      <c r="N348" s="102"/>
      <c r="O348" s="102"/>
      <c r="P348" s="102"/>
      <c r="Q348" s="102"/>
      <c r="R348" s="102"/>
      <c r="S348" s="102" t="s">
        <v>33</v>
      </c>
      <c r="T348" s="102" t="s">
        <v>7</v>
      </c>
    </row>
    <row r="349" spans="1:20">
      <c r="A349" s="101" t="s">
        <v>3463</v>
      </c>
      <c r="B349" s="101" t="s">
        <v>3758</v>
      </c>
      <c r="C349" s="101">
        <v>1044</v>
      </c>
      <c r="D349" s="102" t="s">
        <v>12716</v>
      </c>
      <c r="E349" s="102" t="s">
        <v>1620</v>
      </c>
      <c r="F349" s="102"/>
      <c r="G349" s="102" t="s">
        <v>3399</v>
      </c>
      <c r="H349" s="102"/>
      <c r="I349" s="102"/>
      <c r="J349" s="102"/>
      <c r="K349" s="102" t="s">
        <v>12717</v>
      </c>
      <c r="L349" s="102"/>
      <c r="M349" s="102"/>
      <c r="N349" s="102"/>
      <c r="O349" s="102"/>
      <c r="P349" s="102"/>
      <c r="Q349" s="102"/>
      <c r="R349" s="102"/>
      <c r="S349" s="102" t="s">
        <v>45</v>
      </c>
      <c r="T349" s="102" t="s">
        <v>7</v>
      </c>
    </row>
    <row r="350" spans="1:20">
      <c r="A350" s="101" t="s">
        <v>3463</v>
      </c>
      <c r="B350" s="101" t="s">
        <v>3758</v>
      </c>
      <c r="C350" s="101">
        <v>1045</v>
      </c>
      <c r="D350" s="102" t="s">
        <v>12718</v>
      </c>
      <c r="E350" s="102" t="s">
        <v>1621</v>
      </c>
      <c r="F350" s="102"/>
      <c r="G350" s="102" t="s">
        <v>3399</v>
      </c>
      <c r="H350" s="102"/>
      <c r="I350" s="102"/>
      <c r="J350" s="102"/>
      <c r="K350" s="102" t="s">
        <v>5093</v>
      </c>
      <c r="L350" s="102"/>
      <c r="M350" s="102"/>
      <c r="N350" s="102"/>
      <c r="O350" s="102"/>
      <c r="P350" s="102"/>
      <c r="Q350" s="102"/>
      <c r="R350" s="102"/>
      <c r="S350" s="102" t="s">
        <v>26</v>
      </c>
      <c r="T350" s="102" t="s">
        <v>7</v>
      </c>
    </row>
    <row r="351" spans="1:20">
      <c r="A351" s="101" t="s">
        <v>3463</v>
      </c>
      <c r="B351" s="101" t="s">
        <v>3758</v>
      </c>
      <c r="C351" s="101">
        <v>1046</v>
      </c>
      <c r="D351" s="102" t="s">
        <v>12719</v>
      </c>
      <c r="E351" s="102" t="s">
        <v>1620</v>
      </c>
      <c r="F351" s="102"/>
      <c r="G351" s="102" t="s">
        <v>3447</v>
      </c>
      <c r="H351" s="102" t="s">
        <v>13402</v>
      </c>
      <c r="I351" s="102"/>
      <c r="J351" s="102"/>
      <c r="K351" s="102" t="s">
        <v>12720</v>
      </c>
      <c r="L351" s="102"/>
      <c r="M351" s="102"/>
      <c r="N351" s="102"/>
      <c r="O351" s="102"/>
      <c r="P351" s="102"/>
      <c r="Q351" s="102"/>
      <c r="R351" s="102"/>
      <c r="S351" s="102" t="s">
        <v>5281</v>
      </c>
      <c r="T351" s="102" t="s">
        <v>7</v>
      </c>
    </row>
    <row r="352" spans="1:20">
      <c r="A352" s="101" t="s">
        <v>3463</v>
      </c>
      <c r="B352" s="101" t="s">
        <v>3758</v>
      </c>
      <c r="C352" s="101">
        <v>1047</v>
      </c>
      <c r="D352" s="102" t="s">
        <v>12721</v>
      </c>
      <c r="E352" s="102" t="s">
        <v>1621</v>
      </c>
      <c r="F352" s="102"/>
      <c r="G352" s="102" t="s">
        <v>3399</v>
      </c>
      <c r="H352" s="102"/>
      <c r="I352" s="102"/>
      <c r="J352" s="102"/>
      <c r="K352" s="102" t="s">
        <v>12722</v>
      </c>
      <c r="L352" s="102"/>
      <c r="M352" s="102"/>
      <c r="N352" s="102"/>
      <c r="O352" s="102"/>
      <c r="P352" s="102"/>
      <c r="Q352" s="102"/>
      <c r="R352" s="102"/>
      <c r="S352" s="102" t="s">
        <v>180</v>
      </c>
      <c r="T352" s="102" t="s">
        <v>7</v>
      </c>
    </row>
    <row r="353" spans="1:20">
      <c r="A353" s="101" t="s">
        <v>3463</v>
      </c>
      <c r="B353" s="101" t="s">
        <v>3758</v>
      </c>
      <c r="C353" s="101">
        <v>1048</v>
      </c>
      <c r="D353" s="102" t="s">
        <v>12723</v>
      </c>
      <c r="E353" s="102" t="s">
        <v>1620</v>
      </c>
      <c r="F353" s="102"/>
      <c r="G353" s="102" t="s">
        <v>3399</v>
      </c>
      <c r="H353" s="102"/>
      <c r="I353" s="102"/>
      <c r="J353" s="102"/>
      <c r="K353" s="102" t="s">
        <v>12724</v>
      </c>
      <c r="L353" s="102"/>
      <c r="M353" s="102"/>
      <c r="N353" s="102"/>
      <c r="O353" s="102"/>
      <c r="P353" s="102"/>
      <c r="Q353" s="102"/>
      <c r="R353" s="102"/>
      <c r="S353" s="102" t="s">
        <v>30</v>
      </c>
      <c r="T353" s="102" t="s">
        <v>7</v>
      </c>
    </row>
    <row r="354" spans="1:20">
      <c r="A354" s="101" t="s">
        <v>3463</v>
      </c>
      <c r="B354" s="101" t="s">
        <v>3758</v>
      </c>
      <c r="C354" s="101">
        <v>1049</v>
      </c>
      <c r="D354" s="102" t="s">
        <v>12725</v>
      </c>
      <c r="E354" s="102" t="s">
        <v>1621</v>
      </c>
      <c r="F354" s="102"/>
      <c r="G354" s="102" t="s">
        <v>3399</v>
      </c>
      <c r="H354" s="102"/>
      <c r="I354" s="102"/>
      <c r="J354" s="102"/>
      <c r="K354" s="102" t="s">
        <v>12726</v>
      </c>
      <c r="L354" s="102"/>
      <c r="M354" s="102"/>
      <c r="N354" s="102"/>
      <c r="O354" s="102"/>
      <c r="P354" s="102"/>
      <c r="Q354" s="102"/>
      <c r="R354" s="102"/>
      <c r="S354" s="102" t="s">
        <v>10</v>
      </c>
      <c r="T354" s="102" t="s">
        <v>7</v>
      </c>
    </row>
    <row r="355" spans="1:20">
      <c r="A355" s="101" t="s">
        <v>3463</v>
      </c>
      <c r="B355" s="101" t="s">
        <v>3758</v>
      </c>
      <c r="C355" s="101">
        <v>1050</v>
      </c>
      <c r="D355" s="102" t="s">
        <v>12727</v>
      </c>
      <c r="E355" s="102" t="s">
        <v>1621</v>
      </c>
      <c r="F355" s="102"/>
      <c r="G355" s="102" t="s">
        <v>3399</v>
      </c>
      <c r="H355" s="102"/>
      <c r="I355" s="102"/>
      <c r="J355" s="102"/>
      <c r="K355" s="102" t="s">
        <v>12728</v>
      </c>
      <c r="L355" s="102"/>
      <c r="M355" s="102"/>
      <c r="N355" s="102"/>
      <c r="O355" s="102"/>
      <c r="P355" s="102"/>
      <c r="Q355" s="102"/>
      <c r="R355" s="102"/>
      <c r="S355" s="102" t="s">
        <v>606</v>
      </c>
      <c r="T355" s="102" t="s">
        <v>7</v>
      </c>
    </row>
    <row r="356" spans="1:20">
      <c r="A356" s="101" t="s">
        <v>3463</v>
      </c>
      <c r="B356" s="101" t="s">
        <v>3758</v>
      </c>
      <c r="C356" s="101">
        <v>1051</v>
      </c>
      <c r="D356" s="102" t="s">
        <v>12729</v>
      </c>
      <c r="E356" s="102" t="s">
        <v>1621</v>
      </c>
      <c r="F356" s="102"/>
      <c r="G356" s="102" t="s">
        <v>3399</v>
      </c>
      <c r="H356" s="102"/>
      <c r="I356" s="102"/>
      <c r="J356" s="102"/>
      <c r="K356" s="102" t="s">
        <v>12730</v>
      </c>
      <c r="L356" s="102"/>
      <c r="M356" s="102"/>
      <c r="N356" s="102"/>
      <c r="O356" s="102"/>
      <c r="P356" s="102"/>
      <c r="Q356" s="102"/>
      <c r="R356" s="102"/>
      <c r="S356" s="102" t="s">
        <v>8</v>
      </c>
      <c r="T356" s="102" t="s">
        <v>7</v>
      </c>
    </row>
    <row r="357" spans="1:20">
      <c r="A357" s="101" t="s">
        <v>3463</v>
      </c>
      <c r="B357" s="101" t="s">
        <v>3758</v>
      </c>
      <c r="C357" s="101">
        <v>1052</v>
      </c>
      <c r="D357" s="102" t="s">
        <v>12731</v>
      </c>
      <c r="E357" s="102" t="s">
        <v>1620</v>
      </c>
      <c r="F357" s="102"/>
      <c r="G357" s="102" t="s">
        <v>3399</v>
      </c>
      <c r="H357" s="102"/>
      <c r="I357" s="102"/>
      <c r="J357" s="102"/>
      <c r="K357" s="102" t="s">
        <v>12732</v>
      </c>
      <c r="L357" s="102"/>
      <c r="M357" s="102"/>
      <c r="N357" s="102"/>
      <c r="O357" s="102"/>
      <c r="P357" s="102"/>
      <c r="Q357" s="102"/>
      <c r="R357" s="102"/>
      <c r="S357" s="102" t="s">
        <v>18</v>
      </c>
      <c r="T357" s="102" t="s">
        <v>7</v>
      </c>
    </row>
    <row r="358" spans="1:20">
      <c r="A358" s="101" t="s">
        <v>3463</v>
      </c>
      <c r="B358" s="101" t="s">
        <v>3758</v>
      </c>
      <c r="C358" s="101">
        <v>1053</v>
      </c>
      <c r="D358" s="102" t="s">
        <v>12733</v>
      </c>
      <c r="E358" s="102" t="s">
        <v>1621</v>
      </c>
      <c r="F358" s="102"/>
      <c r="G358" s="102" t="s">
        <v>3399</v>
      </c>
      <c r="H358" s="102"/>
      <c r="I358" s="102"/>
      <c r="J358" s="102"/>
      <c r="K358" s="102" t="s">
        <v>12734</v>
      </c>
      <c r="L358" s="102"/>
      <c r="M358" s="102"/>
      <c r="N358" s="102"/>
      <c r="O358" s="102"/>
      <c r="P358" s="102"/>
      <c r="Q358" s="102"/>
      <c r="R358" s="102"/>
      <c r="S358" s="102" t="s">
        <v>183</v>
      </c>
      <c r="T358" s="102" t="s">
        <v>7</v>
      </c>
    </row>
    <row r="359" spans="1:20">
      <c r="A359" s="101" t="s">
        <v>3463</v>
      </c>
      <c r="B359" s="101" t="s">
        <v>3758</v>
      </c>
      <c r="C359" s="101">
        <v>1054</v>
      </c>
      <c r="D359" s="102" t="s">
        <v>12735</v>
      </c>
      <c r="E359" s="102" t="s">
        <v>1763</v>
      </c>
      <c r="F359" s="102"/>
      <c r="G359" s="102" t="s">
        <v>3399</v>
      </c>
      <c r="H359" s="102"/>
      <c r="I359" s="102"/>
      <c r="J359" s="102"/>
      <c r="K359" s="102" t="s">
        <v>12736</v>
      </c>
      <c r="L359" s="102" t="s">
        <v>12737</v>
      </c>
      <c r="M359" s="102"/>
      <c r="N359" s="102"/>
      <c r="O359" s="102"/>
      <c r="P359" s="102"/>
      <c r="Q359" s="102"/>
      <c r="R359" s="102"/>
      <c r="S359" s="102" t="s">
        <v>34</v>
      </c>
      <c r="T359" s="102" t="s">
        <v>7</v>
      </c>
    </row>
    <row r="360" spans="1:20">
      <c r="A360" s="101" t="s">
        <v>3463</v>
      </c>
      <c r="B360" s="101" t="s">
        <v>3758</v>
      </c>
      <c r="C360" s="101">
        <v>1055</v>
      </c>
      <c r="D360" s="102" t="s">
        <v>12738</v>
      </c>
      <c r="E360" s="102" t="s">
        <v>1763</v>
      </c>
      <c r="F360" s="102"/>
      <c r="G360" s="102" t="s">
        <v>3399</v>
      </c>
      <c r="H360" s="102"/>
      <c r="I360" s="102"/>
      <c r="J360" s="102"/>
      <c r="K360" s="102" t="s">
        <v>12739</v>
      </c>
      <c r="L360" s="102"/>
      <c r="M360" s="102"/>
      <c r="N360" s="102"/>
      <c r="O360" s="102"/>
      <c r="P360" s="102"/>
      <c r="Q360" s="102"/>
      <c r="R360" s="102"/>
      <c r="S360" s="102" t="s">
        <v>35</v>
      </c>
      <c r="T360" s="102" t="s">
        <v>7</v>
      </c>
    </row>
    <row r="361" spans="1:20">
      <c r="A361" s="101" t="s">
        <v>3463</v>
      </c>
      <c r="B361" s="101" t="s">
        <v>3758</v>
      </c>
      <c r="C361" s="101">
        <v>1056</v>
      </c>
      <c r="D361" s="102" t="s">
        <v>12740</v>
      </c>
      <c r="E361" s="102" t="s">
        <v>1763</v>
      </c>
      <c r="F361" s="102"/>
      <c r="G361" s="102" t="s">
        <v>3399</v>
      </c>
      <c r="H361" s="102"/>
      <c r="I361" s="102"/>
      <c r="J361" s="102"/>
      <c r="K361" s="102" t="s">
        <v>12741</v>
      </c>
      <c r="L361" s="102"/>
      <c r="M361" s="102"/>
      <c r="N361" s="102"/>
      <c r="O361" s="102"/>
      <c r="P361" s="102"/>
      <c r="Q361" s="102"/>
      <c r="R361" s="102"/>
      <c r="S361" s="102" t="s">
        <v>29</v>
      </c>
      <c r="T361" s="102" t="s">
        <v>7</v>
      </c>
    </row>
    <row r="362" spans="1:20">
      <c r="A362" s="101" t="s">
        <v>3463</v>
      </c>
      <c r="B362" s="101" t="s">
        <v>3758</v>
      </c>
      <c r="C362" s="101">
        <v>1057</v>
      </c>
      <c r="D362" s="102" t="s">
        <v>12742</v>
      </c>
      <c r="E362" s="102" t="s">
        <v>1763</v>
      </c>
      <c r="F362" s="102"/>
      <c r="G362" s="102" t="s">
        <v>3399</v>
      </c>
      <c r="H362" s="102"/>
      <c r="I362" s="102"/>
      <c r="J362" s="102"/>
      <c r="K362" s="102" t="s">
        <v>12743</v>
      </c>
      <c r="L362" s="102"/>
      <c r="M362" s="102"/>
      <c r="N362" s="102"/>
      <c r="O362" s="102"/>
      <c r="P362" s="102"/>
      <c r="Q362" s="102"/>
      <c r="R362" s="102"/>
      <c r="S362" s="102" t="s">
        <v>11</v>
      </c>
      <c r="T362" s="102" t="s">
        <v>7</v>
      </c>
    </row>
    <row r="363" spans="1:20">
      <c r="A363" s="101" t="s">
        <v>3463</v>
      </c>
      <c r="B363" s="101" t="s">
        <v>3758</v>
      </c>
      <c r="C363" s="101">
        <v>1058</v>
      </c>
      <c r="D363" s="102" t="s">
        <v>12744</v>
      </c>
      <c r="E363" s="102" t="s">
        <v>1622</v>
      </c>
      <c r="F363" s="102"/>
      <c r="G363" s="102" t="s">
        <v>3399</v>
      </c>
      <c r="H363" s="102"/>
      <c r="I363" s="102"/>
      <c r="J363" s="102"/>
      <c r="K363" s="102" t="s">
        <v>12745</v>
      </c>
      <c r="L363" s="102" t="s">
        <v>7329</v>
      </c>
      <c r="M363" s="102"/>
      <c r="N363" s="102"/>
      <c r="O363" s="102"/>
      <c r="P363" s="102"/>
      <c r="Q363" s="102"/>
      <c r="R363" s="102"/>
      <c r="S363" s="102" t="s">
        <v>45</v>
      </c>
      <c r="T363" s="102" t="s">
        <v>7</v>
      </c>
    </row>
    <row r="364" spans="1:20">
      <c r="A364" s="101" t="s">
        <v>3463</v>
      </c>
      <c r="B364" s="101" t="s">
        <v>3758</v>
      </c>
      <c r="C364" s="101">
        <v>1059</v>
      </c>
      <c r="D364" s="102" t="s">
        <v>12746</v>
      </c>
      <c r="E364" s="102" t="s">
        <v>1763</v>
      </c>
      <c r="F364" s="102"/>
      <c r="G364" s="102" t="s">
        <v>3399</v>
      </c>
      <c r="H364" s="102"/>
      <c r="I364" s="102"/>
      <c r="J364" s="102"/>
      <c r="K364" s="102" t="s">
        <v>12747</v>
      </c>
      <c r="L364" s="102" t="s">
        <v>6410</v>
      </c>
      <c r="M364" s="102"/>
      <c r="N364" s="102"/>
      <c r="O364" s="102"/>
      <c r="P364" s="102"/>
      <c r="Q364" s="102"/>
      <c r="R364" s="102"/>
      <c r="S364" s="102" t="s">
        <v>5381</v>
      </c>
      <c r="T364" s="102" t="s">
        <v>7</v>
      </c>
    </row>
    <row r="365" spans="1:20">
      <c r="A365" s="101" t="s">
        <v>3463</v>
      </c>
      <c r="B365" s="101" t="s">
        <v>3758</v>
      </c>
      <c r="C365" s="101">
        <v>1060</v>
      </c>
      <c r="D365" s="102" t="s">
        <v>12748</v>
      </c>
      <c r="E365" s="102" t="s">
        <v>1763</v>
      </c>
      <c r="F365" s="102"/>
      <c r="G365" s="102" t="s">
        <v>3399</v>
      </c>
      <c r="H365" s="102"/>
      <c r="I365" s="102"/>
      <c r="J365" s="102"/>
      <c r="K365" s="102" t="s">
        <v>12749</v>
      </c>
      <c r="L365" s="102"/>
      <c r="M365" s="102"/>
      <c r="N365" s="102"/>
      <c r="O365" s="102"/>
      <c r="P365" s="102"/>
      <c r="Q365" s="102"/>
      <c r="R365" s="102"/>
      <c r="S365" s="102" t="s">
        <v>172</v>
      </c>
      <c r="T365" s="102" t="s">
        <v>7</v>
      </c>
    </row>
    <row r="366" spans="1:20">
      <c r="A366" s="101" t="s">
        <v>3463</v>
      </c>
      <c r="B366" s="101" t="s">
        <v>3758</v>
      </c>
      <c r="C366" s="101">
        <v>1061</v>
      </c>
      <c r="D366" s="102" t="s">
        <v>12750</v>
      </c>
      <c r="E366" s="102" t="s">
        <v>1763</v>
      </c>
      <c r="F366" s="102"/>
      <c r="G366" s="102" t="s">
        <v>3399</v>
      </c>
      <c r="H366" s="102"/>
      <c r="I366" s="102"/>
      <c r="J366" s="102"/>
      <c r="K366" s="102" t="s">
        <v>12751</v>
      </c>
      <c r="L366" s="102"/>
      <c r="M366" s="102"/>
      <c r="N366" s="102"/>
      <c r="O366" s="102"/>
      <c r="P366" s="102"/>
      <c r="Q366" s="102"/>
      <c r="R366" s="102"/>
      <c r="S366" s="102" t="s">
        <v>38</v>
      </c>
      <c r="T366" s="102" t="s">
        <v>7</v>
      </c>
    </row>
    <row r="367" spans="1:20">
      <c r="A367" s="101" t="s">
        <v>3463</v>
      </c>
      <c r="B367" s="101" t="s">
        <v>3758</v>
      </c>
      <c r="C367" s="101">
        <v>1062</v>
      </c>
      <c r="D367" s="102" t="s">
        <v>12752</v>
      </c>
      <c r="E367" s="102" t="s">
        <v>1622</v>
      </c>
      <c r="F367" s="102"/>
      <c r="G367" s="102" t="s">
        <v>3399</v>
      </c>
      <c r="H367" s="102"/>
      <c r="I367" s="102"/>
      <c r="J367" s="102"/>
      <c r="K367" s="102" t="s">
        <v>12753</v>
      </c>
      <c r="L367" s="102"/>
      <c r="M367" s="102"/>
      <c r="N367" s="102"/>
      <c r="O367" s="102"/>
      <c r="P367" s="102"/>
      <c r="Q367" s="102"/>
      <c r="R367" s="102"/>
      <c r="S367" s="102" t="s">
        <v>40</v>
      </c>
      <c r="T367" s="102" t="s">
        <v>7</v>
      </c>
    </row>
    <row r="368" spans="1:20">
      <c r="A368" s="101" t="s">
        <v>3463</v>
      </c>
      <c r="B368" s="101" t="s">
        <v>3758</v>
      </c>
      <c r="C368" s="101">
        <v>1063</v>
      </c>
      <c r="D368" s="102" t="s">
        <v>12754</v>
      </c>
      <c r="E368" s="102" t="s">
        <v>1622</v>
      </c>
      <c r="F368" s="102"/>
      <c r="G368" s="102" t="s">
        <v>3399</v>
      </c>
      <c r="H368" s="102"/>
      <c r="I368" s="102"/>
      <c r="J368" s="102"/>
      <c r="K368" s="102" t="s">
        <v>5014</v>
      </c>
      <c r="L368" s="102" t="s">
        <v>12755</v>
      </c>
      <c r="M368" s="102"/>
      <c r="N368" s="102"/>
      <c r="O368" s="102"/>
      <c r="P368" s="102"/>
      <c r="Q368" s="102"/>
      <c r="R368" s="102"/>
      <c r="S368" s="102" t="s">
        <v>172</v>
      </c>
      <c r="T368" s="102" t="s">
        <v>7</v>
      </c>
    </row>
    <row r="369" spans="1:20">
      <c r="A369" s="101" t="s">
        <v>3463</v>
      </c>
      <c r="B369" s="101" t="s">
        <v>3758</v>
      </c>
      <c r="C369" s="101">
        <v>1064</v>
      </c>
      <c r="D369" s="102" t="s">
        <v>12756</v>
      </c>
      <c r="E369" s="102" t="s">
        <v>12757</v>
      </c>
      <c r="F369" s="102"/>
      <c r="G369" s="102" t="s">
        <v>3399</v>
      </c>
      <c r="H369" s="102"/>
      <c r="I369" s="102"/>
      <c r="J369" s="102"/>
      <c r="K369" s="102" t="s">
        <v>12758</v>
      </c>
      <c r="L369" s="102"/>
      <c r="M369" s="102"/>
      <c r="N369" s="102"/>
      <c r="O369" s="102"/>
      <c r="P369" s="102"/>
      <c r="Q369" s="102"/>
      <c r="R369" s="102"/>
      <c r="S369" s="102" t="s">
        <v>174</v>
      </c>
      <c r="T369" s="102" t="s">
        <v>7</v>
      </c>
    </row>
    <row r="370" spans="1:20">
      <c r="A370" s="101" t="s">
        <v>3463</v>
      </c>
      <c r="B370" s="101" t="s">
        <v>3758</v>
      </c>
      <c r="C370" s="101">
        <v>1065</v>
      </c>
      <c r="D370" s="102" t="s">
        <v>12759</v>
      </c>
      <c r="E370" s="102" t="s">
        <v>1763</v>
      </c>
      <c r="F370" s="102"/>
      <c r="G370" s="102" t="s">
        <v>3399</v>
      </c>
      <c r="H370" s="102"/>
      <c r="I370" s="102"/>
      <c r="J370" s="102"/>
      <c r="K370" s="102" t="s">
        <v>12760</v>
      </c>
      <c r="L370" s="102"/>
      <c r="M370" s="102"/>
      <c r="N370" s="102"/>
      <c r="O370" s="102"/>
      <c r="P370" s="102"/>
      <c r="Q370" s="102"/>
      <c r="R370" s="102"/>
      <c r="S370" s="102" t="s">
        <v>604</v>
      </c>
      <c r="T370" s="102" t="s">
        <v>7</v>
      </c>
    </row>
    <row r="371" spans="1:20">
      <c r="A371" s="101" t="s">
        <v>3463</v>
      </c>
      <c r="B371" s="101" t="s">
        <v>3758</v>
      </c>
      <c r="C371" s="101">
        <v>1066</v>
      </c>
      <c r="D371" s="102" t="s">
        <v>12761</v>
      </c>
      <c r="E371" s="102" t="s">
        <v>1622</v>
      </c>
      <c r="F371" s="102"/>
      <c r="G371" s="102" t="s">
        <v>3399</v>
      </c>
      <c r="H371" s="102"/>
      <c r="I371" s="102"/>
      <c r="J371" s="102"/>
      <c r="K371" s="102" t="s">
        <v>6394</v>
      </c>
      <c r="L371" s="102" t="s">
        <v>12762</v>
      </c>
      <c r="M371" s="102"/>
      <c r="N371" s="102"/>
      <c r="O371" s="102"/>
      <c r="P371" s="102"/>
      <c r="Q371" s="102"/>
      <c r="R371" s="102"/>
      <c r="S371" s="102" t="s">
        <v>37</v>
      </c>
      <c r="T371" s="102" t="s">
        <v>7</v>
      </c>
    </row>
    <row r="372" spans="1:20">
      <c r="A372" s="101" t="s">
        <v>3463</v>
      </c>
      <c r="B372" s="101" t="s">
        <v>3758</v>
      </c>
      <c r="C372" s="101">
        <v>1067</v>
      </c>
      <c r="D372" s="102" t="s">
        <v>12763</v>
      </c>
      <c r="E372" s="102" t="s">
        <v>1622</v>
      </c>
      <c r="F372" s="102"/>
      <c r="G372" s="102" t="s">
        <v>3399</v>
      </c>
      <c r="H372" s="102"/>
      <c r="I372" s="102"/>
      <c r="J372" s="102"/>
      <c r="K372" s="102" t="s">
        <v>12764</v>
      </c>
      <c r="L372" s="102"/>
      <c r="M372" s="102"/>
      <c r="N372" s="102"/>
      <c r="O372" s="102"/>
      <c r="P372" s="102"/>
      <c r="Q372" s="102"/>
      <c r="R372" s="102"/>
      <c r="S372" s="102" t="s">
        <v>175</v>
      </c>
      <c r="T372" s="102" t="s">
        <v>7</v>
      </c>
    </row>
    <row r="373" spans="1:20">
      <c r="A373" s="101" t="s">
        <v>3463</v>
      </c>
      <c r="B373" s="101" t="s">
        <v>3758</v>
      </c>
      <c r="C373" s="101">
        <v>1068</v>
      </c>
      <c r="D373" s="102" t="s">
        <v>12765</v>
      </c>
      <c r="E373" s="102" t="s">
        <v>1622</v>
      </c>
      <c r="F373" s="102"/>
      <c r="G373" s="102" t="s">
        <v>3399</v>
      </c>
      <c r="H373" s="102"/>
      <c r="I373" s="102"/>
      <c r="J373" s="102"/>
      <c r="K373" s="102" t="s">
        <v>12766</v>
      </c>
      <c r="L373" s="102" t="s">
        <v>12767</v>
      </c>
      <c r="M373" s="102"/>
      <c r="N373" s="102"/>
      <c r="O373" s="102"/>
      <c r="P373" s="102"/>
      <c r="Q373" s="102"/>
      <c r="R373" s="102"/>
      <c r="S373" s="102" t="s">
        <v>52</v>
      </c>
      <c r="T373" s="102" t="s">
        <v>7</v>
      </c>
    </row>
    <row r="374" spans="1:20">
      <c r="A374" s="101" t="s">
        <v>3463</v>
      </c>
      <c r="B374" s="101" t="s">
        <v>3758</v>
      </c>
      <c r="C374" s="101">
        <v>1069</v>
      </c>
      <c r="D374" s="102" t="s">
        <v>12768</v>
      </c>
      <c r="E374" s="102" t="s">
        <v>1763</v>
      </c>
      <c r="F374" s="102"/>
      <c r="G374" s="102" t="s">
        <v>3399</v>
      </c>
      <c r="H374" s="102" t="s">
        <v>5180</v>
      </c>
      <c r="I374" s="102"/>
      <c r="J374" s="102"/>
      <c r="K374" s="102" t="s">
        <v>12769</v>
      </c>
      <c r="L374" s="102"/>
      <c r="M374" s="102"/>
      <c r="N374" s="102"/>
      <c r="O374" s="102"/>
      <c r="P374" s="102"/>
      <c r="Q374" s="102"/>
      <c r="R374" s="102"/>
      <c r="S374" s="102" t="s">
        <v>175</v>
      </c>
      <c r="T374" s="102" t="s">
        <v>7</v>
      </c>
    </row>
    <row r="375" spans="1:20">
      <c r="A375" s="101" t="s">
        <v>3463</v>
      </c>
      <c r="B375" s="101" t="s">
        <v>3758</v>
      </c>
      <c r="C375" s="101">
        <v>1070</v>
      </c>
      <c r="D375" s="102" t="s">
        <v>12770</v>
      </c>
      <c r="E375" s="102" t="s">
        <v>12757</v>
      </c>
      <c r="F375" s="102"/>
      <c r="G375" s="102" t="s">
        <v>3399</v>
      </c>
      <c r="H375" s="102"/>
      <c r="I375" s="102"/>
      <c r="J375" s="102"/>
      <c r="K375" s="102" t="s">
        <v>12771</v>
      </c>
      <c r="L375" s="102"/>
      <c r="M375" s="102"/>
      <c r="N375" s="102"/>
      <c r="O375" s="102"/>
      <c r="P375" s="102"/>
      <c r="Q375" s="102"/>
      <c r="R375" s="102"/>
      <c r="S375" s="102" t="s">
        <v>5381</v>
      </c>
      <c r="T375" s="102" t="s">
        <v>7</v>
      </c>
    </row>
    <row r="376" spans="1:20">
      <c r="A376" s="101" t="s">
        <v>3463</v>
      </c>
      <c r="B376" s="101" t="s">
        <v>3758</v>
      </c>
      <c r="C376" s="101">
        <v>1071</v>
      </c>
      <c r="D376" s="102" t="s">
        <v>12772</v>
      </c>
      <c r="E376" s="102" t="s">
        <v>1763</v>
      </c>
      <c r="F376" s="102"/>
      <c r="G376" s="102" t="s">
        <v>3399</v>
      </c>
      <c r="H376" s="102"/>
      <c r="I376" s="102"/>
      <c r="J376" s="102"/>
      <c r="K376" s="102" t="s">
        <v>12773</v>
      </c>
      <c r="L376" s="102"/>
      <c r="M376" s="102"/>
      <c r="N376" s="102"/>
      <c r="O376" s="102"/>
      <c r="P376" s="102"/>
      <c r="Q376" s="102"/>
      <c r="R376" s="102"/>
      <c r="S376" s="102" t="s">
        <v>180</v>
      </c>
      <c r="T376" s="102" t="s">
        <v>7</v>
      </c>
    </row>
    <row r="377" spans="1:20">
      <c r="A377" s="101" t="s">
        <v>3463</v>
      </c>
      <c r="B377" s="101" t="s">
        <v>3758</v>
      </c>
      <c r="C377" s="101">
        <v>1072</v>
      </c>
      <c r="D377" s="102" t="s">
        <v>12774</v>
      </c>
      <c r="E377" s="102" t="s">
        <v>12207</v>
      </c>
      <c r="F377" s="102"/>
      <c r="G377" s="102" t="s">
        <v>3399</v>
      </c>
      <c r="H377" s="102"/>
      <c r="I377" s="102"/>
      <c r="J377" s="102"/>
      <c r="K377" s="102" t="s">
        <v>12775</v>
      </c>
      <c r="L377" s="102"/>
      <c r="M377" s="102"/>
      <c r="N377" s="102"/>
      <c r="O377" s="102"/>
      <c r="P377" s="102"/>
      <c r="Q377" s="102"/>
      <c r="R377" s="102"/>
      <c r="S377" s="102" t="s">
        <v>44</v>
      </c>
      <c r="T377" s="102" t="s">
        <v>7</v>
      </c>
    </row>
    <row r="378" spans="1:20">
      <c r="A378" s="101" t="s">
        <v>3463</v>
      </c>
      <c r="B378" s="101" t="s">
        <v>3758</v>
      </c>
      <c r="C378" s="101">
        <v>1073</v>
      </c>
      <c r="D378" s="102" t="s">
        <v>12776</v>
      </c>
      <c r="E378" s="102" t="s">
        <v>1764</v>
      </c>
      <c r="F378" s="102"/>
      <c r="G378" s="102" t="s">
        <v>3399</v>
      </c>
      <c r="H378" s="102"/>
      <c r="I378" s="102"/>
      <c r="J378" s="102"/>
      <c r="K378" s="102" t="s">
        <v>12777</v>
      </c>
      <c r="L378" s="102"/>
      <c r="M378" s="102"/>
      <c r="N378" s="102"/>
      <c r="O378" s="102"/>
      <c r="P378" s="102"/>
      <c r="Q378" s="102"/>
      <c r="R378" s="102"/>
      <c r="S378" s="102" t="s">
        <v>36</v>
      </c>
      <c r="T378" s="102" t="s">
        <v>7</v>
      </c>
    </row>
    <row r="379" spans="1:20">
      <c r="A379" s="101" t="s">
        <v>3463</v>
      </c>
      <c r="B379" s="101" t="s">
        <v>3758</v>
      </c>
      <c r="C379" s="101">
        <v>1074</v>
      </c>
      <c r="D379" s="102" t="s">
        <v>12778</v>
      </c>
      <c r="E379" s="102" t="s">
        <v>12779</v>
      </c>
      <c r="F379" s="102"/>
      <c r="G379" s="102" t="s">
        <v>3399</v>
      </c>
      <c r="H379" s="102"/>
      <c r="I379" s="102"/>
      <c r="J379" s="102"/>
      <c r="K379" s="102" t="s">
        <v>12780</v>
      </c>
      <c r="L379" s="102" t="s">
        <v>12781</v>
      </c>
      <c r="M379" s="102"/>
      <c r="N379" s="102"/>
      <c r="O379" s="102"/>
      <c r="P379" s="102"/>
      <c r="Q379" s="102"/>
      <c r="R379" s="102"/>
      <c r="S379" s="102" t="s">
        <v>3747</v>
      </c>
      <c r="T379" s="102" t="s">
        <v>7</v>
      </c>
    </row>
    <row r="380" spans="1:20">
      <c r="A380" s="101" t="s">
        <v>3463</v>
      </c>
      <c r="B380" s="101" t="s">
        <v>3758</v>
      </c>
      <c r="C380" s="101">
        <v>1075</v>
      </c>
      <c r="D380" s="102" t="s">
        <v>12782</v>
      </c>
      <c r="E380" s="102" t="s">
        <v>1764</v>
      </c>
      <c r="F380" s="102"/>
      <c r="G380" s="102" t="s">
        <v>3399</v>
      </c>
      <c r="H380" s="102"/>
      <c r="I380" s="102"/>
      <c r="J380" s="102"/>
      <c r="K380" s="102" t="s">
        <v>4491</v>
      </c>
      <c r="L380" s="102" t="s">
        <v>4369</v>
      </c>
      <c r="M380" s="102" t="s">
        <v>5438</v>
      </c>
      <c r="N380" s="102" t="s">
        <v>5041</v>
      </c>
      <c r="O380" s="102"/>
      <c r="P380" s="102"/>
      <c r="Q380" s="102"/>
      <c r="R380" s="102"/>
      <c r="S380" s="102" t="s">
        <v>52</v>
      </c>
      <c r="T380" s="102" t="s">
        <v>7</v>
      </c>
    </row>
    <row r="381" spans="1:20">
      <c r="A381" s="101" t="s">
        <v>3463</v>
      </c>
      <c r="B381" s="101" t="s">
        <v>3758</v>
      </c>
      <c r="C381" s="101">
        <v>1076</v>
      </c>
      <c r="D381" s="102" t="s">
        <v>12783</v>
      </c>
      <c r="E381" s="102" t="s">
        <v>12207</v>
      </c>
      <c r="F381" s="102"/>
      <c r="G381" s="102" t="s">
        <v>3399</v>
      </c>
      <c r="H381" s="102"/>
      <c r="I381" s="102"/>
      <c r="J381" s="102"/>
      <c r="K381" s="102" t="s">
        <v>12784</v>
      </c>
      <c r="L381" s="102"/>
      <c r="M381" s="102"/>
      <c r="N381" s="102"/>
      <c r="O381" s="102"/>
      <c r="P381" s="102"/>
      <c r="Q381" s="102"/>
      <c r="R381" s="102"/>
      <c r="S381" s="102" t="s">
        <v>31</v>
      </c>
      <c r="T381" s="102" t="s">
        <v>7</v>
      </c>
    </row>
    <row r="382" spans="1:20">
      <c r="A382" s="101" t="s">
        <v>3463</v>
      </c>
      <c r="B382" s="101" t="s">
        <v>3758</v>
      </c>
      <c r="C382" s="101">
        <v>1077</v>
      </c>
      <c r="D382" s="102" t="s">
        <v>12785</v>
      </c>
      <c r="E382" s="102" t="s">
        <v>12207</v>
      </c>
      <c r="F382" s="102"/>
      <c r="G382" s="102" t="s">
        <v>3399</v>
      </c>
      <c r="H382" s="102"/>
      <c r="I382" s="102"/>
      <c r="J382" s="102"/>
      <c r="K382" s="102" t="s">
        <v>12786</v>
      </c>
      <c r="L382" s="102" t="s">
        <v>12787</v>
      </c>
      <c r="M382" s="102" t="s">
        <v>12788</v>
      </c>
      <c r="N382" s="102" t="s">
        <v>12789</v>
      </c>
      <c r="O382" s="102"/>
      <c r="P382" s="102"/>
      <c r="Q382" s="102"/>
      <c r="R382" s="102"/>
      <c r="S382" s="102" t="s">
        <v>168</v>
      </c>
      <c r="T382" s="102" t="s">
        <v>7</v>
      </c>
    </row>
    <row r="383" spans="1:20">
      <c r="A383" s="101" t="s">
        <v>3463</v>
      </c>
      <c r="B383" s="101" t="s">
        <v>3758</v>
      </c>
      <c r="C383" s="101">
        <v>1078</v>
      </c>
      <c r="D383" s="102" t="s">
        <v>12790</v>
      </c>
      <c r="E383" s="102" t="s">
        <v>1764</v>
      </c>
      <c r="F383" s="102"/>
      <c r="G383" s="102" t="s">
        <v>3399</v>
      </c>
      <c r="H383" s="102"/>
      <c r="I383" s="102"/>
      <c r="J383" s="102"/>
      <c r="K383" s="102" t="s">
        <v>12791</v>
      </c>
      <c r="L383" s="102"/>
      <c r="M383" s="102"/>
      <c r="N383" s="102"/>
      <c r="O383" s="102"/>
      <c r="P383" s="102"/>
      <c r="Q383" s="102"/>
      <c r="R383" s="102"/>
      <c r="S383" s="102" t="s">
        <v>48</v>
      </c>
      <c r="T383" s="102" t="s">
        <v>7</v>
      </c>
    </row>
    <row r="384" spans="1:20">
      <c r="A384" s="101" t="s">
        <v>3463</v>
      </c>
      <c r="B384" s="101" t="s">
        <v>3758</v>
      </c>
      <c r="C384" s="101">
        <v>1079</v>
      </c>
      <c r="D384" s="102" t="s">
        <v>12792</v>
      </c>
      <c r="E384" s="102" t="s">
        <v>12793</v>
      </c>
      <c r="F384" s="102"/>
      <c r="G384" s="102" t="s">
        <v>3399</v>
      </c>
      <c r="H384" s="102"/>
      <c r="I384" s="102"/>
      <c r="J384" s="102"/>
      <c r="K384" s="102" t="s">
        <v>5014</v>
      </c>
      <c r="L384" s="102" t="s">
        <v>12794</v>
      </c>
      <c r="M384" s="102"/>
      <c r="N384" s="102"/>
      <c r="O384" s="102"/>
      <c r="P384" s="102"/>
      <c r="Q384" s="102"/>
      <c r="R384" s="102"/>
      <c r="S384" s="102" t="s">
        <v>172</v>
      </c>
      <c r="T384" s="102" t="s">
        <v>7</v>
      </c>
    </row>
    <row r="385" spans="1:20">
      <c r="A385" s="101" t="s">
        <v>3463</v>
      </c>
      <c r="B385" s="101" t="s">
        <v>3758</v>
      </c>
      <c r="C385" s="101">
        <v>1080</v>
      </c>
      <c r="D385" s="102" t="s">
        <v>12795</v>
      </c>
      <c r="E385" s="102" t="s">
        <v>1623</v>
      </c>
      <c r="F385" s="102"/>
      <c r="G385" s="102" t="s">
        <v>3399</v>
      </c>
      <c r="H385" s="102"/>
      <c r="I385" s="102"/>
      <c r="J385" s="102"/>
      <c r="K385" s="102" t="s">
        <v>12796</v>
      </c>
      <c r="L385" s="102"/>
      <c r="M385" s="102"/>
      <c r="N385" s="102"/>
      <c r="O385" s="102"/>
      <c r="P385" s="102"/>
      <c r="Q385" s="102"/>
      <c r="R385" s="102"/>
      <c r="S385" s="102" t="s">
        <v>180</v>
      </c>
      <c r="T385" s="102" t="s">
        <v>7</v>
      </c>
    </row>
    <row r="386" spans="1:20">
      <c r="A386" s="101" t="s">
        <v>3463</v>
      </c>
      <c r="B386" s="101" t="s">
        <v>3758</v>
      </c>
      <c r="C386" s="101">
        <v>1081</v>
      </c>
      <c r="D386" s="102" t="s">
        <v>12797</v>
      </c>
      <c r="E386" s="102" t="s">
        <v>12798</v>
      </c>
      <c r="F386" s="102"/>
      <c r="G386" s="102" t="s">
        <v>3399</v>
      </c>
      <c r="H386" s="102"/>
      <c r="I386" s="102"/>
      <c r="J386" s="102"/>
      <c r="K386" s="102" t="s">
        <v>5014</v>
      </c>
      <c r="L386" s="102" t="s">
        <v>12799</v>
      </c>
      <c r="M386" s="102"/>
      <c r="N386" s="102"/>
      <c r="O386" s="102"/>
      <c r="P386" s="102"/>
      <c r="Q386" s="102"/>
      <c r="R386" s="102"/>
      <c r="S386" s="102" t="s">
        <v>172</v>
      </c>
      <c r="T386" s="102" t="s">
        <v>7</v>
      </c>
    </row>
    <row r="387" spans="1:20">
      <c r="A387" s="101" t="s">
        <v>3465</v>
      </c>
      <c r="B387" s="101" t="s">
        <v>3758</v>
      </c>
      <c r="C387" s="101">
        <v>2001</v>
      </c>
      <c r="D387" s="101" t="s">
        <v>12973</v>
      </c>
      <c r="E387" s="102" t="s">
        <v>12576</v>
      </c>
      <c r="F387" s="102"/>
      <c r="G387" s="102" t="s">
        <v>3399</v>
      </c>
      <c r="H387" s="102"/>
      <c r="I387" s="102"/>
      <c r="J387" s="102"/>
      <c r="K387" s="102" t="s">
        <v>12974</v>
      </c>
      <c r="L387" s="102" t="s">
        <v>12975</v>
      </c>
      <c r="M387" s="102"/>
      <c r="N387" s="102"/>
      <c r="O387" s="102"/>
      <c r="P387" s="102"/>
      <c r="Q387" s="102"/>
      <c r="R387" s="102"/>
      <c r="S387" s="102" t="s">
        <v>31</v>
      </c>
      <c r="T387" s="102" t="s">
        <v>9</v>
      </c>
    </row>
    <row r="388" spans="1:20">
      <c r="A388" s="101" t="s">
        <v>3465</v>
      </c>
      <c r="B388" s="101" t="s">
        <v>3758</v>
      </c>
      <c r="C388" s="101">
        <v>2002</v>
      </c>
      <c r="D388" s="102" t="s">
        <v>12976</v>
      </c>
      <c r="E388" s="102" t="s">
        <v>4898</v>
      </c>
      <c r="F388" s="102"/>
      <c r="G388" s="102" t="s">
        <v>3399</v>
      </c>
      <c r="H388" s="102"/>
      <c r="I388" s="102"/>
      <c r="J388" s="102"/>
      <c r="K388" s="102" t="s">
        <v>12977</v>
      </c>
      <c r="L388" s="102" t="s">
        <v>12978</v>
      </c>
      <c r="M388" s="102"/>
      <c r="N388" s="102"/>
      <c r="O388" s="102"/>
      <c r="P388" s="102"/>
      <c r="Q388" s="102"/>
      <c r="R388" s="102"/>
      <c r="S388" s="102" t="s">
        <v>48</v>
      </c>
      <c r="T388" s="102" t="s">
        <v>9</v>
      </c>
    </row>
    <row r="389" spans="1:20">
      <c r="A389" s="101" t="s">
        <v>3465</v>
      </c>
      <c r="B389" s="101" t="s">
        <v>3758</v>
      </c>
      <c r="C389" s="101">
        <v>2003</v>
      </c>
      <c r="D389" s="102" t="s">
        <v>12979</v>
      </c>
      <c r="E389" s="102" t="s">
        <v>4898</v>
      </c>
      <c r="F389" s="102"/>
      <c r="G389" s="102" t="s">
        <v>3399</v>
      </c>
      <c r="H389" s="102"/>
      <c r="I389" s="102"/>
      <c r="J389" s="102"/>
      <c r="K389" s="102" t="s">
        <v>12980</v>
      </c>
      <c r="L389" s="102"/>
      <c r="M389" s="102"/>
      <c r="N389" s="102"/>
      <c r="O389" s="102"/>
      <c r="P389" s="102"/>
      <c r="Q389" s="102"/>
      <c r="R389" s="102"/>
      <c r="S389" s="102" t="s">
        <v>183</v>
      </c>
      <c r="T389" s="102" t="s">
        <v>9</v>
      </c>
    </row>
    <row r="390" spans="1:20">
      <c r="A390" s="101" t="s">
        <v>3465</v>
      </c>
      <c r="B390" s="101" t="s">
        <v>3758</v>
      </c>
      <c r="C390" s="101">
        <v>2004</v>
      </c>
      <c r="D390" s="102" t="s">
        <v>12981</v>
      </c>
      <c r="E390" s="102" t="s">
        <v>1606</v>
      </c>
      <c r="F390" s="102"/>
      <c r="G390" s="102" t="s">
        <v>3399</v>
      </c>
      <c r="H390" s="102"/>
      <c r="I390" s="102"/>
      <c r="J390" s="102"/>
      <c r="K390" s="102" t="s">
        <v>12982</v>
      </c>
      <c r="L390" s="102" t="s">
        <v>12983</v>
      </c>
      <c r="M390" s="102"/>
      <c r="N390" s="102"/>
      <c r="O390" s="102"/>
      <c r="P390" s="102"/>
      <c r="Q390" s="102"/>
      <c r="R390" s="102"/>
      <c r="S390" s="102" t="s">
        <v>46</v>
      </c>
      <c r="T390" s="102" t="s">
        <v>9</v>
      </c>
    </row>
    <row r="391" spans="1:20">
      <c r="A391" s="101" t="s">
        <v>3465</v>
      </c>
      <c r="B391" s="101" t="s">
        <v>3758</v>
      </c>
      <c r="C391" s="101">
        <v>2005</v>
      </c>
      <c r="D391" s="102" t="s">
        <v>12984</v>
      </c>
      <c r="E391" s="102" t="s">
        <v>12985</v>
      </c>
      <c r="F391" s="102"/>
      <c r="G391" s="102" t="s">
        <v>3399</v>
      </c>
      <c r="H391" s="102"/>
      <c r="I391" s="102"/>
      <c r="J391" s="102"/>
      <c r="K391" s="102" t="s">
        <v>12986</v>
      </c>
      <c r="L391" s="102"/>
      <c r="M391" s="102"/>
      <c r="N391" s="102"/>
      <c r="O391" s="102"/>
      <c r="P391" s="102"/>
      <c r="Q391" s="102"/>
      <c r="R391" s="102"/>
      <c r="S391" s="102" t="s">
        <v>26</v>
      </c>
      <c r="T391" s="102" t="s">
        <v>9</v>
      </c>
    </row>
    <row r="392" spans="1:20">
      <c r="A392" s="101" t="s">
        <v>3465</v>
      </c>
      <c r="B392" s="101" t="s">
        <v>3758</v>
      </c>
      <c r="C392" s="101">
        <v>2006</v>
      </c>
      <c r="D392" s="102" t="s">
        <v>12987</v>
      </c>
      <c r="E392" s="102" t="s">
        <v>4898</v>
      </c>
      <c r="F392" s="102"/>
      <c r="G392" s="102" t="s">
        <v>3399</v>
      </c>
      <c r="H392" s="102"/>
      <c r="I392" s="102"/>
      <c r="J392" s="102"/>
      <c r="K392" s="102" t="s">
        <v>12988</v>
      </c>
      <c r="L392" s="102" t="s">
        <v>12989</v>
      </c>
      <c r="M392" s="102"/>
      <c r="N392" s="102"/>
      <c r="O392" s="102"/>
      <c r="P392" s="102"/>
      <c r="Q392" s="102"/>
      <c r="R392" s="102"/>
      <c r="S392" s="102" t="s">
        <v>31</v>
      </c>
      <c r="T392" s="102" t="s">
        <v>9</v>
      </c>
    </row>
    <row r="393" spans="1:20">
      <c r="A393" s="101" t="s">
        <v>3465</v>
      </c>
      <c r="B393" s="101" t="s">
        <v>3758</v>
      </c>
      <c r="C393" s="101">
        <v>2007</v>
      </c>
      <c r="D393" s="102" t="s">
        <v>12990</v>
      </c>
      <c r="E393" s="102" t="s">
        <v>1606</v>
      </c>
      <c r="F393" s="102"/>
      <c r="G393" s="102" t="s">
        <v>3399</v>
      </c>
      <c r="H393" s="102"/>
      <c r="I393" s="102"/>
      <c r="J393" s="102"/>
      <c r="K393" s="102" t="s">
        <v>12991</v>
      </c>
      <c r="L393" s="102"/>
      <c r="M393" s="102"/>
      <c r="N393" s="102"/>
      <c r="O393" s="102"/>
      <c r="P393" s="102"/>
      <c r="Q393" s="102"/>
      <c r="R393" s="102"/>
      <c r="S393" s="102" t="s">
        <v>175</v>
      </c>
      <c r="T393" s="102" t="s">
        <v>9</v>
      </c>
    </row>
    <row r="394" spans="1:20">
      <c r="A394" s="101" t="s">
        <v>3465</v>
      </c>
      <c r="B394" s="101" t="s">
        <v>3758</v>
      </c>
      <c r="C394" s="101">
        <v>2008</v>
      </c>
      <c r="D394" s="102" t="s">
        <v>12992</v>
      </c>
      <c r="E394" s="102" t="s">
        <v>4898</v>
      </c>
      <c r="F394" s="102"/>
      <c r="G394" s="102" t="s">
        <v>3399</v>
      </c>
      <c r="H394" s="102"/>
      <c r="I394" s="102"/>
      <c r="J394" s="102"/>
      <c r="K394" s="102" t="s">
        <v>12993</v>
      </c>
      <c r="L394" s="102"/>
      <c r="M394" s="102"/>
      <c r="N394" s="102"/>
      <c r="O394" s="102"/>
      <c r="P394" s="102"/>
      <c r="Q394" s="102"/>
      <c r="R394" s="102"/>
      <c r="S394" s="102" t="s">
        <v>169</v>
      </c>
      <c r="T394" s="102" t="s">
        <v>9</v>
      </c>
    </row>
    <row r="395" spans="1:20">
      <c r="A395" s="101" t="s">
        <v>3465</v>
      </c>
      <c r="B395" s="101" t="s">
        <v>3758</v>
      </c>
      <c r="C395" s="101">
        <v>2009</v>
      </c>
      <c r="D395" s="102" t="s">
        <v>12994</v>
      </c>
      <c r="E395" s="102" t="s">
        <v>12985</v>
      </c>
      <c r="F395" s="102"/>
      <c r="G395" s="102" t="s">
        <v>3399</v>
      </c>
      <c r="H395" s="102"/>
      <c r="I395" s="102"/>
      <c r="J395" s="102"/>
      <c r="K395" s="102" t="s">
        <v>12995</v>
      </c>
      <c r="L395" s="102"/>
      <c r="M395" s="102"/>
      <c r="N395" s="102"/>
      <c r="O395" s="102"/>
      <c r="P395" s="102"/>
      <c r="Q395" s="102"/>
      <c r="R395" s="102"/>
      <c r="S395" s="102" t="s">
        <v>170</v>
      </c>
      <c r="T395" s="102" t="s">
        <v>9</v>
      </c>
    </row>
    <row r="396" spans="1:20">
      <c r="A396" s="101" t="s">
        <v>3465</v>
      </c>
      <c r="B396" s="101" t="s">
        <v>3758</v>
      </c>
      <c r="C396" s="101">
        <v>2010</v>
      </c>
      <c r="D396" s="102" t="s">
        <v>12996</v>
      </c>
      <c r="E396" s="102" t="s">
        <v>4898</v>
      </c>
      <c r="F396" s="102"/>
      <c r="G396" s="102" t="s">
        <v>3399</v>
      </c>
      <c r="H396" s="102"/>
      <c r="I396" s="102"/>
      <c r="J396" s="102"/>
      <c r="K396" s="102" t="s">
        <v>12997</v>
      </c>
      <c r="L396" s="102"/>
      <c r="M396" s="102"/>
      <c r="N396" s="102"/>
      <c r="O396" s="102"/>
      <c r="P396" s="102"/>
      <c r="Q396" s="102"/>
      <c r="R396" s="102"/>
      <c r="S396" s="102" t="s">
        <v>176</v>
      </c>
      <c r="T396" s="102" t="s">
        <v>9</v>
      </c>
    </row>
    <row r="397" spans="1:20">
      <c r="A397" s="101" t="s">
        <v>3465</v>
      </c>
      <c r="B397" s="101" t="s">
        <v>3758</v>
      </c>
      <c r="C397" s="101">
        <v>2011</v>
      </c>
      <c r="D397" s="102" t="s">
        <v>12998</v>
      </c>
      <c r="E397" s="102" t="s">
        <v>12934</v>
      </c>
      <c r="F397" s="102"/>
      <c r="G397" s="102" t="s">
        <v>6910</v>
      </c>
      <c r="H397" s="102"/>
      <c r="I397" s="102"/>
      <c r="J397" s="102"/>
      <c r="K397" s="102" t="s">
        <v>6911</v>
      </c>
      <c r="L397" s="102" t="s">
        <v>12999</v>
      </c>
      <c r="M397" s="102"/>
      <c r="N397" s="102"/>
      <c r="O397" s="102"/>
      <c r="P397" s="102"/>
      <c r="Q397" s="102"/>
      <c r="R397" s="102"/>
      <c r="S397" s="102" t="s">
        <v>5719</v>
      </c>
      <c r="T397" s="102" t="s">
        <v>9</v>
      </c>
    </row>
    <row r="398" spans="1:20">
      <c r="A398" s="101" t="s">
        <v>3465</v>
      </c>
      <c r="B398" s="101" t="s">
        <v>3758</v>
      </c>
      <c r="C398" s="101">
        <v>2014</v>
      </c>
      <c r="D398" s="102" t="s">
        <v>13000</v>
      </c>
      <c r="E398" s="102" t="s">
        <v>12934</v>
      </c>
      <c r="F398" s="102"/>
      <c r="G398" s="102" t="s">
        <v>3399</v>
      </c>
      <c r="H398" s="102"/>
      <c r="I398" s="102"/>
      <c r="J398" s="102"/>
      <c r="K398" s="102" t="s">
        <v>13001</v>
      </c>
      <c r="L398" s="102"/>
      <c r="M398" s="102"/>
      <c r="N398" s="102"/>
      <c r="O398" s="102"/>
      <c r="P398" s="102"/>
      <c r="Q398" s="102"/>
      <c r="R398" s="102"/>
      <c r="S398" s="102" t="s">
        <v>53</v>
      </c>
      <c r="T398" s="102" t="s">
        <v>9</v>
      </c>
    </row>
    <row r="399" spans="1:20">
      <c r="A399" s="101" t="s">
        <v>3465</v>
      </c>
      <c r="B399" s="101" t="s">
        <v>3758</v>
      </c>
      <c r="C399" s="101">
        <v>2015</v>
      </c>
      <c r="D399" s="102" t="s">
        <v>13002</v>
      </c>
      <c r="E399" s="102" t="s">
        <v>1686</v>
      </c>
      <c r="F399" s="102"/>
      <c r="G399" s="102" t="s">
        <v>3399</v>
      </c>
      <c r="H399" s="102"/>
      <c r="I399" s="102"/>
      <c r="J399" s="102"/>
      <c r="K399" s="102" t="s">
        <v>13003</v>
      </c>
      <c r="L399" s="102"/>
      <c r="M399" s="102"/>
      <c r="N399" s="102"/>
      <c r="O399" s="102"/>
      <c r="P399" s="102"/>
      <c r="Q399" s="102"/>
      <c r="R399" s="102"/>
      <c r="S399" s="102" t="s">
        <v>29</v>
      </c>
      <c r="T399" s="102" t="s">
        <v>9</v>
      </c>
    </row>
    <row r="400" spans="1:20">
      <c r="A400" s="101" t="s">
        <v>3465</v>
      </c>
      <c r="B400" s="101" t="s">
        <v>3758</v>
      </c>
      <c r="C400" s="101">
        <v>2016</v>
      </c>
      <c r="D400" s="102" t="s">
        <v>13004</v>
      </c>
      <c r="E400" s="102" t="s">
        <v>1611</v>
      </c>
      <c r="F400" s="102"/>
      <c r="G400" s="102" t="s">
        <v>3399</v>
      </c>
      <c r="H400" s="102"/>
      <c r="I400" s="102"/>
      <c r="J400" s="102"/>
      <c r="K400" s="102" t="s">
        <v>13005</v>
      </c>
      <c r="L400" s="102" t="s">
        <v>9384</v>
      </c>
      <c r="M400" s="102"/>
      <c r="N400" s="102"/>
      <c r="O400" s="102"/>
      <c r="P400" s="102"/>
      <c r="Q400" s="102"/>
      <c r="R400" s="102"/>
      <c r="S400" s="102" t="s">
        <v>8</v>
      </c>
      <c r="T400" s="102" t="s">
        <v>9</v>
      </c>
    </row>
    <row r="401" spans="1:20">
      <c r="A401" s="101" t="s">
        <v>3465</v>
      </c>
      <c r="B401" s="101" t="s">
        <v>3758</v>
      </c>
      <c r="C401" s="101">
        <v>2017</v>
      </c>
      <c r="D401" s="102" t="s">
        <v>13006</v>
      </c>
      <c r="E401" s="102" t="s">
        <v>12934</v>
      </c>
      <c r="F401" s="102"/>
      <c r="G401" s="102" t="s">
        <v>3399</v>
      </c>
      <c r="H401" s="102"/>
      <c r="I401" s="102"/>
      <c r="J401" s="102"/>
      <c r="K401" s="102" t="s">
        <v>13007</v>
      </c>
      <c r="L401" s="102"/>
      <c r="M401" s="102"/>
      <c r="N401" s="102"/>
      <c r="O401" s="102"/>
      <c r="P401" s="102"/>
      <c r="Q401" s="102"/>
      <c r="R401" s="102"/>
      <c r="S401" s="102" t="s">
        <v>171</v>
      </c>
      <c r="T401" s="102" t="s">
        <v>9</v>
      </c>
    </row>
    <row r="402" spans="1:20">
      <c r="A402" s="101" t="s">
        <v>3465</v>
      </c>
      <c r="B402" s="101" t="s">
        <v>3758</v>
      </c>
      <c r="C402" s="101">
        <v>2018</v>
      </c>
      <c r="D402" s="102" t="s">
        <v>13008</v>
      </c>
      <c r="E402" s="102" t="s">
        <v>1611</v>
      </c>
      <c r="F402" s="102"/>
      <c r="G402" s="102" t="s">
        <v>3399</v>
      </c>
      <c r="H402" s="102"/>
      <c r="I402" s="102"/>
      <c r="J402" s="102"/>
      <c r="K402" s="102" t="s">
        <v>8859</v>
      </c>
      <c r="L402" s="102" t="s">
        <v>13009</v>
      </c>
      <c r="M402" s="102"/>
      <c r="N402" s="102"/>
      <c r="O402" s="102"/>
      <c r="P402" s="102"/>
      <c r="Q402" s="102"/>
      <c r="R402" s="102"/>
      <c r="S402" s="102" t="s">
        <v>172</v>
      </c>
      <c r="T402" s="102" t="s">
        <v>9</v>
      </c>
    </row>
    <row r="403" spans="1:20">
      <c r="A403" s="101" t="s">
        <v>3465</v>
      </c>
      <c r="B403" s="101" t="s">
        <v>3758</v>
      </c>
      <c r="C403" s="101">
        <v>2019</v>
      </c>
      <c r="D403" s="102" t="s">
        <v>13010</v>
      </c>
      <c r="E403" s="102" t="s">
        <v>12949</v>
      </c>
      <c r="F403" s="102"/>
      <c r="G403" s="102" t="s">
        <v>3399</v>
      </c>
      <c r="H403" s="102"/>
      <c r="I403" s="102"/>
      <c r="J403" s="102"/>
      <c r="K403" s="102" t="s">
        <v>13011</v>
      </c>
      <c r="L403" s="102"/>
      <c r="M403" s="102"/>
      <c r="N403" s="102"/>
      <c r="O403" s="102"/>
      <c r="P403" s="102"/>
      <c r="Q403" s="102"/>
      <c r="R403" s="102"/>
      <c r="S403" s="102" t="s">
        <v>50</v>
      </c>
      <c r="T403" s="102" t="s">
        <v>9</v>
      </c>
    </row>
    <row r="404" spans="1:20">
      <c r="A404" s="101" t="s">
        <v>3465</v>
      </c>
      <c r="B404" s="101" t="s">
        <v>3758</v>
      </c>
      <c r="C404" s="101">
        <v>2020</v>
      </c>
      <c r="D404" s="102" t="s">
        <v>13012</v>
      </c>
      <c r="E404" s="102" t="s">
        <v>1688</v>
      </c>
      <c r="F404" s="102"/>
      <c r="G404" s="102" t="s">
        <v>3399</v>
      </c>
      <c r="H404" s="102"/>
      <c r="I404" s="102"/>
      <c r="J404" s="102"/>
      <c r="K404" s="102" t="s">
        <v>13013</v>
      </c>
      <c r="L404" s="102"/>
      <c r="M404" s="102"/>
      <c r="N404" s="102"/>
      <c r="O404" s="102"/>
      <c r="P404" s="102"/>
      <c r="Q404" s="102"/>
      <c r="R404" s="102"/>
      <c r="S404" s="102" t="s">
        <v>177</v>
      </c>
      <c r="T404" s="102" t="s">
        <v>9</v>
      </c>
    </row>
    <row r="405" spans="1:20">
      <c r="A405" s="101" t="s">
        <v>3465</v>
      </c>
      <c r="B405" s="101" t="s">
        <v>3758</v>
      </c>
      <c r="C405" s="101">
        <v>2021</v>
      </c>
      <c r="D405" s="102" t="s">
        <v>13014</v>
      </c>
      <c r="E405" s="102" t="s">
        <v>1618</v>
      </c>
      <c r="F405" s="102"/>
      <c r="G405" s="102" t="s">
        <v>3399</v>
      </c>
      <c r="H405" s="102"/>
      <c r="I405" s="102"/>
      <c r="J405" s="102"/>
      <c r="K405" s="102" t="s">
        <v>13015</v>
      </c>
      <c r="L405" s="102"/>
      <c r="M405" s="102"/>
      <c r="N405" s="102"/>
      <c r="O405" s="102"/>
      <c r="P405" s="102"/>
      <c r="Q405" s="102"/>
      <c r="R405" s="102"/>
      <c r="S405" s="102" t="s">
        <v>17</v>
      </c>
      <c r="T405" s="102" t="s">
        <v>9</v>
      </c>
    </row>
    <row r="406" spans="1:20">
      <c r="A406" s="101" t="s">
        <v>3465</v>
      </c>
      <c r="B406" s="101" t="s">
        <v>3758</v>
      </c>
      <c r="C406" s="101">
        <v>2023</v>
      </c>
      <c r="D406" s="102" t="s">
        <v>13016</v>
      </c>
      <c r="E406" s="102" t="s">
        <v>1688</v>
      </c>
      <c r="F406" s="102"/>
      <c r="G406" s="102" t="s">
        <v>3399</v>
      </c>
      <c r="H406" s="102"/>
      <c r="I406" s="102"/>
      <c r="J406" s="102"/>
      <c r="K406" s="102" t="s">
        <v>13017</v>
      </c>
      <c r="L406" s="102" t="s">
        <v>13018</v>
      </c>
      <c r="M406" s="102"/>
      <c r="N406" s="102"/>
      <c r="O406" s="102"/>
      <c r="P406" s="102"/>
      <c r="Q406" s="102"/>
      <c r="R406" s="102"/>
      <c r="S406" s="102" t="s">
        <v>39</v>
      </c>
      <c r="T406" s="102" t="s">
        <v>9</v>
      </c>
    </row>
    <row r="407" spans="1:20">
      <c r="A407" s="101" t="s">
        <v>3465</v>
      </c>
      <c r="B407" s="101" t="s">
        <v>3758</v>
      </c>
      <c r="C407" s="101">
        <v>2024</v>
      </c>
      <c r="D407" s="102" t="s">
        <v>13019</v>
      </c>
      <c r="E407" s="102" t="s">
        <v>1618</v>
      </c>
      <c r="F407" s="102"/>
      <c r="G407" s="102" t="s">
        <v>3399</v>
      </c>
      <c r="H407" s="102"/>
      <c r="I407" s="102"/>
      <c r="J407" s="102"/>
      <c r="K407" s="102" t="s">
        <v>13020</v>
      </c>
      <c r="L407" s="102"/>
      <c r="M407" s="102"/>
      <c r="N407" s="102"/>
      <c r="O407" s="102"/>
      <c r="P407" s="102"/>
      <c r="Q407" s="102"/>
      <c r="R407" s="102"/>
      <c r="S407" s="102" t="s">
        <v>5719</v>
      </c>
      <c r="T407" s="102" t="s">
        <v>9</v>
      </c>
    </row>
    <row r="408" spans="1:20">
      <c r="A408" s="101" t="s">
        <v>3465</v>
      </c>
      <c r="B408" s="101" t="s">
        <v>3758</v>
      </c>
      <c r="C408" s="101">
        <v>2025</v>
      </c>
      <c r="D408" s="102" t="s">
        <v>13021</v>
      </c>
      <c r="E408" s="102" t="s">
        <v>1620</v>
      </c>
      <c r="F408" s="102"/>
      <c r="G408" s="102" t="s">
        <v>3399</v>
      </c>
      <c r="H408" s="102"/>
      <c r="I408" s="102"/>
      <c r="J408" s="102"/>
      <c r="K408" s="102" t="s">
        <v>13022</v>
      </c>
      <c r="L408" s="102"/>
      <c r="M408" s="102"/>
      <c r="N408" s="102"/>
      <c r="O408" s="102"/>
      <c r="P408" s="102"/>
      <c r="Q408" s="102"/>
      <c r="R408" s="102"/>
      <c r="S408" s="102" t="s">
        <v>605</v>
      </c>
      <c r="T408" s="102" t="s">
        <v>9</v>
      </c>
    </row>
    <row r="409" spans="1:20">
      <c r="A409" s="101" t="s">
        <v>3465</v>
      </c>
      <c r="B409" s="101" t="s">
        <v>3758</v>
      </c>
      <c r="C409" s="101">
        <v>2026</v>
      </c>
      <c r="D409" s="102" t="s">
        <v>13023</v>
      </c>
      <c r="E409" s="102" t="s">
        <v>1621</v>
      </c>
      <c r="F409" s="102"/>
      <c r="G409" s="102" t="s">
        <v>3399</v>
      </c>
      <c r="H409" s="102"/>
      <c r="I409" s="102"/>
      <c r="J409" s="102"/>
      <c r="K409" s="102" t="s">
        <v>13024</v>
      </c>
      <c r="L409" s="102"/>
      <c r="M409" s="102"/>
      <c r="N409" s="102"/>
      <c r="O409" s="102"/>
      <c r="P409" s="102"/>
      <c r="Q409" s="102"/>
      <c r="R409" s="102"/>
      <c r="S409" s="102" t="s">
        <v>176</v>
      </c>
      <c r="T409" s="102" t="s">
        <v>9</v>
      </c>
    </row>
    <row r="410" spans="1:20">
      <c r="A410" s="101" t="s">
        <v>3465</v>
      </c>
      <c r="B410" s="101" t="s">
        <v>3758</v>
      </c>
      <c r="C410" s="101">
        <v>2027</v>
      </c>
      <c r="D410" s="102" t="s">
        <v>13025</v>
      </c>
      <c r="E410" s="102" t="s">
        <v>1621</v>
      </c>
      <c r="F410" s="102"/>
      <c r="G410" s="102" t="s">
        <v>3399</v>
      </c>
      <c r="H410" s="102"/>
      <c r="I410" s="102"/>
      <c r="J410" s="102"/>
      <c r="K410" s="102" t="s">
        <v>13026</v>
      </c>
      <c r="L410" s="102" t="s">
        <v>13027</v>
      </c>
      <c r="M410" s="102"/>
      <c r="N410" s="102"/>
      <c r="O410" s="102"/>
      <c r="P410" s="102"/>
      <c r="Q410" s="102"/>
      <c r="R410" s="102"/>
      <c r="S410" s="102" t="s">
        <v>44</v>
      </c>
      <c r="T410" s="102" t="s">
        <v>9</v>
      </c>
    </row>
    <row r="411" spans="1:20">
      <c r="A411" s="101" t="s">
        <v>3465</v>
      </c>
      <c r="B411" s="101" t="s">
        <v>3758</v>
      </c>
      <c r="C411" s="101">
        <v>2028</v>
      </c>
      <c r="D411" s="102" t="s">
        <v>13028</v>
      </c>
      <c r="E411" s="102" t="s">
        <v>1621</v>
      </c>
      <c r="F411" s="102"/>
      <c r="G411" s="102" t="s">
        <v>3399</v>
      </c>
      <c r="H411" s="102"/>
      <c r="I411" s="102"/>
      <c r="J411" s="102"/>
      <c r="K411" s="102" t="s">
        <v>13029</v>
      </c>
      <c r="L411" s="102"/>
      <c r="M411" s="102"/>
      <c r="N411" s="102"/>
      <c r="O411" s="102"/>
      <c r="P411" s="102"/>
      <c r="Q411" s="102"/>
      <c r="R411" s="102"/>
      <c r="S411" s="102" t="s">
        <v>32</v>
      </c>
      <c r="T411" s="102" t="s">
        <v>9</v>
      </c>
    </row>
    <row r="412" spans="1:20">
      <c r="A412" s="101" t="s">
        <v>3465</v>
      </c>
      <c r="B412" s="101" t="s">
        <v>3758</v>
      </c>
      <c r="C412" s="101">
        <v>2029</v>
      </c>
      <c r="D412" s="102" t="s">
        <v>13030</v>
      </c>
      <c r="E412" s="102" t="s">
        <v>1620</v>
      </c>
      <c r="F412" s="102"/>
      <c r="G412" s="102" t="s">
        <v>3399</v>
      </c>
      <c r="H412" s="102"/>
      <c r="I412" s="102"/>
      <c r="J412" s="102"/>
      <c r="K412" s="102" t="s">
        <v>13031</v>
      </c>
      <c r="L412" s="102"/>
      <c r="M412" s="102"/>
      <c r="N412" s="102"/>
      <c r="O412" s="102"/>
      <c r="P412" s="102"/>
      <c r="Q412" s="102"/>
      <c r="R412" s="102"/>
      <c r="S412" s="102" t="s">
        <v>26</v>
      </c>
      <c r="T412" s="102" t="s">
        <v>9</v>
      </c>
    </row>
    <row r="413" spans="1:20">
      <c r="A413" s="101" t="s">
        <v>3465</v>
      </c>
      <c r="B413" s="101" t="s">
        <v>3758</v>
      </c>
      <c r="C413" s="101">
        <v>2030</v>
      </c>
      <c r="D413" s="102" t="s">
        <v>13032</v>
      </c>
      <c r="E413" s="102" t="s">
        <v>1620</v>
      </c>
      <c r="F413" s="102"/>
      <c r="G413" s="102" t="s">
        <v>3399</v>
      </c>
      <c r="H413" s="102"/>
      <c r="I413" s="102"/>
      <c r="J413" s="102"/>
      <c r="K413" s="102" t="s">
        <v>13033</v>
      </c>
      <c r="L413" s="102"/>
      <c r="M413" s="102"/>
      <c r="N413" s="102"/>
      <c r="O413" s="102"/>
      <c r="P413" s="102"/>
      <c r="Q413" s="102"/>
      <c r="R413" s="102"/>
      <c r="S413" s="102" t="s">
        <v>26</v>
      </c>
      <c r="T413" s="102" t="s">
        <v>9</v>
      </c>
    </row>
    <row r="414" spans="1:20">
      <c r="A414" s="101" t="s">
        <v>3465</v>
      </c>
      <c r="B414" s="101" t="s">
        <v>3758</v>
      </c>
      <c r="C414" s="101">
        <v>2031</v>
      </c>
      <c r="D414" s="102" t="s">
        <v>13034</v>
      </c>
      <c r="E414" s="102" t="s">
        <v>1620</v>
      </c>
      <c r="F414" s="102"/>
      <c r="G414" s="102" t="s">
        <v>3399</v>
      </c>
      <c r="H414" s="102"/>
      <c r="I414" s="102"/>
      <c r="J414" s="102"/>
      <c r="K414" s="102" t="s">
        <v>13035</v>
      </c>
      <c r="L414" s="102"/>
      <c r="M414" s="102"/>
      <c r="N414" s="102"/>
      <c r="O414" s="102"/>
      <c r="P414" s="102"/>
      <c r="Q414" s="102"/>
      <c r="R414" s="102"/>
      <c r="S414" s="102" t="s">
        <v>39</v>
      </c>
      <c r="T414" s="102" t="s">
        <v>9</v>
      </c>
    </row>
    <row r="415" spans="1:20">
      <c r="A415" s="101" t="s">
        <v>3465</v>
      </c>
      <c r="B415" s="101" t="s">
        <v>3758</v>
      </c>
      <c r="C415" s="101">
        <v>2032</v>
      </c>
      <c r="D415" s="102" t="s">
        <v>13036</v>
      </c>
      <c r="E415" s="102" t="s">
        <v>1618</v>
      </c>
      <c r="F415" s="102"/>
      <c r="G415" s="102" t="s">
        <v>3399</v>
      </c>
      <c r="H415" s="102"/>
      <c r="I415" s="102"/>
      <c r="J415" s="102"/>
      <c r="K415" s="102" t="s">
        <v>13037</v>
      </c>
      <c r="L415" s="102"/>
      <c r="M415" s="102"/>
      <c r="N415" s="102"/>
      <c r="O415" s="102"/>
      <c r="P415" s="102"/>
      <c r="Q415" s="102"/>
      <c r="R415" s="102"/>
      <c r="S415" s="102"/>
      <c r="T415" s="102" t="s">
        <v>9</v>
      </c>
    </row>
    <row r="416" spans="1:20">
      <c r="A416" s="101" t="s">
        <v>3465</v>
      </c>
      <c r="B416" s="101" t="s">
        <v>3758</v>
      </c>
      <c r="C416" s="101">
        <v>2033</v>
      </c>
      <c r="D416" s="102" t="s">
        <v>13038</v>
      </c>
      <c r="E416" s="102" t="s">
        <v>1620</v>
      </c>
      <c r="F416" s="102"/>
      <c r="G416" s="102" t="s">
        <v>3399</v>
      </c>
      <c r="H416" s="102"/>
      <c r="I416" s="102"/>
      <c r="J416" s="102"/>
      <c r="K416" s="102" t="s">
        <v>6890</v>
      </c>
      <c r="L416" s="102" t="s">
        <v>13039</v>
      </c>
      <c r="M416" s="102"/>
      <c r="N416" s="102"/>
      <c r="O416" s="102"/>
      <c r="P416" s="102"/>
      <c r="Q416" s="102"/>
      <c r="R416" s="102"/>
      <c r="S416" s="102" t="s">
        <v>17</v>
      </c>
      <c r="T416" s="102" t="s">
        <v>9</v>
      </c>
    </row>
    <row r="417" spans="1:20">
      <c r="A417" s="101" t="s">
        <v>3465</v>
      </c>
      <c r="B417" s="101" t="s">
        <v>3758</v>
      </c>
      <c r="C417" s="101">
        <v>2035</v>
      </c>
      <c r="D417" s="102" t="s">
        <v>13040</v>
      </c>
      <c r="E417" s="102" t="s">
        <v>1763</v>
      </c>
      <c r="F417" s="102"/>
      <c r="G417" s="102" t="s">
        <v>3399</v>
      </c>
      <c r="H417" s="102"/>
      <c r="I417" s="102"/>
      <c r="J417" s="102"/>
      <c r="K417" s="102" t="s">
        <v>13041</v>
      </c>
      <c r="L417" s="102"/>
      <c r="M417" s="102"/>
      <c r="N417" s="102"/>
      <c r="O417" s="102"/>
      <c r="P417" s="102"/>
      <c r="Q417" s="102"/>
      <c r="R417" s="102"/>
      <c r="S417" s="102" t="s">
        <v>182</v>
      </c>
      <c r="T417" s="102" t="s">
        <v>9</v>
      </c>
    </row>
    <row r="418" spans="1:20">
      <c r="A418" s="101" t="s">
        <v>3465</v>
      </c>
      <c r="B418" s="101" t="s">
        <v>3758</v>
      </c>
      <c r="C418" s="101">
        <v>2036</v>
      </c>
      <c r="D418" s="102" t="s">
        <v>13042</v>
      </c>
      <c r="E418" s="102" t="s">
        <v>1763</v>
      </c>
      <c r="F418" s="102"/>
      <c r="G418" s="102" t="s">
        <v>3399</v>
      </c>
      <c r="H418" s="102"/>
      <c r="I418" s="102"/>
      <c r="J418" s="102"/>
      <c r="K418" s="102" t="s">
        <v>4162</v>
      </c>
      <c r="L418" s="102" t="s">
        <v>13043</v>
      </c>
      <c r="M418" s="102" t="s">
        <v>13044</v>
      </c>
      <c r="N418" s="102" t="s">
        <v>13045</v>
      </c>
      <c r="O418" s="102" t="s">
        <v>13046</v>
      </c>
      <c r="P418" s="102"/>
      <c r="Q418" s="102"/>
      <c r="R418" s="102"/>
      <c r="S418" s="102" t="s">
        <v>5281</v>
      </c>
      <c r="T418" s="102" t="s">
        <v>9</v>
      </c>
    </row>
    <row r="419" spans="1:20">
      <c r="A419" s="101" t="s">
        <v>3465</v>
      </c>
      <c r="B419" s="101" t="s">
        <v>3758</v>
      </c>
      <c r="C419" s="101">
        <v>2037</v>
      </c>
      <c r="D419" s="102" t="s">
        <v>13047</v>
      </c>
      <c r="E419" s="102" t="s">
        <v>1622</v>
      </c>
      <c r="F419" s="102"/>
      <c r="G419" s="102" t="s">
        <v>3399</v>
      </c>
      <c r="H419" s="102"/>
      <c r="I419" s="102"/>
      <c r="J419" s="102"/>
      <c r="K419" s="102" t="s">
        <v>13048</v>
      </c>
      <c r="L419" s="102"/>
      <c r="M419" s="102"/>
      <c r="N419" s="102"/>
      <c r="O419" s="102"/>
      <c r="P419" s="102"/>
      <c r="Q419" s="102"/>
      <c r="R419" s="102"/>
      <c r="S419" s="102" t="s">
        <v>40</v>
      </c>
      <c r="T419" s="102" t="s">
        <v>9</v>
      </c>
    </row>
    <row r="420" spans="1:20">
      <c r="A420" s="101" t="s">
        <v>3465</v>
      </c>
      <c r="B420" s="101" t="s">
        <v>3758</v>
      </c>
      <c r="C420" s="101">
        <v>2038</v>
      </c>
      <c r="D420" s="102" t="s">
        <v>13049</v>
      </c>
      <c r="E420" s="102" t="s">
        <v>1763</v>
      </c>
      <c r="F420" s="102"/>
      <c r="G420" s="102" t="s">
        <v>3399</v>
      </c>
      <c r="H420" s="102"/>
      <c r="I420" s="102"/>
      <c r="J420" s="102"/>
      <c r="K420" s="102" t="s">
        <v>13050</v>
      </c>
      <c r="L420" s="102"/>
      <c r="M420" s="102"/>
      <c r="N420" s="102"/>
      <c r="O420" s="102"/>
      <c r="P420" s="102"/>
      <c r="Q420" s="102"/>
      <c r="R420" s="102"/>
      <c r="S420" s="102" t="s">
        <v>177</v>
      </c>
      <c r="T420" s="102" t="s">
        <v>9</v>
      </c>
    </row>
    <row r="421" spans="1:20">
      <c r="A421" s="101" t="s">
        <v>3465</v>
      </c>
      <c r="B421" s="101" t="s">
        <v>3758</v>
      </c>
      <c r="C421" s="101">
        <v>2039</v>
      </c>
      <c r="D421" s="102" t="s">
        <v>13051</v>
      </c>
      <c r="E421" s="102" t="s">
        <v>1763</v>
      </c>
      <c r="F421" s="102"/>
      <c r="G421" s="102" t="s">
        <v>3399</v>
      </c>
      <c r="H421" s="102"/>
      <c r="I421" s="102"/>
      <c r="J421" s="102"/>
      <c r="K421" s="102" t="s">
        <v>13052</v>
      </c>
      <c r="L421" s="102" t="s">
        <v>13027</v>
      </c>
      <c r="M421" s="102"/>
      <c r="N421" s="102"/>
      <c r="O421" s="102"/>
      <c r="P421" s="102"/>
      <c r="Q421" s="102"/>
      <c r="R421" s="102"/>
      <c r="S421" s="102" t="s">
        <v>45</v>
      </c>
      <c r="T421" s="102" t="s">
        <v>9</v>
      </c>
    </row>
    <row r="422" spans="1:20">
      <c r="A422" s="101" t="s">
        <v>3465</v>
      </c>
      <c r="B422" s="101" t="s">
        <v>3758</v>
      </c>
      <c r="C422" s="101">
        <v>2040</v>
      </c>
      <c r="D422" s="102" t="s">
        <v>13053</v>
      </c>
      <c r="E422" s="102" t="s">
        <v>1763</v>
      </c>
      <c r="F422" s="102"/>
      <c r="G422" s="102" t="s">
        <v>3399</v>
      </c>
      <c r="H422" s="102"/>
      <c r="I422" s="102"/>
      <c r="J422" s="102"/>
      <c r="K422" s="102" t="s">
        <v>13054</v>
      </c>
      <c r="L422" s="102"/>
      <c r="M422" s="102"/>
      <c r="N422" s="102"/>
      <c r="O422" s="102"/>
      <c r="P422" s="102"/>
      <c r="Q422" s="102"/>
      <c r="R422" s="102"/>
      <c r="S422" s="102" t="s">
        <v>181</v>
      </c>
      <c r="T422" s="102" t="s">
        <v>9</v>
      </c>
    </row>
    <row r="423" spans="1:20">
      <c r="A423" s="101" t="s">
        <v>3465</v>
      </c>
      <c r="B423" s="101" t="s">
        <v>3758</v>
      </c>
      <c r="C423" s="101">
        <v>2041</v>
      </c>
      <c r="D423" s="102" t="s">
        <v>13055</v>
      </c>
      <c r="E423" s="102" t="s">
        <v>1763</v>
      </c>
      <c r="F423" s="102"/>
      <c r="G423" s="102" t="s">
        <v>3399</v>
      </c>
      <c r="H423" s="102"/>
      <c r="I423" s="102"/>
      <c r="J423" s="102"/>
      <c r="K423" s="102" t="s">
        <v>13056</v>
      </c>
      <c r="L423" s="102"/>
      <c r="M423" s="102"/>
      <c r="N423" s="102"/>
      <c r="O423" s="102"/>
      <c r="P423" s="102"/>
      <c r="Q423" s="102"/>
      <c r="R423" s="102"/>
      <c r="S423" s="102" t="s">
        <v>178</v>
      </c>
      <c r="T423" s="102" t="s">
        <v>9</v>
      </c>
    </row>
    <row r="424" spans="1:20">
      <c r="A424" s="101" t="s">
        <v>3465</v>
      </c>
      <c r="B424" s="101" t="s">
        <v>3758</v>
      </c>
      <c r="C424" s="101">
        <v>2042</v>
      </c>
      <c r="D424" s="102" t="s">
        <v>13057</v>
      </c>
      <c r="E424" s="102" t="s">
        <v>1763</v>
      </c>
      <c r="F424" s="102"/>
      <c r="G424" s="102" t="s">
        <v>3399</v>
      </c>
      <c r="H424" s="102"/>
      <c r="I424" s="102"/>
      <c r="J424" s="102"/>
      <c r="K424" s="102" t="s">
        <v>13058</v>
      </c>
      <c r="L424" s="102" t="s">
        <v>13059</v>
      </c>
      <c r="M424" s="102"/>
      <c r="N424" s="102"/>
      <c r="O424" s="102"/>
      <c r="P424" s="102"/>
      <c r="Q424" s="102"/>
      <c r="R424" s="102"/>
      <c r="S424" s="102" t="s">
        <v>53</v>
      </c>
      <c r="T424" s="102" t="s">
        <v>9</v>
      </c>
    </row>
    <row r="425" spans="1:20">
      <c r="A425" s="101" t="s">
        <v>3465</v>
      </c>
      <c r="B425" s="101" t="s">
        <v>3758</v>
      </c>
      <c r="C425" s="101">
        <v>2043</v>
      </c>
      <c r="D425" s="102" t="s">
        <v>13060</v>
      </c>
      <c r="E425" s="102" t="s">
        <v>1622</v>
      </c>
      <c r="F425" s="102"/>
      <c r="G425" s="102" t="s">
        <v>3399</v>
      </c>
      <c r="H425" s="102"/>
      <c r="I425" s="102"/>
      <c r="J425" s="102"/>
      <c r="K425" s="102" t="s">
        <v>13061</v>
      </c>
      <c r="L425" s="102"/>
      <c r="M425" s="102"/>
      <c r="N425" s="102"/>
      <c r="O425" s="102"/>
      <c r="P425" s="102"/>
      <c r="Q425" s="102"/>
      <c r="R425" s="102"/>
      <c r="S425" s="102" t="s">
        <v>605</v>
      </c>
      <c r="T425" s="102" t="s">
        <v>9</v>
      </c>
    </row>
    <row r="426" spans="1:20">
      <c r="A426" s="101" t="s">
        <v>3465</v>
      </c>
      <c r="B426" s="101" t="s">
        <v>3758</v>
      </c>
      <c r="C426" s="101">
        <v>2044</v>
      </c>
      <c r="D426" s="102" t="s">
        <v>13062</v>
      </c>
      <c r="E426" s="102" t="s">
        <v>1622</v>
      </c>
      <c r="F426" s="102"/>
      <c r="G426" s="102" t="s">
        <v>3399</v>
      </c>
      <c r="H426" s="102"/>
      <c r="I426" s="102"/>
      <c r="J426" s="102"/>
      <c r="K426" s="102" t="s">
        <v>13063</v>
      </c>
      <c r="L426" s="102"/>
      <c r="M426" s="102"/>
      <c r="N426" s="102"/>
      <c r="O426" s="102"/>
      <c r="P426" s="102"/>
      <c r="Q426" s="102"/>
      <c r="R426" s="102"/>
      <c r="S426" s="102" t="s">
        <v>29</v>
      </c>
      <c r="T426" s="102" t="s">
        <v>9</v>
      </c>
    </row>
    <row r="427" spans="1:20">
      <c r="A427" s="101" t="s">
        <v>3465</v>
      </c>
      <c r="B427" s="101" t="s">
        <v>3758</v>
      </c>
      <c r="C427" s="101">
        <v>2045</v>
      </c>
      <c r="D427" s="102" t="s">
        <v>13064</v>
      </c>
      <c r="E427" s="102" t="s">
        <v>1622</v>
      </c>
      <c r="F427" s="102"/>
      <c r="G427" s="102" t="s">
        <v>3399</v>
      </c>
      <c r="H427" s="102"/>
      <c r="I427" s="102"/>
      <c r="J427" s="102"/>
      <c r="K427" s="102" t="s">
        <v>13065</v>
      </c>
      <c r="L427" s="102"/>
      <c r="M427" s="102"/>
      <c r="N427" s="102"/>
      <c r="O427" s="102"/>
      <c r="P427" s="102"/>
      <c r="Q427" s="102"/>
      <c r="R427" s="102"/>
      <c r="S427" s="102" t="s">
        <v>18</v>
      </c>
      <c r="T427" s="102" t="s">
        <v>9</v>
      </c>
    </row>
    <row r="428" spans="1:20">
      <c r="A428" s="101" t="s">
        <v>3465</v>
      </c>
      <c r="B428" s="101" t="s">
        <v>3758</v>
      </c>
      <c r="C428" s="101">
        <v>2046</v>
      </c>
      <c r="D428" s="102" t="s">
        <v>13066</v>
      </c>
      <c r="E428" s="102" t="s">
        <v>1622</v>
      </c>
      <c r="F428" s="102"/>
      <c r="G428" s="102" t="s">
        <v>3399</v>
      </c>
      <c r="H428" s="102"/>
      <c r="I428" s="102"/>
      <c r="J428" s="102"/>
      <c r="K428" s="102" t="s">
        <v>4113</v>
      </c>
      <c r="L428" s="102" t="s">
        <v>13067</v>
      </c>
      <c r="M428" s="102" t="s">
        <v>13068</v>
      </c>
      <c r="N428" s="102" t="s">
        <v>12288</v>
      </c>
      <c r="O428" s="102"/>
      <c r="P428" s="102"/>
      <c r="Q428" s="102"/>
      <c r="R428" s="102"/>
      <c r="S428" s="102" t="s">
        <v>605</v>
      </c>
      <c r="T428" s="102" t="s">
        <v>9</v>
      </c>
    </row>
    <row r="429" spans="1:20">
      <c r="A429" s="101" t="s">
        <v>3465</v>
      </c>
      <c r="B429" s="101" t="s">
        <v>3758</v>
      </c>
      <c r="C429" s="101">
        <v>2047</v>
      </c>
      <c r="D429" s="102" t="s">
        <v>13069</v>
      </c>
      <c r="E429" s="102" t="s">
        <v>1622</v>
      </c>
      <c r="F429" s="102"/>
      <c r="G429" s="102" t="s">
        <v>3399</v>
      </c>
      <c r="H429" s="102"/>
      <c r="I429" s="102"/>
      <c r="J429" s="102"/>
      <c r="K429" s="102" t="s">
        <v>13070</v>
      </c>
      <c r="L429" s="102"/>
      <c r="M429" s="102"/>
      <c r="N429" s="102"/>
      <c r="O429" s="102"/>
      <c r="P429" s="102"/>
      <c r="Q429" s="102"/>
      <c r="R429" s="102"/>
      <c r="S429" s="102" t="s">
        <v>29</v>
      </c>
      <c r="T429" s="102" t="s">
        <v>9</v>
      </c>
    </row>
    <row r="430" spans="1:20">
      <c r="A430" s="101" t="s">
        <v>3465</v>
      </c>
      <c r="B430" s="101" t="s">
        <v>3758</v>
      </c>
      <c r="C430" s="101">
        <v>2049</v>
      </c>
      <c r="D430" s="102" t="s">
        <v>13071</v>
      </c>
      <c r="E430" s="102" t="s">
        <v>12207</v>
      </c>
      <c r="F430" s="102"/>
      <c r="G430" s="102" t="s">
        <v>3399</v>
      </c>
      <c r="H430" s="102"/>
      <c r="I430" s="102"/>
      <c r="J430" s="102"/>
      <c r="K430" s="102" t="s">
        <v>13072</v>
      </c>
      <c r="L430" s="102"/>
      <c r="M430" s="102"/>
      <c r="N430" s="102"/>
      <c r="O430" s="102"/>
      <c r="P430" s="102"/>
      <c r="Q430" s="102"/>
      <c r="R430" s="102"/>
      <c r="S430" s="102" t="s">
        <v>174</v>
      </c>
      <c r="T430" s="102" t="s">
        <v>9</v>
      </c>
    </row>
    <row r="431" spans="1:20">
      <c r="A431" s="101" t="s">
        <v>3465</v>
      </c>
      <c r="B431" s="101" t="s">
        <v>3758</v>
      </c>
      <c r="C431" s="101">
        <v>2050</v>
      </c>
      <c r="D431" s="102" t="s">
        <v>13073</v>
      </c>
      <c r="E431" s="102" t="s">
        <v>12207</v>
      </c>
      <c r="F431" s="102"/>
      <c r="G431" s="102" t="s">
        <v>3399</v>
      </c>
      <c r="H431" s="102"/>
      <c r="I431" s="102"/>
      <c r="J431" s="102"/>
      <c r="K431" s="102" t="s">
        <v>13074</v>
      </c>
      <c r="L431" s="102"/>
      <c r="M431" s="102"/>
      <c r="N431" s="102"/>
      <c r="O431" s="102"/>
      <c r="P431" s="102"/>
      <c r="Q431" s="102"/>
      <c r="R431" s="102"/>
      <c r="S431" s="102" t="s">
        <v>28</v>
      </c>
      <c r="T431" s="102" t="s">
        <v>9</v>
      </c>
    </row>
    <row r="432" spans="1:20">
      <c r="A432" s="101" t="s">
        <v>3465</v>
      </c>
      <c r="B432" s="101" t="s">
        <v>3758</v>
      </c>
      <c r="C432" s="101">
        <v>2051</v>
      </c>
      <c r="D432" s="102" t="s">
        <v>13075</v>
      </c>
      <c r="E432" s="102" t="s">
        <v>1764</v>
      </c>
      <c r="F432" s="102"/>
      <c r="G432" s="102" t="s">
        <v>3399</v>
      </c>
      <c r="H432" s="102"/>
      <c r="I432" s="102"/>
      <c r="J432" s="102"/>
      <c r="K432" s="102" t="s">
        <v>13076</v>
      </c>
      <c r="L432" s="102"/>
      <c r="M432" s="102"/>
      <c r="N432" s="102"/>
      <c r="O432" s="102"/>
      <c r="P432" s="102"/>
      <c r="Q432" s="102"/>
      <c r="R432" s="102"/>
      <c r="S432" s="102" t="s">
        <v>182</v>
      </c>
      <c r="T432" s="102" t="s">
        <v>9</v>
      </c>
    </row>
    <row r="433" spans="1:20">
      <c r="A433" s="101" t="s">
        <v>3465</v>
      </c>
      <c r="B433" s="101" t="s">
        <v>3758</v>
      </c>
      <c r="C433" s="101">
        <v>2052</v>
      </c>
      <c r="D433" s="102" t="s">
        <v>13077</v>
      </c>
      <c r="E433" s="102" t="s">
        <v>1764</v>
      </c>
      <c r="F433" s="102"/>
      <c r="G433" s="102" t="s">
        <v>3399</v>
      </c>
      <c r="H433" s="102"/>
      <c r="I433" s="102"/>
      <c r="J433" s="102"/>
      <c r="K433" s="102" t="s">
        <v>13078</v>
      </c>
      <c r="L433" s="102" t="s">
        <v>12767</v>
      </c>
      <c r="M433" s="102"/>
      <c r="N433" s="102"/>
      <c r="O433" s="102"/>
      <c r="P433" s="102"/>
      <c r="Q433" s="102"/>
      <c r="R433" s="102"/>
      <c r="S433" s="102" t="s">
        <v>52</v>
      </c>
      <c r="T433" s="102" t="s">
        <v>9</v>
      </c>
    </row>
    <row r="434" spans="1:20">
      <c r="A434" s="101" t="s">
        <v>3465</v>
      </c>
      <c r="B434" s="101" t="s">
        <v>3758</v>
      </c>
      <c r="C434" s="101">
        <v>2054</v>
      </c>
      <c r="D434" s="102" t="s">
        <v>13079</v>
      </c>
      <c r="E434" s="102" t="s">
        <v>1764</v>
      </c>
      <c r="F434" s="102"/>
      <c r="G434" s="102" t="s">
        <v>3399</v>
      </c>
      <c r="H434" s="102"/>
      <c r="I434" s="102"/>
      <c r="J434" s="102"/>
      <c r="K434" s="102" t="s">
        <v>13080</v>
      </c>
      <c r="L434" s="102" t="s">
        <v>13081</v>
      </c>
      <c r="M434" s="102"/>
      <c r="N434" s="102"/>
      <c r="O434" s="102"/>
      <c r="P434" s="102"/>
      <c r="Q434" s="102"/>
      <c r="R434" s="102"/>
      <c r="S434" s="102" t="s">
        <v>35</v>
      </c>
      <c r="T434" s="102" t="s">
        <v>9</v>
      </c>
    </row>
    <row r="435" spans="1:20">
      <c r="A435" s="101" t="s">
        <v>3465</v>
      </c>
      <c r="B435" s="101" t="s">
        <v>3758</v>
      </c>
      <c r="C435" s="101">
        <v>2055</v>
      </c>
      <c r="D435" s="102" t="s">
        <v>13082</v>
      </c>
      <c r="E435" s="102" t="s">
        <v>1623</v>
      </c>
      <c r="F435" s="102"/>
      <c r="G435" s="102" t="s">
        <v>3399</v>
      </c>
      <c r="H435" s="102"/>
      <c r="I435" s="102"/>
      <c r="J435" s="102"/>
      <c r="K435" s="102" t="s">
        <v>13083</v>
      </c>
      <c r="L435" s="102"/>
      <c r="M435" s="102"/>
      <c r="N435" s="102"/>
      <c r="O435" s="102"/>
      <c r="P435" s="102"/>
      <c r="Q435" s="102"/>
      <c r="R435" s="102"/>
      <c r="S435" s="102" t="s">
        <v>181</v>
      </c>
      <c r="T435" s="102" t="s">
        <v>9</v>
      </c>
    </row>
    <row r="436" spans="1:20">
      <c r="A436" s="101" t="s">
        <v>3465</v>
      </c>
      <c r="B436" s="101" t="s">
        <v>3758</v>
      </c>
      <c r="C436" s="101">
        <v>2056</v>
      </c>
      <c r="D436" s="102" t="s">
        <v>13084</v>
      </c>
      <c r="E436" s="102" t="s">
        <v>12793</v>
      </c>
      <c r="F436" s="102"/>
      <c r="G436" s="102" t="s">
        <v>3399</v>
      </c>
      <c r="H436" s="102"/>
      <c r="I436" s="102"/>
      <c r="J436" s="102"/>
      <c r="K436" s="102" t="s">
        <v>13085</v>
      </c>
      <c r="L436" s="102"/>
      <c r="M436" s="102"/>
      <c r="N436" s="102"/>
      <c r="O436" s="102"/>
      <c r="P436" s="102"/>
      <c r="Q436" s="102"/>
      <c r="R436" s="102"/>
      <c r="S436" s="102" t="s">
        <v>5685</v>
      </c>
      <c r="T436" s="102" t="s">
        <v>9</v>
      </c>
    </row>
    <row r="437" spans="1:20">
      <c r="A437" s="101" t="s">
        <v>3465</v>
      </c>
      <c r="B437" s="101" t="s">
        <v>3758</v>
      </c>
      <c r="C437" s="101">
        <v>2057</v>
      </c>
      <c r="D437" s="102" t="s">
        <v>13086</v>
      </c>
      <c r="E437" s="102" t="s">
        <v>12793</v>
      </c>
      <c r="F437" s="102"/>
      <c r="G437" s="102" t="s">
        <v>3399</v>
      </c>
      <c r="H437" s="102"/>
      <c r="I437" s="102"/>
      <c r="J437" s="102"/>
      <c r="K437" s="102" t="s">
        <v>13087</v>
      </c>
      <c r="L437" s="102"/>
      <c r="M437" s="102"/>
      <c r="N437" s="102"/>
      <c r="O437" s="102"/>
      <c r="P437" s="102"/>
      <c r="Q437" s="102"/>
      <c r="R437" s="102"/>
      <c r="S437" s="102" t="s">
        <v>48</v>
      </c>
      <c r="T437" s="102" t="s">
        <v>9</v>
      </c>
    </row>
    <row r="438" spans="1:20">
      <c r="A438" s="101" t="s">
        <v>3465</v>
      </c>
      <c r="B438" s="101" t="s">
        <v>3758</v>
      </c>
      <c r="C438" s="101">
        <v>2058</v>
      </c>
      <c r="D438" s="102" t="s">
        <v>13088</v>
      </c>
      <c r="E438" s="102" t="s">
        <v>12793</v>
      </c>
      <c r="F438" s="102"/>
      <c r="G438" s="102" t="s">
        <v>3399</v>
      </c>
      <c r="H438" s="102"/>
      <c r="I438" s="102"/>
      <c r="J438" s="102"/>
      <c r="K438" s="102" t="s">
        <v>4113</v>
      </c>
      <c r="L438" s="102" t="s">
        <v>13089</v>
      </c>
      <c r="M438" s="102" t="s">
        <v>13090</v>
      </c>
      <c r="N438" s="102" t="s">
        <v>6335</v>
      </c>
      <c r="O438" s="102"/>
      <c r="P438" s="102"/>
      <c r="Q438" s="102"/>
      <c r="R438" s="102"/>
      <c r="S438" s="102" t="s">
        <v>168</v>
      </c>
      <c r="T438" s="102" t="s">
        <v>9</v>
      </c>
    </row>
    <row r="439" spans="1:20">
      <c r="A439" s="101" t="s">
        <v>3465</v>
      </c>
      <c r="B439" s="101" t="s">
        <v>3758</v>
      </c>
      <c r="C439" s="101">
        <v>2060</v>
      </c>
      <c r="D439" s="102" t="s">
        <v>13091</v>
      </c>
      <c r="E439" s="102" t="s">
        <v>13092</v>
      </c>
      <c r="F439" s="102"/>
      <c r="G439" s="102" t="s">
        <v>3399</v>
      </c>
      <c r="H439" s="102"/>
      <c r="I439" s="102"/>
      <c r="J439" s="102"/>
      <c r="K439" s="102" t="s">
        <v>13093</v>
      </c>
      <c r="L439" s="102" t="s">
        <v>6957</v>
      </c>
      <c r="M439" s="102"/>
      <c r="N439" s="102"/>
      <c r="O439" s="102"/>
      <c r="P439" s="102"/>
      <c r="Q439" s="102"/>
      <c r="R439" s="102"/>
      <c r="S439" s="102" t="s">
        <v>179</v>
      </c>
      <c r="T439" s="102" t="s">
        <v>9</v>
      </c>
    </row>
    <row r="440" spans="1:20">
      <c r="A440" s="101" t="s">
        <v>3465</v>
      </c>
      <c r="B440" s="101" t="s">
        <v>3758</v>
      </c>
      <c r="C440" s="101">
        <v>2061</v>
      </c>
      <c r="D440" s="102" t="s">
        <v>13094</v>
      </c>
      <c r="E440" s="102" t="s">
        <v>12624</v>
      </c>
      <c r="F440" s="102"/>
      <c r="G440" s="102" t="s">
        <v>3399</v>
      </c>
      <c r="H440" s="102"/>
      <c r="I440" s="102"/>
      <c r="J440" s="102"/>
      <c r="K440" s="102" t="s">
        <v>13095</v>
      </c>
      <c r="L440" s="102"/>
      <c r="M440" s="102"/>
      <c r="N440" s="102"/>
      <c r="O440" s="102"/>
      <c r="P440" s="102"/>
      <c r="Q440" s="102"/>
      <c r="R440" s="102"/>
      <c r="S440" s="102" t="s">
        <v>171</v>
      </c>
      <c r="T440" s="102" t="s">
        <v>9</v>
      </c>
    </row>
    <row r="441" spans="1:20">
      <c r="A441" s="101" t="s">
        <v>4768</v>
      </c>
      <c r="B441" s="101" t="s">
        <v>3758</v>
      </c>
      <c r="C441" s="101">
        <v>3012</v>
      </c>
      <c r="D441" s="102" t="s">
        <v>13295</v>
      </c>
      <c r="E441" s="102" t="s">
        <v>12934</v>
      </c>
      <c r="F441" s="102"/>
      <c r="G441" s="102" t="s">
        <v>3399</v>
      </c>
      <c r="H441" s="102"/>
      <c r="I441" s="102"/>
      <c r="J441" s="102"/>
      <c r="K441" s="102" t="s">
        <v>13296</v>
      </c>
      <c r="L441" s="102"/>
      <c r="M441" s="102"/>
      <c r="N441" s="102"/>
      <c r="O441" s="102"/>
      <c r="P441" s="102"/>
      <c r="Q441" s="102"/>
      <c r="R441" s="102"/>
      <c r="S441" s="102" t="s">
        <v>29</v>
      </c>
      <c r="T441" s="102" t="s">
        <v>41</v>
      </c>
    </row>
    <row r="442" spans="1:20">
      <c r="A442" s="101" t="s">
        <v>4768</v>
      </c>
      <c r="B442" s="101" t="s">
        <v>3758</v>
      </c>
      <c r="C442" s="101">
        <v>3034</v>
      </c>
      <c r="D442" s="102" t="s">
        <v>13297</v>
      </c>
      <c r="E442" s="102" t="s">
        <v>1621</v>
      </c>
      <c r="F442" s="102"/>
      <c r="G442" s="102" t="s">
        <v>3399</v>
      </c>
      <c r="H442" s="102"/>
      <c r="I442" s="102"/>
      <c r="J442" s="102"/>
      <c r="K442" s="102" t="s">
        <v>13298</v>
      </c>
      <c r="L442" s="102"/>
      <c r="M442" s="102"/>
      <c r="N442" s="102"/>
      <c r="O442" s="102"/>
      <c r="P442" s="102"/>
      <c r="Q442" s="102"/>
      <c r="R442" s="102"/>
      <c r="S442" s="102" t="s">
        <v>5685</v>
      </c>
      <c r="T442" s="102" t="s">
        <v>41</v>
      </c>
    </row>
    <row r="443" spans="1:20">
      <c r="A443" s="101" t="s">
        <v>4768</v>
      </c>
      <c r="B443" s="101" t="s">
        <v>3758</v>
      </c>
      <c r="C443" s="101">
        <v>3048</v>
      </c>
      <c r="D443" s="102" t="s">
        <v>13299</v>
      </c>
      <c r="E443" s="102" t="s">
        <v>1764</v>
      </c>
      <c r="F443" s="102"/>
      <c r="G443" s="102" t="s">
        <v>3399</v>
      </c>
      <c r="H443" s="102"/>
      <c r="I443" s="102"/>
      <c r="J443" s="102"/>
      <c r="K443" s="102" t="s">
        <v>13300</v>
      </c>
      <c r="L443" s="102"/>
      <c r="M443" s="102"/>
      <c r="N443" s="102"/>
      <c r="O443" s="102"/>
      <c r="P443" s="102"/>
      <c r="Q443" s="102"/>
      <c r="R443" s="102"/>
      <c r="S443" s="102" t="s">
        <v>46</v>
      </c>
      <c r="T443" s="102" t="s">
        <v>41</v>
      </c>
    </row>
    <row r="444" spans="1:20">
      <c r="A444" s="101" t="s">
        <v>4768</v>
      </c>
      <c r="B444" s="101" t="s">
        <v>3758</v>
      </c>
      <c r="C444" s="101">
        <v>3053</v>
      </c>
      <c r="D444" s="102" t="s">
        <v>13301</v>
      </c>
      <c r="E444" s="102" t="s">
        <v>1764</v>
      </c>
      <c r="F444" s="102"/>
      <c r="G444" s="102" t="s">
        <v>3399</v>
      </c>
      <c r="H444" s="102"/>
      <c r="I444" s="102"/>
      <c r="J444" s="102"/>
      <c r="K444" s="102" t="s">
        <v>13302</v>
      </c>
      <c r="L444" s="102" t="s">
        <v>13303</v>
      </c>
      <c r="M444" s="102"/>
      <c r="N444" s="102"/>
      <c r="O444" s="102"/>
      <c r="P444" s="102"/>
      <c r="Q444" s="102"/>
      <c r="R444" s="102"/>
      <c r="S444" s="102" t="s">
        <v>38</v>
      </c>
      <c r="T444" s="102" t="s">
        <v>41</v>
      </c>
    </row>
    <row r="445" spans="1:20">
      <c r="A445" s="101" t="s">
        <v>4768</v>
      </c>
      <c r="B445" s="101" t="s">
        <v>3758</v>
      </c>
      <c r="C445" s="101">
        <v>3059</v>
      </c>
      <c r="D445" s="102" t="s">
        <v>13304</v>
      </c>
      <c r="E445" s="102" t="s">
        <v>13092</v>
      </c>
      <c r="F445" s="102"/>
      <c r="G445" s="102" t="s">
        <v>3399</v>
      </c>
      <c r="H445" s="102"/>
      <c r="I445" s="102"/>
      <c r="J445" s="102"/>
      <c r="K445" s="102" t="s">
        <v>13305</v>
      </c>
      <c r="L445" s="102"/>
      <c r="M445" s="102"/>
      <c r="N445" s="102"/>
      <c r="O445" s="102"/>
      <c r="P445" s="102"/>
      <c r="Q445" s="102"/>
      <c r="R445" s="102"/>
      <c r="S445" s="102" t="s">
        <v>176</v>
      </c>
      <c r="T445" s="102" t="s">
        <v>41</v>
      </c>
    </row>
    <row r="446" spans="1:20">
      <c r="A446" s="101" t="s">
        <v>4768</v>
      </c>
      <c r="B446" s="101" t="s">
        <v>3758</v>
      </c>
      <c r="C446" s="101">
        <v>3062</v>
      </c>
      <c r="D446" s="102" t="s">
        <v>13306</v>
      </c>
      <c r="E446" s="102" t="s">
        <v>13307</v>
      </c>
      <c r="F446" s="102"/>
      <c r="G446" s="102" t="s">
        <v>3399</v>
      </c>
      <c r="H446" s="102"/>
      <c r="I446" s="102"/>
      <c r="J446" s="102"/>
      <c r="K446" s="102" t="s">
        <v>13308</v>
      </c>
      <c r="L446" s="102"/>
      <c r="M446" s="102"/>
      <c r="N446" s="102"/>
      <c r="O446" s="102"/>
      <c r="P446" s="102"/>
      <c r="Q446" s="102"/>
      <c r="R446" s="102"/>
      <c r="S446" s="102" t="s">
        <v>48</v>
      </c>
      <c r="T446" s="102" t="s">
        <v>41</v>
      </c>
    </row>
    <row r="447" spans="1:20">
      <c r="A447" s="101" t="s">
        <v>4768</v>
      </c>
      <c r="B447" s="101" t="s">
        <v>3758</v>
      </c>
      <c r="C447" s="101">
        <v>3063</v>
      </c>
      <c r="D447" s="102" t="s">
        <v>13309</v>
      </c>
      <c r="E447" s="102" t="s">
        <v>13310</v>
      </c>
      <c r="F447" s="102"/>
      <c r="G447" s="102" t="s">
        <v>3399</v>
      </c>
      <c r="H447" s="102"/>
      <c r="I447" s="102"/>
      <c r="J447" s="102"/>
      <c r="K447" s="102" t="s">
        <v>13311</v>
      </c>
      <c r="L447" s="102"/>
      <c r="M447" s="102"/>
      <c r="N447" s="102"/>
      <c r="O447" s="102"/>
      <c r="P447" s="102"/>
      <c r="Q447" s="102"/>
      <c r="R447" s="102"/>
      <c r="S447" s="102" t="s">
        <v>52</v>
      </c>
      <c r="T447" s="102" t="s">
        <v>41</v>
      </c>
    </row>
    <row r="448" spans="1:20">
      <c r="A448" s="101" t="s">
        <v>4053</v>
      </c>
      <c r="B448" s="101" t="s">
        <v>3758</v>
      </c>
      <c r="C448" s="101">
        <v>4013</v>
      </c>
      <c r="D448" s="102" t="s">
        <v>12643</v>
      </c>
      <c r="E448" s="102" t="s">
        <v>1611</v>
      </c>
      <c r="F448" s="102"/>
      <c r="G448" s="102" t="s">
        <v>3399</v>
      </c>
      <c r="H448" s="102"/>
      <c r="I448" s="102"/>
      <c r="J448" s="102"/>
      <c r="K448" s="102" t="s">
        <v>12644</v>
      </c>
      <c r="L448" s="102" t="s">
        <v>3768</v>
      </c>
      <c r="M448" s="102" t="s">
        <v>12645</v>
      </c>
      <c r="N448" s="102"/>
      <c r="O448" s="102"/>
      <c r="P448" s="102"/>
      <c r="Q448" s="102"/>
      <c r="R448" s="102"/>
      <c r="S448" s="102" t="s">
        <v>3999</v>
      </c>
      <c r="T448" s="102" t="s">
        <v>4000</v>
      </c>
    </row>
    <row r="449" spans="1:20">
      <c r="A449" s="101" t="s">
        <v>4053</v>
      </c>
      <c r="B449" s="101" t="s">
        <v>3758</v>
      </c>
      <c r="C449" s="101">
        <v>4022</v>
      </c>
      <c r="D449" s="102" t="s">
        <v>12921</v>
      </c>
      <c r="E449" s="102" t="s">
        <v>1618</v>
      </c>
      <c r="F449" s="102"/>
      <c r="G449" s="102" t="s">
        <v>3399</v>
      </c>
      <c r="H449" s="102"/>
      <c r="I449" s="102"/>
      <c r="J449" s="102"/>
      <c r="K449" s="102" t="s">
        <v>12922</v>
      </c>
      <c r="L449" s="102" t="s">
        <v>12923</v>
      </c>
      <c r="M449" s="102"/>
      <c r="N449" s="102"/>
      <c r="O449" s="102"/>
      <c r="P449" s="102"/>
      <c r="Q449" s="102"/>
      <c r="R449" s="102"/>
      <c r="S449" s="102" t="s">
        <v>3999</v>
      </c>
      <c r="T449" s="102" t="s">
        <v>4000</v>
      </c>
    </row>
    <row r="450" spans="1:20">
      <c r="C450" s="101" t="s">
        <v>3456</v>
      </c>
    </row>
    <row r="451" spans="1:20">
      <c r="A451" t="s">
        <v>3498</v>
      </c>
      <c r="B451" t="s">
        <v>8730</v>
      </c>
      <c r="C451" s="101">
        <v>1</v>
      </c>
      <c r="D451" t="s">
        <v>12354</v>
      </c>
      <c r="E451" t="s">
        <v>1606</v>
      </c>
      <c r="G451" t="s">
        <v>3434</v>
      </c>
      <c r="H451" t="s">
        <v>3402</v>
      </c>
      <c r="K451" t="s">
        <v>3401</v>
      </c>
      <c r="L451" t="s">
        <v>12355</v>
      </c>
      <c r="M451" t="s">
        <v>5666</v>
      </c>
      <c r="S451" t="s">
        <v>170</v>
      </c>
      <c r="T451" t="s">
        <v>4</v>
      </c>
    </row>
    <row r="452" spans="1:20">
      <c r="A452" t="s">
        <v>3498</v>
      </c>
      <c r="B452" t="s">
        <v>8730</v>
      </c>
      <c r="C452" s="101">
        <v>2</v>
      </c>
      <c r="D452" t="s">
        <v>12356</v>
      </c>
      <c r="E452" t="s">
        <v>1606</v>
      </c>
      <c r="G452" t="s">
        <v>3434</v>
      </c>
      <c r="H452" t="s">
        <v>3402</v>
      </c>
      <c r="K452" t="s">
        <v>3401</v>
      </c>
      <c r="L452" t="s">
        <v>6457</v>
      </c>
      <c r="M452" t="s">
        <v>12357</v>
      </c>
      <c r="S452" t="s">
        <v>172</v>
      </c>
      <c r="T452" t="s">
        <v>4</v>
      </c>
    </row>
    <row r="453" spans="1:20">
      <c r="A453" t="s">
        <v>3498</v>
      </c>
      <c r="B453" t="s">
        <v>8730</v>
      </c>
      <c r="C453" s="101">
        <v>3</v>
      </c>
      <c r="D453" t="s">
        <v>12358</v>
      </c>
      <c r="E453" t="s">
        <v>1606</v>
      </c>
      <c r="G453" t="s">
        <v>3434</v>
      </c>
      <c r="H453" t="s">
        <v>3402</v>
      </c>
      <c r="K453" t="s">
        <v>3401</v>
      </c>
      <c r="L453" t="s">
        <v>12359</v>
      </c>
      <c r="S453" t="s">
        <v>5</v>
      </c>
      <c r="T453" t="s">
        <v>4</v>
      </c>
    </row>
    <row r="454" spans="1:20">
      <c r="A454" t="s">
        <v>3498</v>
      </c>
      <c r="B454" t="s">
        <v>8730</v>
      </c>
      <c r="C454" s="101">
        <v>4</v>
      </c>
      <c r="D454" t="s">
        <v>12360</v>
      </c>
      <c r="E454" t="s">
        <v>1606</v>
      </c>
      <c r="G454" t="s">
        <v>3434</v>
      </c>
      <c r="K454" t="s">
        <v>12361</v>
      </c>
      <c r="S454" t="s">
        <v>46</v>
      </c>
      <c r="T454" t="s">
        <v>4</v>
      </c>
    </row>
    <row r="455" spans="1:20">
      <c r="A455" t="s">
        <v>3498</v>
      </c>
      <c r="B455" t="s">
        <v>8730</v>
      </c>
      <c r="C455" s="101">
        <v>5</v>
      </c>
      <c r="D455" t="s">
        <v>12362</v>
      </c>
      <c r="E455" t="s">
        <v>1606</v>
      </c>
      <c r="G455" t="s">
        <v>3434</v>
      </c>
      <c r="H455" t="s">
        <v>3402</v>
      </c>
      <c r="K455" t="s">
        <v>5600</v>
      </c>
      <c r="L455" t="s">
        <v>12363</v>
      </c>
      <c r="S455" t="s">
        <v>6</v>
      </c>
      <c r="T455" t="s">
        <v>4</v>
      </c>
    </row>
    <row r="456" spans="1:20">
      <c r="A456" t="s">
        <v>3498</v>
      </c>
      <c r="B456" t="s">
        <v>8730</v>
      </c>
      <c r="C456" s="101">
        <v>6</v>
      </c>
      <c r="D456" t="s">
        <v>12364</v>
      </c>
      <c r="E456" t="s">
        <v>1606</v>
      </c>
      <c r="G456" t="s">
        <v>3434</v>
      </c>
      <c r="H456" t="s">
        <v>3402</v>
      </c>
      <c r="K456" t="s">
        <v>12365</v>
      </c>
      <c r="L456" t="s">
        <v>12366</v>
      </c>
      <c r="M456" t="s">
        <v>12367</v>
      </c>
      <c r="S456" t="s">
        <v>10</v>
      </c>
      <c r="T456" t="s">
        <v>4</v>
      </c>
    </row>
    <row r="457" spans="1:20">
      <c r="A457" t="s">
        <v>3498</v>
      </c>
      <c r="B457" t="s">
        <v>8730</v>
      </c>
      <c r="C457" s="101">
        <v>7</v>
      </c>
      <c r="D457" t="s">
        <v>12368</v>
      </c>
      <c r="E457" t="s">
        <v>1606</v>
      </c>
      <c r="G457" t="s">
        <v>3434</v>
      </c>
      <c r="H457" t="s">
        <v>3402</v>
      </c>
      <c r="K457" t="s">
        <v>4273</v>
      </c>
      <c r="L457" t="s">
        <v>12369</v>
      </c>
      <c r="S457" t="s">
        <v>606</v>
      </c>
      <c r="T457" t="s">
        <v>4</v>
      </c>
    </row>
    <row r="458" spans="1:20">
      <c r="A458" t="s">
        <v>3498</v>
      </c>
      <c r="B458" t="s">
        <v>8730</v>
      </c>
      <c r="C458" s="101">
        <v>8</v>
      </c>
      <c r="D458" t="s">
        <v>12370</v>
      </c>
      <c r="E458" t="s">
        <v>1606</v>
      </c>
      <c r="G458" t="s">
        <v>3434</v>
      </c>
      <c r="H458" t="s">
        <v>3402</v>
      </c>
      <c r="K458" t="s">
        <v>5600</v>
      </c>
      <c r="L458" t="s">
        <v>12371</v>
      </c>
      <c r="S458" t="s">
        <v>15</v>
      </c>
      <c r="T458" t="s">
        <v>4</v>
      </c>
    </row>
    <row r="459" spans="1:20">
      <c r="A459" t="s">
        <v>3498</v>
      </c>
      <c r="B459" t="s">
        <v>8730</v>
      </c>
      <c r="C459" s="101">
        <v>9</v>
      </c>
      <c r="D459" t="s">
        <v>12372</v>
      </c>
      <c r="E459" t="s">
        <v>1606</v>
      </c>
      <c r="G459" t="s">
        <v>3434</v>
      </c>
      <c r="H459" t="s">
        <v>3402</v>
      </c>
      <c r="K459" t="s">
        <v>5600</v>
      </c>
      <c r="L459" t="s">
        <v>12373</v>
      </c>
      <c r="M459" t="s">
        <v>12374</v>
      </c>
      <c r="S459" t="s">
        <v>52</v>
      </c>
      <c r="T459" t="s">
        <v>4</v>
      </c>
    </row>
    <row r="460" spans="1:20">
      <c r="A460" t="s">
        <v>3498</v>
      </c>
      <c r="B460" t="s">
        <v>8730</v>
      </c>
      <c r="C460" s="101">
        <v>10</v>
      </c>
      <c r="D460" t="s">
        <v>12375</v>
      </c>
      <c r="E460" t="s">
        <v>1606</v>
      </c>
      <c r="G460" t="s">
        <v>3434</v>
      </c>
      <c r="H460" t="s">
        <v>3402</v>
      </c>
      <c r="K460" t="s">
        <v>3401</v>
      </c>
      <c r="L460" t="s">
        <v>12376</v>
      </c>
      <c r="S460" t="s">
        <v>10</v>
      </c>
      <c r="T460" t="s">
        <v>4</v>
      </c>
    </row>
    <row r="461" spans="1:20">
      <c r="A461" t="s">
        <v>3498</v>
      </c>
      <c r="B461" t="s">
        <v>8730</v>
      </c>
      <c r="C461" s="101">
        <v>11</v>
      </c>
      <c r="D461" t="s">
        <v>12377</v>
      </c>
      <c r="E461" t="s">
        <v>1606</v>
      </c>
      <c r="G461" t="s">
        <v>3434</v>
      </c>
      <c r="H461" t="s">
        <v>3402</v>
      </c>
      <c r="K461" t="s">
        <v>3401</v>
      </c>
      <c r="L461" t="s">
        <v>12359</v>
      </c>
      <c r="M461" t="s">
        <v>12378</v>
      </c>
      <c r="S461" t="s">
        <v>178</v>
      </c>
      <c r="T461" t="s">
        <v>4</v>
      </c>
    </row>
    <row r="462" spans="1:20">
      <c r="A462" t="s">
        <v>3498</v>
      </c>
      <c r="B462" t="s">
        <v>8730</v>
      </c>
      <c r="C462" s="101">
        <v>12</v>
      </c>
      <c r="D462" t="s">
        <v>12379</v>
      </c>
      <c r="E462" t="s">
        <v>1606</v>
      </c>
      <c r="G462" t="s">
        <v>3434</v>
      </c>
      <c r="H462" t="s">
        <v>3402</v>
      </c>
      <c r="K462" t="s">
        <v>5600</v>
      </c>
      <c r="L462" t="s">
        <v>12380</v>
      </c>
      <c r="M462" t="s">
        <v>12381</v>
      </c>
      <c r="S462" t="s">
        <v>35</v>
      </c>
      <c r="T462" t="s">
        <v>4</v>
      </c>
    </row>
    <row r="463" spans="1:20">
      <c r="A463" t="s">
        <v>3498</v>
      </c>
      <c r="B463" t="s">
        <v>8730</v>
      </c>
      <c r="C463" s="101">
        <v>13</v>
      </c>
      <c r="D463" t="s">
        <v>12382</v>
      </c>
      <c r="E463" t="s">
        <v>1606</v>
      </c>
      <c r="G463" t="s">
        <v>3434</v>
      </c>
      <c r="H463" t="s">
        <v>3402</v>
      </c>
      <c r="K463" t="s">
        <v>3401</v>
      </c>
      <c r="L463" t="s">
        <v>12383</v>
      </c>
      <c r="S463" t="s">
        <v>178</v>
      </c>
      <c r="T463" t="s">
        <v>4</v>
      </c>
    </row>
    <row r="464" spans="1:20">
      <c r="A464" t="s">
        <v>3498</v>
      </c>
      <c r="B464" t="s">
        <v>8730</v>
      </c>
      <c r="C464" s="101">
        <v>14</v>
      </c>
      <c r="D464" t="s">
        <v>12384</v>
      </c>
      <c r="E464" t="s">
        <v>1606</v>
      </c>
      <c r="G464" t="s">
        <v>3434</v>
      </c>
      <c r="K464" t="s">
        <v>12385</v>
      </c>
      <c r="S464" t="s">
        <v>27</v>
      </c>
      <c r="T464" t="s">
        <v>4</v>
      </c>
    </row>
    <row r="465" spans="1:20">
      <c r="A465" t="s">
        <v>3498</v>
      </c>
      <c r="B465" t="s">
        <v>8730</v>
      </c>
      <c r="C465" s="101">
        <v>15</v>
      </c>
      <c r="D465" t="s">
        <v>12386</v>
      </c>
      <c r="E465" t="s">
        <v>1611</v>
      </c>
      <c r="G465" t="s">
        <v>3434</v>
      </c>
      <c r="H465" t="s">
        <v>3402</v>
      </c>
      <c r="K465" t="s">
        <v>12</v>
      </c>
      <c r="L465" t="s">
        <v>3401</v>
      </c>
      <c r="M465" t="s">
        <v>12387</v>
      </c>
      <c r="S465" t="s">
        <v>31</v>
      </c>
      <c r="T465" t="s">
        <v>4</v>
      </c>
    </row>
    <row r="466" spans="1:20">
      <c r="A466" t="s">
        <v>3498</v>
      </c>
      <c r="B466" t="s">
        <v>8730</v>
      </c>
      <c r="C466" s="101">
        <v>16</v>
      </c>
      <c r="D466" t="s">
        <v>12388</v>
      </c>
      <c r="E466" t="s">
        <v>1611</v>
      </c>
      <c r="G466" t="s">
        <v>3434</v>
      </c>
      <c r="H466" t="s">
        <v>3402</v>
      </c>
      <c r="K466" t="s">
        <v>3401</v>
      </c>
      <c r="L466" t="s">
        <v>12389</v>
      </c>
      <c r="M466" t="s">
        <v>12390</v>
      </c>
      <c r="S466" t="s">
        <v>5685</v>
      </c>
      <c r="T466" t="s">
        <v>4</v>
      </c>
    </row>
    <row r="467" spans="1:20">
      <c r="A467" t="s">
        <v>3498</v>
      </c>
      <c r="B467" t="s">
        <v>8730</v>
      </c>
      <c r="C467" s="101">
        <v>17</v>
      </c>
      <c r="D467" t="s">
        <v>12391</v>
      </c>
      <c r="E467" t="s">
        <v>1611</v>
      </c>
      <c r="G467" t="s">
        <v>5673</v>
      </c>
      <c r="H467" t="s">
        <v>13416</v>
      </c>
      <c r="K467" t="s">
        <v>3401</v>
      </c>
      <c r="L467" t="s">
        <v>12392</v>
      </c>
      <c r="S467" t="s">
        <v>5281</v>
      </c>
      <c r="T467" t="s">
        <v>4</v>
      </c>
    </row>
    <row r="468" spans="1:20">
      <c r="A468" t="s">
        <v>3498</v>
      </c>
      <c r="B468" t="s">
        <v>8730</v>
      </c>
      <c r="C468" s="101">
        <v>18</v>
      </c>
      <c r="D468" t="s">
        <v>12393</v>
      </c>
      <c r="E468" t="s">
        <v>1611</v>
      </c>
      <c r="G468" t="s">
        <v>3434</v>
      </c>
      <c r="H468" t="s">
        <v>3402</v>
      </c>
      <c r="K468" t="s">
        <v>3401</v>
      </c>
      <c r="L468" t="s">
        <v>12394</v>
      </c>
      <c r="M468" t="s">
        <v>12395</v>
      </c>
      <c r="S468" t="s">
        <v>8</v>
      </c>
      <c r="T468" t="s">
        <v>4</v>
      </c>
    </row>
    <row r="469" spans="1:20">
      <c r="A469" t="s">
        <v>3498</v>
      </c>
      <c r="B469" t="s">
        <v>8730</v>
      </c>
      <c r="C469" s="101">
        <v>19</v>
      </c>
      <c r="D469" t="s">
        <v>12396</v>
      </c>
      <c r="E469" t="s">
        <v>1611</v>
      </c>
      <c r="G469" t="s">
        <v>3434</v>
      </c>
      <c r="H469" t="s">
        <v>3402</v>
      </c>
      <c r="K469" t="s">
        <v>3401</v>
      </c>
      <c r="L469" t="s">
        <v>12397</v>
      </c>
      <c r="M469" t="s">
        <v>12398</v>
      </c>
      <c r="S469" t="s">
        <v>40</v>
      </c>
      <c r="T469" t="s">
        <v>4</v>
      </c>
    </row>
    <row r="470" spans="1:20">
      <c r="A470" t="s">
        <v>3498</v>
      </c>
      <c r="B470" t="s">
        <v>8730</v>
      </c>
      <c r="C470" s="101">
        <v>20</v>
      </c>
      <c r="D470" t="s">
        <v>12399</v>
      </c>
      <c r="E470" t="s">
        <v>1611</v>
      </c>
      <c r="G470" t="s">
        <v>3434</v>
      </c>
      <c r="H470" t="s">
        <v>3402</v>
      </c>
      <c r="K470" t="s">
        <v>5600</v>
      </c>
      <c r="L470" t="s">
        <v>12400</v>
      </c>
      <c r="S470" t="s">
        <v>5281</v>
      </c>
      <c r="T470" t="s">
        <v>4</v>
      </c>
    </row>
    <row r="471" spans="1:20">
      <c r="A471" t="s">
        <v>3498</v>
      </c>
      <c r="B471" t="s">
        <v>8730</v>
      </c>
      <c r="C471" s="101">
        <v>21</v>
      </c>
      <c r="D471" t="s">
        <v>12401</v>
      </c>
      <c r="E471" t="s">
        <v>1611</v>
      </c>
      <c r="G471" t="s">
        <v>3434</v>
      </c>
      <c r="H471" t="s">
        <v>3402</v>
      </c>
      <c r="K471" t="s">
        <v>12402</v>
      </c>
      <c r="L471" t="s">
        <v>12403</v>
      </c>
      <c r="M471" t="s">
        <v>12404</v>
      </c>
      <c r="N471" t="s">
        <v>12405</v>
      </c>
      <c r="S471" t="s">
        <v>34</v>
      </c>
      <c r="T471" t="s">
        <v>4</v>
      </c>
    </row>
    <row r="472" spans="1:20">
      <c r="A472" t="s">
        <v>3498</v>
      </c>
      <c r="B472" t="s">
        <v>8730</v>
      </c>
      <c r="C472" s="101">
        <v>22</v>
      </c>
      <c r="D472" t="s">
        <v>12406</v>
      </c>
      <c r="E472" t="s">
        <v>1611</v>
      </c>
      <c r="G472" t="s">
        <v>3434</v>
      </c>
      <c r="H472" t="s">
        <v>3402</v>
      </c>
      <c r="K472" t="s">
        <v>5600</v>
      </c>
      <c r="L472" t="s">
        <v>12407</v>
      </c>
      <c r="M472" t="s">
        <v>12408</v>
      </c>
      <c r="S472" t="s">
        <v>14</v>
      </c>
      <c r="T472" t="s">
        <v>4</v>
      </c>
    </row>
    <row r="473" spans="1:20">
      <c r="A473" t="s">
        <v>3498</v>
      </c>
      <c r="B473" t="s">
        <v>8730</v>
      </c>
      <c r="C473" s="101">
        <v>23</v>
      </c>
      <c r="D473" t="s">
        <v>12409</v>
      </c>
      <c r="E473" t="s">
        <v>1611</v>
      </c>
      <c r="G473" t="s">
        <v>3434</v>
      </c>
      <c r="H473" t="s">
        <v>3402</v>
      </c>
      <c r="K473" t="s">
        <v>3401</v>
      </c>
      <c r="L473" t="s">
        <v>12410</v>
      </c>
      <c r="S473" t="s">
        <v>48</v>
      </c>
      <c r="T473" t="s">
        <v>4</v>
      </c>
    </row>
    <row r="474" spans="1:20">
      <c r="A474" t="s">
        <v>3498</v>
      </c>
      <c r="B474" t="s">
        <v>8730</v>
      </c>
      <c r="C474" s="101">
        <v>24</v>
      </c>
      <c r="D474" t="s">
        <v>12411</v>
      </c>
      <c r="E474" t="s">
        <v>1611</v>
      </c>
      <c r="G474" t="s">
        <v>3086</v>
      </c>
      <c r="H474" t="s">
        <v>13417</v>
      </c>
      <c r="K474" t="s">
        <v>12412</v>
      </c>
      <c r="L474" t="s">
        <v>1440</v>
      </c>
      <c r="M474" t="s">
        <v>12413</v>
      </c>
      <c r="P474" t="s">
        <v>154</v>
      </c>
      <c r="S474" t="s">
        <v>14</v>
      </c>
      <c r="T474" t="s">
        <v>4</v>
      </c>
    </row>
    <row r="475" spans="1:20">
      <c r="A475" t="s">
        <v>3498</v>
      </c>
      <c r="B475" t="s">
        <v>8730</v>
      </c>
      <c r="C475" s="101">
        <v>25</v>
      </c>
      <c r="D475" t="s">
        <v>12414</v>
      </c>
      <c r="E475" t="s">
        <v>1611</v>
      </c>
      <c r="G475" t="s">
        <v>3434</v>
      </c>
      <c r="K475" t="s">
        <v>12415</v>
      </c>
      <c r="S475" t="s">
        <v>33</v>
      </c>
      <c r="T475" t="s">
        <v>4</v>
      </c>
    </row>
    <row r="476" spans="1:20">
      <c r="A476" t="s">
        <v>3498</v>
      </c>
      <c r="B476" t="s">
        <v>8730</v>
      </c>
      <c r="C476" s="101">
        <v>26</v>
      </c>
      <c r="D476" t="s">
        <v>12416</v>
      </c>
      <c r="E476" t="s">
        <v>1611</v>
      </c>
      <c r="G476" t="s">
        <v>3434</v>
      </c>
      <c r="H476" t="s">
        <v>3402</v>
      </c>
      <c r="K476" t="s">
        <v>5489</v>
      </c>
      <c r="L476" t="s">
        <v>12417</v>
      </c>
      <c r="S476" t="s">
        <v>169</v>
      </c>
      <c r="T476" t="s">
        <v>4</v>
      </c>
    </row>
    <row r="477" spans="1:20">
      <c r="A477" t="s">
        <v>3498</v>
      </c>
      <c r="B477" t="s">
        <v>8730</v>
      </c>
      <c r="C477" s="101">
        <v>27</v>
      </c>
      <c r="D477" t="s">
        <v>12418</v>
      </c>
      <c r="E477" t="s">
        <v>1611</v>
      </c>
      <c r="G477" t="s">
        <v>3434</v>
      </c>
      <c r="H477" t="s">
        <v>3402</v>
      </c>
      <c r="K477" t="s">
        <v>3401</v>
      </c>
      <c r="L477" t="s">
        <v>12419</v>
      </c>
      <c r="S477" t="s">
        <v>52</v>
      </c>
      <c r="T477" t="s">
        <v>4</v>
      </c>
    </row>
    <row r="478" spans="1:20">
      <c r="A478" t="s">
        <v>3498</v>
      </c>
      <c r="B478" t="s">
        <v>8730</v>
      </c>
      <c r="C478" s="101">
        <v>28</v>
      </c>
      <c r="D478" t="s">
        <v>12420</v>
      </c>
      <c r="E478" t="s">
        <v>1611</v>
      </c>
      <c r="G478" t="s">
        <v>3434</v>
      </c>
      <c r="K478" t="s">
        <v>12421</v>
      </c>
      <c r="L478" t="s">
        <v>12422</v>
      </c>
      <c r="S478" t="s">
        <v>607</v>
      </c>
      <c r="T478" t="s">
        <v>4</v>
      </c>
    </row>
    <row r="479" spans="1:20">
      <c r="A479" t="s">
        <v>3498</v>
      </c>
      <c r="B479" t="s">
        <v>8730</v>
      </c>
      <c r="C479" s="101">
        <v>29</v>
      </c>
      <c r="D479" t="s">
        <v>12423</v>
      </c>
      <c r="E479" t="s">
        <v>1611</v>
      </c>
      <c r="G479" t="s">
        <v>3434</v>
      </c>
      <c r="H479" t="s">
        <v>3402</v>
      </c>
      <c r="K479" t="s">
        <v>3401</v>
      </c>
      <c r="L479" t="s">
        <v>6539</v>
      </c>
      <c r="M479" t="s">
        <v>12424</v>
      </c>
      <c r="S479" t="s">
        <v>33</v>
      </c>
      <c r="T479" t="s">
        <v>4</v>
      </c>
    </row>
    <row r="480" spans="1:20">
      <c r="A480" t="s">
        <v>3498</v>
      </c>
      <c r="B480" t="s">
        <v>8730</v>
      </c>
      <c r="C480" s="101">
        <v>30</v>
      </c>
      <c r="D480" t="s">
        <v>12425</v>
      </c>
      <c r="E480" t="s">
        <v>1611</v>
      </c>
      <c r="G480" t="s">
        <v>3434</v>
      </c>
      <c r="H480" t="s">
        <v>3402</v>
      </c>
      <c r="K480" t="s">
        <v>5489</v>
      </c>
      <c r="L480" t="s">
        <v>12426</v>
      </c>
      <c r="S480" t="s">
        <v>182</v>
      </c>
      <c r="T480" t="s">
        <v>4</v>
      </c>
    </row>
    <row r="481" spans="1:20">
      <c r="A481" t="s">
        <v>3498</v>
      </c>
      <c r="B481" t="s">
        <v>8730</v>
      </c>
      <c r="C481" s="101">
        <v>31</v>
      </c>
      <c r="D481" t="s">
        <v>12427</v>
      </c>
      <c r="E481" t="s">
        <v>1618</v>
      </c>
      <c r="G481" t="s">
        <v>3086</v>
      </c>
      <c r="H481" t="s">
        <v>13418</v>
      </c>
      <c r="K481" t="s">
        <v>12428</v>
      </c>
      <c r="L481" t="s">
        <v>9289</v>
      </c>
      <c r="P481" t="s">
        <v>160</v>
      </c>
      <c r="S481" t="s">
        <v>40</v>
      </c>
      <c r="T481" t="s">
        <v>4</v>
      </c>
    </row>
    <row r="482" spans="1:20">
      <c r="A482" t="s">
        <v>3498</v>
      </c>
      <c r="B482" t="s">
        <v>8730</v>
      </c>
      <c r="C482" s="101">
        <v>32</v>
      </c>
      <c r="D482" t="s">
        <v>12429</v>
      </c>
      <c r="E482" t="s">
        <v>1618</v>
      </c>
      <c r="G482" t="s">
        <v>3434</v>
      </c>
      <c r="H482" t="s">
        <v>3402</v>
      </c>
      <c r="K482" t="s">
        <v>12430</v>
      </c>
      <c r="L482" t="s">
        <v>12431</v>
      </c>
      <c r="S482" t="s">
        <v>169</v>
      </c>
      <c r="T482" t="s">
        <v>4</v>
      </c>
    </row>
    <row r="483" spans="1:20">
      <c r="A483" t="s">
        <v>3498</v>
      </c>
      <c r="B483" t="s">
        <v>8730</v>
      </c>
      <c r="C483" s="101">
        <v>33</v>
      </c>
      <c r="D483" t="s">
        <v>12432</v>
      </c>
      <c r="E483" t="s">
        <v>1618</v>
      </c>
      <c r="G483" t="s">
        <v>3434</v>
      </c>
      <c r="H483" t="s">
        <v>3402</v>
      </c>
      <c r="K483" t="s">
        <v>3401</v>
      </c>
      <c r="L483" t="s">
        <v>12433</v>
      </c>
      <c r="M483" t="s">
        <v>12434</v>
      </c>
      <c r="S483" t="s">
        <v>174</v>
      </c>
      <c r="T483" t="s">
        <v>4</v>
      </c>
    </row>
    <row r="484" spans="1:20">
      <c r="A484" t="s">
        <v>3498</v>
      </c>
      <c r="B484" t="s">
        <v>8730</v>
      </c>
      <c r="C484" s="101">
        <v>34</v>
      </c>
      <c r="D484" t="s">
        <v>12435</v>
      </c>
      <c r="E484" t="s">
        <v>1618</v>
      </c>
      <c r="G484" t="s">
        <v>3434</v>
      </c>
      <c r="H484" t="s">
        <v>3402</v>
      </c>
      <c r="K484" t="s">
        <v>3401</v>
      </c>
      <c r="L484" t="s">
        <v>5654</v>
      </c>
      <c r="M484" t="s">
        <v>7362</v>
      </c>
      <c r="S484" t="s">
        <v>49</v>
      </c>
      <c r="T484" t="s">
        <v>4</v>
      </c>
    </row>
    <row r="485" spans="1:20">
      <c r="A485" t="s">
        <v>3498</v>
      </c>
      <c r="B485" t="s">
        <v>8730</v>
      </c>
      <c r="C485" s="101">
        <v>35</v>
      </c>
      <c r="D485" t="s">
        <v>12436</v>
      </c>
      <c r="E485" t="s">
        <v>1618</v>
      </c>
      <c r="G485" t="s">
        <v>3434</v>
      </c>
      <c r="H485" t="s">
        <v>3402</v>
      </c>
      <c r="K485" t="s">
        <v>3401</v>
      </c>
      <c r="L485" t="s">
        <v>12437</v>
      </c>
      <c r="M485" t="s">
        <v>5666</v>
      </c>
      <c r="S485" t="s">
        <v>170</v>
      </c>
      <c r="T485" t="s">
        <v>4</v>
      </c>
    </row>
    <row r="486" spans="1:20">
      <c r="A486" t="s">
        <v>3498</v>
      </c>
      <c r="B486" t="s">
        <v>8730</v>
      </c>
      <c r="C486" s="101">
        <v>36</v>
      </c>
      <c r="D486" t="s">
        <v>12438</v>
      </c>
      <c r="E486" t="s">
        <v>1618</v>
      </c>
      <c r="G486" t="s">
        <v>3434</v>
      </c>
      <c r="H486" t="s">
        <v>3402</v>
      </c>
      <c r="K486" t="s">
        <v>5600</v>
      </c>
      <c r="L486" t="s">
        <v>12439</v>
      </c>
      <c r="M486" t="s">
        <v>12440</v>
      </c>
      <c r="S486" t="s">
        <v>30</v>
      </c>
      <c r="T486" t="s">
        <v>4</v>
      </c>
    </row>
    <row r="487" spans="1:20">
      <c r="A487" t="s">
        <v>3498</v>
      </c>
      <c r="B487" t="s">
        <v>8730</v>
      </c>
      <c r="C487" s="101">
        <v>37</v>
      </c>
      <c r="D487" t="s">
        <v>12441</v>
      </c>
      <c r="E487" t="s">
        <v>1618</v>
      </c>
      <c r="G487" t="s">
        <v>3434</v>
      </c>
      <c r="H487" t="s">
        <v>3402</v>
      </c>
      <c r="K487" t="s">
        <v>3401</v>
      </c>
      <c r="L487" t="s">
        <v>12442</v>
      </c>
      <c r="S487" t="s">
        <v>180</v>
      </c>
      <c r="T487" t="s">
        <v>4</v>
      </c>
    </row>
    <row r="488" spans="1:20">
      <c r="A488" t="s">
        <v>3498</v>
      </c>
      <c r="B488" t="s">
        <v>8730</v>
      </c>
      <c r="C488" s="101">
        <v>38</v>
      </c>
      <c r="D488" t="s">
        <v>12443</v>
      </c>
      <c r="E488" t="s">
        <v>1618</v>
      </c>
      <c r="G488" t="s">
        <v>3086</v>
      </c>
      <c r="H488" t="s">
        <v>13417</v>
      </c>
      <c r="K488" t="s">
        <v>12444</v>
      </c>
      <c r="P488" t="s">
        <v>161</v>
      </c>
      <c r="S488" t="s">
        <v>27</v>
      </c>
      <c r="T488" t="s">
        <v>4</v>
      </c>
    </row>
    <row r="489" spans="1:20">
      <c r="A489" t="s">
        <v>3498</v>
      </c>
      <c r="B489" t="s">
        <v>8730</v>
      </c>
      <c r="C489" s="101">
        <v>39</v>
      </c>
      <c r="D489" t="s">
        <v>12445</v>
      </c>
      <c r="E489" t="s">
        <v>1618</v>
      </c>
      <c r="G489" t="s">
        <v>3434</v>
      </c>
      <c r="H489" t="s">
        <v>3402</v>
      </c>
      <c r="K489" t="s">
        <v>3</v>
      </c>
      <c r="L489" t="s">
        <v>3401</v>
      </c>
      <c r="M489" t="s">
        <v>6457</v>
      </c>
      <c r="N489" t="s">
        <v>12446</v>
      </c>
      <c r="S489" t="s">
        <v>175</v>
      </c>
      <c r="T489" t="s">
        <v>4</v>
      </c>
    </row>
    <row r="490" spans="1:20">
      <c r="A490" t="s">
        <v>3498</v>
      </c>
      <c r="B490" t="s">
        <v>8730</v>
      </c>
      <c r="C490" s="101">
        <v>40</v>
      </c>
      <c r="D490" t="s">
        <v>12447</v>
      </c>
      <c r="E490" t="s">
        <v>1618</v>
      </c>
      <c r="G490" t="s">
        <v>3434</v>
      </c>
      <c r="H490" t="s">
        <v>3402</v>
      </c>
      <c r="K490" t="s">
        <v>3401</v>
      </c>
      <c r="L490" t="s">
        <v>12448</v>
      </c>
      <c r="M490" t="s">
        <v>4953</v>
      </c>
      <c r="S490" t="s">
        <v>15</v>
      </c>
      <c r="T490" t="s">
        <v>4</v>
      </c>
    </row>
    <row r="491" spans="1:20">
      <c r="A491" t="s">
        <v>3498</v>
      </c>
      <c r="B491" t="s">
        <v>8730</v>
      </c>
      <c r="C491" s="101">
        <v>41</v>
      </c>
      <c r="D491" t="s">
        <v>12449</v>
      </c>
      <c r="E491" t="s">
        <v>1618</v>
      </c>
      <c r="G491" t="s">
        <v>3434</v>
      </c>
      <c r="H491" t="s">
        <v>3402</v>
      </c>
      <c r="K491" t="s">
        <v>5600</v>
      </c>
      <c r="L491" t="s">
        <v>12450</v>
      </c>
      <c r="M491" t="s">
        <v>12451</v>
      </c>
      <c r="S491" t="s">
        <v>17</v>
      </c>
      <c r="T491" t="s">
        <v>4</v>
      </c>
    </row>
    <row r="492" spans="1:20">
      <c r="A492" t="s">
        <v>3498</v>
      </c>
      <c r="B492" t="s">
        <v>8730</v>
      </c>
      <c r="C492" s="101">
        <v>42</v>
      </c>
      <c r="D492" t="s">
        <v>12452</v>
      </c>
      <c r="E492" t="s">
        <v>1618</v>
      </c>
      <c r="G492" t="s">
        <v>3434</v>
      </c>
      <c r="H492" t="s">
        <v>3402</v>
      </c>
      <c r="K492" t="s">
        <v>3401</v>
      </c>
      <c r="L492" t="s">
        <v>5654</v>
      </c>
      <c r="M492" t="s">
        <v>12316</v>
      </c>
      <c r="S492" t="s">
        <v>34</v>
      </c>
      <c r="T492" t="s">
        <v>4</v>
      </c>
    </row>
    <row r="493" spans="1:20">
      <c r="A493" t="s">
        <v>3498</v>
      </c>
      <c r="B493" t="s">
        <v>8730</v>
      </c>
      <c r="C493" s="101">
        <v>43</v>
      </c>
      <c r="D493" t="s">
        <v>12453</v>
      </c>
      <c r="E493" t="s">
        <v>1618</v>
      </c>
      <c r="G493" t="s">
        <v>3434</v>
      </c>
      <c r="H493" t="s">
        <v>3402</v>
      </c>
      <c r="K493" t="s">
        <v>3401</v>
      </c>
      <c r="L493" t="s">
        <v>12454</v>
      </c>
      <c r="S493" t="s">
        <v>607</v>
      </c>
      <c r="T493" t="s">
        <v>4</v>
      </c>
    </row>
    <row r="494" spans="1:20">
      <c r="A494" t="s">
        <v>3498</v>
      </c>
      <c r="B494" t="s">
        <v>8730</v>
      </c>
      <c r="C494" s="101">
        <v>44</v>
      </c>
      <c r="D494" t="s">
        <v>12455</v>
      </c>
      <c r="E494" t="s">
        <v>1618</v>
      </c>
      <c r="G494" t="s">
        <v>3434</v>
      </c>
      <c r="H494" t="s">
        <v>13388</v>
      </c>
      <c r="K494" t="s">
        <v>5508</v>
      </c>
      <c r="L494" t="s">
        <v>12456</v>
      </c>
      <c r="M494" t="s">
        <v>12457</v>
      </c>
      <c r="S494" t="s">
        <v>17</v>
      </c>
      <c r="T494" t="s">
        <v>4</v>
      </c>
    </row>
    <row r="495" spans="1:20">
      <c r="A495" t="s">
        <v>3498</v>
      </c>
      <c r="B495" t="s">
        <v>8730</v>
      </c>
      <c r="C495" s="101">
        <v>45</v>
      </c>
      <c r="D495" t="s">
        <v>12458</v>
      </c>
      <c r="E495" t="s">
        <v>1618</v>
      </c>
      <c r="G495" t="s">
        <v>3434</v>
      </c>
      <c r="H495" t="s">
        <v>3402</v>
      </c>
      <c r="K495" t="s">
        <v>3401</v>
      </c>
      <c r="L495" t="s">
        <v>12459</v>
      </c>
      <c r="S495" t="s">
        <v>3747</v>
      </c>
      <c r="T495" t="s">
        <v>4</v>
      </c>
    </row>
    <row r="496" spans="1:20">
      <c r="A496" t="s">
        <v>3498</v>
      </c>
      <c r="B496" t="s">
        <v>8730</v>
      </c>
      <c r="C496" s="101">
        <v>46</v>
      </c>
      <c r="D496" t="s">
        <v>12460</v>
      </c>
      <c r="E496" t="s">
        <v>1618</v>
      </c>
      <c r="G496" t="s">
        <v>3434</v>
      </c>
      <c r="H496" t="s">
        <v>3402</v>
      </c>
      <c r="K496" t="s">
        <v>5600</v>
      </c>
      <c r="L496" t="s">
        <v>12461</v>
      </c>
      <c r="S496" t="s">
        <v>32</v>
      </c>
      <c r="T496" t="s">
        <v>4</v>
      </c>
    </row>
    <row r="497" spans="1:20">
      <c r="A497" t="s">
        <v>3498</v>
      </c>
      <c r="B497" t="s">
        <v>8730</v>
      </c>
      <c r="C497" s="101">
        <v>47</v>
      </c>
      <c r="D497" t="s">
        <v>12462</v>
      </c>
      <c r="E497" t="s">
        <v>1618</v>
      </c>
      <c r="G497" t="s">
        <v>3434</v>
      </c>
      <c r="H497" t="s">
        <v>3402</v>
      </c>
      <c r="K497" t="s">
        <v>3401</v>
      </c>
      <c r="L497" t="s">
        <v>6553</v>
      </c>
      <c r="M497" t="s">
        <v>12463</v>
      </c>
      <c r="S497" t="s">
        <v>11</v>
      </c>
      <c r="T497" t="s">
        <v>4</v>
      </c>
    </row>
    <row r="498" spans="1:20">
      <c r="A498" t="s">
        <v>3498</v>
      </c>
      <c r="B498" t="s">
        <v>8730</v>
      </c>
      <c r="C498" s="101">
        <v>48</v>
      </c>
      <c r="D498" t="s">
        <v>12464</v>
      </c>
      <c r="E498" t="s">
        <v>1618</v>
      </c>
      <c r="G498" t="s">
        <v>3434</v>
      </c>
      <c r="H498" t="s">
        <v>3402</v>
      </c>
      <c r="K498" t="s">
        <v>12</v>
      </c>
      <c r="L498" t="s">
        <v>3401</v>
      </c>
      <c r="M498" t="s">
        <v>5654</v>
      </c>
      <c r="S498" t="s">
        <v>14</v>
      </c>
      <c r="T498" t="s">
        <v>4</v>
      </c>
    </row>
    <row r="499" spans="1:20">
      <c r="A499" t="s">
        <v>3498</v>
      </c>
      <c r="B499" t="s">
        <v>8730</v>
      </c>
      <c r="C499" s="101">
        <v>49</v>
      </c>
      <c r="D499" t="s">
        <v>12465</v>
      </c>
      <c r="E499" t="s">
        <v>1618</v>
      </c>
      <c r="G499" t="s">
        <v>3434</v>
      </c>
      <c r="H499" t="s">
        <v>3402</v>
      </c>
      <c r="K499" t="s">
        <v>3401</v>
      </c>
      <c r="L499" t="s">
        <v>12466</v>
      </c>
      <c r="S499" t="s">
        <v>44</v>
      </c>
      <c r="T499" t="s">
        <v>4</v>
      </c>
    </row>
    <row r="500" spans="1:20">
      <c r="A500" t="s">
        <v>3498</v>
      </c>
      <c r="B500" t="s">
        <v>8730</v>
      </c>
      <c r="C500" s="101">
        <v>50</v>
      </c>
      <c r="D500" t="s">
        <v>12467</v>
      </c>
      <c r="E500" t="s">
        <v>1618</v>
      </c>
      <c r="G500" t="s">
        <v>3434</v>
      </c>
      <c r="H500" t="s">
        <v>3402</v>
      </c>
      <c r="K500" t="s">
        <v>3401</v>
      </c>
      <c r="L500" t="s">
        <v>5654</v>
      </c>
      <c r="M500" t="s">
        <v>12468</v>
      </c>
      <c r="S500" t="s">
        <v>53</v>
      </c>
      <c r="T500" t="s">
        <v>4</v>
      </c>
    </row>
    <row r="501" spans="1:20">
      <c r="A501" t="s">
        <v>3498</v>
      </c>
      <c r="B501" t="s">
        <v>8730</v>
      </c>
      <c r="C501" s="101">
        <v>51</v>
      </c>
      <c r="D501" t="s">
        <v>12469</v>
      </c>
      <c r="E501" t="s">
        <v>1618</v>
      </c>
      <c r="G501" t="s">
        <v>3434</v>
      </c>
      <c r="H501" t="s">
        <v>3402</v>
      </c>
      <c r="K501" t="s">
        <v>3401</v>
      </c>
      <c r="L501" t="s">
        <v>3440</v>
      </c>
      <c r="M501" t="s">
        <v>5791</v>
      </c>
      <c r="S501" t="s">
        <v>768</v>
      </c>
      <c r="T501" t="s">
        <v>4</v>
      </c>
    </row>
    <row r="502" spans="1:20">
      <c r="A502" t="s">
        <v>3498</v>
      </c>
      <c r="B502" t="s">
        <v>8730</v>
      </c>
      <c r="C502" s="101">
        <v>52</v>
      </c>
      <c r="D502" t="s">
        <v>12470</v>
      </c>
      <c r="E502" t="s">
        <v>1618</v>
      </c>
      <c r="G502" t="s">
        <v>3434</v>
      </c>
      <c r="H502" t="s">
        <v>3402</v>
      </c>
      <c r="K502" t="s">
        <v>3401</v>
      </c>
      <c r="L502" t="s">
        <v>3440</v>
      </c>
      <c r="S502" t="s">
        <v>5685</v>
      </c>
      <c r="T502" t="s">
        <v>4</v>
      </c>
    </row>
    <row r="503" spans="1:20">
      <c r="A503" t="s">
        <v>3498</v>
      </c>
      <c r="B503" t="s">
        <v>8730</v>
      </c>
      <c r="C503" s="101">
        <v>53</v>
      </c>
      <c r="D503" t="s">
        <v>12471</v>
      </c>
      <c r="E503" t="s">
        <v>1618</v>
      </c>
      <c r="G503" t="s">
        <v>3434</v>
      </c>
      <c r="H503" t="s">
        <v>3402</v>
      </c>
      <c r="K503" t="s">
        <v>5600</v>
      </c>
      <c r="L503" t="s">
        <v>12472</v>
      </c>
      <c r="M503" t="s">
        <v>12473</v>
      </c>
      <c r="S503" t="s">
        <v>172</v>
      </c>
      <c r="T503" t="s">
        <v>4</v>
      </c>
    </row>
    <row r="504" spans="1:20">
      <c r="A504" t="s">
        <v>3498</v>
      </c>
      <c r="B504" t="s">
        <v>8730</v>
      </c>
      <c r="C504" s="101">
        <v>54</v>
      </c>
      <c r="D504" t="s">
        <v>12474</v>
      </c>
      <c r="E504" t="s">
        <v>1620</v>
      </c>
      <c r="G504" t="s">
        <v>3434</v>
      </c>
      <c r="H504" t="s">
        <v>3402</v>
      </c>
      <c r="K504" t="s">
        <v>7627</v>
      </c>
      <c r="L504" t="s">
        <v>7656</v>
      </c>
      <c r="S504" t="s">
        <v>173</v>
      </c>
      <c r="T504" t="s">
        <v>4</v>
      </c>
    </row>
    <row r="505" spans="1:20">
      <c r="A505" t="s">
        <v>3498</v>
      </c>
      <c r="B505" t="s">
        <v>8730</v>
      </c>
      <c r="C505" s="101">
        <v>55</v>
      </c>
      <c r="D505" t="s">
        <v>3439</v>
      </c>
      <c r="E505" t="s">
        <v>1620</v>
      </c>
      <c r="G505" t="s">
        <v>3434</v>
      </c>
      <c r="H505" t="s">
        <v>3402</v>
      </c>
      <c r="K505" t="s">
        <v>3401</v>
      </c>
      <c r="L505" t="s">
        <v>3440</v>
      </c>
      <c r="M505" t="s">
        <v>3441</v>
      </c>
      <c r="S505" t="s">
        <v>46</v>
      </c>
      <c r="T505" t="s">
        <v>4</v>
      </c>
    </row>
    <row r="506" spans="1:20">
      <c r="A506" t="s">
        <v>3498</v>
      </c>
      <c r="B506" t="s">
        <v>8730</v>
      </c>
      <c r="C506" s="101">
        <v>56</v>
      </c>
      <c r="D506" t="s">
        <v>12475</v>
      </c>
      <c r="E506" t="s">
        <v>1620</v>
      </c>
      <c r="G506" t="s">
        <v>3434</v>
      </c>
      <c r="H506" t="s">
        <v>3402</v>
      </c>
      <c r="K506" t="s">
        <v>5600</v>
      </c>
      <c r="L506" t="s">
        <v>12476</v>
      </c>
      <c r="S506" t="s">
        <v>27</v>
      </c>
      <c r="T506" t="s">
        <v>4</v>
      </c>
    </row>
    <row r="507" spans="1:20">
      <c r="A507" t="s">
        <v>3498</v>
      </c>
      <c r="B507" t="s">
        <v>8730</v>
      </c>
      <c r="C507" s="101">
        <v>57</v>
      </c>
      <c r="D507" t="s">
        <v>12477</v>
      </c>
      <c r="E507" t="s">
        <v>1620</v>
      </c>
      <c r="G507" t="s">
        <v>3434</v>
      </c>
      <c r="H507" t="s">
        <v>3402</v>
      </c>
      <c r="K507" t="s">
        <v>5600</v>
      </c>
      <c r="L507" t="s">
        <v>12478</v>
      </c>
      <c r="S507" t="s">
        <v>605</v>
      </c>
      <c r="T507" t="s">
        <v>4</v>
      </c>
    </row>
    <row r="508" spans="1:20">
      <c r="A508" t="s">
        <v>3498</v>
      </c>
      <c r="B508" t="s">
        <v>8730</v>
      </c>
      <c r="C508" s="101">
        <v>58</v>
      </c>
      <c r="D508" t="s">
        <v>12479</v>
      </c>
      <c r="E508" t="s">
        <v>1620</v>
      </c>
      <c r="G508" t="s">
        <v>3434</v>
      </c>
      <c r="H508" t="s">
        <v>3402</v>
      </c>
      <c r="K508" t="s">
        <v>3401</v>
      </c>
      <c r="L508" t="s">
        <v>5654</v>
      </c>
      <c r="M508" t="s">
        <v>12480</v>
      </c>
      <c r="S508" t="s">
        <v>3119</v>
      </c>
      <c r="T508" t="s">
        <v>4</v>
      </c>
    </row>
    <row r="509" spans="1:20">
      <c r="A509" t="s">
        <v>3498</v>
      </c>
      <c r="B509" t="s">
        <v>8730</v>
      </c>
      <c r="C509" s="101">
        <v>59</v>
      </c>
      <c r="D509" t="s">
        <v>12481</v>
      </c>
      <c r="E509" t="s">
        <v>1622</v>
      </c>
      <c r="G509" t="s">
        <v>3434</v>
      </c>
      <c r="H509" t="s">
        <v>3402</v>
      </c>
      <c r="K509" t="s">
        <v>5600</v>
      </c>
      <c r="L509" t="s">
        <v>12482</v>
      </c>
      <c r="M509" t="s">
        <v>6533</v>
      </c>
      <c r="S509" t="s">
        <v>604</v>
      </c>
      <c r="T509" t="s">
        <v>4</v>
      </c>
    </row>
    <row r="510" spans="1:20">
      <c r="A510" t="s">
        <v>3498</v>
      </c>
      <c r="B510" t="s">
        <v>8730</v>
      </c>
      <c r="C510" s="101">
        <v>60</v>
      </c>
      <c r="D510" t="s">
        <v>12483</v>
      </c>
      <c r="E510" t="s">
        <v>1622</v>
      </c>
      <c r="G510" t="s">
        <v>3434</v>
      </c>
      <c r="H510" t="s">
        <v>3402</v>
      </c>
      <c r="K510" t="s">
        <v>3401</v>
      </c>
      <c r="L510" t="s">
        <v>12484</v>
      </c>
      <c r="M510" t="s">
        <v>5654</v>
      </c>
      <c r="S510" t="s">
        <v>39</v>
      </c>
      <c r="T510" t="s">
        <v>4</v>
      </c>
    </row>
    <row r="511" spans="1:20">
      <c r="A511" t="s">
        <v>3498</v>
      </c>
      <c r="B511" t="s">
        <v>8730</v>
      </c>
      <c r="C511" s="101">
        <v>61</v>
      </c>
      <c r="D511" t="s">
        <v>12485</v>
      </c>
      <c r="E511" t="s">
        <v>1764</v>
      </c>
      <c r="G511" t="s">
        <v>3086</v>
      </c>
      <c r="H511" t="s">
        <v>13391</v>
      </c>
      <c r="K511" t="s">
        <v>12486</v>
      </c>
      <c r="P511" t="s">
        <v>8412</v>
      </c>
      <c r="S511" t="s">
        <v>27</v>
      </c>
      <c r="T511" t="s">
        <v>4</v>
      </c>
    </row>
    <row r="512" spans="1:20">
      <c r="A512" t="s">
        <v>3463</v>
      </c>
      <c r="B512" t="s">
        <v>8730</v>
      </c>
      <c r="C512" s="101">
        <v>1001</v>
      </c>
      <c r="D512" t="s">
        <v>12487</v>
      </c>
      <c r="E512" t="s">
        <v>1606</v>
      </c>
      <c r="G512" t="s">
        <v>3434</v>
      </c>
      <c r="H512" t="s">
        <v>3402</v>
      </c>
      <c r="K512" t="s">
        <v>12365</v>
      </c>
      <c r="L512" t="s">
        <v>12488</v>
      </c>
      <c r="M512" t="s">
        <v>12489</v>
      </c>
      <c r="S512" t="s">
        <v>183</v>
      </c>
      <c r="T512" t="s">
        <v>7</v>
      </c>
    </row>
    <row r="513" spans="1:20">
      <c r="A513" t="s">
        <v>3463</v>
      </c>
      <c r="B513" t="s">
        <v>8730</v>
      </c>
      <c r="C513" s="101">
        <v>1002</v>
      </c>
      <c r="D513" t="s">
        <v>12490</v>
      </c>
      <c r="E513" t="s">
        <v>1606</v>
      </c>
      <c r="G513" t="s">
        <v>3434</v>
      </c>
      <c r="H513" t="s">
        <v>3402</v>
      </c>
      <c r="K513" t="s">
        <v>3401</v>
      </c>
      <c r="L513" t="s">
        <v>12491</v>
      </c>
      <c r="S513" t="s">
        <v>45</v>
      </c>
      <c r="T513" t="s">
        <v>7</v>
      </c>
    </row>
    <row r="514" spans="1:20">
      <c r="A514" t="s">
        <v>3463</v>
      </c>
      <c r="B514" t="s">
        <v>8730</v>
      </c>
      <c r="C514" s="101">
        <v>1003</v>
      </c>
      <c r="D514" t="s">
        <v>12492</v>
      </c>
      <c r="E514" t="s">
        <v>1606</v>
      </c>
      <c r="G514" t="s">
        <v>3434</v>
      </c>
      <c r="K514" t="s">
        <v>12493</v>
      </c>
      <c r="S514" t="s">
        <v>5281</v>
      </c>
      <c r="T514" t="s">
        <v>7</v>
      </c>
    </row>
    <row r="515" spans="1:20">
      <c r="A515" t="s">
        <v>3463</v>
      </c>
      <c r="B515" t="s">
        <v>8730</v>
      </c>
      <c r="C515" s="101">
        <v>1004</v>
      </c>
      <c r="D515" t="s">
        <v>12494</v>
      </c>
      <c r="E515" t="s">
        <v>1606</v>
      </c>
      <c r="G515" t="s">
        <v>3434</v>
      </c>
      <c r="H515" t="s">
        <v>3402</v>
      </c>
      <c r="K515" t="s">
        <v>3401</v>
      </c>
      <c r="L515" t="s">
        <v>12495</v>
      </c>
      <c r="S515" t="s">
        <v>17</v>
      </c>
      <c r="T515" t="s">
        <v>7</v>
      </c>
    </row>
    <row r="516" spans="1:20">
      <c r="A516" t="s">
        <v>3463</v>
      </c>
      <c r="B516" t="s">
        <v>8730</v>
      </c>
      <c r="C516" s="101">
        <v>1005</v>
      </c>
      <c r="D516" t="s">
        <v>12496</v>
      </c>
      <c r="E516" t="s">
        <v>1606</v>
      </c>
      <c r="G516" t="s">
        <v>3434</v>
      </c>
      <c r="H516" t="s">
        <v>3402</v>
      </c>
      <c r="K516" t="s">
        <v>3401</v>
      </c>
      <c r="L516" t="s">
        <v>7658</v>
      </c>
      <c r="S516" t="s">
        <v>33</v>
      </c>
      <c r="T516" t="s">
        <v>7</v>
      </c>
    </row>
    <row r="517" spans="1:20">
      <c r="A517" t="s">
        <v>3463</v>
      </c>
      <c r="B517" t="s">
        <v>8730</v>
      </c>
      <c r="C517" s="101">
        <v>1006</v>
      </c>
      <c r="D517" t="s">
        <v>12497</v>
      </c>
      <c r="E517" t="s">
        <v>1606</v>
      </c>
      <c r="G517" t="s">
        <v>3434</v>
      </c>
      <c r="H517" t="s">
        <v>3402</v>
      </c>
      <c r="K517" t="s">
        <v>5489</v>
      </c>
      <c r="L517" t="s">
        <v>12498</v>
      </c>
      <c r="S517" t="s">
        <v>171</v>
      </c>
      <c r="T517" t="s">
        <v>7</v>
      </c>
    </row>
    <row r="518" spans="1:20">
      <c r="A518" t="s">
        <v>3463</v>
      </c>
      <c r="B518" t="s">
        <v>8730</v>
      </c>
      <c r="C518" s="101">
        <v>1007</v>
      </c>
      <c r="D518" t="s">
        <v>12499</v>
      </c>
      <c r="E518" t="s">
        <v>1606</v>
      </c>
      <c r="G518" t="s">
        <v>3434</v>
      </c>
      <c r="H518" t="s">
        <v>3402</v>
      </c>
      <c r="K518" t="s">
        <v>9484</v>
      </c>
      <c r="L518" t="s">
        <v>12500</v>
      </c>
      <c r="M518" t="s">
        <v>12501</v>
      </c>
      <c r="S518" t="s">
        <v>182</v>
      </c>
      <c r="T518" t="s">
        <v>7</v>
      </c>
    </row>
    <row r="519" spans="1:20">
      <c r="A519" t="s">
        <v>3463</v>
      </c>
      <c r="B519" t="s">
        <v>8730</v>
      </c>
      <c r="C519" s="101">
        <v>1008</v>
      </c>
      <c r="D519" t="s">
        <v>12502</v>
      </c>
      <c r="E519" t="s">
        <v>1606</v>
      </c>
      <c r="G519" t="s">
        <v>3434</v>
      </c>
      <c r="K519" t="s">
        <v>12503</v>
      </c>
      <c r="L519" t="s">
        <v>12504</v>
      </c>
      <c r="S519" t="s">
        <v>39</v>
      </c>
      <c r="T519" t="s">
        <v>7</v>
      </c>
    </row>
    <row r="520" spans="1:20">
      <c r="A520" t="s">
        <v>3463</v>
      </c>
      <c r="B520" t="s">
        <v>8730</v>
      </c>
      <c r="C520" s="101">
        <v>1009</v>
      </c>
      <c r="D520" t="s">
        <v>12505</v>
      </c>
      <c r="E520" t="s">
        <v>1606</v>
      </c>
      <c r="G520" t="s">
        <v>3434</v>
      </c>
      <c r="H520" t="s">
        <v>3402</v>
      </c>
      <c r="K520" t="s">
        <v>3401</v>
      </c>
      <c r="L520" t="s">
        <v>12506</v>
      </c>
      <c r="M520" t="s">
        <v>12507</v>
      </c>
      <c r="S520" t="s">
        <v>181</v>
      </c>
      <c r="T520" t="s">
        <v>7</v>
      </c>
    </row>
    <row r="521" spans="1:20">
      <c r="A521" t="s">
        <v>3463</v>
      </c>
      <c r="B521" t="s">
        <v>8730</v>
      </c>
      <c r="C521" s="101">
        <v>1010</v>
      </c>
      <c r="D521" t="s">
        <v>12508</v>
      </c>
      <c r="E521" t="s">
        <v>1611</v>
      </c>
      <c r="G521" t="s">
        <v>3434</v>
      </c>
      <c r="K521" t="s">
        <v>12509</v>
      </c>
      <c r="L521" t="s">
        <v>12510</v>
      </c>
      <c r="S521" t="s">
        <v>604</v>
      </c>
      <c r="T521" t="s">
        <v>7</v>
      </c>
    </row>
    <row r="522" spans="1:20">
      <c r="A522" t="s">
        <v>3463</v>
      </c>
      <c r="B522" t="s">
        <v>8730</v>
      </c>
      <c r="C522" s="101">
        <v>1011</v>
      </c>
      <c r="D522" t="s">
        <v>12511</v>
      </c>
      <c r="E522" t="s">
        <v>1611</v>
      </c>
      <c r="G522" t="s">
        <v>3434</v>
      </c>
      <c r="K522" t="s">
        <v>12512</v>
      </c>
      <c r="S522" t="s">
        <v>27</v>
      </c>
      <c r="T522" t="s">
        <v>7</v>
      </c>
    </row>
    <row r="523" spans="1:20">
      <c r="A523" t="s">
        <v>3463</v>
      </c>
      <c r="B523" t="s">
        <v>8730</v>
      </c>
      <c r="C523" s="101">
        <v>1012</v>
      </c>
      <c r="D523" t="s">
        <v>12513</v>
      </c>
      <c r="E523" t="s">
        <v>1611</v>
      </c>
      <c r="G523" t="s">
        <v>3434</v>
      </c>
      <c r="K523" t="s">
        <v>12514</v>
      </c>
      <c r="S523" t="s">
        <v>169</v>
      </c>
      <c r="T523" t="s">
        <v>7</v>
      </c>
    </row>
    <row r="524" spans="1:20">
      <c r="A524" t="s">
        <v>3463</v>
      </c>
      <c r="B524" t="s">
        <v>8730</v>
      </c>
      <c r="C524" s="101">
        <v>1013</v>
      </c>
      <c r="D524" t="s">
        <v>12515</v>
      </c>
      <c r="E524" t="s">
        <v>1611</v>
      </c>
      <c r="G524" t="s">
        <v>3434</v>
      </c>
      <c r="H524" t="s">
        <v>3402</v>
      </c>
      <c r="K524" t="s">
        <v>3401</v>
      </c>
      <c r="L524" t="s">
        <v>12516</v>
      </c>
      <c r="M524" t="s">
        <v>12517</v>
      </c>
      <c r="S524" t="s">
        <v>14</v>
      </c>
      <c r="T524" t="s">
        <v>7</v>
      </c>
    </row>
    <row r="525" spans="1:20">
      <c r="A525" t="s">
        <v>3463</v>
      </c>
      <c r="B525" t="s">
        <v>8730</v>
      </c>
      <c r="C525" s="101">
        <v>1014</v>
      </c>
      <c r="D525" t="s">
        <v>12518</v>
      </c>
      <c r="E525" t="s">
        <v>1611</v>
      </c>
      <c r="G525" t="s">
        <v>3434</v>
      </c>
      <c r="H525" t="s">
        <v>3402</v>
      </c>
      <c r="K525" t="s">
        <v>3401</v>
      </c>
      <c r="L525" t="s">
        <v>12519</v>
      </c>
      <c r="M525" t="s">
        <v>12520</v>
      </c>
      <c r="S525" t="s">
        <v>604</v>
      </c>
      <c r="T525" t="s">
        <v>7</v>
      </c>
    </row>
    <row r="526" spans="1:20">
      <c r="A526" t="s">
        <v>3463</v>
      </c>
      <c r="B526" t="s">
        <v>8730</v>
      </c>
      <c r="C526" s="101">
        <v>1015</v>
      </c>
      <c r="D526" t="s">
        <v>12521</v>
      </c>
      <c r="E526" t="s">
        <v>1611</v>
      </c>
      <c r="G526" t="s">
        <v>3434</v>
      </c>
      <c r="K526" t="s">
        <v>12522</v>
      </c>
      <c r="L526" t="s">
        <v>12523</v>
      </c>
      <c r="S526" t="s">
        <v>45</v>
      </c>
      <c r="T526" t="s">
        <v>7</v>
      </c>
    </row>
    <row r="527" spans="1:20">
      <c r="A527" t="s">
        <v>3463</v>
      </c>
      <c r="B527" t="s">
        <v>8730</v>
      </c>
      <c r="C527" s="101">
        <v>1016</v>
      </c>
      <c r="D527" t="s">
        <v>12524</v>
      </c>
      <c r="E527" t="s">
        <v>1611</v>
      </c>
      <c r="G527" t="s">
        <v>3434</v>
      </c>
      <c r="K527" t="s">
        <v>12525</v>
      </c>
      <c r="L527" t="s">
        <v>12526</v>
      </c>
      <c r="S527" t="s">
        <v>607</v>
      </c>
      <c r="T527" t="s">
        <v>7</v>
      </c>
    </row>
    <row r="528" spans="1:20">
      <c r="A528" t="s">
        <v>3463</v>
      </c>
      <c r="B528" t="s">
        <v>8730</v>
      </c>
      <c r="C528" s="101">
        <v>1017</v>
      </c>
      <c r="D528" t="s">
        <v>12527</v>
      </c>
      <c r="E528" t="s">
        <v>1611</v>
      </c>
      <c r="G528" t="s">
        <v>3434</v>
      </c>
      <c r="K528" t="s">
        <v>12528</v>
      </c>
      <c r="L528" t="s">
        <v>12529</v>
      </c>
      <c r="S528" t="s">
        <v>26</v>
      </c>
      <c r="T528" t="s">
        <v>7</v>
      </c>
    </row>
    <row r="529" spans="1:20">
      <c r="A529" t="s">
        <v>3463</v>
      </c>
      <c r="B529" t="s">
        <v>8730</v>
      </c>
      <c r="C529" s="101">
        <v>1018</v>
      </c>
      <c r="D529" t="s">
        <v>12530</v>
      </c>
      <c r="E529" t="s">
        <v>1611</v>
      </c>
      <c r="G529" t="s">
        <v>3434</v>
      </c>
      <c r="H529" t="s">
        <v>3402</v>
      </c>
      <c r="K529" t="s">
        <v>3401</v>
      </c>
      <c r="L529" t="s">
        <v>12531</v>
      </c>
      <c r="S529" t="s">
        <v>5</v>
      </c>
      <c r="T529" t="s">
        <v>7</v>
      </c>
    </row>
    <row r="530" spans="1:20">
      <c r="A530" t="s">
        <v>3463</v>
      </c>
      <c r="B530" t="s">
        <v>8730</v>
      </c>
      <c r="C530" s="101">
        <v>1019</v>
      </c>
      <c r="D530" t="s">
        <v>12532</v>
      </c>
      <c r="E530" t="s">
        <v>1611</v>
      </c>
      <c r="G530" t="s">
        <v>3434</v>
      </c>
      <c r="K530" t="s">
        <v>12533</v>
      </c>
      <c r="S530" t="s">
        <v>179</v>
      </c>
      <c r="T530" t="s">
        <v>7</v>
      </c>
    </row>
    <row r="531" spans="1:20">
      <c r="A531" t="s">
        <v>3463</v>
      </c>
      <c r="B531" t="s">
        <v>8730</v>
      </c>
      <c r="C531" s="101">
        <v>1020</v>
      </c>
      <c r="D531" t="s">
        <v>12534</v>
      </c>
      <c r="E531" t="s">
        <v>1611</v>
      </c>
      <c r="G531" t="s">
        <v>3434</v>
      </c>
      <c r="H531" t="s">
        <v>13394</v>
      </c>
      <c r="K531" t="s">
        <v>6806</v>
      </c>
      <c r="L531" t="s">
        <v>12535</v>
      </c>
      <c r="M531" t="s">
        <v>12536</v>
      </c>
      <c r="S531" t="s">
        <v>5719</v>
      </c>
      <c r="T531" t="s">
        <v>7</v>
      </c>
    </row>
    <row r="532" spans="1:20">
      <c r="A532" t="s">
        <v>3463</v>
      </c>
      <c r="B532" t="s">
        <v>8730</v>
      </c>
      <c r="C532" s="101">
        <v>1021</v>
      </c>
      <c r="D532" t="s">
        <v>12537</v>
      </c>
      <c r="E532" t="s">
        <v>1611</v>
      </c>
      <c r="G532" t="s">
        <v>3434</v>
      </c>
      <c r="H532" t="s">
        <v>3402</v>
      </c>
      <c r="K532" t="s">
        <v>3401</v>
      </c>
      <c r="L532" t="s">
        <v>7550</v>
      </c>
      <c r="M532" t="s">
        <v>12538</v>
      </c>
      <c r="S532" t="s">
        <v>31</v>
      </c>
      <c r="T532" t="s">
        <v>7</v>
      </c>
    </row>
    <row r="533" spans="1:20">
      <c r="A533" t="s">
        <v>3463</v>
      </c>
      <c r="B533" t="s">
        <v>8730</v>
      </c>
      <c r="C533" s="101">
        <v>1022</v>
      </c>
      <c r="D533" t="s">
        <v>12425</v>
      </c>
      <c r="E533" t="s">
        <v>1611</v>
      </c>
      <c r="G533" t="s">
        <v>3434</v>
      </c>
      <c r="H533" t="s">
        <v>3402</v>
      </c>
      <c r="K533" t="s">
        <v>5489</v>
      </c>
      <c r="L533" t="s">
        <v>12426</v>
      </c>
      <c r="S533" t="s">
        <v>169</v>
      </c>
      <c r="T533" t="s">
        <v>7</v>
      </c>
    </row>
    <row r="534" spans="1:20">
      <c r="A534" t="s">
        <v>3463</v>
      </c>
      <c r="B534" t="s">
        <v>8730</v>
      </c>
      <c r="C534" s="101">
        <v>1023</v>
      </c>
      <c r="D534" t="s">
        <v>12539</v>
      </c>
      <c r="E534" t="s">
        <v>1611</v>
      </c>
      <c r="G534" t="s">
        <v>3434</v>
      </c>
      <c r="H534" t="s">
        <v>3402</v>
      </c>
      <c r="K534" t="s">
        <v>3401</v>
      </c>
      <c r="L534" t="s">
        <v>12540</v>
      </c>
      <c r="S534" t="s">
        <v>183</v>
      </c>
      <c r="T534" t="s">
        <v>7</v>
      </c>
    </row>
    <row r="535" spans="1:20">
      <c r="A535" t="s">
        <v>3463</v>
      </c>
      <c r="B535" t="s">
        <v>8730</v>
      </c>
      <c r="C535" s="101">
        <v>1024</v>
      </c>
      <c r="D535" t="s">
        <v>12541</v>
      </c>
      <c r="E535" t="s">
        <v>1611</v>
      </c>
      <c r="G535" t="s">
        <v>3434</v>
      </c>
      <c r="K535" t="s">
        <v>12542</v>
      </c>
      <c r="L535" t="s">
        <v>12543</v>
      </c>
      <c r="S535" t="s">
        <v>5719</v>
      </c>
      <c r="T535" t="s">
        <v>7</v>
      </c>
    </row>
    <row r="536" spans="1:20">
      <c r="A536" t="s">
        <v>3463</v>
      </c>
      <c r="B536" t="s">
        <v>8730</v>
      </c>
      <c r="C536" s="101">
        <v>1025</v>
      </c>
      <c r="D536" t="s">
        <v>12544</v>
      </c>
      <c r="E536" t="s">
        <v>1611</v>
      </c>
      <c r="G536" t="s">
        <v>3434</v>
      </c>
      <c r="K536" t="s">
        <v>809</v>
      </c>
      <c r="L536" t="s">
        <v>12545</v>
      </c>
      <c r="S536" t="s">
        <v>49</v>
      </c>
      <c r="T536" t="s">
        <v>7</v>
      </c>
    </row>
    <row r="537" spans="1:20">
      <c r="A537" t="s">
        <v>3463</v>
      </c>
      <c r="B537" t="s">
        <v>8730</v>
      </c>
      <c r="C537" s="101">
        <v>1026</v>
      </c>
      <c r="D537" t="s">
        <v>12546</v>
      </c>
      <c r="E537" t="s">
        <v>1611</v>
      </c>
      <c r="G537" t="s">
        <v>3434</v>
      </c>
      <c r="K537" t="s">
        <v>12547</v>
      </c>
      <c r="S537" t="s">
        <v>52</v>
      </c>
      <c r="T537" t="s">
        <v>7</v>
      </c>
    </row>
    <row r="538" spans="1:20">
      <c r="A538" t="s">
        <v>3463</v>
      </c>
      <c r="B538" t="s">
        <v>8730</v>
      </c>
      <c r="C538" s="101">
        <v>1027</v>
      </c>
      <c r="D538" t="s">
        <v>12548</v>
      </c>
      <c r="E538" t="s">
        <v>1611</v>
      </c>
      <c r="G538" t="s">
        <v>3434</v>
      </c>
      <c r="K538" t="s">
        <v>12549</v>
      </c>
      <c r="L538" t="s">
        <v>12550</v>
      </c>
      <c r="S538" t="s">
        <v>37</v>
      </c>
      <c r="T538" t="s">
        <v>7</v>
      </c>
    </row>
    <row r="539" spans="1:20">
      <c r="A539" t="s">
        <v>3463</v>
      </c>
      <c r="B539" t="s">
        <v>8730</v>
      </c>
      <c r="C539" s="101">
        <v>1028</v>
      </c>
      <c r="D539" t="s">
        <v>12551</v>
      </c>
      <c r="E539" t="s">
        <v>1618</v>
      </c>
      <c r="G539" t="s">
        <v>3434</v>
      </c>
      <c r="K539" t="s">
        <v>12552</v>
      </c>
      <c r="L539" t="s">
        <v>12553</v>
      </c>
      <c r="S539" t="s">
        <v>17</v>
      </c>
      <c r="T539" t="s">
        <v>7</v>
      </c>
    </row>
    <row r="540" spans="1:20">
      <c r="A540" t="s">
        <v>3463</v>
      </c>
      <c r="B540" t="s">
        <v>8730</v>
      </c>
      <c r="C540" s="101">
        <v>1029</v>
      </c>
      <c r="D540" t="s">
        <v>12554</v>
      </c>
      <c r="E540" t="s">
        <v>1618</v>
      </c>
      <c r="G540" t="s">
        <v>3434</v>
      </c>
      <c r="H540" t="s">
        <v>3402</v>
      </c>
      <c r="K540" t="s">
        <v>5489</v>
      </c>
      <c r="L540" t="s">
        <v>12555</v>
      </c>
      <c r="S540" t="s">
        <v>5685</v>
      </c>
      <c r="T540" t="s">
        <v>7</v>
      </c>
    </row>
    <row r="541" spans="1:20">
      <c r="A541" t="s">
        <v>3463</v>
      </c>
      <c r="B541" t="s">
        <v>8730</v>
      </c>
      <c r="C541" s="101">
        <v>1030</v>
      </c>
      <c r="D541" t="s">
        <v>12556</v>
      </c>
      <c r="E541" t="s">
        <v>1618</v>
      </c>
      <c r="G541" t="s">
        <v>3434</v>
      </c>
      <c r="K541" t="s">
        <v>5621</v>
      </c>
      <c r="L541" t="s">
        <v>4619</v>
      </c>
      <c r="M541" t="s">
        <v>12405</v>
      </c>
      <c r="S541" t="s">
        <v>28</v>
      </c>
      <c r="T541" t="s">
        <v>7</v>
      </c>
    </row>
    <row r="542" spans="1:20">
      <c r="A542" t="s">
        <v>3463</v>
      </c>
      <c r="B542" t="s">
        <v>8730</v>
      </c>
      <c r="C542" s="101">
        <v>1031</v>
      </c>
      <c r="D542" t="s">
        <v>4737</v>
      </c>
      <c r="E542" t="s">
        <v>1618</v>
      </c>
      <c r="G542" t="s">
        <v>3434</v>
      </c>
      <c r="K542" t="s">
        <v>4738</v>
      </c>
      <c r="L542" t="s">
        <v>4739</v>
      </c>
      <c r="S542" t="s">
        <v>46</v>
      </c>
      <c r="T542" t="s">
        <v>7</v>
      </c>
    </row>
    <row r="543" spans="1:20">
      <c r="A543" t="s">
        <v>3463</v>
      </c>
      <c r="B543" t="s">
        <v>8730</v>
      </c>
      <c r="C543" s="101">
        <v>1032</v>
      </c>
      <c r="D543" t="s">
        <v>12557</v>
      </c>
      <c r="E543" t="s">
        <v>1618</v>
      </c>
      <c r="G543" t="s">
        <v>3086</v>
      </c>
      <c r="H543" t="s">
        <v>13419</v>
      </c>
      <c r="K543" t="s">
        <v>12428</v>
      </c>
      <c r="L543" t="s">
        <v>12558</v>
      </c>
      <c r="M543" t="s">
        <v>12559</v>
      </c>
      <c r="P543" t="s">
        <v>12560</v>
      </c>
      <c r="S543" t="s">
        <v>27</v>
      </c>
      <c r="T543" t="s">
        <v>7</v>
      </c>
    </row>
    <row r="544" spans="1:20">
      <c r="A544" t="s">
        <v>3463</v>
      </c>
      <c r="B544" t="s">
        <v>8730</v>
      </c>
      <c r="C544" s="101">
        <v>1033</v>
      </c>
      <c r="D544" t="s">
        <v>12469</v>
      </c>
      <c r="E544" t="s">
        <v>1618</v>
      </c>
      <c r="G544" t="s">
        <v>3434</v>
      </c>
      <c r="H544" t="s">
        <v>3402</v>
      </c>
      <c r="K544" t="s">
        <v>3401</v>
      </c>
      <c r="L544" t="s">
        <v>3440</v>
      </c>
      <c r="M544" t="s">
        <v>5791</v>
      </c>
      <c r="S544" t="s">
        <v>8</v>
      </c>
      <c r="T544" t="s">
        <v>7</v>
      </c>
    </row>
    <row r="545" spans="1:20">
      <c r="A545" t="s">
        <v>3463</v>
      </c>
      <c r="B545" t="s">
        <v>8730</v>
      </c>
      <c r="C545" s="101">
        <v>1034</v>
      </c>
      <c r="D545" t="s">
        <v>12561</v>
      </c>
      <c r="E545" t="s">
        <v>1688</v>
      </c>
      <c r="G545" t="s">
        <v>3434</v>
      </c>
      <c r="H545" t="s">
        <v>3402</v>
      </c>
      <c r="K545" t="s">
        <v>3401</v>
      </c>
      <c r="L545" t="s">
        <v>12562</v>
      </c>
      <c r="S545" t="s">
        <v>174</v>
      </c>
      <c r="T545" t="s">
        <v>7</v>
      </c>
    </row>
    <row r="546" spans="1:20">
      <c r="A546" t="s">
        <v>3463</v>
      </c>
      <c r="B546" t="s">
        <v>8730</v>
      </c>
      <c r="C546" s="101">
        <v>1035</v>
      </c>
      <c r="D546" t="s">
        <v>12563</v>
      </c>
      <c r="E546" t="s">
        <v>1618</v>
      </c>
      <c r="G546" t="s">
        <v>3434</v>
      </c>
      <c r="K546" t="s">
        <v>12</v>
      </c>
      <c r="L546" t="s">
        <v>12564</v>
      </c>
      <c r="S546" t="s">
        <v>46</v>
      </c>
      <c r="T546" t="s">
        <v>7</v>
      </c>
    </row>
    <row r="547" spans="1:20">
      <c r="A547" t="s">
        <v>3463</v>
      </c>
      <c r="B547" t="s">
        <v>8730</v>
      </c>
      <c r="C547" s="101">
        <v>1036</v>
      </c>
      <c r="D547" t="s">
        <v>12565</v>
      </c>
      <c r="E547" t="s">
        <v>1618</v>
      </c>
      <c r="G547" t="s">
        <v>3434</v>
      </c>
      <c r="K547" t="s">
        <v>12566</v>
      </c>
      <c r="S547" t="s">
        <v>179</v>
      </c>
      <c r="T547" t="s">
        <v>7</v>
      </c>
    </row>
    <row r="548" spans="1:20">
      <c r="A548" t="s">
        <v>3463</v>
      </c>
      <c r="B548" t="s">
        <v>8730</v>
      </c>
      <c r="C548" s="101">
        <v>1037</v>
      </c>
      <c r="D548" t="s">
        <v>12567</v>
      </c>
      <c r="E548" t="s">
        <v>1688</v>
      </c>
      <c r="G548" t="s">
        <v>3434</v>
      </c>
      <c r="K548" t="s">
        <v>12568</v>
      </c>
      <c r="S548" t="s">
        <v>50</v>
      </c>
      <c r="T548" t="s">
        <v>7</v>
      </c>
    </row>
    <row r="549" spans="1:20">
      <c r="A549" t="s">
        <v>3463</v>
      </c>
      <c r="B549" t="s">
        <v>8730</v>
      </c>
      <c r="C549" s="101">
        <v>1038</v>
      </c>
      <c r="D549" t="s">
        <v>12569</v>
      </c>
      <c r="E549" t="s">
        <v>1618</v>
      </c>
      <c r="G549" t="s">
        <v>3434</v>
      </c>
      <c r="K549" t="s">
        <v>12570</v>
      </c>
      <c r="S549" t="s">
        <v>48</v>
      </c>
      <c r="T549" t="s">
        <v>7</v>
      </c>
    </row>
    <row r="550" spans="1:20">
      <c r="A550" t="s">
        <v>3463</v>
      </c>
      <c r="B550" t="s">
        <v>8730</v>
      </c>
      <c r="C550" s="101">
        <v>1039</v>
      </c>
      <c r="D550" t="s">
        <v>12571</v>
      </c>
      <c r="E550" t="s">
        <v>1688</v>
      </c>
      <c r="G550" t="s">
        <v>3434</v>
      </c>
      <c r="K550" t="s">
        <v>6686</v>
      </c>
      <c r="S550" t="s">
        <v>844</v>
      </c>
      <c r="T550" t="s">
        <v>7</v>
      </c>
    </row>
    <row r="551" spans="1:20">
      <c r="A551" t="s">
        <v>3463</v>
      </c>
      <c r="B551" t="s">
        <v>8730</v>
      </c>
      <c r="C551" s="101">
        <v>1040</v>
      </c>
      <c r="D551" t="s">
        <v>12572</v>
      </c>
      <c r="E551" t="s">
        <v>1618</v>
      </c>
      <c r="G551" t="s">
        <v>3434</v>
      </c>
      <c r="K551" t="s">
        <v>12573</v>
      </c>
      <c r="L551" t="s">
        <v>12574</v>
      </c>
    </row>
    <row r="552" spans="1:20">
      <c r="A552" t="s">
        <v>3463</v>
      </c>
      <c r="B552" t="s">
        <v>8730</v>
      </c>
      <c r="C552" s="101">
        <v>1041</v>
      </c>
      <c r="D552" t="s">
        <v>12575</v>
      </c>
      <c r="E552" t="s">
        <v>13449</v>
      </c>
      <c r="H552" t="s">
        <v>13420</v>
      </c>
      <c r="K552" t="s">
        <v>12577</v>
      </c>
      <c r="L552" t="s">
        <v>12578</v>
      </c>
      <c r="P552" t="s">
        <v>4858</v>
      </c>
      <c r="S552" t="s">
        <v>46</v>
      </c>
      <c r="T552" t="s">
        <v>7</v>
      </c>
    </row>
    <row r="553" spans="1:20">
      <c r="A553" t="s">
        <v>3463</v>
      </c>
      <c r="B553" t="s">
        <v>8730</v>
      </c>
      <c r="C553" s="101">
        <v>1042</v>
      </c>
      <c r="D553" t="s">
        <v>12579</v>
      </c>
      <c r="E553" t="s">
        <v>1618</v>
      </c>
      <c r="G553" t="s">
        <v>3434</v>
      </c>
      <c r="K553" t="s">
        <v>12580</v>
      </c>
      <c r="S553" t="s">
        <v>15</v>
      </c>
      <c r="T553" t="s">
        <v>7</v>
      </c>
    </row>
    <row r="554" spans="1:20">
      <c r="A554" t="s">
        <v>3463</v>
      </c>
      <c r="B554" t="s">
        <v>8730</v>
      </c>
      <c r="C554" s="101">
        <v>1043</v>
      </c>
      <c r="D554" t="s">
        <v>12581</v>
      </c>
      <c r="E554" t="s">
        <v>1688</v>
      </c>
      <c r="G554" t="s">
        <v>3434</v>
      </c>
      <c r="K554" t="s">
        <v>12582</v>
      </c>
      <c r="S554" t="s">
        <v>170</v>
      </c>
      <c r="T554" t="s">
        <v>7</v>
      </c>
    </row>
    <row r="555" spans="1:20">
      <c r="A555" t="s">
        <v>3463</v>
      </c>
      <c r="B555" t="s">
        <v>8730</v>
      </c>
      <c r="C555" s="101">
        <v>1044</v>
      </c>
      <c r="D555" t="s">
        <v>12583</v>
      </c>
      <c r="E555" t="s">
        <v>1618</v>
      </c>
      <c r="G555" t="s">
        <v>3434</v>
      </c>
      <c r="K555" t="s">
        <v>12584</v>
      </c>
      <c r="S555" t="s">
        <v>182</v>
      </c>
      <c r="T555" t="s">
        <v>7</v>
      </c>
    </row>
    <row r="556" spans="1:20">
      <c r="A556" t="s">
        <v>3463</v>
      </c>
      <c r="B556" t="s">
        <v>8730</v>
      </c>
      <c r="C556" s="101">
        <v>1045</v>
      </c>
      <c r="D556" t="s">
        <v>12585</v>
      </c>
      <c r="E556" t="s">
        <v>1618</v>
      </c>
      <c r="G556" t="s">
        <v>3434</v>
      </c>
      <c r="K556" t="s">
        <v>12586</v>
      </c>
      <c r="S556" t="s">
        <v>52</v>
      </c>
      <c r="T556" t="s">
        <v>7</v>
      </c>
    </row>
    <row r="557" spans="1:20">
      <c r="A557" t="s">
        <v>3463</v>
      </c>
      <c r="B557" t="s">
        <v>8730</v>
      </c>
      <c r="C557" s="101">
        <v>1046</v>
      </c>
      <c r="D557" t="s">
        <v>12587</v>
      </c>
      <c r="E557" t="s">
        <v>1618</v>
      </c>
      <c r="G557" t="s">
        <v>3434</v>
      </c>
      <c r="K557" t="s">
        <v>12588</v>
      </c>
      <c r="L557" t="s">
        <v>12589</v>
      </c>
      <c r="S557" t="s">
        <v>46</v>
      </c>
      <c r="T557" t="s">
        <v>7</v>
      </c>
    </row>
    <row r="558" spans="1:20">
      <c r="A558" t="s">
        <v>3463</v>
      </c>
      <c r="B558" t="s">
        <v>8730</v>
      </c>
      <c r="C558" s="101">
        <v>1047</v>
      </c>
      <c r="D558" t="s">
        <v>12590</v>
      </c>
      <c r="E558" t="s">
        <v>1688</v>
      </c>
      <c r="G558" t="s">
        <v>3434</v>
      </c>
      <c r="K558" t="s">
        <v>12591</v>
      </c>
      <c r="S558" t="s">
        <v>3747</v>
      </c>
      <c r="T558" t="s">
        <v>7</v>
      </c>
    </row>
    <row r="559" spans="1:20">
      <c r="A559" t="s">
        <v>3463</v>
      </c>
      <c r="B559" t="s">
        <v>8730</v>
      </c>
      <c r="C559" s="101">
        <v>1048</v>
      </c>
      <c r="D559" t="s">
        <v>12592</v>
      </c>
      <c r="E559" t="s">
        <v>1618</v>
      </c>
      <c r="G559" t="s">
        <v>3086</v>
      </c>
      <c r="H559" t="s">
        <v>13421</v>
      </c>
      <c r="K559" t="s">
        <v>12593</v>
      </c>
      <c r="L559" t="s">
        <v>12594</v>
      </c>
      <c r="M559" t="s">
        <v>6457</v>
      </c>
      <c r="P559" t="s">
        <v>155</v>
      </c>
      <c r="S559" t="s">
        <v>40</v>
      </c>
      <c r="T559" t="s">
        <v>7</v>
      </c>
    </row>
    <row r="560" spans="1:20">
      <c r="A560" t="s">
        <v>3463</v>
      </c>
      <c r="B560" t="s">
        <v>8730</v>
      </c>
      <c r="C560" s="101">
        <v>1049</v>
      </c>
      <c r="D560" t="s">
        <v>12595</v>
      </c>
      <c r="E560" t="s">
        <v>1618</v>
      </c>
      <c r="G560" t="s">
        <v>3434</v>
      </c>
      <c r="H560" t="s">
        <v>3402</v>
      </c>
      <c r="K560" t="s">
        <v>3401</v>
      </c>
      <c r="L560" t="s">
        <v>3440</v>
      </c>
      <c r="M560" t="s">
        <v>5666</v>
      </c>
      <c r="S560" t="s">
        <v>170</v>
      </c>
      <c r="T560" t="s">
        <v>7</v>
      </c>
    </row>
    <row r="561" spans="1:20">
      <c r="A561" t="s">
        <v>3463</v>
      </c>
      <c r="B561" t="s">
        <v>8730</v>
      </c>
      <c r="C561" s="101">
        <v>1050</v>
      </c>
      <c r="D561" t="s">
        <v>12596</v>
      </c>
      <c r="E561" t="s">
        <v>1618</v>
      </c>
      <c r="G561" t="s">
        <v>3434</v>
      </c>
      <c r="K561" t="s">
        <v>12597</v>
      </c>
      <c r="S561" t="s">
        <v>182</v>
      </c>
      <c r="T561" t="s">
        <v>7</v>
      </c>
    </row>
    <row r="562" spans="1:20">
      <c r="A562" t="s">
        <v>3463</v>
      </c>
      <c r="B562" t="s">
        <v>8730</v>
      </c>
      <c r="C562" s="101">
        <v>1051</v>
      </c>
      <c r="D562" t="s">
        <v>12598</v>
      </c>
      <c r="E562" t="s">
        <v>1618</v>
      </c>
      <c r="G562" t="s">
        <v>3434</v>
      </c>
      <c r="H562" t="s">
        <v>3402</v>
      </c>
      <c r="K562" t="s">
        <v>5600</v>
      </c>
      <c r="L562" t="s">
        <v>12599</v>
      </c>
      <c r="M562" t="s">
        <v>12461</v>
      </c>
      <c r="S562" t="s">
        <v>46</v>
      </c>
      <c r="T562" t="s">
        <v>7</v>
      </c>
    </row>
    <row r="563" spans="1:20">
      <c r="A563" t="s">
        <v>3463</v>
      </c>
      <c r="B563" t="s">
        <v>8730</v>
      </c>
      <c r="C563" s="101">
        <v>1052</v>
      </c>
      <c r="D563" t="s">
        <v>12600</v>
      </c>
      <c r="E563" t="s">
        <v>1620</v>
      </c>
      <c r="G563" t="s">
        <v>3086</v>
      </c>
      <c r="H563" t="s">
        <v>13422</v>
      </c>
      <c r="K563" t="s">
        <v>12593</v>
      </c>
      <c r="L563" t="s">
        <v>20</v>
      </c>
      <c r="M563" t="s">
        <v>9534</v>
      </c>
      <c r="P563" t="s">
        <v>166</v>
      </c>
      <c r="S563" t="s">
        <v>14</v>
      </c>
      <c r="T563" t="s">
        <v>7</v>
      </c>
    </row>
    <row r="564" spans="1:20">
      <c r="A564" t="s">
        <v>3463</v>
      </c>
      <c r="B564" t="s">
        <v>8730</v>
      </c>
      <c r="C564" s="101">
        <v>1053</v>
      </c>
      <c r="D564" t="s">
        <v>12601</v>
      </c>
      <c r="E564" t="s">
        <v>1621</v>
      </c>
      <c r="G564" t="s">
        <v>3434</v>
      </c>
      <c r="H564" t="s">
        <v>3402</v>
      </c>
      <c r="K564" t="s">
        <v>5600</v>
      </c>
      <c r="L564" t="s">
        <v>12602</v>
      </c>
      <c r="S564" t="s">
        <v>182</v>
      </c>
      <c r="T564" t="s">
        <v>7</v>
      </c>
    </row>
    <row r="565" spans="1:20">
      <c r="A565" t="s">
        <v>3463</v>
      </c>
      <c r="B565" t="s">
        <v>8730</v>
      </c>
      <c r="C565" s="101">
        <v>1054</v>
      </c>
      <c r="D565" t="s">
        <v>12603</v>
      </c>
      <c r="E565" t="s">
        <v>1621</v>
      </c>
      <c r="G565" t="s">
        <v>3434</v>
      </c>
      <c r="K565" t="s">
        <v>12604</v>
      </c>
      <c r="S565" t="s">
        <v>39</v>
      </c>
      <c r="T565" t="s">
        <v>7</v>
      </c>
    </row>
    <row r="566" spans="1:20">
      <c r="A566" t="s">
        <v>3463</v>
      </c>
      <c r="B566" t="s">
        <v>8730</v>
      </c>
      <c r="C566" s="101">
        <v>1055</v>
      </c>
      <c r="D566" t="s">
        <v>12605</v>
      </c>
      <c r="E566" t="s">
        <v>1620</v>
      </c>
      <c r="G566" t="s">
        <v>3434</v>
      </c>
      <c r="H566" t="s">
        <v>3402</v>
      </c>
      <c r="K566" t="s">
        <v>3401</v>
      </c>
      <c r="L566" t="s">
        <v>12606</v>
      </c>
      <c r="S566" t="s">
        <v>53</v>
      </c>
      <c r="T566" t="s">
        <v>7</v>
      </c>
    </row>
    <row r="567" spans="1:20">
      <c r="A567" t="s">
        <v>3463</v>
      </c>
      <c r="B567" t="s">
        <v>8730</v>
      </c>
      <c r="C567" s="101">
        <v>1056</v>
      </c>
      <c r="D567" t="s">
        <v>12607</v>
      </c>
      <c r="E567" t="s">
        <v>1763</v>
      </c>
      <c r="G567" t="s">
        <v>3434</v>
      </c>
      <c r="K567" t="s">
        <v>12608</v>
      </c>
      <c r="S567" t="s">
        <v>8</v>
      </c>
      <c r="T567" t="s">
        <v>7</v>
      </c>
    </row>
    <row r="568" spans="1:20">
      <c r="A568" t="s">
        <v>3463</v>
      </c>
      <c r="B568" t="s">
        <v>8730</v>
      </c>
      <c r="C568" s="101">
        <v>1057</v>
      </c>
      <c r="D568" t="s">
        <v>12609</v>
      </c>
      <c r="E568" t="s">
        <v>1622</v>
      </c>
      <c r="G568" t="s">
        <v>1526</v>
      </c>
      <c r="H568" t="s">
        <v>5674</v>
      </c>
      <c r="K568" t="s">
        <v>12610</v>
      </c>
      <c r="S568" t="s">
        <v>175</v>
      </c>
      <c r="T568" t="s">
        <v>7</v>
      </c>
    </row>
    <row r="569" spans="1:20">
      <c r="A569" t="s">
        <v>3463</v>
      </c>
      <c r="B569" t="s">
        <v>8730</v>
      </c>
      <c r="C569" s="101">
        <v>1058</v>
      </c>
      <c r="D569" t="s">
        <v>12611</v>
      </c>
      <c r="E569" t="s">
        <v>1763</v>
      </c>
      <c r="G569" t="s">
        <v>3434</v>
      </c>
      <c r="K569" t="s">
        <v>12612</v>
      </c>
      <c r="S569" t="s">
        <v>48</v>
      </c>
      <c r="T569" t="s">
        <v>7</v>
      </c>
    </row>
    <row r="570" spans="1:20">
      <c r="A570" t="s">
        <v>3463</v>
      </c>
      <c r="B570" t="s">
        <v>8730</v>
      </c>
      <c r="C570" s="101">
        <v>1059</v>
      </c>
      <c r="D570" t="s">
        <v>12613</v>
      </c>
      <c r="E570" t="s">
        <v>1763</v>
      </c>
      <c r="G570" t="s">
        <v>3434</v>
      </c>
      <c r="H570" t="s">
        <v>3402</v>
      </c>
      <c r="K570" t="s">
        <v>3401</v>
      </c>
      <c r="L570" t="s">
        <v>12614</v>
      </c>
      <c r="M570" t="s">
        <v>12615</v>
      </c>
      <c r="S570" t="s">
        <v>40</v>
      </c>
      <c r="T570" t="s">
        <v>7</v>
      </c>
    </row>
    <row r="571" spans="1:20">
      <c r="A571" t="s">
        <v>3463</v>
      </c>
      <c r="B571" t="s">
        <v>8730</v>
      </c>
      <c r="C571" s="101">
        <v>1060</v>
      </c>
      <c r="D571" t="s">
        <v>12616</v>
      </c>
      <c r="E571" t="s">
        <v>1622</v>
      </c>
      <c r="G571" t="s">
        <v>3434</v>
      </c>
      <c r="K571" t="s">
        <v>12617</v>
      </c>
      <c r="S571" t="s">
        <v>32</v>
      </c>
      <c r="T571" t="s">
        <v>7</v>
      </c>
    </row>
    <row r="572" spans="1:20">
      <c r="A572" t="s">
        <v>3463</v>
      </c>
      <c r="B572" t="s">
        <v>8730</v>
      </c>
      <c r="C572" s="101">
        <v>1061</v>
      </c>
      <c r="D572" t="s">
        <v>12618</v>
      </c>
      <c r="E572" t="s">
        <v>1622</v>
      </c>
      <c r="G572" t="s">
        <v>3434</v>
      </c>
      <c r="K572" t="s">
        <v>12619</v>
      </c>
      <c r="S572" t="s">
        <v>3747</v>
      </c>
      <c r="T572" t="s">
        <v>7</v>
      </c>
    </row>
    <row r="573" spans="1:20">
      <c r="A573" t="s">
        <v>3463</v>
      </c>
      <c r="B573" t="s">
        <v>8730</v>
      </c>
      <c r="C573" s="101">
        <v>1062</v>
      </c>
      <c r="D573" t="s">
        <v>12620</v>
      </c>
      <c r="E573" t="s">
        <v>12207</v>
      </c>
      <c r="G573" t="s">
        <v>3086</v>
      </c>
      <c r="H573" t="s">
        <v>13412</v>
      </c>
      <c r="K573" t="s">
        <v>12621</v>
      </c>
      <c r="P573" t="s">
        <v>12622</v>
      </c>
      <c r="S573" t="s">
        <v>27</v>
      </c>
      <c r="T573" t="s">
        <v>7</v>
      </c>
    </row>
    <row r="574" spans="1:20">
      <c r="A574" t="s">
        <v>3463</v>
      </c>
      <c r="B574" t="s">
        <v>8730</v>
      </c>
      <c r="C574" s="101">
        <v>1063</v>
      </c>
      <c r="D574" t="s">
        <v>12623</v>
      </c>
      <c r="E574" t="s">
        <v>12624</v>
      </c>
      <c r="G574" t="s">
        <v>3086</v>
      </c>
      <c r="H574" t="s">
        <v>13423</v>
      </c>
      <c r="K574" t="s">
        <v>12625</v>
      </c>
      <c r="L574" t="s">
        <v>12626</v>
      </c>
      <c r="P574" t="s">
        <v>11658</v>
      </c>
      <c r="S574" t="s">
        <v>40</v>
      </c>
      <c r="T574" t="s">
        <v>7</v>
      </c>
    </row>
    <row r="575" spans="1:20">
      <c r="A575" t="s">
        <v>3465</v>
      </c>
      <c r="B575" t="s">
        <v>8730</v>
      </c>
      <c r="C575" s="101">
        <v>2001</v>
      </c>
      <c r="D575" t="s">
        <v>13096</v>
      </c>
      <c r="E575" t="s">
        <v>1606</v>
      </c>
      <c r="G575" t="s">
        <v>1526</v>
      </c>
      <c r="K575" t="s">
        <v>13097</v>
      </c>
      <c r="L575" t="s">
        <v>13098</v>
      </c>
      <c r="S575" t="s">
        <v>37</v>
      </c>
      <c r="T575" t="s">
        <v>9</v>
      </c>
    </row>
    <row r="576" spans="1:20">
      <c r="A576" t="s">
        <v>3465</v>
      </c>
      <c r="B576" t="s">
        <v>8730</v>
      </c>
      <c r="C576" s="101">
        <v>2002</v>
      </c>
      <c r="D576" t="s">
        <v>13099</v>
      </c>
      <c r="E576" t="s">
        <v>1606</v>
      </c>
      <c r="G576" t="s">
        <v>3434</v>
      </c>
      <c r="K576" t="s">
        <v>13100</v>
      </c>
      <c r="S576" t="s">
        <v>38</v>
      </c>
      <c r="T576" t="s">
        <v>9</v>
      </c>
    </row>
    <row r="577" spans="1:20">
      <c r="A577" t="s">
        <v>3465</v>
      </c>
      <c r="B577" t="s">
        <v>8730</v>
      </c>
      <c r="C577" s="101">
        <v>2003</v>
      </c>
      <c r="D577" t="s">
        <v>13101</v>
      </c>
      <c r="E577" t="s">
        <v>4898</v>
      </c>
      <c r="G577" t="s">
        <v>3434</v>
      </c>
      <c r="K577" t="s">
        <v>13102</v>
      </c>
      <c r="L577" t="s">
        <v>13103</v>
      </c>
      <c r="M577" t="s">
        <v>13104</v>
      </c>
      <c r="S577" t="s">
        <v>6</v>
      </c>
      <c r="T577" t="s">
        <v>9</v>
      </c>
    </row>
    <row r="578" spans="1:20">
      <c r="A578" t="s">
        <v>3465</v>
      </c>
      <c r="B578" t="s">
        <v>8730</v>
      </c>
      <c r="C578" s="101">
        <v>2004</v>
      </c>
      <c r="D578" t="s">
        <v>13105</v>
      </c>
      <c r="E578" t="s">
        <v>1606</v>
      </c>
      <c r="G578" t="s">
        <v>3434</v>
      </c>
      <c r="K578" t="s">
        <v>13106</v>
      </c>
      <c r="L578" t="s">
        <v>13107</v>
      </c>
      <c r="S578" t="s">
        <v>32</v>
      </c>
      <c r="T578" t="s">
        <v>9</v>
      </c>
    </row>
    <row r="579" spans="1:20">
      <c r="A579" t="s">
        <v>3465</v>
      </c>
      <c r="B579" t="s">
        <v>8730</v>
      </c>
      <c r="C579" s="101">
        <v>2005</v>
      </c>
      <c r="D579" t="s">
        <v>13108</v>
      </c>
      <c r="E579" t="s">
        <v>1606</v>
      </c>
      <c r="G579" t="s">
        <v>3434</v>
      </c>
      <c r="K579" t="s">
        <v>13109</v>
      </c>
      <c r="L579" t="s">
        <v>13110</v>
      </c>
      <c r="M579" t="s">
        <v>13111</v>
      </c>
      <c r="S579" t="s">
        <v>5381</v>
      </c>
      <c r="T579" t="s">
        <v>9</v>
      </c>
    </row>
    <row r="580" spans="1:20">
      <c r="A580" t="s">
        <v>3465</v>
      </c>
      <c r="B580" t="s">
        <v>8730</v>
      </c>
      <c r="C580" s="101">
        <v>2006</v>
      </c>
      <c r="D580" t="s">
        <v>13112</v>
      </c>
      <c r="E580" t="s">
        <v>1606</v>
      </c>
      <c r="G580" t="s">
        <v>3434</v>
      </c>
      <c r="K580" t="s">
        <v>13113</v>
      </c>
      <c r="S580" t="s">
        <v>169</v>
      </c>
      <c r="T580" t="s">
        <v>9</v>
      </c>
    </row>
    <row r="581" spans="1:20">
      <c r="A581" t="s">
        <v>3465</v>
      </c>
      <c r="B581" t="s">
        <v>8730</v>
      </c>
      <c r="C581" s="101">
        <v>2007</v>
      </c>
      <c r="D581" t="s">
        <v>13114</v>
      </c>
      <c r="E581" t="s">
        <v>1606</v>
      </c>
      <c r="G581" t="s">
        <v>3434</v>
      </c>
      <c r="K581" t="s">
        <v>13115</v>
      </c>
      <c r="S581" t="s">
        <v>30</v>
      </c>
      <c r="T581" t="s">
        <v>9</v>
      </c>
    </row>
    <row r="582" spans="1:20">
      <c r="A582" t="s">
        <v>3465</v>
      </c>
      <c r="B582" t="s">
        <v>8730</v>
      </c>
      <c r="C582" s="101">
        <v>2008</v>
      </c>
      <c r="D582" t="s">
        <v>13116</v>
      </c>
      <c r="E582" t="s">
        <v>1611</v>
      </c>
      <c r="G582" t="s">
        <v>3434</v>
      </c>
      <c r="K582" t="s">
        <v>13117</v>
      </c>
      <c r="S582" t="s">
        <v>3747</v>
      </c>
      <c r="T582" t="s">
        <v>9</v>
      </c>
    </row>
    <row r="583" spans="1:20">
      <c r="A583" t="s">
        <v>3465</v>
      </c>
      <c r="B583" t="s">
        <v>8730</v>
      </c>
      <c r="C583" s="101">
        <v>2009</v>
      </c>
      <c r="D583" t="s">
        <v>13118</v>
      </c>
      <c r="E583" t="s">
        <v>1611</v>
      </c>
      <c r="G583" t="s">
        <v>3434</v>
      </c>
      <c r="K583" t="s">
        <v>13119</v>
      </c>
      <c r="L583" t="s">
        <v>13120</v>
      </c>
      <c r="S583" t="s">
        <v>38</v>
      </c>
      <c r="T583" t="s">
        <v>9</v>
      </c>
    </row>
    <row r="584" spans="1:20">
      <c r="A584" t="s">
        <v>3465</v>
      </c>
      <c r="B584" t="s">
        <v>8730</v>
      </c>
      <c r="C584" s="101">
        <v>2010</v>
      </c>
      <c r="D584" t="s">
        <v>13121</v>
      </c>
      <c r="E584" t="s">
        <v>1611</v>
      </c>
      <c r="G584" t="s">
        <v>3434</v>
      </c>
      <c r="K584" t="s">
        <v>13122</v>
      </c>
      <c r="L584" t="s">
        <v>13123</v>
      </c>
      <c r="S584" t="s">
        <v>181</v>
      </c>
      <c r="T584" t="s">
        <v>9</v>
      </c>
    </row>
    <row r="585" spans="1:20">
      <c r="A585" t="s">
        <v>3465</v>
      </c>
      <c r="B585" t="s">
        <v>8730</v>
      </c>
      <c r="C585" s="101">
        <v>2011</v>
      </c>
      <c r="D585" t="s">
        <v>13124</v>
      </c>
      <c r="E585" t="s">
        <v>1611</v>
      </c>
      <c r="G585" t="s">
        <v>3434</v>
      </c>
      <c r="K585" t="s">
        <v>13125</v>
      </c>
      <c r="S585" t="s">
        <v>3119</v>
      </c>
      <c r="T585" t="s">
        <v>9</v>
      </c>
    </row>
    <row r="586" spans="1:20">
      <c r="A586" t="s">
        <v>3465</v>
      </c>
      <c r="B586" t="s">
        <v>8730</v>
      </c>
      <c r="C586" s="101">
        <v>2012</v>
      </c>
      <c r="D586" t="s">
        <v>13126</v>
      </c>
      <c r="E586" t="s">
        <v>1611</v>
      </c>
      <c r="G586" t="s">
        <v>3434</v>
      </c>
      <c r="K586" t="s">
        <v>13127</v>
      </c>
      <c r="S586" t="s">
        <v>48</v>
      </c>
      <c r="T586" t="s">
        <v>9</v>
      </c>
    </row>
    <row r="587" spans="1:20">
      <c r="A587" t="s">
        <v>3465</v>
      </c>
      <c r="B587" t="s">
        <v>8730</v>
      </c>
      <c r="C587" s="101">
        <v>2013</v>
      </c>
      <c r="D587" t="s">
        <v>13128</v>
      </c>
      <c r="E587" t="s">
        <v>1611</v>
      </c>
      <c r="G587" t="s">
        <v>5673</v>
      </c>
      <c r="H587" t="s">
        <v>13391</v>
      </c>
      <c r="K587" t="s">
        <v>13129</v>
      </c>
      <c r="S587" t="s">
        <v>5281</v>
      </c>
      <c r="T587" t="s">
        <v>9</v>
      </c>
    </row>
    <row r="588" spans="1:20">
      <c r="A588" t="s">
        <v>3465</v>
      </c>
      <c r="B588" t="s">
        <v>8730</v>
      </c>
      <c r="C588" s="101">
        <v>2014</v>
      </c>
      <c r="D588" t="s">
        <v>13130</v>
      </c>
      <c r="E588" t="s">
        <v>1611</v>
      </c>
      <c r="G588" t="s">
        <v>3434</v>
      </c>
      <c r="K588" t="s">
        <v>13131</v>
      </c>
      <c r="S588" t="s">
        <v>15</v>
      </c>
      <c r="T588" t="s">
        <v>9</v>
      </c>
    </row>
    <row r="589" spans="1:20">
      <c r="A589" t="s">
        <v>3465</v>
      </c>
      <c r="B589" t="s">
        <v>8730</v>
      </c>
      <c r="C589" s="101">
        <v>2015</v>
      </c>
      <c r="D589" t="s">
        <v>13132</v>
      </c>
      <c r="E589" t="s">
        <v>1611</v>
      </c>
      <c r="G589" t="s">
        <v>3434</v>
      </c>
      <c r="K589" t="s">
        <v>13133</v>
      </c>
      <c r="S589" t="s">
        <v>46</v>
      </c>
      <c r="T589" t="s">
        <v>9</v>
      </c>
    </row>
    <row r="590" spans="1:20">
      <c r="A590" t="s">
        <v>3465</v>
      </c>
      <c r="B590" t="s">
        <v>8730</v>
      </c>
      <c r="C590" s="101">
        <v>2016</v>
      </c>
      <c r="D590" t="s">
        <v>13134</v>
      </c>
      <c r="E590" t="s">
        <v>1611</v>
      </c>
      <c r="G590" t="s">
        <v>3434</v>
      </c>
      <c r="K590" t="s">
        <v>13135</v>
      </c>
      <c r="L590" t="s">
        <v>13136</v>
      </c>
      <c r="M590" t="s">
        <v>13137</v>
      </c>
      <c r="S590" t="s">
        <v>32</v>
      </c>
      <c r="T590" t="s">
        <v>9</v>
      </c>
    </row>
    <row r="591" spans="1:20">
      <c r="A591" t="s">
        <v>3465</v>
      </c>
      <c r="B591" t="s">
        <v>8730</v>
      </c>
      <c r="C591" s="101">
        <v>2017</v>
      </c>
      <c r="D591" t="s">
        <v>13138</v>
      </c>
      <c r="E591" t="s">
        <v>1688</v>
      </c>
      <c r="G591" t="s">
        <v>3434</v>
      </c>
      <c r="K591" t="s">
        <v>13139</v>
      </c>
      <c r="L591" t="s">
        <v>13140</v>
      </c>
      <c r="S591" t="s">
        <v>52</v>
      </c>
      <c r="T591" t="s">
        <v>9</v>
      </c>
    </row>
    <row r="592" spans="1:20">
      <c r="A592" t="s">
        <v>3465</v>
      </c>
      <c r="B592" t="s">
        <v>8730</v>
      </c>
      <c r="C592" s="101">
        <v>2018</v>
      </c>
      <c r="D592" t="s">
        <v>13141</v>
      </c>
      <c r="E592" t="s">
        <v>1618</v>
      </c>
      <c r="G592" t="s">
        <v>3434</v>
      </c>
      <c r="K592" t="s">
        <v>4412</v>
      </c>
      <c r="L592" t="s">
        <v>13142</v>
      </c>
      <c r="S592" t="s">
        <v>174</v>
      </c>
      <c r="T592" t="s">
        <v>9</v>
      </c>
    </row>
    <row r="593" spans="1:20">
      <c r="A593" t="s">
        <v>3465</v>
      </c>
      <c r="B593" t="s">
        <v>8730</v>
      </c>
      <c r="C593" s="101">
        <v>2019</v>
      </c>
      <c r="D593" t="s">
        <v>13143</v>
      </c>
      <c r="E593" t="s">
        <v>1618</v>
      </c>
      <c r="G593" t="s">
        <v>1526</v>
      </c>
      <c r="K593" t="s">
        <v>13144</v>
      </c>
      <c r="L593" t="s">
        <v>13145</v>
      </c>
      <c r="T593" t="s">
        <v>9</v>
      </c>
    </row>
    <row r="594" spans="1:20">
      <c r="A594" t="s">
        <v>3465</v>
      </c>
      <c r="B594" t="s">
        <v>8730</v>
      </c>
      <c r="C594" s="101">
        <v>2020</v>
      </c>
      <c r="D594" t="s">
        <v>13146</v>
      </c>
      <c r="E594" t="s">
        <v>13449</v>
      </c>
      <c r="G594" t="s">
        <v>3617</v>
      </c>
      <c r="K594" t="s">
        <v>13147</v>
      </c>
      <c r="L594" t="s">
        <v>5986</v>
      </c>
      <c r="M594" t="s">
        <v>13148</v>
      </c>
      <c r="S594" t="s">
        <v>30</v>
      </c>
      <c r="T594" t="s">
        <v>9</v>
      </c>
    </row>
    <row r="595" spans="1:20">
      <c r="A595" t="s">
        <v>3465</v>
      </c>
      <c r="B595" t="s">
        <v>8730</v>
      </c>
      <c r="C595" s="101">
        <v>2021</v>
      </c>
      <c r="D595" t="s">
        <v>13149</v>
      </c>
      <c r="E595" t="s">
        <v>1618</v>
      </c>
      <c r="G595" t="s">
        <v>3434</v>
      </c>
      <c r="K595" t="s">
        <v>13150</v>
      </c>
      <c r="S595" t="s">
        <v>52</v>
      </c>
      <c r="T595" t="s">
        <v>9</v>
      </c>
    </row>
    <row r="596" spans="1:20">
      <c r="A596" t="s">
        <v>3465</v>
      </c>
      <c r="B596" t="s">
        <v>8730</v>
      </c>
      <c r="C596" s="101">
        <v>2022</v>
      </c>
      <c r="D596" t="s">
        <v>13151</v>
      </c>
      <c r="E596" t="s">
        <v>1618</v>
      </c>
      <c r="G596" t="s">
        <v>3434</v>
      </c>
      <c r="K596" t="s">
        <v>13152</v>
      </c>
      <c r="L596" t="s">
        <v>13153</v>
      </c>
      <c r="S596" t="s">
        <v>607</v>
      </c>
      <c r="T596" t="s">
        <v>9</v>
      </c>
    </row>
    <row r="597" spans="1:20">
      <c r="A597" t="s">
        <v>3465</v>
      </c>
      <c r="B597" t="s">
        <v>8730</v>
      </c>
      <c r="C597" s="101">
        <v>2023</v>
      </c>
      <c r="D597" t="s">
        <v>13154</v>
      </c>
      <c r="E597" t="s">
        <v>1618</v>
      </c>
      <c r="G597" t="s">
        <v>3434</v>
      </c>
      <c r="K597" t="s">
        <v>13155</v>
      </c>
      <c r="S597" t="s">
        <v>605</v>
      </c>
      <c r="T597" t="s">
        <v>9</v>
      </c>
    </row>
    <row r="598" spans="1:20">
      <c r="A598" t="s">
        <v>3465</v>
      </c>
      <c r="B598" t="s">
        <v>8730</v>
      </c>
      <c r="C598" s="101">
        <v>2024</v>
      </c>
      <c r="D598" t="s">
        <v>12571</v>
      </c>
      <c r="E598" t="s">
        <v>1688</v>
      </c>
      <c r="G598" t="s">
        <v>3434</v>
      </c>
      <c r="K598" t="s">
        <v>6686</v>
      </c>
      <c r="S598" t="s">
        <v>33</v>
      </c>
      <c r="T598" t="s">
        <v>9</v>
      </c>
    </row>
    <row r="599" spans="1:20">
      <c r="A599" t="s">
        <v>3465</v>
      </c>
      <c r="B599" t="s">
        <v>8730</v>
      </c>
      <c r="C599" s="101">
        <v>2025</v>
      </c>
      <c r="D599" t="s">
        <v>13156</v>
      </c>
      <c r="E599" t="s">
        <v>1688</v>
      </c>
      <c r="G599" t="s">
        <v>6685</v>
      </c>
      <c r="K599" t="s">
        <v>13157</v>
      </c>
      <c r="L599" t="s">
        <v>13158</v>
      </c>
      <c r="M599" t="s">
        <v>13159</v>
      </c>
      <c r="N599" t="s">
        <v>13160</v>
      </c>
      <c r="O599" t="s">
        <v>13161</v>
      </c>
      <c r="P599" t="s">
        <v>13162</v>
      </c>
      <c r="S599" t="s">
        <v>14</v>
      </c>
      <c r="T599" t="s">
        <v>9</v>
      </c>
    </row>
    <row r="600" spans="1:20">
      <c r="A600" t="s">
        <v>3465</v>
      </c>
      <c r="B600" t="s">
        <v>8730</v>
      </c>
      <c r="C600" s="101">
        <v>2026</v>
      </c>
      <c r="D600" t="s">
        <v>13163</v>
      </c>
      <c r="E600" t="s">
        <v>1688</v>
      </c>
      <c r="G600" t="s">
        <v>3086</v>
      </c>
      <c r="H600" t="s">
        <v>13408</v>
      </c>
      <c r="K600" t="s">
        <v>3</v>
      </c>
      <c r="L600" t="s">
        <v>13164</v>
      </c>
      <c r="M600" t="s">
        <v>13165</v>
      </c>
      <c r="P600" t="s">
        <v>1098</v>
      </c>
      <c r="S600" t="s">
        <v>14</v>
      </c>
      <c r="T600" t="s">
        <v>9</v>
      </c>
    </row>
    <row r="601" spans="1:20">
      <c r="A601" t="s">
        <v>3465</v>
      </c>
      <c r="B601" t="s">
        <v>8730</v>
      </c>
      <c r="C601" s="101">
        <v>2027</v>
      </c>
      <c r="D601" t="s">
        <v>13166</v>
      </c>
      <c r="E601" t="s">
        <v>1688</v>
      </c>
      <c r="G601" t="s">
        <v>3087</v>
      </c>
      <c r="H601" t="s">
        <v>13424</v>
      </c>
      <c r="K601" t="s">
        <v>13167</v>
      </c>
      <c r="P601" t="s">
        <v>161</v>
      </c>
      <c r="T601" t="s">
        <v>9</v>
      </c>
    </row>
    <row r="602" spans="1:20">
      <c r="A602" t="s">
        <v>3465</v>
      </c>
      <c r="B602" t="s">
        <v>8730</v>
      </c>
      <c r="C602" s="101">
        <v>2028</v>
      </c>
      <c r="D602" t="s">
        <v>13168</v>
      </c>
      <c r="E602" t="s">
        <v>1688</v>
      </c>
      <c r="G602" t="s">
        <v>1526</v>
      </c>
      <c r="K602" t="s">
        <v>13169</v>
      </c>
      <c r="S602" t="s">
        <v>179</v>
      </c>
      <c r="T602" t="s">
        <v>9</v>
      </c>
    </row>
    <row r="603" spans="1:20">
      <c r="A603" t="s">
        <v>3465</v>
      </c>
      <c r="B603" t="s">
        <v>8730</v>
      </c>
      <c r="C603" s="101">
        <v>2029</v>
      </c>
      <c r="D603" t="s">
        <v>13170</v>
      </c>
      <c r="E603" t="s">
        <v>1618</v>
      </c>
      <c r="G603" t="s">
        <v>3434</v>
      </c>
      <c r="K603" t="s">
        <v>13171</v>
      </c>
      <c r="S603" t="s">
        <v>170</v>
      </c>
      <c r="T603" t="s">
        <v>9</v>
      </c>
    </row>
    <row r="604" spans="1:20">
      <c r="A604" t="s">
        <v>3465</v>
      </c>
      <c r="B604" t="s">
        <v>8730</v>
      </c>
      <c r="C604" s="101">
        <v>2030</v>
      </c>
      <c r="D604" t="s">
        <v>13172</v>
      </c>
      <c r="E604" t="s">
        <v>1618</v>
      </c>
      <c r="G604" t="s">
        <v>3434</v>
      </c>
      <c r="K604" t="s">
        <v>13173</v>
      </c>
      <c r="S604" t="s">
        <v>183</v>
      </c>
      <c r="T604" t="s">
        <v>9</v>
      </c>
    </row>
    <row r="605" spans="1:20">
      <c r="A605" t="s">
        <v>3465</v>
      </c>
      <c r="B605" t="s">
        <v>8730</v>
      </c>
      <c r="C605" s="101">
        <v>2031</v>
      </c>
      <c r="D605" t="s">
        <v>13174</v>
      </c>
      <c r="E605" t="s">
        <v>1618</v>
      </c>
      <c r="G605" t="s">
        <v>3434</v>
      </c>
      <c r="K605" t="s">
        <v>13175</v>
      </c>
      <c r="S605" t="s">
        <v>52</v>
      </c>
      <c r="T605" t="s">
        <v>9</v>
      </c>
    </row>
    <row r="606" spans="1:20">
      <c r="A606" t="s">
        <v>3465</v>
      </c>
      <c r="B606" t="s">
        <v>8730</v>
      </c>
      <c r="C606" s="101">
        <v>2032</v>
      </c>
      <c r="D606" t="s">
        <v>13176</v>
      </c>
      <c r="E606" t="s">
        <v>1618</v>
      </c>
      <c r="G606" t="s">
        <v>3434</v>
      </c>
      <c r="K606" t="s">
        <v>13177</v>
      </c>
      <c r="S606" t="s">
        <v>180</v>
      </c>
      <c r="T606" t="s">
        <v>9</v>
      </c>
    </row>
    <row r="607" spans="1:20">
      <c r="A607" t="s">
        <v>3465</v>
      </c>
      <c r="B607" t="s">
        <v>8730</v>
      </c>
      <c r="C607" s="101">
        <v>2033</v>
      </c>
      <c r="D607" t="s">
        <v>13178</v>
      </c>
      <c r="E607" t="s">
        <v>1618</v>
      </c>
      <c r="G607" t="s">
        <v>3434</v>
      </c>
      <c r="K607" t="s">
        <v>13179</v>
      </c>
      <c r="S607" t="s">
        <v>175</v>
      </c>
      <c r="T607" t="s">
        <v>9</v>
      </c>
    </row>
    <row r="608" spans="1:20">
      <c r="A608" t="s">
        <v>3465</v>
      </c>
      <c r="B608" t="s">
        <v>8730</v>
      </c>
      <c r="C608" s="101">
        <v>2034</v>
      </c>
      <c r="D608" t="s">
        <v>13180</v>
      </c>
      <c r="E608" t="s">
        <v>1688</v>
      </c>
      <c r="G608" t="s">
        <v>3086</v>
      </c>
      <c r="H608" t="s">
        <v>13425</v>
      </c>
      <c r="K608" t="s">
        <v>13181</v>
      </c>
      <c r="L608" t="s">
        <v>13182</v>
      </c>
      <c r="M608" t="s">
        <v>13183</v>
      </c>
      <c r="P608" t="s">
        <v>165</v>
      </c>
      <c r="S608" t="s">
        <v>40</v>
      </c>
      <c r="T608" t="s">
        <v>9</v>
      </c>
    </row>
    <row r="609" spans="1:20">
      <c r="A609" t="s">
        <v>3465</v>
      </c>
      <c r="B609" t="s">
        <v>8730</v>
      </c>
      <c r="C609" s="101">
        <v>2035</v>
      </c>
      <c r="D609" t="s">
        <v>13184</v>
      </c>
      <c r="E609" t="s">
        <v>1620</v>
      </c>
      <c r="G609" t="s">
        <v>3434</v>
      </c>
      <c r="K609" t="s">
        <v>13185</v>
      </c>
      <c r="S609" t="s">
        <v>11</v>
      </c>
      <c r="T609" t="s">
        <v>9</v>
      </c>
    </row>
    <row r="610" spans="1:20">
      <c r="A610" t="s">
        <v>3465</v>
      </c>
      <c r="B610" t="s">
        <v>8730</v>
      </c>
      <c r="C610" s="101">
        <v>2036</v>
      </c>
      <c r="D610" t="s">
        <v>13186</v>
      </c>
      <c r="E610" t="s">
        <v>1620</v>
      </c>
      <c r="G610" t="s">
        <v>3434</v>
      </c>
      <c r="K610" t="s">
        <v>13187</v>
      </c>
      <c r="L610" t="s">
        <v>13188</v>
      </c>
      <c r="M610" t="s">
        <v>13189</v>
      </c>
      <c r="S610" t="s">
        <v>53</v>
      </c>
      <c r="T610" t="s">
        <v>9</v>
      </c>
    </row>
    <row r="611" spans="1:20">
      <c r="A611" t="s">
        <v>3465</v>
      </c>
      <c r="B611" t="s">
        <v>8730</v>
      </c>
      <c r="C611" s="101">
        <v>2037</v>
      </c>
      <c r="D611" t="s">
        <v>13190</v>
      </c>
      <c r="E611" t="s">
        <v>1621</v>
      </c>
      <c r="G611" t="s">
        <v>3434</v>
      </c>
      <c r="K611" t="s">
        <v>13191</v>
      </c>
      <c r="S611" t="s">
        <v>168</v>
      </c>
      <c r="T611" t="s">
        <v>9</v>
      </c>
    </row>
    <row r="612" spans="1:20">
      <c r="A612" t="s">
        <v>3465</v>
      </c>
      <c r="B612" t="s">
        <v>8730</v>
      </c>
      <c r="C612" s="101">
        <v>2038</v>
      </c>
      <c r="D612" t="s">
        <v>13192</v>
      </c>
      <c r="E612" t="s">
        <v>1620</v>
      </c>
      <c r="G612" t="s">
        <v>3434</v>
      </c>
      <c r="K612" t="s">
        <v>13193</v>
      </c>
      <c r="S612" t="s">
        <v>180</v>
      </c>
      <c r="T612" t="s">
        <v>9</v>
      </c>
    </row>
    <row r="613" spans="1:20">
      <c r="A613" t="s">
        <v>3465</v>
      </c>
      <c r="B613" t="s">
        <v>8730</v>
      </c>
      <c r="C613" s="101">
        <v>2039</v>
      </c>
      <c r="D613" t="s">
        <v>13194</v>
      </c>
      <c r="E613" t="s">
        <v>1621</v>
      </c>
      <c r="G613" t="s">
        <v>3434</v>
      </c>
      <c r="K613" t="s">
        <v>13195</v>
      </c>
      <c r="S613" t="s">
        <v>175</v>
      </c>
      <c r="T613" t="s">
        <v>9</v>
      </c>
    </row>
    <row r="614" spans="1:20">
      <c r="A614" t="s">
        <v>3465</v>
      </c>
      <c r="B614" t="s">
        <v>8730</v>
      </c>
      <c r="C614" s="101">
        <v>2041</v>
      </c>
      <c r="D614" t="s">
        <v>13196</v>
      </c>
      <c r="E614" t="s">
        <v>1620</v>
      </c>
      <c r="G614" t="s">
        <v>3434</v>
      </c>
      <c r="K614" t="s">
        <v>13197</v>
      </c>
      <c r="S614" t="s">
        <v>5</v>
      </c>
      <c r="T614" t="s">
        <v>9</v>
      </c>
    </row>
    <row r="615" spans="1:20">
      <c r="A615" t="s">
        <v>3465</v>
      </c>
      <c r="B615" t="s">
        <v>8730</v>
      </c>
      <c r="C615" s="101">
        <v>2042</v>
      </c>
      <c r="D615" t="s">
        <v>13198</v>
      </c>
      <c r="E615" t="s">
        <v>1620</v>
      </c>
      <c r="G615" t="s">
        <v>3434</v>
      </c>
      <c r="K615" t="s">
        <v>7296</v>
      </c>
      <c r="L615" t="s">
        <v>13199</v>
      </c>
      <c r="M615" t="s">
        <v>13200</v>
      </c>
      <c r="S615" t="s">
        <v>28</v>
      </c>
      <c r="T615" t="s">
        <v>9</v>
      </c>
    </row>
    <row r="616" spans="1:20">
      <c r="A616" t="s">
        <v>3465</v>
      </c>
      <c r="B616" t="s">
        <v>8730</v>
      </c>
      <c r="C616" s="101">
        <v>2043</v>
      </c>
      <c r="D616" t="s">
        <v>13201</v>
      </c>
      <c r="E616" t="s">
        <v>1621</v>
      </c>
      <c r="G616" t="s">
        <v>3434</v>
      </c>
      <c r="K616" t="s">
        <v>13202</v>
      </c>
      <c r="L616" t="s">
        <v>6478</v>
      </c>
      <c r="M616" t="s">
        <v>13203</v>
      </c>
      <c r="S616" t="s">
        <v>178</v>
      </c>
      <c r="T616" t="s">
        <v>9</v>
      </c>
    </row>
    <row r="617" spans="1:20">
      <c r="A617" t="s">
        <v>3465</v>
      </c>
      <c r="B617" t="s">
        <v>8730</v>
      </c>
      <c r="C617" s="101">
        <v>2044</v>
      </c>
      <c r="D617" t="s">
        <v>13204</v>
      </c>
      <c r="E617" t="s">
        <v>1621</v>
      </c>
      <c r="G617" t="s">
        <v>3434</v>
      </c>
      <c r="K617" t="s">
        <v>13205</v>
      </c>
      <c r="S617" t="s">
        <v>179</v>
      </c>
      <c r="T617" t="s">
        <v>9</v>
      </c>
    </row>
    <row r="618" spans="1:20">
      <c r="A618" t="s">
        <v>3465</v>
      </c>
      <c r="B618" t="s">
        <v>8730</v>
      </c>
      <c r="C618" s="101">
        <v>2045</v>
      </c>
      <c r="D618" t="s">
        <v>13206</v>
      </c>
      <c r="E618" t="s">
        <v>1621</v>
      </c>
      <c r="G618" t="s">
        <v>3434</v>
      </c>
      <c r="K618" t="s">
        <v>13207</v>
      </c>
      <c r="S618" t="s">
        <v>171</v>
      </c>
      <c r="T618" t="s">
        <v>9</v>
      </c>
    </row>
    <row r="619" spans="1:20">
      <c r="A619" t="s">
        <v>3465</v>
      </c>
      <c r="B619" t="s">
        <v>8730</v>
      </c>
      <c r="C619" s="101">
        <v>2046</v>
      </c>
      <c r="D619" t="s">
        <v>13208</v>
      </c>
      <c r="E619" t="s">
        <v>1621</v>
      </c>
      <c r="G619" t="s">
        <v>3434</v>
      </c>
      <c r="H619" t="s">
        <v>3402</v>
      </c>
      <c r="K619" t="s">
        <v>6575</v>
      </c>
      <c r="L619" t="s">
        <v>13209</v>
      </c>
      <c r="S619" t="s">
        <v>10</v>
      </c>
      <c r="T619" t="s">
        <v>9</v>
      </c>
    </row>
    <row r="620" spans="1:20">
      <c r="A620" t="s">
        <v>3465</v>
      </c>
      <c r="B620" t="s">
        <v>8730</v>
      </c>
      <c r="C620" s="101">
        <v>2047</v>
      </c>
      <c r="D620" t="s">
        <v>13210</v>
      </c>
      <c r="E620" t="s">
        <v>1620</v>
      </c>
      <c r="G620" t="s">
        <v>3434</v>
      </c>
      <c r="K620" t="s">
        <v>13211</v>
      </c>
      <c r="S620" t="s">
        <v>182</v>
      </c>
      <c r="T620" t="s">
        <v>9</v>
      </c>
    </row>
    <row r="621" spans="1:20">
      <c r="A621" t="s">
        <v>3465</v>
      </c>
      <c r="B621" t="s">
        <v>8730</v>
      </c>
      <c r="C621" s="101">
        <v>2048</v>
      </c>
      <c r="D621" t="s">
        <v>13212</v>
      </c>
      <c r="E621" t="s">
        <v>1621</v>
      </c>
      <c r="G621" t="s">
        <v>3434</v>
      </c>
      <c r="H621" t="s">
        <v>3402</v>
      </c>
      <c r="K621" t="s">
        <v>3401</v>
      </c>
      <c r="L621" t="s">
        <v>13213</v>
      </c>
      <c r="M621" t="s">
        <v>5666</v>
      </c>
      <c r="S621" t="s">
        <v>170</v>
      </c>
      <c r="T621" t="s">
        <v>9</v>
      </c>
    </row>
    <row r="622" spans="1:20">
      <c r="A622" t="s">
        <v>3465</v>
      </c>
      <c r="B622" t="s">
        <v>8730</v>
      </c>
      <c r="C622" s="101">
        <v>2049</v>
      </c>
      <c r="D622" t="s">
        <v>13214</v>
      </c>
      <c r="E622" t="s">
        <v>1621</v>
      </c>
      <c r="G622" t="s">
        <v>3434</v>
      </c>
      <c r="K622" t="s">
        <v>13215</v>
      </c>
      <c r="S622" t="s">
        <v>182</v>
      </c>
      <c r="T622" t="s">
        <v>9</v>
      </c>
    </row>
    <row r="623" spans="1:20">
      <c r="A623" t="s">
        <v>3465</v>
      </c>
      <c r="B623" t="s">
        <v>8730</v>
      </c>
      <c r="C623" s="101">
        <v>2050</v>
      </c>
      <c r="D623" t="s">
        <v>13216</v>
      </c>
      <c r="E623" t="s">
        <v>1620</v>
      </c>
      <c r="G623" t="s">
        <v>3434</v>
      </c>
      <c r="K623" t="s">
        <v>13217</v>
      </c>
      <c r="S623" t="s">
        <v>169</v>
      </c>
      <c r="T623" t="s">
        <v>9</v>
      </c>
    </row>
    <row r="624" spans="1:20">
      <c r="A624" t="s">
        <v>3465</v>
      </c>
      <c r="B624" t="s">
        <v>8730</v>
      </c>
      <c r="C624" s="101">
        <v>2051</v>
      </c>
      <c r="D624" t="s">
        <v>13218</v>
      </c>
      <c r="E624" t="s">
        <v>1620</v>
      </c>
      <c r="G624" t="s">
        <v>3434</v>
      </c>
      <c r="K624" t="s">
        <v>13219</v>
      </c>
      <c r="S624" t="s">
        <v>33</v>
      </c>
      <c r="T624" t="s">
        <v>9</v>
      </c>
    </row>
    <row r="625" spans="1:20">
      <c r="A625" t="s">
        <v>3465</v>
      </c>
      <c r="B625" t="s">
        <v>8730</v>
      </c>
      <c r="C625" s="101">
        <v>2052</v>
      </c>
      <c r="D625" t="s">
        <v>13220</v>
      </c>
      <c r="E625" t="s">
        <v>1620</v>
      </c>
      <c r="G625" t="s">
        <v>3434</v>
      </c>
      <c r="K625" t="s">
        <v>13221</v>
      </c>
      <c r="S625" t="s">
        <v>45</v>
      </c>
      <c r="T625" t="s">
        <v>9</v>
      </c>
    </row>
    <row r="626" spans="1:20">
      <c r="A626" t="s">
        <v>3465</v>
      </c>
      <c r="B626" t="s">
        <v>8730</v>
      </c>
      <c r="C626" s="101">
        <v>2053</v>
      </c>
      <c r="D626" t="s">
        <v>13222</v>
      </c>
      <c r="E626" t="s">
        <v>1621</v>
      </c>
      <c r="G626" t="s">
        <v>3086</v>
      </c>
      <c r="H626" t="s">
        <v>3089</v>
      </c>
      <c r="K626" t="s">
        <v>13223</v>
      </c>
      <c r="P626" t="s">
        <v>154</v>
      </c>
      <c r="S626" t="s">
        <v>27</v>
      </c>
      <c r="T626" t="s">
        <v>9</v>
      </c>
    </row>
    <row r="627" spans="1:20">
      <c r="A627" t="s">
        <v>3465</v>
      </c>
      <c r="B627" t="s">
        <v>8730</v>
      </c>
      <c r="C627" s="101">
        <v>2054</v>
      </c>
      <c r="D627" t="s">
        <v>13224</v>
      </c>
      <c r="E627" t="s">
        <v>1620</v>
      </c>
      <c r="G627" t="s">
        <v>3434</v>
      </c>
      <c r="K627" t="s">
        <v>13225</v>
      </c>
      <c r="S627" t="s">
        <v>36</v>
      </c>
      <c r="T627" t="s">
        <v>9</v>
      </c>
    </row>
    <row r="628" spans="1:20">
      <c r="A628" t="s">
        <v>3465</v>
      </c>
      <c r="B628" t="s">
        <v>8730</v>
      </c>
      <c r="C628" s="101">
        <v>2055</v>
      </c>
      <c r="D628" t="s">
        <v>13226</v>
      </c>
      <c r="E628" t="s">
        <v>1621</v>
      </c>
      <c r="G628" t="s">
        <v>3434</v>
      </c>
      <c r="K628" t="s">
        <v>13227</v>
      </c>
      <c r="S628" t="s">
        <v>169</v>
      </c>
      <c r="T628" t="s">
        <v>9</v>
      </c>
    </row>
    <row r="629" spans="1:20">
      <c r="A629" t="s">
        <v>3465</v>
      </c>
      <c r="B629" t="s">
        <v>8730</v>
      </c>
      <c r="C629" s="101">
        <v>2056</v>
      </c>
      <c r="D629" t="s">
        <v>13228</v>
      </c>
      <c r="E629" t="s">
        <v>1621</v>
      </c>
      <c r="G629" t="s">
        <v>3434</v>
      </c>
      <c r="K629" t="s">
        <v>13229</v>
      </c>
      <c r="L629" t="s">
        <v>13230</v>
      </c>
      <c r="S629" t="s">
        <v>11</v>
      </c>
      <c r="T629" t="s">
        <v>9</v>
      </c>
    </row>
    <row r="630" spans="1:20">
      <c r="A630" t="s">
        <v>3465</v>
      </c>
      <c r="B630" t="s">
        <v>8730</v>
      </c>
      <c r="C630" s="101">
        <v>2057</v>
      </c>
      <c r="D630" t="s">
        <v>13231</v>
      </c>
      <c r="E630" t="s">
        <v>1620</v>
      </c>
      <c r="G630" t="s">
        <v>3434</v>
      </c>
      <c r="H630" t="s">
        <v>3402</v>
      </c>
      <c r="K630" t="s">
        <v>3401</v>
      </c>
      <c r="L630" t="s">
        <v>13232</v>
      </c>
      <c r="S630" t="s">
        <v>607</v>
      </c>
      <c r="T630" t="s">
        <v>9</v>
      </c>
    </row>
    <row r="631" spans="1:20">
      <c r="A631" t="s">
        <v>3465</v>
      </c>
      <c r="B631" t="s">
        <v>8730</v>
      </c>
      <c r="C631" s="101">
        <v>2058</v>
      </c>
      <c r="D631" t="s">
        <v>13233</v>
      </c>
      <c r="E631" t="s">
        <v>1620</v>
      </c>
      <c r="G631" t="s">
        <v>3434</v>
      </c>
      <c r="K631" t="s">
        <v>13234</v>
      </c>
      <c r="S631" t="s">
        <v>34</v>
      </c>
      <c r="T631" t="s">
        <v>9</v>
      </c>
    </row>
    <row r="632" spans="1:20">
      <c r="A632" t="s">
        <v>3465</v>
      </c>
      <c r="B632" t="s">
        <v>8730</v>
      </c>
      <c r="C632" s="101">
        <v>2059</v>
      </c>
      <c r="D632" t="s">
        <v>13235</v>
      </c>
      <c r="E632" t="s">
        <v>1763</v>
      </c>
      <c r="G632" t="s">
        <v>3434</v>
      </c>
      <c r="H632" t="s">
        <v>3402</v>
      </c>
      <c r="K632" t="s">
        <v>13236</v>
      </c>
      <c r="L632" t="s">
        <v>3401</v>
      </c>
      <c r="M632" t="s">
        <v>13237</v>
      </c>
      <c r="N632" t="s">
        <v>13238</v>
      </c>
      <c r="S632" t="s">
        <v>607</v>
      </c>
      <c r="T632" t="s">
        <v>9</v>
      </c>
    </row>
    <row r="633" spans="1:20">
      <c r="A633" t="s">
        <v>3465</v>
      </c>
      <c r="B633" t="s">
        <v>8730</v>
      </c>
      <c r="C633" s="101">
        <v>2060</v>
      </c>
      <c r="D633" t="s">
        <v>13239</v>
      </c>
      <c r="E633" t="s">
        <v>1763</v>
      </c>
      <c r="G633" t="s">
        <v>3434</v>
      </c>
      <c r="K633" t="s">
        <v>13240</v>
      </c>
      <c r="L633" t="s">
        <v>13241</v>
      </c>
      <c r="S633" t="s">
        <v>50</v>
      </c>
      <c r="T633" t="s">
        <v>9</v>
      </c>
    </row>
    <row r="634" spans="1:20">
      <c r="A634" t="s">
        <v>3465</v>
      </c>
      <c r="B634" t="s">
        <v>8730</v>
      </c>
      <c r="C634" s="101">
        <v>2061</v>
      </c>
      <c r="D634" t="s">
        <v>13242</v>
      </c>
      <c r="E634" t="s">
        <v>1622</v>
      </c>
      <c r="G634" t="s">
        <v>3434</v>
      </c>
      <c r="K634" t="s">
        <v>13243</v>
      </c>
      <c r="L634" t="s">
        <v>13244</v>
      </c>
      <c r="S634" t="s">
        <v>8</v>
      </c>
      <c r="T634" t="s">
        <v>9</v>
      </c>
    </row>
    <row r="635" spans="1:20">
      <c r="A635" t="s">
        <v>3465</v>
      </c>
      <c r="B635" t="s">
        <v>8730</v>
      </c>
      <c r="C635" s="101">
        <v>2062</v>
      </c>
      <c r="D635" t="s">
        <v>13245</v>
      </c>
      <c r="E635" t="s">
        <v>1622</v>
      </c>
      <c r="G635" t="s">
        <v>3434</v>
      </c>
      <c r="K635" t="s">
        <v>11277</v>
      </c>
      <c r="L635" t="s">
        <v>13246</v>
      </c>
      <c r="S635" t="s">
        <v>49</v>
      </c>
      <c r="T635" t="s">
        <v>9</v>
      </c>
    </row>
    <row r="636" spans="1:20">
      <c r="A636" t="s">
        <v>3465</v>
      </c>
      <c r="B636" t="s">
        <v>8730</v>
      </c>
      <c r="C636" s="101">
        <v>2063</v>
      </c>
      <c r="D636" t="s">
        <v>13247</v>
      </c>
      <c r="E636" t="s">
        <v>1763</v>
      </c>
      <c r="G636" t="s">
        <v>3434</v>
      </c>
      <c r="K636" t="s">
        <v>13248</v>
      </c>
      <c r="S636" t="s">
        <v>44</v>
      </c>
      <c r="T636" t="s">
        <v>9</v>
      </c>
    </row>
    <row r="637" spans="1:20">
      <c r="A637" t="s">
        <v>3465</v>
      </c>
      <c r="B637" t="s">
        <v>8730</v>
      </c>
      <c r="C637" s="101">
        <v>2064</v>
      </c>
      <c r="D637" t="s">
        <v>13249</v>
      </c>
      <c r="E637" t="s">
        <v>1763</v>
      </c>
      <c r="G637" t="s">
        <v>3434</v>
      </c>
      <c r="K637" t="s">
        <v>13250</v>
      </c>
      <c r="S637" t="s">
        <v>35</v>
      </c>
      <c r="T637" t="s">
        <v>9</v>
      </c>
    </row>
    <row r="638" spans="1:20">
      <c r="A638" t="s">
        <v>3465</v>
      </c>
      <c r="B638" t="s">
        <v>8730</v>
      </c>
      <c r="C638" s="101">
        <v>2065</v>
      </c>
      <c r="D638" t="s">
        <v>13251</v>
      </c>
      <c r="E638" t="s">
        <v>1763</v>
      </c>
      <c r="G638" t="s">
        <v>3434</v>
      </c>
      <c r="K638" t="s">
        <v>3</v>
      </c>
      <c r="L638" t="s">
        <v>13252</v>
      </c>
      <c r="S638" t="s">
        <v>27</v>
      </c>
      <c r="T638" t="s">
        <v>9</v>
      </c>
    </row>
    <row r="639" spans="1:20">
      <c r="A639" t="s">
        <v>3465</v>
      </c>
      <c r="B639" t="s">
        <v>8730</v>
      </c>
      <c r="C639" s="101">
        <v>2066</v>
      </c>
      <c r="D639" t="s">
        <v>13253</v>
      </c>
      <c r="E639" t="s">
        <v>1763</v>
      </c>
      <c r="G639" t="s">
        <v>3434</v>
      </c>
      <c r="H639" t="s">
        <v>13394</v>
      </c>
      <c r="K639" t="s">
        <v>6806</v>
      </c>
      <c r="L639" t="s">
        <v>13254</v>
      </c>
      <c r="M639" t="s">
        <v>13255</v>
      </c>
      <c r="S639" t="s">
        <v>5719</v>
      </c>
      <c r="T639" t="s">
        <v>9</v>
      </c>
    </row>
    <row r="640" spans="1:20">
      <c r="A640" t="s">
        <v>3465</v>
      </c>
      <c r="B640" t="s">
        <v>8730</v>
      </c>
      <c r="C640" s="101">
        <v>2067</v>
      </c>
      <c r="D640" t="s">
        <v>13256</v>
      </c>
      <c r="E640" t="s">
        <v>1763</v>
      </c>
      <c r="G640" t="s">
        <v>3434</v>
      </c>
      <c r="H640" t="s">
        <v>3402</v>
      </c>
      <c r="K640" t="s">
        <v>3401</v>
      </c>
      <c r="L640" t="s">
        <v>13257</v>
      </c>
      <c r="S640" t="s">
        <v>31</v>
      </c>
      <c r="T640" t="s">
        <v>9</v>
      </c>
    </row>
    <row r="641" spans="1:20">
      <c r="A641" t="s">
        <v>3465</v>
      </c>
      <c r="B641" t="s">
        <v>8730</v>
      </c>
      <c r="C641" s="101">
        <v>2068</v>
      </c>
      <c r="D641" t="s">
        <v>13258</v>
      </c>
      <c r="E641" t="s">
        <v>1622</v>
      </c>
      <c r="G641" t="s">
        <v>3434</v>
      </c>
      <c r="K641" t="s">
        <v>13259</v>
      </c>
      <c r="S641" t="s">
        <v>45</v>
      </c>
      <c r="T641" t="s">
        <v>9</v>
      </c>
    </row>
    <row r="642" spans="1:20">
      <c r="A642" t="s">
        <v>3465</v>
      </c>
      <c r="B642" t="s">
        <v>8730</v>
      </c>
      <c r="C642" s="101">
        <v>2069</v>
      </c>
      <c r="D642" t="s">
        <v>13260</v>
      </c>
      <c r="E642" t="s">
        <v>13261</v>
      </c>
      <c r="G642" t="s">
        <v>3434</v>
      </c>
      <c r="H642" t="s">
        <v>3402</v>
      </c>
      <c r="K642" t="s">
        <v>3401</v>
      </c>
      <c r="L642" t="s">
        <v>13262</v>
      </c>
      <c r="M642" t="s">
        <v>13263</v>
      </c>
      <c r="S642" t="s">
        <v>49</v>
      </c>
      <c r="T642" t="s">
        <v>9</v>
      </c>
    </row>
    <row r="643" spans="1:20">
      <c r="A643" t="s">
        <v>3465</v>
      </c>
      <c r="B643" t="s">
        <v>8730</v>
      </c>
      <c r="C643" s="101">
        <v>2070</v>
      </c>
      <c r="D643" t="s">
        <v>13264</v>
      </c>
      <c r="E643" t="s">
        <v>1764</v>
      </c>
      <c r="G643" t="s">
        <v>3434</v>
      </c>
      <c r="K643" t="s">
        <v>13265</v>
      </c>
      <c r="S643" t="s">
        <v>3747</v>
      </c>
      <c r="T643" t="s">
        <v>9</v>
      </c>
    </row>
    <row r="644" spans="1:20">
      <c r="A644" t="s">
        <v>3465</v>
      </c>
      <c r="B644" t="s">
        <v>8730</v>
      </c>
      <c r="C644" s="101">
        <v>2071</v>
      </c>
      <c r="D644" t="s">
        <v>13266</v>
      </c>
      <c r="E644" t="s">
        <v>1764</v>
      </c>
      <c r="G644" t="s">
        <v>3434</v>
      </c>
      <c r="H644" t="s">
        <v>3402</v>
      </c>
      <c r="K644" t="s">
        <v>3401</v>
      </c>
      <c r="L644" t="s">
        <v>13267</v>
      </c>
      <c r="S644" t="s">
        <v>5685</v>
      </c>
      <c r="T644" t="s">
        <v>9</v>
      </c>
    </row>
    <row r="645" spans="1:20">
      <c r="A645" t="s">
        <v>3465</v>
      </c>
      <c r="B645" t="s">
        <v>8730</v>
      </c>
      <c r="C645" s="101">
        <v>2072</v>
      </c>
      <c r="D645" t="s">
        <v>13268</v>
      </c>
      <c r="E645" t="s">
        <v>1764</v>
      </c>
      <c r="G645" t="s">
        <v>3434</v>
      </c>
      <c r="K645" t="s">
        <v>13269</v>
      </c>
      <c r="S645" t="s">
        <v>173</v>
      </c>
      <c r="T645" t="s">
        <v>9</v>
      </c>
    </row>
    <row r="646" spans="1:20">
      <c r="A646" t="s">
        <v>3465</v>
      </c>
      <c r="B646" t="s">
        <v>8730</v>
      </c>
      <c r="C646" s="101">
        <v>2073</v>
      </c>
      <c r="D646" t="s">
        <v>13270</v>
      </c>
      <c r="E646" t="s">
        <v>1764</v>
      </c>
      <c r="G646" t="s">
        <v>3434</v>
      </c>
      <c r="K646" t="s">
        <v>13271</v>
      </c>
      <c r="S646" t="s">
        <v>33</v>
      </c>
      <c r="T646" t="s">
        <v>9</v>
      </c>
    </row>
    <row r="647" spans="1:20">
      <c r="A647" t="s">
        <v>3465</v>
      </c>
      <c r="B647" t="s">
        <v>8730</v>
      </c>
      <c r="C647" s="101">
        <v>2074</v>
      </c>
      <c r="D647" t="s">
        <v>13272</v>
      </c>
      <c r="E647" t="s">
        <v>12207</v>
      </c>
      <c r="G647" t="s">
        <v>3434</v>
      </c>
      <c r="K647" t="s">
        <v>13273</v>
      </c>
      <c r="S647" t="s">
        <v>44</v>
      </c>
      <c r="T647" t="s">
        <v>9</v>
      </c>
    </row>
    <row r="648" spans="1:20">
      <c r="A648" t="s">
        <v>3465</v>
      </c>
      <c r="B648" t="s">
        <v>8730</v>
      </c>
      <c r="C648" s="101">
        <v>2075</v>
      </c>
      <c r="D648" t="s">
        <v>13274</v>
      </c>
      <c r="E648" t="s">
        <v>1764</v>
      </c>
      <c r="G648" t="s">
        <v>3434</v>
      </c>
      <c r="H648" t="s">
        <v>3402</v>
      </c>
      <c r="K648" t="s">
        <v>13275</v>
      </c>
      <c r="L648" t="s">
        <v>13276</v>
      </c>
      <c r="M648" t="s">
        <v>13277</v>
      </c>
      <c r="S648" t="s">
        <v>11</v>
      </c>
      <c r="T648" t="s">
        <v>9</v>
      </c>
    </row>
    <row r="649" spans="1:20">
      <c r="A649" t="s">
        <v>3465</v>
      </c>
      <c r="B649" t="s">
        <v>8730</v>
      </c>
      <c r="C649" s="101">
        <v>2076</v>
      </c>
      <c r="D649" t="s">
        <v>13278</v>
      </c>
      <c r="E649" t="s">
        <v>12207</v>
      </c>
      <c r="G649" t="s">
        <v>3434</v>
      </c>
      <c r="K649" t="s">
        <v>13279</v>
      </c>
      <c r="S649" t="s">
        <v>6</v>
      </c>
      <c r="T649" t="s">
        <v>9</v>
      </c>
    </row>
    <row r="650" spans="1:20">
      <c r="A650" t="s">
        <v>3465</v>
      </c>
      <c r="B650" t="s">
        <v>8730</v>
      </c>
      <c r="C650" s="101">
        <v>2078</v>
      </c>
      <c r="D650" t="s">
        <v>13280</v>
      </c>
      <c r="E650" t="s">
        <v>1764</v>
      </c>
      <c r="G650" t="s">
        <v>3434</v>
      </c>
      <c r="H650" t="s">
        <v>3402</v>
      </c>
      <c r="K650" t="s">
        <v>3</v>
      </c>
      <c r="L650" t="s">
        <v>3401</v>
      </c>
      <c r="M650" t="s">
        <v>13281</v>
      </c>
      <c r="S650" t="s">
        <v>5281</v>
      </c>
      <c r="T650" t="s">
        <v>9</v>
      </c>
    </row>
    <row r="651" spans="1:20">
      <c r="A651" t="s">
        <v>3465</v>
      </c>
      <c r="B651" t="s">
        <v>8730</v>
      </c>
      <c r="C651" s="101">
        <v>2079</v>
      </c>
      <c r="D651" t="s">
        <v>13282</v>
      </c>
      <c r="E651" t="s">
        <v>12793</v>
      </c>
      <c r="G651" t="s">
        <v>3434</v>
      </c>
      <c r="K651" t="s">
        <v>13283</v>
      </c>
      <c r="L651" t="s">
        <v>13284</v>
      </c>
      <c r="S651" t="s">
        <v>37</v>
      </c>
      <c r="T651" t="s">
        <v>9</v>
      </c>
    </row>
    <row r="652" spans="1:20">
      <c r="A652" t="s">
        <v>3465</v>
      </c>
      <c r="B652" t="s">
        <v>8730</v>
      </c>
      <c r="C652" s="101">
        <v>2080</v>
      </c>
      <c r="D652" t="s">
        <v>13285</v>
      </c>
      <c r="E652" t="s">
        <v>12624</v>
      </c>
      <c r="G652" t="s">
        <v>3434</v>
      </c>
      <c r="K652" t="s">
        <v>13286</v>
      </c>
      <c r="L652" t="s">
        <v>13287</v>
      </c>
      <c r="S652" t="s">
        <v>17</v>
      </c>
      <c r="T652" t="s">
        <v>9</v>
      </c>
    </row>
    <row r="653" spans="1:20" ht="14.25" customHeight="1">
      <c r="A653" s="101" t="s">
        <v>4768</v>
      </c>
      <c r="B653" s="101" t="s">
        <v>8730</v>
      </c>
      <c r="C653" s="101">
        <v>3040</v>
      </c>
      <c r="D653" s="102" t="s">
        <v>13288</v>
      </c>
      <c r="E653" s="102" t="s">
        <v>1620</v>
      </c>
      <c r="F653" s="102"/>
      <c r="G653" s="102" t="s">
        <v>13395</v>
      </c>
      <c r="H653" s="102" t="s">
        <v>13396</v>
      </c>
      <c r="I653" s="102"/>
      <c r="J653" s="102"/>
      <c r="K653" s="102" t="s">
        <v>1989</v>
      </c>
      <c r="L653" s="102" t="s">
        <v>13289</v>
      </c>
      <c r="M653" s="102" t="s">
        <v>2034</v>
      </c>
      <c r="N653" s="102" t="s">
        <v>1878</v>
      </c>
      <c r="O653" s="102"/>
      <c r="P653" s="102" t="s">
        <v>13290</v>
      </c>
      <c r="Q653" s="102"/>
      <c r="R653" s="102"/>
      <c r="S653" s="102" t="s">
        <v>14</v>
      </c>
      <c r="T653" s="102" t="s">
        <v>41</v>
      </c>
    </row>
    <row r="654" spans="1:20">
      <c r="A654" s="101" t="s">
        <v>4768</v>
      </c>
      <c r="B654" s="101" t="s">
        <v>8730</v>
      </c>
      <c r="C654" s="101">
        <v>3077</v>
      </c>
      <c r="D654" s="102" t="s">
        <v>13291</v>
      </c>
      <c r="E654" s="102" t="s">
        <v>12207</v>
      </c>
      <c r="F654" s="102"/>
      <c r="G654" s="102" t="s">
        <v>3434</v>
      </c>
      <c r="H654" s="102"/>
      <c r="I654" s="102"/>
      <c r="J654" s="102"/>
      <c r="K654" s="102" t="s">
        <v>13292</v>
      </c>
      <c r="L654" s="102" t="s">
        <v>13293</v>
      </c>
      <c r="M654" s="102" t="s">
        <v>13294</v>
      </c>
      <c r="N654" s="102"/>
      <c r="O654" s="102"/>
      <c r="P654" s="102"/>
      <c r="Q654" s="102"/>
      <c r="R654" s="102"/>
      <c r="S654" s="102" t="s">
        <v>180</v>
      </c>
      <c r="T654" s="102" t="s">
        <v>41</v>
      </c>
    </row>
    <row r="655" spans="1:20">
      <c r="C655" s="101"/>
    </row>
    <row r="656" spans="1:20">
      <c r="C656" s="101"/>
    </row>
    <row r="657" spans="3:3">
      <c r="C657" s="101"/>
    </row>
    <row r="658" spans="3:3">
      <c r="C658" s="101"/>
    </row>
    <row r="659" spans="3:3">
      <c r="C659" s="101"/>
    </row>
    <row r="660" spans="3:3">
      <c r="C660" s="101"/>
    </row>
    <row r="661" spans="3:3">
      <c r="C661" s="101"/>
    </row>
    <row r="662" spans="3:3">
      <c r="C662" s="101"/>
    </row>
    <row r="663" spans="3:3">
      <c r="C663" s="101"/>
    </row>
    <row r="664" spans="3:3">
      <c r="C664" s="101"/>
    </row>
    <row r="665" spans="3:3">
      <c r="C665" s="101"/>
    </row>
    <row r="666" spans="3:3">
      <c r="C666" s="101"/>
    </row>
    <row r="667" spans="3:3">
      <c r="C667" s="101"/>
    </row>
    <row r="668" spans="3:3">
      <c r="C668" s="101"/>
    </row>
    <row r="669" spans="3:3">
      <c r="C669" s="101"/>
    </row>
    <row r="670" spans="3:3">
      <c r="C670" s="101"/>
    </row>
    <row r="671" spans="3:3">
      <c r="C671" s="101"/>
    </row>
    <row r="672" spans="3:3">
      <c r="C672" s="101"/>
    </row>
    <row r="673" spans="3:3">
      <c r="C673" s="101"/>
    </row>
    <row r="674" spans="3:3">
      <c r="C674" s="101"/>
    </row>
    <row r="675" spans="3:3">
      <c r="C675" s="101"/>
    </row>
    <row r="676" spans="3:3">
      <c r="C676" s="101"/>
    </row>
    <row r="677" spans="3:3">
      <c r="C677" s="101"/>
    </row>
    <row r="678" spans="3:3">
      <c r="C678" s="101"/>
    </row>
    <row r="679" spans="3:3">
      <c r="C679" s="101"/>
    </row>
    <row r="680" spans="3:3">
      <c r="C680" s="101"/>
    </row>
    <row r="681" spans="3:3">
      <c r="C681" s="101"/>
    </row>
    <row r="682" spans="3:3">
      <c r="C682" s="101"/>
    </row>
    <row r="683" spans="3:3">
      <c r="C683" s="101"/>
    </row>
    <row r="684" spans="3:3">
      <c r="C684" s="101"/>
    </row>
    <row r="685" spans="3:3">
      <c r="C685" s="101"/>
    </row>
    <row r="686" spans="3:3">
      <c r="C686" s="101"/>
    </row>
    <row r="687" spans="3:3">
      <c r="C687" s="101"/>
    </row>
    <row r="688" spans="3:3">
      <c r="C688" s="101"/>
    </row>
    <row r="689" spans="3:3">
      <c r="C689" s="101"/>
    </row>
    <row r="690" spans="3:3">
      <c r="C690" s="101"/>
    </row>
    <row r="691" spans="3:3">
      <c r="C691" s="101"/>
    </row>
    <row r="692" spans="3:3">
      <c r="C692" s="101"/>
    </row>
    <row r="693" spans="3:3">
      <c r="C693" s="101"/>
    </row>
    <row r="694" spans="3:3">
      <c r="C694" s="101"/>
    </row>
    <row r="695" spans="3:3">
      <c r="C695" s="101"/>
    </row>
    <row r="696" spans="3:3">
      <c r="C696" s="101"/>
    </row>
    <row r="697" spans="3:3">
      <c r="C697" s="101"/>
    </row>
    <row r="698" spans="3:3">
      <c r="C698" s="101"/>
    </row>
    <row r="699" spans="3:3">
      <c r="C699" s="101"/>
    </row>
    <row r="700" spans="3:3">
      <c r="C700" s="101"/>
    </row>
    <row r="701" spans="3:3">
      <c r="C701" s="101"/>
    </row>
    <row r="702" spans="3:3">
      <c r="C702" s="101"/>
    </row>
    <row r="703" spans="3:3">
      <c r="C703" s="101"/>
    </row>
    <row r="704" spans="3:3">
      <c r="C704" s="101"/>
    </row>
    <row r="705" spans="3:3">
      <c r="C705" s="101"/>
    </row>
    <row r="706" spans="3:3">
      <c r="C706" s="101"/>
    </row>
    <row r="707" spans="3:3">
      <c r="C707" s="101"/>
    </row>
    <row r="708" spans="3:3">
      <c r="C708" s="101"/>
    </row>
    <row r="709" spans="3:3">
      <c r="C709" s="101"/>
    </row>
    <row r="710" spans="3:3">
      <c r="C710" s="101"/>
    </row>
    <row r="711" spans="3:3">
      <c r="C711" s="101"/>
    </row>
    <row r="712" spans="3:3">
      <c r="C712" s="101"/>
    </row>
    <row r="713" spans="3:3">
      <c r="C713" s="101"/>
    </row>
    <row r="714" spans="3:3">
      <c r="C714" s="101"/>
    </row>
    <row r="715" spans="3:3">
      <c r="C715" s="101"/>
    </row>
    <row r="716" spans="3:3">
      <c r="C716" s="101"/>
    </row>
    <row r="717" spans="3:3">
      <c r="C717" s="101"/>
    </row>
    <row r="718" spans="3:3">
      <c r="C718" s="101"/>
    </row>
    <row r="719" spans="3:3">
      <c r="C719" s="101"/>
    </row>
    <row r="720" spans="3:3">
      <c r="C720" s="101"/>
    </row>
    <row r="721" spans="3:3">
      <c r="C721" s="101"/>
    </row>
    <row r="722" spans="3:3">
      <c r="C722" s="101"/>
    </row>
    <row r="723" spans="3:3">
      <c r="C723" s="101"/>
    </row>
    <row r="724" spans="3:3">
      <c r="C724" s="101"/>
    </row>
    <row r="725" spans="3:3">
      <c r="C725" s="101"/>
    </row>
    <row r="726" spans="3:3">
      <c r="C726" s="101"/>
    </row>
    <row r="727" spans="3:3">
      <c r="C727" s="101"/>
    </row>
    <row r="728" spans="3:3">
      <c r="C728" s="101"/>
    </row>
    <row r="729" spans="3:3">
      <c r="C729" s="101"/>
    </row>
    <row r="730" spans="3:3">
      <c r="C730" s="101"/>
    </row>
    <row r="731" spans="3:3">
      <c r="C731" s="101"/>
    </row>
    <row r="732" spans="3:3">
      <c r="C732" s="101"/>
    </row>
    <row r="733" spans="3:3">
      <c r="C733" s="101"/>
    </row>
    <row r="734" spans="3:3">
      <c r="C734" s="101"/>
    </row>
    <row r="735" spans="3:3">
      <c r="C735" s="101"/>
    </row>
    <row r="736" spans="3:3">
      <c r="C736" s="101"/>
    </row>
    <row r="737" spans="3:3">
      <c r="C737" s="101"/>
    </row>
    <row r="738" spans="3:3">
      <c r="C738" s="101"/>
    </row>
    <row r="739" spans="3:3">
      <c r="C739" s="101"/>
    </row>
    <row r="740" spans="3:3">
      <c r="C740" s="101"/>
    </row>
    <row r="741" spans="3:3">
      <c r="C741" s="101"/>
    </row>
    <row r="742" spans="3:3">
      <c r="C742" s="101"/>
    </row>
    <row r="743" spans="3:3">
      <c r="C743" s="101"/>
    </row>
    <row r="744" spans="3:3">
      <c r="C744" s="101"/>
    </row>
    <row r="745" spans="3:3">
      <c r="C745" s="101"/>
    </row>
    <row r="746" spans="3:3">
      <c r="C746" s="101"/>
    </row>
    <row r="747" spans="3:3">
      <c r="C747" s="101"/>
    </row>
    <row r="748" spans="3:3">
      <c r="C748" s="101"/>
    </row>
    <row r="749" spans="3:3">
      <c r="C749" s="101"/>
    </row>
    <row r="750" spans="3:3">
      <c r="C750" s="101"/>
    </row>
    <row r="751" spans="3:3">
      <c r="C751" s="101"/>
    </row>
    <row r="752" spans="3:3">
      <c r="C752" s="101"/>
    </row>
    <row r="753" spans="3:3">
      <c r="C753" s="101"/>
    </row>
    <row r="754" spans="3:3">
      <c r="C754" s="101"/>
    </row>
    <row r="755" spans="3:3">
      <c r="C755" s="101"/>
    </row>
    <row r="756" spans="3:3">
      <c r="C756" s="101"/>
    </row>
    <row r="757" spans="3:3">
      <c r="C757" s="101"/>
    </row>
    <row r="758" spans="3:3">
      <c r="C758" s="101"/>
    </row>
    <row r="759" spans="3:3">
      <c r="C759" s="101"/>
    </row>
    <row r="760" spans="3:3">
      <c r="C760" s="101"/>
    </row>
    <row r="761" spans="3:3">
      <c r="C761" s="101"/>
    </row>
    <row r="762" spans="3:3">
      <c r="C762" s="101"/>
    </row>
    <row r="763" spans="3:3">
      <c r="C763" s="101"/>
    </row>
    <row r="764" spans="3:3">
      <c r="C764" s="101"/>
    </row>
    <row r="765" spans="3:3">
      <c r="C765" s="101"/>
    </row>
    <row r="766" spans="3:3">
      <c r="C766" s="101"/>
    </row>
    <row r="767" spans="3:3">
      <c r="C767" s="101"/>
    </row>
    <row r="768" spans="3:3">
      <c r="C768" s="101"/>
    </row>
    <row r="769" spans="3:3">
      <c r="C769" s="101"/>
    </row>
    <row r="770" spans="3:3">
      <c r="C770" s="101"/>
    </row>
    <row r="771" spans="3:3">
      <c r="C771" s="101"/>
    </row>
    <row r="772" spans="3:3">
      <c r="C772" s="101"/>
    </row>
    <row r="773" spans="3:3">
      <c r="C773" s="101"/>
    </row>
    <row r="774" spans="3:3">
      <c r="C774" s="101"/>
    </row>
    <row r="775" spans="3:3">
      <c r="C775" s="101"/>
    </row>
  </sheetData>
  <autoFilter ref="A1:T775"/>
  <phoneticPr fontId="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W162"/>
  <sheetViews>
    <sheetView topLeftCell="A136" workbookViewId="0">
      <selection activeCell="L147" sqref="L147"/>
    </sheetView>
  </sheetViews>
  <sheetFormatPr defaultRowHeight="13.5"/>
  <sheetData>
    <row r="1" spans="2:23" s="1" customFormat="1">
      <c r="B1" s="1" t="s">
        <v>3151</v>
      </c>
      <c r="C1" s="1" t="s">
        <v>3152</v>
      </c>
      <c r="D1" s="1" t="s">
        <v>3160</v>
      </c>
      <c r="E1" s="1" t="s">
        <v>3153</v>
      </c>
      <c r="F1" s="1" t="s">
        <v>3154</v>
      </c>
      <c r="G1" s="1" t="s">
        <v>3155</v>
      </c>
      <c r="H1" s="1" t="s">
        <v>3156</v>
      </c>
      <c r="I1" s="1" t="s">
        <v>3157</v>
      </c>
      <c r="N1" s="2" t="s">
        <v>3456</v>
      </c>
      <c r="O1" s="64" t="s">
        <v>4051</v>
      </c>
      <c r="P1" s="64" t="s">
        <v>4052</v>
      </c>
      <c r="Q1" s="1" t="s">
        <v>3159</v>
      </c>
      <c r="T1" s="4" t="s">
        <v>3881</v>
      </c>
      <c r="U1" s="8" t="s">
        <v>3882</v>
      </c>
      <c r="V1" s="9" t="s">
        <v>3906</v>
      </c>
      <c r="W1" s="10" t="s">
        <v>3907</v>
      </c>
    </row>
    <row r="2" spans="2:23">
      <c r="B2" t="s">
        <v>5826</v>
      </c>
      <c r="E2" t="s">
        <v>5677</v>
      </c>
      <c r="I2" t="s">
        <v>5827</v>
      </c>
      <c r="J2" t="s">
        <v>5828</v>
      </c>
      <c r="Q2" t="s">
        <v>49</v>
      </c>
      <c r="R2" t="s">
        <v>7</v>
      </c>
    </row>
    <row r="3" spans="2:23">
      <c r="B3" t="s">
        <v>5748</v>
      </c>
      <c r="E3" t="s">
        <v>5677</v>
      </c>
      <c r="I3" t="s">
        <v>5749</v>
      </c>
      <c r="J3" t="s">
        <v>5750</v>
      </c>
      <c r="Q3" t="s">
        <v>49</v>
      </c>
      <c r="R3" t="s">
        <v>7</v>
      </c>
    </row>
    <row r="4" spans="2:23">
      <c r="B4" t="s">
        <v>5890</v>
      </c>
      <c r="E4" t="s">
        <v>5677</v>
      </c>
      <c r="I4" t="s">
        <v>5891</v>
      </c>
      <c r="J4" t="s">
        <v>5897</v>
      </c>
      <c r="Q4" t="s">
        <v>49</v>
      </c>
      <c r="R4" t="s">
        <v>7</v>
      </c>
    </row>
    <row r="5" spans="2:23">
      <c r="B5" t="s">
        <v>5676</v>
      </c>
      <c r="E5" t="s">
        <v>5677</v>
      </c>
      <c r="I5" t="s">
        <v>5678</v>
      </c>
      <c r="J5" t="s">
        <v>5679</v>
      </c>
      <c r="Q5" t="s">
        <v>49</v>
      </c>
      <c r="R5" t="s">
        <v>7</v>
      </c>
    </row>
    <row r="6" spans="2:23">
      <c r="B6" t="s">
        <v>5888</v>
      </c>
      <c r="E6" t="s">
        <v>5677</v>
      </c>
      <c r="I6" t="s">
        <v>5889</v>
      </c>
      <c r="J6" t="s">
        <v>5691</v>
      </c>
      <c r="Q6" t="s">
        <v>49</v>
      </c>
      <c r="R6" t="s">
        <v>7</v>
      </c>
    </row>
    <row r="8" spans="2:23">
      <c r="B8" t="s">
        <v>5766</v>
      </c>
      <c r="E8" t="s">
        <v>3736</v>
      </c>
      <c r="I8" t="s">
        <v>5767</v>
      </c>
      <c r="J8" t="s">
        <v>5717</v>
      </c>
      <c r="K8" t="s">
        <v>6029</v>
      </c>
      <c r="Q8" t="s">
        <v>5281</v>
      </c>
      <c r="R8" t="s">
        <v>7</v>
      </c>
    </row>
    <row r="9" spans="2:23">
      <c r="B9" t="s">
        <v>5954</v>
      </c>
      <c r="E9" t="s">
        <v>3736</v>
      </c>
      <c r="I9" t="s">
        <v>5955</v>
      </c>
      <c r="J9" t="s">
        <v>5778</v>
      </c>
      <c r="K9" t="s">
        <v>6030</v>
      </c>
      <c r="Q9" t="s">
        <v>5281</v>
      </c>
      <c r="R9" t="s">
        <v>7</v>
      </c>
    </row>
    <row r="10" spans="2:23">
      <c r="B10" t="s">
        <v>5831</v>
      </c>
      <c r="E10" t="s">
        <v>3736</v>
      </c>
      <c r="I10" t="s">
        <v>5832</v>
      </c>
      <c r="J10" t="s">
        <v>5790</v>
      </c>
      <c r="K10" t="s">
        <v>6031</v>
      </c>
      <c r="Q10" t="s">
        <v>5281</v>
      </c>
      <c r="R10" t="s">
        <v>7</v>
      </c>
    </row>
    <row r="11" spans="2:23">
      <c r="B11" t="s">
        <v>5680</v>
      </c>
      <c r="E11" t="s">
        <v>3736</v>
      </c>
      <c r="I11" t="s">
        <v>5681</v>
      </c>
      <c r="J11" t="s">
        <v>5722</v>
      </c>
      <c r="K11" t="s">
        <v>6032</v>
      </c>
      <c r="Q11" t="s">
        <v>5281</v>
      </c>
      <c r="R11" t="s">
        <v>7</v>
      </c>
    </row>
    <row r="12" spans="2:23">
      <c r="B12" t="s">
        <v>5892</v>
      </c>
      <c r="E12" t="s">
        <v>3736</v>
      </c>
      <c r="I12" t="s">
        <v>5893</v>
      </c>
      <c r="J12" t="s">
        <v>5986</v>
      </c>
      <c r="K12" t="s">
        <v>6033</v>
      </c>
      <c r="Q12" t="s">
        <v>5281</v>
      </c>
      <c r="R12" t="s">
        <v>7</v>
      </c>
    </row>
    <row r="14" spans="2:23">
      <c r="B14" t="s">
        <v>5918</v>
      </c>
      <c r="E14" t="s">
        <v>3736</v>
      </c>
      <c r="I14" t="s">
        <v>5684</v>
      </c>
      <c r="J14" t="s">
        <v>5919</v>
      </c>
      <c r="Q14" t="s">
        <v>28</v>
      </c>
      <c r="R14" t="s">
        <v>7</v>
      </c>
    </row>
    <row r="15" spans="2:23">
      <c r="B15" t="s">
        <v>5736</v>
      </c>
      <c r="E15" t="s">
        <v>3736</v>
      </c>
      <c r="I15" t="s">
        <v>5684</v>
      </c>
      <c r="J15" t="s">
        <v>5737</v>
      </c>
      <c r="Q15" t="s">
        <v>28</v>
      </c>
      <c r="R15" t="s">
        <v>7</v>
      </c>
    </row>
    <row r="16" spans="2:23">
      <c r="B16" t="s">
        <v>5797</v>
      </c>
      <c r="E16" t="s">
        <v>3736</v>
      </c>
      <c r="I16" t="s">
        <v>5684</v>
      </c>
      <c r="J16" t="s">
        <v>5798</v>
      </c>
      <c r="Q16" t="s">
        <v>28</v>
      </c>
      <c r="R16" t="s">
        <v>7</v>
      </c>
    </row>
    <row r="17" spans="2:18">
      <c r="B17" t="s">
        <v>5859</v>
      </c>
      <c r="E17" t="s">
        <v>3736</v>
      </c>
      <c r="I17" t="s">
        <v>5684</v>
      </c>
      <c r="J17" t="s">
        <v>5860</v>
      </c>
      <c r="Q17" t="s">
        <v>28</v>
      </c>
      <c r="R17" t="s">
        <v>7</v>
      </c>
    </row>
    <row r="18" spans="2:18">
      <c r="B18" t="s">
        <v>5980</v>
      </c>
      <c r="E18" t="s">
        <v>3736</v>
      </c>
      <c r="I18" t="s">
        <v>5684</v>
      </c>
      <c r="J18" t="s">
        <v>5981</v>
      </c>
      <c r="Q18" t="s">
        <v>28</v>
      </c>
      <c r="R18" t="s">
        <v>7</v>
      </c>
    </row>
    <row r="20" spans="2:18">
      <c r="B20" t="s">
        <v>5715</v>
      </c>
      <c r="E20" t="s">
        <v>3736</v>
      </c>
      <c r="I20" t="s">
        <v>5716</v>
      </c>
      <c r="J20" t="s">
        <v>5717</v>
      </c>
      <c r="K20" t="s">
        <v>5718</v>
      </c>
      <c r="Q20" t="s">
        <v>5719</v>
      </c>
      <c r="R20" t="s">
        <v>7</v>
      </c>
    </row>
    <row r="21" spans="2:18">
      <c r="B21" t="s">
        <v>5776</v>
      </c>
      <c r="E21" t="s">
        <v>3736</v>
      </c>
      <c r="I21" t="s">
        <v>5777</v>
      </c>
      <c r="J21" t="s">
        <v>5778</v>
      </c>
      <c r="K21" t="s">
        <v>5779</v>
      </c>
      <c r="Q21" t="s">
        <v>5719</v>
      </c>
      <c r="R21" t="s">
        <v>7</v>
      </c>
    </row>
    <row r="22" spans="2:18">
      <c r="B22" t="s">
        <v>5841</v>
      </c>
      <c r="E22" t="s">
        <v>3736</v>
      </c>
      <c r="I22" t="s">
        <v>5842</v>
      </c>
      <c r="J22" t="s">
        <v>5790</v>
      </c>
      <c r="K22" t="s">
        <v>5843</v>
      </c>
      <c r="Q22" t="s">
        <v>5719</v>
      </c>
      <c r="R22" t="s">
        <v>7</v>
      </c>
    </row>
    <row r="23" spans="2:18">
      <c r="B23" t="s">
        <v>5923</v>
      </c>
      <c r="E23" t="s">
        <v>3736</v>
      </c>
      <c r="I23" t="s">
        <v>5924</v>
      </c>
      <c r="J23" t="s">
        <v>5722</v>
      </c>
      <c r="K23" t="s">
        <v>5925</v>
      </c>
      <c r="Q23" t="s">
        <v>5719</v>
      </c>
      <c r="R23" t="s">
        <v>7</v>
      </c>
    </row>
    <row r="24" spans="2:18">
      <c r="B24" t="s">
        <v>5984</v>
      </c>
      <c r="E24" t="s">
        <v>3736</v>
      </c>
      <c r="I24" t="s">
        <v>5985</v>
      </c>
      <c r="J24" t="s">
        <v>5986</v>
      </c>
      <c r="K24" t="s">
        <v>5987</v>
      </c>
      <c r="Q24" t="s">
        <v>5719</v>
      </c>
      <c r="R24" t="s">
        <v>7</v>
      </c>
    </row>
    <row r="26" spans="2:18">
      <c r="B26" t="s">
        <v>5692</v>
      </c>
      <c r="E26" t="s">
        <v>3736</v>
      </c>
      <c r="F26" t="s">
        <v>6015</v>
      </c>
      <c r="I26" t="s">
        <v>5684</v>
      </c>
      <c r="J26" t="s">
        <v>6034</v>
      </c>
      <c r="K26" t="s">
        <v>5693</v>
      </c>
      <c r="Q26" t="s">
        <v>29</v>
      </c>
      <c r="R26" t="s">
        <v>7</v>
      </c>
    </row>
    <row r="27" spans="2:18">
      <c r="B27" t="s">
        <v>5820</v>
      </c>
      <c r="E27" t="s">
        <v>3736</v>
      </c>
      <c r="F27" t="s">
        <v>6015</v>
      </c>
      <c r="I27" t="s">
        <v>5684</v>
      </c>
      <c r="J27" t="s">
        <v>5821</v>
      </c>
      <c r="K27" t="s">
        <v>5822</v>
      </c>
      <c r="Q27" t="s">
        <v>29</v>
      </c>
      <c r="R27" t="s">
        <v>7</v>
      </c>
    </row>
    <row r="28" spans="2:18">
      <c r="B28" t="s">
        <v>5882</v>
      </c>
      <c r="E28" t="s">
        <v>3736</v>
      </c>
      <c r="F28" t="s">
        <v>6015</v>
      </c>
      <c r="I28" t="s">
        <v>5684</v>
      </c>
      <c r="J28" t="s">
        <v>5883</v>
      </c>
      <c r="K28" t="s">
        <v>5884</v>
      </c>
      <c r="Q28" t="s">
        <v>29</v>
      </c>
      <c r="R28" t="s">
        <v>7</v>
      </c>
    </row>
    <row r="29" spans="2:18">
      <c r="B29" t="s">
        <v>5758</v>
      </c>
      <c r="E29" t="s">
        <v>3736</v>
      </c>
      <c r="F29" t="s">
        <v>6015</v>
      </c>
      <c r="I29" t="s">
        <v>5684</v>
      </c>
      <c r="J29" t="s">
        <v>6035</v>
      </c>
      <c r="K29" t="s">
        <v>5759</v>
      </c>
      <c r="Q29" t="s">
        <v>29</v>
      </c>
      <c r="R29" t="s">
        <v>7</v>
      </c>
    </row>
    <row r="30" spans="2:18">
      <c r="B30" t="s">
        <v>5942</v>
      </c>
      <c r="E30" t="s">
        <v>3736</v>
      </c>
      <c r="F30" t="s">
        <v>6015</v>
      </c>
      <c r="I30" t="s">
        <v>5684</v>
      </c>
      <c r="J30" t="s">
        <v>5943</v>
      </c>
      <c r="K30" t="s">
        <v>5944</v>
      </c>
      <c r="Q30" t="s">
        <v>29</v>
      </c>
      <c r="R30" t="s">
        <v>7</v>
      </c>
    </row>
    <row r="32" spans="2:18">
      <c r="B32" t="s">
        <v>5977</v>
      </c>
      <c r="E32" t="s">
        <v>3736</v>
      </c>
      <c r="I32" t="s">
        <v>5978</v>
      </c>
      <c r="J32" t="s">
        <v>5979</v>
      </c>
      <c r="K32" t="s">
        <v>5828</v>
      </c>
      <c r="Q32" t="s">
        <v>607</v>
      </c>
      <c r="R32" t="s">
        <v>7</v>
      </c>
    </row>
    <row r="33" spans="2:18">
      <c r="B33" t="s">
        <v>5768</v>
      </c>
      <c r="E33" t="s">
        <v>3736</v>
      </c>
      <c r="I33" t="s">
        <v>5769</v>
      </c>
      <c r="J33" t="s">
        <v>5770</v>
      </c>
      <c r="K33" t="s">
        <v>5750</v>
      </c>
      <c r="Q33" t="s">
        <v>607</v>
      </c>
      <c r="R33" t="s">
        <v>7</v>
      </c>
    </row>
    <row r="34" spans="2:18">
      <c r="B34" t="s">
        <v>5894</v>
      </c>
      <c r="E34" t="s">
        <v>3736</v>
      </c>
      <c r="I34" t="s">
        <v>5895</v>
      </c>
      <c r="J34" t="s">
        <v>5896</v>
      </c>
      <c r="K34" t="s">
        <v>5897</v>
      </c>
      <c r="Q34" t="s">
        <v>607</v>
      </c>
      <c r="R34" t="s">
        <v>7</v>
      </c>
    </row>
    <row r="35" spans="2:18">
      <c r="B35" t="s">
        <v>5707</v>
      </c>
      <c r="E35" t="s">
        <v>3736</v>
      </c>
      <c r="I35" t="s">
        <v>5708</v>
      </c>
      <c r="J35" t="s">
        <v>5709</v>
      </c>
      <c r="K35" t="s">
        <v>5679</v>
      </c>
      <c r="Q35" t="s">
        <v>607</v>
      </c>
      <c r="R35" t="s">
        <v>7</v>
      </c>
    </row>
    <row r="36" spans="2:18">
      <c r="B36" t="s">
        <v>5833</v>
      </c>
      <c r="E36" t="s">
        <v>3736</v>
      </c>
      <c r="I36" t="s">
        <v>5834</v>
      </c>
      <c r="J36" t="s">
        <v>5835</v>
      </c>
      <c r="K36" t="s">
        <v>5691</v>
      </c>
      <c r="Q36" t="s">
        <v>607</v>
      </c>
      <c r="R36" t="s">
        <v>7</v>
      </c>
    </row>
    <row r="38" spans="2:18">
      <c r="B38" t="s">
        <v>5965</v>
      </c>
      <c r="E38" t="s">
        <v>3736</v>
      </c>
      <c r="I38" t="s">
        <v>5966</v>
      </c>
      <c r="J38" t="s">
        <v>5828</v>
      </c>
      <c r="Q38" t="s">
        <v>182</v>
      </c>
      <c r="R38" t="s">
        <v>7</v>
      </c>
    </row>
    <row r="39" spans="2:18">
      <c r="B39" t="s">
        <v>5926</v>
      </c>
      <c r="E39" t="s">
        <v>3736</v>
      </c>
      <c r="I39" t="s">
        <v>5927</v>
      </c>
      <c r="J39" t="s">
        <v>6026</v>
      </c>
      <c r="Q39" t="s">
        <v>182</v>
      </c>
      <c r="R39" t="s">
        <v>7</v>
      </c>
    </row>
    <row r="40" spans="2:18">
      <c r="B40" t="s">
        <v>5945</v>
      </c>
      <c r="E40" t="s">
        <v>3736</v>
      </c>
      <c r="I40" t="s">
        <v>5946</v>
      </c>
      <c r="J40" t="s">
        <v>6027</v>
      </c>
      <c r="Q40" t="s">
        <v>182</v>
      </c>
      <c r="R40" t="s">
        <v>7</v>
      </c>
    </row>
    <row r="41" spans="2:18">
      <c r="B41" t="s">
        <v>5865</v>
      </c>
      <c r="E41" t="s">
        <v>3736</v>
      </c>
      <c r="I41" t="s">
        <v>5866</v>
      </c>
      <c r="J41" t="s">
        <v>6028</v>
      </c>
      <c r="Q41" t="s">
        <v>182</v>
      </c>
      <c r="R41" t="s">
        <v>7</v>
      </c>
    </row>
    <row r="42" spans="2:18">
      <c r="B42" t="s">
        <v>5905</v>
      </c>
      <c r="E42" t="s">
        <v>3736</v>
      </c>
      <c r="I42" t="s">
        <v>5906</v>
      </c>
      <c r="J42" t="s">
        <v>5691</v>
      </c>
      <c r="Q42" t="s">
        <v>182</v>
      </c>
      <c r="R42" t="s">
        <v>7</v>
      </c>
    </row>
    <row r="44" spans="2:18">
      <c r="B44" t="s">
        <v>5746</v>
      </c>
      <c r="E44" t="s">
        <v>3736</v>
      </c>
      <c r="I44" t="s">
        <v>5684</v>
      </c>
      <c r="J44" t="s">
        <v>5747</v>
      </c>
      <c r="Q44" t="s">
        <v>10</v>
      </c>
      <c r="R44" t="s">
        <v>7</v>
      </c>
    </row>
    <row r="45" spans="2:18">
      <c r="B45" t="s">
        <v>5761</v>
      </c>
      <c r="E45" t="s">
        <v>3736</v>
      </c>
      <c r="I45" t="s">
        <v>5684</v>
      </c>
      <c r="J45" t="s">
        <v>5762</v>
      </c>
      <c r="Q45" t="s">
        <v>8</v>
      </c>
      <c r="R45" t="s">
        <v>7</v>
      </c>
    </row>
    <row r="46" spans="2:18">
      <c r="B46" t="s">
        <v>5871</v>
      </c>
      <c r="E46" t="s">
        <v>3736</v>
      </c>
      <c r="I46" t="s">
        <v>5684</v>
      </c>
      <c r="J46" t="s">
        <v>5872</v>
      </c>
      <c r="Q46" t="s">
        <v>10</v>
      </c>
      <c r="R46" t="s">
        <v>7</v>
      </c>
    </row>
    <row r="47" spans="2:18">
      <c r="B47" t="s">
        <v>5698</v>
      </c>
      <c r="E47" t="s">
        <v>3736</v>
      </c>
      <c r="I47" t="s">
        <v>5684</v>
      </c>
      <c r="J47" t="s">
        <v>5699</v>
      </c>
      <c r="Q47" t="s">
        <v>11</v>
      </c>
      <c r="R47" t="s">
        <v>7</v>
      </c>
    </row>
    <row r="48" spans="2:18">
      <c r="B48" t="s">
        <v>5947</v>
      </c>
      <c r="E48" t="s">
        <v>3736</v>
      </c>
      <c r="I48" t="s">
        <v>5684</v>
      </c>
      <c r="J48" t="s">
        <v>5948</v>
      </c>
      <c r="Q48" t="s">
        <v>8</v>
      </c>
      <c r="R48" t="s">
        <v>7</v>
      </c>
    </row>
    <row r="49" spans="2:18">
      <c r="B49" t="s">
        <v>5969</v>
      </c>
      <c r="E49" t="s">
        <v>3736</v>
      </c>
      <c r="I49" t="s">
        <v>5684</v>
      </c>
      <c r="J49" t="s">
        <v>5970</v>
      </c>
      <c r="Q49" t="s">
        <v>11</v>
      </c>
      <c r="R49" t="s">
        <v>7</v>
      </c>
    </row>
    <row r="50" spans="2:18">
      <c r="B50" t="s">
        <v>5909</v>
      </c>
      <c r="E50" t="s">
        <v>3736</v>
      </c>
      <c r="I50" t="s">
        <v>5684</v>
      </c>
      <c r="J50" t="s">
        <v>5910</v>
      </c>
      <c r="Q50" t="s">
        <v>11</v>
      </c>
      <c r="R50" t="s">
        <v>7</v>
      </c>
    </row>
    <row r="51" spans="2:18">
      <c r="B51" t="s">
        <v>5824</v>
      </c>
      <c r="E51" t="s">
        <v>3736</v>
      </c>
      <c r="I51" t="s">
        <v>5684</v>
      </c>
      <c r="J51" t="s">
        <v>5825</v>
      </c>
      <c r="Q51" t="s">
        <v>8</v>
      </c>
      <c r="R51" t="s">
        <v>7</v>
      </c>
    </row>
    <row r="52" spans="2:18">
      <c r="B52" t="s">
        <v>5886</v>
      </c>
      <c r="E52" t="s">
        <v>3736</v>
      </c>
      <c r="I52" t="s">
        <v>5684</v>
      </c>
      <c r="J52" t="s">
        <v>5887</v>
      </c>
      <c r="Q52" t="s">
        <v>8</v>
      </c>
      <c r="R52" t="s">
        <v>7</v>
      </c>
    </row>
    <row r="53" spans="2:18">
      <c r="B53" t="s">
        <v>5930</v>
      </c>
      <c r="E53" t="s">
        <v>3736</v>
      </c>
      <c r="I53" t="s">
        <v>5684</v>
      </c>
      <c r="J53" t="s">
        <v>5931</v>
      </c>
      <c r="Q53" t="s">
        <v>10</v>
      </c>
      <c r="R53" t="s">
        <v>7</v>
      </c>
    </row>
    <row r="55" spans="2:18">
      <c r="B55" t="s">
        <v>5808</v>
      </c>
      <c r="E55" t="s">
        <v>3736</v>
      </c>
      <c r="I55" t="s">
        <v>5809</v>
      </c>
      <c r="J55" t="s">
        <v>5810</v>
      </c>
      <c r="K55" t="s">
        <v>5811</v>
      </c>
      <c r="Q55" t="s">
        <v>184</v>
      </c>
      <c r="R55" t="s">
        <v>7</v>
      </c>
    </row>
    <row r="56" spans="2:18">
      <c r="B56" t="s">
        <v>5804</v>
      </c>
      <c r="E56" t="s">
        <v>3736</v>
      </c>
      <c r="I56" t="s">
        <v>5805</v>
      </c>
      <c r="J56" t="s">
        <v>5806</v>
      </c>
      <c r="K56" t="s">
        <v>5807</v>
      </c>
      <c r="Q56" t="s">
        <v>184</v>
      </c>
      <c r="R56" t="s">
        <v>7</v>
      </c>
    </row>
    <row r="57" spans="2:18">
      <c r="B57" t="s">
        <v>6012</v>
      </c>
      <c r="E57" t="s">
        <v>3736</v>
      </c>
      <c r="I57" t="s">
        <v>6013</v>
      </c>
      <c r="J57" t="s">
        <v>6014</v>
      </c>
      <c r="K57" t="s">
        <v>6051</v>
      </c>
      <c r="Q57" t="s">
        <v>184</v>
      </c>
      <c r="R57" t="s">
        <v>7</v>
      </c>
    </row>
    <row r="58" spans="2:18">
      <c r="B58" t="s">
        <v>5848</v>
      </c>
      <c r="E58" t="s">
        <v>3736</v>
      </c>
      <c r="I58" t="s">
        <v>5849</v>
      </c>
      <c r="J58" t="s">
        <v>5850</v>
      </c>
      <c r="K58" t="s">
        <v>5851</v>
      </c>
      <c r="Q58" t="s">
        <v>184</v>
      </c>
      <c r="R58" t="s">
        <v>7</v>
      </c>
    </row>
    <row r="59" spans="2:18">
      <c r="B59" t="s">
        <v>6009</v>
      </c>
      <c r="E59" t="s">
        <v>3736</v>
      </c>
      <c r="I59" t="s">
        <v>6010</v>
      </c>
      <c r="J59" t="s">
        <v>6011</v>
      </c>
      <c r="K59" t="s">
        <v>6050</v>
      </c>
      <c r="Q59" t="s">
        <v>184</v>
      </c>
      <c r="R59" t="s">
        <v>7</v>
      </c>
    </row>
    <row r="60" spans="2:18">
      <c r="B60" t="s">
        <v>5725</v>
      </c>
      <c r="E60" t="s">
        <v>3736</v>
      </c>
      <c r="I60" t="s">
        <v>5726</v>
      </c>
      <c r="J60" t="s">
        <v>5727</v>
      </c>
      <c r="K60" t="s">
        <v>6048</v>
      </c>
      <c r="Q60" t="s">
        <v>184</v>
      </c>
      <c r="R60" t="s">
        <v>7</v>
      </c>
    </row>
    <row r="61" spans="2:18">
      <c r="B61" t="s">
        <v>5784</v>
      </c>
      <c r="E61" t="s">
        <v>3736</v>
      </c>
      <c r="I61" t="s">
        <v>5785</v>
      </c>
      <c r="J61" t="s">
        <v>5786</v>
      </c>
      <c r="K61" t="s">
        <v>5787</v>
      </c>
      <c r="Q61" t="s">
        <v>184</v>
      </c>
      <c r="R61" t="s">
        <v>7</v>
      </c>
    </row>
    <row r="62" spans="2:18">
      <c r="B62" t="s">
        <v>5742</v>
      </c>
      <c r="E62" t="s">
        <v>3736</v>
      </c>
      <c r="I62" t="s">
        <v>5743</v>
      </c>
      <c r="J62" t="s">
        <v>5744</v>
      </c>
      <c r="K62" t="s">
        <v>5745</v>
      </c>
      <c r="Q62" t="s">
        <v>184</v>
      </c>
      <c r="R62" t="s">
        <v>7</v>
      </c>
    </row>
    <row r="63" spans="2:18">
      <c r="B63" t="s">
        <v>5867</v>
      </c>
      <c r="E63" t="s">
        <v>3736</v>
      </c>
      <c r="I63" t="s">
        <v>5868</v>
      </c>
      <c r="J63" t="s">
        <v>5869</v>
      </c>
      <c r="K63" t="s">
        <v>5870</v>
      </c>
      <c r="Q63" t="s">
        <v>184</v>
      </c>
      <c r="R63" t="s">
        <v>7</v>
      </c>
    </row>
    <row r="64" spans="2:18">
      <c r="B64" t="s">
        <v>5949</v>
      </c>
      <c r="E64" t="s">
        <v>3736</v>
      </c>
      <c r="I64" t="s">
        <v>5950</v>
      </c>
      <c r="J64" t="s">
        <v>5951</v>
      </c>
      <c r="K64" t="s">
        <v>6049</v>
      </c>
      <c r="Q64" t="s">
        <v>184</v>
      </c>
      <c r="R64" t="s">
        <v>7</v>
      </c>
    </row>
    <row r="66" spans="2:18">
      <c r="B66" t="s">
        <v>5880</v>
      </c>
      <c r="E66" t="s">
        <v>3736</v>
      </c>
      <c r="I66" t="s">
        <v>5881</v>
      </c>
      <c r="J66" t="s">
        <v>5828</v>
      </c>
      <c r="Q66" t="s">
        <v>37</v>
      </c>
      <c r="R66" t="s">
        <v>7</v>
      </c>
    </row>
    <row r="67" spans="2:18">
      <c r="B67" t="s">
        <v>5818</v>
      </c>
      <c r="E67" t="s">
        <v>3736</v>
      </c>
      <c r="I67" t="s">
        <v>5819</v>
      </c>
      <c r="J67" t="s">
        <v>5750</v>
      </c>
      <c r="Q67" t="s">
        <v>37</v>
      </c>
      <c r="R67" t="s">
        <v>7</v>
      </c>
    </row>
    <row r="68" spans="2:18">
      <c r="B68" t="s">
        <v>5940</v>
      </c>
      <c r="E68" t="s">
        <v>3736</v>
      </c>
      <c r="I68" t="s">
        <v>5941</v>
      </c>
      <c r="J68" t="s">
        <v>5897</v>
      </c>
      <c r="Q68" t="s">
        <v>37</v>
      </c>
      <c r="R68" t="s">
        <v>7</v>
      </c>
    </row>
    <row r="69" spans="2:18">
      <c r="B69" t="s">
        <v>5756</v>
      </c>
      <c r="E69" t="s">
        <v>3736</v>
      </c>
      <c r="I69" t="s">
        <v>5757</v>
      </c>
      <c r="J69" t="s">
        <v>5679</v>
      </c>
      <c r="Q69" t="s">
        <v>37</v>
      </c>
      <c r="R69" t="s">
        <v>7</v>
      </c>
    </row>
    <row r="70" spans="2:18">
      <c r="B70" t="s">
        <v>5689</v>
      </c>
      <c r="E70" t="s">
        <v>3736</v>
      </c>
      <c r="I70" t="s">
        <v>5690</v>
      </c>
      <c r="J70" t="s">
        <v>5691</v>
      </c>
      <c r="Q70" t="s">
        <v>37</v>
      </c>
      <c r="R70" t="s">
        <v>7</v>
      </c>
    </row>
    <row r="71" spans="2:18">
      <c r="B71" t="s">
        <v>5960</v>
      </c>
      <c r="E71" t="s">
        <v>3736</v>
      </c>
      <c r="I71" t="s">
        <v>5961</v>
      </c>
      <c r="J71" t="s">
        <v>5962</v>
      </c>
      <c r="Q71" t="s">
        <v>36</v>
      </c>
      <c r="R71" t="s">
        <v>7</v>
      </c>
    </row>
    <row r="72" spans="2:18">
      <c r="B72" t="s">
        <v>5838</v>
      </c>
      <c r="E72" t="s">
        <v>3736</v>
      </c>
      <c r="I72" t="s">
        <v>5839</v>
      </c>
      <c r="J72" t="s">
        <v>5840</v>
      </c>
      <c r="Q72" t="s">
        <v>36</v>
      </c>
      <c r="R72" t="s">
        <v>7</v>
      </c>
    </row>
    <row r="73" spans="2:18">
      <c r="B73" t="s">
        <v>5900</v>
      </c>
      <c r="E73" t="s">
        <v>3736</v>
      </c>
      <c r="I73" t="s">
        <v>5901</v>
      </c>
      <c r="J73" t="s">
        <v>5902</v>
      </c>
      <c r="Q73" t="s">
        <v>36</v>
      </c>
      <c r="R73" t="s">
        <v>7</v>
      </c>
    </row>
    <row r="74" spans="2:18">
      <c r="B74" t="s">
        <v>5773</v>
      </c>
      <c r="E74" t="s">
        <v>3736</v>
      </c>
      <c r="I74" t="s">
        <v>5774</v>
      </c>
      <c r="J74" t="s">
        <v>5775</v>
      </c>
      <c r="Q74" t="s">
        <v>36</v>
      </c>
      <c r="R74" t="s">
        <v>7</v>
      </c>
    </row>
    <row r="75" spans="2:18">
      <c r="B75" t="s">
        <v>5712</v>
      </c>
      <c r="E75" t="s">
        <v>3736</v>
      </c>
      <c r="I75" t="s">
        <v>5713</v>
      </c>
      <c r="J75" t="s">
        <v>5714</v>
      </c>
      <c r="Q75" t="s">
        <v>36</v>
      </c>
      <c r="R75" t="s">
        <v>7</v>
      </c>
    </row>
    <row r="77" spans="2:18">
      <c r="B77" t="s">
        <v>5990</v>
      </c>
      <c r="E77" t="s">
        <v>3736</v>
      </c>
      <c r="I77" t="s">
        <v>5684</v>
      </c>
      <c r="J77" t="s">
        <v>5991</v>
      </c>
      <c r="Q77" t="s">
        <v>175</v>
      </c>
      <c r="R77" t="s">
        <v>7</v>
      </c>
    </row>
    <row r="78" spans="2:18">
      <c r="B78" t="s">
        <v>5783</v>
      </c>
      <c r="E78" t="s">
        <v>3736</v>
      </c>
      <c r="I78" t="s">
        <v>5684</v>
      </c>
      <c r="J78" t="s">
        <v>6038</v>
      </c>
      <c r="Q78" t="s">
        <v>175</v>
      </c>
      <c r="R78" t="s">
        <v>7</v>
      </c>
    </row>
    <row r="79" spans="2:18">
      <c r="B79" t="s">
        <v>5907</v>
      </c>
      <c r="E79" t="s">
        <v>3736</v>
      </c>
      <c r="I79" t="s">
        <v>5684</v>
      </c>
      <c r="J79" t="s">
        <v>5908</v>
      </c>
      <c r="Q79" t="s">
        <v>175</v>
      </c>
      <c r="R79" t="s">
        <v>7</v>
      </c>
    </row>
    <row r="80" spans="2:18">
      <c r="B80" t="s">
        <v>5847</v>
      </c>
      <c r="E80" t="s">
        <v>3736</v>
      </c>
      <c r="I80" t="s">
        <v>5684</v>
      </c>
      <c r="J80" t="s">
        <v>6037</v>
      </c>
      <c r="Q80" t="s">
        <v>175</v>
      </c>
      <c r="R80" t="s">
        <v>7</v>
      </c>
    </row>
    <row r="81" spans="2:18">
      <c r="B81" t="s">
        <v>5724</v>
      </c>
      <c r="E81" t="s">
        <v>3736</v>
      </c>
      <c r="I81" t="s">
        <v>5684</v>
      </c>
      <c r="J81" t="s">
        <v>6039</v>
      </c>
      <c r="Q81" t="s">
        <v>175</v>
      </c>
      <c r="R81" t="s">
        <v>7</v>
      </c>
    </row>
    <row r="83" spans="2:18">
      <c r="B83" t="s">
        <v>5932</v>
      </c>
      <c r="E83" t="s">
        <v>3736</v>
      </c>
      <c r="I83" t="s">
        <v>5933</v>
      </c>
      <c r="J83" t="s">
        <v>5934</v>
      </c>
      <c r="K83" t="s">
        <v>5717</v>
      </c>
      <c r="Q83" t="s">
        <v>34</v>
      </c>
      <c r="R83" t="s">
        <v>7</v>
      </c>
    </row>
    <row r="84" spans="2:18">
      <c r="B84" t="s">
        <v>5873</v>
      </c>
      <c r="E84" t="s">
        <v>3736</v>
      </c>
      <c r="I84" t="s">
        <v>5874</v>
      </c>
      <c r="J84" t="s">
        <v>5778</v>
      </c>
      <c r="K84" t="s">
        <v>5875</v>
      </c>
      <c r="Q84" t="s">
        <v>34</v>
      </c>
      <c r="R84" t="s">
        <v>7</v>
      </c>
    </row>
    <row r="85" spans="2:18">
      <c r="B85" t="s">
        <v>5788</v>
      </c>
      <c r="E85" t="s">
        <v>3736</v>
      </c>
      <c r="I85" t="s">
        <v>5789</v>
      </c>
      <c r="J85" t="s">
        <v>5790</v>
      </c>
      <c r="K85" t="s">
        <v>5791</v>
      </c>
      <c r="Q85" t="s">
        <v>34</v>
      </c>
      <c r="R85" t="s">
        <v>7</v>
      </c>
    </row>
    <row r="86" spans="2:18">
      <c r="B86" t="s">
        <v>5728</v>
      </c>
      <c r="E86" t="s">
        <v>3736</v>
      </c>
      <c r="I86" t="s">
        <v>5729</v>
      </c>
      <c r="J86" t="s">
        <v>5722</v>
      </c>
      <c r="K86" t="s">
        <v>5730</v>
      </c>
      <c r="Q86" t="s">
        <v>34</v>
      </c>
      <c r="R86" t="s">
        <v>7</v>
      </c>
    </row>
    <row r="87" spans="2:18">
      <c r="B87" t="s">
        <v>5994</v>
      </c>
      <c r="E87" t="s">
        <v>3736</v>
      </c>
      <c r="I87" t="s">
        <v>5995</v>
      </c>
      <c r="J87" t="s">
        <v>5986</v>
      </c>
      <c r="K87" t="s">
        <v>5996</v>
      </c>
      <c r="Q87" t="s">
        <v>34</v>
      </c>
      <c r="R87" t="s">
        <v>7</v>
      </c>
    </row>
    <row r="89" spans="2:18">
      <c r="B89" t="s">
        <v>5731</v>
      </c>
      <c r="E89" t="s">
        <v>3736</v>
      </c>
      <c r="I89" t="s">
        <v>5732</v>
      </c>
      <c r="J89" t="s">
        <v>5733</v>
      </c>
      <c r="Q89" t="s">
        <v>15</v>
      </c>
      <c r="R89" t="s">
        <v>7</v>
      </c>
    </row>
    <row r="90" spans="2:18">
      <c r="B90" t="s">
        <v>5997</v>
      </c>
      <c r="E90" t="s">
        <v>3736</v>
      </c>
      <c r="I90" t="s">
        <v>5998</v>
      </c>
      <c r="J90" t="s">
        <v>5999</v>
      </c>
      <c r="Q90" t="s">
        <v>15</v>
      </c>
      <c r="R90" t="s">
        <v>7</v>
      </c>
    </row>
    <row r="91" spans="2:18">
      <c r="B91" t="s">
        <v>5876</v>
      </c>
      <c r="E91" t="s">
        <v>3736</v>
      </c>
      <c r="I91" t="s">
        <v>5877</v>
      </c>
      <c r="J91" t="s">
        <v>6060</v>
      </c>
      <c r="Q91" t="s">
        <v>15</v>
      </c>
      <c r="R91" t="s">
        <v>7</v>
      </c>
    </row>
    <row r="92" spans="2:18">
      <c r="B92" t="s">
        <v>5935</v>
      </c>
      <c r="E92" t="s">
        <v>3736</v>
      </c>
      <c r="I92" t="s">
        <v>5936</v>
      </c>
      <c r="J92" t="s">
        <v>5937</v>
      </c>
      <c r="Q92" t="s">
        <v>15</v>
      </c>
      <c r="R92" t="s">
        <v>7</v>
      </c>
    </row>
    <row r="93" spans="2:18">
      <c r="B93" t="s">
        <v>5814</v>
      </c>
      <c r="E93" t="s">
        <v>3736</v>
      </c>
      <c r="I93" t="s">
        <v>5815</v>
      </c>
      <c r="J93" t="s">
        <v>6059</v>
      </c>
      <c r="Q93" t="s">
        <v>15</v>
      </c>
      <c r="R93" t="s">
        <v>7</v>
      </c>
    </row>
    <row r="94" spans="2:18">
      <c r="B94" t="s">
        <v>5898</v>
      </c>
      <c r="E94" t="s">
        <v>3736</v>
      </c>
      <c r="I94" t="s">
        <v>5899</v>
      </c>
      <c r="J94" t="s">
        <v>6043</v>
      </c>
      <c r="Q94" t="s">
        <v>38</v>
      </c>
      <c r="R94" t="s">
        <v>7</v>
      </c>
    </row>
    <row r="95" spans="2:18">
      <c r="B95" t="s">
        <v>5816</v>
      </c>
      <c r="E95" t="s">
        <v>3736</v>
      </c>
      <c r="I95" t="s">
        <v>5817</v>
      </c>
      <c r="J95" t="s">
        <v>6044</v>
      </c>
      <c r="Q95" t="s">
        <v>38</v>
      </c>
      <c r="R95" t="s">
        <v>7</v>
      </c>
    </row>
    <row r="96" spans="2:18">
      <c r="B96" t="s">
        <v>5958</v>
      </c>
      <c r="E96" t="s">
        <v>3736</v>
      </c>
      <c r="I96" t="s">
        <v>5959</v>
      </c>
      <c r="J96" t="s">
        <v>6042</v>
      </c>
      <c r="Q96" t="s">
        <v>38</v>
      </c>
      <c r="R96" t="s">
        <v>7</v>
      </c>
    </row>
    <row r="97" spans="2:18">
      <c r="B97" t="s">
        <v>5754</v>
      </c>
      <c r="E97" t="s">
        <v>3736</v>
      </c>
      <c r="I97" t="s">
        <v>5755</v>
      </c>
      <c r="J97" t="s">
        <v>6045</v>
      </c>
      <c r="Q97" t="s">
        <v>38</v>
      </c>
      <c r="R97" t="s">
        <v>7</v>
      </c>
    </row>
    <row r="98" spans="2:18">
      <c r="B98" t="s">
        <v>5686</v>
      </c>
      <c r="E98" t="s">
        <v>3736</v>
      </c>
      <c r="I98" t="s">
        <v>5687</v>
      </c>
      <c r="J98" t="s">
        <v>5688</v>
      </c>
      <c r="Q98" t="s">
        <v>38</v>
      </c>
      <c r="R98" t="s">
        <v>7</v>
      </c>
    </row>
    <row r="100" spans="2:18">
      <c r="B100" t="s">
        <v>5763</v>
      </c>
      <c r="E100" t="s">
        <v>3736</v>
      </c>
      <c r="I100" t="s">
        <v>5684</v>
      </c>
      <c r="J100" t="s">
        <v>5764</v>
      </c>
      <c r="K100" t="s">
        <v>5765</v>
      </c>
      <c r="Q100" t="s">
        <v>31</v>
      </c>
      <c r="R100" t="s">
        <v>7</v>
      </c>
    </row>
    <row r="101" spans="2:18">
      <c r="B101" t="s">
        <v>5700</v>
      </c>
      <c r="E101" t="s">
        <v>3736</v>
      </c>
      <c r="I101" t="s">
        <v>5684</v>
      </c>
      <c r="J101" t="s">
        <v>5701</v>
      </c>
      <c r="K101" t="s">
        <v>5702</v>
      </c>
      <c r="Q101" t="s">
        <v>31</v>
      </c>
      <c r="R101" t="s">
        <v>7</v>
      </c>
    </row>
    <row r="102" spans="2:18">
      <c r="B102" t="s">
        <v>5911</v>
      </c>
      <c r="E102" t="s">
        <v>3736</v>
      </c>
      <c r="I102" t="s">
        <v>5684</v>
      </c>
      <c r="J102" t="s">
        <v>5912</v>
      </c>
      <c r="K102" t="s">
        <v>6062</v>
      </c>
      <c r="Q102" t="s">
        <v>31</v>
      </c>
      <c r="R102" t="s">
        <v>7</v>
      </c>
    </row>
    <row r="103" spans="2:18">
      <c r="B103" t="s">
        <v>5971</v>
      </c>
      <c r="E103" t="s">
        <v>3736</v>
      </c>
      <c r="I103" t="s">
        <v>5684</v>
      </c>
      <c r="J103" t="s">
        <v>5972</v>
      </c>
      <c r="K103" t="s">
        <v>5973</v>
      </c>
      <c r="Q103" t="s">
        <v>31</v>
      </c>
      <c r="R103" t="s">
        <v>7</v>
      </c>
    </row>
    <row r="104" spans="2:18">
      <c r="B104" t="s">
        <v>5852</v>
      </c>
      <c r="E104" t="s">
        <v>3736</v>
      </c>
      <c r="I104" t="s">
        <v>5684</v>
      </c>
      <c r="J104" t="s">
        <v>5853</v>
      </c>
      <c r="K104" t="s">
        <v>6061</v>
      </c>
      <c r="Q104" t="s">
        <v>31</v>
      </c>
      <c r="R104" t="s">
        <v>7</v>
      </c>
    </row>
    <row r="106" spans="2:18">
      <c r="B106" t="s">
        <v>5913</v>
      </c>
      <c r="E106" t="s">
        <v>3736</v>
      </c>
      <c r="F106" t="s">
        <v>6024</v>
      </c>
      <c r="I106" t="s">
        <v>6058</v>
      </c>
      <c r="J106" t="s">
        <v>5914</v>
      </c>
      <c r="K106" t="s">
        <v>5915</v>
      </c>
      <c r="Q106" t="s">
        <v>3747</v>
      </c>
      <c r="R106" t="s">
        <v>7</v>
      </c>
    </row>
    <row r="107" spans="2:18">
      <c r="B107" t="s">
        <v>5854</v>
      </c>
      <c r="E107" t="s">
        <v>3736</v>
      </c>
      <c r="F107" t="s">
        <v>6022</v>
      </c>
      <c r="I107" t="s">
        <v>6056</v>
      </c>
      <c r="J107" t="s">
        <v>5855</v>
      </c>
      <c r="K107" t="s">
        <v>5856</v>
      </c>
      <c r="Q107" t="s">
        <v>3747</v>
      </c>
      <c r="R107" t="s">
        <v>7</v>
      </c>
    </row>
    <row r="108" spans="2:18">
      <c r="B108" t="s">
        <v>5703</v>
      </c>
      <c r="E108" t="s">
        <v>3736</v>
      </c>
      <c r="F108" t="s">
        <v>6016</v>
      </c>
      <c r="I108" t="s">
        <v>5704</v>
      </c>
      <c r="J108" t="s">
        <v>5705</v>
      </c>
      <c r="K108" t="s">
        <v>5706</v>
      </c>
      <c r="Q108" t="s">
        <v>3747</v>
      </c>
      <c r="R108" t="s">
        <v>7</v>
      </c>
    </row>
    <row r="109" spans="2:18">
      <c r="B109" t="s">
        <v>5974</v>
      </c>
      <c r="E109" t="s">
        <v>3736</v>
      </c>
      <c r="F109" t="s">
        <v>6025</v>
      </c>
      <c r="I109" t="s">
        <v>6055</v>
      </c>
      <c r="J109" t="s">
        <v>5975</v>
      </c>
      <c r="K109" t="s">
        <v>5976</v>
      </c>
      <c r="Q109" t="s">
        <v>3747</v>
      </c>
      <c r="R109" t="s">
        <v>7</v>
      </c>
    </row>
    <row r="110" spans="2:18">
      <c r="B110" t="s">
        <v>5792</v>
      </c>
      <c r="E110" t="s">
        <v>3736</v>
      </c>
      <c r="F110" t="s">
        <v>6018</v>
      </c>
      <c r="I110" t="s">
        <v>6057</v>
      </c>
      <c r="J110" t="s">
        <v>5793</v>
      </c>
      <c r="K110" t="s">
        <v>5794</v>
      </c>
      <c r="Q110" t="s">
        <v>3747</v>
      </c>
      <c r="R110" t="s">
        <v>7</v>
      </c>
    </row>
    <row r="112" spans="2:18">
      <c r="B112" t="s">
        <v>5780</v>
      </c>
      <c r="E112" t="s">
        <v>3736</v>
      </c>
      <c r="I112" t="s">
        <v>5781</v>
      </c>
      <c r="J112" t="s">
        <v>5717</v>
      </c>
      <c r="K112" t="s">
        <v>5782</v>
      </c>
      <c r="Q112" t="s">
        <v>169</v>
      </c>
      <c r="R112" t="s">
        <v>7</v>
      </c>
    </row>
    <row r="113" spans="2:18">
      <c r="B113" t="s">
        <v>5844</v>
      </c>
      <c r="E113" t="s">
        <v>3736</v>
      </c>
      <c r="I113" t="s">
        <v>5845</v>
      </c>
      <c r="J113" t="s">
        <v>5778</v>
      </c>
      <c r="K113" t="s">
        <v>5846</v>
      </c>
      <c r="Q113" t="s">
        <v>169</v>
      </c>
      <c r="R113" t="s">
        <v>7</v>
      </c>
    </row>
    <row r="114" spans="2:18">
      <c r="B114" t="s">
        <v>5801</v>
      </c>
      <c r="E114" t="s">
        <v>3736</v>
      </c>
      <c r="I114" t="s">
        <v>5802</v>
      </c>
      <c r="J114" t="s">
        <v>5790</v>
      </c>
      <c r="K114" t="s">
        <v>5803</v>
      </c>
      <c r="Q114" t="s">
        <v>169</v>
      </c>
      <c r="R114" t="s">
        <v>7</v>
      </c>
    </row>
    <row r="115" spans="2:18">
      <c r="B115" t="s">
        <v>5720</v>
      </c>
      <c r="E115" t="s">
        <v>3736</v>
      </c>
      <c r="I115" t="s">
        <v>5721</v>
      </c>
      <c r="J115" t="s">
        <v>5722</v>
      </c>
      <c r="K115" t="s">
        <v>5723</v>
      </c>
      <c r="Q115" t="s">
        <v>169</v>
      </c>
      <c r="R115" t="s">
        <v>7</v>
      </c>
    </row>
    <row r="116" spans="2:18">
      <c r="B116" t="s">
        <v>6006</v>
      </c>
      <c r="E116" t="s">
        <v>3736</v>
      </c>
      <c r="I116" t="s">
        <v>6007</v>
      </c>
      <c r="J116" t="s">
        <v>5986</v>
      </c>
      <c r="K116" t="s">
        <v>6008</v>
      </c>
      <c r="Q116" t="s">
        <v>169</v>
      </c>
      <c r="R116" t="s">
        <v>7</v>
      </c>
    </row>
    <row r="126" spans="2:18">
      <c r="B126" t="s">
        <v>5799</v>
      </c>
      <c r="E126" t="s">
        <v>3736</v>
      </c>
      <c r="F126" t="s">
        <v>6015</v>
      </c>
      <c r="I126" t="s">
        <v>5684</v>
      </c>
      <c r="J126" t="s">
        <v>5800</v>
      </c>
      <c r="Q126" t="s">
        <v>17</v>
      </c>
      <c r="R126" t="s">
        <v>7</v>
      </c>
    </row>
    <row r="127" spans="2:18">
      <c r="B127" t="s">
        <v>6002</v>
      </c>
      <c r="E127" t="s">
        <v>3736</v>
      </c>
      <c r="I127" t="s">
        <v>5684</v>
      </c>
      <c r="J127" t="s">
        <v>6036</v>
      </c>
      <c r="Q127" t="s">
        <v>28</v>
      </c>
      <c r="R127" t="s">
        <v>7</v>
      </c>
    </row>
    <row r="128" spans="2:18">
      <c r="B128" t="s">
        <v>5928</v>
      </c>
      <c r="E128" t="s">
        <v>3617</v>
      </c>
      <c r="I128" t="s">
        <v>5684</v>
      </c>
      <c r="J128" t="s">
        <v>5929</v>
      </c>
      <c r="Q128" t="s">
        <v>183</v>
      </c>
      <c r="R128" t="s">
        <v>7</v>
      </c>
    </row>
    <row r="129" spans="2:18">
      <c r="B129" t="s">
        <v>5952</v>
      </c>
      <c r="E129" t="s">
        <v>5677</v>
      </c>
      <c r="I129" t="s">
        <v>5684</v>
      </c>
      <c r="J129" t="s">
        <v>5953</v>
      </c>
      <c r="Q129" t="s">
        <v>49</v>
      </c>
      <c r="R129" t="s">
        <v>7</v>
      </c>
    </row>
    <row r="130" spans="2:18">
      <c r="B130" t="s">
        <v>5752</v>
      </c>
      <c r="E130" t="s">
        <v>3736</v>
      </c>
      <c r="I130" t="s">
        <v>5753</v>
      </c>
      <c r="Q130" t="s">
        <v>18</v>
      </c>
      <c r="R130" t="s">
        <v>7</v>
      </c>
    </row>
    <row r="131" spans="2:18">
      <c r="B131" t="s">
        <v>5956</v>
      </c>
      <c r="E131" t="s">
        <v>3736</v>
      </c>
      <c r="I131" t="s">
        <v>5684</v>
      </c>
      <c r="J131" t="s">
        <v>5957</v>
      </c>
      <c r="Q131" t="s">
        <v>18</v>
      </c>
      <c r="R131" t="s">
        <v>7</v>
      </c>
    </row>
    <row r="132" spans="2:18">
      <c r="B132" t="s">
        <v>5682</v>
      </c>
      <c r="E132" t="s">
        <v>3736</v>
      </c>
      <c r="I132" t="s">
        <v>5683</v>
      </c>
      <c r="J132" t="s">
        <v>5684</v>
      </c>
      <c r="Q132" t="s">
        <v>5685</v>
      </c>
      <c r="R132" t="s">
        <v>7</v>
      </c>
    </row>
    <row r="133" spans="2:18">
      <c r="B133" t="s">
        <v>5696</v>
      </c>
      <c r="E133" t="s">
        <v>3736</v>
      </c>
      <c r="I133" t="s">
        <v>5684</v>
      </c>
      <c r="J133" t="s">
        <v>5697</v>
      </c>
      <c r="K133" t="s">
        <v>6040</v>
      </c>
      <c r="Q133" t="s">
        <v>177</v>
      </c>
      <c r="R133" t="s">
        <v>7</v>
      </c>
    </row>
    <row r="134" spans="2:18">
      <c r="B134" t="s">
        <v>5863</v>
      </c>
      <c r="E134" t="s">
        <v>3736</v>
      </c>
      <c r="I134" t="s">
        <v>5864</v>
      </c>
      <c r="J134" t="s">
        <v>5684</v>
      </c>
      <c r="Q134" t="s">
        <v>5719</v>
      </c>
      <c r="R134" t="s">
        <v>7</v>
      </c>
    </row>
    <row r="135" spans="2:18">
      <c r="B135" t="s">
        <v>5982</v>
      </c>
      <c r="E135" t="s">
        <v>3736</v>
      </c>
      <c r="I135" t="s">
        <v>5983</v>
      </c>
      <c r="J135" t="s">
        <v>5684</v>
      </c>
      <c r="Q135" t="s">
        <v>39</v>
      </c>
      <c r="R135" t="s">
        <v>7</v>
      </c>
    </row>
    <row r="136" spans="2:18">
      <c r="B136" t="s">
        <v>5812</v>
      </c>
      <c r="E136" t="s">
        <v>3736</v>
      </c>
      <c r="I136" t="s">
        <v>5684</v>
      </c>
      <c r="J136" t="s">
        <v>5813</v>
      </c>
      <c r="Q136" t="s">
        <v>34</v>
      </c>
      <c r="R136" t="s">
        <v>7</v>
      </c>
    </row>
    <row r="137" spans="2:18">
      <c r="B137" t="s">
        <v>6003</v>
      </c>
      <c r="E137" t="s">
        <v>3736</v>
      </c>
      <c r="I137" t="s">
        <v>6004</v>
      </c>
      <c r="J137" t="s">
        <v>5684</v>
      </c>
      <c r="K137" t="s">
        <v>6005</v>
      </c>
      <c r="Q137" t="s">
        <v>29</v>
      </c>
      <c r="R137" t="s">
        <v>7</v>
      </c>
    </row>
    <row r="138" spans="2:18">
      <c r="B138" t="s">
        <v>5738</v>
      </c>
      <c r="E138" t="s">
        <v>3736</v>
      </c>
      <c r="F138" t="s">
        <v>6015</v>
      </c>
      <c r="I138" t="s">
        <v>5684</v>
      </c>
      <c r="J138" t="s">
        <v>5739</v>
      </c>
      <c r="Q138" t="s">
        <v>29</v>
      </c>
      <c r="R138" t="s">
        <v>7</v>
      </c>
    </row>
    <row r="139" spans="2:18">
      <c r="B139" t="s">
        <v>5992</v>
      </c>
      <c r="E139" t="s">
        <v>3736</v>
      </c>
      <c r="I139" t="s">
        <v>5684</v>
      </c>
      <c r="J139" t="s">
        <v>5993</v>
      </c>
      <c r="Q139" t="s">
        <v>45</v>
      </c>
      <c r="R139" t="s">
        <v>7</v>
      </c>
    </row>
    <row r="140" spans="2:18">
      <c r="B140" t="s">
        <v>5903</v>
      </c>
      <c r="E140" t="s">
        <v>3736</v>
      </c>
      <c r="I140" t="s">
        <v>5904</v>
      </c>
      <c r="J140" t="s">
        <v>5684</v>
      </c>
      <c r="K140" t="s">
        <v>6041</v>
      </c>
      <c r="Q140" t="s">
        <v>30</v>
      </c>
      <c r="R140" t="s">
        <v>7</v>
      </c>
    </row>
    <row r="141" spans="2:18">
      <c r="B141" t="s">
        <v>5963</v>
      </c>
      <c r="E141" t="s">
        <v>3736</v>
      </c>
      <c r="I141" t="s">
        <v>5684</v>
      </c>
      <c r="J141" t="s">
        <v>5964</v>
      </c>
      <c r="Q141" t="s">
        <v>30</v>
      </c>
      <c r="R141" t="s">
        <v>7</v>
      </c>
    </row>
    <row r="142" spans="2:18">
      <c r="B142" t="s">
        <v>5861</v>
      </c>
      <c r="E142" t="s">
        <v>3736</v>
      </c>
      <c r="I142" t="s">
        <v>5684</v>
      </c>
      <c r="J142" t="s">
        <v>5862</v>
      </c>
      <c r="Q142" t="s">
        <v>26</v>
      </c>
      <c r="R142" t="s">
        <v>7</v>
      </c>
    </row>
    <row r="143" spans="2:18">
      <c r="B143" t="s">
        <v>5920</v>
      </c>
      <c r="E143" t="s">
        <v>3736</v>
      </c>
      <c r="I143" t="s">
        <v>5921</v>
      </c>
      <c r="J143" t="s">
        <v>5684</v>
      </c>
      <c r="K143" t="s">
        <v>5922</v>
      </c>
      <c r="Q143" t="s">
        <v>26</v>
      </c>
      <c r="R143" t="s">
        <v>7</v>
      </c>
    </row>
    <row r="144" spans="2:18">
      <c r="B144" t="s">
        <v>5836</v>
      </c>
      <c r="E144" t="s">
        <v>3736</v>
      </c>
      <c r="I144" t="s">
        <v>5684</v>
      </c>
      <c r="J144" t="s">
        <v>5837</v>
      </c>
      <c r="Q144" t="s">
        <v>38</v>
      </c>
      <c r="R144" t="s">
        <v>7</v>
      </c>
    </row>
    <row r="145" spans="2:18">
      <c r="B145" t="s">
        <v>6000</v>
      </c>
      <c r="E145" t="s">
        <v>3736</v>
      </c>
      <c r="I145" t="s">
        <v>5684</v>
      </c>
      <c r="J145" t="s">
        <v>6001</v>
      </c>
      <c r="Q145" t="s">
        <v>174</v>
      </c>
      <c r="R145" t="s">
        <v>7</v>
      </c>
    </row>
    <row r="146" spans="2:18">
      <c r="B146" t="s">
        <v>5751</v>
      </c>
      <c r="E146" t="s">
        <v>3736</v>
      </c>
      <c r="I146" t="s">
        <v>5684</v>
      </c>
      <c r="J146" t="s">
        <v>6046</v>
      </c>
      <c r="Q146" t="s">
        <v>180</v>
      </c>
      <c r="R146" t="s">
        <v>7</v>
      </c>
    </row>
    <row r="147" spans="2:18">
      <c r="B147" t="s">
        <v>5878</v>
      </c>
      <c r="E147" t="s">
        <v>3736</v>
      </c>
      <c r="I147" t="s">
        <v>5684</v>
      </c>
      <c r="J147" t="s">
        <v>5879</v>
      </c>
      <c r="Q147" t="s">
        <v>180</v>
      </c>
      <c r="R147" t="s">
        <v>7</v>
      </c>
    </row>
    <row r="148" spans="2:18">
      <c r="B148" t="s">
        <v>5967</v>
      </c>
      <c r="E148" t="s">
        <v>5968</v>
      </c>
      <c r="I148" t="s">
        <v>1989</v>
      </c>
      <c r="J148" t="s">
        <v>5684</v>
      </c>
      <c r="Q148" t="s">
        <v>172</v>
      </c>
      <c r="R148" t="s">
        <v>7</v>
      </c>
    </row>
    <row r="149" spans="2:18">
      <c r="B149" t="s">
        <v>5938</v>
      </c>
      <c r="E149" t="s">
        <v>3736</v>
      </c>
      <c r="I149" t="s">
        <v>5684</v>
      </c>
      <c r="J149" t="s">
        <v>5939</v>
      </c>
      <c r="Q149" t="s">
        <v>48</v>
      </c>
      <c r="R149" t="s">
        <v>7</v>
      </c>
    </row>
    <row r="150" spans="2:18">
      <c r="B150" t="s">
        <v>5710</v>
      </c>
      <c r="E150" t="s">
        <v>3736</v>
      </c>
      <c r="I150" t="s">
        <v>5684</v>
      </c>
      <c r="J150" t="s">
        <v>5711</v>
      </c>
      <c r="K150" t="s">
        <v>6047</v>
      </c>
      <c r="Q150" t="s">
        <v>48</v>
      </c>
      <c r="R150" t="s">
        <v>7</v>
      </c>
    </row>
    <row r="151" spans="2:18">
      <c r="B151" t="s">
        <v>5771</v>
      </c>
      <c r="E151" t="s">
        <v>3736</v>
      </c>
      <c r="I151" t="s">
        <v>5684</v>
      </c>
      <c r="J151" t="s">
        <v>5772</v>
      </c>
      <c r="Q151" t="s">
        <v>48</v>
      </c>
      <c r="R151" t="s">
        <v>7</v>
      </c>
    </row>
    <row r="152" spans="2:18">
      <c r="B152" t="s">
        <v>5694</v>
      </c>
      <c r="E152" t="s">
        <v>3736</v>
      </c>
      <c r="I152" t="s">
        <v>5684</v>
      </c>
      <c r="J152" t="s">
        <v>5695</v>
      </c>
      <c r="Q152" t="s">
        <v>168</v>
      </c>
      <c r="R152" t="s">
        <v>7</v>
      </c>
    </row>
    <row r="153" spans="2:18">
      <c r="B153" t="s">
        <v>5740</v>
      </c>
      <c r="E153" t="s">
        <v>3736</v>
      </c>
      <c r="I153" t="s">
        <v>5684</v>
      </c>
      <c r="J153" t="s">
        <v>5741</v>
      </c>
      <c r="Q153" t="s">
        <v>168</v>
      </c>
      <c r="R153" t="s">
        <v>7</v>
      </c>
    </row>
    <row r="154" spans="2:18">
      <c r="B154" t="s">
        <v>5795</v>
      </c>
      <c r="E154" t="s">
        <v>3736</v>
      </c>
      <c r="I154" t="s">
        <v>5684</v>
      </c>
      <c r="J154" t="s">
        <v>5796</v>
      </c>
      <c r="Q154" t="s">
        <v>184</v>
      </c>
      <c r="R154" t="s">
        <v>7</v>
      </c>
    </row>
    <row r="155" spans="2:18">
      <c r="B155" t="s">
        <v>5734</v>
      </c>
      <c r="E155" t="s">
        <v>3736</v>
      </c>
      <c r="I155" t="s">
        <v>5684</v>
      </c>
      <c r="J155" t="s">
        <v>5735</v>
      </c>
      <c r="Q155" t="s">
        <v>606</v>
      </c>
      <c r="R155" t="s">
        <v>7</v>
      </c>
    </row>
    <row r="156" spans="2:18">
      <c r="B156" t="s">
        <v>5885</v>
      </c>
      <c r="E156" t="s">
        <v>3736</v>
      </c>
      <c r="F156" t="s">
        <v>6023</v>
      </c>
      <c r="I156" t="s">
        <v>6052</v>
      </c>
      <c r="Q156" t="s">
        <v>171</v>
      </c>
      <c r="R156" t="s">
        <v>7</v>
      </c>
    </row>
    <row r="157" spans="2:18">
      <c r="B157" t="s">
        <v>5760</v>
      </c>
      <c r="E157" t="s">
        <v>3736</v>
      </c>
      <c r="F157" t="s">
        <v>6017</v>
      </c>
      <c r="I157" t="s">
        <v>6053</v>
      </c>
      <c r="Q157" t="s">
        <v>171</v>
      </c>
      <c r="R157" t="s">
        <v>7</v>
      </c>
    </row>
    <row r="158" spans="2:18">
      <c r="B158" t="s">
        <v>5823</v>
      </c>
      <c r="E158" t="s">
        <v>3736</v>
      </c>
      <c r="F158" t="s">
        <v>6019</v>
      </c>
      <c r="G158" t="s">
        <v>6020</v>
      </c>
      <c r="I158" t="s">
        <v>6054</v>
      </c>
      <c r="Q158" t="s">
        <v>171</v>
      </c>
      <c r="R158" t="s">
        <v>7</v>
      </c>
    </row>
    <row r="159" spans="2:18">
      <c r="B159" t="s">
        <v>5988</v>
      </c>
      <c r="E159" t="s">
        <v>3736</v>
      </c>
      <c r="I159" t="s">
        <v>5684</v>
      </c>
      <c r="J159" t="s">
        <v>5989</v>
      </c>
      <c r="Q159" t="s">
        <v>169</v>
      </c>
      <c r="R159" t="s">
        <v>7</v>
      </c>
    </row>
    <row r="160" spans="2:18">
      <c r="B160" t="s">
        <v>5829</v>
      </c>
      <c r="E160" t="s">
        <v>3736</v>
      </c>
      <c r="F160" t="s">
        <v>6021</v>
      </c>
      <c r="I160" t="s">
        <v>5684</v>
      </c>
      <c r="J160" t="s">
        <v>5830</v>
      </c>
      <c r="Q160" t="s">
        <v>31</v>
      </c>
      <c r="R160" t="s">
        <v>7</v>
      </c>
    </row>
    <row r="161" spans="2:18">
      <c r="B161" t="s">
        <v>5916</v>
      </c>
      <c r="E161" t="s">
        <v>3736</v>
      </c>
      <c r="I161" t="s">
        <v>5684</v>
      </c>
      <c r="J161" t="s">
        <v>5917</v>
      </c>
      <c r="Q161" t="s">
        <v>604</v>
      </c>
      <c r="R161" t="s">
        <v>7</v>
      </c>
    </row>
    <row r="162" spans="2:18">
      <c r="B162" t="s">
        <v>5857</v>
      </c>
      <c r="E162" t="s">
        <v>3736</v>
      </c>
      <c r="I162" t="s">
        <v>5684</v>
      </c>
      <c r="J162" t="s">
        <v>5858</v>
      </c>
      <c r="Q162" t="s">
        <v>604</v>
      </c>
      <c r="R162" t="s">
        <v>7</v>
      </c>
    </row>
  </sheetData>
  <sortState ref="B22:R156">
    <sortCondition ref="Q22:Q156"/>
    <sortCondition ref="B22:B156"/>
    <sortCondition ref="F22:F156"/>
  </sortState>
  <phoneticPr fontId="1"/>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2:F296"/>
  <sheetViews>
    <sheetView topLeftCell="A2" workbookViewId="0">
      <selection activeCell="C3" sqref="C3"/>
    </sheetView>
  </sheetViews>
  <sheetFormatPr defaultRowHeight="13.5"/>
  <cols>
    <col min="1" max="1" width="2.875" bestFit="1" customWidth="1"/>
    <col min="2" max="2" width="4.5" bestFit="1" customWidth="1"/>
    <col min="3" max="3" width="25.75" bestFit="1" customWidth="1"/>
    <col min="4" max="4" width="26.375" bestFit="1" customWidth="1"/>
    <col min="5" max="5" width="26.375" customWidth="1"/>
    <col min="6" max="6" width="10.625" bestFit="1" customWidth="1"/>
  </cols>
  <sheetData>
    <row r="2" spans="1:6">
      <c r="C2" t="s">
        <v>13314</v>
      </c>
      <c r="D2" t="s">
        <v>3159</v>
      </c>
    </row>
    <row r="3" spans="1:6">
      <c r="A3" t="s">
        <v>1363</v>
      </c>
      <c r="B3">
        <v>29</v>
      </c>
      <c r="C3" t="s">
        <v>2281</v>
      </c>
      <c r="D3" t="s">
        <v>35</v>
      </c>
      <c r="F3" t="s">
        <v>7</v>
      </c>
    </row>
    <row r="4" spans="1:6">
      <c r="A4" t="s">
        <v>1363</v>
      </c>
      <c r="B4">
        <v>62</v>
      </c>
      <c r="C4" t="s">
        <v>2634</v>
      </c>
      <c r="D4" t="s">
        <v>35</v>
      </c>
      <c r="F4" t="s">
        <v>7</v>
      </c>
    </row>
    <row r="5" spans="1:6">
      <c r="A5" t="s">
        <v>13434</v>
      </c>
      <c r="B5">
        <v>162</v>
      </c>
      <c r="C5" t="s">
        <v>2651</v>
      </c>
      <c r="D5" t="s">
        <v>35</v>
      </c>
      <c r="F5" t="s">
        <v>7</v>
      </c>
    </row>
    <row r="6" spans="1:6">
      <c r="A6" t="s">
        <v>13434</v>
      </c>
      <c r="B6">
        <v>169</v>
      </c>
      <c r="C6" t="s">
        <v>11263</v>
      </c>
      <c r="D6" t="s">
        <v>35</v>
      </c>
      <c r="F6" t="s">
        <v>7</v>
      </c>
    </row>
    <row r="7" spans="1:6">
      <c r="A7" t="s">
        <v>13435</v>
      </c>
      <c r="B7">
        <v>222</v>
      </c>
      <c r="C7" t="s">
        <v>8511</v>
      </c>
      <c r="D7" t="s">
        <v>35</v>
      </c>
      <c r="F7" t="s">
        <v>9</v>
      </c>
    </row>
    <row r="8" spans="1:6">
      <c r="A8" t="s">
        <v>13435</v>
      </c>
      <c r="B8">
        <v>226</v>
      </c>
      <c r="C8" t="s">
        <v>2468</v>
      </c>
      <c r="D8" t="s">
        <v>35</v>
      </c>
      <c r="F8" t="s">
        <v>9</v>
      </c>
    </row>
    <row r="9" spans="1:6">
      <c r="A9" t="s">
        <v>13434</v>
      </c>
      <c r="B9">
        <v>190</v>
      </c>
      <c r="C9" t="s">
        <v>4459</v>
      </c>
      <c r="D9" t="s">
        <v>1776</v>
      </c>
      <c r="F9" t="s">
        <v>7</v>
      </c>
    </row>
    <row r="10" spans="1:6">
      <c r="A10" t="s">
        <v>13434</v>
      </c>
      <c r="B10">
        <v>191</v>
      </c>
      <c r="C10" t="s">
        <v>2948</v>
      </c>
      <c r="D10" t="s">
        <v>1776</v>
      </c>
      <c r="F10" t="s">
        <v>7</v>
      </c>
    </row>
    <row r="11" spans="1:6">
      <c r="A11" t="s">
        <v>13435</v>
      </c>
      <c r="B11">
        <v>264</v>
      </c>
      <c r="C11" t="s">
        <v>4571</v>
      </c>
      <c r="D11" t="s">
        <v>1776</v>
      </c>
      <c r="F11" t="s">
        <v>9</v>
      </c>
    </row>
    <row r="12" spans="1:6">
      <c r="A12" t="s">
        <v>1363</v>
      </c>
      <c r="B12">
        <v>51</v>
      </c>
      <c r="C12" t="s">
        <v>13437</v>
      </c>
      <c r="D12" t="s">
        <v>17</v>
      </c>
      <c r="F12" t="s">
        <v>4</v>
      </c>
    </row>
    <row r="13" spans="1:6">
      <c r="A13" t="s">
        <v>1363</v>
      </c>
      <c r="B13">
        <v>73</v>
      </c>
      <c r="C13" t="s">
        <v>10876</v>
      </c>
      <c r="D13" t="s">
        <v>17</v>
      </c>
      <c r="F13" t="s">
        <v>4</v>
      </c>
    </row>
    <row r="14" spans="1:6">
      <c r="A14" t="s">
        <v>1363</v>
      </c>
      <c r="B14">
        <v>102</v>
      </c>
      <c r="C14" t="s">
        <v>2953</v>
      </c>
      <c r="D14" t="s">
        <v>17</v>
      </c>
      <c r="F14" t="s">
        <v>7</v>
      </c>
    </row>
    <row r="15" spans="1:6">
      <c r="A15" t="s">
        <v>1363</v>
      </c>
      <c r="B15">
        <v>16</v>
      </c>
      <c r="C15" t="s">
        <v>5391</v>
      </c>
      <c r="D15" t="s">
        <v>52</v>
      </c>
      <c r="F15" t="s">
        <v>7</v>
      </c>
    </row>
    <row r="16" spans="1:6">
      <c r="A16" t="s">
        <v>1363</v>
      </c>
      <c r="B16">
        <v>26</v>
      </c>
      <c r="C16" t="s">
        <v>2214</v>
      </c>
      <c r="D16" t="s">
        <v>52</v>
      </c>
      <c r="F16" t="s">
        <v>4</v>
      </c>
    </row>
    <row r="17" spans="1:6">
      <c r="A17" t="s">
        <v>1363</v>
      </c>
      <c r="B17">
        <v>58</v>
      </c>
      <c r="C17" t="s">
        <v>2606</v>
      </c>
      <c r="D17" t="s">
        <v>52</v>
      </c>
      <c r="F17" t="s">
        <v>7</v>
      </c>
    </row>
    <row r="18" spans="1:6">
      <c r="A18" t="s">
        <v>1363</v>
      </c>
      <c r="B18">
        <v>86</v>
      </c>
      <c r="C18" t="s">
        <v>2783</v>
      </c>
      <c r="D18" t="s">
        <v>52</v>
      </c>
      <c r="F18" t="s">
        <v>4</v>
      </c>
    </row>
    <row r="19" spans="1:6">
      <c r="A19" t="s">
        <v>13434</v>
      </c>
      <c r="B19">
        <v>132</v>
      </c>
      <c r="C19" t="s">
        <v>2299</v>
      </c>
      <c r="D19" t="s">
        <v>52</v>
      </c>
      <c r="F19" t="s">
        <v>9</v>
      </c>
    </row>
    <row r="20" spans="1:6">
      <c r="A20" t="s">
        <v>13434</v>
      </c>
      <c r="B20">
        <v>141</v>
      </c>
      <c r="C20" t="s">
        <v>3431</v>
      </c>
      <c r="D20" t="s">
        <v>52</v>
      </c>
      <c r="F20" t="s">
        <v>7</v>
      </c>
    </row>
    <row r="21" spans="1:6">
      <c r="A21" t="s">
        <v>13434</v>
      </c>
      <c r="B21">
        <v>151</v>
      </c>
      <c r="C21" t="s">
        <v>3429</v>
      </c>
      <c r="D21" t="s">
        <v>52</v>
      </c>
      <c r="F21" t="s">
        <v>7</v>
      </c>
    </row>
    <row r="22" spans="1:6">
      <c r="A22" t="s">
        <v>13434</v>
      </c>
      <c r="B22">
        <v>159</v>
      </c>
      <c r="C22" t="s">
        <v>2640</v>
      </c>
      <c r="D22" t="s">
        <v>52</v>
      </c>
      <c r="F22" t="s">
        <v>7</v>
      </c>
    </row>
    <row r="23" spans="1:6">
      <c r="A23" t="s">
        <v>13434</v>
      </c>
      <c r="B23">
        <v>170</v>
      </c>
      <c r="C23" t="s">
        <v>3433</v>
      </c>
      <c r="D23" t="s">
        <v>52</v>
      </c>
      <c r="F23" t="s">
        <v>7</v>
      </c>
    </row>
    <row r="24" spans="1:6">
      <c r="A24" t="s">
        <v>1366</v>
      </c>
      <c r="B24">
        <v>273</v>
      </c>
      <c r="C24" t="s">
        <v>6989</v>
      </c>
      <c r="D24" t="s">
        <v>52</v>
      </c>
      <c r="F24" t="s">
        <v>41</v>
      </c>
    </row>
    <row r="25" spans="1:6">
      <c r="A25" t="s">
        <v>1363</v>
      </c>
      <c r="B25">
        <v>85</v>
      </c>
      <c r="C25" t="s">
        <v>2832</v>
      </c>
      <c r="D25" t="s">
        <v>28</v>
      </c>
      <c r="F25" t="s">
        <v>7</v>
      </c>
    </row>
    <row r="26" spans="1:6">
      <c r="A26" t="s">
        <v>13434</v>
      </c>
      <c r="B26">
        <v>186</v>
      </c>
      <c r="C26" t="s">
        <v>4151</v>
      </c>
      <c r="D26" t="s">
        <v>28</v>
      </c>
      <c r="F26" t="s">
        <v>7</v>
      </c>
    </row>
    <row r="27" spans="1:6">
      <c r="A27" t="s">
        <v>13435</v>
      </c>
      <c r="B27">
        <v>219</v>
      </c>
      <c r="C27" t="s">
        <v>8652</v>
      </c>
      <c r="D27" t="s">
        <v>28</v>
      </c>
      <c r="F27" t="s">
        <v>9</v>
      </c>
    </row>
    <row r="28" spans="1:6">
      <c r="A28" t="s">
        <v>1363</v>
      </c>
      <c r="B28">
        <v>1</v>
      </c>
      <c r="C28" t="s">
        <v>343</v>
      </c>
      <c r="D28" t="s">
        <v>40</v>
      </c>
      <c r="F28" t="s">
        <v>4</v>
      </c>
    </row>
    <row r="29" spans="1:6">
      <c r="A29" t="s">
        <v>1363</v>
      </c>
      <c r="B29">
        <v>84</v>
      </c>
      <c r="C29" t="s">
        <v>2775</v>
      </c>
      <c r="D29" t="s">
        <v>40</v>
      </c>
      <c r="F29" t="s">
        <v>4</v>
      </c>
    </row>
    <row r="30" spans="1:6">
      <c r="A30" t="s">
        <v>13434</v>
      </c>
      <c r="B30">
        <v>181</v>
      </c>
      <c r="C30" t="s">
        <v>12707</v>
      </c>
      <c r="D30" t="s">
        <v>40</v>
      </c>
      <c r="F30" s="102" t="s">
        <v>7</v>
      </c>
    </row>
    <row r="31" spans="1:6">
      <c r="A31" t="s">
        <v>13435</v>
      </c>
      <c r="B31">
        <v>253</v>
      </c>
      <c r="C31" t="s">
        <v>12966</v>
      </c>
      <c r="D31" t="s">
        <v>40</v>
      </c>
      <c r="F31" t="s">
        <v>9</v>
      </c>
    </row>
    <row r="32" spans="1:6">
      <c r="A32" t="s">
        <v>13434</v>
      </c>
      <c r="B32">
        <v>193</v>
      </c>
      <c r="C32" t="s">
        <v>2954</v>
      </c>
      <c r="D32" t="s">
        <v>49</v>
      </c>
      <c r="F32" t="s">
        <v>7</v>
      </c>
    </row>
    <row r="33" spans="1:6">
      <c r="A33" t="s">
        <v>1363</v>
      </c>
      <c r="B33">
        <v>104</v>
      </c>
      <c r="C33" t="s">
        <v>3742</v>
      </c>
      <c r="D33" t="s">
        <v>18</v>
      </c>
      <c r="F33" t="s">
        <v>4</v>
      </c>
    </row>
    <row r="34" spans="1:6">
      <c r="A34" t="s">
        <v>1363</v>
      </c>
      <c r="B34">
        <v>112</v>
      </c>
      <c r="C34" t="s">
        <v>3738</v>
      </c>
      <c r="D34" t="s">
        <v>18</v>
      </c>
      <c r="F34" t="s">
        <v>4</v>
      </c>
    </row>
    <row r="35" spans="1:6">
      <c r="A35" t="s">
        <v>13434</v>
      </c>
      <c r="B35">
        <v>135</v>
      </c>
      <c r="C35" t="s">
        <v>2316</v>
      </c>
      <c r="D35" t="s">
        <v>18</v>
      </c>
      <c r="F35" t="s">
        <v>9</v>
      </c>
    </row>
    <row r="36" spans="1:6">
      <c r="A36" t="s">
        <v>13435</v>
      </c>
      <c r="B36">
        <v>270</v>
      </c>
      <c r="C36" t="s">
        <v>3718</v>
      </c>
      <c r="D36" t="s">
        <v>4793</v>
      </c>
      <c r="F36" t="s">
        <v>9</v>
      </c>
    </row>
    <row r="37" spans="1:6">
      <c r="A37" t="s">
        <v>13435</v>
      </c>
      <c r="B37">
        <v>271</v>
      </c>
      <c r="C37" t="s">
        <v>3720</v>
      </c>
      <c r="D37" t="s">
        <v>4793</v>
      </c>
      <c r="F37" t="s">
        <v>9</v>
      </c>
    </row>
    <row r="38" spans="1:6">
      <c r="A38" t="s">
        <v>13435</v>
      </c>
      <c r="B38">
        <v>272</v>
      </c>
      <c r="C38" t="s">
        <v>3716</v>
      </c>
      <c r="D38" t="s">
        <v>4793</v>
      </c>
      <c r="F38" t="s">
        <v>9</v>
      </c>
    </row>
    <row r="39" spans="1:6">
      <c r="A39" t="s">
        <v>1363</v>
      </c>
      <c r="B39">
        <v>11</v>
      </c>
      <c r="C39" t="s">
        <v>4057</v>
      </c>
      <c r="D39" t="s">
        <v>4056</v>
      </c>
      <c r="F39" t="s">
        <v>7</v>
      </c>
    </row>
    <row r="40" spans="1:6">
      <c r="A40" t="s">
        <v>1363</v>
      </c>
      <c r="B40">
        <v>28</v>
      </c>
      <c r="C40" t="s">
        <v>4060</v>
      </c>
      <c r="D40" t="s">
        <v>4056</v>
      </c>
      <c r="F40" t="s">
        <v>4</v>
      </c>
    </row>
    <row r="41" spans="1:6">
      <c r="A41" t="s">
        <v>1363</v>
      </c>
      <c r="B41">
        <v>49</v>
      </c>
      <c r="C41" t="s">
        <v>3632</v>
      </c>
      <c r="D41" t="s">
        <v>4056</v>
      </c>
      <c r="F41" t="s">
        <v>4</v>
      </c>
    </row>
    <row r="42" spans="1:6">
      <c r="A42" t="s">
        <v>1363</v>
      </c>
      <c r="B42">
        <v>71</v>
      </c>
      <c r="C42" t="s">
        <v>3634</v>
      </c>
      <c r="D42" t="s">
        <v>13448</v>
      </c>
    </row>
    <row r="43" spans="1:6">
      <c r="A43" t="s">
        <v>1366</v>
      </c>
      <c r="B43">
        <v>294</v>
      </c>
      <c r="C43" t="s">
        <v>3730</v>
      </c>
      <c r="D43" t="s">
        <v>4056</v>
      </c>
      <c r="F43" t="s">
        <v>41</v>
      </c>
    </row>
    <row r="44" spans="1:6">
      <c r="A44" t="s">
        <v>13434</v>
      </c>
      <c r="B44">
        <v>140</v>
      </c>
      <c r="C44" t="s">
        <v>7763</v>
      </c>
      <c r="D44" s="102" t="s">
        <v>5685</v>
      </c>
      <c r="E44" s="102"/>
      <c r="F44" s="102" t="s">
        <v>7</v>
      </c>
    </row>
    <row r="45" spans="1:6">
      <c r="A45" t="s">
        <v>13434</v>
      </c>
      <c r="B45">
        <v>153</v>
      </c>
      <c r="C45" t="s">
        <v>13447</v>
      </c>
      <c r="D45" s="1" t="s">
        <v>5685</v>
      </c>
      <c r="E45" s="1"/>
      <c r="F45" s="1" t="s">
        <v>7</v>
      </c>
    </row>
    <row r="46" spans="1:6">
      <c r="A46" t="s">
        <v>13435</v>
      </c>
      <c r="B46">
        <v>241</v>
      </c>
      <c r="C46" t="s">
        <v>11689</v>
      </c>
      <c r="D46" t="s">
        <v>5685</v>
      </c>
      <c r="F46" t="s">
        <v>9</v>
      </c>
    </row>
    <row r="47" spans="1:6">
      <c r="A47" t="s">
        <v>1363</v>
      </c>
      <c r="B47">
        <v>64</v>
      </c>
      <c r="C47" t="s">
        <v>2658</v>
      </c>
      <c r="D47" t="s">
        <v>44</v>
      </c>
      <c r="F47" t="s">
        <v>7</v>
      </c>
    </row>
    <row r="48" spans="1:6">
      <c r="A48" t="s">
        <v>1363</v>
      </c>
      <c r="B48">
        <v>65</v>
      </c>
      <c r="C48" t="s">
        <v>2659</v>
      </c>
      <c r="D48" t="s">
        <v>44</v>
      </c>
      <c r="F48" t="s">
        <v>7</v>
      </c>
    </row>
    <row r="49" spans="1:6">
      <c r="A49" t="s">
        <v>1363</v>
      </c>
      <c r="B49">
        <v>81</v>
      </c>
      <c r="C49" t="s">
        <v>2825</v>
      </c>
      <c r="D49" t="s">
        <v>44</v>
      </c>
      <c r="F49" t="s">
        <v>7</v>
      </c>
    </row>
    <row r="50" spans="1:6">
      <c r="A50" t="s">
        <v>1363</v>
      </c>
      <c r="B50">
        <v>82</v>
      </c>
      <c r="C50" t="s">
        <v>2826</v>
      </c>
      <c r="D50" t="s">
        <v>44</v>
      </c>
      <c r="F50" t="s">
        <v>7</v>
      </c>
    </row>
    <row r="51" spans="1:6">
      <c r="A51" t="s">
        <v>13434</v>
      </c>
      <c r="B51">
        <v>144</v>
      </c>
      <c r="C51" t="s">
        <v>2423</v>
      </c>
      <c r="D51" t="s">
        <v>44</v>
      </c>
      <c r="F51" t="s">
        <v>7</v>
      </c>
    </row>
    <row r="52" spans="1:6">
      <c r="A52" t="s">
        <v>13435</v>
      </c>
      <c r="B52">
        <v>238</v>
      </c>
      <c r="C52" t="s">
        <v>2697</v>
      </c>
      <c r="D52" t="s">
        <v>44</v>
      </c>
      <c r="F52" t="s">
        <v>9</v>
      </c>
    </row>
    <row r="53" spans="1:6">
      <c r="A53" t="s">
        <v>13435</v>
      </c>
      <c r="B53">
        <v>239</v>
      </c>
      <c r="C53" t="s">
        <v>2698</v>
      </c>
      <c r="D53" t="s">
        <v>44</v>
      </c>
      <c r="F53" t="s">
        <v>9</v>
      </c>
    </row>
    <row r="54" spans="1:6">
      <c r="A54" t="s">
        <v>1366</v>
      </c>
      <c r="B54">
        <v>291</v>
      </c>
      <c r="C54" t="s">
        <v>3036</v>
      </c>
      <c r="D54" t="s">
        <v>44</v>
      </c>
      <c r="F54" t="s">
        <v>41</v>
      </c>
    </row>
    <row r="55" spans="1:6">
      <c r="A55" t="s">
        <v>1366</v>
      </c>
      <c r="B55">
        <v>292</v>
      </c>
      <c r="C55" t="s">
        <v>3037</v>
      </c>
      <c r="D55" t="s">
        <v>44</v>
      </c>
      <c r="F55" t="s">
        <v>41</v>
      </c>
    </row>
    <row r="56" spans="1:6">
      <c r="A56" t="s">
        <v>1363</v>
      </c>
      <c r="B56">
        <v>6</v>
      </c>
      <c r="C56" t="s">
        <v>434</v>
      </c>
      <c r="D56" t="s">
        <v>10</v>
      </c>
      <c r="F56" t="s">
        <v>4</v>
      </c>
    </row>
    <row r="57" spans="1:6">
      <c r="A57" t="s">
        <v>1363</v>
      </c>
      <c r="B57">
        <v>93</v>
      </c>
      <c r="C57" t="s">
        <v>2900</v>
      </c>
      <c r="D57" t="s">
        <v>10</v>
      </c>
      <c r="F57" t="s">
        <v>4</v>
      </c>
    </row>
    <row r="58" spans="1:6">
      <c r="A58" t="s">
        <v>1363</v>
      </c>
      <c r="B58">
        <v>98</v>
      </c>
      <c r="C58" t="s">
        <v>4426</v>
      </c>
      <c r="D58" t="s">
        <v>10</v>
      </c>
      <c r="F58" t="s">
        <v>7</v>
      </c>
    </row>
    <row r="59" spans="1:6">
      <c r="A59" t="s">
        <v>13434</v>
      </c>
      <c r="B59">
        <v>189</v>
      </c>
      <c r="C59" t="s">
        <v>3002</v>
      </c>
      <c r="D59" t="s">
        <v>10</v>
      </c>
      <c r="F59" t="s">
        <v>9</v>
      </c>
    </row>
    <row r="60" spans="1:6">
      <c r="A60" t="s">
        <v>1363</v>
      </c>
      <c r="B60">
        <v>15</v>
      </c>
      <c r="C60" t="s">
        <v>6376</v>
      </c>
      <c r="D60" t="s">
        <v>16</v>
      </c>
      <c r="F60" t="s">
        <v>4</v>
      </c>
    </row>
    <row r="61" spans="1:6">
      <c r="A61" t="s">
        <v>13435</v>
      </c>
      <c r="B61">
        <v>261</v>
      </c>
      <c r="C61" t="s">
        <v>3003</v>
      </c>
      <c r="D61" t="s">
        <v>16</v>
      </c>
      <c r="F61" t="s">
        <v>9</v>
      </c>
    </row>
    <row r="62" spans="1:6">
      <c r="A62" t="s">
        <v>1363</v>
      </c>
      <c r="B62">
        <v>7</v>
      </c>
      <c r="C62" t="s">
        <v>2075</v>
      </c>
      <c r="D62" t="s">
        <v>32</v>
      </c>
      <c r="F62" t="s">
        <v>9</v>
      </c>
    </row>
    <row r="63" spans="1:6">
      <c r="A63" t="s">
        <v>1363</v>
      </c>
      <c r="B63">
        <v>40</v>
      </c>
      <c r="C63" t="s">
        <v>2465</v>
      </c>
      <c r="D63" t="s">
        <v>32</v>
      </c>
      <c r="F63" t="s">
        <v>9</v>
      </c>
    </row>
    <row r="64" spans="1:6">
      <c r="A64" t="s">
        <v>1363</v>
      </c>
      <c r="B64">
        <v>55</v>
      </c>
      <c r="C64" t="s">
        <v>2503</v>
      </c>
      <c r="D64" t="s">
        <v>32</v>
      </c>
      <c r="F64" t="s">
        <v>4</v>
      </c>
    </row>
    <row r="65" spans="1:6">
      <c r="A65" t="s">
        <v>1363</v>
      </c>
      <c r="B65">
        <v>76</v>
      </c>
      <c r="C65" t="s">
        <v>2737</v>
      </c>
      <c r="D65" t="s">
        <v>32</v>
      </c>
      <c r="F65" t="s">
        <v>4</v>
      </c>
    </row>
    <row r="66" spans="1:6">
      <c r="A66" t="s">
        <v>13435</v>
      </c>
      <c r="B66">
        <v>260</v>
      </c>
      <c r="C66" t="s">
        <v>4346</v>
      </c>
      <c r="D66" t="s">
        <v>32</v>
      </c>
      <c r="F66" t="s">
        <v>9</v>
      </c>
    </row>
    <row r="67" spans="1:6">
      <c r="A67" t="s">
        <v>1363</v>
      </c>
      <c r="B67">
        <v>3</v>
      </c>
      <c r="C67" t="s">
        <v>653</v>
      </c>
      <c r="D67" t="s">
        <v>39</v>
      </c>
      <c r="F67" t="s">
        <v>7</v>
      </c>
    </row>
    <row r="68" spans="1:6">
      <c r="A68" t="s">
        <v>1363</v>
      </c>
      <c r="B68">
        <v>4</v>
      </c>
      <c r="C68" t="s">
        <v>654</v>
      </c>
      <c r="D68" t="s">
        <v>39</v>
      </c>
      <c r="F68" t="s">
        <v>7</v>
      </c>
    </row>
    <row r="69" spans="1:6">
      <c r="A69" t="s">
        <v>1363</v>
      </c>
      <c r="B69">
        <v>24</v>
      </c>
      <c r="C69" t="s">
        <v>2212</v>
      </c>
      <c r="D69" t="s">
        <v>39</v>
      </c>
      <c r="F69" t="s">
        <v>4</v>
      </c>
    </row>
    <row r="70" spans="1:6">
      <c r="A70" t="s">
        <v>13434</v>
      </c>
      <c r="B70">
        <v>119</v>
      </c>
      <c r="C70" t="s">
        <v>696</v>
      </c>
      <c r="D70" t="s">
        <v>39</v>
      </c>
      <c r="F70" t="s">
        <v>7</v>
      </c>
    </row>
    <row r="71" spans="1:6">
      <c r="A71" t="s">
        <v>13434</v>
      </c>
      <c r="B71">
        <v>120</v>
      </c>
      <c r="C71" t="s">
        <v>697</v>
      </c>
      <c r="D71" t="s">
        <v>39</v>
      </c>
      <c r="F71" t="s">
        <v>7</v>
      </c>
    </row>
    <row r="72" spans="1:6">
      <c r="A72" t="s">
        <v>13434</v>
      </c>
      <c r="B72">
        <v>121</v>
      </c>
      <c r="C72" t="s">
        <v>734</v>
      </c>
      <c r="D72" t="s">
        <v>39</v>
      </c>
      <c r="F72" t="s">
        <v>7</v>
      </c>
    </row>
    <row r="73" spans="1:6">
      <c r="A73" t="s">
        <v>13434</v>
      </c>
      <c r="B73">
        <v>131</v>
      </c>
      <c r="C73" t="s">
        <v>2285</v>
      </c>
      <c r="D73" t="s">
        <v>39</v>
      </c>
      <c r="F73" t="s">
        <v>9</v>
      </c>
    </row>
    <row r="74" spans="1:6">
      <c r="A74" t="s">
        <v>13435</v>
      </c>
      <c r="B74">
        <v>248</v>
      </c>
      <c r="C74" t="s">
        <v>2871</v>
      </c>
      <c r="D74" t="s">
        <v>39</v>
      </c>
      <c r="F74" t="s">
        <v>9</v>
      </c>
    </row>
    <row r="75" spans="1:6">
      <c r="A75" t="s">
        <v>13435</v>
      </c>
      <c r="B75">
        <v>265</v>
      </c>
      <c r="C75" t="s">
        <v>3010</v>
      </c>
      <c r="D75" t="s">
        <v>39</v>
      </c>
      <c r="F75" t="s">
        <v>9</v>
      </c>
    </row>
    <row r="76" spans="1:6">
      <c r="A76" t="s">
        <v>1363</v>
      </c>
      <c r="B76">
        <v>38</v>
      </c>
      <c r="C76" t="s">
        <v>2407</v>
      </c>
      <c r="D76" t="s">
        <v>53</v>
      </c>
      <c r="F76" t="s">
        <v>7</v>
      </c>
    </row>
    <row r="77" spans="1:6">
      <c r="A77" t="s">
        <v>1363</v>
      </c>
      <c r="B77">
        <v>41</v>
      </c>
      <c r="C77" t="s">
        <v>2379</v>
      </c>
      <c r="D77" t="s">
        <v>53</v>
      </c>
      <c r="F77" t="s">
        <v>4</v>
      </c>
    </row>
    <row r="78" spans="1:6">
      <c r="A78" t="s">
        <v>1363</v>
      </c>
      <c r="B78">
        <v>91</v>
      </c>
      <c r="C78" t="s">
        <v>3754</v>
      </c>
      <c r="D78" t="s">
        <v>53</v>
      </c>
      <c r="F78" t="s">
        <v>4</v>
      </c>
    </row>
    <row r="79" spans="1:6">
      <c r="A79" t="s">
        <v>13434</v>
      </c>
      <c r="B79">
        <v>143</v>
      </c>
      <c r="C79" t="s">
        <v>5188</v>
      </c>
      <c r="D79" t="s">
        <v>53</v>
      </c>
      <c r="F79" t="s">
        <v>7</v>
      </c>
    </row>
    <row r="80" spans="1:6">
      <c r="A80" t="s">
        <v>13434</v>
      </c>
      <c r="B80">
        <v>179</v>
      </c>
      <c r="C80" t="s">
        <v>2892</v>
      </c>
      <c r="D80" t="s">
        <v>53</v>
      </c>
      <c r="F80" t="s">
        <v>9</v>
      </c>
    </row>
    <row r="81" spans="1:6">
      <c r="A81" t="s">
        <v>13435</v>
      </c>
      <c r="B81">
        <v>207</v>
      </c>
      <c r="C81" t="s">
        <v>2109</v>
      </c>
      <c r="D81" t="s">
        <v>53</v>
      </c>
      <c r="F81" t="s">
        <v>9</v>
      </c>
    </row>
    <row r="82" spans="1:6">
      <c r="A82" t="s">
        <v>13435</v>
      </c>
      <c r="B82">
        <v>212</v>
      </c>
      <c r="C82" t="s">
        <v>6648</v>
      </c>
      <c r="D82" t="s">
        <v>53</v>
      </c>
      <c r="F82" t="s">
        <v>9</v>
      </c>
    </row>
    <row r="83" spans="1:6">
      <c r="A83" t="s">
        <v>13435</v>
      </c>
      <c r="B83">
        <v>216</v>
      </c>
      <c r="C83" t="s">
        <v>2301</v>
      </c>
      <c r="D83" t="s">
        <v>53</v>
      </c>
      <c r="F83" t="s">
        <v>9</v>
      </c>
    </row>
    <row r="84" spans="1:6">
      <c r="A84" t="s">
        <v>13435</v>
      </c>
      <c r="B84">
        <v>228</v>
      </c>
      <c r="C84" t="s">
        <v>2493</v>
      </c>
      <c r="D84" t="s">
        <v>53</v>
      </c>
      <c r="F84" t="s">
        <v>9</v>
      </c>
    </row>
    <row r="85" spans="1:6">
      <c r="A85" t="s">
        <v>13435</v>
      </c>
      <c r="B85">
        <v>237</v>
      </c>
      <c r="C85" t="s">
        <v>2686</v>
      </c>
      <c r="D85" t="s">
        <v>53</v>
      </c>
      <c r="F85" t="s">
        <v>9</v>
      </c>
    </row>
    <row r="86" spans="1:6">
      <c r="A86" t="s">
        <v>13435</v>
      </c>
      <c r="B86">
        <v>249</v>
      </c>
      <c r="C86" t="s">
        <v>2879</v>
      </c>
      <c r="D86" t="s">
        <v>53</v>
      </c>
      <c r="F86" t="s">
        <v>9</v>
      </c>
    </row>
    <row r="87" spans="1:6">
      <c r="A87" t="s">
        <v>13434</v>
      </c>
      <c r="B87">
        <v>128</v>
      </c>
      <c r="C87" t="s">
        <v>5405</v>
      </c>
      <c r="D87" t="s">
        <v>605</v>
      </c>
      <c r="F87" t="s">
        <v>7</v>
      </c>
    </row>
    <row r="88" spans="1:6">
      <c r="A88" t="s">
        <v>13434</v>
      </c>
      <c r="B88">
        <v>174</v>
      </c>
      <c r="C88" t="s">
        <v>2808</v>
      </c>
      <c r="D88" t="s">
        <v>605</v>
      </c>
      <c r="F88" t="s">
        <v>7</v>
      </c>
    </row>
    <row r="89" spans="1:6">
      <c r="A89" t="s">
        <v>13434</v>
      </c>
      <c r="B89">
        <v>202</v>
      </c>
      <c r="C89" t="s">
        <v>5812</v>
      </c>
      <c r="D89" t="s">
        <v>34</v>
      </c>
      <c r="F89" t="s">
        <v>7</v>
      </c>
    </row>
    <row r="90" spans="1:6">
      <c r="A90" t="s">
        <v>13435</v>
      </c>
      <c r="B90">
        <v>217</v>
      </c>
      <c r="C90" t="s">
        <v>2309</v>
      </c>
      <c r="D90" t="s">
        <v>34</v>
      </c>
      <c r="F90" t="s">
        <v>9</v>
      </c>
    </row>
    <row r="91" spans="1:6">
      <c r="A91" t="s">
        <v>13435</v>
      </c>
      <c r="B91">
        <v>218</v>
      </c>
      <c r="C91" t="s">
        <v>8591</v>
      </c>
      <c r="D91" t="s">
        <v>34</v>
      </c>
      <c r="F91" t="s">
        <v>9</v>
      </c>
    </row>
    <row r="92" spans="1:6">
      <c r="A92" t="s">
        <v>1363</v>
      </c>
      <c r="B92">
        <v>46</v>
      </c>
      <c r="C92" t="s">
        <v>2397</v>
      </c>
      <c r="D92" t="s">
        <v>5</v>
      </c>
      <c r="F92" t="s">
        <v>4</v>
      </c>
    </row>
    <row r="93" spans="1:6">
      <c r="A93" t="s">
        <v>1363</v>
      </c>
      <c r="B93">
        <v>75</v>
      </c>
      <c r="C93" t="s">
        <v>2785</v>
      </c>
      <c r="D93" t="s">
        <v>5</v>
      </c>
      <c r="F93" t="s">
        <v>7</v>
      </c>
    </row>
    <row r="94" spans="1:6">
      <c r="A94" t="s">
        <v>1363</v>
      </c>
      <c r="B94">
        <v>96</v>
      </c>
      <c r="C94" t="s">
        <v>4310</v>
      </c>
      <c r="D94" t="s">
        <v>5</v>
      </c>
      <c r="F94" t="s">
        <v>7</v>
      </c>
    </row>
    <row r="95" spans="1:6">
      <c r="A95" t="s">
        <v>1363</v>
      </c>
      <c r="B95">
        <v>100</v>
      </c>
      <c r="C95" t="s">
        <v>4569</v>
      </c>
      <c r="D95" t="s">
        <v>5</v>
      </c>
      <c r="F95" t="s">
        <v>7</v>
      </c>
    </row>
    <row r="96" spans="1:6">
      <c r="A96" t="s">
        <v>13434</v>
      </c>
      <c r="B96">
        <v>124</v>
      </c>
      <c r="C96" t="s">
        <v>766</v>
      </c>
      <c r="D96" t="s">
        <v>5</v>
      </c>
      <c r="F96" t="s">
        <v>7</v>
      </c>
    </row>
    <row r="97" spans="1:6">
      <c r="A97" t="s">
        <v>13434</v>
      </c>
      <c r="B97">
        <v>138</v>
      </c>
      <c r="C97" t="s">
        <v>7993</v>
      </c>
      <c r="D97" t="s">
        <v>5</v>
      </c>
      <c r="F97" s="102" t="s">
        <v>7</v>
      </c>
    </row>
    <row r="98" spans="1:6">
      <c r="A98" t="s">
        <v>13434</v>
      </c>
      <c r="B98">
        <v>188</v>
      </c>
      <c r="C98" t="s">
        <v>4312</v>
      </c>
      <c r="D98" t="s">
        <v>5</v>
      </c>
      <c r="F98" t="s">
        <v>9</v>
      </c>
    </row>
    <row r="99" spans="1:6">
      <c r="A99" t="s">
        <v>13434</v>
      </c>
      <c r="B99">
        <v>192</v>
      </c>
      <c r="C99" t="s">
        <v>4489</v>
      </c>
      <c r="D99" t="s">
        <v>5</v>
      </c>
      <c r="F99" t="s">
        <v>9</v>
      </c>
    </row>
    <row r="100" spans="1:6">
      <c r="A100" t="s">
        <v>13435</v>
      </c>
      <c r="B100">
        <v>263</v>
      </c>
      <c r="C100" t="s">
        <v>3005</v>
      </c>
      <c r="D100" t="s">
        <v>5</v>
      </c>
      <c r="F100" t="s">
        <v>9</v>
      </c>
    </row>
    <row r="101" spans="1:6">
      <c r="A101" t="s">
        <v>1363</v>
      </c>
      <c r="B101">
        <v>47</v>
      </c>
      <c r="C101" t="s">
        <v>2447</v>
      </c>
      <c r="D101" t="s">
        <v>11</v>
      </c>
      <c r="F101" t="s">
        <v>7</v>
      </c>
    </row>
    <row r="102" spans="1:6">
      <c r="A102" t="s">
        <v>1363</v>
      </c>
      <c r="B102">
        <v>105</v>
      </c>
      <c r="C102" t="s">
        <v>3744</v>
      </c>
      <c r="D102" t="s">
        <v>29</v>
      </c>
      <c r="F102" t="s">
        <v>4</v>
      </c>
    </row>
    <row r="103" spans="1:6">
      <c r="A103" t="s">
        <v>13435</v>
      </c>
      <c r="B103">
        <v>255</v>
      </c>
      <c r="C103" t="s">
        <v>13002</v>
      </c>
      <c r="D103" t="s">
        <v>29</v>
      </c>
      <c r="F103" t="s">
        <v>9</v>
      </c>
    </row>
    <row r="104" spans="1:6">
      <c r="A104" t="s">
        <v>1363</v>
      </c>
      <c r="B104">
        <v>2</v>
      </c>
      <c r="C104" t="s">
        <v>363</v>
      </c>
      <c r="D104" t="s">
        <v>45</v>
      </c>
      <c r="F104" t="s">
        <v>4</v>
      </c>
    </row>
    <row r="105" spans="1:6">
      <c r="A105" t="s">
        <v>1363</v>
      </c>
      <c r="B105">
        <v>19</v>
      </c>
      <c r="C105" t="s">
        <v>2147</v>
      </c>
      <c r="D105" t="s">
        <v>45</v>
      </c>
      <c r="F105" t="s">
        <v>4</v>
      </c>
    </row>
    <row r="106" spans="1:6">
      <c r="A106" t="s">
        <v>1363</v>
      </c>
      <c r="B106">
        <v>20</v>
      </c>
      <c r="C106" t="s">
        <v>2148</v>
      </c>
      <c r="D106" t="s">
        <v>45</v>
      </c>
      <c r="F106" t="s">
        <v>4</v>
      </c>
    </row>
    <row r="107" spans="1:6">
      <c r="A107" t="s">
        <v>1363</v>
      </c>
      <c r="B107">
        <v>74</v>
      </c>
      <c r="C107" t="s">
        <v>2723</v>
      </c>
      <c r="D107" t="s">
        <v>45</v>
      </c>
      <c r="F107" t="s">
        <v>4</v>
      </c>
    </row>
    <row r="108" spans="1:6">
      <c r="A108" t="s">
        <v>1363</v>
      </c>
      <c r="B108">
        <v>88</v>
      </c>
      <c r="C108" t="s">
        <v>3427</v>
      </c>
      <c r="D108" t="s">
        <v>45</v>
      </c>
      <c r="F108" t="s">
        <v>4</v>
      </c>
    </row>
    <row r="109" spans="1:6">
      <c r="A109" t="s">
        <v>1363</v>
      </c>
      <c r="B109">
        <v>89</v>
      </c>
      <c r="C109" t="s">
        <v>3750</v>
      </c>
      <c r="D109" t="s">
        <v>45</v>
      </c>
      <c r="F109" t="s">
        <v>4</v>
      </c>
    </row>
    <row r="110" spans="1:6">
      <c r="A110" t="s">
        <v>13434</v>
      </c>
      <c r="B110">
        <v>126</v>
      </c>
      <c r="C110" t="s">
        <v>5303</v>
      </c>
      <c r="D110" t="s">
        <v>45</v>
      </c>
      <c r="F110" t="s">
        <v>7</v>
      </c>
    </row>
    <row r="111" spans="1:6">
      <c r="A111" t="s">
        <v>13434</v>
      </c>
      <c r="B111">
        <v>145</v>
      </c>
      <c r="C111" t="s">
        <v>2444</v>
      </c>
      <c r="D111" t="s">
        <v>45</v>
      </c>
      <c r="F111" t="s">
        <v>7</v>
      </c>
    </row>
    <row r="112" spans="1:6">
      <c r="A112" t="s">
        <v>13434</v>
      </c>
      <c r="B112">
        <v>160</v>
      </c>
      <c r="C112" t="s">
        <v>2678</v>
      </c>
      <c r="D112" t="s">
        <v>45</v>
      </c>
      <c r="F112" t="s">
        <v>9</v>
      </c>
    </row>
    <row r="113" spans="1:6">
      <c r="A113" t="s">
        <v>13434</v>
      </c>
      <c r="B113">
        <v>161</v>
      </c>
      <c r="C113" t="s">
        <v>2679</v>
      </c>
      <c r="D113" t="s">
        <v>45</v>
      </c>
      <c r="F113" t="s">
        <v>9</v>
      </c>
    </row>
    <row r="114" spans="1:6">
      <c r="A114" t="s">
        <v>13434</v>
      </c>
      <c r="B114">
        <v>164</v>
      </c>
      <c r="C114" t="s">
        <v>2664</v>
      </c>
      <c r="D114" t="s">
        <v>45</v>
      </c>
      <c r="F114" t="s">
        <v>7</v>
      </c>
    </row>
    <row r="115" spans="1:6">
      <c r="A115" t="s">
        <v>13434</v>
      </c>
      <c r="B115">
        <v>175</v>
      </c>
      <c r="C115" t="s">
        <v>2877</v>
      </c>
      <c r="D115" t="s">
        <v>45</v>
      </c>
      <c r="F115" t="s">
        <v>9</v>
      </c>
    </row>
    <row r="116" spans="1:6">
      <c r="A116" t="s">
        <v>13434</v>
      </c>
      <c r="B116">
        <v>176</v>
      </c>
      <c r="C116" t="s">
        <v>2878</v>
      </c>
      <c r="D116" t="s">
        <v>45</v>
      </c>
      <c r="F116" t="s">
        <v>9</v>
      </c>
    </row>
    <row r="117" spans="1:6">
      <c r="A117" t="s">
        <v>13434</v>
      </c>
      <c r="B117">
        <v>195</v>
      </c>
      <c r="C117" t="s">
        <v>13441</v>
      </c>
      <c r="D117" t="s">
        <v>45</v>
      </c>
      <c r="F117" t="s">
        <v>7</v>
      </c>
    </row>
    <row r="118" spans="1:6">
      <c r="A118" t="s">
        <v>13435</v>
      </c>
      <c r="B118">
        <v>205</v>
      </c>
      <c r="C118" t="s">
        <v>2047</v>
      </c>
      <c r="D118" t="s">
        <v>45</v>
      </c>
      <c r="F118" t="s">
        <v>9</v>
      </c>
    </row>
    <row r="119" spans="1:6">
      <c r="A119" t="s">
        <v>13435</v>
      </c>
      <c r="B119">
        <v>225</v>
      </c>
      <c r="C119" t="s">
        <v>2467</v>
      </c>
      <c r="D119" t="s">
        <v>45</v>
      </c>
      <c r="F119" t="s">
        <v>9</v>
      </c>
    </row>
    <row r="120" spans="1:6">
      <c r="A120" t="s">
        <v>13435</v>
      </c>
      <c r="B120">
        <v>246</v>
      </c>
      <c r="C120" t="s">
        <v>2856</v>
      </c>
      <c r="D120" t="s">
        <v>45</v>
      </c>
      <c r="F120" t="s">
        <v>9</v>
      </c>
    </row>
    <row r="121" spans="1:6">
      <c r="A121" t="s">
        <v>13435</v>
      </c>
      <c r="B121">
        <v>247</v>
      </c>
      <c r="C121" t="s">
        <v>2857</v>
      </c>
      <c r="D121" t="s">
        <v>45</v>
      </c>
      <c r="F121" t="s">
        <v>9</v>
      </c>
    </row>
    <row r="122" spans="1:6">
      <c r="A122" t="s">
        <v>1366</v>
      </c>
      <c r="B122">
        <v>279</v>
      </c>
      <c r="C122" t="s">
        <v>10238</v>
      </c>
      <c r="D122" t="s">
        <v>45</v>
      </c>
      <c r="F122" t="s">
        <v>41</v>
      </c>
    </row>
    <row r="123" spans="1:6">
      <c r="A123" t="s">
        <v>1366</v>
      </c>
      <c r="B123">
        <v>286</v>
      </c>
      <c r="C123" t="s">
        <v>13381</v>
      </c>
      <c r="D123" t="s">
        <v>45</v>
      </c>
      <c r="F123" t="s">
        <v>41</v>
      </c>
    </row>
    <row r="124" spans="1:6">
      <c r="A124" t="s">
        <v>1366</v>
      </c>
      <c r="B124">
        <v>287</v>
      </c>
      <c r="C124" t="s">
        <v>5183</v>
      </c>
      <c r="D124" t="s">
        <v>45</v>
      </c>
      <c r="F124" t="s">
        <v>41</v>
      </c>
    </row>
    <row r="125" spans="1:6">
      <c r="A125" t="s">
        <v>1363</v>
      </c>
      <c r="B125">
        <v>27</v>
      </c>
      <c r="C125" t="s">
        <v>2216</v>
      </c>
      <c r="D125" t="s">
        <v>30</v>
      </c>
      <c r="F125" t="s">
        <v>4</v>
      </c>
    </row>
    <row r="126" spans="1:6">
      <c r="A126" t="s">
        <v>1363</v>
      </c>
      <c r="B126">
        <v>68</v>
      </c>
      <c r="C126" t="s">
        <v>3748</v>
      </c>
      <c r="D126" t="s">
        <v>30</v>
      </c>
      <c r="F126" t="s">
        <v>4</v>
      </c>
    </row>
    <row r="127" spans="1:6">
      <c r="A127" t="s">
        <v>13435</v>
      </c>
      <c r="B127">
        <v>213</v>
      </c>
      <c r="C127" t="s">
        <v>6590</v>
      </c>
      <c r="D127" t="s">
        <v>30</v>
      </c>
      <c r="F127" t="s">
        <v>9</v>
      </c>
    </row>
    <row r="128" spans="1:6">
      <c r="A128" t="s">
        <v>13435</v>
      </c>
      <c r="B128">
        <v>214</v>
      </c>
      <c r="C128" t="s">
        <v>5187</v>
      </c>
      <c r="D128" t="s">
        <v>30</v>
      </c>
      <c r="F128" t="s">
        <v>9</v>
      </c>
    </row>
    <row r="129" spans="1:6">
      <c r="A129" t="s">
        <v>13435</v>
      </c>
      <c r="B129">
        <v>230</v>
      </c>
      <c r="C129" t="s">
        <v>10294</v>
      </c>
      <c r="D129" t="s">
        <v>30</v>
      </c>
      <c r="F129" t="s">
        <v>9</v>
      </c>
    </row>
    <row r="130" spans="1:6">
      <c r="A130" t="s">
        <v>13435</v>
      </c>
      <c r="B130">
        <v>232</v>
      </c>
      <c r="C130" t="s">
        <v>10099</v>
      </c>
      <c r="D130" t="s">
        <v>30</v>
      </c>
      <c r="F130" t="s">
        <v>9</v>
      </c>
    </row>
    <row r="131" spans="1:6">
      <c r="A131" t="s">
        <v>13435</v>
      </c>
      <c r="B131">
        <v>233</v>
      </c>
      <c r="C131" t="s">
        <v>9855</v>
      </c>
      <c r="D131" t="s">
        <v>30</v>
      </c>
      <c r="F131" t="s">
        <v>9</v>
      </c>
    </row>
    <row r="132" spans="1:6">
      <c r="A132" t="s">
        <v>13435</v>
      </c>
      <c r="B132">
        <v>234</v>
      </c>
      <c r="C132" t="s">
        <v>5186</v>
      </c>
      <c r="D132" t="s">
        <v>30</v>
      </c>
      <c r="F132" t="s">
        <v>9</v>
      </c>
    </row>
    <row r="133" spans="1:6">
      <c r="A133" t="s">
        <v>13435</v>
      </c>
      <c r="B133">
        <v>259</v>
      </c>
      <c r="C133" t="s">
        <v>2998</v>
      </c>
      <c r="D133" t="s">
        <v>30</v>
      </c>
      <c r="F133" t="s">
        <v>9</v>
      </c>
    </row>
    <row r="134" spans="1:6">
      <c r="A134" t="s">
        <v>13435</v>
      </c>
      <c r="B134">
        <v>268</v>
      </c>
      <c r="C134" t="s">
        <v>3855</v>
      </c>
      <c r="D134" t="s">
        <v>30</v>
      </c>
      <c r="F134" t="s">
        <v>9</v>
      </c>
    </row>
    <row r="135" spans="1:6">
      <c r="A135" t="s">
        <v>13435</v>
      </c>
      <c r="B135">
        <v>269</v>
      </c>
      <c r="C135" t="s">
        <v>3857</v>
      </c>
      <c r="D135" t="s">
        <v>30</v>
      </c>
      <c r="F135" t="s">
        <v>9</v>
      </c>
    </row>
    <row r="136" spans="1:6">
      <c r="A136" t="s">
        <v>1363</v>
      </c>
      <c r="B136">
        <v>30</v>
      </c>
      <c r="C136" t="s">
        <v>7144</v>
      </c>
      <c r="D136" t="s">
        <v>27</v>
      </c>
      <c r="F136" t="s">
        <v>4</v>
      </c>
    </row>
    <row r="137" spans="1:6">
      <c r="A137" t="s">
        <v>13434</v>
      </c>
      <c r="B137">
        <v>118</v>
      </c>
      <c r="C137" t="s">
        <v>674</v>
      </c>
      <c r="D137" t="s">
        <v>27</v>
      </c>
      <c r="F137" t="s">
        <v>7</v>
      </c>
    </row>
    <row r="138" spans="1:6">
      <c r="A138" t="s">
        <v>13434</v>
      </c>
      <c r="B138">
        <v>122</v>
      </c>
      <c r="C138" t="s">
        <v>2106</v>
      </c>
      <c r="D138" t="s">
        <v>27</v>
      </c>
      <c r="F138" t="s">
        <v>9</v>
      </c>
    </row>
    <row r="139" spans="1:6">
      <c r="A139" t="s">
        <v>13434</v>
      </c>
      <c r="B139">
        <v>129</v>
      </c>
      <c r="C139" t="s">
        <v>5569</v>
      </c>
      <c r="D139" t="s">
        <v>27</v>
      </c>
      <c r="F139" t="s">
        <v>7</v>
      </c>
    </row>
    <row r="140" spans="1:6">
      <c r="A140" t="s">
        <v>13434</v>
      </c>
      <c r="B140">
        <v>187</v>
      </c>
      <c r="C140" t="s">
        <v>2936</v>
      </c>
      <c r="D140" t="s">
        <v>27</v>
      </c>
      <c r="F140" t="s">
        <v>7</v>
      </c>
    </row>
    <row r="141" spans="1:6">
      <c r="A141" t="s">
        <v>13435</v>
      </c>
      <c r="B141">
        <v>215</v>
      </c>
      <c r="C141" t="s">
        <v>2297</v>
      </c>
      <c r="D141" t="s">
        <v>27</v>
      </c>
      <c r="F141" t="s">
        <v>9</v>
      </c>
    </row>
    <row r="142" spans="1:6">
      <c r="A142" t="s">
        <v>13435</v>
      </c>
      <c r="B142">
        <v>245</v>
      </c>
      <c r="C142" t="s">
        <v>11608</v>
      </c>
      <c r="D142" t="s">
        <v>27</v>
      </c>
      <c r="F142" t="s">
        <v>9</v>
      </c>
    </row>
    <row r="143" spans="1:6">
      <c r="A143" t="s">
        <v>1363</v>
      </c>
      <c r="B143">
        <v>18</v>
      </c>
      <c r="C143" t="s">
        <v>6542</v>
      </c>
      <c r="D143" t="s">
        <v>26</v>
      </c>
      <c r="F143" t="s">
        <v>4</v>
      </c>
    </row>
    <row r="144" spans="1:6">
      <c r="A144" t="s">
        <v>1363</v>
      </c>
      <c r="B144">
        <v>37</v>
      </c>
      <c r="C144" t="s">
        <v>2343</v>
      </c>
      <c r="D144" t="s">
        <v>26</v>
      </c>
      <c r="F144" t="s">
        <v>4</v>
      </c>
    </row>
    <row r="145" spans="1:6">
      <c r="A145" t="s">
        <v>1363</v>
      </c>
      <c r="B145">
        <v>45</v>
      </c>
      <c r="C145" t="s">
        <v>2391</v>
      </c>
      <c r="D145" t="s">
        <v>26</v>
      </c>
      <c r="F145" t="s">
        <v>4</v>
      </c>
    </row>
    <row r="146" spans="1:6">
      <c r="A146" t="s">
        <v>1363</v>
      </c>
      <c r="B146">
        <v>50</v>
      </c>
      <c r="C146" t="s">
        <v>13436</v>
      </c>
      <c r="D146" t="s">
        <v>26</v>
      </c>
      <c r="F146" t="s">
        <v>4</v>
      </c>
    </row>
    <row r="147" spans="1:6">
      <c r="A147" t="s">
        <v>1363</v>
      </c>
      <c r="B147">
        <v>59</v>
      </c>
      <c r="C147" t="s">
        <v>2611</v>
      </c>
      <c r="D147" t="s">
        <v>26</v>
      </c>
      <c r="F147" t="s">
        <v>7</v>
      </c>
    </row>
    <row r="148" spans="1:6">
      <c r="A148" t="s">
        <v>1363</v>
      </c>
      <c r="B148">
        <v>103</v>
      </c>
      <c r="C148" t="s">
        <v>3820</v>
      </c>
      <c r="D148" t="s">
        <v>26</v>
      </c>
      <c r="F148" t="s">
        <v>4</v>
      </c>
    </row>
    <row r="149" spans="1:6">
      <c r="A149" t="s">
        <v>1363</v>
      </c>
      <c r="B149">
        <v>108</v>
      </c>
      <c r="C149" t="s">
        <v>3832</v>
      </c>
      <c r="D149" t="s">
        <v>26</v>
      </c>
      <c r="F149" t="s">
        <v>7</v>
      </c>
    </row>
    <row r="150" spans="1:6">
      <c r="A150" t="s">
        <v>13434</v>
      </c>
      <c r="B150">
        <v>136</v>
      </c>
      <c r="C150" t="s">
        <v>2279</v>
      </c>
      <c r="D150" t="s">
        <v>26</v>
      </c>
      <c r="F150" t="s">
        <v>7</v>
      </c>
    </row>
    <row r="151" spans="1:6">
      <c r="A151" t="s">
        <v>13434</v>
      </c>
      <c r="B151">
        <v>185</v>
      </c>
      <c r="C151" t="s">
        <v>2933</v>
      </c>
      <c r="D151" t="s">
        <v>26</v>
      </c>
      <c r="F151" t="s">
        <v>7</v>
      </c>
    </row>
    <row r="152" spans="1:6">
      <c r="A152" t="s">
        <v>13434</v>
      </c>
      <c r="B152">
        <v>197</v>
      </c>
      <c r="C152" t="s">
        <v>3836</v>
      </c>
      <c r="D152" t="s">
        <v>26</v>
      </c>
      <c r="F152" t="s">
        <v>7</v>
      </c>
    </row>
    <row r="153" spans="1:6">
      <c r="A153" t="s">
        <v>13434</v>
      </c>
      <c r="B153">
        <v>198</v>
      </c>
      <c r="C153" t="s">
        <v>3852</v>
      </c>
      <c r="D153" t="s">
        <v>26</v>
      </c>
      <c r="F153" t="s">
        <v>9</v>
      </c>
    </row>
    <row r="154" spans="1:6">
      <c r="A154" t="s">
        <v>1363</v>
      </c>
      <c r="B154">
        <v>35</v>
      </c>
      <c r="C154" t="s">
        <v>7531</v>
      </c>
      <c r="D154" t="s">
        <v>38</v>
      </c>
      <c r="F154" t="s">
        <v>4</v>
      </c>
    </row>
    <row r="155" spans="1:6">
      <c r="A155" t="s">
        <v>1363</v>
      </c>
      <c r="B155">
        <v>63</v>
      </c>
      <c r="C155" t="s">
        <v>2657</v>
      </c>
      <c r="D155" t="s">
        <v>38</v>
      </c>
      <c r="F155" t="s">
        <v>7</v>
      </c>
    </row>
    <row r="156" spans="1:6">
      <c r="A156" t="s">
        <v>13435</v>
      </c>
      <c r="B156">
        <v>240</v>
      </c>
      <c r="C156" t="s">
        <v>2700</v>
      </c>
      <c r="D156" t="s">
        <v>38</v>
      </c>
      <c r="F156" t="s">
        <v>9</v>
      </c>
    </row>
    <row r="157" spans="1:6">
      <c r="A157" t="s">
        <v>1363</v>
      </c>
      <c r="B157">
        <v>53</v>
      </c>
      <c r="C157" t="s">
        <v>13439</v>
      </c>
      <c r="D157" t="s">
        <v>5281</v>
      </c>
      <c r="F157" t="s">
        <v>4</v>
      </c>
    </row>
    <row r="158" spans="1:6">
      <c r="A158" t="s">
        <v>13434</v>
      </c>
      <c r="B158">
        <v>139</v>
      </c>
      <c r="C158" t="s">
        <v>8073</v>
      </c>
      <c r="D158" t="s">
        <v>5281</v>
      </c>
      <c r="F158" s="102" t="s">
        <v>7</v>
      </c>
    </row>
    <row r="159" spans="1:6">
      <c r="A159" t="s">
        <v>13434</v>
      </c>
      <c r="B159">
        <v>142</v>
      </c>
      <c r="C159" t="s">
        <v>7951</v>
      </c>
      <c r="D159" t="s">
        <v>173</v>
      </c>
      <c r="F159" t="s">
        <v>7</v>
      </c>
    </row>
    <row r="160" spans="1:6">
      <c r="A160" t="s">
        <v>1366</v>
      </c>
      <c r="B160">
        <v>285</v>
      </c>
      <c r="C160" t="s">
        <v>2896</v>
      </c>
      <c r="D160" t="s">
        <v>173</v>
      </c>
      <c r="F160" t="s">
        <v>41</v>
      </c>
    </row>
    <row r="161" spans="1:6">
      <c r="A161" t="s">
        <v>1363</v>
      </c>
      <c r="B161">
        <v>60</v>
      </c>
      <c r="C161" t="s">
        <v>2551</v>
      </c>
      <c r="D161" t="s">
        <v>174</v>
      </c>
      <c r="F161" t="s">
        <v>4</v>
      </c>
    </row>
    <row r="162" spans="1:6">
      <c r="A162" t="s">
        <v>1363</v>
      </c>
      <c r="B162">
        <v>79</v>
      </c>
      <c r="C162" t="s">
        <v>2796</v>
      </c>
      <c r="D162" t="s">
        <v>174</v>
      </c>
      <c r="F162" t="s">
        <v>7</v>
      </c>
    </row>
    <row r="163" spans="1:6">
      <c r="A163" t="s">
        <v>13434</v>
      </c>
      <c r="B163">
        <v>203</v>
      </c>
      <c r="C163" t="s">
        <v>6000</v>
      </c>
      <c r="D163" t="s">
        <v>174</v>
      </c>
      <c r="F163" t="s">
        <v>7</v>
      </c>
    </row>
    <row r="164" spans="1:6">
      <c r="A164" t="s">
        <v>1363</v>
      </c>
      <c r="B164">
        <v>5</v>
      </c>
      <c r="C164" t="s">
        <v>673</v>
      </c>
      <c r="D164" t="s">
        <v>181</v>
      </c>
      <c r="F164" t="s">
        <v>7</v>
      </c>
    </row>
    <row r="165" spans="1:6">
      <c r="A165" t="s">
        <v>13434</v>
      </c>
      <c r="B165">
        <v>150</v>
      </c>
      <c r="C165" t="s">
        <v>2488</v>
      </c>
      <c r="D165" t="s">
        <v>181</v>
      </c>
      <c r="F165" t="s">
        <v>9</v>
      </c>
    </row>
    <row r="166" spans="1:6">
      <c r="A166" t="s">
        <v>13434</v>
      </c>
      <c r="B166">
        <v>167</v>
      </c>
      <c r="C166" t="s">
        <v>11403</v>
      </c>
      <c r="D166" t="s">
        <v>181</v>
      </c>
      <c r="F166" t="s">
        <v>7</v>
      </c>
    </row>
    <row r="167" spans="1:6">
      <c r="A167" t="s">
        <v>13435</v>
      </c>
      <c r="B167">
        <v>206</v>
      </c>
      <c r="C167" t="s">
        <v>2093</v>
      </c>
      <c r="D167" t="s">
        <v>181</v>
      </c>
      <c r="F167" t="s">
        <v>9</v>
      </c>
    </row>
    <row r="168" spans="1:6">
      <c r="A168" t="s">
        <v>13435</v>
      </c>
      <c r="B168">
        <v>208</v>
      </c>
      <c r="C168" t="s">
        <v>2134</v>
      </c>
      <c r="D168" t="s">
        <v>181</v>
      </c>
      <c r="F168" t="s">
        <v>9</v>
      </c>
    </row>
    <row r="169" spans="1:6">
      <c r="A169" t="s">
        <v>13435</v>
      </c>
      <c r="B169">
        <v>243</v>
      </c>
      <c r="C169" t="s">
        <v>11905</v>
      </c>
      <c r="D169" t="s">
        <v>181</v>
      </c>
      <c r="F169" t="s">
        <v>9</v>
      </c>
    </row>
    <row r="170" spans="1:6">
      <c r="A170" t="s">
        <v>1363</v>
      </c>
      <c r="B170">
        <v>39</v>
      </c>
      <c r="C170" t="s">
        <v>2355</v>
      </c>
      <c r="D170" t="s">
        <v>180</v>
      </c>
      <c r="F170" t="s">
        <v>4</v>
      </c>
    </row>
    <row r="171" spans="1:6">
      <c r="A171" t="s">
        <v>13435</v>
      </c>
      <c r="B171">
        <v>209</v>
      </c>
      <c r="C171" t="s">
        <v>6946</v>
      </c>
      <c r="D171" t="s">
        <v>180</v>
      </c>
      <c r="F171" t="s">
        <v>9</v>
      </c>
    </row>
    <row r="172" spans="1:6">
      <c r="A172" t="s">
        <v>1363</v>
      </c>
      <c r="B172">
        <v>17</v>
      </c>
      <c r="C172" t="s">
        <v>6422</v>
      </c>
      <c r="D172" t="s">
        <v>172</v>
      </c>
      <c r="F172" t="s">
        <v>4</v>
      </c>
    </row>
    <row r="173" spans="1:6">
      <c r="A173" t="s">
        <v>1363</v>
      </c>
      <c r="B173">
        <v>111</v>
      </c>
      <c r="C173" t="s">
        <v>3746</v>
      </c>
      <c r="D173" t="s">
        <v>172</v>
      </c>
      <c r="F173" t="s">
        <v>4</v>
      </c>
    </row>
    <row r="174" spans="1:6">
      <c r="A174" t="s">
        <v>13434</v>
      </c>
      <c r="B174">
        <v>125</v>
      </c>
      <c r="C174" t="s">
        <v>5301</v>
      </c>
      <c r="D174" t="s">
        <v>172</v>
      </c>
      <c r="F174" t="s">
        <v>7</v>
      </c>
    </row>
    <row r="175" spans="1:6">
      <c r="A175" t="s">
        <v>13434</v>
      </c>
      <c r="B175">
        <v>156</v>
      </c>
      <c r="C175" t="s">
        <v>9574</v>
      </c>
      <c r="D175" t="s">
        <v>172</v>
      </c>
      <c r="F175" t="s">
        <v>7</v>
      </c>
    </row>
    <row r="176" spans="1:6">
      <c r="A176" t="s">
        <v>13434</v>
      </c>
      <c r="B176">
        <v>166</v>
      </c>
      <c r="C176" t="s">
        <v>11104</v>
      </c>
      <c r="D176" s="1" t="s">
        <v>172</v>
      </c>
      <c r="E176" s="1"/>
      <c r="F176" s="1" t="s">
        <v>7</v>
      </c>
    </row>
    <row r="177" spans="1:6">
      <c r="A177" t="s">
        <v>13435</v>
      </c>
      <c r="B177">
        <v>223</v>
      </c>
      <c r="C177" t="s">
        <v>8694</v>
      </c>
      <c r="D177" t="s">
        <v>172</v>
      </c>
      <c r="F177" t="s">
        <v>9</v>
      </c>
    </row>
    <row r="178" spans="1:6">
      <c r="A178" t="s">
        <v>1363</v>
      </c>
      <c r="B178">
        <v>10</v>
      </c>
      <c r="C178" t="s">
        <v>751</v>
      </c>
      <c r="D178" t="s">
        <v>48</v>
      </c>
      <c r="F178" t="s">
        <v>7</v>
      </c>
    </row>
    <row r="179" spans="1:6">
      <c r="A179" t="s">
        <v>1363</v>
      </c>
      <c r="B179">
        <v>22</v>
      </c>
      <c r="C179" t="s">
        <v>2247</v>
      </c>
      <c r="D179" t="s">
        <v>48</v>
      </c>
      <c r="F179" t="s">
        <v>7</v>
      </c>
    </row>
    <row r="180" spans="1:6">
      <c r="A180" t="s">
        <v>1363</v>
      </c>
      <c r="B180">
        <v>33</v>
      </c>
      <c r="C180" t="s">
        <v>7304</v>
      </c>
      <c r="D180" t="s">
        <v>48</v>
      </c>
      <c r="F180" t="s">
        <v>4</v>
      </c>
    </row>
    <row r="181" spans="1:6">
      <c r="A181" t="s">
        <v>1363</v>
      </c>
      <c r="B181">
        <v>36</v>
      </c>
      <c r="C181" t="s">
        <v>7668</v>
      </c>
      <c r="D181" t="s">
        <v>48</v>
      </c>
      <c r="F181" t="s">
        <v>4</v>
      </c>
    </row>
    <row r="182" spans="1:6">
      <c r="A182" t="s">
        <v>1363</v>
      </c>
      <c r="B182">
        <v>54</v>
      </c>
      <c r="C182" t="s">
        <v>13440</v>
      </c>
      <c r="D182" t="s">
        <v>48</v>
      </c>
      <c r="F182" t="s">
        <v>4</v>
      </c>
    </row>
    <row r="183" spans="1:6">
      <c r="A183" t="s">
        <v>13434</v>
      </c>
      <c r="B183">
        <v>201</v>
      </c>
      <c r="C183" t="s">
        <v>5771</v>
      </c>
      <c r="D183" t="s">
        <v>48</v>
      </c>
      <c r="F183" t="s">
        <v>7</v>
      </c>
    </row>
    <row r="184" spans="1:6">
      <c r="A184" t="s">
        <v>13434</v>
      </c>
      <c r="B184">
        <v>204</v>
      </c>
      <c r="C184" t="s">
        <v>5710</v>
      </c>
      <c r="D184" t="s">
        <v>48</v>
      </c>
      <c r="F184" t="s">
        <v>7</v>
      </c>
    </row>
    <row r="185" spans="1:6">
      <c r="A185" t="s">
        <v>13435</v>
      </c>
      <c r="B185">
        <v>227</v>
      </c>
      <c r="C185" t="s">
        <v>2490</v>
      </c>
      <c r="D185" t="s">
        <v>48</v>
      </c>
      <c r="F185" t="s">
        <v>9</v>
      </c>
    </row>
    <row r="186" spans="1:6">
      <c r="A186" t="s">
        <v>13435</v>
      </c>
      <c r="B186">
        <v>231</v>
      </c>
      <c r="C186" t="s">
        <v>10116</v>
      </c>
      <c r="D186" t="s">
        <v>48</v>
      </c>
      <c r="F186" t="s">
        <v>9</v>
      </c>
    </row>
    <row r="187" spans="1:6">
      <c r="A187" t="s">
        <v>1366</v>
      </c>
      <c r="B187">
        <v>274</v>
      </c>
      <c r="C187" t="s">
        <v>2137</v>
      </c>
      <c r="D187" t="s">
        <v>48</v>
      </c>
      <c r="F187" t="s">
        <v>41</v>
      </c>
    </row>
    <row r="188" spans="1:6">
      <c r="A188" t="s">
        <v>1366</v>
      </c>
      <c r="B188">
        <v>275</v>
      </c>
      <c r="C188" t="s">
        <v>2138</v>
      </c>
      <c r="D188" t="s">
        <v>48</v>
      </c>
      <c r="F188" t="s">
        <v>41</v>
      </c>
    </row>
    <row r="189" spans="1:6">
      <c r="A189" t="s">
        <v>1366</v>
      </c>
      <c r="B189">
        <v>277</v>
      </c>
      <c r="C189" t="s">
        <v>2333</v>
      </c>
      <c r="D189" t="s">
        <v>48</v>
      </c>
      <c r="F189" t="s">
        <v>41</v>
      </c>
    </row>
    <row r="190" spans="1:6">
      <c r="A190" t="s">
        <v>1366</v>
      </c>
      <c r="B190">
        <v>278</v>
      </c>
      <c r="C190" t="s">
        <v>2334</v>
      </c>
      <c r="D190" t="s">
        <v>48</v>
      </c>
      <c r="F190" t="s">
        <v>41</v>
      </c>
    </row>
    <row r="191" spans="1:6">
      <c r="A191" t="s">
        <v>1366</v>
      </c>
      <c r="B191">
        <v>280</v>
      </c>
      <c r="C191" t="s">
        <v>2497</v>
      </c>
      <c r="D191" t="s">
        <v>48</v>
      </c>
      <c r="F191" t="s">
        <v>41</v>
      </c>
    </row>
    <row r="192" spans="1:6">
      <c r="A192" t="s">
        <v>1366</v>
      </c>
      <c r="B192">
        <v>281</v>
      </c>
      <c r="C192" t="s">
        <v>2498</v>
      </c>
      <c r="D192" t="s">
        <v>48</v>
      </c>
      <c r="F192" t="s">
        <v>41</v>
      </c>
    </row>
    <row r="193" spans="1:6">
      <c r="A193" t="s">
        <v>1366</v>
      </c>
      <c r="B193">
        <v>283</v>
      </c>
      <c r="C193" t="s">
        <v>2718</v>
      </c>
      <c r="D193" t="s">
        <v>48</v>
      </c>
      <c r="F193" t="s">
        <v>41</v>
      </c>
    </row>
    <row r="194" spans="1:6">
      <c r="A194" t="s">
        <v>1366</v>
      </c>
      <c r="B194">
        <v>284</v>
      </c>
      <c r="C194" t="s">
        <v>2719</v>
      </c>
      <c r="D194" t="s">
        <v>48</v>
      </c>
      <c r="F194" t="s">
        <v>41</v>
      </c>
    </row>
    <row r="195" spans="1:6">
      <c r="A195" t="s">
        <v>13434</v>
      </c>
      <c r="B195">
        <v>163</v>
      </c>
      <c r="C195" t="s">
        <v>2705</v>
      </c>
      <c r="D195" t="s">
        <v>168</v>
      </c>
      <c r="F195" t="s">
        <v>9</v>
      </c>
    </row>
    <row r="196" spans="1:6">
      <c r="A196" t="s">
        <v>1363</v>
      </c>
      <c r="B196">
        <v>107</v>
      </c>
      <c r="C196" t="s">
        <v>4076</v>
      </c>
      <c r="D196" t="s">
        <v>176</v>
      </c>
      <c r="F196" t="s">
        <v>7</v>
      </c>
    </row>
    <row r="197" spans="1:6">
      <c r="A197" t="s">
        <v>1363</v>
      </c>
      <c r="B197">
        <v>109</v>
      </c>
      <c r="C197" t="s">
        <v>4078</v>
      </c>
      <c r="D197" t="s">
        <v>176</v>
      </c>
      <c r="F197" t="s">
        <v>7</v>
      </c>
    </row>
    <row r="198" spans="1:6">
      <c r="A198" t="s">
        <v>13435</v>
      </c>
      <c r="B198">
        <v>210</v>
      </c>
      <c r="C198" t="s">
        <v>7047</v>
      </c>
      <c r="D198" t="s">
        <v>176</v>
      </c>
      <c r="F198" t="s">
        <v>9</v>
      </c>
    </row>
    <row r="199" spans="1:6">
      <c r="A199" t="s">
        <v>1366</v>
      </c>
      <c r="B199">
        <v>282</v>
      </c>
      <c r="C199" t="s">
        <v>2721</v>
      </c>
      <c r="D199" t="s">
        <v>176</v>
      </c>
      <c r="F199" t="s">
        <v>41</v>
      </c>
    </row>
    <row r="200" spans="1:6">
      <c r="A200" t="s">
        <v>1363</v>
      </c>
      <c r="B200">
        <v>99</v>
      </c>
      <c r="C200" t="s">
        <v>2909</v>
      </c>
      <c r="D200" t="s">
        <v>844</v>
      </c>
      <c r="F200" t="s">
        <v>4</v>
      </c>
    </row>
    <row r="201" spans="1:6">
      <c r="A201" t="s">
        <v>1363</v>
      </c>
      <c r="B201">
        <v>52</v>
      </c>
      <c r="C201" t="s">
        <v>13438</v>
      </c>
      <c r="D201" t="s">
        <v>3119</v>
      </c>
      <c r="F201" t="s">
        <v>4</v>
      </c>
    </row>
    <row r="202" spans="1:6">
      <c r="A202" t="s">
        <v>13434</v>
      </c>
      <c r="B202">
        <v>137</v>
      </c>
      <c r="C202" t="s">
        <v>3444</v>
      </c>
      <c r="D202" t="s">
        <v>3119</v>
      </c>
      <c r="F202" t="s">
        <v>7</v>
      </c>
    </row>
    <row r="203" spans="1:6">
      <c r="A203" t="s">
        <v>13434</v>
      </c>
      <c r="B203">
        <v>155</v>
      </c>
      <c r="C203" t="s">
        <v>3446</v>
      </c>
      <c r="D203" t="s">
        <v>3119</v>
      </c>
      <c r="F203" t="s">
        <v>7</v>
      </c>
    </row>
    <row r="204" spans="1:6">
      <c r="A204" t="s">
        <v>13434</v>
      </c>
      <c r="B204">
        <v>196</v>
      </c>
      <c r="C204" t="s">
        <v>13442</v>
      </c>
      <c r="D204" t="s">
        <v>3119</v>
      </c>
      <c r="F204" t="s">
        <v>7</v>
      </c>
    </row>
    <row r="205" spans="1:6">
      <c r="A205" t="s">
        <v>1363</v>
      </c>
      <c r="B205">
        <v>9</v>
      </c>
      <c r="C205" t="s">
        <v>738</v>
      </c>
      <c r="D205" t="s">
        <v>606</v>
      </c>
      <c r="F205" t="s">
        <v>7</v>
      </c>
    </row>
    <row r="206" spans="1:6">
      <c r="A206" t="s">
        <v>1363</v>
      </c>
      <c r="B206">
        <v>87</v>
      </c>
      <c r="C206" t="s">
        <v>2784</v>
      </c>
      <c r="D206" t="s">
        <v>606</v>
      </c>
      <c r="F206" t="s">
        <v>4</v>
      </c>
    </row>
    <row r="207" spans="1:6">
      <c r="A207" t="s">
        <v>13434</v>
      </c>
      <c r="B207">
        <v>177</v>
      </c>
      <c r="C207" t="s">
        <v>2835</v>
      </c>
      <c r="D207" t="s">
        <v>606</v>
      </c>
      <c r="F207" t="s">
        <v>7</v>
      </c>
    </row>
    <row r="208" spans="1:6">
      <c r="A208" t="s">
        <v>1363</v>
      </c>
      <c r="B208">
        <v>66</v>
      </c>
      <c r="C208" t="s">
        <v>2663</v>
      </c>
      <c r="D208" t="s">
        <v>171</v>
      </c>
      <c r="F208" t="s">
        <v>7</v>
      </c>
    </row>
    <row r="209" spans="1:6">
      <c r="A209" t="s">
        <v>1366</v>
      </c>
      <c r="B209">
        <v>276</v>
      </c>
      <c r="C209" t="s">
        <v>8570</v>
      </c>
      <c r="D209" t="s">
        <v>37</v>
      </c>
      <c r="F209" t="s">
        <v>41</v>
      </c>
    </row>
    <row r="210" spans="1:6">
      <c r="A210" t="s">
        <v>1363</v>
      </c>
      <c r="B210">
        <v>12</v>
      </c>
      <c r="C210" t="s">
        <v>756</v>
      </c>
      <c r="D210" t="s">
        <v>33</v>
      </c>
      <c r="F210" t="s">
        <v>7</v>
      </c>
    </row>
    <row r="211" spans="1:6">
      <c r="A211" t="s">
        <v>1363</v>
      </c>
      <c r="B211">
        <v>48</v>
      </c>
      <c r="C211" t="s">
        <v>2458</v>
      </c>
      <c r="D211" t="s">
        <v>8</v>
      </c>
      <c r="F211" t="s">
        <v>7</v>
      </c>
    </row>
    <row r="212" spans="1:6">
      <c r="A212" t="s">
        <v>1363</v>
      </c>
      <c r="B212">
        <v>95</v>
      </c>
      <c r="C212" t="s">
        <v>2902</v>
      </c>
      <c r="D212" t="s">
        <v>8</v>
      </c>
      <c r="F212" t="s">
        <v>4</v>
      </c>
    </row>
    <row r="213" spans="1:6">
      <c r="A213" t="s">
        <v>13434</v>
      </c>
      <c r="B213">
        <v>165</v>
      </c>
      <c r="C213" t="s">
        <v>11137</v>
      </c>
      <c r="D213" t="s">
        <v>8</v>
      </c>
      <c r="F213" t="s">
        <v>7</v>
      </c>
    </row>
    <row r="214" spans="1:6">
      <c r="A214" t="s">
        <v>13434</v>
      </c>
      <c r="B214">
        <v>194</v>
      </c>
      <c r="C214" t="s">
        <v>4677</v>
      </c>
      <c r="D214" t="s">
        <v>8</v>
      </c>
      <c r="F214" t="s">
        <v>7</v>
      </c>
    </row>
    <row r="215" spans="1:6">
      <c r="A215" t="s">
        <v>1366</v>
      </c>
      <c r="B215">
        <v>289</v>
      </c>
      <c r="C215" t="s">
        <v>4236</v>
      </c>
      <c r="D215" t="s">
        <v>8</v>
      </c>
      <c r="F215" t="s">
        <v>9</v>
      </c>
    </row>
    <row r="216" spans="1:6">
      <c r="A216" t="s">
        <v>1363</v>
      </c>
      <c r="B216">
        <v>14</v>
      </c>
      <c r="C216" t="s">
        <v>4088</v>
      </c>
      <c r="D216" t="s">
        <v>6</v>
      </c>
      <c r="F216" t="s">
        <v>4</v>
      </c>
    </row>
    <row r="217" spans="1:6">
      <c r="A217" t="s">
        <v>1363</v>
      </c>
      <c r="B217">
        <v>34</v>
      </c>
      <c r="C217" t="s">
        <v>7457</v>
      </c>
      <c r="D217" t="s">
        <v>6</v>
      </c>
      <c r="F217" t="s">
        <v>4</v>
      </c>
    </row>
    <row r="218" spans="1:6">
      <c r="A218" t="s">
        <v>1363</v>
      </c>
      <c r="B218">
        <v>92</v>
      </c>
      <c r="C218" t="s">
        <v>4099</v>
      </c>
      <c r="D218" t="s">
        <v>6</v>
      </c>
      <c r="F218" t="s">
        <v>4</v>
      </c>
    </row>
    <row r="219" spans="1:6">
      <c r="A219" t="s">
        <v>1363</v>
      </c>
      <c r="B219">
        <v>94</v>
      </c>
      <c r="C219" t="s">
        <v>4216</v>
      </c>
      <c r="D219" t="s">
        <v>6</v>
      </c>
      <c r="F219" t="s">
        <v>7</v>
      </c>
    </row>
    <row r="220" spans="1:6">
      <c r="A220" t="s">
        <v>1363</v>
      </c>
      <c r="B220">
        <v>97</v>
      </c>
      <c r="C220" t="s">
        <v>2906</v>
      </c>
      <c r="D220" t="s">
        <v>6</v>
      </c>
      <c r="F220" t="s">
        <v>4</v>
      </c>
    </row>
    <row r="221" spans="1:6">
      <c r="A221" t="s">
        <v>1363</v>
      </c>
      <c r="B221">
        <v>101</v>
      </c>
      <c r="C221" t="s">
        <v>4085</v>
      </c>
      <c r="D221" t="s">
        <v>6</v>
      </c>
      <c r="F221" t="s">
        <v>4</v>
      </c>
    </row>
    <row r="222" spans="1:6">
      <c r="A222" t="s">
        <v>13434</v>
      </c>
      <c r="B222">
        <v>180</v>
      </c>
      <c r="C222" t="s">
        <v>12233</v>
      </c>
      <c r="D222" s="102" t="s">
        <v>6</v>
      </c>
      <c r="E222" s="102"/>
      <c r="F222" s="102" t="s">
        <v>7</v>
      </c>
    </row>
    <row r="223" spans="1:6">
      <c r="A223" t="s">
        <v>13435</v>
      </c>
      <c r="B223">
        <v>242</v>
      </c>
      <c r="C223" t="s">
        <v>11708</v>
      </c>
      <c r="D223" t="s">
        <v>6</v>
      </c>
      <c r="F223" t="s">
        <v>9</v>
      </c>
    </row>
    <row r="224" spans="1:6">
      <c r="A224" t="s">
        <v>13435</v>
      </c>
      <c r="B224">
        <v>258</v>
      </c>
      <c r="C224" t="s">
        <v>4169</v>
      </c>
      <c r="D224" t="s">
        <v>6</v>
      </c>
      <c r="F224" t="s">
        <v>9</v>
      </c>
    </row>
    <row r="225" spans="1:6">
      <c r="A225" t="s">
        <v>13435</v>
      </c>
      <c r="B225">
        <v>262</v>
      </c>
      <c r="C225" t="s">
        <v>4466</v>
      </c>
      <c r="D225" t="s">
        <v>6</v>
      </c>
      <c r="F225" t="s">
        <v>9</v>
      </c>
    </row>
    <row r="226" spans="1:6">
      <c r="A226" t="s">
        <v>13435</v>
      </c>
      <c r="B226">
        <v>266</v>
      </c>
      <c r="C226" t="s">
        <v>4089</v>
      </c>
      <c r="D226" t="s">
        <v>6</v>
      </c>
      <c r="F226" t="s">
        <v>9</v>
      </c>
    </row>
    <row r="227" spans="1:6">
      <c r="A227" t="s">
        <v>1366</v>
      </c>
      <c r="B227">
        <v>288</v>
      </c>
      <c r="C227" t="s">
        <v>4131</v>
      </c>
      <c r="D227" t="s">
        <v>6</v>
      </c>
      <c r="F227" t="s">
        <v>41</v>
      </c>
    </row>
    <row r="228" spans="1:6">
      <c r="A228" t="s">
        <v>1366</v>
      </c>
      <c r="B228">
        <v>290</v>
      </c>
      <c r="C228" t="s">
        <v>4383</v>
      </c>
      <c r="D228" t="s">
        <v>6</v>
      </c>
      <c r="F228" t="s">
        <v>41</v>
      </c>
    </row>
    <row r="229" spans="1:6">
      <c r="A229" t="s">
        <v>1366</v>
      </c>
      <c r="B229">
        <v>293</v>
      </c>
      <c r="C229" t="s">
        <v>4674</v>
      </c>
      <c r="D229" t="s">
        <v>6</v>
      </c>
      <c r="F229" t="s">
        <v>9</v>
      </c>
    </row>
    <row r="230" spans="1:6">
      <c r="A230" t="s">
        <v>1363</v>
      </c>
      <c r="B230">
        <v>32</v>
      </c>
      <c r="C230" t="s">
        <v>7277</v>
      </c>
      <c r="D230" t="s">
        <v>170</v>
      </c>
      <c r="F230" t="s">
        <v>4</v>
      </c>
    </row>
    <row r="231" spans="1:6">
      <c r="A231" t="s">
        <v>13434</v>
      </c>
      <c r="B231">
        <v>182</v>
      </c>
      <c r="C231" t="s">
        <v>13446</v>
      </c>
      <c r="D231" t="s">
        <v>170</v>
      </c>
      <c r="F231" s="102" t="s">
        <v>7</v>
      </c>
    </row>
    <row r="232" spans="1:6">
      <c r="A232" t="s">
        <v>13435</v>
      </c>
      <c r="B232">
        <v>252</v>
      </c>
      <c r="C232" t="s">
        <v>2893</v>
      </c>
      <c r="D232" t="s">
        <v>170</v>
      </c>
      <c r="F232" t="s">
        <v>9</v>
      </c>
    </row>
    <row r="233" spans="1:6">
      <c r="A233" t="s">
        <v>1363</v>
      </c>
      <c r="B233">
        <v>31</v>
      </c>
      <c r="C233" t="s">
        <v>7181</v>
      </c>
      <c r="D233" t="s">
        <v>36</v>
      </c>
      <c r="F233" t="s">
        <v>4</v>
      </c>
    </row>
    <row r="234" spans="1:6">
      <c r="A234" t="s">
        <v>1363</v>
      </c>
      <c r="B234">
        <v>110</v>
      </c>
      <c r="C234" t="s">
        <v>3735</v>
      </c>
      <c r="D234" t="s">
        <v>36</v>
      </c>
      <c r="F234" t="s">
        <v>4</v>
      </c>
    </row>
    <row r="235" spans="1:6">
      <c r="A235" t="s">
        <v>13434</v>
      </c>
      <c r="B235">
        <v>154</v>
      </c>
      <c r="C235" t="s">
        <v>9705</v>
      </c>
      <c r="D235" s="1" t="s">
        <v>36</v>
      </c>
      <c r="E235" s="1"/>
      <c r="F235" s="1" t="s">
        <v>7</v>
      </c>
    </row>
    <row r="236" spans="1:6">
      <c r="A236" t="s">
        <v>13435</v>
      </c>
      <c r="B236">
        <v>229</v>
      </c>
      <c r="C236" t="s">
        <v>10281</v>
      </c>
      <c r="D236" t="s">
        <v>36</v>
      </c>
      <c r="F236" t="s">
        <v>9</v>
      </c>
    </row>
    <row r="237" spans="1:6">
      <c r="A237" t="s">
        <v>13435</v>
      </c>
      <c r="B237">
        <v>256</v>
      </c>
      <c r="C237" t="s">
        <v>13224</v>
      </c>
      <c r="D237" t="s">
        <v>36</v>
      </c>
      <c r="F237" t="s">
        <v>9</v>
      </c>
    </row>
    <row r="238" spans="1:6">
      <c r="A238" t="s">
        <v>1363</v>
      </c>
      <c r="B238">
        <v>67</v>
      </c>
      <c r="C238" t="s">
        <v>2584</v>
      </c>
      <c r="D238" t="s">
        <v>179</v>
      </c>
      <c r="F238" t="s">
        <v>4</v>
      </c>
    </row>
    <row r="239" spans="1:6">
      <c r="A239" t="s">
        <v>13434</v>
      </c>
      <c r="B239">
        <v>168</v>
      </c>
      <c r="C239" t="s">
        <v>11468</v>
      </c>
      <c r="D239" t="s">
        <v>179</v>
      </c>
      <c r="F239" t="s">
        <v>7</v>
      </c>
    </row>
    <row r="240" spans="1:6">
      <c r="A240" t="s">
        <v>1363</v>
      </c>
      <c r="B240">
        <v>43</v>
      </c>
      <c r="C240" t="s">
        <v>2434</v>
      </c>
      <c r="D240" t="s">
        <v>46</v>
      </c>
      <c r="F240" t="s">
        <v>7</v>
      </c>
    </row>
    <row r="241" spans="1:6">
      <c r="A241" t="s">
        <v>1363</v>
      </c>
      <c r="B241">
        <v>44</v>
      </c>
      <c r="C241" t="s">
        <v>2435</v>
      </c>
      <c r="D241" t="s">
        <v>46</v>
      </c>
      <c r="F241" t="s">
        <v>7</v>
      </c>
    </row>
    <row r="242" spans="1:6">
      <c r="A242" t="s">
        <v>1363</v>
      </c>
      <c r="B242">
        <v>56</v>
      </c>
      <c r="C242" t="s">
        <v>2585</v>
      </c>
      <c r="D242" t="s">
        <v>46</v>
      </c>
      <c r="F242" t="s">
        <v>7</v>
      </c>
    </row>
    <row r="243" spans="1:6">
      <c r="A243" t="s">
        <v>1363</v>
      </c>
      <c r="B243">
        <v>57</v>
      </c>
      <c r="C243" t="s">
        <v>2586</v>
      </c>
      <c r="D243" t="s">
        <v>46</v>
      </c>
      <c r="F243" t="s">
        <v>7</v>
      </c>
    </row>
    <row r="244" spans="1:6">
      <c r="A244" t="s">
        <v>1363</v>
      </c>
      <c r="B244">
        <v>77</v>
      </c>
      <c r="C244" t="s">
        <v>2788</v>
      </c>
      <c r="D244" t="s">
        <v>46</v>
      </c>
      <c r="F244" t="s">
        <v>7</v>
      </c>
    </row>
    <row r="245" spans="1:6">
      <c r="A245" t="s">
        <v>1363</v>
      </c>
      <c r="B245">
        <v>78</v>
      </c>
      <c r="C245" t="s">
        <v>2789</v>
      </c>
      <c r="D245" t="s">
        <v>46</v>
      </c>
      <c r="F245" t="s">
        <v>7</v>
      </c>
    </row>
    <row r="246" spans="1:6">
      <c r="A246" t="s">
        <v>13434</v>
      </c>
      <c r="B246">
        <v>130</v>
      </c>
      <c r="C246" t="s">
        <v>3436</v>
      </c>
      <c r="D246" t="s">
        <v>46</v>
      </c>
      <c r="F246" t="s">
        <v>7</v>
      </c>
    </row>
    <row r="247" spans="1:6">
      <c r="A247" t="s">
        <v>13434</v>
      </c>
      <c r="B247">
        <v>133</v>
      </c>
      <c r="C247" t="s">
        <v>2275</v>
      </c>
      <c r="D247" t="s">
        <v>46</v>
      </c>
      <c r="F247" t="s">
        <v>7</v>
      </c>
    </row>
    <row r="248" spans="1:6">
      <c r="A248" t="s">
        <v>13434</v>
      </c>
      <c r="B248">
        <v>134</v>
      </c>
      <c r="C248" t="s">
        <v>2276</v>
      </c>
      <c r="D248" t="s">
        <v>46</v>
      </c>
      <c r="F248" t="s">
        <v>7</v>
      </c>
    </row>
    <row r="249" spans="1:6">
      <c r="A249" t="s">
        <v>13434</v>
      </c>
      <c r="B249">
        <v>146</v>
      </c>
      <c r="C249" t="s">
        <v>2445</v>
      </c>
      <c r="D249" t="s">
        <v>46</v>
      </c>
      <c r="F249" t="s">
        <v>7</v>
      </c>
    </row>
    <row r="250" spans="1:6">
      <c r="A250" t="s">
        <v>13434</v>
      </c>
      <c r="B250">
        <v>149</v>
      </c>
      <c r="C250" t="s">
        <v>2454</v>
      </c>
      <c r="D250" t="s">
        <v>46</v>
      </c>
      <c r="F250" t="s">
        <v>7</v>
      </c>
    </row>
    <row r="251" spans="1:6">
      <c r="A251" t="s">
        <v>13434</v>
      </c>
      <c r="B251">
        <v>157</v>
      </c>
      <c r="C251" t="s">
        <v>2600</v>
      </c>
      <c r="D251" t="s">
        <v>46</v>
      </c>
      <c r="F251" t="s">
        <v>7</v>
      </c>
    </row>
    <row r="252" spans="1:6">
      <c r="A252" t="s">
        <v>13434</v>
      </c>
      <c r="B252">
        <v>158</v>
      </c>
      <c r="C252" t="s">
        <v>2601</v>
      </c>
      <c r="D252" t="s">
        <v>46</v>
      </c>
      <c r="F252" t="s">
        <v>7</v>
      </c>
    </row>
    <row r="253" spans="1:6">
      <c r="A253" t="s">
        <v>13434</v>
      </c>
      <c r="B253">
        <v>171</v>
      </c>
      <c r="C253" t="s">
        <v>2803</v>
      </c>
      <c r="D253" t="s">
        <v>46</v>
      </c>
      <c r="F253" t="s">
        <v>7</v>
      </c>
    </row>
    <row r="254" spans="1:6">
      <c r="A254" t="s">
        <v>13434</v>
      </c>
      <c r="B254">
        <v>172</v>
      </c>
      <c r="C254" t="s">
        <v>2804</v>
      </c>
      <c r="D254" t="s">
        <v>46</v>
      </c>
      <c r="F254" t="s">
        <v>7</v>
      </c>
    </row>
    <row r="255" spans="1:6">
      <c r="A255" t="s">
        <v>13434</v>
      </c>
      <c r="B255">
        <v>173</v>
      </c>
      <c r="C255" t="s">
        <v>2805</v>
      </c>
      <c r="D255" t="s">
        <v>46</v>
      </c>
      <c r="F255" t="s">
        <v>7</v>
      </c>
    </row>
    <row r="256" spans="1:6">
      <c r="A256" t="s">
        <v>13434</v>
      </c>
      <c r="B256">
        <v>178</v>
      </c>
      <c r="C256" t="s">
        <v>2843</v>
      </c>
      <c r="D256" t="s">
        <v>46</v>
      </c>
      <c r="F256" t="s">
        <v>7</v>
      </c>
    </row>
    <row r="257" spans="1:6">
      <c r="A257" t="s">
        <v>13434</v>
      </c>
      <c r="B257">
        <v>184</v>
      </c>
      <c r="C257" t="s">
        <v>3439</v>
      </c>
      <c r="D257" t="s">
        <v>46</v>
      </c>
      <c r="F257" t="s">
        <v>4</v>
      </c>
    </row>
    <row r="258" spans="1:6">
      <c r="A258" t="s">
        <v>13435</v>
      </c>
      <c r="B258">
        <v>211</v>
      </c>
      <c r="C258" t="s">
        <v>6865</v>
      </c>
      <c r="D258" t="s">
        <v>46</v>
      </c>
      <c r="F258" t="s">
        <v>9</v>
      </c>
    </row>
    <row r="259" spans="1:6">
      <c r="A259" t="s">
        <v>13435</v>
      </c>
      <c r="B259">
        <v>220</v>
      </c>
      <c r="C259" t="s">
        <v>4765</v>
      </c>
      <c r="D259" t="s">
        <v>46</v>
      </c>
      <c r="F259" t="s">
        <v>41</v>
      </c>
    </row>
    <row r="260" spans="1:6">
      <c r="A260" t="s">
        <v>13435</v>
      </c>
      <c r="B260">
        <v>221</v>
      </c>
      <c r="C260" t="s">
        <v>5185</v>
      </c>
      <c r="D260" t="s">
        <v>46</v>
      </c>
      <c r="F260" t="s">
        <v>41</v>
      </c>
    </row>
    <row r="261" spans="1:6">
      <c r="A261" t="s">
        <v>13435</v>
      </c>
      <c r="B261">
        <v>235</v>
      </c>
      <c r="C261" t="s">
        <v>2676</v>
      </c>
      <c r="D261" t="s">
        <v>46</v>
      </c>
      <c r="F261" t="s">
        <v>9</v>
      </c>
    </row>
    <row r="262" spans="1:6">
      <c r="A262" t="s">
        <v>13435</v>
      </c>
      <c r="B262">
        <v>236</v>
      </c>
      <c r="C262" t="s">
        <v>2677</v>
      </c>
      <c r="D262" t="s">
        <v>46</v>
      </c>
      <c r="F262" t="s">
        <v>9</v>
      </c>
    </row>
    <row r="263" spans="1:6">
      <c r="A263" t="s">
        <v>13435</v>
      </c>
      <c r="B263">
        <v>250</v>
      </c>
      <c r="C263" t="s">
        <v>2888</v>
      </c>
      <c r="D263" t="s">
        <v>46</v>
      </c>
      <c r="F263" t="s">
        <v>9</v>
      </c>
    </row>
    <row r="264" spans="1:6">
      <c r="A264" t="s">
        <v>13435</v>
      </c>
      <c r="B264">
        <v>251</v>
      </c>
      <c r="C264" t="s">
        <v>2889</v>
      </c>
      <c r="D264" t="s">
        <v>46</v>
      </c>
      <c r="F264" t="s">
        <v>9</v>
      </c>
    </row>
    <row r="265" spans="1:6">
      <c r="A265" t="s">
        <v>13435</v>
      </c>
      <c r="B265">
        <v>257</v>
      </c>
      <c r="C265" t="s">
        <v>4142</v>
      </c>
      <c r="D265" t="s">
        <v>46</v>
      </c>
      <c r="F265" t="s">
        <v>9</v>
      </c>
    </row>
    <row r="266" spans="1:6">
      <c r="A266" t="s">
        <v>13435</v>
      </c>
      <c r="B266">
        <v>267</v>
      </c>
      <c r="C266" t="s">
        <v>13443</v>
      </c>
      <c r="D266" t="s">
        <v>46</v>
      </c>
      <c r="F266" t="s">
        <v>9</v>
      </c>
    </row>
    <row r="267" spans="1:6">
      <c r="A267" t="s">
        <v>1363</v>
      </c>
      <c r="B267">
        <v>8</v>
      </c>
      <c r="C267" t="s">
        <v>701</v>
      </c>
      <c r="D267" t="s">
        <v>15</v>
      </c>
      <c r="F267" t="s">
        <v>7</v>
      </c>
    </row>
    <row r="268" spans="1:6">
      <c r="A268" t="s">
        <v>1363</v>
      </c>
      <c r="B268">
        <v>23</v>
      </c>
      <c r="C268" t="s">
        <v>2250</v>
      </c>
      <c r="D268" t="s">
        <v>15</v>
      </c>
      <c r="F268" t="s">
        <v>7</v>
      </c>
    </row>
    <row r="269" spans="1:6">
      <c r="A269" t="s">
        <v>1363</v>
      </c>
      <c r="B269">
        <v>42</v>
      </c>
      <c r="C269" t="s">
        <v>2428</v>
      </c>
      <c r="D269" t="s">
        <v>15</v>
      </c>
      <c r="F269" t="s">
        <v>7</v>
      </c>
    </row>
    <row r="270" spans="1:6">
      <c r="A270" t="s">
        <v>1363</v>
      </c>
      <c r="B270">
        <v>61</v>
      </c>
      <c r="C270" t="s">
        <v>2626</v>
      </c>
      <c r="D270" t="s">
        <v>15</v>
      </c>
      <c r="F270" t="s">
        <v>7</v>
      </c>
    </row>
    <row r="271" spans="1:6">
      <c r="A271" t="s">
        <v>1363</v>
      </c>
      <c r="B271">
        <v>80</v>
      </c>
      <c r="C271" t="s">
        <v>2756</v>
      </c>
      <c r="D271" t="s">
        <v>15</v>
      </c>
      <c r="F271" t="s">
        <v>4</v>
      </c>
    </row>
    <row r="272" spans="1:6">
      <c r="A272" t="s">
        <v>1363</v>
      </c>
      <c r="B272">
        <v>83</v>
      </c>
      <c r="C272" t="s">
        <v>2830</v>
      </c>
      <c r="D272" t="s">
        <v>15</v>
      </c>
      <c r="F272" t="s">
        <v>7</v>
      </c>
    </row>
    <row r="273" spans="1:6">
      <c r="A273" t="s">
        <v>13434</v>
      </c>
      <c r="B273">
        <v>147</v>
      </c>
      <c r="C273" t="s">
        <v>2451</v>
      </c>
      <c r="D273" t="s">
        <v>169</v>
      </c>
      <c r="F273" t="s">
        <v>7</v>
      </c>
    </row>
    <row r="274" spans="1:6">
      <c r="A274" t="s">
        <v>13434</v>
      </c>
      <c r="B274">
        <v>183</v>
      </c>
      <c r="C274" t="s">
        <v>13445</v>
      </c>
      <c r="D274" t="s">
        <v>169</v>
      </c>
      <c r="F274" t="s">
        <v>7</v>
      </c>
    </row>
    <row r="275" spans="1:6">
      <c r="A275" t="s">
        <v>13434</v>
      </c>
      <c r="B275">
        <v>199</v>
      </c>
      <c r="C275" t="s">
        <v>13444</v>
      </c>
      <c r="D275" t="s">
        <v>169</v>
      </c>
      <c r="F275" t="s">
        <v>7</v>
      </c>
    </row>
    <row r="276" spans="1:6">
      <c r="A276" t="s">
        <v>13435</v>
      </c>
      <c r="B276">
        <v>254</v>
      </c>
      <c r="C276" t="s">
        <v>12992</v>
      </c>
      <c r="D276" t="s">
        <v>169</v>
      </c>
      <c r="F276" t="s">
        <v>9</v>
      </c>
    </row>
    <row r="277" spans="1:6">
      <c r="A277" t="s">
        <v>1363</v>
      </c>
      <c r="B277">
        <v>21</v>
      </c>
      <c r="C277" t="s">
        <v>2173</v>
      </c>
      <c r="D277" t="s">
        <v>14</v>
      </c>
      <c r="F277" t="s">
        <v>4</v>
      </c>
    </row>
    <row r="278" spans="1:6">
      <c r="A278" t="s">
        <v>13434</v>
      </c>
      <c r="B278">
        <v>123</v>
      </c>
      <c r="C278" t="s">
        <v>763</v>
      </c>
      <c r="D278" t="s">
        <v>14</v>
      </c>
      <c r="F278" t="s">
        <v>7</v>
      </c>
    </row>
    <row r="279" spans="1:6">
      <c r="A279" t="s">
        <v>13434</v>
      </c>
      <c r="B279">
        <v>148</v>
      </c>
      <c r="C279" t="s">
        <v>2453</v>
      </c>
      <c r="D279" s="1" t="s">
        <v>14</v>
      </c>
      <c r="E279" s="1"/>
      <c r="F279" s="1" t="s">
        <v>7</v>
      </c>
    </row>
    <row r="280" spans="1:6">
      <c r="A280" t="s">
        <v>13434</v>
      </c>
      <c r="B280">
        <v>152</v>
      </c>
      <c r="C280" t="s">
        <v>9432</v>
      </c>
      <c r="D280" t="s">
        <v>14</v>
      </c>
      <c r="F280" s="1" t="s">
        <v>7</v>
      </c>
    </row>
    <row r="281" spans="1:6">
      <c r="A281" t="s">
        <v>13435</v>
      </c>
      <c r="B281">
        <v>224</v>
      </c>
      <c r="C281" t="s">
        <v>8282</v>
      </c>
      <c r="D281" t="s">
        <v>14</v>
      </c>
      <c r="F281" t="s">
        <v>9</v>
      </c>
    </row>
    <row r="282" spans="1:6">
      <c r="A282" t="s">
        <v>1363</v>
      </c>
      <c r="B282">
        <v>90</v>
      </c>
      <c r="C282" t="s">
        <v>12314</v>
      </c>
      <c r="D282" t="s">
        <v>31</v>
      </c>
      <c r="F282" t="s">
        <v>4</v>
      </c>
    </row>
    <row r="283" spans="1:6">
      <c r="A283" t="s">
        <v>13435</v>
      </c>
      <c r="B283">
        <v>244</v>
      </c>
      <c r="C283" t="s">
        <v>11937</v>
      </c>
      <c r="D283" t="s">
        <v>31</v>
      </c>
      <c r="F283" t="s">
        <v>9</v>
      </c>
    </row>
    <row r="284" spans="1:6">
      <c r="A284" t="s">
        <v>1363</v>
      </c>
      <c r="B284">
        <v>25</v>
      </c>
      <c r="C284" t="s">
        <v>4008</v>
      </c>
      <c r="D284" t="s">
        <v>3999</v>
      </c>
      <c r="F284" t="s">
        <v>4000</v>
      </c>
    </row>
    <row r="285" spans="1:6">
      <c r="A285" t="s">
        <v>13434</v>
      </c>
      <c r="B285">
        <v>200</v>
      </c>
      <c r="C285" t="s">
        <v>5916</v>
      </c>
      <c r="D285" t="s">
        <v>604</v>
      </c>
      <c r="F285" t="s">
        <v>7</v>
      </c>
    </row>
    <row r="286" spans="1:6">
      <c r="A286" t="s">
        <v>1363</v>
      </c>
      <c r="B286">
        <v>13</v>
      </c>
      <c r="C286" t="s">
        <v>6303</v>
      </c>
      <c r="D286" t="s">
        <v>607</v>
      </c>
      <c r="F286" t="s">
        <v>4</v>
      </c>
    </row>
    <row r="287" spans="1:6">
      <c r="A287" t="s">
        <v>13434</v>
      </c>
      <c r="B287">
        <v>127</v>
      </c>
      <c r="C287" t="s">
        <v>5451</v>
      </c>
      <c r="D287" t="s">
        <v>607</v>
      </c>
      <c r="F287" t="s">
        <v>7</v>
      </c>
    </row>
    <row r="288" spans="1:6">
      <c r="A288" t="s">
        <v>1363</v>
      </c>
      <c r="B288">
        <v>106</v>
      </c>
      <c r="C288" t="s">
        <v>4697</v>
      </c>
      <c r="D288" t="s">
        <v>4700</v>
      </c>
      <c r="F288" t="s">
        <v>4</v>
      </c>
    </row>
    <row r="289" spans="1:3">
      <c r="A289" t="s">
        <v>1363</v>
      </c>
      <c r="B289">
        <v>69</v>
      </c>
      <c r="C289" t="s">
        <v>10710</v>
      </c>
    </row>
    <row r="290" spans="1:3">
      <c r="A290" t="s">
        <v>1363</v>
      </c>
      <c r="B290">
        <v>70</v>
      </c>
      <c r="C290" t="s">
        <v>10716</v>
      </c>
    </row>
    <row r="291" spans="1:3">
      <c r="A291" t="s">
        <v>1363</v>
      </c>
      <c r="B291">
        <v>72</v>
      </c>
      <c r="C291" t="s">
        <v>10535</v>
      </c>
    </row>
    <row r="292" spans="1:3">
      <c r="A292" t="s">
        <v>1363</v>
      </c>
      <c r="B292">
        <v>113</v>
      </c>
      <c r="C292" t="s">
        <v>13349</v>
      </c>
    </row>
    <row r="293" spans="1:3">
      <c r="A293" t="s">
        <v>1363</v>
      </c>
      <c r="B293">
        <v>114</v>
      </c>
      <c r="C293" t="s">
        <v>13350</v>
      </c>
    </row>
    <row r="294" spans="1:3">
      <c r="A294" t="s">
        <v>1363</v>
      </c>
      <c r="B294">
        <v>115</v>
      </c>
      <c r="C294" t="s">
        <v>13351</v>
      </c>
    </row>
    <row r="295" spans="1:3">
      <c r="A295" t="s">
        <v>1363</v>
      </c>
      <c r="B295">
        <v>116</v>
      </c>
      <c r="C295" t="s">
        <v>13352</v>
      </c>
    </row>
    <row r="296" spans="1:3">
      <c r="A296" t="s">
        <v>1363</v>
      </c>
      <c r="B296">
        <v>117</v>
      </c>
      <c r="C296" t="s">
        <v>13353</v>
      </c>
    </row>
  </sheetData>
  <sortState ref="A3:H296">
    <sortCondition ref="B3:B296"/>
  </sortState>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69"/>
  <sheetViews>
    <sheetView workbookViewId="0">
      <selection activeCell="Q32" sqref="Q32"/>
    </sheetView>
  </sheetViews>
  <sheetFormatPr defaultRowHeight="13.5"/>
  <cols>
    <col min="19" max="19" width="9" style="1"/>
    <col min="20" max="20" width="9" style="25"/>
  </cols>
  <sheetData>
    <row r="1" spans="1:20" ht="14.25" thickBot="1"/>
    <row r="2" spans="1:20" ht="14.25" thickBot="1">
      <c r="A2" s="41">
        <v>1</v>
      </c>
      <c r="B2" s="41" t="s">
        <v>3462</v>
      </c>
      <c r="C2" s="41" t="s">
        <v>3463</v>
      </c>
      <c r="D2" s="41" t="s">
        <v>3464</v>
      </c>
      <c r="E2" s="41" t="s">
        <v>3465</v>
      </c>
      <c r="F2" s="41" t="s">
        <v>3466</v>
      </c>
      <c r="G2" s="41" t="s">
        <v>3462</v>
      </c>
      <c r="H2" s="41" t="s">
        <v>3462</v>
      </c>
      <c r="I2" s="41" t="s">
        <v>3490</v>
      </c>
      <c r="J2" s="41" t="s">
        <v>3467</v>
      </c>
      <c r="K2" s="41" t="s">
        <v>3489</v>
      </c>
      <c r="M2" s="35">
        <v>1</v>
      </c>
      <c r="N2" s="36" t="s">
        <v>3462</v>
      </c>
      <c r="O2" s="37" t="s">
        <v>3462</v>
      </c>
      <c r="P2" s="37" t="s">
        <v>3462</v>
      </c>
      <c r="Q2" s="37" t="s">
        <v>3467</v>
      </c>
      <c r="S2" s="1" t="s">
        <v>13313</v>
      </c>
      <c r="T2" s="25" t="s">
        <v>13314</v>
      </c>
    </row>
    <row r="3" spans="1:20">
      <c r="A3" s="41">
        <v>2</v>
      </c>
      <c r="B3" s="41" t="s">
        <v>3462</v>
      </c>
      <c r="C3" s="41" t="s">
        <v>3463</v>
      </c>
      <c r="D3" s="41" t="s">
        <v>3464</v>
      </c>
      <c r="E3" s="41" t="s">
        <v>3465</v>
      </c>
      <c r="F3" s="41" t="s">
        <v>3466</v>
      </c>
      <c r="G3" s="41" t="s">
        <v>3463</v>
      </c>
      <c r="H3" s="41" t="s">
        <v>3463</v>
      </c>
      <c r="I3" s="41" t="s">
        <v>3490</v>
      </c>
      <c r="J3" s="41" t="s">
        <v>3468</v>
      </c>
      <c r="K3" s="41" t="s">
        <v>3489</v>
      </c>
      <c r="M3" s="39">
        <v>2</v>
      </c>
      <c r="N3" s="40" t="s">
        <v>3463</v>
      </c>
      <c r="O3" s="41" t="s">
        <v>3463</v>
      </c>
      <c r="P3" s="41" t="s">
        <v>3463</v>
      </c>
      <c r="Q3" s="41" t="s">
        <v>3468</v>
      </c>
      <c r="S3" s="22" t="s">
        <v>13486</v>
      </c>
    </row>
    <row r="4" spans="1:20">
      <c r="A4" s="41">
        <v>3</v>
      </c>
      <c r="B4" s="41" t="s">
        <v>3462</v>
      </c>
      <c r="C4" s="41" t="s">
        <v>3463</v>
      </c>
      <c r="D4" s="41" t="s">
        <v>3464</v>
      </c>
      <c r="E4" s="41" t="s">
        <v>3465</v>
      </c>
      <c r="F4" s="41" t="s">
        <v>3466</v>
      </c>
      <c r="G4" s="41" t="s">
        <v>3464</v>
      </c>
      <c r="H4" s="41" t="s">
        <v>3464</v>
      </c>
      <c r="I4" s="41" t="s">
        <v>3490</v>
      </c>
      <c r="J4" s="41" t="s">
        <v>3469</v>
      </c>
      <c r="K4" s="41" t="s">
        <v>3489</v>
      </c>
      <c r="M4" s="39">
        <v>3</v>
      </c>
      <c r="N4" s="40" t="s">
        <v>3464</v>
      </c>
      <c r="O4" s="41" t="s">
        <v>3464</v>
      </c>
      <c r="P4" s="41" t="s">
        <v>3464</v>
      </c>
      <c r="Q4" s="41" t="s">
        <v>3469</v>
      </c>
      <c r="S4" s="25" t="s">
        <v>13460</v>
      </c>
    </row>
    <row r="5" spans="1:20">
      <c r="A5" s="41">
        <v>4</v>
      </c>
      <c r="B5" s="41" t="s">
        <v>3462</v>
      </c>
      <c r="C5" s="41" t="s">
        <v>3463</v>
      </c>
      <c r="D5" s="41" t="s">
        <v>3464</v>
      </c>
      <c r="E5" s="41" t="s">
        <v>3465</v>
      </c>
      <c r="F5" s="41" t="s">
        <v>3466</v>
      </c>
      <c r="G5" s="41" t="s">
        <v>3465</v>
      </c>
      <c r="H5" s="41" t="s">
        <v>3465</v>
      </c>
      <c r="I5" s="41" t="s">
        <v>3490</v>
      </c>
      <c r="J5" s="41" t="s">
        <v>3470</v>
      </c>
      <c r="K5" s="41" t="s">
        <v>3489</v>
      </c>
      <c r="M5" s="39">
        <v>4</v>
      </c>
      <c r="N5" s="40" t="s">
        <v>3465</v>
      </c>
      <c r="O5" s="41" t="s">
        <v>3465</v>
      </c>
      <c r="P5" s="41" t="s">
        <v>3465</v>
      </c>
      <c r="Q5" s="41" t="s">
        <v>3470</v>
      </c>
      <c r="S5" s="25"/>
    </row>
    <row r="6" spans="1:20">
      <c r="A6" s="41">
        <v>5</v>
      </c>
      <c r="B6" s="41" t="s">
        <v>3462</v>
      </c>
      <c r="C6" s="41" t="s">
        <v>3463</v>
      </c>
      <c r="D6" s="41" t="s">
        <v>3464</v>
      </c>
      <c r="E6" s="41" t="s">
        <v>3465</v>
      </c>
      <c r="F6" s="41" t="s">
        <v>3466</v>
      </c>
      <c r="G6" s="41" t="s">
        <v>3466</v>
      </c>
      <c r="H6" s="41" t="s">
        <v>3466</v>
      </c>
      <c r="I6" s="41" t="s">
        <v>3490</v>
      </c>
      <c r="J6" s="41" t="s">
        <v>3471</v>
      </c>
      <c r="K6" s="41" t="s">
        <v>3489</v>
      </c>
      <c r="M6" s="39">
        <v>5</v>
      </c>
      <c r="N6" s="39" t="s">
        <v>3466</v>
      </c>
      <c r="O6" s="41" t="s">
        <v>3466</v>
      </c>
      <c r="P6" s="41" t="s">
        <v>3466</v>
      </c>
      <c r="Q6" s="41" t="s">
        <v>3471</v>
      </c>
      <c r="S6" s="25" t="s">
        <v>13462</v>
      </c>
    </row>
    <row r="7" spans="1:20">
      <c r="A7" s="41">
        <v>6</v>
      </c>
      <c r="B7" s="41" t="s">
        <v>3462</v>
      </c>
      <c r="C7" s="41" t="s">
        <v>3463</v>
      </c>
      <c r="D7" s="41" t="s">
        <v>3464</v>
      </c>
      <c r="E7" s="41" t="s">
        <v>3465</v>
      </c>
      <c r="F7" s="41" t="s">
        <v>3466</v>
      </c>
      <c r="G7" s="41" t="s">
        <v>3462</v>
      </c>
      <c r="H7" s="41" t="s">
        <v>3462</v>
      </c>
      <c r="I7" s="41" t="s">
        <v>3462</v>
      </c>
      <c r="J7" s="41" t="s">
        <v>3467</v>
      </c>
      <c r="K7" s="41" t="s">
        <v>3489</v>
      </c>
      <c r="M7" s="39">
        <v>6</v>
      </c>
      <c r="N7" s="39" t="s">
        <v>3462</v>
      </c>
      <c r="O7" s="41" t="s">
        <v>3462</v>
      </c>
      <c r="P7" s="41" t="s">
        <v>3462</v>
      </c>
      <c r="Q7" s="41" t="s">
        <v>3467</v>
      </c>
      <c r="S7" s="25" t="s">
        <v>4779</v>
      </c>
    </row>
    <row r="8" spans="1:20">
      <c r="A8" s="41">
        <v>7</v>
      </c>
      <c r="B8" s="41" t="s">
        <v>3462</v>
      </c>
      <c r="C8" s="41" t="s">
        <v>3463</v>
      </c>
      <c r="D8" s="41" t="s">
        <v>3464</v>
      </c>
      <c r="E8" s="41" t="s">
        <v>3465</v>
      </c>
      <c r="F8" s="41" t="s">
        <v>3466</v>
      </c>
      <c r="G8" s="41" t="s">
        <v>3463</v>
      </c>
      <c r="H8" s="41" t="s">
        <v>3463</v>
      </c>
      <c r="I8" s="41" t="s">
        <v>3463</v>
      </c>
      <c r="J8" s="41" t="s">
        <v>3468</v>
      </c>
      <c r="K8" s="41" t="s">
        <v>3489</v>
      </c>
      <c r="M8" s="39">
        <v>7</v>
      </c>
      <c r="N8" s="39" t="s">
        <v>3463</v>
      </c>
      <c r="O8" s="41" t="s">
        <v>3463</v>
      </c>
      <c r="P8" s="41" t="s">
        <v>3463</v>
      </c>
      <c r="Q8" s="41" t="s">
        <v>3468</v>
      </c>
      <c r="S8" s="25" t="s">
        <v>13461</v>
      </c>
    </row>
    <row r="9" spans="1:20">
      <c r="A9" s="41">
        <v>8</v>
      </c>
      <c r="B9" s="41" t="s">
        <v>3462</v>
      </c>
      <c r="C9" s="41" t="s">
        <v>3463</v>
      </c>
      <c r="D9" s="41" t="s">
        <v>3464</v>
      </c>
      <c r="E9" s="41" t="s">
        <v>3465</v>
      </c>
      <c r="F9" s="41" t="s">
        <v>3466</v>
      </c>
      <c r="G9" s="41" t="s">
        <v>3464</v>
      </c>
      <c r="H9" s="41" t="s">
        <v>3464</v>
      </c>
      <c r="I9" s="41" t="s">
        <v>3464</v>
      </c>
      <c r="J9" s="41" t="s">
        <v>3469</v>
      </c>
      <c r="K9" s="41" t="s">
        <v>4065</v>
      </c>
      <c r="M9" s="39">
        <v>8</v>
      </c>
      <c r="N9" s="39" t="s">
        <v>3464</v>
      </c>
      <c r="O9" s="41" t="s">
        <v>3464</v>
      </c>
      <c r="P9" s="41" t="s">
        <v>3464</v>
      </c>
      <c r="Q9" s="41" t="s">
        <v>3469</v>
      </c>
      <c r="S9" s="25" t="s">
        <v>13464</v>
      </c>
    </row>
    <row r="10" spans="1:20">
      <c r="A10" s="41">
        <v>9</v>
      </c>
      <c r="B10" s="41" t="s">
        <v>3462</v>
      </c>
      <c r="C10" s="41" t="s">
        <v>3463</v>
      </c>
      <c r="D10" s="41" t="s">
        <v>3464</v>
      </c>
      <c r="E10" s="41" t="s">
        <v>3465</v>
      </c>
      <c r="F10" s="41" t="s">
        <v>3466</v>
      </c>
      <c r="G10" s="41" t="s">
        <v>3465</v>
      </c>
      <c r="H10" s="41" t="s">
        <v>3465</v>
      </c>
      <c r="I10" s="41" t="s">
        <v>3465</v>
      </c>
      <c r="J10" s="41" t="s">
        <v>3470</v>
      </c>
      <c r="K10" s="41" t="s">
        <v>4065</v>
      </c>
      <c r="M10" s="39">
        <v>9</v>
      </c>
      <c r="N10" s="39" t="s">
        <v>3465</v>
      </c>
      <c r="O10" s="41" t="s">
        <v>3465</v>
      </c>
      <c r="P10" s="41" t="s">
        <v>3465</v>
      </c>
      <c r="Q10" s="41" t="s">
        <v>3470</v>
      </c>
      <c r="S10" s="25" t="s">
        <v>13465</v>
      </c>
    </row>
    <row r="11" spans="1:20">
      <c r="A11" s="41">
        <v>10</v>
      </c>
      <c r="B11" s="41" t="s">
        <v>3462</v>
      </c>
      <c r="C11" s="41" t="s">
        <v>3463</v>
      </c>
      <c r="D11" s="41" t="s">
        <v>3464</v>
      </c>
      <c r="E11" s="41" t="s">
        <v>3465</v>
      </c>
      <c r="F11" s="41" t="s">
        <v>3466</v>
      </c>
      <c r="G11" s="41" t="s">
        <v>3466</v>
      </c>
      <c r="H11" s="41" t="s">
        <v>3466</v>
      </c>
      <c r="I11" s="41" t="s">
        <v>3466</v>
      </c>
      <c r="J11" s="41" t="s">
        <v>3471</v>
      </c>
      <c r="K11" s="41" t="s">
        <v>4065</v>
      </c>
      <c r="M11" s="39">
        <v>10</v>
      </c>
      <c r="N11" s="39" t="s">
        <v>3466</v>
      </c>
      <c r="O11" s="41" t="s">
        <v>3466</v>
      </c>
      <c r="P11" s="41" t="s">
        <v>3466</v>
      </c>
      <c r="Q11" s="41" t="s">
        <v>3471</v>
      </c>
      <c r="S11" s="31" t="s">
        <v>13466</v>
      </c>
    </row>
    <row r="12" spans="1:20">
      <c r="A12" s="41">
        <v>11</v>
      </c>
      <c r="B12" s="41" t="s">
        <v>3462</v>
      </c>
      <c r="C12" s="41" t="s">
        <v>3463</v>
      </c>
      <c r="D12" s="41" t="s">
        <v>3464</v>
      </c>
      <c r="E12" s="41" t="s">
        <v>3465</v>
      </c>
      <c r="F12" s="41" t="s">
        <v>3466</v>
      </c>
      <c r="G12" s="41"/>
      <c r="H12" s="41"/>
      <c r="I12" s="41"/>
      <c r="J12" s="41"/>
      <c r="K12" s="41"/>
      <c r="M12" s="39">
        <v>11</v>
      </c>
      <c r="N12" s="39" t="s">
        <v>3462</v>
      </c>
      <c r="O12" s="41" t="s">
        <v>3462</v>
      </c>
      <c r="P12" s="41" t="s">
        <v>3462</v>
      </c>
      <c r="Q12" s="41" t="s">
        <v>3489</v>
      </c>
      <c r="S12" s="31" t="s">
        <v>13487</v>
      </c>
    </row>
    <row r="13" spans="1:20">
      <c r="A13" s="41">
        <v>12</v>
      </c>
      <c r="B13" s="41" t="s">
        <v>3462</v>
      </c>
      <c r="C13" s="41" t="s">
        <v>3463</v>
      </c>
      <c r="D13" s="41" t="s">
        <v>3464</v>
      </c>
      <c r="E13" s="41" t="s">
        <v>3465</v>
      </c>
      <c r="F13" s="41" t="s">
        <v>3466</v>
      </c>
      <c r="G13" s="41"/>
      <c r="H13" s="41"/>
      <c r="I13" s="41"/>
      <c r="J13" s="41"/>
      <c r="K13" s="41"/>
      <c r="M13" s="39">
        <v>12</v>
      </c>
      <c r="N13" s="39" t="s">
        <v>3463</v>
      </c>
      <c r="O13" s="41" t="s">
        <v>3463</v>
      </c>
      <c r="P13" s="41" t="s">
        <v>3463</v>
      </c>
      <c r="Q13" s="41" t="s">
        <v>3489</v>
      </c>
      <c r="S13" s="31" t="s">
        <v>13488</v>
      </c>
    </row>
    <row r="14" spans="1:20">
      <c r="M14" s="39">
        <v>13</v>
      </c>
      <c r="N14" s="39" t="s">
        <v>3464</v>
      </c>
      <c r="O14" s="41" t="s">
        <v>3464</v>
      </c>
      <c r="P14" s="41" t="s">
        <v>3464</v>
      </c>
      <c r="Q14" s="41" t="s">
        <v>3489</v>
      </c>
      <c r="S14" s="25" t="s">
        <v>13355</v>
      </c>
    </row>
    <row r="15" spans="1:20" ht="14.25" thickBot="1">
      <c r="M15" s="39">
        <v>14</v>
      </c>
      <c r="N15" s="39" t="s">
        <v>3465</v>
      </c>
      <c r="O15" s="41" t="s">
        <v>3465</v>
      </c>
      <c r="P15" s="41" t="s">
        <v>3465</v>
      </c>
      <c r="Q15" s="41" t="s">
        <v>3489</v>
      </c>
      <c r="S15" s="28" t="s">
        <v>13356</v>
      </c>
    </row>
    <row r="16" spans="1:20">
      <c r="M16" s="39">
        <v>15</v>
      </c>
      <c r="N16" s="40" t="s">
        <v>3466</v>
      </c>
      <c r="O16" s="41" t="s">
        <v>3466</v>
      </c>
      <c r="P16" s="41" t="s">
        <v>3466</v>
      </c>
      <c r="Q16" s="41" t="s">
        <v>3489</v>
      </c>
      <c r="S16" s="22" t="s">
        <v>13469</v>
      </c>
    </row>
    <row r="17" spans="2:19">
      <c r="M17" s="39">
        <v>16</v>
      </c>
      <c r="N17" s="40" t="s">
        <v>3462</v>
      </c>
      <c r="O17" s="41" t="s">
        <v>3462</v>
      </c>
      <c r="P17" s="41" t="s">
        <v>3462</v>
      </c>
      <c r="Q17" s="41" t="s">
        <v>3490</v>
      </c>
      <c r="S17" s="25" t="s">
        <v>13470</v>
      </c>
    </row>
    <row r="18" spans="2:19">
      <c r="M18" s="39">
        <v>17</v>
      </c>
      <c r="N18" s="40" t="s">
        <v>3463</v>
      </c>
      <c r="O18" s="41" t="s">
        <v>3463</v>
      </c>
      <c r="P18" s="41" t="s">
        <v>3463</v>
      </c>
      <c r="Q18" s="41" t="s">
        <v>3490</v>
      </c>
      <c r="S18" s="25" t="s">
        <v>13459</v>
      </c>
    </row>
    <row r="19" spans="2:19">
      <c r="M19" s="39">
        <v>18</v>
      </c>
      <c r="N19" s="40" t="s">
        <v>3464</v>
      </c>
      <c r="O19" s="41" t="s">
        <v>3464</v>
      </c>
      <c r="P19" s="41" t="s">
        <v>3464</v>
      </c>
      <c r="Q19" s="41" t="s">
        <v>3490</v>
      </c>
      <c r="S19" s="31"/>
    </row>
    <row r="20" spans="2:19">
      <c r="M20" s="39">
        <v>19</v>
      </c>
      <c r="N20" s="40" t="s">
        <v>3465</v>
      </c>
      <c r="O20" s="41" t="s">
        <v>3465</v>
      </c>
      <c r="P20" s="41" t="s">
        <v>3465</v>
      </c>
      <c r="Q20" s="41"/>
      <c r="S20" s="25" t="s">
        <v>3498</v>
      </c>
    </row>
    <row r="21" spans="2:19" ht="14.25" thickBot="1">
      <c r="M21" s="44">
        <v>20</v>
      </c>
      <c r="N21" s="45" t="s">
        <v>3466</v>
      </c>
      <c r="O21" s="46" t="s">
        <v>3466</v>
      </c>
      <c r="P21" s="46" t="s">
        <v>3466</v>
      </c>
      <c r="Q21" s="46"/>
      <c r="S21" s="25" t="s">
        <v>13471</v>
      </c>
    </row>
    <row r="22" spans="2:19">
      <c r="S22" s="25" t="s">
        <v>4776</v>
      </c>
    </row>
    <row r="23" spans="2:19">
      <c r="S23" s="31" t="s">
        <v>13472</v>
      </c>
    </row>
    <row r="24" spans="2:19">
      <c r="S24" s="31" t="s">
        <v>13473</v>
      </c>
    </row>
    <row r="25" spans="2:19">
      <c r="B25" t="s">
        <v>343</v>
      </c>
      <c r="C25" t="s">
        <v>2173</v>
      </c>
      <c r="D25" t="s">
        <v>2343</v>
      </c>
      <c r="E25" t="s">
        <v>2585</v>
      </c>
      <c r="F25" t="s">
        <v>2723</v>
      </c>
      <c r="G25" t="s">
        <v>2075</v>
      </c>
      <c r="H25" t="s">
        <v>653</v>
      </c>
      <c r="I25" t="s">
        <v>701</v>
      </c>
      <c r="J25" t="s">
        <v>2900</v>
      </c>
      <c r="K25" t="s">
        <v>3820</v>
      </c>
      <c r="N25" s="25" t="s">
        <v>674</v>
      </c>
      <c r="O25" s="25" t="s">
        <v>5301</v>
      </c>
      <c r="P25" s="25" t="s">
        <v>3436</v>
      </c>
      <c r="Q25" t="s">
        <v>2933</v>
      </c>
      <c r="S25" s="31" t="s">
        <v>13474</v>
      </c>
    </row>
    <row r="26" spans="2:19">
      <c r="B26" t="s">
        <v>363</v>
      </c>
      <c r="C26" t="s">
        <v>2247</v>
      </c>
      <c r="D26" t="s">
        <v>2407</v>
      </c>
      <c r="E26" t="s">
        <v>2606</v>
      </c>
      <c r="F26" t="s">
        <v>2785</v>
      </c>
      <c r="G26" t="s">
        <v>4008</v>
      </c>
      <c r="H26" t="s">
        <v>2147</v>
      </c>
      <c r="I26" t="s">
        <v>2250</v>
      </c>
      <c r="J26" t="s">
        <v>4216</v>
      </c>
      <c r="K26" t="s">
        <v>3742</v>
      </c>
      <c r="N26" s="25" t="s">
        <v>2285</v>
      </c>
      <c r="O26" s="25" t="s">
        <v>7993</v>
      </c>
      <c r="P26" s="25" t="s">
        <v>3431</v>
      </c>
      <c r="Q26" t="s">
        <v>4151</v>
      </c>
      <c r="S26" s="25" t="s">
        <v>13358</v>
      </c>
    </row>
    <row r="27" spans="2:19">
      <c r="B27" t="s">
        <v>673</v>
      </c>
      <c r="C27" t="s">
        <v>2212</v>
      </c>
      <c r="D27" t="s">
        <v>2355</v>
      </c>
      <c r="E27" t="s">
        <v>2611</v>
      </c>
      <c r="F27" t="s">
        <v>2796</v>
      </c>
      <c r="G27" t="s">
        <v>2465</v>
      </c>
      <c r="H27" t="s">
        <v>2434</v>
      </c>
      <c r="I27" t="s">
        <v>2428</v>
      </c>
      <c r="J27" t="s">
        <v>2902</v>
      </c>
      <c r="K27" t="s">
        <v>3744</v>
      </c>
      <c r="N27" s="25" t="s">
        <v>2423</v>
      </c>
      <c r="O27" s="25" t="s">
        <v>9705</v>
      </c>
      <c r="P27" s="25" t="s">
        <v>3429</v>
      </c>
      <c r="Q27" t="s">
        <v>2936</v>
      </c>
      <c r="S27" s="25" t="s">
        <v>4101</v>
      </c>
    </row>
    <row r="28" spans="2:19" ht="14.25" thickBot="1">
      <c r="B28" t="s">
        <v>434</v>
      </c>
      <c r="C28" t="s">
        <v>2214</v>
      </c>
      <c r="D28" t="s">
        <v>2379</v>
      </c>
      <c r="E28" t="s">
        <v>2551</v>
      </c>
      <c r="F28" t="s">
        <v>2756</v>
      </c>
      <c r="G28" t="s">
        <v>2503</v>
      </c>
      <c r="H28" t="s">
        <v>2658</v>
      </c>
      <c r="I28" t="s">
        <v>2626</v>
      </c>
      <c r="J28" t="s">
        <v>4310</v>
      </c>
      <c r="K28" t="s">
        <v>4697</v>
      </c>
      <c r="N28" s="25" t="s">
        <v>2678</v>
      </c>
      <c r="O28" s="25" t="s">
        <v>11137</v>
      </c>
      <c r="P28" s="25" t="s">
        <v>3433</v>
      </c>
      <c r="Q28" t="s">
        <v>4312</v>
      </c>
      <c r="S28" s="28" t="s">
        <v>8730</v>
      </c>
    </row>
    <row r="29" spans="2:19">
      <c r="B29" t="s">
        <v>738</v>
      </c>
      <c r="C29" t="s">
        <v>2216</v>
      </c>
      <c r="D29" t="s">
        <v>2391</v>
      </c>
      <c r="E29" t="s">
        <v>2634</v>
      </c>
      <c r="F29" t="s">
        <v>2825</v>
      </c>
      <c r="G29" t="s">
        <v>2737</v>
      </c>
      <c r="H29" t="s">
        <v>2788</v>
      </c>
      <c r="I29" t="s">
        <v>2830</v>
      </c>
      <c r="J29" t="s">
        <v>2906</v>
      </c>
      <c r="K29" t="s">
        <v>4076</v>
      </c>
      <c r="N29" s="25" t="s">
        <v>2805</v>
      </c>
      <c r="O29" s="25" t="s">
        <v>12812</v>
      </c>
      <c r="P29" s="25" t="s">
        <v>3439</v>
      </c>
      <c r="Q29" t="s">
        <v>3002</v>
      </c>
      <c r="S29" s="22" t="s">
        <v>13475</v>
      </c>
    </row>
    <row r="30" spans="2:19">
      <c r="B30" t="s">
        <v>751</v>
      </c>
      <c r="C30" t="s">
        <v>4060</v>
      </c>
      <c r="D30" t="s">
        <v>2397</v>
      </c>
      <c r="E30" t="s">
        <v>2657</v>
      </c>
      <c r="F30" t="s">
        <v>2775</v>
      </c>
      <c r="G30" t="s">
        <v>6542</v>
      </c>
      <c r="H30" t="s">
        <v>5391</v>
      </c>
      <c r="I30" t="s">
        <v>13349</v>
      </c>
      <c r="J30" t="s">
        <v>4426</v>
      </c>
      <c r="K30" t="s">
        <v>3832</v>
      </c>
      <c r="N30" s="25" t="s">
        <v>766</v>
      </c>
      <c r="O30" s="25" t="s">
        <v>5569</v>
      </c>
      <c r="P30" s="25" t="s">
        <v>734</v>
      </c>
      <c r="Q30" t="s">
        <v>4459</v>
      </c>
      <c r="S30" s="25" t="s">
        <v>13470</v>
      </c>
    </row>
    <row r="31" spans="2:19">
      <c r="B31" t="s">
        <v>4057</v>
      </c>
      <c r="C31" t="s">
        <v>2281</v>
      </c>
      <c r="D31" t="s">
        <v>2447</v>
      </c>
      <c r="E31" t="s">
        <v>2663</v>
      </c>
      <c r="F31" t="s">
        <v>2832</v>
      </c>
      <c r="G31" t="s">
        <v>7668</v>
      </c>
      <c r="H31" t="s">
        <v>7277</v>
      </c>
      <c r="I31" t="s">
        <v>13350</v>
      </c>
      <c r="J31" t="s">
        <v>2909</v>
      </c>
      <c r="K31" t="s">
        <v>4078</v>
      </c>
      <c r="N31" s="25" t="s">
        <v>5188</v>
      </c>
      <c r="O31" s="25" t="s">
        <v>7763</v>
      </c>
      <c r="P31" s="25" t="s">
        <v>2299</v>
      </c>
      <c r="Q31" t="s">
        <v>2948</v>
      </c>
      <c r="S31" s="25" t="s">
        <v>13461</v>
      </c>
    </row>
    <row r="32" spans="2:19">
      <c r="B32" t="s">
        <v>756</v>
      </c>
      <c r="C32" t="s">
        <v>7144</v>
      </c>
      <c r="D32" t="s">
        <v>2458</v>
      </c>
      <c r="E32" t="s">
        <v>2584</v>
      </c>
      <c r="F32" t="s">
        <v>2783</v>
      </c>
      <c r="G32" t="s">
        <v>13457</v>
      </c>
      <c r="H32" t="s">
        <v>3632</v>
      </c>
      <c r="I32" t="s">
        <v>13351</v>
      </c>
      <c r="J32" t="s">
        <v>4569</v>
      </c>
      <c r="K32" t="s">
        <v>3735</v>
      </c>
      <c r="N32" s="25" t="s">
        <v>2488</v>
      </c>
      <c r="O32" s="25" t="s">
        <v>9574</v>
      </c>
      <c r="P32" s="25" t="s">
        <v>2444</v>
      </c>
      <c r="Q32" t="s">
        <v>4489</v>
      </c>
      <c r="S32" s="25" t="s">
        <v>13476</v>
      </c>
    </row>
    <row r="33" spans="2:19">
      <c r="B33" t="s">
        <v>6303</v>
      </c>
      <c r="C33" t="s">
        <v>7181</v>
      </c>
      <c r="D33" t="s">
        <v>13454</v>
      </c>
      <c r="E33" t="s">
        <v>3748</v>
      </c>
      <c r="F33" t="s">
        <v>2784</v>
      </c>
      <c r="G33" t="s">
        <v>10876</v>
      </c>
      <c r="H33" t="s">
        <v>3634</v>
      </c>
      <c r="I33" t="s">
        <v>13352</v>
      </c>
      <c r="J33" t="s">
        <v>4085</v>
      </c>
      <c r="K33" t="s">
        <v>5812</v>
      </c>
      <c r="N33" s="25" t="s">
        <v>2664</v>
      </c>
      <c r="O33" s="25" t="s">
        <v>11104</v>
      </c>
      <c r="P33" s="25" t="s">
        <v>2640</v>
      </c>
      <c r="Q33" t="s">
        <v>2954</v>
      </c>
      <c r="S33" s="25" t="s">
        <v>13459</v>
      </c>
    </row>
    <row r="34" spans="2:19">
      <c r="B34" t="s">
        <v>4088</v>
      </c>
      <c r="C34" t="s">
        <v>7304</v>
      </c>
      <c r="D34" t="s">
        <v>13455</v>
      </c>
      <c r="E34" t="s">
        <v>10710</v>
      </c>
      <c r="F34" t="s">
        <v>3427</v>
      </c>
      <c r="G34" t="s">
        <v>3750</v>
      </c>
      <c r="H34" t="s">
        <v>3754</v>
      </c>
      <c r="I34" t="s">
        <v>13353</v>
      </c>
      <c r="J34" t="s">
        <v>2953</v>
      </c>
      <c r="K34" t="s">
        <v>3738</v>
      </c>
      <c r="N34" s="25" t="s">
        <v>2835</v>
      </c>
      <c r="O34" s="25" t="s">
        <v>12554</v>
      </c>
      <c r="P34" s="25" t="s">
        <v>2843</v>
      </c>
      <c r="Q34" t="s">
        <v>4677</v>
      </c>
      <c r="S34" s="25"/>
    </row>
    <row r="35" spans="2:19">
      <c r="B35" t="s">
        <v>6376</v>
      </c>
      <c r="C35" t="s">
        <v>7457</v>
      </c>
      <c r="D35" t="s">
        <v>13456</v>
      </c>
      <c r="E35" t="s">
        <v>10716</v>
      </c>
      <c r="F35" t="s">
        <v>12314</v>
      </c>
      <c r="N35" s="25" t="s">
        <v>5451</v>
      </c>
      <c r="O35" s="25" t="s">
        <v>763</v>
      </c>
      <c r="P35" s="25" t="s">
        <v>696</v>
      </c>
      <c r="Q35" t="s">
        <v>13484</v>
      </c>
      <c r="S35" s="25" t="s">
        <v>13461</v>
      </c>
    </row>
    <row r="36" spans="2:19">
      <c r="B36" t="s">
        <v>6422</v>
      </c>
      <c r="C36" t="s">
        <v>7531</v>
      </c>
      <c r="D36" t="s">
        <v>13458</v>
      </c>
      <c r="E36" t="s">
        <v>10535</v>
      </c>
      <c r="F36" t="s">
        <v>4099</v>
      </c>
      <c r="N36" s="25" t="s">
        <v>3444</v>
      </c>
      <c r="O36" s="25" t="s">
        <v>2279</v>
      </c>
      <c r="P36" s="25" t="s">
        <v>2275</v>
      </c>
      <c r="Q36" t="s">
        <v>13485</v>
      </c>
      <c r="S36" s="25" t="s">
        <v>13362</v>
      </c>
    </row>
    <row r="37" spans="2:19">
      <c r="N37" s="25" t="s">
        <v>9432</v>
      </c>
      <c r="O37" s="25" t="s">
        <v>2451</v>
      </c>
      <c r="P37" s="25" t="s">
        <v>2453</v>
      </c>
      <c r="Q37" t="s">
        <v>3836</v>
      </c>
      <c r="S37" s="31" t="s">
        <v>3510</v>
      </c>
    </row>
    <row r="38" spans="2:19">
      <c r="N38" s="25" t="s">
        <v>11403</v>
      </c>
      <c r="O38" s="25" t="s">
        <v>2705</v>
      </c>
      <c r="P38" s="25" t="s">
        <v>2600</v>
      </c>
      <c r="Q38" t="s">
        <v>3852</v>
      </c>
      <c r="S38" s="31" t="s">
        <v>13467</v>
      </c>
    </row>
    <row r="39" spans="2:19">
      <c r="N39" s="25" t="s">
        <v>2892</v>
      </c>
      <c r="O39" s="25" t="s">
        <v>2877</v>
      </c>
      <c r="P39" s="25" t="s">
        <v>2803</v>
      </c>
      <c r="Q39" t="s">
        <v>13374</v>
      </c>
      <c r="S39" s="31" t="s">
        <v>13474</v>
      </c>
    </row>
    <row r="40" spans="2:19">
      <c r="N40" s="25" t="s">
        <v>5303</v>
      </c>
      <c r="O40" s="25" t="s">
        <v>2106</v>
      </c>
      <c r="P40" s="25" t="s">
        <v>5405</v>
      </c>
      <c r="Q40" t="s">
        <v>5916</v>
      </c>
      <c r="S40" s="25" t="s">
        <v>4777</v>
      </c>
    </row>
    <row r="41" spans="2:19" ht="14.25" thickBot="1">
      <c r="N41" s="25" t="s">
        <v>8073</v>
      </c>
      <c r="O41" s="25" t="s">
        <v>2316</v>
      </c>
      <c r="P41" s="25" t="s">
        <v>7951</v>
      </c>
      <c r="Q41" t="s">
        <v>6000</v>
      </c>
      <c r="S41" s="28" t="s">
        <v>13479</v>
      </c>
    </row>
    <row r="42" spans="2:19">
      <c r="N42" s="25" t="s">
        <v>3446</v>
      </c>
      <c r="O42" s="25" t="s">
        <v>2445</v>
      </c>
      <c r="P42" s="25" t="s">
        <v>9802</v>
      </c>
      <c r="Q42" t="s">
        <v>5710</v>
      </c>
      <c r="S42" s="22" t="s">
        <v>13459</v>
      </c>
    </row>
    <row r="43" spans="2:19">
      <c r="N43" s="25" t="s">
        <v>11468</v>
      </c>
      <c r="O43" s="25" t="s">
        <v>2651</v>
      </c>
      <c r="P43" s="25" t="s">
        <v>11263</v>
      </c>
      <c r="S43" s="31"/>
    </row>
    <row r="44" spans="2:19">
      <c r="N44" s="25" t="s">
        <v>12707</v>
      </c>
      <c r="O44" s="25" t="s">
        <v>2808</v>
      </c>
      <c r="P44" s="25" t="s">
        <v>12233</v>
      </c>
      <c r="S44" s="25" t="s">
        <v>13462</v>
      </c>
    </row>
    <row r="45" spans="2:19">
      <c r="S45" s="25" t="s">
        <v>13459</v>
      </c>
    </row>
    <row r="46" spans="2:19">
      <c r="S46" s="25"/>
    </row>
    <row r="47" spans="2:19">
      <c r="S47" s="25" t="s">
        <v>13461</v>
      </c>
    </row>
    <row r="48" spans="2:19">
      <c r="O48" s="25"/>
      <c r="S48" s="25" t="s">
        <v>13461</v>
      </c>
    </row>
    <row r="49" spans="19:19">
      <c r="S49" s="25" t="s">
        <v>3498</v>
      </c>
    </row>
    <row r="50" spans="19:19">
      <c r="S50" s="31" t="s">
        <v>13472</v>
      </c>
    </row>
    <row r="51" spans="19:19">
      <c r="S51" s="31" t="s">
        <v>13472</v>
      </c>
    </row>
    <row r="52" spans="19:19">
      <c r="S52" s="31" t="s">
        <v>13467</v>
      </c>
    </row>
    <row r="53" spans="19:19">
      <c r="S53" s="31" t="s">
        <v>13480</v>
      </c>
    </row>
    <row r="54" spans="19:19">
      <c r="S54" s="31" t="s">
        <v>13481</v>
      </c>
    </row>
    <row r="55" spans="19:19" ht="14.25" thickBot="1">
      <c r="S55" s="28"/>
    </row>
    <row r="56" spans="19:19">
      <c r="S56" s="22" t="s">
        <v>13459</v>
      </c>
    </row>
    <row r="57" spans="19:19">
      <c r="S57" s="31"/>
    </row>
    <row r="58" spans="19:19">
      <c r="S58" s="25" t="s">
        <v>13461</v>
      </c>
    </row>
    <row r="59" spans="19:19">
      <c r="S59" s="25" t="s">
        <v>13461</v>
      </c>
    </row>
    <row r="60" spans="19:19">
      <c r="S60" s="25" t="s">
        <v>13459</v>
      </c>
    </row>
    <row r="61" spans="19:19">
      <c r="S61" s="31"/>
    </row>
    <row r="62" spans="19:19">
      <c r="S62" s="25" t="s">
        <v>13464</v>
      </c>
    </row>
    <row r="63" spans="19:19">
      <c r="S63" s="25" t="s">
        <v>13470</v>
      </c>
    </row>
    <row r="64" spans="19:19">
      <c r="S64" s="25" t="s">
        <v>13461</v>
      </c>
    </row>
    <row r="65" spans="19:19">
      <c r="S65" s="31" t="s">
        <v>13480</v>
      </c>
    </row>
    <row r="66" spans="19:19">
      <c r="S66" s="31" t="s">
        <v>13467</v>
      </c>
    </row>
    <row r="67" spans="19:19">
      <c r="S67" s="31" t="s">
        <v>3510</v>
      </c>
    </row>
    <row r="68" spans="19:19">
      <c r="S68" s="25" t="s">
        <v>4101</v>
      </c>
    </row>
    <row r="69" spans="19:19" ht="14.25" thickBot="1">
      <c r="S69" s="28" t="s">
        <v>13356</v>
      </c>
    </row>
  </sheetData>
  <phoneticPr fontId="1"/>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Z119"/>
  <sheetViews>
    <sheetView zoomScale="70" zoomScaleNormal="70" workbookViewId="0">
      <pane ySplit="2" topLeftCell="A96" activePane="bottomLeft" state="frozen"/>
      <selection activeCell="E3" sqref="E3"/>
      <selection pane="bottomLeft" activeCell="B2" sqref="B2:C119"/>
    </sheetView>
  </sheetViews>
  <sheetFormatPr defaultRowHeight="13.5"/>
  <cols>
    <col min="1" max="2" width="9" style="1"/>
    <col min="3" max="3" width="9" style="3"/>
    <col min="4" max="19" width="9" style="1"/>
    <col min="20" max="20" width="4.875" style="1" customWidth="1"/>
    <col min="21" max="22" width="4.875" style="30" customWidth="1"/>
    <col min="23" max="26" width="4.875" style="1" customWidth="1"/>
    <col min="27" max="16384" width="9" style="1"/>
  </cols>
  <sheetData>
    <row r="1" spans="1:26">
      <c r="T1" s="1">
        <v>1</v>
      </c>
      <c r="U1" s="30">
        <v>2</v>
      </c>
      <c r="V1" s="30">
        <v>3</v>
      </c>
      <c r="W1" s="1">
        <v>4</v>
      </c>
      <c r="X1" s="1">
        <v>5</v>
      </c>
      <c r="Y1" s="1">
        <v>6</v>
      </c>
      <c r="Z1" s="1">
        <v>7</v>
      </c>
    </row>
    <row r="2" spans="1:26" ht="14.25" thickBot="1">
      <c r="B2" s="1" t="s">
        <v>13313</v>
      </c>
      <c r="C2" s="3" t="s">
        <v>13314</v>
      </c>
      <c r="D2" s="1" t="s">
        <v>3152</v>
      </c>
      <c r="E2" s="1" t="s">
        <v>3160</v>
      </c>
      <c r="F2" s="1" t="s">
        <v>3153</v>
      </c>
      <c r="G2" s="1" t="s">
        <v>3154</v>
      </c>
      <c r="H2" s="1" t="s">
        <v>3155</v>
      </c>
      <c r="I2" s="1" t="s">
        <v>3156</v>
      </c>
      <c r="J2" s="1" t="s">
        <v>13315</v>
      </c>
      <c r="P2" s="1" t="s">
        <v>4769</v>
      </c>
      <c r="Q2" s="1" t="s">
        <v>4770</v>
      </c>
      <c r="R2" s="1" t="s">
        <v>3159</v>
      </c>
      <c r="T2" s="1">
        <f t="shared" ref="T2:Y2" si="0">COUNTIF($E:$E,T1)</f>
        <v>13</v>
      </c>
      <c r="U2" s="1">
        <f t="shared" si="0"/>
        <v>24</v>
      </c>
      <c r="V2" s="1">
        <f t="shared" si="0"/>
        <v>27</v>
      </c>
      <c r="W2" s="1">
        <f t="shared" si="0"/>
        <v>19</v>
      </c>
      <c r="X2" s="1">
        <f t="shared" si="0"/>
        <v>10</v>
      </c>
      <c r="Y2" s="1">
        <f t="shared" si="0"/>
        <v>6</v>
      </c>
      <c r="Z2" s="1">
        <f>COUNTIF($E:$E,Z1)+COUNTIF($E:$E,8)+COUNTIF($E:$E,9)</f>
        <v>3</v>
      </c>
    </row>
    <row r="3" spans="1:26">
      <c r="A3" s="21" t="s">
        <v>3415</v>
      </c>
      <c r="B3" s="22" t="s">
        <v>3498</v>
      </c>
      <c r="C3" s="32" t="s">
        <v>343</v>
      </c>
      <c r="D3" s="22" t="s">
        <v>186</v>
      </c>
      <c r="E3" s="22">
        <v>1</v>
      </c>
      <c r="F3" s="22" t="s">
        <v>3086</v>
      </c>
      <c r="G3" s="22" t="s">
        <v>3084</v>
      </c>
      <c r="H3" s="22" t="s">
        <v>3050</v>
      </c>
      <c r="I3" s="22"/>
      <c r="J3" s="22" t="s">
        <v>3149</v>
      </c>
      <c r="K3" s="22" t="s">
        <v>59</v>
      </c>
      <c r="L3" s="22"/>
      <c r="M3" s="22"/>
      <c r="N3" s="22"/>
      <c r="O3" s="22"/>
      <c r="P3" s="22">
        <v>1</v>
      </c>
      <c r="Q3" s="22">
        <v>2</v>
      </c>
      <c r="R3" s="23" t="s">
        <v>40</v>
      </c>
      <c r="S3" s="1" t="s">
        <v>4</v>
      </c>
      <c r="T3" s="1">
        <v>1</v>
      </c>
      <c r="U3" s="30">
        <v>2</v>
      </c>
      <c r="V3" s="30">
        <v>3</v>
      </c>
      <c r="W3" s="1">
        <v>4</v>
      </c>
      <c r="X3" s="1">
        <v>5</v>
      </c>
      <c r="Y3" s="1">
        <v>6</v>
      </c>
      <c r="Z3" s="1">
        <v>7</v>
      </c>
    </row>
    <row r="4" spans="1:26">
      <c r="A4" s="24" t="s">
        <v>3161</v>
      </c>
      <c r="B4" s="25" t="s">
        <v>4767</v>
      </c>
      <c r="C4" s="31" t="s">
        <v>363</v>
      </c>
      <c r="D4" s="25" t="s">
        <v>186</v>
      </c>
      <c r="E4" s="25">
        <v>1</v>
      </c>
      <c r="F4" s="25" t="s">
        <v>3083</v>
      </c>
      <c r="G4" s="25" t="s">
        <v>3084</v>
      </c>
      <c r="H4" s="25" t="s">
        <v>3050</v>
      </c>
      <c r="I4" s="25"/>
      <c r="J4" s="25" t="s">
        <v>69</v>
      </c>
      <c r="K4" s="25"/>
      <c r="L4" s="25"/>
      <c r="M4" s="25"/>
      <c r="N4" s="25"/>
      <c r="O4" s="25"/>
      <c r="P4" s="25">
        <v>1</v>
      </c>
      <c r="Q4" s="25">
        <v>1</v>
      </c>
      <c r="R4" s="26" t="s">
        <v>45</v>
      </c>
      <c r="S4" s="1" t="s">
        <v>4</v>
      </c>
      <c r="T4" s="1">
        <f t="shared" ref="T4:Z4" si="1">COUNTIF($E3:$E20,T3)</f>
        <v>3</v>
      </c>
      <c r="U4" s="1">
        <f t="shared" si="1"/>
        <v>3</v>
      </c>
      <c r="V4" s="1">
        <f t="shared" si="1"/>
        <v>5</v>
      </c>
      <c r="W4" s="1">
        <f t="shared" si="1"/>
        <v>3</v>
      </c>
      <c r="X4" s="1">
        <f t="shared" si="1"/>
        <v>1</v>
      </c>
      <c r="Y4" s="1">
        <f t="shared" si="1"/>
        <v>2</v>
      </c>
      <c r="Z4" s="1">
        <f t="shared" si="1"/>
        <v>0</v>
      </c>
    </row>
    <row r="5" spans="1:26">
      <c r="A5" s="24" t="s">
        <v>3162</v>
      </c>
      <c r="B5" s="25" t="s">
        <v>8479</v>
      </c>
      <c r="C5" s="31" t="s">
        <v>653</v>
      </c>
      <c r="D5" s="25" t="s">
        <v>187</v>
      </c>
      <c r="E5" s="25">
        <v>2</v>
      </c>
      <c r="F5" s="25" t="s">
        <v>3083</v>
      </c>
      <c r="G5" s="25" t="s">
        <v>3084</v>
      </c>
      <c r="H5" s="25" t="s">
        <v>3054</v>
      </c>
      <c r="I5" s="25"/>
      <c r="J5" s="25" t="s">
        <v>234</v>
      </c>
      <c r="K5" s="25" t="s">
        <v>235</v>
      </c>
      <c r="L5" s="25"/>
      <c r="M5" s="25"/>
      <c r="N5" s="25" t="s">
        <v>13316</v>
      </c>
      <c r="O5" s="25"/>
      <c r="P5" s="25">
        <v>1</v>
      </c>
      <c r="Q5" s="25">
        <v>1</v>
      </c>
      <c r="R5" s="26"/>
    </row>
    <row r="6" spans="1:26">
      <c r="B6" s="25" t="s">
        <v>8479</v>
      </c>
      <c r="C6" s="31" t="s">
        <v>654</v>
      </c>
      <c r="D6" s="25"/>
      <c r="E6" s="25"/>
      <c r="F6" s="25" t="s">
        <v>3083</v>
      </c>
      <c r="G6" s="25" t="s">
        <v>3090</v>
      </c>
      <c r="H6" s="25" t="s">
        <v>3064</v>
      </c>
      <c r="I6" s="25"/>
      <c r="J6" s="25" t="s">
        <v>236</v>
      </c>
      <c r="K6" s="25"/>
      <c r="L6" s="25"/>
      <c r="M6" s="25"/>
      <c r="N6" s="25" t="s">
        <v>13316</v>
      </c>
      <c r="O6" s="25"/>
      <c r="P6" s="25">
        <v>4</v>
      </c>
      <c r="Q6" s="25">
        <v>4</v>
      </c>
      <c r="R6" s="26" t="s">
        <v>39</v>
      </c>
      <c r="S6" s="1" t="s">
        <v>7</v>
      </c>
    </row>
    <row r="7" spans="1:26">
      <c r="A7" s="24" t="s">
        <v>3163</v>
      </c>
      <c r="B7" s="25" t="s">
        <v>13317</v>
      </c>
      <c r="C7" s="31" t="s">
        <v>673</v>
      </c>
      <c r="D7" s="25" t="s">
        <v>187</v>
      </c>
      <c r="E7" s="25">
        <v>2</v>
      </c>
      <c r="F7" s="25" t="s">
        <v>3083</v>
      </c>
      <c r="G7" s="25" t="s">
        <v>3084</v>
      </c>
      <c r="H7" s="25" t="s">
        <v>3053</v>
      </c>
      <c r="I7" s="25"/>
      <c r="J7" s="25" t="s">
        <v>253</v>
      </c>
      <c r="K7" s="25"/>
      <c r="L7" s="25"/>
      <c r="M7" s="25"/>
      <c r="N7" s="25"/>
      <c r="O7" s="25" t="s">
        <v>3150</v>
      </c>
      <c r="P7" s="25">
        <v>2</v>
      </c>
      <c r="Q7" s="25">
        <v>2</v>
      </c>
      <c r="R7" s="26" t="s">
        <v>181</v>
      </c>
      <c r="S7" s="1" t="s">
        <v>7</v>
      </c>
    </row>
    <row r="8" spans="1:26">
      <c r="A8" s="24" t="s">
        <v>3164</v>
      </c>
      <c r="B8" s="25" t="s">
        <v>1</v>
      </c>
      <c r="C8" s="31" t="s">
        <v>434</v>
      </c>
      <c r="D8" s="25" t="s">
        <v>204</v>
      </c>
      <c r="E8" s="25">
        <v>3</v>
      </c>
      <c r="F8" s="25" t="s">
        <v>3083</v>
      </c>
      <c r="G8" s="25" t="s">
        <v>3084</v>
      </c>
      <c r="H8" s="25" t="s">
        <v>3061</v>
      </c>
      <c r="I8" s="25"/>
      <c r="J8" s="25" t="s">
        <v>1</v>
      </c>
      <c r="K8" s="25" t="s">
        <v>111</v>
      </c>
      <c r="L8" s="25"/>
      <c r="M8" s="25"/>
      <c r="N8" s="25"/>
      <c r="O8" s="25"/>
      <c r="P8" s="25">
        <v>2</v>
      </c>
      <c r="Q8" s="25">
        <v>2</v>
      </c>
      <c r="R8" s="26" t="s">
        <v>10</v>
      </c>
      <c r="S8" s="1" t="s">
        <v>4</v>
      </c>
    </row>
    <row r="9" spans="1:26">
      <c r="A9" s="24" t="s">
        <v>3165</v>
      </c>
      <c r="B9" s="25" t="s">
        <v>13318</v>
      </c>
      <c r="C9" s="31" t="s">
        <v>2075</v>
      </c>
      <c r="D9" s="25" t="s">
        <v>187</v>
      </c>
      <c r="E9" s="25">
        <v>2</v>
      </c>
      <c r="F9" s="25" t="s">
        <v>3083</v>
      </c>
      <c r="G9" s="25" t="s">
        <v>3084</v>
      </c>
      <c r="H9" s="25" t="s">
        <v>3055</v>
      </c>
      <c r="I9" s="25"/>
      <c r="J9" s="25" t="s">
        <v>3891</v>
      </c>
      <c r="K9" s="25" t="s">
        <v>5191</v>
      </c>
      <c r="L9" s="25" t="s">
        <v>19</v>
      </c>
      <c r="M9" s="25"/>
      <c r="N9" s="25"/>
      <c r="O9" s="25"/>
      <c r="P9" s="25">
        <v>2</v>
      </c>
      <c r="Q9" s="25">
        <v>1</v>
      </c>
      <c r="R9" s="26" t="s">
        <v>32</v>
      </c>
      <c r="S9" s="1" t="s">
        <v>9</v>
      </c>
    </row>
    <row r="10" spans="1:26">
      <c r="A10" s="24" t="s">
        <v>3166</v>
      </c>
      <c r="B10" s="25" t="s">
        <v>13319</v>
      </c>
      <c r="C10" s="31" t="s">
        <v>701</v>
      </c>
      <c r="D10" s="25" t="s">
        <v>204</v>
      </c>
      <c r="E10" s="25">
        <v>3</v>
      </c>
      <c r="F10" s="25" t="s">
        <v>3083</v>
      </c>
      <c r="G10" s="25" t="s">
        <v>3084</v>
      </c>
      <c r="H10" s="25" t="s">
        <v>3051</v>
      </c>
      <c r="I10" s="25"/>
      <c r="J10" s="25" t="s">
        <v>632</v>
      </c>
      <c r="K10" s="25" t="s">
        <v>630</v>
      </c>
      <c r="L10" s="25"/>
      <c r="M10" s="25"/>
      <c r="N10" s="25"/>
      <c r="O10" s="25"/>
      <c r="P10" s="25">
        <v>2</v>
      </c>
      <c r="Q10" s="25">
        <v>2</v>
      </c>
      <c r="R10" s="26" t="s">
        <v>15</v>
      </c>
      <c r="S10" s="1" t="s">
        <v>7</v>
      </c>
    </row>
    <row r="11" spans="1:26">
      <c r="A11" s="24" t="s">
        <v>3167</v>
      </c>
      <c r="B11" s="25" t="s">
        <v>4767</v>
      </c>
      <c r="C11" s="31" t="s">
        <v>738</v>
      </c>
      <c r="D11" s="25" t="s">
        <v>185</v>
      </c>
      <c r="E11" s="25">
        <v>4</v>
      </c>
      <c r="F11" s="25" t="s">
        <v>3083</v>
      </c>
      <c r="G11" s="25" t="s">
        <v>3084</v>
      </c>
      <c r="H11" s="25" t="s">
        <v>3063</v>
      </c>
      <c r="I11" s="25"/>
      <c r="J11" s="25" t="s">
        <v>305</v>
      </c>
      <c r="K11" s="1" t="s">
        <v>306</v>
      </c>
      <c r="L11" s="25"/>
      <c r="M11" s="25"/>
      <c r="N11" s="25"/>
      <c r="O11" s="25" t="s">
        <v>3150</v>
      </c>
      <c r="P11" s="25">
        <v>1</v>
      </c>
      <c r="Q11" s="25">
        <v>1</v>
      </c>
      <c r="R11" s="26" t="s">
        <v>606</v>
      </c>
      <c r="S11" s="1" t="s">
        <v>7</v>
      </c>
    </row>
    <row r="12" spans="1:26">
      <c r="A12" s="24" t="s">
        <v>3168</v>
      </c>
      <c r="B12" s="25" t="s">
        <v>3498</v>
      </c>
      <c r="C12" s="31" t="s">
        <v>751</v>
      </c>
      <c r="D12" s="25" t="s">
        <v>209</v>
      </c>
      <c r="E12" s="25">
        <v>4</v>
      </c>
      <c r="F12" s="25" t="s">
        <v>3083</v>
      </c>
      <c r="G12" s="25" t="s">
        <v>3084</v>
      </c>
      <c r="H12" s="25" t="s">
        <v>3053</v>
      </c>
      <c r="I12" s="25"/>
      <c r="J12" s="25" t="s">
        <v>19</v>
      </c>
      <c r="K12" s="25" t="s">
        <v>3785</v>
      </c>
      <c r="L12" s="25"/>
      <c r="M12" s="25"/>
      <c r="N12" s="25"/>
      <c r="O12" s="25"/>
      <c r="P12" s="25">
        <v>3</v>
      </c>
      <c r="Q12" s="25">
        <v>3</v>
      </c>
      <c r="R12" s="26" t="s">
        <v>48</v>
      </c>
      <c r="S12" s="1" t="s">
        <v>7</v>
      </c>
    </row>
    <row r="13" spans="1:26">
      <c r="A13" s="24" t="s">
        <v>3169</v>
      </c>
      <c r="B13" s="25" t="s">
        <v>3732</v>
      </c>
      <c r="C13" s="31" t="s">
        <v>4057</v>
      </c>
      <c r="D13" s="25" t="s">
        <v>209</v>
      </c>
      <c r="E13" s="25">
        <v>4</v>
      </c>
      <c r="F13" s="25" t="s">
        <v>3083</v>
      </c>
      <c r="G13" s="25" t="s">
        <v>3084</v>
      </c>
      <c r="H13" s="25" t="s">
        <v>3050</v>
      </c>
      <c r="I13" s="25"/>
      <c r="J13" s="25" t="s">
        <v>4058</v>
      </c>
      <c r="K13" s="25" t="s">
        <v>4059</v>
      </c>
      <c r="L13" s="25"/>
      <c r="M13" s="25"/>
      <c r="N13" s="25"/>
      <c r="O13" s="25"/>
      <c r="P13" s="25">
        <v>2</v>
      </c>
      <c r="Q13" s="25">
        <v>2</v>
      </c>
      <c r="R13" s="26" t="s">
        <v>4056</v>
      </c>
      <c r="S13" s="1" t="s">
        <v>7</v>
      </c>
    </row>
    <row r="14" spans="1:26">
      <c r="A14" s="24" t="s">
        <v>3170</v>
      </c>
      <c r="B14" s="25" t="s">
        <v>13320</v>
      </c>
      <c r="C14" s="31" t="s">
        <v>756</v>
      </c>
      <c r="D14" s="25" t="s">
        <v>211</v>
      </c>
      <c r="E14" s="25">
        <v>5</v>
      </c>
      <c r="F14" s="25" t="s">
        <v>3083</v>
      </c>
      <c r="G14" s="25" t="s">
        <v>3084</v>
      </c>
      <c r="H14" s="25" t="s">
        <v>3050</v>
      </c>
      <c r="I14" s="25"/>
      <c r="J14" s="25" t="s">
        <v>1</v>
      </c>
      <c r="K14" s="25" t="s">
        <v>318</v>
      </c>
      <c r="L14" s="25" t="s">
        <v>319</v>
      </c>
      <c r="M14" s="25"/>
      <c r="N14" s="25"/>
      <c r="O14" s="25" t="s">
        <v>3150</v>
      </c>
      <c r="P14" s="25">
        <v>4</v>
      </c>
      <c r="Q14" s="25">
        <v>3</v>
      </c>
      <c r="R14" s="26" t="s">
        <v>33</v>
      </c>
      <c r="S14" s="1" t="s">
        <v>7</v>
      </c>
    </row>
    <row r="15" spans="1:26">
      <c r="A15" s="24" t="s">
        <v>3171</v>
      </c>
      <c r="B15" s="25"/>
      <c r="C15" s="31" t="s">
        <v>6303</v>
      </c>
      <c r="D15" s="25" t="s">
        <v>204</v>
      </c>
      <c r="E15" s="31">
        <v>3</v>
      </c>
      <c r="F15" s="25" t="s">
        <v>3403</v>
      </c>
      <c r="J15" s="1" t="s">
        <v>6304</v>
      </c>
      <c r="K15" s="25" t="s">
        <v>6305</v>
      </c>
      <c r="L15" s="25"/>
      <c r="M15" s="25"/>
      <c r="N15" s="25"/>
      <c r="O15" s="25"/>
      <c r="P15" s="25"/>
      <c r="Q15" s="25"/>
      <c r="R15" s="26" t="s">
        <v>607</v>
      </c>
      <c r="S15" s="1" t="s">
        <v>4</v>
      </c>
    </row>
    <row r="16" spans="1:26">
      <c r="A16" s="24" t="s">
        <v>3172</v>
      </c>
      <c r="C16" s="31" t="s">
        <v>4088</v>
      </c>
      <c r="D16" s="25" t="s">
        <v>204</v>
      </c>
      <c r="E16" s="31">
        <v>3</v>
      </c>
      <c r="F16" s="25" t="s">
        <v>3403</v>
      </c>
      <c r="G16" s="25"/>
      <c r="H16" s="25"/>
      <c r="I16" s="25"/>
      <c r="J16" s="25" t="s">
        <v>6319</v>
      </c>
      <c r="K16" s="25"/>
      <c r="L16" s="25"/>
      <c r="M16" s="25"/>
      <c r="N16" s="25"/>
      <c r="O16" s="25"/>
      <c r="P16" s="25"/>
      <c r="Q16" s="25"/>
      <c r="R16" s="26" t="s">
        <v>6</v>
      </c>
      <c r="S16" s="1" t="s">
        <v>4</v>
      </c>
    </row>
    <row r="17" spans="1:26">
      <c r="A17" s="24" t="s">
        <v>3173</v>
      </c>
      <c r="C17" s="31" t="s">
        <v>6376</v>
      </c>
      <c r="D17" s="25" t="s">
        <v>187</v>
      </c>
      <c r="E17" s="31">
        <v>1</v>
      </c>
      <c r="F17" s="25" t="s">
        <v>3399</v>
      </c>
      <c r="G17" s="25"/>
      <c r="H17" s="25"/>
      <c r="I17" s="25"/>
      <c r="J17" s="25" t="s">
        <v>6377</v>
      </c>
      <c r="K17" s="25"/>
      <c r="L17" s="25"/>
      <c r="M17" s="25"/>
      <c r="N17" s="25"/>
      <c r="O17" s="25"/>
      <c r="P17" s="25"/>
      <c r="Q17" s="25"/>
      <c r="R17" s="26" t="s">
        <v>16</v>
      </c>
      <c r="S17" s="1" t="s">
        <v>4</v>
      </c>
    </row>
    <row r="18" spans="1:26">
      <c r="A18" s="24" t="s">
        <v>3174</v>
      </c>
      <c r="C18" s="31" t="s">
        <v>5391</v>
      </c>
      <c r="D18" s="25" t="s">
        <v>611</v>
      </c>
      <c r="E18" s="31">
        <v>6</v>
      </c>
      <c r="F18" s="25" t="s">
        <v>3403</v>
      </c>
      <c r="G18" s="25"/>
      <c r="H18" s="25"/>
      <c r="I18" s="25"/>
      <c r="J18" s="31" t="s">
        <v>5392</v>
      </c>
      <c r="K18" s="25" t="s">
        <v>5393</v>
      </c>
      <c r="L18" s="25"/>
      <c r="M18" s="25"/>
      <c r="N18" s="25"/>
      <c r="O18" s="25"/>
      <c r="P18" s="25"/>
      <c r="Q18" s="25"/>
      <c r="R18" s="26" t="s">
        <v>52</v>
      </c>
      <c r="S18" s="1" t="s">
        <v>7</v>
      </c>
    </row>
    <row r="19" spans="1:26">
      <c r="A19" s="24" t="s">
        <v>3175</v>
      </c>
      <c r="C19" s="31" t="s">
        <v>6422</v>
      </c>
      <c r="D19" s="25" t="s">
        <v>212</v>
      </c>
      <c r="E19" s="31">
        <v>6</v>
      </c>
      <c r="F19" s="25" t="s">
        <v>3399</v>
      </c>
      <c r="G19" s="25"/>
      <c r="H19" s="25"/>
      <c r="I19" s="25"/>
      <c r="J19" s="25" t="s">
        <v>5014</v>
      </c>
      <c r="K19" s="25" t="s">
        <v>6423</v>
      </c>
      <c r="L19" s="25"/>
      <c r="M19" s="25"/>
      <c r="N19" s="25"/>
      <c r="O19" s="25"/>
      <c r="P19" s="25"/>
      <c r="Q19" s="25"/>
      <c r="R19" s="26" t="s">
        <v>172</v>
      </c>
      <c r="S19" s="1" t="s">
        <v>4</v>
      </c>
    </row>
    <row r="20" spans="1:26" ht="14.25" thickBot="1">
      <c r="A20" s="24" t="s">
        <v>3176</v>
      </c>
      <c r="B20" s="1" t="s">
        <v>13322</v>
      </c>
      <c r="C20" s="31" t="s">
        <v>6542</v>
      </c>
      <c r="D20" s="25" t="s">
        <v>204</v>
      </c>
      <c r="E20" s="31">
        <v>3</v>
      </c>
      <c r="F20" s="25" t="s">
        <v>3434</v>
      </c>
      <c r="G20" s="25" t="s">
        <v>3402</v>
      </c>
      <c r="H20" s="25"/>
      <c r="I20" s="25"/>
      <c r="J20" s="25" t="s">
        <v>3401</v>
      </c>
      <c r="K20" s="25" t="s">
        <v>6543</v>
      </c>
      <c r="L20" s="25"/>
      <c r="M20" s="25"/>
      <c r="N20" s="25"/>
      <c r="O20" s="25"/>
      <c r="P20" s="25"/>
      <c r="Q20" s="25"/>
      <c r="R20" s="26" t="s">
        <v>26</v>
      </c>
      <c r="S20" s="1" t="s">
        <v>4</v>
      </c>
    </row>
    <row r="21" spans="1:26">
      <c r="A21" s="21" t="s">
        <v>3177</v>
      </c>
      <c r="B21" s="22" t="s">
        <v>8479</v>
      </c>
      <c r="C21" s="32" t="s">
        <v>2147</v>
      </c>
      <c r="D21" s="22" t="s">
        <v>845</v>
      </c>
      <c r="E21" s="22">
        <v>1</v>
      </c>
      <c r="F21" s="22" t="s">
        <v>3083</v>
      </c>
      <c r="G21" s="22" t="s">
        <v>3084</v>
      </c>
      <c r="H21" s="22" t="s">
        <v>3051</v>
      </c>
      <c r="I21" s="22"/>
      <c r="J21" s="22" t="s">
        <v>786</v>
      </c>
      <c r="K21" s="22"/>
      <c r="L21" s="22"/>
      <c r="M21" s="22"/>
      <c r="N21" s="22" t="s">
        <v>13316</v>
      </c>
      <c r="O21" s="22"/>
      <c r="P21" s="22">
        <v>1</v>
      </c>
      <c r="Q21" s="22">
        <v>1</v>
      </c>
      <c r="R21" s="23"/>
      <c r="T21" s="1">
        <v>1</v>
      </c>
      <c r="U21" s="30">
        <v>2</v>
      </c>
      <c r="V21" s="30">
        <v>3</v>
      </c>
      <c r="W21" s="1">
        <v>4</v>
      </c>
      <c r="X21" s="1">
        <v>5</v>
      </c>
      <c r="Y21" s="1">
        <v>6</v>
      </c>
      <c r="Z21" s="1">
        <v>7</v>
      </c>
    </row>
    <row r="22" spans="1:26">
      <c r="A22" s="24"/>
      <c r="B22" s="25" t="s">
        <v>13323</v>
      </c>
      <c r="C22" s="31" t="s">
        <v>2148</v>
      </c>
      <c r="D22" s="25" t="s">
        <v>3396</v>
      </c>
      <c r="E22" s="25"/>
      <c r="F22" s="25" t="s">
        <v>3083</v>
      </c>
      <c r="G22" s="25" t="s">
        <v>3084</v>
      </c>
      <c r="H22" s="25" t="s">
        <v>3074</v>
      </c>
      <c r="I22" s="25"/>
      <c r="J22" s="25" t="s">
        <v>1</v>
      </c>
      <c r="K22" s="25"/>
      <c r="L22" s="25"/>
      <c r="M22" s="25"/>
      <c r="N22" s="25" t="s">
        <v>13316</v>
      </c>
      <c r="O22" s="25"/>
      <c r="P22" s="25">
        <v>3</v>
      </c>
      <c r="Q22" s="25">
        <v>2</v>
      </c>
      <c r="R22" s="26" t="s">
        <v>45</v>
      </c>
      <c r="S22" s="1" t="s">
        <v>4</v>
      </c>
      <c r="T22" s="1">
        <f t="shared" ref="T22:Z22" si="2">COUNTIF($E21:$E38,T21)</f>
        <v>2</v>
      </c>
      <c r="U22" s="1">
        <f t="shared" si="2"/>
        <v>4</v>
      </c>
      <c r="V22" s="1">
        <f t="shared" si="2"/>
        <v>5</v>
      </c>
      <c r="W22" s="1">
        <f t="shared" si="2"/>
        <v>1</v>
      </c>
      <c r="X22" s="1">
        <f t="shared" si="2"/>
        <v>2</v>
      </c>
      <c r="Y22" s="1">
        <f t="shared" si="2"/>
        <v>2</v>
      </c>
      <c r="Z22" s="1">
        <f t="shared" si="2"/>
        <v>0</v>
      </c>
    </row>
    <row r="23" spans="1:26">
      <c r="A23" s="24" t="s">
        <v>3178</v>
      </c>
      <c r="B23" s="25" t="s">
        <v>4766</v>
      </c>
      <c r="C23" s="31" t="s">
        <v>2173</v>
      </c>
      <c r="D23" s="25" t="s">
        <v>846</v>
      </c>
      <c r="E23" s="25">
        <v>2</v>
      </c>
      <c r="F23" s="25" t="s">
        <v>3083</v>
      </c>
      <c r="G23" s="25" t="s">
        <v>3084</v>
      </c>
      <c r="H23" s="25" t="s">
        <v>3051</v>
      </c>
      <c r="I23" s="25"/>
      <c r="J23" s="25" t="s">
        <v>3450</v>
      </c>
      <c r="K23" s="25"/>
      <c r="L23" s="25"/>
      <c r="M23" s="25"/>
      <c r="N23" s="25"/>
      <c r="O23" s="25" t="s">
        <v>3150</v>
      </c>
      <c r="P23" s="25">
        <v>1</v>
      </c>
      <c r="Q23" s="25">
        <v>3</v>
      </c>
      <c r="R23" s="26" t="s">
        <v>14</v>
      </c>
      <c r="S23" s="1" t="s">
        <v>4</v>
      </c>
    </row>
    <row r="24" spans="1:26">
      <c r="A24" s="24" t="s">
        <v>3179</v>
      </c>
      <c r="B24" s="31" t="s">
        <v>3498</v>
      </c>
      <c r="C24" s="31" t="s">
        <v>2247</v>
      </c>
      <c r="D24" s="25" t="s">
        <v>847</v>
      </c>
      <c r="E24" s="25">
        <v>3</v>
      </c>
      <c r="F24" s="25" t="s">
        <v>3083</v>
      </c>
      <c r="G24" s="25" t="s">
        <v>3084</v>
      </c>
      <c r="H24" s="25" t="s">
        <v>3071</v>
      </c>
      <c r="I24" s="25"/>
      <c r="J24" s="25" t="s">
        <v>24</v>
      </c>
      <c r="K24" s="25" t="s">
        <v>901</v>
      </c>
      <c r="L24" s="25"/>
      <c r="M24" s="25"/>
      <c r="N24" s="25"/>
      <c r="O24" s="25"/>
      <c r="P24" s="25">
        <v>1</v>
      </c>
      <c r="Q24" s="25">
        <v>3</v>
      </c>
      <c r="R24" s="26" t="s">
        <v>48</v>
      </c>
      <c r="S24" s="1" t="s">
        <v>7</v>
      </c>
    </row>
    <row r="25" spans="1:26">
      <c r="A25" s="24" t="s">
        <v>3180</v>
      </c>
      <c r="B25" s="31" t="s">
        <v>13324</v>
      </c>
      <c r="C25" s="31" t="s">
        <v>2250</v>
      </c>
      <c r="D25" s="25" t="s">
        <v>847</v>
      </c>
      <c r="E25" s="25">
        <v>3</v>
      </c>
      <c r="F25" s="25" t="s">
        <v>3085</v>
      </c>
      <c r="G25" s="25" t="s">
        <v>3084</v>
      </c>
      <c r="H25" s="25" t="s">
        <v>3051</v>
      </c>
      <c r="I25" s="25"/>
      <c r="J25" s="25" t="s">
        <v>942</v>
      </c>
      <c r="K25" s="25" t="s">
        <v>959</v>
      </c>
      <c r="L25" s="25"/>
      <c r="M25" s="25"/>
      <c r="N25" s="25"/>
      <c r="O25" s="25"/>
      <c r="P25" s="25">
        <v>2</v>
      </c>
      <c r="Q25" s="25">
        <v>2</v>
      </c>
      <c r="R25" s="26" t="s">
        <v>15</v>
      </c>
      <c r="S25" s="1" t="s">
        <v>7</v>
      </c>
    </row>
    <row r="26" spans="1:26">
      <c r="A26" s="24" t="s">
        <v>3181</v>
      </c>
      <c r="B26" s="25" t="s">
        <v>13325</v>
      </c>
      <c r="C26" s="31" t="s">
        <v>2212</v>
      </c>
      <c r="D26" s="25" t="s">
        <v>849</v>
      </c>
      <c r="E26" s="25">
        <v>4</v>
      </c>
      <c r="F26" s="25" t="s">
        <v>3083</v>
      </c>
      <c r="G26" s="25" t="s">
        <v>3084</v>
      </c>
      <c r="H26" s="25"/>
      <c r="I26" s="25"/>
      <c r="J26" s="25" t="s">
        <v>838</v>
      </c>
      <c r="K26" s="25"/>
      <c r="L26" s="25"/>
      <c r="M26" s="25"/>
      <c r="N26" s="25"/>
      <c r="O26" s="25" t="s">
        <v>3150</v>
      </c>
      <c r="P26" s="25">
        <v>0</v>
      </c>
      <c r="Q26" s="25">
        <v>2</v>
      </c>
      <c r="R26" s="26" t="s">
        <v>39</v>
      </c>
      <c r="S26" s="1" t="s">
        <v>4</v>
      </c>
    </row>
    <row r="27" spans="1:26">
      <c r="A27" s="24" t="s">
        <v>3182</v>
      </c>
      <c r="B27" s="25" t="s">
        <v>13318</v>
      </c>
      <c r="C27" s="31" t="s">
        <v>4008</v>
      </c>
      <c r="D27" s="25" t="s">
        <v>846</v>
      </c>
      <c r="E27" s="25">
        <v>2</v>
      </c>
      <c r="F27" s="25" t="s">
        <v>3083</v>
      </c>
      <c r="G27" s="25" t="s">
        <v>3084</v>
      </c>
      <c r="H27" s="25" t="s">
        <v>3051</v>
      </c>
      <c r="I27" s="25"/>
      <c r="J27" s="25" t="s">
        <v>5146</v>
      </c>
      <c r="K27" s="25" t="s">
        <v>5190</v>
      </c>
      <c r="L27" s="25"/>
      <c r="M27" s="25"/>
      <c r="N27" s="25"/>
      <c r="O27" s="25"/>
      <c r="P27" s="31">
        <v>1</v>
      </c>
      <c r="Q27" s="25">
        <v>2</v>
      </c>
      <c r="R27" s="26" t="s">
        <v>3999</v>
      </c>
      <c r="S27" s="1" t="s">
        <v>4000</v>
      </c>
    </row>
    <row r="28" spans="1:26">
      <c r="A28" s="24" t="s">
        <v>3183</v>
      </c>
      <c r="B28" s="25" t="s">
        <v>13326</v>
      </c>
      <c r="C28" s="31" t="s">
        <v>2214</v>
      </c>
      <c r="D28" s="25" t="s">
        <v>851</v>
      </c>
      <c r="E28" s="25">
        <v>5</v>
      </c>
      <c r="F28" s="25" t="s">
        <v>3083</v>
      </c>
      <c r="G28" s="25" t="s">
        <v>3084</v>
      </c>
      <c r="H28" s="25" t="s">
        <v>3054</v>
      </c>
      <c r="I28" s="25"/>
      <c r="J28" s="25" t="s">
        <v>1</v>
      </c>
      <c r="K28" s="25" t="s">
        <v>840</v>
      </c>
      <c r="L28" s="25"/>
      <c r="M28" s="25"/>
      <c r="N28" s="25"/>
      <c r="O28" s="25" t="s">
        <v>3150</v>
      </c>
      <c r="P28" s="25">
        <v>3</v>
      </c>
      <c r="Q28" s="25">
        <v>2</v>
      </c>
      <c r="R28" s="26" t="s">
        <v>52</v>
      </c>
      <c r="S28" s="1" t="s">
        <v>4</v>
      </c>
    </row>
    <row r="29" spans="1:26">
      <c r="A29" s="24" t="s">
        <v>3184</v>
      </c>
      <c r="B29" s="25" t="s">
        <v>4766</v>
      </c>
      <c r="C29" s="31" t="s">
        <v>2216</v>
      </c>
      <c r="D29" s="25" t="s">
        <v>851</v>
      </c>
      <c r="E29" s="25">
        <v>5</v>
      </c>
      <c r="F29" s="25" t="s">
        <v>3083</v>
      </c>
      <c r="G29" s="25" t="s">
        <v>3084</v>
      </c>
      <c r="H29" s="25" t="s">
        <v>3070</v>
      </c>
      <c r="I29" s="25"/>
      <c r="J29" s="25" t="s">
        <v>842</v>
      </c>
      <c r="K29" s="25"/>
      <c r="L29" s="25"/>
      <c r="M29" s="25"/>
      <c r="N29" s="25"/>
      <c r="O29" s="25" t="s">
        <v>3150</v>
      </c>
      <c r="P29" s="25">
        <v>3</v>
      </c>
      <c r="Q29" s="25">
        <v>4</v>
      </c>
      <c r="R29" s="26" t="s">
        <v>30</v>
      </c>
      <c r="S29" s="1" t="s">
        <v>4</v>
      </c>
    </row>
    <row r="30" spans="1:26">
      <c r="A30" s="24" t="s">
        <v>3185</v>
      </c>
      <c r="B30" s="25" t="s">
        <v>13327</v>
      </c>
      <c r="C30" s="31" t="s">
        <v>4060</v>
      </c>
      <c r="D30" s="25" t="s">
        <v>4061</v>
      </c>
      <c r="E30" s="25">
        <v>6</v>
      </c>
      <c r="F30" s="25" t="s">
        <v>3083</v>
      </c>
      <c r="G30" s="25" t="s">
        <v>3084</v>
      </c>
      <c r="H30" s="25" t="s">
        <v>3071</v>
      </c>
      <c r="I30" s="25"/>
      <c r="J30" s="25" t="s">
        <v>4062</v>
      </c>
      <c r="K30" s="25" t="s">
        <v>4063</v>
      </c>
      <c r="L30" s="25"/>
      <c r="M30" s="25"/>
      <c r="N30" s="25"/>
      <c r="O30" s="25" t="s">
        <v>3150</v>
      </c>
      <c r="P30" s="25">
        <v>3</v>
      </c>
      <c r="Q30" s="25">
        <v>5</v>
      </c>
      <c r="R30" s="26" t="s">
        <v>4056</v>
      </c>
      <c r="S30" s="1" t="s">
        <v>4</v>
      </c>
    </row>
    <row r="31" spans="1:26">
      <c r="A31" s="24" t="s">
        <v>3186</v>
      </c>
      <c r="B31" s="31" t="s">
        <v>1</v>
      </c>
      <c r="C31" s="31" t="s">
        <v>2281</v>
      </c>
      <c r="D31" s="25" t="s">
        <v>944</v>
      </c>
      <c r="E31" s="25">
        <v>6</v>
      </c>
      <c r="F31" s="25" t="s">
        <v>3083</v>
      </c>
      <c r="G31" s="25" t="s">
        <v>3084</v>
      </c>
      <c r="H31" s="25" t="s">
        <v>3063</v>
      </c>
      <c r="I31" s="25"/>
      <c r="J31" s="25" t="s">
        <v>937</v>
      </c>
      <c r="K31" s="25" t="s">
        <v>1</v>
      </c>
      <c r="L31" s="25"/>
      <c r="M31" s="25"/>
      <c r="N31" s="25"/>
      <c r="O31" s="25"/>
      <c r="P31" s="25">
        <v>4</v>
      </c>
      <c r="Q31" s="25">
        <v>3</v>
      </c>
      <c r="R31" s="26" t="s">
        <v>35</v>
      </c>
      <c r="S31" s="1" t="s">
        <v>7</v>
      </c>
    </row>
    <row r="32" spans="1:26">
      <c r="A32" s="24" t="s">
        <v>3187</v>
      </c>
      <c r="B32" s="31"/>
      <c r="C32" s="31" t="s">
        <v>7144</v>
      </c>
      <c r="D32" s="25" t="s">
        <v>845</v>
      </c>
      <c r="E32" s="31">
        <v>1</v>
      </c>
      <c r="F32" s="25" t="s">
        <v>3403</v>
      </c>
      <c r="G32" s="25"/>
      <c r="H32" s="25"/>
      <c r="I32" s="25"/>
      <c r="J32" s="25" t="s">
        <v>7145</v>
      </c>
      <c r="K32" s="25" t="s">
        <v>7146</v>
      </c>
      <c r="L32" s="25"/>
      <c r="M32" s="25"/>
      <c r="N32" s="25"/>
      <c r="O32" s="25"/>
      <c r="P32" s="25"/>
      <c r="Q32" s="25"/>
      <c r="R32" s="26" t="s">
        <v>27</v>
      </c>
      <c r="S32" s="1" t="s">
        <v>4</v>
      </c>
    </row>
    <row r="33" spans="1:26">
      <c r="A33" s="24" t="s">
        <v>3188</v>
      </c>
      <c r="B33" s="31"/>
      <c r="C33" s="31" t="s">
        <v>7181</v>
      </c>
      <c r="D33" s="25" t="s">
        <v>846</v>
      </c>
      <c r="E33" s="31">
        <v>2</v>
      </c>
      <c r="F33" s="25" t="s">
        <v>3403</v>
      </c>
      <c r="G33" s="25"/>
      <c r="H33" s="25"/>
      <c r="I33" s="25" t="s">
        <v>13427</v>
      </c>
      <c r="J33" s="25" t="s">
        <v>7182</v>
      </c>
      <c r="K33" s="25"/>
      <c r="L33" s="25"/>
      <c r="M33" s="25"/>
      <c r="N33" s="25"/>
      <c r="O33" s="25"/>
      <c r="P33" s="25"/>
      <c r="Q33" s="25"/>
      <c r="R33" s="26" t="s">
        <v>36</v>
      </c>
      <c r="S33" s="1" t="s">
        <v>4</v>
      </c>
    </row>
    <row r="34" spans="1:26">
      <c r="A34" s="24" t="s">
        <v>3189</v>
      </c>
      <c r="B34" s="31"/>
      <c r="C34" s="31" t="s">
        <v>7277</v>
      </c>
      <c r="D34" s="25" t="s">
        <v>847</v>
      </c>
      <c r="E34" s="31">
        <v>3</v>
      </c>
      <c r="F34" s="25" t="s">
        <v>3403</v>
      </c>
      <c r="G34" s="25"/>
      <c r="H34" s="25"/>
      <c r="I34" s="25"/>
      <c r="J34" s="25" t="s">
        <v>4334</v>
      </c>
      <c r="K34" s="25"/>
      <c r="L34" s="25"/>
      <c r="M34" s="25"/>
      <c r="N34" s="25"/>
      <c r="O34" s="25"/>
      <c r="P34" s="25"/>
      <c r="Q34" s="25"/>
      <c r="R34" s="26" t="s">
        <v>170</v>
      </c>
      <c r="S34" s="1" t="s">
        <v>4</v>
      </c>
    </row>
    <row r="35" spans="1:26">
      <c r="A35" s="24" t="s">
        <v>3190</v>
      </c>
      <c r="B35" s="31"/>
      <c r="C35" s="31" t="s">
        <v>7304</v>
      </c>
      <c r="D35" s="25" t="s">
        <v>847</v>
      </c>
      <c r="E35" s="31">
        <v>3</v>
      </c>
      <c r="F35" s="25" t="s">
        <v>3403</v>
      </c>
      <c r="G35" s="25"/>
      <c r="H35" s="25"/>
      <c r="I35" s="25" t="s">
        <v>13427</v>
      </c>
      <c r="J35" s="25" t="s">
        <v>5000</v>
      </c>
      <c r="K35" s="25" t="s">
        <v>7305</v>
      </c>
      <c r="L35" s="25"/>
      <c r="M35" s="25"/>
      <c r="N35" s="25"/>
      <c r="O35" s="25"/>
      <c r="P35" s="25"/>
      <c r="Q35" s="25"/>
      <c r="R35" s="26" t="s">
        <v>48</v>
      </c>
      <c r="S35" s="1" t="s">
        <v>4</v>
      </c>
    </row>
    <row r="36" spans="1:26">
      <c r="A36" s="24" t="s">
        <v>3191</v>
      </c>
      <c r="B36" s="31"/>
      <c r="C36" s="31" t="s">
        <v>7457</v>
      </c>
      <c r="D36" s="25" t="s">
        <v>846</v>
      </c>
      <c r="E36" s="31">
        <v>2</v>
      </c>
      <c r="F36" s="25" t="s">
        <v>3399</v>
      </c>
      <c r="G36" s="25"/>
      <c r="H36" s="25"/>
      <c r="I36" s="25"/>
      <c r="J36" s="25" t="s">
        <v>7458</v>
      </c>
      <c r="K36" s="25" t="s">
        <v>3768</v>
      </c>
      <c r="L36" s="25"/>
      <c r="M36" s="25"/>
      <c r="N36" s="25"/>
      <c r="O36" s="25"/>
      <c r="P36" s="25"/>
      <c r="Q36" s="25"/>
      <c r="R36" s="26" t="s">
        <v>6</v>
      </c>
      <c r="S36" s="1" t="s">
        <v>4</v>
      </c>
    </row>
    <row r="37" spans="1:26">
      <c r="A37" s="24" t="s">
        <v>3192</v>
      </c>
      <c r="B37" s="31"/>
      <c r="C37" s="31" t="s">
        <v>7531</v>
      </c>
      <c r="D37" s="25" t="s">
        <v>4042</v>
      </c>
      <c r="E37" s="31">
        <v>8</v>
      </c>
      <c r="F37" s="25" t="s">
        <v>3399</v>
      </c>
      <c r="G37" s="25"/>
      <c r="H37" s="25"/>
      <c r="I37" s="25"/>
      <c r="J37" s="25" t="s">
        <v>1232</v>
      </c>
      <c r="K37" s="25" t="s">
        <v>7432</v>
      </c>
      <c r="L37" s="25"/>
      <c r="M37" s="25"/>
      <c r="N37" s="25"/>
      <c r="O37" s="25"/>
      <c r="P37" s="25"/>
      <c r="Q37" s="25"/>
      <c r="R37" s="26" t="s">
        <v>38</v>
      </c>
      <c r="S37" s="1" t="s">
        <v>4</v>
      </c>
    </row>
    <row r="38" spans="1:26" ht="14.25" thickBot="1">
      <c r="A38" s="24" t="s">
        <v>3193</v>
      </c>
      <c r="B38" s="31" t="s">
        <v>4101</v>
      </c>
      <c r="C38" s="31" t="s">
        <v>7668</v>
      </c>
      <c r="D38" s="25" t="s">
        <v>848</v>
      </c>
      <c r="E38" s="31">
        <v>3</v>
      </c>
      <c r="F38" s="31" t="s">
        <v>3434</v>
      </c>
      <c r="G38" s="31" t="s">
        <v>3402</v>
      </c>
      <c r="H38" s="25"/>
      <c r="I38" s="25"/>
      <c r="J38" s="25" t="s">
        <v>3401</v>
      </c>
      <c r="K38" s="25" t="s">
        <v>7669</v>
      </c>
      <c r="L38" s="25" t="s">
        <v>4145</v>
      </c>
      <c r="M38" s="25"/>
      <c r="N38" s="25"/>
      <c r="O38" s="25"/>
      <c r="P38" s="25"/>
      <c r="Q38" s="25"/>
      <c r="R38" s="26" t="s">
        <v>48</v>
      </c>
      <c r="S38" s="1" t="s">
        <v>4</v>
      </c>
    </row>
    <row r="39" spans="1:26">
      <c r="A39" s="21" t="s">
        <v>3194</v>
      </c>
      <c r="B39" s="22" t="s">
        <v>3518</v>
      </c>
      <c r="C39" s="32" t="s">
        <v>2343</v>
      </c>
      <c r="D39" s="22" t="s">
        <v>1099</v>
      </c>
      <c r="E39" s="22">
        <v>1</v>
      </c>
      <c r="F39" s="22" t="s">
        <v>3083</v>
      </c>
      <c r="G39" s="22" t="s">
        <v>3084</v>
      </c>
      <c r="H39" s="22" t="s">
        <v>3071</v>
      </c>
      <c r="I39" s="22"/>
      <c r="J39" s="22" t="s">
        <v>1044</v>
      </c>
      <c r="K39" s="22"/>
      <c r="L39" s="22"/>
      <c r="M39" s="22"/>
      <c r="N39" s="22"/>
      <c r="O39" s="22"/>
      <c r="P39" s="22">
        <v>1</v>
      </c>
      <c r="Q39" s="22">
        <v>1</v>
      </c>
      <c r="R39" s="23" t="s">
        <v>26</v>
      </c>
      <c r="S39" s="1" t="s">
        <v>4</v>
      </c>
      <c r="T39" s="1">
        <v>1</v>
      </c>
      <c r="U39" s="30">
        <v>2</v>
      </c>
      <c r="V39" s="30">
        <v>3</v>
      </c>
      <c r="W39" s="1">
        <v>4</v>
      </c>
      <c r="X39" s="1">
        <v>5</v>
      </c>
      <c r="Y39" s="1">
        <v>6</v>
      </c>
      <c r="Z39" s="1">
        <v>7</v>
      </c>
    </row>
    <row r="40" spans="1:26">
      <c r="A40" s="24" t="s">
        <v>3195</v>
      </c>
      <c r="B40" s="25" t="s">
        <v>3498</v>
      </c>
      <c r="C40" s="31" t="s">
        <v>2407</v>
      </c>
      <c r="D40" s="25" t="s">
        <v>1099</v>
      </c>
      <c r="E40" s="25">
        <v>1</v>
      </c>
      <c r="F40" s="25" t="s">
        <v>3083</v>
      </c>
      <c r="G40" s="25" t="s">
        <v>3084</v>
      </c>
      <c r="H40" s="25" t="s">
        <v>3053</v>
      </c>
      <c r="I40" s="25"/>
      <c r="J40" s="25" t="s">
        <v>1180</v>
      </c>
      <c r="K40" s="25"/>
      <c r="L40" s="25"/>
      <c r="M40" s="25"/>
      <c r="N40" s="25"/>
      <c r="O40" s="25"/>
      <c r="P40" s="25">
        <v>0</v>
      </c>
      <c r="Q40" s="25">
        <v>2</v>
      </c>
      <c r="R40" s="26" t="s">
        <v>53</v>
      </c>
      <c r="S40" s="1" t="s">
        <v>7</v>
      </c>
      <c r="T40" s="1">
        <f t="shared" ref="T40:Z40" si="3">COUNTIF($E39:$E56,T39)</f>
        <v>3</v>
      </c>
      <c r="U40" s="1">
        <f t="shared" si="3"/>
        <v>3</v>
      </c>
      <c r="V40" s="1">
        <f t="shared" si="3"/>
        <v>4</v>
      </c>
      <c r="W40" s="1">
        <f t="shared" si="3"/>
        <v>5</v>
      </c>
      <c r="X40" s="1">
        <f t="shared" si="3"/>
        <v>1</v>
      </c>
      <c r="Y40" s="1">
        <f t="shared" si="3"/>
        <v>1</v>
      </c>
      <c r="Z40" s="1">
        <f t="shared" si="3"/>
        <v>0</v>
      </c>
    </row>
    <row r="41" spans="1:26">
      <c r="A41" s="24" t="s">
        <v>3196</v>
      </c>
      <c r="B41" s="31" t="s">
        <v>13330</v>
      </c>
      <c r="C41" s="31" t="s">
        <v>2355</v>
      </c>
      <c r="D41" s="25" t="s">
        <v>1100</v>
      </c>
      <c r="E41" s="25">
        <v>2</v>
      </c>
      <c r="F41" s="25" t="s">
        <v>3083</v>
      </c>
      <c r="G41" s="25" t="s">
        <v>3084</v>
      </c>
      <c r="H41" s="25" t="s">
        <v>3071</v>
      </c>
      <c r="I41" s="25"/>
      <c r="J41" s="25" t="s">
        <v>1109</v>
      </c>
      <c r="K41" s="25"/>
      <c r="L41" s="25"/>
      <c r="M41" s="25"/>
      <c r="N41" s="25"/>
      <c r="O41" s="25"/>
      <c r="P41" s="25">
        <v>2</v>
      </c>
      <c r="Q41" s="25">
        <v>1</v>
      </c>
      <c r="R41" s="26" t="s">
        <v>180</v>
      </c>
      <c r="S41" s="1" t="s">
        <v>4</v>
      </c>
    </row>
    <row r="42" spans="1:26">
      <c r="A42" s="24" t="s">
        <v>3197</v>
      </c>
      <c r="B42" s="25" t="s">
        <v>13318</v>
      </c>
      <c r="C42" s="31" t="s">
        <v>2465</v>
      </c>
      <c r="D42" s="25" t="s">
        <v>1100</v>
      </c>
      <c r="E42" s="25">
        <v>2</v>
      </c>
      <c r="F42" s="25" t="s">
        <v>3083</v>
      </c>
      <c r="G42" s="25" t="s">
        <v>3084</v>
      </c>
      <c r="H42" s="25" t="s">
        <v>3076</v>
      </c>
      <c r="I42" s="25"/>
      <c r="J42" s="25" t="s">
        <v>5151</v>
      </c>
      <c r="K42" s="25" t="s">
        <v>5189</v>
      </c>
      <c r="L42" s="25" t="s">
        <v>1200</v>
      </c>
      <c r="M42" s="25"/>
      <c r="N42" s="25"/>
      <c r="O42" s="25"/>
      <c r="P42" s="25">
        <v>2</v>
      </c>
      <c r="Q42" s="25">
        <v>1</v>
      </c>
      <c r="R42" s="26" t="s">
        <v>32</v>
      </c>
      <c r="S42" s="1" t="s">
        <v>9</v>
      </c>
    </row>
    <row r="43" spans="1:26">
      <c r="A43" s="24" t="s">
        <v>3198</v>
      </c>
      <c r="B43" s="31" t="s">
        <v>4766</v>
      </c>
      <c r="C43" s="31" t="s">
        <v>2379</v>
      </c>
      <c r="D43" s="25" t="s">
        <v>1101</v>
      </c>
      <c r="E43" s="25">
        <v>3</v>
      </c>
      <c r="F43" s="25" t="s">
        <v>3083</v>
      </c>
      <c r="G43" s="25" t="s">
        <v>3084</v>
      </c>
      <c r="H43" s="25" t="s">
        <v>3076</v>
      </c>
      <c r="I43" s="25"/>
      <c r="J43" s="25" t="s">
        <v>1076</v>
      </c>
      <c r="K43" s="25" t="s">
        <v>1077</v>
      </c>
      <c r="L43" s="25" t="s">
        <v>1078</v>
      </c>
      <c r="M43" s="25"/>
      <c r="N43" s="25"/>
      <c r="O43" s="25" t="s">
        <v>3150</v>
      </c>
      <c r="P43" s="25">
        <v>1</v>
      </c>
      <c r="Q43" s="25">
        <v>2</v>
      </c>
      <c r="R43" s="26" t="s">
        <v>53</v>
      </c>
      <c r="S43" s="1" t="s">
        <v>4</v>
      </c>
    </row>
    <row r="44" spans="1:26">
      <c r="A44" s="24" t="s">
        <v>3199</v>
      </c>
      <c r="B44" s="31" t="s">
        <v>13319</v>
      </c>
      <c r="C44" s="31" t="s">
        <v>2428</v>
      </c>
      <c r="D44" s="25" t="s">
        <v>1101</v>
      </c>
      <c r="E44" s="25">
        <v>3</v>
      </c>
      <c r="F44" s="25" t="s">
        <v>3083</v>
      </c>
      <c r="G44" s="25" t="s">
        <v>3084</v>
      </c>
      <c r="H44" s="25" t="s">
        <v>3051</v>
      </c>
      <c r="I44" s="25"/>
      <c r="J44" s="25" t="s">
        <v>856</v>
      </c>
      <c r="K44" s="25" t="s">
        <v>1195</v>
      </c>
      <c r="L44" s="25"/>
      <c r="M44" s="25"/>
      <c r="N44" s="25"/>
      <c r="O44" s="25"/>
      <c r="P44" s="25">
        <v>2</v>
      </c>
      <c r="Q44" s="25">
        <v>2</v>
      </c>
      <c r="R44" s="26" t="s">
        <v>15</v>
      </c>
      <c r="S44" s="1" t="s">
        <v>7</v>
      </c>
    </row>
    <row r="45" spans="1:26">
      <c r="A45" s="24" t="s">
        <v>3200</v>
      </c>
      <c r="B45" s="25" t="s">
        <v>8479</v>
      </c>
      <c r="C45" s="31" t="s">
        <v>2434</v>
      </c>
      <c r="D45" s="25" t="s">
        <v>1101</v>
      </c>
      <c r="E45" s="25">
        <v>3</v>
      </c>
      <c r="F45" s="25" t="s">
        <v>3083</v>
      </c>
      <c r="G45" s="25" t="s">
        <v>3084</v>
      </c>
      <c r="H45" s="25"/>
      <c r="I45" s="25"/>
      <c r="J45" s="25" t="s">
        <v>1187</v>
      </c>
      <c r="K45" s="25"/>
      <c r="L45" s="25"/>
      <c r="M45" s="25"/>
      <c r="N45" s="25" t="s">
        <v>13316</v>
      </c>
      <c r="O45" s="25"/>
      <c r="P45" s="25">
        <v>2</v>
      </c>
      <c r="Q45" s="25">
        <v>3</v>
      </c>
      <c r="R45" s="26"/>
    </row>
    <row r="46" spans="1:26">
      <c r="B46" s="31" t="s">
        <v>8479</v>
      </c>
      <c r="C46" s="31" t="s">
        <v>2435</v>
      </c>
      <c r="D46" s="25" t="s">
        <v>3091</v>
      </c>
      <c r="E46" s="25"/>
      <c r="F46" s="25" t="s">
        <v>3083</v>
      </c>
      <c r="G46" s="25" t="s">
        <v>3084</v>
      </c>
      <c r="H46" s="25" t="s">
        <v>3075</v>
      </c>
      <c r="I46" s="25"/>
      <c r="J46" s="25" t="s">
        <v>1149</v>
      </c>
      <c r="K46" s="25"/>
      <c r="L46" s="25"/>
      <c r="M46" s="25"/>
      <c r="N46" s="25" t="s">
        <v>13316</v>
      </c>
      <c r="O46" s="25"/>
      <c r="P46" s="25">
        <v>4</v>
      </c>
      <c r="Q46" s="25">
        <v>3</v>
      </c>
      <c r="R46" s="26" t="s">
        <v>46</v>
      </c>
      <c r="S46" s="1" t="s">
        <v>7</v>
      </c>
    </row>
    <row r="47" spans="1:26">
      <c r="A47" s="24" t="s">
        <v>3201</v>
      </c>
      <c r="B47" s="31" t="s">
        <v>4767</v>
      </c>
      <c r="C47" s="31" t="s">
        <v>2391</v>
      </c>
      <c r="D47" s="25" t="s">
        <v>1104</v>
      </c>
      <c r="E47" s="25">
        <v>4</v>
      </c>
      <c r="F47" s="25" t="s">
        <v>3083</v>
      </c>
      <c r="G47" s="25" t="s">
        <v>3084</v>
      </c>
      <c r="H47" s="25" t="s">
        <v>3063</v>
      </c>
      <c r="I47" s="25"/>
      <c r="J47" s="25" t="s">
        <v>1086</v>
      </c>
      <c r="K47" s="25" t="s">
        <v>137</v>
      </c>
      <c r="L47" s="25"/>
      <c r="M47" s="25"/>
      <c r="N47" s="25"/>
      <c r="O47" s="25" t="s">
        <v>3150</v>
      </c>
      <c r="P47" s="25">
        <v>3</v>
      </c>
      <c r="Q47" s="25">
        <v>1</v>
      </c>
      <c r="R47" s="26" t="s">
        <v>26</v>
      </c>
      <c r="S47" s="1" t="s">
        <v>4</v>
      </c>
    </row>
    <row r="48" spans="1:26">
      <c r="A48" s="24" t="s">
        <v>3202</v>
      </c>
      <c r="B48" s="31" t="s">
        <v>3518</v>
      </c>
      <c r="C48" s="31" t="s">
        <v>2397</v>
      </c>
      <c r="D48" s="25" t="s">
        <v>1104</v>
      </c>
      <c r="E48" s="25">
        <v>4</v>
      </c>
      <c r="F48" s="25" t="s">
        <v>3083</v>
      </c>
      <c r="G48" s="25" t="s">
        <v>3084</v>
      </c>
      <c r="H48" s="25" t="s">
        <v>3071</v>
      </c>
      <c r="I48" s="25"/>
      <c r="J48" s="25" t="s">
        <v>42</v>
      </c>
      <c r="K48" s="25"/>
      <c r="L48" s="25"/>
      <c r="M48" s="25"/>
      <c r="N48" s="25"/>
      <c r="O48" s="25"/>
      <c r="P48" s="25">
        <v>3</v>
      </c>
      <c r="Q48" s="25">
        <v>2</v>
      </c>
      <c r="R48" s="26" t="s">
        <v>5</v>
      </c>
      <c r="S48" s="1" t="s">
        <v>4</v>
      </c>
    </row>
    <row r="49" spans="1:26">
      <c r="A49" s="24" t="s">
        <v>3203</v>
      </c>
      <c r="B49" s="31" t="s">
        <v>3498</v>
      </c>
      <c r="C49" s="31" t="s">
        <v>2447</v>
      </c>
      <c r="D49" s="25" t="s">
        <v>1103</v>
      </c>
      <c r="E49" s="25">
        <v>4</v>
      </c>
      <c r="F49" s="25" t="s">
        <v>3083</v>
      </c>
      <c r="G49" s="25" t="s">
        <v>3084</v>
      </c>
      <c r="H49" s="25" t="s">
        <v>3051</v>
      </c>
      <c r="I49" s="25"/>
      <c r="J49" s="25" t="s">
        <v>1161</v>
      </c>
      <c r="K49" s="25"/>
      <c r="L49" s="25"/>
      <c r="M49" s="25"/>
      <c r="N49" s="25"/>
      <c r="O49" s="25"/>
      <c r="P49" s="25">
        <v>2</v>
      </c>
      <c r="Q49" s="25">
        <v>2</v>
      </c>
      <c r="R49" s="26" t="s">
        <v>11</v>
      </c>
      <c r="S49" s="1" t="s">
        <v>7</v>
      </c>
    </row>
    <row r="50" spans="1:26">
      <c r="A50" s="24" t="s">
        <v>3204</v>
      </c>
      <c r="B50" s="31" t="s">
        <v>4766</v>
      </c>
      <c r="C50" s="31" t="s">
        <v>2458</v>
      </c>
      <c r="D50" s="25" t="s">
        <v>1194</v>
      </c>
      <c r="E50" s="25">
        <v>6</v>
      </c>
      <c r="F50" s="25" t="s">
        <v>3083</v>
      </c>
      <c r="G50" s="25" t="s">
        <v>3084</v>
      </c>
      <c r="H50" s="25" t="s">
        <v>3057</v>
      </c>
      <c r="I50" s="25"/>
      <c r="J50" s="25" t="s">
        <v>1174</v>
      </c>
      <c r="K50" s="25" t="s">
        <v>1175</v>
      </c>
      <c r="L50" s="25"/>
      <c r="M50" s="25"/>
      <c r="N50" s="25"/>
      <c r="O50" s="25" t="s">
        <v>3150</v>
      </c>
      <c r="P50" s="25">
        <v>5</v>
      </c>
      <c r="Q50" s="25">
        <v>5</v>
      </c>
      <c r="R50" s="26" t="s">
        <v>8</v>
      </c>
      <c r="S50" s="1" t="s">
        <v>7</v>
      </c>
    </row>
    <row r="51" spans="1:26">
      <c r="A51" s="24" t="s">
        <v>3205</v>
      </c>
      <c r="B51" s="25"/>
      <c r="C51" s="31" t="s">
        <v>3632</v>
      </c>
      <c r="D51" s="25" t="s">
        <v>3464</v>
      </c>
      <c r="E51" s="25">
        <v>1</v>
      </c>
      <c r="F51" s="25" t="s">
        <v>3403</v>
      </c>
      <c r="G51" s="25"/>
      <c r="H51" s="25"/>
      <c r="I51" s="25"/>
      <c r="J51" s="25" t="s">
        <v>13331</v>
      </c>
      <c r="K51" s="25" t="s">
        <v>13332</v>
      </c>
      <c r="L51" s="25" t="s">
        <v>13333</v>
      </c>
      <c r="M51" s="25"/>
      <c r="N51" s="25"/>
      <c r="O51" s="25"/>
      <c r="P51" s="25"/>
      <c r="Q51" s="25"/>
      <c r="R51" s="26" t="s">
        <v>3733</v>
      </c>
    </row>
    <row r="52" spans="1:26">
      <c r="A52" s="24" t="s">
        <v>3206</v>
      </c>
      <c r="B52" s="25"/>
      <c r="C52" s="31" t="s">
        <v>8802</v>
      </c>
      <c r="D52" s="25" t="s">
        <v>1100</v>
      </c>
      <c r="E52" s="31">
        <v>2</v>
      </c>
      <c r="F52" s="25" t="s">
        <v>3403</v>
      </c>
      <c r="G52" s="25"/>
      <c r="H52" s="25"/>
      <c r="I52" s="25"/>
      <c r="J52" s="25" t="s">
        <v>8803</v>
      </c>
      <c r="K52" s="25"/>
      <c r="L52" s="25"/>
      <c r="M52" s="25"/>
      <c r="N52" s="25"/>
      <c r="O52" s="25"/>
      <c r="P52" s="25"/>
      <c r="Q52" s="25"/>
      <c r="R52" s="26" t="s">
        <v>26</v>
      </c>
      <c r="S52" s="1" t="s">
        <v>4</v>
      </c>
    </row>
    <row r="53" spans="1:26">
      <c r="A53" s="24" t="s">
        <v>3207</v>
      </c>
      <c r="B53" s="25"/>
      <c r="C53" s="31" t="s">
        <v>9082</v>
      </c>
      <c r="D53" s="25" t="s">
        <v>1101</v>
      </c>
      <c r="E53" s="31">
        <v>3</v>
      </c>
      <c r="F53" s="25" t="s">
        <v>3399</v>
      </c>
      <c r="G53" s="25"/>
      <c r="H53" s="25"/>
      <c r="I53" s="25"/>
      <c r="J53" s="31" t="s">
        <v>9083</v>
      </c>
      <c r="K53" s="25" t="s">
        <v>4953</v>
      </c>
      <c r="L53" s="25"/>
      <c r="M53" s="25"/>
      <c r="N53" s="25"/>
      <c r="O53" s="25"/>
      <c r="P53" s="25"/>
      <c r="Q53" s="25"/>
      <c r="R53" s="26" t="s">
        <v>17</v>
      </c>
      <c r="S53" s="1" t="s">
        <v>4</v>
      </c>
    </row>
    <row r="54" spans="1:26">
      <c r="A54" s="24" t="s">
        <v>3208</v>
      </c>
      <c r="B54" s="25"/>
      <c r="C54" s="31" t="s">
        <v>3135</v>
      </c>
      <c r="D54" s="25" t="s">
        <v>1103</v>
      </c>
      <c r="E54" s="31">
        <v>4</v>
      </c>
      <c r="F54" s="25" t="s">
        <v>3447</v>
      </c>
      <c r="G54" s="25" t="s">
        <v>3071</v>
      </c>
      <c r="H54" s="25"/>
      <c r="I54" s="25"/>
      <c r="J54" s="31" t="s">
        <v>3132</v>
      </c>
      <c r="K54" s="25" t="s">
        <v>3136</v>
      </c>
      <c r="L54" s="25"/>
      <c r="N54" s="25"/>
      <c r="O54" s="25"/>
      <c r="P54" s="25"/>
      <c r="Q54" s="25"/>
      <c r="R54" s="26" t="s">
        <v>3119</v>
      </c>
      <c r="S54" s="1" t="s">
        <v>4</v>
      </c>
    </row>
    <row r="55" spans="1:26">
      <c r="A55" s="24" t="s">
        <v>3209</v>
      </c>
      <c r="C55" s="3" t="s">
        <v>9174</v>
      </c>
      <c r="D55" s="1" t="s">
        <v>1248</v>
      </c>
      <c r="E55" s="31">
        <v>5</v>
      </c>
      <c r="F55" s="1" t="s">
        <v>3399</v>
      </c>
      <c r="J55" s="1" t="s">
        <v>9175</v>
      </c>
      <c r="O55" s="25"/>
      <c r="P55" s="25"/>
      <c r="Q55" s="25"/>
      <c r="R55" s="26" t="s">
        <v>5281</v>
      </c>
      <c r="S55" s="1" t="s">
        <v>4</v>
      </c>
    </row>
    <row r="56" spans="1:26" ht="14.25" thickBot="1">
      <c r="A56" s="24" t="s">
        <v>3210</v>
      </c>
      <c r="B56" s="25" t="s">
        <v>4101</v>
      </c>
      <c r="C56" s="31" t="s">
        <v>9355</v>
      </c>
      <c r="D56" s="25" t="s">
        <v>1104</v>
      </c>
      <c r="E56" s="31">
        <v>4</v>
      </c>
      <c r="F56" s="25" t="s">
        <v>3434</v>
      </c>
      <c r="G56" s="25" t="s">
        <v>3402</v>
      </c>
      <c r="H56" s="25"/>
      <c r="I56" s="25"/>
      <c r="J56" s="25" t="s">
        <v>3401</v>
      </c>
      <c r="K56" s="25" t="s">
        <v>9356</v>
      </c>
      <c r="L56" s="25"/>
      <c r="M56" s="25"/>
      <c r="N56" s="25"/>
      <c r="O56" s="25"/>
      <c r="P56" s="25"/>
      <c r="Q56" s="25"/>
      <c r="R56" s="26" t="s">
        <v>48</v>
      </c>
      <c r="S56" s="1" t="s">
        <v>4</v>
      </c>
    </row>
    <row r="57" spans="1:26">
      <c r="A57" s="21" t="s">
        <v>3211</v>
      </c>
      <c r="B57" s="22" t="s">
        <v>13318</v>
      </c>
      <c r="C57" s="32" t="s">
        <v>2503</v>
      </c>
      <c r="D57" s="22" t="s">
        <v>1370</v>
      </c>
      <c r="E57" s="22">
        <v>1</v>
      </c>
      <c r="F57" s="22" t="s">
        <v>3083</v>
      </c>
      <c r="G57" s="22" t="s">
        <v>3084</v>
      </c>
      <c r="H57" s="22" t="s">
        <v>3075</v>
      </c>
      <c r="I57" s="22"/>
      <c r="J57" s="22" t="s">
        <v>5152</v>
      </c>
      <c r="K57" s="22" t="s">
        <v>5172</v>
      </c>
      <c r="L57" s="22" t="s">
        <v>1094</v>
      </c>
      <c r="M57" s="22"/>
      <c r="N57" s="22"/>
      <c r="O57" s="22"/>
      <c r="P57" s="22">
        <v>1</v>
      </c>
      <c r="Q57" s="22">
        <v>1</v>
      </c>
      <c r="R57" s="23" t="s">
        <v>32</v>
      </c>
      <c r="S57" s="1" t="s">
        <v>4</v>
      </c>
      <c r="T57" s="1">
        <v>1</v>
      </c>
      <c r="U57" s="30">
        <v>2</v>
      </c>
      <c r="V57" s="30">
        <v>3</v>
      </c>
      <c r="W57" s="1">
        <v>4</v>
      </c>
      <c r="X57" s="1">
        <v>5</v>
      </c>
      <c r="Y57" s="1">
        <v>6</v>
      </c>
      <c r="Z57" s="1">
        <v>7</v>
      </c>
    </row>
    <row r="58" spans="1:26">
      <c r="A58" s="24" t="s">
        <v>3212</v>
      </c>
      <c r="B58" s="1" t="s">
        <v>8479</v>
      </c>
      <c r="C58" s="31" t="s">
        <v>2585</v>
      </c>
      <c r="D58" s="25" t="s">
        <v>1370</v>
      </c>
      <c r="E58" s="25">
        <v>1</v>
      </c>
      <c r="F58" s="25" t="s">
        <v>3083</v>
      </c>
      <c r="G58" s="25" t="s">
        <v>3084</v>
      </c>
      <c r="H58" s="25" t="s">
        <v>3079</v>
      </c>
      <c r="I58" s="25"/>
      <c r="J58" s="25" t="s">
        <v>1094</v>
      </c>
      <c r="K58" s="25" t="s">
        <v>4695</v>
      </c>
      <c r="L58" s="25"/>
      <c r="M58" s="25"/>
      <c r="N58" s="25" t="s">
        <v>13316</v>
      </c>
      <c r="O58" s="25"/>
      <c r="P58" s="25">
        <v>1</v>
      </c>
      <c r="Q58" s="25">
        <v>1</v>
      </c>
      <c r="R58" s="26"/>
      <c r="T58" s="1">
        <f t="shared" ref="T58:Z58" si="4">COUNTIF($E57:$E75,T57)</f>
        <v>3</v>
      </c>
      <c r="U58" s="1">
        <f t="shared" si="4"/>
        <v>4</v>
      </c>
      <c r="V58" s="1">
        <f t="shared" si="4"/>
        <v>5</v>
      </c>
      <c r="W58" s="1">
        <f t="shared" si="4"/>
        <v>3</v>
      </c>
      <c r="X58" s="1">
        <f t="shared" si="4"/>
        <v>1</v>
      </c>
      <c r="Y58" s="1">
        <f t="shared" si="4"/>
        <v>1</v>
      </c>
      <c r="Z58" s="1">
        <f t="shared" si="4"/>
        <v>0</v>
      </c>
    </row>
    <row r="59" spans="1:26">
      <c r="B59" s="25" t="s">
        <v>8479</v>
      </c>
      <c r="C59" s="31" t="s">
        <v>2586</v>
      </c>
      <c r="D59" s="25" t="s">
        <v>3096</v>
      </c>
      <c r="E59" s="25"/>
      <c r="F59" s="25" t="s">
        <v>3083</v>
      </c>
      <c r="G59" s="25" t="s">
        <v>3079</v>
      </c>
      <c r="H59" s="25"/>
      <c r="I59" s="25"/>
      <c r="J59" s="25" t="s">
        <v>1095</v>
      </c>
      <c r="K59" s="25" t="s">
        <v>3928</v>
      </c>
      <c r="L59" s="25"/>
      <c r="M59" s="25"/>
      <c r="N59" s="25" t="s">
        <v>13316</v>
      </c>
      <c r="O59" s="25"/>
      <c r="P59" s="25">
        <v>2</v>
      </c>
      <c r="Q59" s="25">
        <v>2</v>
      </c>
      <c r="R59" s="26" t="s">
        <v>46</v>
      </c>
      <c r="S59" s="1" t="s">
        <v>7</v>
      </c>
    </row>
    <row r="60" spans="1:26">
      <c r="A60" s="24" t="s">
        <v>3213</v>
      </c>
      <c r="B60" s="25" t="s">
        <v>4766</v>
      </c>
      <c r="C60" s="31" t="s">
        <v>2606</v>
      </c>
      <c r="D60" s="25" t="s">
        <v>1372</v>
      </c>
      <c r="E60" s="25">
        <v>2</v>
      </c>
      <c r="F60" s="25" t="s">
        <v>3083</v>
      </c>
      <c r="G60" s="25" t="s">
        <v>3084</v>
      </c>
      <c r="H60" s="25" t="s">
        <v>3057</v>
      </c>
      <c r="I60" s="25"/>
      <c r="J60" s="25" t="s">
        <v>249</v>
      </c>
      <c r="K60" s="25" t="s">
        <v>1402</v>
      </c>
      <c r="L60" s="25"/>
      <c r="M60" s="25"/>
      <c r="N60" s="25"/>
      <c r="O60" s="25" t="s">
        <v>3150</v>
      </c>
      <c r="P60" s="25">
        <v>2</v>
      </c>
      <c r="Q60" s="25">
        <v>1</v>
      </c>
      <c r="R60" s="26" t="s">
        <v>52</v>
      </c>
      <c r="S60" s="1" t="s">
        <v>7</v>
      </c>
    </row>
    <row r="61" spans="1:26">
      <c r="A61" s="24" t="s">
        <v>3214</v>
      </c>
      <c r="B61" s="31" t="s">
        <v>3498</v>
      </c>
      <c r="C61" s="31" t="s">
        <v>2611</v>
      </c>
      <c r="D61" s="25" t="s">
        <v>1372</v>
      </c>
      <c r="E61" s="25">
        <v>2</v>
      </c>
      <c r="F61" s="25" t="s">
        <v>3083</v>
      </c>
      <c r="G61" s="25" t="s">
        <v>3084</v>
      </c>
      <c r="H61" s="25" t="s">
        <v>3067</v>
      </c>
      <c r="I61" s="25"/>
      <c r="J61" s="25" t="s">
        <v>1094</v>
      </c>
      <c r="K61" s="25" t="s">
        <v>1408</v>
      </c>
      <c r="L61" s="25"/>
      <c r="M61" s="25"/>
      <c r="N61" s="25"/>
      <c r="O61" s="25"/>
      <c r="P61" s="25">
        <v>2</v>
      </c>
      <c r="Q61" s="25">
        <v>1</v>
      </c>
      <c r="R61" s="26" t="s">
        <v>26</v>
      </c>
      <c r="S61" s="1" t="s">
        <v>7</v>
      </c>
    </row>
    <row r="62" spans="1:26">
      <c r="A62" s="24" t="s">
        <v>3215</v>
      </c>
      <c r="B62" s="31" t="s">
        <v>4766</v>
      </c>
      <c r="C62" s="31" t="s">
        <v>2551</v>
      </c>
      <c r="D62" s="25" t="s">
        <v>1374</v>
      </c>
      <c r="E62" s="25">
        <v>3</v>
      </c>
      <c r="F62" s="25" t="s">
        <v>3083</v>
      </c>
      <c r="G62" s="25" t="s">
        <v>3084</v>
      </c>
      <c r="H62" s="25" t="s">
        <v>3055</v>
      </c>
      <c r="I62" s="25"/>
      <c r="J62" s="25" t="s">
        <v>1340</v>
      </c>
      <c r="K62" s="25"/>
      <c r="L62" s="25"/>
      <c r="M62" s="25"/>
      <c r="N62" s="25"/>
      <c r="O62" s="25" t="s">
        <v>3150</v>
      </c>
      <c r="P62" s="25">
        <v>2</v>
      </c>
      <c r="Q62" s="25">
        <v>2</v>
      </c>
      <c r="R62" s="26" t="s">
        <v>174</v>
      </c>
      <c r="S62" s="1" t="s">
        <v>4</v>
      </c>
    </row>
    <row r="63" spans="1:26">
      <c r="A63" s="24" t="s">
        <v>3216</v>
      </c>
      <c r="B63" s="31" t="s">
        <v>13334</v>
      </c>
      <c r="C63" s="31" t="s">
        <v>2626</v>
      </c>
      <c r="D63" s="25" t="s">
        <v>1374</v>
      </c>
      <c r="E63" s="25">
        <v>3</v>
      </c>
      <c r="F63" s="25" t="s">
        <v>3083</v>
      </c>
      <c r="G63" s="25" t="s">
        <v>3084</v>
      </c>
      <c r="H63" s="25" t="s">
        <v>3075</v>
      </c>
      <c r="I63" s="25"/>
      <c r="J63" s="25" t="s">
        <v>1463</v>
      </c>
      <c r="K63" s="25" t="s">
        <v>1480</v>
      </c>
      <c r="L63" s="25"/>
      <c r="M63" s="25"/>
      <c r="N63" s="25"/>
      <c r="O63" s="25"/>
      <c r="P63" s="25">
        <v>2</v>
      </c>
      <c r="Q63" s="25">
        <v>2</v>
      </c>
      <c r="R63" s="26" t="s">
        <v>15</v>
      </c>
      <c r="S63" s="1" t="s">
        <v>7</v>
      </c>
    </row>
    <row r="64" spans="1:26">
      <c r="A64" s="24" t="s">
        <v>3217</v>
      </c>
      <c r="B64" s="31" t="s">
        <v>3498</v>
      </c>
      <c r="C64" s="31" t="s">
        <v>2634</v>
      </c>
      <c r="D64" s="25" t="s">
        <v>1374</v>
      </c>
      <c r="E64" s="25">
        <v>3</v>
      </c>
      <c r="F64" s="25" t="s">
        <v>3083</v>
      </c>
      <c r="G64" s="25" t="s">
        <v>3084</v>
      </c>
      <c r="H64" s="25" t="s">
        <v>3067</v>
      </c>
      <c r="I64" s="25"/>
      <c r="J64" s="25" t="s">
        <v>0</v>
      </c>
      <c r="K64" s="25" t="s">
        <v>1430</v>
      </c>
      <c r="L64" s="25"/>
      <c r="M64" s="25"/>
      <c r="N64" s="25"/>
      <c r="O64" s="25"/>
      <c r="P64" s="25">
        <v>2</v>
      </c>
      <c r="Q64" s="25">
        <v>3</v>
      </c>
      <c r="R64" s="26" t="s">
        <v>35</v>
      </c>
      <c r="S64" s="1" t="s">
        <v>7</v>
      </c>
    </row>
    <row r="65" spans="1:26">
      <c r="A65" s="24" t="s">
        <v>3218</v>
      </c>
      <c r="B65" s="31" t="s">
        <v>4766</v>
      </c>
      <c r="C65" s="31" t="s">
        <v>2657</v>
      </c>
      <c r="D65" s="25" t="s">
        <v>1378</v>
      </c>
      <c r="E65" s="25">
        <v>4</v>
      </c>
      <c r="F65" s="25" t="s">
        <v>3083</v>
      </c>
      <c r="G65" s="25" t="s">
        <v>3084</v>
      </c>
      <c r="H65" s="25" t="s">
        <v>3061</v>
      </c>
      <c r="I65" s="25"/>
      <c r="J65" s="25" t="s">
        <v>1454</v>
      </c>
      <c r="K65" s="25"/>
      <c r="L65" s="25"/>
      <c r="M65" s="25"/>
      <c r="N65" s="25"/>
      <c r="O65" s="25" t="s">
        <v>3150</v>
      </c>
      <c r="P65" s="25">
        <v>2</v>
      </c>
      <c r="Q65" s="25">
        <v>3</v>
      </c>
      <c r="R65" s="26" t="s">
        <v>38</v>
      </c>
      <c r="S65" s="1" t="s">
        <v>7</v>
      </c>
    </row>
    <row r="66" spans="1:26">
      <c r="A66" s="24" t="s">
        <v>3219</v>
      </c>
      <c r="B66" s="31" t="s">
        <v>8479</v>
      </c>
      <c r="C66" s="31" t="s">
        <v>2658</v>
      </c>
      <c r="D66" s="25" t="s">
        <v>1378</v>
      </c>
      <c r="E66" s="25">
        <v>4</v>
      </c>
      <c r="F66" s="25" t="s">
        <v>3083</v>
      </c>
      <c r="G66" s="25" t="s">
        <v>3084</v>
      </c>
      <c r="H66" s="25" t="s">
        <v>3079</v>
      </c>
      <c r="I66" s="25"/>
      <c r="J66" s="25" t="s">
        <v>3950</v>
      </c>
      <c r="K66" s="25"/>
      <c r="L66" s="25"/>
      <c r="M66" s="25"/>
      <c r="N66" s="25" t="s">
        <v>13316</v>
      </c>
      <c r="O66" s="25"/>
      <c r="P66" s="25">
        <v>3</v>
      </c>
      <c r="Q66" s="25">
        <v>2</v>
      </c>
      <c r="R66" s="26"/>
    </row>
    <row r="67" spans="1:26">
      <c r="B67" s="31" t="s">
        <v>8479</v>
      </c>
      <c r="C67" s="31" t="s">
        <v>2659</v>
      </c>
      <c r="D67" s="25" t="s">
        <v>3096</v>
      </c>
      <c r="E67" s="25"/>
      <c r="F67" s="25" t="s">
        <v>3083</v>
      </c>
      <c r="G67" s="25" t="s">
        <v>3079</v>
      </c>
      <c r="H67" s="25"/>
      <c r="I67" s="25"/>
      <c r="J67" s="25" t="s">
        <v>1455</v>
      </c>
      <c r="K67" s="25" t="s">
        <v>4696</v>
      </c>
      <c r="L67" s="25"/>
      <c r="M67" s="25"/>
      <c r="N67" s="25" t="s">
        <v>13316</v>
      </c>
      <c r="O67" s="25"/>
      <c r="P67" s="25">
        <v>5</v>
      </c>
      <c r="Q67" s="25">
        <v>4</v>
      </c>
      <c r="R67" s="26" t="s">
        <v>44</v>
      </c>
      <c r="S67" s="1" t="s">
        <v>7</v>
      </c>
    </row>
    <row r="68" spans="1:26">
      <c r="A68" s="24" t="s">
        <v>3220</v>
      </c>
      <c r="B68" s="31" t="s">
        <v>4766</v>
      </c>
      <c r="C68" s="31" t="s">
        <v>2663</v>
      </c>
      <c r="D68" s="25" t="s">
        <v>1381</v>
      </c>
      <c r="E68" s="25">
        <v>5</v>
      </c>
      <c r="F68" s="25" t="s">
        <v>3083</v>
      </c>
      <c r="G68" s="25" t="s">
        <v>3084</v>
      </c>
      <c r="H68" s="25" t="s">
        <v>3051</v>
      </c>
      <c r="I68" s="25"/>
      <c r="J68" s="25" t="s">
        <v>1459</v>
      </c>
      <c r="K68" s="25"/>
      <c r="L68" s="25"/>
      <c r="M68" s="25"/>
      <c r="N68" s="25"/>
      <c r="O68" s="25" t="s">
        <v>3150</v>
      </c>
      <c r="P68" s="25">
        <v>2</v>
      </c>
      <c r="Q68" s="25">
        <v>2</v>
      </c>
      <c r="R68" s="26" t="s">
        <v>171</v>
      </c>
      <c r="S68" s="1" t="s">
        <v>7</v>
      </c>
    </row>
    <row r="69" spans="1:26">
      <c r="A69" s="24" t="s">
        <v>3221</v>
      </c>
      <c r="B69" s="31" t="s">
        <v>3498</v>
      </c>
      <c r="C69" s="31" t="s">
        <v>2584</v>
      </c>
      <c r="D69" s="25" t="s">
        <v>1386</v>
      </c>
      <c r="E69" s="25">
        <v>6</v>
      </c>
      <c r="F69" s="25" t="s">
        <v>3083</v>
      </c>
      <c r="G69" s="25" t="s">
        <v>3084</v>
      </c>
      <c r="H69" s="25" t="s">
        <v>3056</v>
      </c>
      <c r="I69" s="25"/>
      <c r="J69" s="25" t="s">
        <v>323</v>
      </c>
      <c r="K69" s="25"/>
      <c r="L69" s="25"/>
      <c r="M69" s="25"/>
      <c r="N69" s="25"/>
      <c r="O69" s="25"/>
      <c r="P69" s="25">
        <v>4</v>
      </c>
      <c r="Q69" s="25">
        <v>3</v>
      </c>
      <c r="R69" s="26" t="s">
        <v>179</v>
      </c>
      <c r="S69" s="1" t="s">
        <v>4</v>
      </c>
    </row>
    <row r="70" spans="1:26">
      <c r="A70" s="24" t="s">
        <v>3222</v>
      </c>
      <c r="B70" s="31" t="s">
        <v>13321</v>
      </c>
      <c r="C70" s="31" t="s">
        <v>3748</v>
      </c>
      <c r="D70" s="31" t="s">
        <v>1378</v>
      </c>
      <c r="E70" s="31">
        <v>4</v>
      </c>
      <c r="F70" s="31" t="s">
        <v>3399</v>
      </c>
      <c r="G70" s="25"/>
      <c r="H70" s="25"/>
      <c r="I70" s="25"/>
      <c r="J70" s="31" t="s">
        <v>3749</v>
      </c>
      <c r="K70" s="25"/>
      <c r="L70" s="25"/>
      <c r="M70" s="25"/>
      <c r="N70" s="25"/>
      <c r="O70" s="25"/>
      <c r="P70" s="25"/>
      <c r="Q70" s="25"/>
      <c r="R70" s="26" t="s">
        <v>30</v>
      </c>
      <c r="S70" s="1" t="s">
        <v>4</v>
      </c>
    </row>
    <row r="71" spans="1:26">
      <c r="A71" s="24" t="s">
        <v>3223</v>
      </c>
      <c r="B71" s="31" t="s">
        <v>13321</v>
      </c>
      <c r="C71" s="31" t="s">
        <v>10710</v>
      </c>
      <c r="D71" s="25" t="s">
        <v>1372</v>
      </c>
      <c r="E71" s="1">
        <v>2</v>
      </c>
      <c r="F71" s="25" t="s">
        <v>3399</v>
      </c>
      <c r="G71" s="25"/>
      <c r="H71" s="25"/>
      <c r="I71" s="25"/>
      <c r="J71" s="25" t="s">
        <v>13335</v>
      </c>
      <c r="K71" s="25"/>
      <c r="L71" s="25"/>
      <c r="M71" s="25"/>
      <c r="N71" s="25"/>
      <c r="O71" s="25"/>
      <c r="P71" s="25"/>
      <c r="Q71" s="25"/>
      <c r="R71" s="26"/>
    </row>
    <row r="72" spans="1:26">
      <c r="A72" s="24" t="s">
        <v>3224</v>
      </c>
      <c r="B72" s="25" t="s">
        <v>3758</v>
      </c>
      <c r="C72" s="3" t="s">
        <v>10716</v>
      </c>
      <c r="D72" s="1" t="s">
        <v>1372</v>
      </c>
      <c r="E72" s="1">
        <v>2</v>
      </c>
      <c r="F72" s="31" t="s">
        <v>3399</v>
      </c>
      <c r="N72" s="25"/>
      <c r="O72" s="25"/>
      <c r="P72" s="25"/>
      <c r="Q72" s="25"/>
      <c r="R72" s="26"/>
    </row>
    <row r="73" spans="1:26">
      <c r="A73" s="24" t="s">
        <v>3225</v>
      </c>
      <c r="B73" s="25" t="s">
        <v>13328</v>
      </c>
      <c r="C73" s="31" t="s">
        <v>3634</v>
      </c>
      <c r="D73" s="25" t="s">
        <v>3513</v>
      </c>
      <c r="E73" s="1">
        <v>3</v>
      </c>
      <c r="F73" s="25" t="s">
        <v>3403</v>
      </c>
      <c r="J73" s="25" t="s">
        <v>13331</v>
      </c>
      <c r="K73" s="25" t="s">
        <v>13336</v>
      </c>
      <c r="L73" s="25" t="s">
        <v>13337</v>
      </c>
      <c r="M73" s="25"/>
      <c r="N73" s="25"/>
      <c r="O73" s="25"/>
      <c r="P73" s="25"/>
      <c r="Q73" s="25"/>
      <c r="R73" s="26" t="s">
        <v>3733</v>
      </c>
    </row>
    <row r="74" spans="1:26">
      <c r="A74" s="24" t="s">
        <v>3226</v>
      </c>
      <c r="B74" s="25" t="s">
        <v>3759</v>
      </c>
      <c r="C74" s="31" t="s">
        <v>10535</v>
      </c>
      <c r="D74" s="25" t="s">
        <v>13338</v>
      </c>
      <c r="E74" s="1">
        <v>3</v>
      </c>
      <c r="F74" s="25" t="s">
        <v>3403</v>
      </c>
      <c r="G74" s="25"/>
      <c r="H74" s="25"/>
      <c r="I74" s="25"/>
      <c r="J74" s="25" t="s">
        <v>10536</v>
      </c>
      <c r="K74" s="25"/>
      <c r="L74" s="25"/>
      <c r="M74" s="25"/>
      <c r="N74" s="25"/>
      <c r="O74" s="25"/>
      <c r="P74" s="25"/>
      <c r="Q74" s="25"/>
      <c r="R74" s="26"/>
    </row>
    <row r="75" spans="1:26" ht="14.25" thickBot="1">
      <c r="A75" s="24" t="s">
        <v>3227</v>
      </c>
      <c r="B75" s="25" t="s">
        <v>4101</v>
      </c>
      <c r="C75" s="31" t="s">
        <v>10876</v>
      </c>
      <c r="D75" s="25" t="s">
        <v>1370</v>
      </c>
      <c r="E75" s="25">
        <v>1</v>
      </c>
      <c r="F75" s="25" t="s">
        <v>3434</v>
      </c>
      <c r="G75" s="25" t="s">
        <v>13388</v>
      </c>
      <c r="H75" s="25"/>
      <c r="I75" s="25"/>
      <c r="J75" s="25" t="s">
        <v>5508</v>
      </c>
      <c r="K75" s="25" t="s">
        <v>10877</v>
      </c>
      <c r="L75" s="25" t="s">
        <v>10878</v>
      </c>
      <c r="M75" s="25"/>
      <c r="N75" s="25"/>
      <c r="O75" s="25"/>
      <c r="P75" s="25"/>
      <c r="Q75" s="25"/>
      <c r="R75" s="26" t="s">
        <v>17</v>
      </c>
      <c r="S75" s="1" t="s">
        <v>4</v>
      </c>
    </row>
    <row r="76" spans="1:26">
      <c r="A76" s="21" t="s">
        <v>3228</v>
      </c>
      <c r="B76" s="22" t="s">
        <v>3498</v>
      </c>
      <c r="C76" s="32" t="s">
        <v>2723</v>
      </c>
      <c r="D76" s="22" t="s">
        <v>1606</v>
      </c>
      <c r="E76" s="22">
        <v>1</v>
      </c>
      <c r="F76" s="22" t="s">
        <v>3083</v>
      </c>
      <c r="G76" s="22" t="s">
        <v>3084</v>
      </c>
      <c r="H76" s="22" t="s">
        <v>3058</v>
      </c>
      <c r="I76" s="22"/>
      <c r="J76" s="22" t="s">
        <v>1601</v>
      </c>
      <c r="K76" s="22"/>
      <c r="L76" s="22"/>
      <c r="M76" s="22"/>
      <c r="N76" s="22"/>
      <c r="O76" s="22"/>
      <c r="P76" s="22">
        <v>1</v>
      </c>
      <c r="Q76" s="22">
        <v>1</v>
      </c>
      <c r="R76" s="23" t="s">
        <v>45</v>
      </c>
      <c r="S76" s="1" t="s">
        <v>4</v>
      </c>
      <c r="T76" s="1">
        <v>1</v>
      </c>
      <c r="U76" s="30">
        <v>2</v>
      </c>
      <c r="V76" s="30">
        <v>3</v>
      </c>
      <c r="W76" s="1">
        <v>4</v>
      </c>
      <c r="X76" s="1">
        <v>5</v>
      </c>
      <c r="Y76" s="1">
        <v>6</v>
      </c>
      <c r="Z76" s="1">
        <v>7</v>
      </c>
    </row>
    <row r="77" spans="1:26">
      <c r="A77" s="24" t="s">
        <v>3229</v>
      </c>
      <c r="B77" s="25" t="s">
        <v>3498</v>
      </c>
      <c r="C77" s="31" t="s">
        <v>2785</v>
      </c>
      <c r="D77" s="25" t="s">
        <v>1606</v>
      </c>
      <c r="E77" s="25">
        <v>1</v>
      </c>
      <c r="F77" s="25" t="s">
        <v>3083</v>
      </c>
      <c r="G77" s="25" t="s">
        <v>3084</v>
      </c>
      <c r="H77" s="25" t="s">
        <v>3081</v>
      </c>
      <c r="I77" s="25"/>
      <c r="J77" s="25" t="s">
        <v>1624</v>
      </c>
      <c r="K77" s="25" t="s">
        <v>1625</v>
      </c>
      <c r="L77" s="25"/>
      <c r="M77" s="25"/>
      <c r="N77" s="25"/>
      <c r="O77" s="25"/>
      <c r="P77" s="25">
        <v>1</v>
      </c>
      <c r="Q77" s="25">
        <v>1</v>
      </c>
      <c r="R77" s="26" t="s">
        <v>5</v>
      </c>
      <c r="S77" s="1" t="s">
        <v>7</v>
      </c>
      <c r="T77" s="1">
        <f t="shared" ref="T77:Z77" si="5">COUNTIF($E76:$E94,T76)</f>
        <v>2</v>
      </c>
      <c r="U77" s="1">
        <f t="shared" si="5"/>
        <v>4</v>
      </c>
      <c r="V77" s="1">
        <f t="shared" si="5"/>
        <v>5</v>
      </c>
      <c r="W77" s="1">
        <f t="shared" si="5"/>
        <v>3</v>
      </c>
      <c r="X77" s="1">
        <f t="shared" si="5"/>
        <v>1</v>
      </c>
      <c r="Y77" s="1">
        <f t="shared" si="5"/>
        <v>0</v>
      </c>
      <c r="Z77" s="1">
        <f t="shared" si="5"/>
        <v>1</v>
      </c>
    </row>
    <row r="78" spans="1:26">
      <c r="A78" s="24" t="s">
        <v>3230</v>
      </c>
      <c r="B78" s="25" t="s">
        <v>13318</v>
      </c>
      <c r="C78" s="31" t="s">
        <v>2737</v>
      </c>
      <c r="D78" s="25" t="s">
        <v>1611</v>
      </c>
      <c r="E78" s="25">
        <v>2</v>
      </c>
      <c r="F78" s="25" t="s">
        <v>3083</v>
      </c>
      <c r="G78" s="25" t="s">
        <v>3084</v>
      </c>
      <c r="H78" s="25" t="s">
        <v>3050</v>
      </c>
      <c r="I78" s="25"/>
      <c r="J78" s="25" t="s">
        <v>5158</v>
      </c>
      <c r="K78" s="25" t="s">
        <v>5175</v>
      </c>
      <c r="L78" s="25"/>
      <c r="M78" s="25"/>
      <c r="N78" s="25"/>
      <c r="O78" s="25"/>
      <c r="P78" s="25">
        <v>2</v>
      </c>
      <c r="Q78" s="25">
        <v>1</v>
      </c>
      <c r="R78" s="26" t="s">
        <v>32</v>
      </c>
      <c r="S78" s="1" t="s">
        <v>4</v>
      </c>
    </row>
    <row r="79" spans="1:26">
      <c r="A79" s="24" t="s">
        <v>3231</v>
      </c>
      <c r="B79" s="31" t="s">
        <v>8479</v>
      </c>
      <c r="C79" s="31" t="s">
        <v>2788</v>
      </c>
      <c r="D79" s="25" t="s">
        <v>1611</v>
      </c>
      <c r="E79" s="25">
        <v>2</v>
      </c>
      <c r="F79" s="25" t="s">
        <v>3083</v>
      </c>
      <c r="G79" s="25" t="s">
        <v>3084</v>
      </c>
      <c r="H79" s="25" t="s">
        <v>3075</v>
      </c>
      <c r="I79" s="25" t="s">
        <v>3079</v>
      </c>
      <c r="J79" s="25" t="s">
        <v>1627</v>
      </c>
      <c r="K79" s="25" t="s">
        <v>3957</v>
      </c>
      <c r="L79" s="25"/>
      <c r="M79" s="25"/>
      <c r="N79" s="25" t="s">
        <v>13316</v>
      </c>
      <c r="O79" s="25"/>
      <c r="P79" s="25">
        <v>3</v>
      </c>
      <c r="Q79" s="25">
        <v>3</v>
      </c>
      <c r="R79" s="26"/>
    </row>
    <row r="80" spans="1:26">
      <c r="B80" s="31" t="s">
        <v>8479</v>
      </c>
      <c r="C80" s="31" t="s">
        <v>2789</v>
      </c>
      <c r="D80" s="25" t="s">
        <v>3103</v>
      </c>
      <c r="E80" s="25"/>
      <c r="F80" s="25" t="s">
        <v>3083</v>
      </c>
      <c r="G80" s="25" t="s">
        <v>3079</v>
      </c>
      <c r="H80" s="25"/>
      <c r="I80" s="25"/>
      <c r="J80" s="25" t="s">
        <v>3973</v>
      </c>
      <c r="K80" s="25"/>
      <c r="L80" s="25"/>
      <c r="M80" s="25"/>
      <c r="N80" s="25" t="s">
        <v>13316</v>
      </c>
      <c r="O80" s="25"/>
      <c r="P80" s="25">
        <v>4</v>
      </c>
      <c r="Q80" s="25">
        <v>4</v>
      </c>
      <c r="R80" s="26" t="s">
        <v>46</v>
      </c>
      <c r="S80" s="1" t="s">
        <v>7</v>
      </c>
    </row>
    <row r="81" spans="1:26">
      <c r="A81" s="24" t="s">
        <v>3232</v>
      </c>
      <c r="B81" s="31" t="s">
        <v>4767</v>
      </c>
      <c r="C81" s="31" t="s">
        <v>2796</v>
      </c>
      <c r="D81" s="25" t="s">
        <v>1611</v>
      </c>
      <c r="E81" s="25">
        <v>2</v>
      </c>
      <c r="F81" s="25" t="s">
        <v>3083</v>
      </c>
      <c r="G81" s="25" t="s">
        <v>3084</v>
      </c>
      <c r="H81" s="25" t="s">
        <v>3075</v>
      </c>
      <c r="I81" s="25"/>
      <c r="J81" s="25" t="s">
        <v>1685</v>
      </c>
      <c r="K81" s="25"/>
      <c r="L81" s="25"/>
      <c r="M81" s="25"/>
      <c r="N81" s="25"/>
      <c r="O81" s="25"/>
      <c r="P81" s="25">
        <v>2</v>
      </c>
      <c r="Q81" s="25">
        <v>1</v>
      </c>
      <c r="R81" s="26" t="s">
        <v>174</v>
      </c>
      <c r="S81" s="1" t="s">
        <v>7</v>
      </c>
    </row>
    <row r="82" spans="1:26">
      <c r="A82" s="24" t="s">
        <v>3233</v>
      </c>
      <c r="B82" s="31" t="s">
        <v>1440</v>
      </c>
      <c r="C82" s="31" t="s">
        <v>2756</v>
      </c>
      <c r="D82" s="25" t="s">
        <v>1618</v>
      </c>
      <c r="E82" s="25">
        <v>3</v>
      </c>
      <c r="F82" s="25" t="s">
        <v>3083</v>
      </c>
      <c r="G82" s="25" t="s">
        <v>3084</v>
      </c>
      <c r="H82" s="25" t="s">
        <v>3061</v>
      </c>
      <c r="I82" s="25"/>
      <c r="J82" s="25" t="s">
        <v>1580</v>
      </c>
      <c r="K82" s="25" t="s">
        <v>13</v>
      </c>
      <c r="L82" s="25"/>
      <c r="M82" s="25"/>
      <c r="N82" s="25"/>
      <c r="O82" s="25"/>
      <c r="P82" s="25">
        <v>1</v>
      </c>
      <c r="Q82" s="25">
        <v>3</v>
      </c>
      <c r="R82" s="26" t="s">
        <v>15</v>
      </c>
      <c r="S82" s="1" t="s">
        <v>4</v>
      </c>
    </row>
    <row r="83" spans="1:26">
      <c r="A83" s="24" t="s">
        <v>3234</v>
      </c>
      <c r="B83" s="31" t="s">
        <v>8479</v>
      </c>
      <c r="C83" s="31" t="s">
        <v>2825</v>
      </c>
      <c r="D83" s="25" t="s">
        <v>1618</v>
      </c>
      <c r="E83" s="25">
        <v>3</v>
      </c>
      <c r="F83" s="25" t="s">
        <v>3083</v>
      </c>
      <c r="G83" s="25" t="s">
        <v>3084</v>
      </c>
      <c r="H83" s="25" t="s">
        <v>3079</v>
      </c>
      <c r="I83" s="25"/>
      <c r="J83" s="25" t="s">
        <v>3963</v>
      </c>
      <c r="K83" s="25"/>
      <c r="L83" s="25"/>
      <c r="M83" s="25"/>
      <c r="N83" s="25" t="s">
        <v>13316</v>
      </c>
      <c r="O83" s="25"/>
      <c r="P83" s="25">
        <v>1</v>
      </c>
      <c r="Q83" s="25">
        <v>2</v>
      </c>
      <c r="R83" s="26"/>
    </row>
    <row r="84" spans="1:26">
      <c r="A84" s="24"/>
      <c r="B84" s="31" t="s">
        <v>8479</v>
      </c>
      <c r="C84" s="31" t="s">
        <v>2826</v>
      </c>
      <c r="D84" s="25" t="s">
        <v>3103</v>
      </c>
      <c r="E84" s="25"/>
      <c r="F84" s="25" t="s">
        <v>3083</v>
      </c>
      <c r="G84" s="25" t="s">
        <v>3079</v>
      </c>
      <c r="H84" s="25"/>
      <c r="I84" s="25"/>
      <c r="J84" s="25" t="s">
        <v>1662</v>
      </c>
      <c r="K84" s="25" t="s">
        <v>3971</v>
      </c>
      <c r="L84" s="25"/>
      <c r="M84" s="25"/>
      <c r="N84" s="25" t="s">
        <v>13316</v>
      </c>
      <c r="O84" s="25"/>
      <c r="P84" s="25">
        <v>4</v>
      </c>
      <c r="Q84" s="25">
        <v>5</v>
      </c>
      <c r="R84" s="26" t="s">
        <v>44</v>
      </c>
      <c r="S84" s="1" t="s">
        <v>7</v>
      </c>
    </row>
    <row r="85" spans="1:26">
      <c r="A85" s="24" t="s">
        <v>3235</v>
      </c>
      <c r="B85" s="31" t="s">
        <v>13324</v>
      </c>
      <c r="C85" s="31" t="s">
        <v>2830</v>
      </c>
      <c r="D85" s="25" t="s">
        <v>1618</v>
      </c>
      <c r="E85" s="25">
        <v>3</v>
      </c>
      <c r="F85" s="25" t="s">
        <v>3083</v>
      </c>
      <c r="G85" s="25" t="s">
        <v>3084</v>
      </c>
      <c r="H85" s="25" t="s">
        <v>3075</v>
      </c>
      <c r="I85" s="25"/>
      <c r="J85" s="25" t="s">
        <v>1681</v>
      </c>
      <c r="K85" s="25" t="s">
        <v>198</v>
      </c>
      <c r="L85" s="25"/>
      <c r="M85" s="25"/>
      <c r="N85" s="25"/>
      <c r="O85" s="25"/>
      <c r="P85" s="25">
        <v>2</v>
      </c>
      <c r="Q85" s="25">
        <v>2</v>
      </c>
      <c r="R85" s="26" t="s">
        <v>15</v>
      </c>
      <c r="S85" s="1" t="s">
        <v>7</v>
      </c>
    </row>
    <row r="86" spans="1:26">
      <c r="A86" s="24" t="s">
        <v>3236</v>
      </c>
      <c r="B86" s="31" t="s">
        <v>4766</v>
      </c>
      <c r="C86" s="31" t="s">
        <v>2775</v>
      </c>
      <c r="D86" s="25" t="s">
        <v>1620</v>
      </c>
      <c r="E86" s="25">
        <v>4</v>
      </c>
      <c r="F86" s="25" t="s">
        <v>3083</v>
      </c>
      <c r="G86" s="25" t="s">
        <v>3084</v>
      </c>
      <c r="H86" s="25" t="s">
        <v>3055</v>
      </c>
      <c r="I86" s="25"/>
      <c r="J86" s="25" t="s">
        <v>1591</v>
      </c>
      <c r="K86" s="25"/>
      <c r="L86" s="25"/>
      <c r="M86" s="25"/>
      <c r="N86" s="25"/>
      <c r="O86" s="25" t="s">
        <v>3150</v>
      </c>
      <c r="P86" s="25">
        <v>2</v>
      </c>
      <c r="Q86" s="25">
        <v>1</v>
      </c>
      <c r="R86" s="26" t="s">
        <v>40</v>
      </c>
      <c r="S86" s="1" t="s">
        <v>4</v>
      </c>
    </row>
    <row r="87" spans="1:26">
      <c r="A87" s="24" t="s">
        <v>3237</v>
      </c>
      <c r="B87" s="31" t="s">
        <v>3498</v>
      </c>
      <c r="C87" s="31" t="s">
        <v>2832</v>
      </c>
      <c r="D87" s="25" t="s">
        <v>1620</v>
      </c>
      <c r="E87" s="25">
        <v>4</v>
      </c>
      <c r="F87" s="25" t="s">
        <v>3083</v>
      </c>
      <c r="G87" s="25" t="s">
        <v>3084</v>
      </c>
      <c r="H87" s="25" t="s">
        <v>3055</v>
      </c>
      <c r="I87" s="25"/>
      <c r="J87" s="25" t="s">
        <v>1693</v>
      </c>
      <c r="K87" s="25"/>
      <c r="L87" s="25"/>
      <c r="M87" s="25"/>
      <c r="N87" s="25"/>
      <c r="O87" s="25"/>
      <c r="P87" s="25">
        <v>3</v>
      </c>
      <c r="Q87" s="25">
        <v>3</v>
      </c>
      <c r="R87" s="26" t="s">
        <v>28</v>
      </c>
      <c r="S87" s="1" t="s">
        <v>7</v>
      </c>
    </row>
    <row r="88" spans="1:26">
      <c r="A88" s="24" t="s">
        <v>3760</v>
      </c>
      <c r="B88" s="31" t="s">
        <v>4766</v>
      </c>
      <c r="C88" s="31" t="s">
        <v>2783</v>
      </c>
      <c r="D88" s="25" t="s">
        <v>1622</v>
      </c>
      <c r="E88" s="25">
        <v>5</v>
      </c>
      <c r="F88" s="25" t="s">
        <v>3083</v>
      </c>
      <c r="G88" s="25" t="s">
        <v>3084</v>
      </c>
      <c r="H88" s="25" t="s">
        <v>3055</v>
      </c>
      <c r="I88" s="25"/>
      <c r="J88" s="25" t="s">
        <v>249</v>
      </c>
      <c r="K88" s="25" t="s">
        <v>1598</v>
      </c>
      <c r="L88" s="25"/>
      <c r="M88" s="25"/>
      <c r="N88" s="25"/>
      <c r="O88" s="25" t="s">
        <v>3150</v>
      </c>
      <c r="P88" s="25">
        <v>3</v>
      </c>
      <c r="Q88" s="25">
        <v>5</v>
      </c>
      <c r="R88" s="26" t="s">
        <v>52</v>
      </c>
      <c r="S88" s="1" t="s">
        <v>4</v>
      </c>
    </row>
    <row r="89" spans="1:26">
      <c r="A89" s="24" t="s">
        <v>3761</v>
      </c>
      <c r="B89" s="31" t="s">
        <v>13325</v>
      </c>
      <c r="C89" s="31" t="s">
        <v>2784</v>
      </c>
      <c r="D89" s="25" t="s">
        <v>1623</v>
      </c>
      <c r="E89" s="25">
        <v>7</v>
      </c>
      <c r="F89" s="25" t="s">
        <v>3083</v>
      </c>
      <c r="G89" s="25" t="s">
        <v>3084</v>
      </c>
      <c r="H89" s="25" t="s">
        <v>3063</v>
      </c>
      <c r="I89" s="25"/>
      <c r="J89" s="25" t="s">
        <v>1599</v>
      </c>
      <c r="K89" s="25" t="s">
        <v>1600</v>
      </c>
      <c r="L89" s="25"/>
      <c r="M89" s="25"/>
      <c r="N89" s="25"/>
      <c r="O89" s="25" t="s">
        <v>3150</v>
      </c>
      <c r="P89" s="25">
        <v>1</v>
      </c>
      <c r="Q89" s="25">
        <v>1</v>
      </c>
      <c r="R89" s="26" t="s">
        <v>606</v>
      </c>
      <c r="S89" s="1" t="s">
        <v>4</v>
      </c>
    </row>
    <row r="90" spans="1:26">
      <c r="A90" s="24" t="s">
        <v>3238</v>
      </c>
      <c r="B90" s="25" t="s">
        <v>3759</v>
      </c>
      <c r="C90" s="31" t="s">
        <v>3427</v>
      </c>
      <c r="D90" s="31" t="s">
        <v>1611</v>
      </c>
      <c r="E90" s="31">
        <v>2</v>
      </c>
      <c r="F90" s="31" t="s">
        <v>3403</v>
      </c>
      <c r="G90" s="25"/>
      <c r="H90" s="25"/>
      <c r="I90" s="25"/>
      <c r="J90" s="25" t="s">
        <v>3428</v>
      </c>
      <c r="K90" s="25"/>
      <c r="L90" s="25"/>
      <c r="M90" s="25"/>
      <c r="N90" s="25"/>
      <c r="O90" s="25"/>
      <c r="P90" s="25"/>
      <c r="Q90" s="25"/>
      <c r="R90" s="26" t="s">
        <v>45</v>
      </c>
      <c r="S90" s="1" t="s">
        <v>4</v>
      </c>
    </row>
    <row r="91" spans="1:26">
      <c r="A91" s="24" t="s">
        <v>3239</v>
      </c>
      <c r="B91" s="25" t="s">
        <v>3759</v>
      </c>
      <c r="C91" s="31" t="s">
        <v>3750</v>
      </c>
      <c r="D91" s="25" t="s">
        <v>3751</v>
      </c>
      <c r="E91" s="31">
        <v>3</v>
      </c>
      <c r="F91" s="31" t="s">
        <v>3403</v>
      </c>
      <c r="G91" s="25"/>
      <c r="H91" s="25"/>
      <c r="I91" s="25"/>
      <c r="J91" s="31" t="s">
        <v>3752</v>
      </c>
      <c r="K91" s="25"/>
      <c r="L91" s="25"/>
      <c r="M91" s="25"/>
      <c r="N91" s="25"/>
      <c r="O91" s="25"/>
      <c r="P91" s="25"/>
      <c r="Q91" s="25"/>
      <c r="R91" s="26" t="s">
        <v>3753</v>
      </c>
    </row>
    <row r="92" spans="1:26">
      <c r="A92" s="24" t="s">
        <v>3240</v>
      </c>
      <c r="B92" s="25" t="s">
        <v>3758</v>
      </c>
      <c r="C92" s="31" t="s">
        <v>12314</v>
      </c>
      <c r="D92" s="25" t="s">
        <v>3751</v>
      </c>
      <c r="E92" s="31">
        <v>3</v>
      </c>
      <c r="F92" s="25" t="s">
        <v>3399</v>
      </c>
      <c r="G92" s="25"/>
      <c r="H92" s="25"/>
      <c r="I92" s="25"/>
      <c r="J92" s="25" t="s">
        <v>13339</v>
      </c>
      <c r="K92" s="25" t="s">
        <v>13340</v>
      </c>
      <c r="L92" s="25"/>
      <c r="M92" s="25"/>
      <c r="N92" s="25"/>
      <c r="O92" s="25"/>
      <c r="P92" s="25"/>
      <c r="Q92" s="25"/>
      <c r="R92" s="26" t="s">
        <v>13341</v>
      </c>
    </row>
    <row r="93" spans="1:26">
      <c r="A93" s="24" t="s">
        <v>3241</v>
      </c>
      <c r="B93" s="25" t="s">
        <v>13321</v>
      </c>
      <c r="C93" s="31" t="s">
        <v>3754</v>
      </c>
      <c r="D93" s="25" t="s">
        <v>3755</v>
      </c>
      <c r="E93" s="25">
        <v>4</v>
      </c>
      <c r="F93" s="25" t="s">
        <v>3399</v>
      </c>
      <c r="G93" s="25"/>
      <c r="H93" s="25"/>
      <c r="I93" s="25"/>
      <c r="J93" s="25" t="s">
        <v>3756</v>
      </c>
      <c r="K93" s="25"/>
      <c r="L93" s="25"/>
      <c r="M93" s="25"/>
      <c r="N93" s="25"/>
      <c r="O93" s="25"/>
      <c r="P93" s="25"/>
      <c r="Q93" s="25"/>
      <c r="R93" s="26" t="s">
        <v>3757</v>
      </c>
    </row>
    <row r="94" spans="1:26" ht="14.25" thickBot="1">
      <c r="A94" s="27" t="s">
        <v>3242</v>
      </c>
      <c r="B94" s="28" t="s">
        <v>13342</v>
      </c>
      <c r="C94" s="82" t="s">
        <v>4099</v>
      </c>
      <c r="D94" s="28" t="s">
        <v>1765</v>
      </c>
      <c r="E94" s="82">
        <v>8</v>
      </c>
      <c r="F94" s="25" t="s">
        <v>3399</v>
      </c>
      <c r="G94" s="28"/>
      <c r="H94" s="28"/>
      <c r="I94" s="28"/>
      <c r="J94" s="28" t="s">
        <v>4100</v>
      </c>
      <c r="K94" s="28"/>
      <c r="L94" s="28"/>
      <c r="M94" s="28"/>
      <c r="N94" s="28"/>
      <c r="O94" s="28"/>
      <c r="P94" s="28"/>
      <c r="Q94" s="28"/>
      <c r="R94" s="29" t="s">
        <v>6</v>
      </c>
      <c r="S94" s="1" t="s">
        <v>4</v>
      </c>
    </row>
    <row r="95" spans="1:26">
      <c r="A95" s="21" t="s">
        <v>3769</v>
      </c>
      <c r="B95" s="22" t="s">
        <v>13343</v>
      </c>
      <c r="C95" s="32" t="s">
        <v>2900</v>
      </c>
      <c r="D95" s="22" t="s">
        <v>1779</v>
      </c>
      <c r="E95" s="32">
        <v>3</v>
      </c>
      <c r="F95" s="22" t="s">
        <v>3083</v>
      </c>
      <c r="G95" s="22" t="s">
        <v>3084</v>
      </c>
      <c r="H95" s="22" t="s">
        <v>3059</v>
      </c>
      <c r="I95" s="22"/>
      <c r="J95" s="22" t="s">
        <v>1780</v>
      </c>
      <c r="K95" s="22" t="s">
        <v>1775</v>
      </c>
      <c r="L95" s="22"/>
      <c r="M95" s="22"/>
      <c r="N95" s="22"/>
      <c r="O95" s="22"/>
      <c r="P95" s="22">
        <v>1</v>
      </c>
      <c r="Q95" s="22">
        <v>1</v>
      </c>
      <c r="R95" s="23" t="s">
        <v>10</v>
      </c>
      <c r="S95" s="1" t="s">
        <v>4</v>
      </c>
      <c r="T95" s="1">
        <v>1</v>
      </c>
      <c r="U95" s="30">
        <v>2</v>
      </c>
      <c r="V95" s="30">
        <v>3</v>
      </c>
      <c r="W95" s="1">
        <v>4</v>
      </c>
      <c r="X95" s="1">
        <v>5</v>
      </c>
      <c r="Y95" s="1">
        <v>6</v>
      </c>
      <c r="Z95" s="1">
        <v>7</v>
      </c>
    </row>
    <row r="96" spans="1:26">
      <c r="A96" s="24" t="s">
        <v>3770</v>
      </c>
      <c r="B96" s="31" t="s">
        <v>3625</v>
      </c>
      <c r="C96" s="31" t="s">
        <v>4216</v>
      </c>
      <c r="D96" s="25" t="s">
        <v>1789</v>
      </c>
      <c r="E96" s="31">
        <v>5</v>
      </c>
      <c r="F96" s="25" t="s">
        <v>3403</v>
      </c>
      <c r="G96" s="25"/>
      <c r="H96" s="25"/>
      <c r="I96" s="25"/>
      <c r="J96" s="25" t="s">
        <v>4217</v>
      </c>
      <c r="K96" s="25"/>
      <c r="L96" s="25"/>
      <c r="M96" s="25"/>
      <c r="N96" s="25"/>
      <c r="O96" s="25"/>
      <c r="P96" s="25"/>
      <c r="Q96" s="25"/>
      <c r="R96" s="26" t="s">
        <v>6</v>
      </c>
      <c r="S96" s="1" t="s">
        <v>7</v>
      </c>
      <c r="T96" s="1">
        <f>COUNTIF($E95:$E104,T95)</f>
        <v>0</v>
      </c>
      <c r="U96" s="1">
        <f t="shared" ref="U96:Z96" si="6">COUNTIF($E95:$E104,U95)</f>
        <v>4</v>
      </c>
      <c r="V96" s="1">
        <f t="shared" si="6"/>
        <v>1</v>
      </c>
      <c r="W96" s="1">
        <f t="shared" si="6"/>
        <v>2</v>
      </c>
      <c r="X96" s="1">
        <f t="shared" si="6"/>
        <v>3</v>
      </c>
      <c r="Y96" s="1">
        <f t="shared" si="6"/>
        <v>0</v>
      </c>
      <c r="Z96" s="1">
        <f t="shared" si="6"/>
        <v>0</v>
      </c>
    </row>
    <row r="97" spans="1:19">
      <c r="A97" s="24" t="s">
        <v>3771</v>
      </c>
      <c r="B97" s="31" t="s">
        <v>13343</v>
      </c>
      <c r="C97" s="31" t="s">
        <v>2902</v>
      </c>
      <c r="D97" s="25" t="s">
        <v>1818</v>
      </c>
      <c r="E97" s="31">
        <v>2</v>
      </c>
      <c r="F97" s="25" t="s">
        <v>3083</v>
      </c>
      <c r="G97" s="25" t="s">
        <v>3084</v>
      </c>
      <c r="H97" s="25" t="s">
        <v>3071</v>
      </c>
      <c r="I97" s="25"/>
      <c r="J97" s="25" t="s">
        <v>1820</v>
      </c>
      <c r="K97" s="25" t="s">
        <v>1812</v>
      </c>
      <c r="L97" s="25"/>
      <c r="M97" s="25"/>
      <c r="N97" s="25"/>
      <c r="O97" s="25"/>
      <c r="P97" s="25">
        <v>1</v>
      </c>
      <c r="Q97" s="25">
        <v>2</v>
      </c>
      <c r="R97" s="26" t="s">
        <v>8</v>
      </c>
      <c r="S97" s="1" t="s">
        <v>4</v>
      </c>
    </row>
    <row r="98" spans="1:19">
      <c r="A98" s="24" t="s">
        <v>3772</v>
      </c>
      <c r="B98" s="31" t="s">
        <v>13344</v>
      </c>
      <c r="C98" s="31" t="s">
        <v>4310</v>
      </c>
      <c r="D98" s="25" t="s">
        <v>1815</v>
      </c>
      <c r="E98" s="31">
        <v>4</v>
      </c>
      <c r="F98" s="25" t="s">
        <v>3399</v>
      </c>
      <c r="G98" s="25"/>
      <c r="H98" s="25"/>
      <c r="I98" s="25"/>
      <c r="J98" s="25" t="s">
        <v>4311</v>
      </c>
      <c r="K98" s="25" t="s">
        <v>4243</v>
      </c>
      <c r="L98" s="25"/>
      <c r="M98" s="25"/>
      <c r="N98" s="25"/>
      <c r="O98" s="25"/>
      <c r="P98" s="25"/>
      <c r="Q98" s="25"/>
      <c r="R98" s="26" t="s">
        <v>5</v>
      </c>
      <c r="S98" s="1" t="s">
        <v>7</v>
      </c>
    </row>
    <row r="99" spans="1:19">
      <c r="A99" s="24" t="s">
        <v>3773</v>
      </c>
      <c r="B99" s="31" t="s">
        <v>13343</v>
      </c>
      <c r="C99" s="31" t="s">
        <v>2906</v>
      </c>
      <c r="D99" s="25" t="s">
        <v>1848</v>
      </c>
      <c r="E99" s="31">
        <v>2</v>
      </c>
      <c r="F99" s="25" t="s">
        <v>3083</v>
      </c>
      <c r="G99" s="1" t="s">
        <v>3084</v>
      </c>
      <c r="H99" s="1" t="s">
        <v>3057</v>
      </c>
      <c r="J99" s="25" t="s">
        <v>1094</v>
      </c>
      <c r="K99" s="25"/>
      <c r="L99" s="25"/>
      <c r="M99" s="25"/>
      <c r="N99" s="25"/>
      <c r="O99" s="25"/>
      <c r="P99" s="25">
        <v>2</v>
      </c>
      <c r="Q99" s="25">
        <v>1</v>
      </c>
      <c r="R99" s="26" t="s">
        <v>6</v>
      </c>
      <c r="S99" s="1" t="s">
        <v>4</v>
      </c>
    </row>
    <row r="100" spans="1:19">
      <c r="A100" s="24" t="s">
        <v>3774</v>
      </c>
      <c r="B100" s="31" t="s">
        <v>3625</v>
      </c>
      <c r="C100" s="31" t="s">
        <v>4426</v>
      </c>
      <c r="D100" s="25" t="s">
        <v>4424</v>
      </c>
      <c r="E100" s="31">
        <v>5</v>
      </c>
      <c r="F100" s="25" t="s">
        <v>3403</v>
      </c>
      <c r="G100" s="25"/>
      <c r="H100" s="25"/>
      <c r="I100" s="25"/>
      <c r="J100" s="25" t="s">
        <v>4427</v>
      </c>
      <c r="K100" s="25" t="s">
        <v>4428</v>
      </c>
      <c r="L100" s="25"/>
      <c r="M100" s="25"/>
      <c r="N100" s="25"/>
      <c r="O100" s="25"/>
      <c r="P100" s="25"/>
      <c r="Q100" s="25"/>
      <c r="R100" s="26" t="s">
        <v>10</v>
      </c>
      <c r="S100" s="1" t="s">
        <v>7</v>
      </c>
    </row>
    <row r="101" spans="1:19">
      <c r="A101" s="24" t="s">
        <v>3775</v>
      </c>
      <c r="B101" s="31" t="s">
        <v>13343</v>
      </c>
      <c r="C101" s="31" t="s">
        <v>2909</v>
      </c>
      <c r="D101" s="25" t="s">
        <v>1868</v>
      </c>
      <c r="E101" s="31">
        <v>2</v>
      </c>
      <c r="F101" s="25" t="s">
        <v>3083</v>
      </c>
      <c r="G101" s="25" t="s">
        <v>3084</v>
      </c>
      <c r="H101" s="25" t="s">
        <v>3075</v>
      </c>
      <c r="I101" s="25"/>
      <c r="J101" s="25" t="s">
        <v>1866</v>
      </c>
      <c r="K101" s="25"/>
      <c r="L101" s="25"/>
      <c r="M101" s="25"/>
      <c r="N101" s="25"/>
      <c r="O101" s="25"/>
      <c r="P101" s="25">
        <v>2</v>
      </c>
      <c r="Q101" s="25">
        <v>2</v>
      </c>
      <c r="R101" s="26" t="s">
        <v>844</v>
      </c>
      <c r="S101" s="1" t="s">
        <v>4</v>
      </c>
    </row>
    <row r="102" spans="1:19">
      <c r="A102" s="24" t="s">
        <v>3776</v>
      </c>
      <c r="B102" s="31" t="s">
        <v>3625</v>
      </c>
      <c r="C102" s="31" t="s">
        <v>4569</v>
      </c>
      <c r="D102" s="25" t="s">
        <v>1893</v>
      </c>
      <c r="E102" s="31">
        <v>5</v>
      </c>
      <c r="F102" s="25" t="s">
        <v>3399</v>
      </c>
      <c r="G102" s="25"/>
      <c r="H102" s="25"/>
      <c r="I102" s="25"/>
      <c r="J102" s="25" t="s">
        <v>4570</v>
      </c>
      <c r="K102" s="25"/>
      <c r="L102" s="25"/>
      <c r="M102" s="25"/>
      <c r="N102" s="25"/>
      <c r="O102" s="25"/>
      <c r="P102" s="25"/>
      <c r="Q102" s="25"/>
      <c r="R102" s="26" t="s">
        <v>5</v>
      </c>
      <c r="S102" s="1" t="s">
        <v>7</v>
      </c>
    </row>
    <row r="103" spans="1:19">
      <c r="A103" s="24" t="s">
        <v>3777</v>
      </c>
      <c r="B103" s="31" t="s">
        <v>13345</v>
      </c>
      <c r="C103" s="31" t="s">
        <v>4085</v>
      </c>
      <c r="D103" s="25" t="s">
        <v>4086</v>
      </c>
      <c r="E103" s="31">
        <v>2</v>
      </c>
      <c r="F103" s="25" t="s">
        <v>3403</v>
      </c>
      <c r="G103" s="25"/>
      <c r="H103" s="25"/>
      <c r="I103" s="25"/>
      <c r="J103" s="25" t="s">
        <v>4087</v>
      </c>
      <c r="K103" s="25"/>
      <c r="L103" s="25"/>
      <c r="M103" s="25"/>
      <c r="N103" s="25"/>
      <c r="O103" s="25"/>
      <c r="P103" s="25"/>
      <c r="Q103" s="25"/>
      <c r="R103" s="26" t="s">
        <v>6</v>
      </c>
      <c r="S103" s="1" t="s">
        <v>4</v>
      </c>
    </row>
    <row r="104" spans="1:19" ht="14.25" thickBot="1">
      <c r="A104" s="24" t="s">
        <v>3778</v>
      </c>
      <c r="B104" s="31" t="s">
        <v>13346</v>
      </c>
      <c r="C104" s="31" t="s">
        <v>2953</v>
      </c>
      <c r="D104" s="25" t="s">
        <v>1899</v>
      </c>
      <c r="E104" s="31">
        <v>4</v>
      </c>
      <c r="F104" s="25" t="s">
        <v>3083</v>
      </c>
      <c r="G104" s="25" t="s">
        <v>3084</v>
      </c>
      <c r="H104" s="25" t="s">
        <v>3055</v>
      </c>
      <c r="I104" s="25"/>
      <c r="J104" s="25" t="s">
        <v>3918</v>
      </c>
      <c r="K104" s="25"/>
      <c r="L104" s="25"/>
      <c r="M104" s="25"/>
      <c r="N104" s="25"/>
      <c r="O104" s="25"/>
      <c r="P104" s="25">
        <v>4</v>
      </c>
      <c r="Q104" s="25">
        <v>4</v>
      </c>
      <c r="R104" s="26" t="s">
        <v>17</v>
      </c>
      <c r="S104" s="1" t="s">
        <v>7</v>
      </c>
    </row>
    <row r="105" spans="1:19">
      <c r="A105" s="21" t="s">
        <v>3243</v>
      </c>
      <c r="B105" s="22" t="s">
        <v>13347</v>
      </c>
      <c r="C105" s="32" t="s">
        <v>3820</v>
      </c>
      <c r="D105" s="22">
        <v>2</v>
      </c>
      <c r="E105" s="22">
        <v>2</v>
      </c>
      <c r="F105" s="22" t="s">
        <v>3413</v>
      </c>
      <c r="G105" s="22" t="s">
        <v>3867</v>
      </c>
      <c r="H105" s="22"/>
      <c r="I105" s="22"/>
      <c r="J105" s="22" t="s">
        <v>3869</v>
      </c>
      <c r="K105" s="22" t="s">
        <v>1</v>
      </c>
      <c r="L105" s="22"/>
      <c r="M105" s="22"/>
      <c r="N105" s="22"/>
      <c r="O105" s="22"/>
      <c r="P105" s="22">
        <v>2</v>
      </c>
      <c r="Q105" s="22">
        <v>3</v>
      </c>
      <c r="R105" s="23" t="s">
        <v>26</v>
      </c>
      <c r="S105" s="1" t="s">
        <v>4</v>
      </c>
    </row>
    <row r="106" spans="1:19">
      <c r="A106" s="24" t="s">
        <v>3244</v>
      </c>
      <c r="B106" s="25"/>
      <c r="C106" s="31" t="s">
        <v>3742</v>
      </c>
      <c r="D106" s="25">
        <v>2</v>
      </c>
      <c r="E106" s="25">
        <v>2</v>
      </c>
      <c r="F106" s="25" t="s">
        <v>3413</v>
      </c>
      <c r="G106" s="25"/>
      <c r="H106" s="25"/>
      <c r="I106" s="25"/>
      <c r="J106" s="25" t="s">
        <v>3743</v>
      </c>
      <c r="K106" s="25"/>
      <c r="L106" s="25"/>
      <c r="M106" s="25"/>
      <c r="N106" s="25"/>
      <c r="O106" s="25"/>
      <c r="P106" s="25"/>
      <c r="Q106" s="25"/>
      <c r="R106" s="26" t="s">
        <v>18</v>
      </c>
      <c r="S106" s="1" t="s">
        <v>4</v>
      </c>
    </row>
    <row r="107" spans="1:19">
      <c r="A107" s="24" t="s">
        <v>3245</v>
      </c>
      <c r="B107" s="25"/>
      <c r="C107" s="31" t="s">
        <v>3744</v>
      </c>
      <c r="D107" s="25">
        <v>3</v>
      </c>
      <c r="E107" s="25">
        <v>3</v>
      </c>
      <c r="F107" s="25" t="s">
        <v>3413</v>
      </c>
      <c r="G107" s="25"/>
      <c r="H107" s="25"/>
      <c r="I107" s="25"/>
      <c r="J107" s="25" t="s">
        <v>3745</v>
      </c>
      <c r="K107" s="25"/>
      <c r="L107" s="25"/>
      <c r="M107" s="25"/>
      <c r="N107" s="25"/>
      <c r="O107" s="25"/>
      <c r="P107" s="25"/>
      <c r="Q107" s="25"/>
      <c r="R107" s="26" t="s">
        <v>29</v>
      </c>
      <c r="S107" s="1" t="s">
        <v>4</v>
      </c>
    </row>
    <row r="108" spans="1:19">
      <c r="A108" s="24" t="s">
        <v>3246</v>
      </c>
      <c r="B108" s="25" t="s">
        <v>4767</v>
      </c>
      <c r="C108" s="31" t="s">
        <v>4697</v>
      </c>
      <c r="D108" s="25">
        <v>3</v>
      </c>
      <c r="E108" s="25">
        <v>3</v>
      </c>
      <c r="F108" s="25" t="s">
        <v>3413</v>
      </c>
      <c r="G108" s="25"/>
      <c r="H108" s="25"/>
      <c r="I108" s="25"/>
      <c r="J108" s="25" t="s">
        <v>4698</v>
      </c>
      <c r="K108" s="25" t="s">
        <v>4699</v>
      </c>
      <c r="L108" s="25"/>
      <c r="M108" s="25"/>
      <c r="N108" s="25"/>
      <c r="O108" s="25"/>
      <c r="P108" s="25"/>
      <c r="Q108" s="25"/>
      <c r="R108" s="26" t="s">
        <v>4700</v>
      </c>
      <c r="S108" s="1" t="s">
        <v>4</v>
      </c>
    </row>
    <row r="109" spans="1:19">
      <c r="A109" s="24" t="s">
        <v>3247</v>
      </c>
      <c r="B109" s="25" t="s">
        <v>13348</v>
      </c>
      <c r="C109" s="31" t="s">
        <v>4076</v>
      </c>
      <c r="D109" s="25">
        <v>4</v>
      </c>
      <c r="E109" s="25">
        <v>4</v>
      </c>
      <c r="F109" s="25" t="s">
        <v>3413</v>
      </c>
      <c r="G109" s="25" t="s">
        <v>3412</v>
      </c>
      <c r="H109" s="25"/>
      <c r="I109" s="25"/>
      <c r="J109" s="25" t="s">
        <v>3419</v>
      </c>
      <c r="K109" s="25" t="s">
        <v>4068</v>
      </c>
      <c r="L109" s="25" t="s">
        <v>1</v>
      </c>
      <c r="M109" s="25"/>
      <c r="N109" s="25"/>
      <c r="O109" s="25"/>
      <c r="P109" s="25">
        <v>2</v>
      </c>
      <c r="Q109" s="25">
        <v>2</v>
      </c>
      <c r="R109" s="26" t="s">
        <v>176</v>
      </c>
      <c r="S109" s="1" t="s">
        <v>7</v>
      </c>
    </row>
    <row r="110" spans="1:19">
      <c r="A110" s="24" t="s">
        <v>3417</v>
      </c>
      <c r="B110" s="31" t="s">
        <v>13347</v>
      </c>
      <c r="C110" s="31" t="s">
        <v>3832</v>
      </c>
      <c r="D110" s="25">
        <v>4</v>
      </c>
      <c r="E110" s="25">
        <v>4</v>
      </c>
      <c r="F110" s="25" t="s">
        <v>3413</v>
      </c>
      <c r="G110" s="25" t="s">
        <v>3867</v>
      </c>
      <c r="H110" s="25"/>
      <c r="I110" s="25"/>
      <c r="J110" s="25" t="s">
        <v>3871</v>
      </c>
      <c r="K110" s="25" t="s">
        <v>3833</v>
      </c>
      <c r="L110" s="25"/>
      <c r="M110" s="25"/>
      <c r="N110" s="25"/>
      <c r="O110" s="25"/>
      <c r="P110" s="25">
        <v>5</v>
      </c>
      <c r="Q110" s="25">
        <v>5</v>
      </c>
      <c r="R110" s="26" t="s">
        <v>26</v>
      </c>
      <c r="S110" s="1" t="s">
        <v>7</v>
      </c>
    </row>
    <row r="111" spans="1:19" ht="14.25" thickBot="1">
      <c r="A111" s="24" t="s">
        <v>3418</v>
      </c>
      <c r="B111" s="31" t="s">
        <v>13348</v>
      </c>
      <c r="C111" s="31" t="s">
        <v>4078</v>
      </c>
      <c r="D111" s="31">
        <v>5</v>
      </c>
      <c r="E111" s="25">
        <v>5</v>
      </c>
      <c r="F111" s="25" t="s">
        <v>3413</v>
      </c>
      <c r="G111" s="25" t="s">
        <v>3412</v>
      </c>
      <c r="H111" s="25"/>
      <c r="I111" s="25"/>
      <c r="J111" s="1" t="s">
        <v>3419</v>
      </c>
      <c r="K111" s="25" t="s">
        <v>3410</v>
      </c>
      <c r="L111" s="25" t="s">
        <v>1440</v>
      </c>
      <c r="M111" s="25"/>
      <c r="N111" s="25"/>
      <c r="O111" s="25"/>
      <c r="P111" s="25">
        <v>2</v>
      </c>
      <c r="Q111" s="25">
        <v>4</v>
      </c>
      <c r="R111" s="26" t="s">
        <v>176</v>
      </c>
      <c r="S111" s="1" t="s">
        <v>7</v>
      </c>
    </row>
    <row r="112" spans="1:19">
      <c r="A112" s="73" t="s">
        <v>3404</v>
      </c>
      <c r="B112" s="22"/>
      <c r="C112" s="32" t="s">
        <v>3735</v>
      </c>
      <c r="D112" s="22"/>
      <c r="E112" s="22"/>
      <c r="F112" s="22" t="s">
        <v>3736</v>
      </c>
      <c r="G112" s="22"/>
      <c r="H112" s="22"/>
      <c r="I112" s="22"/>
      <c r="J112" s="22" t="s">
        <v>3737</v>
      </c>
      <c r="K112" s="22"/>
      <c r="L112" s="22"/>
      <c r="M112" s="22"/>
      <c r="N112" s="22"/>
      <c r="O112" s="22"/>
      <c r="P112" s="22"/>
      <c r="Q112" s="22"/>
      <c r="R112" s="23" t="s">
        <v>36</v>
      </c>
      <c r="S112" s="1" t="s">
        <v>4</v>
      </c>
    </row>
    <row r="113" spans="1:19">
      <c r="A113" s="33" t="s">
        <v>3405</v>
      </c>
      <c r="B113" s="25"/>
      <c r="C113" s="31" t="s">
        <v>5812</v>
      </c>
      <c r="D113" s="25"/>
      <c r="E113" s="25"/>
      <c r="F113" s="25" t="s">
        <v>3736</v>
      </c>
      <c r="G113" s="25"/>
      <c r="H113" s="25"/>
      <c r="I113" s="25"/>
      <c r="J113" s="25" t="s">
        <v>5684</v>
      </c>
      <c r="K113" s="25" t="s">
        <v>5813</v>
      </c>
      <c r="L113" s="25"/>
      <c r="M113" s="25"/>
      <c r="N113" s="25"/>
      <c r="O113" s="25"/>
      <c r="P113" s="25"/>
      <c r="Q113" s="25"/>
      <c r="R113" s="26" t="s">
        <v>34</v>
      </c>
      <c r="S113" s="1" t="s">
        <v>7</v>
      </c>
    </row>
    <row r="114" spans="1:19">
      <c r="A114" s="33" t="s">
        <v>4689</v>
      </c>
      <c r="B114" s="25"/>
      <c r="C114" s="31" t="s">
        <v>3738</v>
      </c>
      <c r="D114" s="25"/>
      <c r="E114" s="25"/>
      <c r="F114" s="25" t="s">
        <v>3736</v>
      </c>
      <c r="G114" s="25"/>
      <c r="H114" s="25"/>
      <c r="I114" s="25"/>
      <c r="J114" s="25" t="s">
        <v>3739</v>
      </c>
      <c r="K114" s="25" t="s">
        <v>3740</v>
      </c>
      <c r="L114" s="25" t="s">
        <v>3741</v>
      </c>
      <c r="M114" s="25"/>
      <c r="N114" s="25"/>
      <c r="O114" s="25"/>
      <c r="P114" s="25"/>
      <c r="Q114" s="25"/>
      <c r="R114" s="26" t="s">
        <v>18</v>
      </c>
      <c r="S114" s="1" t="s">
        <v>4</v>
      </c>
    </row>
    <row r="115" spans="1:19">
      <c r="A115" s="33" t="s">
        <v>3779</v>
      </c>
      <c r="B115" s="25"/>
      <c r="C115" s="31" t="s">
        <v>13349</v>
      </c>
      <c r="D115" s="25"/>
      <c r="E115" s="25"/>
      <c r="F115" s="25" t="s">
        <v>3736</v>
      </c>
      <c r="G115" s="25"/>
      <c r="H115" s="25"/>
      <c r="I115" s="25"/>
      <c r="J115" s="25"/>
      <c r="K115" s="25"/>
      <c r="L115" s="25"/>
      <c r="M115" s="25"/>
      <c r="N115" s="25"/>
      <c r="O115" s="25"/>
      <c r="P115" s="25"/>
      <c r="Q115" s="25"/>
      <c r="R115" s="26"/>
    </row>
    <row r="116" spans="1:19">
      <c r="A116" s="33" t="s">
        <v>3780</v>
      </c>
      <c r="B116" s="25"/>
      <c r="C116" s="31" t="s">
        <v>13350</v>
      </c>
      <c r="D116" s="25"/>
      <c r="E116" s="25"/>
      <c r="F116" s="25" t="s">
        <v>3736</v>
      </c>
      <c r="G116" s="25"/>
      <c r="H116" s="25"/>
      <c r="I116" s="25"/>
      <c r="J116" s="25"/>
      <c r="K116" s="25"/>
      <c r="L116" s="25"/>
      <c r="M116" s="25"/>
      <c r="N116" s="25"/>
      <c r="O116" s="25"/>
      <c r="P116" s="25"/>
      <c r="Q116" s="25"/>
      <c r="R116" s="26"/>
    </row>
    <row r="117" spans="1:19">
      <c r="A117" s="33" t="s">
        <v>4690</v>
      </c>
      <c r="B117" s="25"/>
      <c r="C117" s="31" t="s">
        <v>13351</v>
      </c>
      <c r="D117" s="25"/>
      <c r="E117" s="25"/>
      <c r="F117" s="25" t="s">
        <v>3736</v>
      </c>
      <c r="G117" s="25"/>
      <c r="H117" s="25"/>
      <c r="I117" s="25"/>
      <c r="J117" s="25"/>
      <c r="K117" s="25"/>
      <c r="L117" s="25"/>
      <c r="M117" s="25"/>
      <c r="N117" s="25"/>
      <c r="O117" s="25"/>
      <c r="P117" s="25"/>
      <c r="Q117" s="25"/>
      <c r="R117" s="26"/>
    </row>
    <row r="118" spans="1:19">
      <c r="A118" s="33" t="s">
        <v>4691</v>
      </c>
      <c r="B118" s="25"/>
      <c r="C118" s="31" t="s">
        <v>13352</v>
      </c>
      <c r="D118" s="25"/>
      <c r="E118" s="25"/>
      <c r="F118" s="25" t="s">
        <v>3736</v>
      </c>
      <c r="G118" s="25"/>
      <c r="H118" s="25"/>
      <c r="I118" s="25"/>
      <c r="J118" s="25"/>
      <c r="K118" s="25"/>
      <c r="L118" s="25"/>
      <c r="M118" s="25"/>
      <c r="N118" s="25"/>
      <c r="O118" s="25"/>
      <c r="P118" s="25"/>
      <c r="Q118" s="25"/>
      <c r="R118" s="26"/>
    </row>
    <row r="119" spans="1:19" ht="14.25" thickBot="1">
      <c r="A119" s="34" t="s">
        <v>4692</v>
      </c>
      <c r="B119" s="28"/>
      <c r="C119" s="82" t="s">
        <v>13353</v>
      </c>
      <c r="D119" s="28"/>
      <c r="E119" s="28"/>
      <c r="F119" s="28" t="s">
        <v>3736</v>
      </c>
      <c r="G119" s="28"/>
      <c r="H119" s="28"/>
      <c r="I119" s="28"/>
      <c r="J119" s="28"/>
      <c r="K119" s="28"/>
      <c r="L119" s="28"/>
      <c r="M119" s="28"/>
      <c r="N119" s="28"/>
      <c r="O119" s="28"/>
      <c r="P119" s="28"/>
      <c r="Q119" s="28"/>
      <c r="R119" s="29"/>
    </row>
  </sheetData>
  <sortState ref="X5:X56">
    <sortCondition ref="X5"/>
  </sortState>
  <phoneticPr fontId="1"/>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Z87"/>
  <sheetViews>
    <sheetView zoomScale="85" zoomScaleNormal="85" workbookViewId="0">
      <pane ySplit="2" topLeftCell="A33" activePane="bottomLeft" state="frozen"/>
      <selection activeCell="E3" sqref="E3"/>
      <selection pane="bottomLeft" activeCell="A47" sqref="A47:XFD47"/>
    </sheetView>
  </sheetViews>
  <sheetFormatPr defaultRowHeight="13.5"/>
  <cols>
    <col min="1" max="16384" width="9" style="1"/>
  </cols>
  <sheetData>
    <row r="1" spans="1:26">
      <c r="T1" s="1">
        <v>1</v>
      </c>
      <c r="U1" s="30">
        <v>2</v>
      </c>
      <c r="V1" s="30">
        <v>3</v>
      </c>
      <c r="W1" s="1">
        <v>4</v>
      </c>
      <c r="X1" s="1">
        <v>5</v>
      </c>
      <c r="Y1" s="1">
        <v>6</v>
      </c>
      <c r="Z1" s="1">
        <v>7</v>
      </c>
    </row>
    <row r="2" spans="1:26" ht="14.25" thickBot="1">
      <c r="B2" s="1" t="s">
        <v>13313</v>
      </c>
      <c r="C2" s="1" t="s">
        <v>13314</v>
      </c>
      <c r="D2" s="1" t="s">
        <v>3152</v>
      </c>
      <c r="E2" s="1" t="s">
        <v>3160</v>
      </c>
      <c r="F2" s="1" t="s">
        <v>3153</v>
      </c>
      <c r="G2" s="1" t="s">
        <v>3154</v>
      </c>
      <c r="H2" s="1" t="s">
        <v>3155</v>
      </c>
      <c r="I2" s="1" t="s">
        <v>3156</v>
      </c>
      <c r="J2" s="1" t="s">
        <v>13315</v>
      </c>
      <c r="P2" s="1" t="s">
        <v>4769</v>
      </c>
      <c r="Q2" s="1" t="s">
        <v>4770</v>
      </c>
      <c r="R2" s="1" t="s">
        <v>3159</v>
      </c>
      <c r="T2" s="1">
        <f t="shared" ref="T2:Y2" si="0">COUNTIF($E:$E,T1)</f>
        <v>5</v>
      </c>
      <c r="U2" s="1">
        <f t="shared" si="0"/>
        <v>13</v>
      </c>
      <c r="V2" s="1">
        <f t="shared" si="0"/>
        <v>27</v>
      </c>
      <c r="W2" s="1">
        <f t="shared" si="0"/>
        <v>19</v>
      </c>
      <c r="X2" s="1">
        <f t="shared" si="0"/>
        <v>10</v>
      </c>
      <c r="Y2" s="1">
        <f t="shared" si="0"/>
        <v>6</v>
      </c>
      <c r="Z2" s="1">
        <f>COUNTIF($E:$E,Z1)+COUNTIF($E:$E,8)+COUNTIF($E:$E,9)</f>
        <v>0</v>
      </c>
    </row>
    <row r="3" spans="1:26">
      <c r="A3" s="21" t="s">
        <v>3248</v>
      </c>
      <c r="B3" s="22" t="s">
        <v>13486</v>
      </c>
      <c r="C3" s="22" t="s">
        <v>674</v>
      </c>
      <c r="D3" s="22" t="s">
        <v>187</v>
      </c>
      <c r="E3" s="22">
        <v>2</v>
      </c>
      <c r="F3" s="22" t="s">
        <v>3086</v>
      </c>
      <c r="G3" s="22" t="s">
        <v>3084</v>
      </c>
      <c r="H3" s="22" t="s">
        <v>3055</v>
      </c>
      <c r="I3" s="22"/>
      <c r="J3" s="22" t="s">
        <v>3788</v>
      </c>
      <c r="K3" s="22" t="s">
        <v>254</v>
      </c>
      <c r="L3" s="22" t="s">
        <v>255</v>
      </c>
      <c r="M3" s="22"/>
      <c r="N3" s="22"/>
      <c r="O3" s="22"/>
      <c r="P3" s="22">
        <v>3</v>
      </c>
      <c r="Q3" s="22">
        <v>2</v>
      </c>
      <c r="R3" s="23" t="s">
        <v>27</v>
      </c>
      <c r="S3" s="1" t="s">
        <v>7</v>
      </c>
    </row>
    <row r="4" spans="1:26">
      <c r="A4" s="24" t="s">
        <v>3249</v>
      </c>
      <c r="B4" s="25" t="s">
        <v>13460</v>
      </c>
      <c r="C4" s="25" t="s">
        <v>696</v>
      </c>
      <c r="D4" s="25" t="s">
        <v>204</v>
      </c>
      <c r="E4" s="25">
        <v>3</v>
      </c>
      <c r="F4" s="25" t="s">
        <v>3083</v>
      </c>
      <c r="G4" s="25" t="s">
        <v>3084</v>
      </c>
      <c r="H4" s="25" t="s">
        <v>3053</v>
      </c>
      <c r="I4" s="25"/>
      <c r="J4" s="25" t="s">
        <v>269</v>
      </c>
      <c r="K4" s="25" t="s">
        <v>270</v>
      </c>
      <c r="L4" s="25"/>
      <c r="M4" s="25"/>
      <c r="N4" s="25" t="s">
        <v>13316</v>
      </c>
      <c r="O4" s="25" t="s">
        <v>3150</v>
      </c>
      <c r="P4" s="25">
        <v>0</v>
      </c>
      <c r="Q4" s="25">
        <v>3</v>
      </c>
      <c r="R4" s="26"/>
    </row>
    <row r="5" spans="1:26">
      <c r="B5" s="25" t="s">
        <v>13459</v>
      </c>
      <c r="C5" s="25" t="s">
        <v>697</v>
      </c>
      <c r="D5" s="25"/>
      <c r="E5" s="25">
        <v>3</v>
      </c>
      <c r="F5" s="25" t="s">
        <v>3083</v>
      </c>
      <c r="G5" s="25" t="s">
        <v>3090</v>
      </c>
      <c r="H5" s="25" t="s">
        <v>3064</v>
      </c>
      <c r="I5" s="25"/>
      <c r="J5" s="25" t="s">
        <v>271</v>
      </c>
      <c r="K5" s="25" t="s">
        <v>272</v>
      </c>
      <c r="L5" s="25"/>
      <c r="M5" s="25"/>
      <c r="N5" s="25" t="s">
        <v>13316</v>
      </c>
      <c r="O5" s="25"/>
      <c r="P5" s="25">
        <v>3</v>
      </c>
      <c r="Q5" s="25">
        <v>5</v>
      </c>
      <c r="R5" s="26" t="s">
        <v>39</v>
      </c>
      <c r="S5" s="1" t="s">
        <v>7</v>
      </c>
    </row>
    <row r="6" spans="1:26">
      <c r="A6" s="24" t="s">
        <v>3250</v>
      </c>
      <c r="B6" s="25" t="s">
        <v>13462</v>
      </c>
      <c r="C6" s="25" t="s">
        <v>734</v>
      </c>
      <c r="D6" s="25" t="s">
        <v>185</v>
      </c>
      <c r="E6" s="25">
        <v>4</v>
      </c>
      <c r="F6" s="25" t="s">
        <v>3083</v>
      </c>
      <c r="G6" s="25" t="s">
        <v>3084</v>
      </c>
      <c r="H6" s="25" t="s">
        <v>3049</v>
      </c>
      <c r="I6" s="25"/>
      <c r="J6" s="25" t="s">
        <v>302</v>
      </c>
      <c r="K6" s="25"/>
      <c r="L6" s="25"/>
      <c r="M6" s="25"/>
      <c r="N6" s="25"/>
      <c r="O6" s="25" t="s">
        <v>3150</v>
      </c>
      <c r="P6" s="25">
        <v>3</v>
      </c>
      <c r="Q6" s="25">
        <v>4</v>
      </c>
      <c r="R6" s="26" t="s">
        <v>39</v>
      </c>
      <c r="S6" s="1" t="s">
        <v>7</v>
      </c>
    </row>
    <row r="7" spans="1:26">
      <c r="A7" s="24" t="s">
        <v>3251</v>
      </c>
      <c r="B7" s="25" t="s">
        <v>13463</v>
      </c>
      <c r="C7" s="25" t="s">
        <v>2106</v>
      </c>
      <c r="D7" s="25" t="s">
        <v>209</v>
      </c>
      <c r="E7" s="25">
        <v>4</v>
      </c>
      <c r="F7" s="25" t="s">
        <v>3083</v>
      </c>
      <c r="G7" s="25" t="s">
        <v>3084</v>
      </c>
      <c r="H7" s="25" t="s">
        <v>3050</v>
      </c>
      <c r="I7" s="25"/>
      <c r="J7" s="25" t="s">
        <v>560</v>
      </c>
      <c r="K7" s="25" t="s">
        <v>561</v>
      </c>
      <c r="L7" s="25"/>
      <c r="M7" s="25"/>
      <c r="N7" s="25"/>
      <c r="O7" s="25"/>
      <c r="P7" s="25">
        <v>2</v>
      </c>
      <c r="Q7" s="25">
        <v>4</v>
      </c>
      <c r="R7" s="26" t="s">
        <v>27</v>
      </c>
      <c r="S7" s="1" t="s">
        <v>9</v>
      </c>
    </row>
    <row r="8" spans="1:26">
      <c r="A8" s="24" t="s">
        <v>3252</v>
      </c>
      <c r="B8" s="25" t="s">
        <v>13461</v>
      </c>
      <c r="C8" s="25" t="s">
        <v>763</v>
      </c>
      <c r="D8" s="25" t="s">
        <v>212</v>
      </c>
      <c r="E8" s="25">
        <v>6</v>
      </c>
      <c r="F8" s="25" t="s">
        <v>3083</v>
      </c>
      <c r="G8" s="25" t="s">
        <v>3084</v>
      </c>
      <c r="H8" s="25" t="s">
        <v>3053</v>
      </c>
      <c r="I8" s="25"/>
      <c r="J8" s="25" t="s">
        <v>3811</v>
      </c>
      <c r="K8" s="25"/>
      <c r="L8" s="25"/>
      <c r="M8" s="25"/>
      <c r="N8" s="25"/>
      <c r="O8" s="25" t="s">
        <v>3150</v>
      </c>
      <c r="P8" s="25">
        <v>1</v>
      </c>
      <c r="Q8" s="25">
        <v>3</v>
      </c>
      <c r="R8" s="26" t="s">
        <v>14</v>
      </c>
      <c r="S8" s="1" t="s">
        <v>7</v>
      </c>
    </row>
    <row r="9" spans="1:26">
      <c r="A9" s="24" t="s">
        <v>3253</v>
      </c>
      <c r="B9" s="25" t="s">
        <v>13464</v>
      </c>
      <c r="C9" s="25" t="s">
        <v>766</v>
      </c>
      <c r="D9" s="25" t="s">
        <v>212</v>
      </c>
      <c r="E9" s="25">
        <v>6</v>
      </c>
      <c r="F9" s="25" t="s">
        <v>3083</v>
      </c>
      <c r="G9" s="25" t="s">
        <v>3084</v>
      </c>
      <c r="H9" s="25" t="s">
        <v>3053</v>
      </c>
      <c r="I9" s="25"/>
      <c r="J9" s="25" t="s">
        <v>327</v>
      </c>
      <c r="K9" s="25"/>
      <c r="L9" s="25"/>
      <c r="M9" s="25"/>
      <c r="N9" s="25"/>
      <c r="O9" s="25" t="s">
        <v>3150</v>
      </c>
      <c r="P9" s="25">
        <v>1</v>
      </c>
      <c r="Q9" s="25">
        <v>1</v>
      </c>
      <c r="R9" s="26" t="s">
        <v>5</v>
      </c>
      <c r="S9" s="1" t="s">
        <v>7</v>
      </c>
    </row>
    <row r="10" spans="1:26">
      <c r="A10" s="24" t="s">
        <v>3254</v>
      </c>
      <c r="B10" s="25" t="s">
        <v>13465</v>
      </c>
      <c r="C10" s="25" t="s">
        <v>5301</v>
      </c>
      <c r="D10" s="25" t="s">
        <v>208</v>
      </c>
      <c r="E10" s="31">
        <v>3</v>
      </c>
      <c r="F10" s="25" t="s">
        <v>3403</v>
      </c>
      <c r="G10" s="25"/>
      <c r="H10" s="25"/>
      <c r="I10" s="25"/>
      <c r="J10" s="25" t="s">
        <v>5014</v>
      </c>
      <c r="K10" s="25" t="s">
        <v>5302</v>
      </c>
      <c r="L10" s="25"/>
      <c r="M10" s="25"/>
      <c r="N10" s="25"/>
      <c r="O10" s="25"/>
      <c r="P10" s="25"/>
      <c r="Q10" s="25"/>
      <c r="R10" s="26" t="s">
        <v>172</v>
      </c>
      <c r="S10" s="1" t="s">
        <v>7</v>
      </c>
    </row>
    <row r="11" spans="1:26">
      <c r="A11" s="24" t="s">
        <v>3255</v>
      </c>
      <c r="B11" s="31" t="s">
        <v>13466</v>
      </c>
      <c r="C11" s="25" t="s">
        <v>5303</v>
      </c>
      <c r="D11" s="25" t="s">
        <v>204</v>
      </c>
      <c r="E11" s="25">
        <v>3</v>
      </c>
      <c r="F11" s="25" t="s">
        <v>3403</v>
      </c>
      <c r="G11" s="25"/>
      <c r="H11" s="25"/>
      <c r="I11" s="25"/>
      <c r="J11" s="25" t="s">
        <v>5304</v>
      </c>
      <c r="K11" s="25"/>
      <c r="L11" s="25"/>
      <c r="M11" s="25"/>
      <c r="N11" s="25"/>
      <c r="O11" s="25"/>
      <c r="P11" s="25"/>
      <c r="Q11" s="25"/>
      <c r="R11" s="26" t="s">
        <v>45</v>
      </c>
      <c r="S11" s="1" t="s">
        <v>7</v>
      </c>
    </row>
    <row r="12" spans="1:26">
      <c r="A12" s="24" t="s">
        <v>3256</v>
      </c>
      <c r="B12" s="31" t="s">
        <v>13487</v>
      </c>
      <c r="C12" s="25" t="s">
        <v>5451</v>
      </c>
      <c r="D12" s="25" t="s">
        <v>13354</v>
      </c>
      <c r="E12" s="25">
        <v>4</v>
      </c>
      <c r="F12" s="25" t="s">
        <v>3399</v>
      </c>
      <c r="G12" s="25"/>
      <c r="H12" s="25"/>
      <c r="I12" s="25"/>
      <c r="J12" s="25" t="s">
        <v>5452</v>
      </c>
      <c r="K12" s="25"/>
      <c r="L12" s="25"/>
      <c r="M12" s="25"/>
      <c r="N12" s="25"/>
      <c r="O12" s="25"/>
      <c r="P12" s="25"/>
      <c r="Q12" s="25"/>
      <c r="R12" s="26" t="s">
        <v>607</v>
      </c>
      <c r="S12" s="1" t="s">
        <v>7</v>
      </c>
    </row>
    <row r="13" spans="1:26">
      <c r="A13" s="24" t="s">
        <v>3257</v>
      </c>
      <c r="B13" s="31" t="s">
        <v>13488</v>
      </c>
      <c r="C13" s="25" t="s">
        <v>5405</v>
      </c>
      <c r="D13" s="25" t="s">
        <v>186</v>
      </c>
      <c r="E13" s="25">
        <v>1</v>
      </c>
      <c r="F13" s="25" t="s">
        <v>3399</v>
      </c>
      <c r="G13" s="25"/>
      <c r="H13" s="25"/>
      <c r="I13" s="25"/>
      <c r="J13" s="25" t="s">
        <v>5406</v>
      </c>
      <c r="K13" s="25"/>
      <c r="L13" s="25"/>
      <c r="M13" s="25"/>
      <c r="N13" s="25"/>
      <c r="O13" s="25"/>
      <c r="P13" s="25"/>
      <c r="Q13" s="25"/>
      <c r="R13" s="26" t="s">
        <v>605</v>
      </c>
      <c r="S13" s="1" t="s">
        <v>7</v>
      </c>
    </row>
    <row r="14" spans="1:26">
      <c r="A14" s="24" t="s">
        <v>3258</v>
      </c>
      <c r="B14" s="25" t="s">
        <v>13355</v>
      </c>
      <c r="C14" s="25" t="s">
        <v>5569</v>
      </c>
      <c r="D14" s="25" t="s">
        <v>204</v>
      </c>
      <c r="E14" s="25">
        <v>3</v>
      </c>
      <c r="F14" s="25" t="s">
        <v>3434</v>
      </c>
      <c r="G14" s="25"/>
      <c r="H14" s="25"/>
      <c r="I14" s="25"/>
      <c r="J14" s="25" t="s">
        <v>5570</v>
      </c>
      <c r="K14" s="25"/>
      <c r="L14" s="25"/>
      <c r="M14" s="25"/>
      <c r="N14" s="25"/>
      <c r="O14" s="25"/>
      <c r="P14" s="25"/>
      <c r="Q14" s="25"/>
      <c r="R14" s="26" t="s">
        <v>27</v>
      </c>
      <c r="S14" s="1" t="s">
        <v>7</v>
      </c>
    </row>
    <row r="15" spans="1:26" ht="14.25" thickBot="1">
      <c r="A15" s="24" t="s">
        <v>4771</v>
      </c>
      <c r="B15" s="28" t="s">
        <v>13356</v>
      </c>
      <c r="C15" s="28" t="s">
        <v>3436</v>
      </c>
      <c r="D15" s="28" t="s">
        <v>204</v>
      </c>
      <c r="E15" s="28">
        <v>3</v>
      </c>
      <c r="F15" s="28" t="s">
        <v>3434</v>
      </c>
      <c r="G15" s="28" t="s">
        <v>3402</v>
      </c>
      <c r="H15" s="28"/>
      <c r="I15" s="28"/>
      <c r="J15" s="28" t="s">
        <v>3401</v>
      </c>
      <c r="K15" s="28" t="s">
        <v>3437</v>
      </c>
      <c r="L15" s="28" t="s">
        <v>3438</v>
      </c>
      <c r="M15" s="28"/>
      <c r="N15" s="28"/>
      <c r="O15" s="28"/>
      <c r="P15" s="28"/>
      <c r="Q15" s="28"/>
      <c r="R15" s="29" t="s">
        <v>46</v>
      </c>
      <c r="S15" s="1" t="s">
        <v>7</v>
      </c>
    </row>
    <row r="16" spans="1:26">
      <c r="A16" s="21" t="s">
        <v>3259</v>
      </c>
      <c r="B16" s="22" t="s">
        <v>13469</v>
      </c>
      <c r="C16" s="22" t="s">
        <v>2285</v>
      </c>
      <c r="D16" s="22" t="s">
        <v>846</v>
      </c>
      <c r="E16" s="22">
        <v>2</v>
      </c>
      <c r="F16" s="22" t="s">
        <v>3083</v>
      </c>
      <c r="G16" s="22" t="s">
        <v>3084</v>
      </c>
      <c r="H16" s="22" t="s">
        <v>3064</v>
      </c>
      <c r="I16" s="22"/>
      <c r="J16" s="22" t="s">
        <v>963</v>
      </c>
      <c r="K16" s="22" t="s">
        <v>964</v>
      </c>
      <c r="L16" s="22" t="s">
        <v>965</v>
      </c>
      <c r="M16" s="22"/>
      <c r="N16" s="22"/>
      <c r="O16" s="22"/>
      <c r="P16" s="22">
        <v>1</v>
      </c>
      <c r="Q16" s="22">
        <v>1</v>
      </c>
      <c r="R16" s="23" t="s">
        <v>39</v>
      </c>
      <c r="S16" s="1" t="s">
        <v>9</v>
      </c>
    </row>
    <row r="17" spans="1:19">
      <c r="A17" s="24" t="s">
        <v>3260</v>
      </c>
      <c r="B17" s="25" t="s">
        <v>13470</v>
      </c>
      <c r="C17" s="25" t="s">
        <v>2299</v>
      </c>
      <c r="D17" s="25" t="s">
        <v>847</v>
      </c>
      <c r="E17" s="25">
        <v>3</v>
      </c>
      <c r="F17" s="25" t="s">
        <v>3083</v>
      </c>
      <c r="G17" s="25" t="s">
        <v>3084</v>
      </c>
      <c r="H17" s="25" t="s">
        <v>3051</v>
      </c>
      <c r="I17" s="25"/>
      <c r="J17" s="25" t="s">
        <v>977</v>
      </c>
      <c r="K17" s="25" t="s">
        <v>1025</v>
      </c>
      <c r="L17" s="25"/>
      <c r="M17" s="25"/>
      <c r="N17" s="25"/>
      <c r="O17" s="25" t="s">
        <v>3150</v>
      </c>
      <c r="P17" s="25">
        <v>2</v>
      </c>
      <c r="Q17" s="25">
        <v>3</v>
      </c>
      <c r="R17" s="26" t="s">
        <v>52</v>
      </c>
      <c r="S17" s="1" t="s">
        <v>9</v>
      </c>
    </row>
    <row r="18" spans="1:19">
      <c r="A18" s="24" t="s">
        <v>3261</v>
      </c>
      <c r="B18" s="25" t="s">
        <v>13459</v>
      </c>
      <c r="C18" s="25" t="s">
        <v>2275</v>
      </c>
      <c r="D18" s="25" t="s">
        <v>849</v>
      </c>
      <c r="E18" s="25">
        <v>4</v>
      </c>
      <c r="F18" s="25" t="s">
        <v>3083</v>
      </c>
      <c r="G18" s="25" t="s">
        <v>3084</v>
      </c>
      <c r="H18" s="25" t="s">
        <v>3074</v>
      </c>
      <c r="I18" s="25"/>
      <c r="J18" s="25" t="s">
        <v>1</v>
      </c>
      <c r="K18" s="25" t="s">
        <v>932</v>
      </c>
      <c r="L18" s="25"/>
      <c r="M18" s="25"/>
      <c r="N18" s="25" t="s">
        <v>13316</v>
      </c>
      <c r="O18" s="25"/>
      <c r="P18" s="25">
        <v>3</v>
      </c>
      <c r="Q18" s="25">
        <v>2</v>
      </c>
      <c r="R18" s="26"/>
    </row>
    <row r="19" spans="1:19">
      <c r="B19" s="31" t="s">
        <v>13459</v>
      </c>
      <c r="C19" s="25" t="s">
        <v>2276</v>
      </c>
      <c r="D19" s="25" t="s">
        <v>3396</v>
      </c>
      <c r="E19" s="25">
        <v>4</v>
      </c>
      <c r="F19" s="25" t="s">
        <v>3083</v>
      </c>
      <c r="G19" s="25" t="s">
        <v>3074</v>
      </c>
      <c r="H19" s="25" t="s">
        <v>3064</v>
      </c>
      <c r="I19" s="25"/>
      <c r="J19" s="25" t="s">
        <v>1</v>
      </c>
      <c r="K19" s="25"/>
      <c r="L19" s="25"/>
      <c r="M19" s="25"/>
      <c r="N19" s="25" t="s">
        <v>13316</v>
      </c>
      <c r="O19" s="25"/>
      <c r="P19" s="25">
        <v>5</v>
      </c>
      <c r="Q19" s="25">
        <v>4</v>
      </c>
      <c r="R19" s="26" t="s">
        <v>46</v>
      </c>
      <c r="S19" s="1" t="s">
        <v>7</v>
      </c>
    </row>
    <row r="20" spans="1:19">
      <c r="A20" s="24" t="s">
        <v>3262</v>
      </c>
      <c r="B20" s="25" t="s">
        <v>3498</v>
      </c>
      <c r="C20" s="25" t="s">
        <v>2316</v>
      </c>
      <c r="D20" s="25" t="s">
        <v>849</v>
      </c>
      <c r="E20" s="25">
        <v>4</v>
      </c>
      <c r="F20" s="25" t="s">
        <v>3085</v>
      </c>
      <c r="G20" s="25" t="s">
        <v>3084</v>
      </c>
      <c r="H20" s="25" t="s">
        <v>3063</v>
      </c>
      <c r="I20" s="25"/>
      <c r="J20" s="25" t="s">
        <v>1017</v>
      </c>
      <c r="K20" s="25"/>
      <c r="L20" s="25"/>
      <c r="M20" s="25"/>
      <c r="N20" s="25"/>
      <c r="O20" s="25"/>
      <c r="P20" s="25">
        <v>1</v>
      </c>
      <c r="Q20" s="25">
        <v>2</v>
      </c>
      <c r="R20" s="26" t="s">
        <v>18</v>
      </c>
      <c r="S20" s="1" t="s">
        <v>9</v>
      </c>
    </row>
    <row r="21" spans="1:19">
      <c r="A21" s="24" t="s">
        <v>3263</v>
      </c>
      <c r="B21" s="25" t="s">
        <v>13471</v>
      </c>
      <c r="C21" s="25" t="s">
        <v>2279</v>
      </c>
      <c r="D21" s="25" t="s">
        <v>852</v>
      </c>
      <c r="E21" s="25">
        <v>5</v>
      </c>
      <c r="F21" s="25" t="s">
        <v>3083</v>
      </c>
      <c r="G21" s="25" t="s">
        <v>3084</v>
      </c>
      <c r="H21" s="25" t="s">
        <v>3063</v>
      </c>
      <c r="I21" s="25"/>
      <c r="J21" s="25" t="s">
        <v>1</v>
      </c>
      <c r="K21" s="25" t="s">
        <v>935</v>
      </c>
      <c r="L21" s="25"/>
      <c r="M21" s="25"/>
      <c r="N21" s="25"/>
      <c r="O21" s="25" t="s">
        <v>3150</v>
      </c>
      <c r="P21" s="25">
        <v>0</v>
      </c>
      <c r="Q21" s="25">
        <v>3</v>
      </c>
      <c r="R21" s="26" t="s">
        <v>26</v>
      </c>
      <c r="S21" s="1" t="s">
        <v>7</v>
      </c>
    </row>
    <row r="22" spans="1:19">
      <c r="A22" s="24" t="s">
        <v>3264</v>
      </c>
      <c r="B22" s="25" t="s">
        <v>4776</v>
      </c>
      <c r="C22" s="25" t="s">
        <v>3444</v>
      </c>
      <c r="D22" s="25" t="s">
        <v>847</v>
      </c>
      <c r="E22" s="31">
        <v>3</v>
      </c>
      <c r="F22" s="25" t="s">
        <v>3445</v>
      </c>
      <c r="G22" s="25" t="s">
        <v>3071</v>
      </c>
      <c r="H22" s="25"/>
      <c r="I22" s="25"/>
      <c r="J22" s="25" t="s">
        <v>3123</v>
      </c>
      <c r="K22" s="25" t="s">
        <v>3124</v>
      </c>
      <c r="L22" s="25"/>
      <c r="M22" s="25"/>
      <c r="N22" s="25"/>
      <c r="O22" s="25"/>
      <c r="P22" s="25"/>
      <c r="Q22" s="25"/>
      <c r="R22" s="26" t="s">
        <v>3119</v>
      </c>
      <c r="S22" s="1" t="s">
        <v>7</v>
      </c>
    </row>
    <row r="23" spans="1:19">
      <c r="A23" s="24" t="s">
        <v>3265</v>
      </c>
      <c r="B23" s="31" t="s">
        <v>13472</v>
      </c>
      <c r="C23" s="25" t="s">
        <v>7993</v>
      </c>
      <c r="D23" s="25" t="s">
        <v>13357</v>
      </c>
      <c r="E23" s="25">
        <v>1</v>
      </c>
      <c r="F23" s="25" t="s">
        <v>3403</v>
      </c>
      <c r="G23" s="25"/>
      <c r="H23" s="25"/>
      <c r="I23" s="25"/>
      <c r="J23" s="25" t="s">
        <v>7994</v>
      </c>
      <c r="K23" s="25"/>
      <c r="L23" s="25"/>
      <c r="M23" s="25"/>
      <c r="N23" s="25"/>
      <c r="O23" s="25"/>
      <c r="P23" s="25"/>
      <c r="Q23" s="25"/>
      <c r="R23" s="26" t="s">
        <v>5</v>
      </c>
    </row>
    <row r="24" spans="1:19">
      <c r="A24" s="24" t="s">
        <v>3266</v>
      </c>
      <c r="B24" s="31" t="s">
        <v>13473</v>
      </c>
      <c r="C24" s="25" t="s">
        <v>8073</v>
      </c>
      <c r="D24" s="25" t="s">
        <v>1008</v>
      </c>
      <c r="E24" s="25">
        <v>2</v>
      </c>
      <c r="F24" s="25" t="s">
        <v>3403</v>
      </c>
      <c r="G24" s="25"/>
      <c r="H24" s="25"/>
      <c r="I24" s="25"/>
      <c r="J24" s="25" t="s">
        <v>8074</v>
      </c>
      <c r="K24" s="25" t="s">
        <v>3765</v>
      </c>
      <c r="L24" s="25"/>
      <c r="M24" s="25"/>
      <c r="N24" s="25"/>
      <c r="O24" s="25"/>
      <c r="P24" s="25"/>
      <c r="Q24" s="25"/>
      <c r="R24" s="26" t="s">
        <v>5281</v>
      </c>
    </row>
    <row r="25" spans="1:19">
      <c r="A25" s="24" t="s">
        <v>3267</v>
      </c>
      <c r="B25" s="31" t="s">
        <v>13474</v>
      </c>
      <c r="C25" s="25" t="s">
        <v>7763</v>
      </c>
      <c r="D25" s="25" t="s">
        <v>850</v>
      </c>
      <c r="E25" s="25">
        <v>4</v>
      </c>
      <c r="F25" s="25" t="s">
        <v>3399</v>
      </c>
      <c r="G25" s="25"/>
      <c r="H25" s="25"/>
      <c r="I25" s="25"/>
      <c r="J25" s="25" t="s">
        <v>7764</v>
      </c>
      <c r="K25" s="25"/>
      <c r="L25" s="25"/>
      <c r="M25" s="25"/>
      <c r="N25" s="25"/>
      <c r="O25" s="25"/>
      <c r="P25" s="25"/>
      <c r="Q25" s="25"/>
      <c r="R25" s="26"/>
    </row>
    <row r="26" spans="1:19">
      <c r="A26" s="24" t="s">
        <v>3268</v>
      </c>
      <c r="B26" s="25" t="s">
        <v>13358</v>
      </c>
      <c r="C26" s="25" t="s">
        <v>3431</v>
      </c>
      <c r="D26" s="25" t="s">
        <v>847</v>
      </c>
      <c r="E26" s="25">
        <v>3</v>
      </c>
      <c r="F26" s="25" t="s">
        <v>3399</v>
      </c>
      <c r="G26" s="25"/>
      <c r="H26" s="25"/>
      <c r="I26" s="25"/>
      <c r="J26" s="25" t="s">
        <v>3432</v>
      </c>
      <c r="K26" s="25"/>
      <c r="L26" s="25"/>
      <c r="M26" s="25"/>
      <c r="N26" s="25"/>
      <c r="O26" s="25"/>
      <c r="P26" s="25"/>
      <c r="Q26" s="25"/>
      <c r="R26" s="26" t="s">
        <v>52</v>
      </c>
      <c r="S26" s="1" t="s">
        <v>7</v>
      </c>
    </row>
    <row r="27" spans="1:19">
      <c r="A27" s="24" t="s">
        <v>3269</v>
      </c>
      <c r="B27" s="25" t="s">
        <v>4101</v>
      </c>
      <c r="C27" s="25" t="s">
        <v>7951</v>
      </c>
      <c r="D27" s="25" t="s">
        <v>852</v>
      </c>
      <c r="E27" s="25">
        <v>5</v>
      </c>
      <c r="F27" s="25" t="s">
        <v>3434</v>
      </c>
      <c r="G27" s="25" t="s">
        <v>13329</v>
      </c>
      <c r="H27" s="25"/>
      <c r="I27" s="25"/>
      <c r="J27" s="25" t="s">
        <v>13359</v>
      </c>
      <c r="K27" s="25"/>
      <c r="L27" s="25"/>
      <c r="M27" s="25"/>
      <c r="N27" s="25"/>
      <c r="O27" s="25"/>
      <c r="P27" s="25"/>
      <c r="Q27" s="25"/>
      <c r="R27" s="26" t="s">
        <v>13360</v>
      </c>
    </row>
    <row r="28" spans="1:19" ht="14.25" thickBot="1">
      <c r="A28" s="24" t="s">
        <v>4772</v>
      </c>
      <c r="B28" s="28" t="s">
        <v>8730</v>
      </c>
      <c r="C28" s="28" t="s">
        <v>5188</v>
      </c>
      <c r="D28" s="28" t="s">
        <v>848</v>
      </c>
      <c r="E28" s="28">
        <v>3</v>
      </c>
      <c r="F28" s="28" t="s">
        <v>3434</v>
      </c>
      <c r="G28" s="28"/>
      <c r="H28" s="28"/>
      <c r="I28" s="28"/>
      <c r="J28" s="28" t="s">
        <v>7883</v>
      </c>
      <c r="K28" s="28" t="s">
        <v>7884</v>
      </c>
      <c r="L28" s="28"/>
      <c r="M28" s="28"/>
      <c r="N28" s="28"/>
      <c r="O28" s="28"/>
      <c r="P28" s="28"/>
      <c r="Q28" s="28"/>
      <c r="R28" s="29" t="s">
        <v>13361</v>
      </c>
    </row>
    <row r="29" spans="1:19">
      <c r="A29" s="21" t="s">
        <v>3270</v>
      </c>
      <c r="B29" s="22" t="s">
        <v>13475</v>
      </c>
      <c r="C29" s="22" t="s">
        <v>2423</v>
      </c>
      <c r="D29" s="22" t="s">
        <v>1100</v>
      </c>
      <c r="E29" s="22">
        <v>2</v>
      </c>
      <c r="F29" s="22" t="s">
        <v>3083</v>
      </c>
      <c r="G29" s="22" t="s">
        <v>3084</v>
      </c>
      <c r="H29" s="22" t="s">
        <v>3053</v>
      </c>
      <c r="I29" s="22"/>
      <c r="J29" s="22" t="s">
        <v>1183</v>
      </c>
      <c r="K29" s="22"/>
      <c r="L29" s="22"/>
      <c r="M29" s="22"/>
      <c r="N29" s="22"/>
      <c r="O29" s="22"/>
      <c r="P29" s="22">
        <v>1</v>
      </c>
      <c r="Q29" s="22">
        <v>1</v>
      </c>
      <c r="R29" s="23" t="s">
        <v>44</v>
      </c>
      <c r="S29" s="1" t="s">
        <v>7</v>
      </c>
    </row>
    <row r="30" spans="1:19">
      <c r="A30" s="24" t="s">
        <v>3271</v>
      </c>
      <c r="B30" s="25" t="s">
        <v>13470</v>
      </c>
      <c r="C30" s="25" t="s">
        <v>2444</v>
      </c>
      <c r="D30" s="25" t="s">
        <v>1101</v>
      </c>
      <c r="E30" s="25">
        <v>3</v>
      </c>
      <c r="F30" s="25" t="s">
        <v>3083</v>
      </c>
      <c r="G30" s="25" t="s">
        <v>3084</v>
      </c>
      <c r="H30" s="25"/>
      <c r="I30" s="25"/>
      <c r="J30" s="25" t="s">
        <v>1158</v>
      </c>
      <c r="K30" s="25"/>
      <c r="L30" s="25"/>
      <c r="M30" s="25"/>
      <c r="N30" s="25"/>
      <c r="O30" s="25"/>
      <c r="P30" s="25">
        <v>2</v>
      </c>
      <c r="Q30" s="25">
        <v>2</v>
      </c>
      <c r="R30" s="26" t="s">
        <v>45</v>
      </c>
      <c r="S30" s="1" t="s">
        <v>7</v>
      </c>
    </row>
    <row r="31" spans="1:19">
      <c r="A31" s="24" t="s">
        <v>3272</v>
      </c>
      <c r="B31" s="25" t="s">
        <v>13461</v>
      </c>
      <c r="C31" s="25" t="s">
        <v>2445</v>
      </c>
      <c r="D31" s="25" t="s">
        <v>1101</v>
      </c>
      <c r="E31" s="25">
        <v>3</v>
      </c>
      <c r="F31" s="25" t="s">
        <v>3083</v>
      </c>
      <c r="G31" s="25" t="s">
        <v>3084</v>
      </c>
      <c r="H31" s="25" t="s">
        <v>3071</v>
      </c>
      <c r="I31" s="25"/>
      <c r="J31" s="25" t="s">
        <v>1159</v>
      </c>
      <c r="K31" s="25" t="s">
        <v>1160</v>
      </c>
      <c r="L31" s="25"/>
      <c r="M31" s="25"/>
      <c r="N31" s="25"/>
      <c r="O31" s="25" t="s">
        <v>3150</v>
      </c>
      <c r="P31" s="25">
        <v>3</v>
      </c>
      <c r="Q31" s="25">
        <v>2</v>
      </c>
      <c r="R31" s="26" t="s">
        <v>46</v>
      </c>
      <c r="S31" s="1" t="s">
        <v>7</v>
      </c>
    </row>
    <row r="32" spans="1:19">
      <c r="A32" s="24" t="s">
        <v>3273</v>
      </c>
      <c r="B32" s="25" t="s">
        <v>13476</v>
      </c>
      <c r="C32" s="25" t="s">
        <v>2451</v>
      </c>
      <c r="D32" s="25" t="s">
        <v>1103</v>
      </c>
      <c r="E32" s="25">
        <v>4</v>
      </c>
      <c r="F32" s="25" t="s">
        <v>3083</v>
      </c>
      <c r="G32" s="25" t="s">
        <v>3084</v>
      </c>
      <c r="H32" s="25" t="s">
        <v>3076</v>
      </c>
      <c r="I32" s="25"/>
      <c r="J32" s="25" t="s">
        <v>0</v>
      </c>
      <c r="K32" s="25" t="s">
        <v>1164</v>
      </c>
      <c r="L32" s="25"/>
      <c r="M32" s="25"/>
      <c r="N32" s="25"/>
      <c r="O32" s="25" t="s">
        <v>3150</v>
      </c>
      <c r="P32" s="25">
        <v>2</v>
      </c>
      <c r="Q32" s="25">
        <v>1</v>
      </c>
      <c r="R32" s="26" t="s">
        <v>169</v>
      </c>
      <c r="S32" s="1" t="s">
        <v>7</v>
      </c>
    </row>
    <row r="33" spans="1:19">
      <c r="A33" s="24" t="s">
        <v>3274</v>
      </c>
      <c r="B33" s="25" t="s">
        <v>13459</v>
      </c>
      <c r="C33" s="25" t="s">
        <v>2453</v>
      </c>
      <c r="D33" s="25" t="s">
        <v>1104</v>
      </c>
      <c r="E33" s="25">
        <v>4</v>
      </c>
      <c r="F33" s="25" t="s">
        <v>3083</v>
      </c>
      <c r="G33" s="25" t="s">
        <v>3084</v>
      </c>
      <c r="H33" s="25" t="s">
        <v>3075</v>
      </c>
      <c r="I33" s="25"/>
      <c r="J33" s="25" t="s">
        <v>1166</v>
      </c>
      <c r="K33" s="25" t="s">
        <v>1167</v>
      </c>
      <c r="L33" s="25"/>
      <c r="M33" s="25"/>
      <c r="N33" s="25" t="s">
        <v>13316</v>
      </c>
      <c r="O33" s="25"/>
      <c r="P33" s="25">
        <v>4</v>
      </c>
      <c r="Q33" s="25">
        <v>2</v>
      </c>
      <c r="R33" s="26"/>
    </row>
    <row r="34" spans="1:19">
      <c r="B34" s="25" t="s">
        <v>13459</v>
      </c>
      <c r="C34" s="25" t="s">
        <v>2454</v>
      </c>
      <c r="D34" s="25" t="s">
        <v>3091</v>
      </c>
      <c r="E34" s="25">
        <v>4</v>
      </c>
      <c r="F34" s="25" t="s">
        <v>3434</v>
      </c>
      <c r="G34" s="25" t="s">
        <v>3402</v>
      </c>
      <c r="H34" s="25" t="s">
        <v>3101</v>
      </c>
      <c r="I34" s="25"/>
      <c r="J34" s="25" t="s">
        <v>1168</v>
      </c>
      <c r="K34" s="25" t="s">
        <v>1169</v>
      </c>
      <c r="L34" s="25" t="s">
        <v>1170</v>
      </c>
      <c r="M34" s="25"/>
      <c r="N34" s="25" t="s">
        <v>13316</v>
      </c>
      <c r="O34" s="25"/>
      <c r="P34" s="25"/>
      <c r="Q34" s="25"/>
      <c r="R34" s="26" t="s">
        <v>46</v>
      </c>
      <c r="S34" s="1" t="s">
        <v>7</v>
      </c>
    </row>
    <row r="35" spans="1:19">
      <c r="A35" s="24" t="s">
        <v>3275</v>
      </c>
      <c r="B35" s="25" t="s">
        <v>13461</v>
      </c>
      <c r="C35" s="25" t="s">
        <v>2488</v>
      </c>
      <c r="D35" s="25" t="s">
        <v>1104</v>
      </c>
      <c r="E35" s="25">
        <v>4</v>
      </c>
      <c r="F35" s="25" t="s">
        <v>3083</v>
      </c>
      <c r="G35" s="25" t="s">
        <v>3084</v>
      </c>
      <c r="H35" s="25" t="s">
        <v>3051</v>
      </c>
      <c r="I35" s="25"/>
      <c r="J35" s="25" t="s">
        <v>1226</v>
      </c>
      <c r="K35" s="25"/>
      <c r="L35" s="25"/>
      <c r="M35" s="25"/>
      <c r="N35" s="25"/>
      <c r="O35" s="25" t="s">
        <v>3150</v>
      </c>
      <c r="P35" s="25">
        <v>2</v>
      </c>
      <c r="Q35" s="25">
        <v>1</v>
      </c>
      <c r="R35" s="26" t="s">
        <v>181</v>
      </c>
      <c r="S35" s="1" t="s">
        <v>9</v>
      </c>
    </row>
    <row r="36" spans="1:19">
      <c r="A36" s="24" t="s">
        <v>3276</v>
      </c>
      <c r="B36" s="25" t="s">
        <v>13362</v>
      </c>
      <c r="C36" s="25" t="s">
        <v>3429</v>
      </c>
      <c r="D36" s="25" t="s">
        <v>1099</v>
      </c>
      <c r="E36" s="31">
        <v>1</v>
      </c>
      <c r="F36" s="25" t="s">
        <v>3403</v>
      </c>
      <c r="G36" s="25"/>
      <c r="H36" s="25"/>
      <c r="I36" s="25"/>
      <c r="J36" s="25" t="s">
        <v>3430</v>
      </c>
      <c r="K36" s="25"/>
      <c r="L36" s="25"/>
      <c r="M36" s="25"/>
      <c r="N36" s="25"/>
      <c r="O36" s="25"/>
      <c r="P36" s="25"/>
      <c r="Q36" s="25"/>
      <c r="R36" s="26" t="s">
        <v>52</v>
      </c>
      <c r="S36" s="1" t="s">
        <v>7</v>
      </c>
    </row>
    <row r="37" spans="1:19">
      <c r="A37" s="24" t="s">
        <v>3277</v>
      </c>
      <c r="B37" s="31" t="s">
        <v>13477</v>
      </c>
      <c r="C37" s="25" t="s">
        <v>9432</v>
      </c>
      <c r="D37" s="25" t="s">
        <v>13363</v>
      </c>
      <c r="E37" s="25">
        <v>4</v>
      </c>
      <c r="F37" s="25" t="s">
        <v>3403</v>
      </c>
      <c r="G37" s="25"/>
      <c r="H37" s="25"/>
      <c r="I37" s="25"/>
      <c r="J37" s="25" t="s">
        <v>9433</v>
      </c>
      <c r="K37" s="25"/>
      <c r="L37" s="25"/>
      <c r="M37" s="25"/>
      <c r="N37" s="25"/>
      <c r="O37" s="25"/>
      <c r="P37" s="25"/>
      <c r="Q37" s="25"/>
      <c r="R37" s="26" t="s">
        <v>14</v>
      </c>
    </row>
    <row r="38" spans="1:19">
      <c r="A38" s="24" t="s">
        <v>3278</v>
      </c>
      <c r="B38" s="31" t="s">
        <v>13478</v>
      </c>
      <c r="C38" s="25" t="s">
        <v>9802</v>
      </c>
      <c r="D38" s="25" t="s">
        <v>13364</v>
      </c>
      <c r="E38" s="25">
        <v>5</v>
      </c>
      <c r="F38" s="25" t="s">
        <v>3399</v>
      </c>
      <c r="G38" s="25"/>
      <c r="H38" s="25"/>
      <c r="I38" s="25"/>
      <c r="J38" s="25" t="s">
        <v>9803</v>
      </c>
      <c r="K38" s="25"/>
      <c r="L38" s="25"/>
      <c r="M38" s="25"/>
      <c r="N38" s="25"/>
      <c r="O38" s="25"/>
      <c r="P38" s="25"/>
      <c r="Q38" s="25"/>
      <c r="R38" s="26"/>
    </row>
    <row r="39" spans="1:19">
      <c r="A39" s="24" t="s">
        <v>3279</v>
      </c>
      <c r="B39" s="31" t="s">
        <v>13474</v>
      </c>
      <c r="C39" s="25" t="s">
        <v>9705</v>
      </c>
      <c r="D39" s="25" t="s">
        <v>13365</v>
      </c>
      <c r="E39" s="25">
        <v>3</v>
      </c>
      <c r="F39" s="25" t="s">
        <v>3399</v>
      </c>
      <c r="G39" s="25"/>
      <c r="H39" s="25"/>
      <c r="I39" s="25"/>
      <c r="J39" s="25" t="s">
        <v>3916</v>
      </c>
      <c r="K39" s="25" t="s">
        <v>9706</v>
      </c>
      <c r="L39" s="25"/>
      <c r="M39" s="25"/>
      <c r="N39" s="25"/>
      <c r="O39" s="25"/>
      <c r="P39" s="25"/>
      <c r="Q39" s="25"/>
      <c r="R39" s="26"/>
    </row>
    <row r="40" spans="1:19">
      <c r="A40" s="24" t="s">
        <v>3280</v>
      </c>
      <c r="B40" s="25" t="s">
        <v>4777</v>
      </c>
      <c r="C40" s="25" t="s">
        <v>3446</v>
      </c>
      <c r="D40" s="25" t="s">
        <v>1103</v>
      </c>
      <c r="E40" s="25">
        <v>4</v>
      </c>
      <c r="F40" s="25" t="s">
        <v>3447</v>
      </c>
      <c r="G40" s="25" t="s">
        <v>3071</v>
      </c>
      <c r="H40" s="25"/>
      <c r="I40" s="25"/>
      <c r="J40" s="25" t="s">
        <v>3132</v>
      </c>
      <c r="K40" s="25" t="s">
        <v>3133</v>
      </c>
      <c r="L40" s="25"/>
      <c r="M40" s="25"/>
      <c r="N40" s="25"/>
      <c r="O40" s="25"/>
      <c r="P40" s="25"/>
      <c r="Q40" s="25"/>
      <c r="R40" s="26" t="s">
        <v>3119</v>
      </c>
      <c r="S40" s="1" t="s">
        <v>7</v>
      </c>
    </row>
    <row r="41" spans="1:19" ht="14.25" thickBot="1">
      <c r="A41" s="24" t="s">
        <v>4773</v>
      </c>
      <c r="B41" s="28" t="s">
        <v>13479</v>
      </c>
      <c r="C41" s="28" t="s">
        <v>9574</v>
      </c>
      <c r="D41" s="28" t="s">
        <v>13366</v>
      </c>
      <c r="E41" s="28">
        <v>3</v>
      </c>
      <c r="F41" s="28" t="s">
        <v>3434</v>
      </c>
      <c r="G41" s="28" t="s">
        <v>3402</v>
      </c>
      <c r="H41" s="28"/>
      <c r="I41" s="28"/>
      <c r="J41" s="28" t="s">
        <v>3401</v>
      </c>
      <c r="K41" s="28" t="s">
        <v>9228</v>
      </c>
      <c r="L41" s="28" t="s">
        <v>9330</v>
      </c>
      <c r="M41" s="28"/>
      <c r="N41" s="28"/>
      <c r="O41" s="28"/>
      <c r="P41" s="28"/>
      <c r="Q41" s="28"/>
      <c r="R41" s="29" t="s">
        <v>172</v>
      </c>
    </row>
    <row r="42" spans="1:19">
      <c r="A42" s="21" t="s">
        <v>3281</v>
      </c>
      <c r="B42" s="22" t="s">
        <v>13459</v>
      </c>
      <c r="C42" s="22" t="s">
        <v>2600</v>
      </c>
      <c r="D42" s="22" t="s">
        <v>1372</v>
      </c>
      <c r="E42" s="22">
        <v>2</v>
      </c>
      <c r="F42" s="22" t="s">
        <v>3083</v>
      </c>
      <c r="G42" s="22" t="s">
        <v>3084</v>
      </c>
      <c r="H42" s="22" t="s">
        <v>3075</v>
      </c>
      <c r="I42" s="22" t="s">
        <v>3079</v>
      </c>
      <c r="J42" s="22" t="s">
        <v>1395</v>
      </c>
      <c r="K42" s="22" t="s">
        <v>3945</v>
      </c>
      <c r="L42" s="22"/>
      <c r="M42" s="22"/>
      <c r="N42" s="22" t="s">
        <v>13316</v>
      </c>
      <c r="O42" s="22"/>
      <c r="P42" s="22">
        <v>2</v>
      </c>
      <c r="Q42" s="22">
        <v>1</v>
      </c>
      <c r="R42" s="23"/>
    </row>
    <row r="43" spans="1:19">
      <c r="B43" s="31" t="s">
        <v>13459</v>
      </c>
      <c r="C43" s="25" t="s">
        <v>2601</v>
      </c>
      <c r="D43" s="25" t="s">
        <v>3096</v>
      </c>
      <c r="E43" s="25">
        <v>2</v>
      </c>
      <c r="F43" s="25" t="s">
        <v>3083</v>
      </c>
      <c r="G43" s="25" t="s">
        <v>3079</v>
      </c>
      <c r="H43" s="25"/>
      <c r="I43" s="25"/>
      <c r="J43" s="25" t="s">
        <v>1396</v>
      </c>
      <c r="K43" s="25" t="s">
        <v>3931</v>
      </c>
      <c r="L43" s="25"/>
      <c r="M43" s="25"/>
      <c r="N43" s="25" t="s">
        <v>13316</v>
      </c>
      <c r="O43" s="25"/>
      <c r="P43" s="25">
        <v>3</v>
      </c>
      <c r="Q43" s="25">
        <v>2</v>
      </c>
      <c r="R43" s="26" t="s">
        <v>46</v>
      </c>
      <c r="S43" s="1" t="s">
        <v>7</v>
      </c>
    </row>
    <row r="44" spans="1:19">
      <c r="A44" s="24" t="s">
        <v>3282</v>
      </c>
      <c r="B44" s="25" t="s">
        <v>13462</v>
      </c>
      <c r="C44" s="25" t="s">
        <v>2640</v>
      </c>
      <c r="D44" s="25" t="s">
        <v>1374</v>
      </c>
      <c r="E44" s="25">
        <v>3</v>
      </c>
      <c r="F44" s="25" t="s">
        <v>3083</v>
      </c>
      <c r="G44" s="25" t="s">
        <v>3084</v>
      </c>
      <c r="H44" s="25" t="s">
        <v>3055</v>
      </c>
      <c r="I44" s="25"/>
      <c r="J44" s="25" t="s">
        <v>1437</v>
      </c>
      <c r="K44" s="25"/>
      <c r="L44" s="25"/>
      <c r="M44" s="25"/>
      <c r="N44" s="25"/>
      <c r="O44" s="25" t="s">
        <v>3150</v>
      </c>
      <c r="P44" s="25">
        <v>3</v>
      </c>
      <c r="Q44" s="25">
        <v>1</v>
      </c>
      <c r="R44" s="26" t="s">
        <v>52</v>
      </c>
      <c r="S44" s="1" t="s">
        <v>7</v>
      </c>
    </row>
    <row r="45" spans="1:19">
      <c r="A45" s="24" t="s">
        <v>3283</v>
      </c>
      <c r="B45" s="25" t="s">
        <v>13459</v>
      </c>
      <c r="C45" s="25" t="s">
        <v>2678</v>
      </c>
      <c r="D45" s="25" t="s">
        <v>1375</v>
      </c>
      <c r="E45" s="25">
        <v>3</v>
      </c>
      <c r="F45" s="25" t="s">
        <v>3083</v>
      </c>
      <c r="G45" s="25" t="s">
        <v>3084</v>
      </c>
      <c r="H45" s="25" t="s">
        <v>3071</v>
      </c>
      <c r="I45" s="25" t="s">
        <v>3079</v>
      </c>
      <c r="J45" s="25" t="s">
        <v>0</v>
      </c>
      <c r="K45" s="25" t="s">
        <v>3948</v>
      </c>
      <c r="L45" s="25"/>
      <c r="M45" s="25"/>
      <c r="N45" s="25" t="s">
        <v>13316</v>
      </c>
      <c r="O45" s="25"/>
      <c r="P45" s="25">
        <v>2</v>
      </c>
      <c r="Q45" s="25">
        <v>2</v>
      </c>
      <c r="R45" s="26"/>
    </row>
    <row r="46" spans="1:19">
      <c r="B46" s="25" t="s">
        <v>13459</v>
      </c>
      <c r="C46" s="25" t="s">
        <v>2679</v>
      </c>
      <c r="D46" s="25" t="s">
        <v>3096</v>
      </c>
      <c r="E46" s="25">
        <v>3</v>
      </c>
      <c r="F46" s="25" t="s">
        <v>3083</v>
      </c>
      <c r="G46" s="25" t="s">
        <v>3079</v>
      </c>
      <c r="H46" s="25"/>
      <c r="I46" s="25"/>
      <c r="J46" s="25" t="s">
        <v>21</v>
      </c>
      <c r="K46" s="25" t="s">
        <v>1492</v>
      </c>
      <c r="L46" s="25" t="s">
        <v>3936</v>
      </c>
      <c r="M46" s="25"/>
      <c r="N46" s="25" t="s">
        <v>13316</v>
      </c>
      <c r="O46" s="25"/>
      <c r="P46" s="25">
        <v>3</v>
      </c>
      <c r="Q46" s="25">
        <v>3</v>
      </c>
      <c r="R46" s="26" t="s">
        <v>45</v>
      </c>
      <c r="S46" s="1" t="s">
        <v>9</v>
      </c>
    </row>
    <row r="47" spans="1:19">
      <c r="A47" s="24" t="s">
        <v>3284</v>
      </c>
      <c r="B47" s="25" t="s">
        <v>13461</v>
      </c>
      <c r="C47" s="25" t="s">
        <v>2651</v>
      </c>
      <c r="D47" s="25" t="s">
        <v>1378</v>
      </c>
      <c r="E47" s="25">
        <v>4</v>
      </c>
      <c r="F47" s="25" t="s">
        <v>3083</v>
      </c>
      <c r="G47" s="25" t="s">
        <v>3084</v>
      </c>
      <c r="H47" s="25" t="s">
        <v>3063</v>
      </c>
      <c r="I47" s="25"/>
      <c r="J47" s="25" t="s">
        <v>257</v>
      </c>
      <c r="K47" s="25" t="s">
        <v>1448</v>
      </c>
      <c r="L47" s="25" t="s">
        <v>1449</v>
      </c>
      <c r="M47" s="25"/>
      <c r="N47" s="25"/>
      <c r="O47" s="25" t="s">
        <v>3150</v>
      </c>
      <c r="P47" s="25">
        <v>2</v>
      </c>
      <c r="Q47" s="25">
        <v>2</v>
      </c>
      <c r="R47" s="26" t="s">
        <v>35</v>
      </c>
      <c r="S47" s="1" t="s">
        <v>7</v>
      </c>
    </row>
    <row r="48" spans="1:19">
      <c r="A48" s="24" t="s">
        <v>3285</v>
      </c>
      <c r="B48" s="25" t="s">
        <v>13461</v>
      </c>
      <c r="C48" s="25" t="s">
        <v>2705</v>
      </c>
      <c r="D48" s="25" t="s">
        <v>1381</v>
      </c>
      <c r="E48" s="25">
        <v>5</v>
      </c>
      <c r="F48" s="25" t="s">
        <v>3083</v>
      </c>
      <c r="G48" s="25" t="s">
        <v>3084</v>
      </c>
      <c r="H48" s="25" t="s">
        <v>3055</v>
      </c>
      <c r="I48" s="25"/>
      <c r="J48" s="25" t="s">
        <v>1094</v>
      </c>
      <c r="K48" s="25" t="s">
        <v>1516</v>
      </c>
      <c r="L48" s="25"/>
      <c r="M48" s="25"/>
      <c r="N48" s="25"/>
      <c r="O48" s="25" t="s">
        <v>3150</v>
      </c>
      <c r="P48" s="25">
        <v>2</v>
      </c>
      <c r="Q48" s="25">
        <v>2</v>
      </c>
      <c r="R48" s="26" t="s">
        <v>168</v>
      </c>
      <c r="S48" s="1" t="s">
        <v>9</v>
      </c>
    </row>
    <row r="49" spans="1:19">
      <c r="A49" s="24" t="s">
        <v>3286</v>
      </c>
      <c r="B49" s="25" t="s">
        <v>3498</v>
      </c>
      <c r="C49" s="25" t="s">
        <v>2664</v>
      </c>
      <c r="D49" s="25" t="s">
        <v>1386</v>
      </c>
      <c r="E49" s="25">
        <v>6</v>
      </c>
      <c r="F49" s="25" t="s">
        <v>3083</v>
      </c>
      <c r="G49" s="25" t="s">
        <v>3084</v>
      </c>
      <c r="H49" s="25" t="s">
        <v>3075</v>
      </c>
      <c r="I49" s="25"/>
      <c r="J49" s="25" t="s">
        <v>1460</v>
      </c>
      <c r="K49" s="25"/>
      <c r="L49" s="25"/>
      <c r="M49" s="25"/>
      <c r="N49" s="25"/>
      <c r="O49" s="25"/>
      <c r="P49" s="25">
        <v>4</v>
      </c>
      <c r="Q49" s="25">
        <v>2</v>
      </c>
      <c r="R49" s="26" t="s">
        <v>45</v>
      </c>
      <c r="S49" s="1" t="s">
        <v>7</v>
      </c>
    </row>
    <row r="50" spans="1:19">
      <c r="A50" s="24" t="s">
        <v>3287</v>
      </c>
      <c r="B50" s="31" t="s">
        <v>13472</v>
      </c>
      <c r="C50" s="25" t="s">
        <v>11137</v>
      </c>
      <c r="D50" s="25" t="s">
        <v>1381</v>
      </c>
      <c r="E50" s="25">
        <v>5</v>
      </c>
      <c r="F50" s="25" t="s">
        <v>3403</v>
      </c>
      <c r="G50" s="25"/>
      <c r="H50" s="25"/>
      <c r="I50" s="25"/>
      <c r="J50" s="25" t="s">
        <v>11138</v>
      </c>
      <c r="K50" s="25"/>
      <c r="L50" s="25"/>
      <c r="M50" s="25"/>
      <c r="N50" s="25"/>
      <c r="O50" s="25"/>
      <c r="P50" s="25"/>
      <c r="Q50" s="25"/>
      <c r="R50" s="26" t="s">
        <v>8</v>
      </c>
    </row>
    <row r="51" spans="1:19">
      <c r="A51" s="24" t="s">
        <v>3288</v>
      </c>
      <c r="B51" s="31" t="s">
        <v>13472</v>
      </c>
      <c r="C51" s="25" t="s">
        <v>11104</v>
      </c>
      <c r="D51" s="25" t="s">
        <v>13367</v>
      </c>
      <c r="E51" s="25">
        <v>4</v>
      </c>
      <c r="F51" s="25" t="s">
        <v>3403</v>
      </c>
      <c r="G51" s="25"/>
      <c r="H51" s="25"/>
      <c r="I51" s="25"/>
      <c r="J51" s="25" t="s">
        <v>13368</v>
      </c>
      <c r="K51" s="25" t="s">
        <v>11105</v>
      </c>
      <c r="L51" s="25"/>
      <c r="M51" s="25"/>
      <c r="N51" s="25"/>
      <c r="O51" s="25"/>
      <c r="P51" s="25"/>
      <c r="Q51" s="25"/>
      <c r="R51" s="26"/>
    </row>
    <row r="52" spans="1:19">
      <c r="A52" s="24" t="s">
        <v>3289</v>
      </c>
      <c r="B52" s="31" t="s">
        <v>13468</v>
      </c>
      <c r="C52" s="25" t="s">
        <v>11403</v>
      </c>
      <c r="D52" s="25" t="s">
        <v>13338</v>
      </c>
      <c r="E52" s="25">
        <v>3</v>
      </c>
      <c r="F52" s="25" t="s">
        <v>3399</v>
      </c>
      <c r="G52" s="25"/>
      <c r="H52" s="25"/>
      <c r="I52" s="25"/>
      <c r="J52" s="25" t="s">
        <v>11404</v>
      </c>
      <c r="K52" s="25"/>
      <c r="L52" s="25"/>
      <c r="M52" s="25"/>
      <c r="N52" s="25"/>
      <c r="O52" s="25"/>
      <c r="P52" s="25"/>
      <c r="Q52" s="25"/>
      <c r="R52" s="26" t="s">
        <v>181</v>
      </c>
    </row>
    <row r="53" spans="1:19">
      <c r="A53" s="24" t="s">
        <v>3290</v>
      </c>
      <c r="B53" s="31" t="s">
        <v>13480</v>
      </c>
      <c r="C53" s="25" t="s">
        <v>11468</v>
      </c>
      <c r="D53" s="25" t="s">
        <v>13369</v>
      </c>
      <c r="E53" s="25">
        <v>6</v>
      </c>
      <c r="F53" s="25" t="s">
        <v>3399</v>
      </c>
      <c r="G53" s="25"/>
      <c r="H53" s="25"/>
      <c r="I53" s="25"/>
      <c r="J53" s="25" t="s">
        <v>11470</v>
      </c>
      <c r="K53" s="25"/>
      <c r="L53" s="25"/>
      <c r="M53" s="25"/>
      <c r="N53" s="25"/>
      <c r="O53" s="25"/>
      <c r="P53" s="25"/>
      <c r="Q53" s="25"/>
      <c r="R53" s="26" t="s">
        <v>179</v>
      </c>
    </row>
    <row r="54" spans="1:19">
      <c r="A54" s="24" t="s">
        <v>3291</v>
      </c>
      <c r="B54" s="31" t="s">
        <v>13481</v>
      </c>
      <c r="C54" s="25" t="s">
        <v>11263</v>
      </c>
      <c r="D54" s="25" t="s">
        <v>13370</v>
      </c>
      <c r="E54" s="25">
        <v>3</v>
      </c>
      <c r="F54" s="25" t="s">
        <v>3434</v>
      </c>
      <c r="G54" s="25" t="s">
        <v>3402</v>
      </c>
      <c r="H54" s="25"/>
      <c r="I54" s="25"/>
      <c r="J54" s="25" t="s">
        <v>5662</v>
      </c>
      <c r="K54" s="25" t="s">
        <v>5663</v>
      </c>
      <c r="L54" s="25" t="s">
        <v>11264</v>
      </c>
      <c r="M54" s="25"/>
      <c r="N54" s="25"/>
      <c r="O54" s="25"/>
      <c r="P54" s="25"/>
      <c r="Q54" s="25"/>
      <c r="R54" s="26" t="s">
        <v>35</v>
      </c>
    </row>
    <row r="55" spans="1:19" ht="14.25" thickBot="1">
      <c r="A55" s="24" t="s">
        <v>4774</v>
      </c>
      <c r="B55" s="28" t="s">
        <v>13371</v>
      </c>
      <c r="C55" s="28" t="s">
        <v>3433</v>
      </c>
      <c r="D55" s="28" t="s">
        <v>1378</v>
      </c>
      <c r="E55" s="28">
        <v>4</v>
      </c>
      <c r="F55" s="28" t="s">
        <v>3434</v>
      </c>
      <c r="G55" s="28"/>
      <c r="H55" s="28"/>
      <c r="I55" s="28"/>
      <c r="J55" s="28" t="s">
        <v>3435</v>
      </c>
      <c r="K55" s="28"/>
      <c r="L55" s="28"/>
      <c r="M55" s="28"/>
      <c r="N55" s="28"/>
      <c r="O55" s="28"/>
      <c r="P55" s="28"/>
      <c r="Q55" s="28"/>
      <c r="R55" s="29" t="s">
        <v>52</v>
      </c>
      <c r="S55" s="1" t="s">
        <v>7</v>
      </c>
    </row>
    <row r="56" spans="1:19">
      <c r="A56" s="21" t="s">
        <v>3292</v>
      </c>
      <c r="B56" s="22" t="s">
        <v>13459</v>
      </c>
      <c r="C56" s="22" t="s">
        <v>2803</v>
      </c>
      <c r="D56" s="22" t="s">
        <v>1611</v>
      </c>
      <c r="E56" s="22">
        <v>2</v>
      </c>
      <c r="F56" s="22" t="s">
        <v>3083</v>
      </c>
      <c r="G56" s="22" t="s">
        <v>3084</v>
      </c>
      <c r="H56" s="22" t="s">
        <v>3055</v>
      </c>
      <c r="I56" s="22" t="s">
        <v>3079</v>
      </c>
      <c r="J56" s="22" t="s">
        <v>1687</v>
      </c>
      <c r="K56" s="22" t="s">
        <v>3959</v>
      </c>
      <c r="L56" s="22"/>
      <c r="M56" s="22"/>
      <c r="N56" s="22" t="s">
        <v>13316</v>
      </c>
      <c r="O56" s="22"/>
      <c r="P56" s="22">
        <v>2</v>
      </c>
      <c r="Q56" s="22">
        <v>2</v>
      </c>
      <c r="R56" s="23"/>
    </row>
    <row r="57" spans="1:19">
      <c r="A57" s="24"/>
      <c r="B57" s="31" t="s">
        <v>13459</v>
      </c>
      <c r="C57" s="25" t="s">
        <v>2804</v>
      </c>
      <c r="D57" s="25" t="s">
        <v>3103</v>
      </c>
      <c r="E57" s="25">
        <v>2</v>
      </c>
      <c r="F57" s="25" t="s">
        <v>3083</v>
      </c>
      <c r="G57" s="25" t="s">
        <v>3079</v>
      </c>
      <c r="H57" s="25"/>
      <c r="I57" s="25"/>
      <c r="J57" s="25" t="s">
        <v>1639</v>
      </c>
      <c r="K57" s="25" t="s">
        <v>3974</v>
      </c>
      <c r="L57" s="25"/>
      <c r="M57" s="25"/>
      <c r="N57" s="25" t="s">
        <v>13316</v>
      </c>
      <c r="O57" s="25"/>
      <c r="P57" s="25">
        <v>3</v>
      </c>
      <c r="Q57" s="25">
        <v>3</v>
      </c>
      <c r="R57" s="26" t="s">
        <v>46</v>
      </c>
      <c r="S57" s="1" t="s">
        <v>7</v>
      </c>
    </row>
    <row r="58" spans="1:19">
      <c r="A58" s="24" t="s">
        <v>3293</v>
      </c>
      <c r="B58" s="25" t="s">
        <v>13461</v>
      </c>
      <c r="C58" s="25" t="s">
        <v>2805</v>
      </c>
      <c r="D58" s="25" t="s">
        <v>1611</v>
      </c>
      <c r="E58" s="25">
        <v>2</v>
      </c>
      <c r="F58" s="25" t="s">
        <v>3083</v>
      </c>
      <c r="G58" s="25" t="s">
        <v>3084</v>
      </c>
      <c r="H58" s="25" t="s">
        <v>3071</v>
      </c>
      <c r="I58" s="25"/>
      <c r="J58" s="25" t="s">
        <v>1640</v>
      </c>
      <c r="K58" s="25" t="s">
        <v>1641</v>
      </c>
      <c r="L58" s="25"/>
      <c r="M58" s="25"/>
      <c r="N58" s="25"/>
      <c r="O58" s="25" t="s">
        <v>3150</v>
      </c>
      <c r="P58" s="25">
        <v>1</v>
      </c>
      <c r="Q58" s="25">
        <v>1</v>
      </c>
      <c r="R58" s="26" t="s">
        <v>46</v>
      </c>
      <c r="S58" s="1" t="s">
        <v>7</v>
      </c>
    </row>
    <row r="59" spans="1:19">
      <c r="A59" s="24" t="s">
        <v>3294</v>
      </c>
      <c r="B59" s="25" t="s">
        <v>13461</v>
      </c>
      <c r="C59" s="25" t="s">
        <v>2808</v>
      </c>
      <c r="D59" s="25" t="s">
        <v>1688</v>
      </c>
      <c r="E59" s="25">
        <v>3</v>
      </c>
      <c r="F59" s="25" t="s">
        <v>3083</v>
      </c>
      <c r="G59" s="25" t="s">
        <v>3084</v>
      </c>
      <c r="H59" s="25" t="s">
        <v>3075</v>
      </c>
      <c r="I59" s="25"/>
      <c r="J59" s="25" t="s">
        <v>1645</v>
      </c>
      <c r="K59" s="25"/>
      <c r="L59" s="25"/>
      <c r="M59" s="25"/>
      <c r="N59" s="25"/>
      <c r="O59" s="25" t="s">
        <v>3150</v>
      </c>
      <c r="P59" s="25">
        <v>2</v>
      </c>
      <c r="Q59" s="25">
        <v>1</v>
      </c>
      <c r="R59" s="26" t="s">
        <v>605</v>
      </c>
      <c r="S59" s="1" t="s">
        <v>7</v>
      </c>
    </row>
    <row r="60" spans="1:19">
      <c r="A60" s="24" t="s">
        <v>3295</v>
      </c>
      <c r="B60" s="25" t="s">
        <v>13459</v>
      </c>
      <c r="C60" s="25" t="s">
        <v>2877</v>
      </c>
      <c r="D60" s="25" t="s">
        <v>1618</v>
      </c>
      <c r="E60" s="25">
        <v>3</v>
      </c>
      <c r="F60" s="25" t="s">
        <v>3083</v>
      </c>
      <c r="G60" s="25" t="s">
        <v>3084</v>
      </c>
      <c r="H60" s="25" t="s">
        <v>3061</v>
      </c>
      <c r="I60" s="25" t="s">
        <v>3079</v>
      </c>
      <c r="J60" s="25" t="s">
        <v>1726</v>
      </c>
      <c r="K60" s="25" t="s">
        <v>3964</v>
      </c>
      <c r="L60" s="25"/>
      <c r="M60" s="25"/>
      <c r="N60" s="25" t="s">
        <v>13316</v>
      </c>
      <c r="O60" s="25"/>
      <c r="P60" s="25">
        <v>2</v>
      </c>
      <c r="Q60" s="25">
        <v>2</v>
      </c>
      <c r="R60" s="26"/>
    </row>
    <row r="61" spans="1:19">
      <c r="B61" s="31" t="s">
        <v>13459</v>
      </c>
      <c r="C61" s="25" t="s">
        <v>2878</v>
      </c>
      <c r="D61" s="25" t="s">
        <v>3103</v>
      </c>
      <c r="E61" s="25">
        <v>3</v>
      </c>
      <c r="F61" s="25" t="s">
        <v>3083</v>
      </c>
      <c r="G61" s="25" t="s">
        <v>3079</v>
      </c>
      <c r="H61" s="25"/>
      <c r="I61" s="25"/>
      <c r="J61" s="25" t="s">
        <v>1745</v>
      </c>
      <c r="K61" s="25" t="s">
        <v>3978</v>
      </c>
      <c r="L61" s="25"/>
      <c r="M61" s="25"/>
      <c r="N61" s="25" t="s">
        <v>13316</v>
      </c>
      <c r="O61" s="25"/>
      <c r="P61" s="25">
        <v>4</v>
      </c>
      <c r="Q61" s="25">
        <v>4</v>
      </c>
      <c r="R61" s="26" t="s">
        <v>45</v>
      </c>
      <c r="S61" s="1" t="s">
        <v>9</v>
      </c>
    </row>
    <row r="62" spans="1:19">
      <c r="A62" s="24" t="s">
        <v>3296</v>
      </c>
      <c r="B62" s="25" t="s">
        <v>13464</v>
      </c>
      <c r="C62" s="25" t="s">
        <v>2835</v>
      </c>
      <c r="D62" s="25" t="s">
        <v>1620</v>
      </c>
      <c r="E62" s="25">
        <v>4</v>
      </c>
      <c r="F62" s="25" t="s">
        <v>3083</v>
      </c>
      <c r="G62" s="25" t="s">
        <v>3084</v>
      </c>
      <c r="H62" s="25" t="s">
        <v>3063</v>
      </c>
      <c r="I62" s="25"/>
      <c r="J62" s="25" t="s">
        <v>3819</v>
      </c>
      <c r="K62" s="25" t="s">
        <v>1670</v>
      </c>
      <c r="L62" s="25"/>
      <c r="M62" s="25"/>
      <c r="N62" s="25"/>
      <c r="O62" s="25" t="s">
        <v>3150</v>
      </c>
      <c r="P62" s="25">
        <v>1</v>
      </c>
      <c r="Q62" s="25">
        <v>1</v>
      </c>
      <c r="R62" s="26" t="s">
        <v>606</v>
      </c>
      <c r="S62" s="1" t="s">
        <v>7</v>
      </c>
    </row>
    <row r="63" spans="1:19">
      <c r="A63" s="24" t="s">
        <v>3297</v>
      </c>
      <c r="B63" s="25" t="s">
        <v>13470</v>
      </c>
      <c r="C63" s="25" t="s">
        <v>2843</v>
      </c>
      <c r="D63" s="25" t="s">
        <v>1622</v>
      </c>
      <c r="E63" s="25">
        <v>5</v>
      </c>
      <c r="F63" s="25" t="s">
        <v>3083</v>
      </c>
      <c r="G63" s="25" t="s">
        <v>3084</v>
      </c>
      <c r="H63" s="25" t="s">
        <v>3075</v>
      </c>
      <c r="I63" s="25"/>
      <c r="J63" s="25" t="s">
        <v>1675</v>
      </c>
      <c r="K63" s="25"/>
      <c r="L63" s="25"/>
      <c r="M63" s="25"/>
      <c r="N63" s="25"/>
      <c r="O63" s="25"/>
      <c r="P63" s="25">
        <v>5</v>
      </c>
      <c r="Q63" s="25">
        <v>4</v>
      </c>
      <c r="R63" s="26" t="s">
        <v>46</v>
      </c>
      <c r="S63" s="1" t="s">
        <v>7</v>
      </c>
    </row>
    <row r="64" spans="1:19">
      <c r="A64" s="24" t="s">
        <v>3298</v>
      </c>
      <c r="B64" s="25" t="s">
        <v>13461</v>
      </c>
      <c r="C64" s="25" t="s">
        <v>2892</v>
      </c>
      <c r="D64" s="25" t="s">
        <v>1764</v>
      </c>
      <c r="E64" s="25">
        <v>6</v>
      </c>
      <c r="F64" s="25" t="s">
        <v>3083</v>
      </c>
      <c r="G64" s="25" t="s">
        <v>3084</v>
      </c>
      <c r="H64" s="25" t="s">
        <v>3075</v>
      </c>
      <c r="I64" s="25"/>
      <c r="J64" s="25" t="s">
        <v>1742</v>
      </c>
      <c r="K64" s="25" t="s">
        <v>1743</v>
      </c>
      <c r="L64" s="25"/>
      <c r="M64" s="25"/>
      <c r="N64" s="25"/>
      <c r="O64" s="25" t="s">
        <v>3150</v>
      </c>
      <c r="P64" s="25">
        <v>4</v>
      </c>
      <c r="Q64" s="25">
        <v>5</v>
      </c>
      <c r="R64" s="26" t="s">
        <v>53</v>
      </c>
      <c r="S64" s="1" t="s">
        <v>9</v>
      </c>
    </row>
    <row r="65" spans="1:19">
      <c r="A65" s="24" t="s">
        <v>3299</v>
      </c>
      <c r="B65" s="31" t="s">
        <v>13480</v>
      </c>
      <c r="C65" s="25" t="s">
        <v>12233</v>
      </c>
      <c r="D65" s="25" t="s">
        <v>13372</v>
      </c>
      <c r="E65" s="25">
        <v>1</v>
      </c>
      <c r="F65" s="25" t="s">
        <v>3399</v>
      </c>
      <c r="G65" s="25"/>
      <c r="H65" s="25"/>
      <c r="I65" s="25"/>
      <c r="J65" s="25" t="s">
        <v>12234</v>
      </c>
      <c r="K65" s="25"/>
      <c r="L65" s="25"/>
      <c r="M65" s="25"/>
      <c r="N65" s="25"/>
      <c r="O65" s="25"/>
      <c r="P65" s="25"/>
      <c r="Q65" s="25"/>
      <c r="R65" s="26" t="s">
        <v>6</v>
      </c>
    </row>
    <row r="66" spans="1:19">
      <c r="A66" s="24" t="s">
        <v>3300</v>
      </c>
      <c r="B66" s="31" t="s">
        <v>13482</v>
      </c>
      <c r="C66" s="25" t="s">
        <v>12707</v>
      </c>
      <c r="D66" s="25" t="s">
        <v>3755</v>
      </c>
      <c r="E66" s="25">
        <v>4</v>
      </c>
      <c r="F66" s="25" t="s">
        <v>3399</v>
      </c>
      <c r="G66" s="25"/>
      <c r="H66" s="25"/>
      <c r="I66" s="25"/>
      <c r="J66" s="25" t="s">
        <v>12708</v>
      </c>
      <c r="K66" s="25"/>
      <c r="L66" s="25"/>
      <c r="M66" s="25"/>
      <c r="N66" s="25"/>
      <c r="O66" s="25"/>
      <c r="P66" s="25"/>
      <c r="Q66" s="25"/>
      <c r="R66" s="26" t="s">
        <v>40</v>
      </c>
    </row>
    <row r="67" spans="1:19">
      <c r="A67" s="24" t="s">
        <v>3301</v>
      </c>
      <c r="B67" s="31" t="s">
        <v>13483</v>
      </c>
      <c r="C67" s="25" t="s">
        <v>12812</v>
      </c>
      <c r="D67" s="25" t="s">
        <v>13373</v>
      </c>
      <c r="E67" s="25">
        <v>1</v>
      </c>
      <c r="F67" s="25" t="s">
        <v>3403</v>
      </c>
      <c r="G67" s="25"/>
      <c r="H67" s="25"/>
      <c r="I67" s="25"/>
      <c r="J67" s="25" t="s">
        <v>4589</v>
      </c>
      <c r="K67" s="25" t="s">
        <v>11912</v>
      </c>
      <c r="L67" s="25"/>
      <c r="M67" s="25"/>
      <c r="N67" s="25"/>
      <c r="O67" s="25"/>
      <c r="P67" s="25"/>
      <c r="Q67" s="25"/>
      <c r="R67" s="26" t="s">
        <v>170</v>
      </c>
    </row>
    <row r="68" spans="1:19">
      <c r="A68" s="24" t="s">
        <v>3302</v>
      </c>
      <c r="B68" s="25" t="s">
        <v>4101</v>
      </c>
      <c r="C68" s="25" t="s">
        <v>12554</v>
      </c>
      <c r="D68" s="25" t="s">
        <v>3751</v>
      </c>
      <c r="E68" s="25">
        <v>3</v>
      </c>
      <c r="F68" s="25" t="s">
        <v>3434</v>
      </c>
      <c r="G68" s="25" t="s">
        <v>3402</v>
      </c>
      <c r="H68" s="25"/>
      <c r="I68" s="25"/>
      <c r="J68" s="25" t="s">
        <v>3401</v>
      </c>
      <c r="K68" s="25"/>
      <c r="L68" s="25"/>
      <c r="M68" s="25"/>
      <c r="N68" s="25"/>
      <c r="O68" s="25"/>
      <c r="P68" s="25"/>
      <c r="Q68" s="25"/>
      <c r="R68" s="26"/>
    </row>
    <row r="69" spans="1:19" ht="14.25" thickBot="1">
      <c r="A69" s="24" t="s">
        <v>4775</v>
      </c>
      <c r="B69" s="28" t="s">
        <v>13356</v>
      </c>
      <c r="C69" s="28" t="s">
        <v>3439</v>
      </c>
      <c r="D69" s="28" t="s">
        <v>1620</v>
      </c>
      <c r="E69" s="28"/>
      <c r="F69" s="28" t="s">
        <v>3434</v>
      </c>
      <c r="G69" s="28" t="s">
        <v>3402</v>
      </c>
      <c r="H69" s="28"/>
      <c r="I69" s="28"/>
      <c r="J69" s="28" t="s">
        <v>3401</v>
      </c>
      <c r="K69" s="28" t="s">
        <v>3440</v>
      </c>
      <c r="L69" s="28" t="s">
        <v>3441</v>
      </c>
      <c r="M69" s="28"/>
      <c r="N69" s="28"/>
      <c r="O69" s="28"/>
      <c r="P69" s="28"/>
      <c r="Q69" s="28"/>
      <c r="R69" s="29" t="s">
        <v>46</v>
      </c>
      <c r="S69" s="1" t="s">
        <v>4</v>
      </c>
    </row>
    <row r="70" spans="1:19">
      <c r="A70" s="21" t="s">
        <v>3303</v>
      </c>
      <c r="B70" s="22"/>
      <c r="C70" s="22" t="s">
        <v>2933</v>
      </c>
      <c r="D70" s="22" t="s">
        <v>1789</v>
      </c>
      <c r="E70" s="22">
        <v>5</v>
      </c>
      <c r="F70" s="22" t="s">
        <v>3083</v>
      </c>
      <c r="G70" s="22" t="s">
        <v>3084</v>
      </c>
      <c r="H70" s="22" t="s">
        <v>3049</v>
      </c>
      <c r="I70" s="22"/>
      <c r="J70" s="22" t="s">
        <v>1</v>
      </c>
      <c r="K70" s="22" t="s">
        <v>1787</v>
      </c>
      <c r="L70" s="22"/>
      <c r="M70" s="22"/>
      <c r="N70" s="22"/>
      <c r="O70" s="22"/>
      <c r="P70" s="22" t="s">
        <v>154</v>
      </c>
      <c r="Q70" s="22"/>
      <c r="R70" s="23" t="s">
        <v>26</v>
      </c>
      <c r="S70" s="1" t="s">
        <v>7</v>
      </c>
    </row>
    <row r="71" spans="1:19">
      <c r="A71" s="24" t="s">
        <v>3304</v>
      </c>
      <c r="B71" s="25"/>
      <c r="C71" s="25" t="s">
        <v>4151</v>
      </c>
      <c r="D71" s="25" t="s">
        <v>1788</v>
      </c>
      <c r="E71" s="25">
        <v>3</v>
      </c>
      <c r="F71" s="25" t="s">
        <v>3399</v>
      </c>
      <c r="G71" s="25"/>
      <c r="H71" s="25"/>
      <c r="I71" s="25"/>
      <c r="J71" s="25" t="s">
        <v>4152</v>
      </c>
      <c r="K71" s="25" t="s">
        <v>4153</v>
      </c>
      <c r="L71" s="25"/>
      <c r="M71" s="25"/>
      <c r="N71" s="25"/>
      <c r="O71" s="25"/>
      <c r="P71" s="25"/>
      <c r="Q71" s="25"/>
      <c r="R71" s="26" t="s">
        <v>28</v>
      </c>
      <c r="S71" s="1" t="s">
        <v>7</v>
      </c>
    </row>
    <row r="72" spans="1:19">
      <c r="A72" s="24" t="s">
        <v>3305</v>
      </c>
      <c r="B72" s="25"/>
      <c r="C72" s="25" t="s">
        <v>2936</v>
      </c>
      <c r="D72" s="25" t="s">
        <v>1829</v>
      </c>
      <c r="E72" s="25">
        <v>2</v>
      </c>
      <c r="F72" s="25" t="s">
        <v>3083</v>
      </c>
      <c r="G72" s="25" t="s">
        <v>3084</v>
      </c>
      <c r="H72" s="25" t="s">
        <v>3071</v>
      </c>
      <c r="I72" s="25"/>
      <c r="J72" s="25" t="s">
        <v>1823</v>
      </c>
      <c r="K72" s="25"/>
      <c r="L72" s="25"/>
      <c r="M72" s="25"/>
      <c r="N72" s="25"/>
      <c r="O72" s="25"/>
      <c r="P72" s="25" t="s">
        <v>158</v>
      </c>
      <c r="Q72" s="25"/>
      <c r="R72" s="26" t="s">
        <v>27</v>
      </c>
      <c r="S72" s="1" t="s">
        <v>7</v>
      </c>
    </row>
    <row r="73" spans="1:19">
      <c r="A73" s="24" t="s">
        <v>3306</v>
      </c>
      <c r="B73" s="25"/>
      <c r="C73" s="25" t="s">
        <v>4312</v>
      </c>
      <c r="D73" s="25" t="s">
        <v>1815</v>
      </c>
      <c r="E73" s="31">
        <v>4</v>
      </c>
      <c r="F73" s="25" t="s">
        <v>4123</v>
      </c>
      <c r="G73" s="25"/>
      <c r="H73" s="25"/>
      <c r="I73" s="25"/>
      <c r="J73" s="25" t="s">
        <v>3401</v>
      </c>
      <c r="K73" s="25" t="s">
        <v>4313</v>
      </c>
      <c r="L73" s="25" t="s">
        <v>4314</v>
      </c>
      <c r="M73" s="25"/>
      <c r="N73" s="25"/>
      <c r="O73" s="25"/>
      <c r="P73" s="25"/>
      <c r="Q73" s="25"/>
      <c r="R73" s="26" t="s">
        <v>5</v>
      </c>
      <c r="S73" s="1" t="s">
        <v>9</v>
      </c>
    </row>
    <row r="74" spans="1:19">
      <c r="A74" s="24" t="s">
        <v>3307</v>
      </c>
      <c r="B74" s="25"/>
      <c r="C74" s="25" t="s">
        <v>3002</v>
      </c>
      <c r="D74" s="25" t="s">
        <v>1860</v>
      </c>
      <c r="E74" s="25">
        <v>3</v>
      </c>
      <c r="F74" s="25" t="s">
        <v>3083</v>
      </c>
      <c r="G74" s="25" t="s">
        <v>3084</v>
      </c>
      <c r="H74" s="25" t="s">
        <v>3051</v>
      </c>
      <c r="I74" s="25"/>
      <c r="J74" s="25" t="s">
        <v>0</v>
      </c>
      <c r="K74" s="25" t="s">
        <v>1857</v>
      </c>
      <c r="L74" s="25"/>
      <c r="M74" s="25"/>
      <c r="N74" s="25"/>
      <c r="O74" s="25" t="s">
        <v>4044</v>
      </c>
      <c r="P74" s="25">
        <v>2</v>
      </c>
      <c r="Q74" s="25"/>
      <c r="R74" s="26" t="s">
        <v>10</v>
      </c>
      <c r="S74" s="1" t="s">
        <v>9</v>
      </c>
    </row>
    <row r="75" spans="1:19">
      <c r="A75" s="24" t="s">
        <v>3308</v>
      </c>
      <c r="B75" s="25"/>
      <c r="C75" s="25" t="s">
        <v>4459</v>
      </c>
      <c r="D75" s="25" t="s">
        <v>4424</v>
      </c>
      <c r="E75" s="31">
        <v>5</v>
      </c>
      <c r="F75" s="25" t="s">
        <v>3403</v>
      </c>
      <c r="G75" s="25"/>
      <c r="H75" s="25"/>
      <c r="I75" s="25"/>
      <c r="J75" s="25" t="s">
        <v>4148</v>
      </c>
      <c r="K75" s="25" t="s">
        <v>4460</v>
      </c>
      <c r="L75" s="25"/>
      <c r="M75" s="25"/>
      <c r="N75" s="25"/>
      <c r="O75" s="25"/>
      <c r="P75" s="25"/>
      <c r="Q75" s="25"/>
      <c r="R75" s="26" t="s">
        <v>1776</v>
      </c>
      <c r="S75" s="1" t="s">
        <v>7</v>
      </c>
    </row>
    <row r="76" spans="1:19">
      <c r="A76" s="24" t="s">
        <v>3309</v>
      </c>
      <c r="B76" s="25"/>
      <c r="C76" s="25" t="s">
        <v>2948</v>
      </c>
      <c r="D76" s="25" t="s">
        <v>1874</v>
      </c>
      <c r="E76" s="25">
        <v>3</v>
      </c>
      <c r="F76" s="25" t="s">
        <v>3083</v>
      </c>
      <c r="G76" s="25" t="s">
        <v>3084</v>
      </c>
      <c r="H76" s="25" t="s">
        <v>3075</v>
      </c>
      <c r="I76" s="25"/>
      <c r="J76" s="25" t="s">
        <v>1872</v>
      </c>
      <c r="K76" s="25"/>
      <c r="L76" s="25"/>
      <c r="M76" s="25"/>
      <c r="N76" s="25"/>
      <c r="O76" s="25"/>
      <c r="P76" s="25" t="s">
        <v>162</v>
      </c>
      <c r="Q76" s="25"/>
      <c r="R76" s="26" t="s">
        <v>1776</v>
      </c>
      <c r="S76" s="1" t="s">
        <v>7</v>
      </c>
    </row>
    <row r="77" spans="1:19">
      <c r="A77" s="24" t="s">
        <v>3310</v>
      </c>
      <c r="B77" s="25"/>
      <c r="C77" s="25" t="s">
        <v>4489</v>
      </c>
      <c r="D77" s="25" t="s">
        <v>4490</v>
      </c>
      <c r="E77" s="31">
        <v>2</v>
      </c>
      <c r="F77" s="25" t="s">
        <v>3399</v>
      </c>
      <c r="G77" s="25"/>
      <c r="H77" s="25"/>
      <c r="I77" s="25"/>
      <c r="J77" s="25" t="s">
        <v>4491</v>
      </c>
      <c r="K77" s="25" t="s">
        <v>4492</v>
      </c>
      <c r="L77" s="25" t="s">
        <v>4493</v>
      </c>
      <c r="M77" s="25" t="s">
        <v>4494</v>
      </c>
      <c r="N77" s="25"/>
      <c r="O77" s="25"/>
      <c r="P77" s="25"/>
      <c r="Q77" s="25"/>
      <c r="R77" s="26" t="s">
        <v>5</v>
      </c>
      <c r="S77" s="1" t="s">
        <v>9</v>
      </c>
    </row>
    <row r="78" spans="1:19">
      <c r="A78" s="24" t="s">
        <v>3311</v>
      </c>
      <c r="B78" s="25"/>
      <c r="C78" s="25" t="s">
        <v>2954</v>
      </c>
      <c r="D78" s="25" t="s">
        <v>1900</v>
      </c>
      <c r="E78" s="25">
        <v>5</v>
      </c>
      <c r="F78" s="25" t="s">
        <v>3083</v>
      </c>
      <c r="G78" s="25" t="s">
        <v>3084</v>
      </c>
      <c r="H78" s="25" t="s">
        <v>3054</v>
      </c>
      <c r="I78" s="25"/>
      <c r="J78" s="25" t="s">
        <v>1897</v>
      </c>
      <c r="K78" s="25"/>
      <c r="L78" s="25"/>
      <c r="M78" s="25"/>
      <c r="N78" s="25"/>
      <c r="O78" s="25"/>
      <c r="P78" s="25" t="s">
        <v>165</v>
      </c>
      <c r="Q78" s="25"/>
      <c r="R78" s="26" t="s">
        <v>49</v>
      </c>
      <c r="S78" s="1" t="s">
        <v>7</v>
      </c>
    </row>
    <row r="79" spans="1:19" ht="14.25" thickBot="1">
      <c r="A79" s="27" t="s">
        <v>3312</v>
      </c>
      <c r="B79" s="28"/>
      <c r="C79" s="28" t="s">
        <v>4677</v>
      </c>
      <c r="D79" s="28" t="s">
        <v>4097</v>
      </c>
      <c r="E79" s="28">
        <v>6</v>
      </c>
      <c r="F79" s="28" t="s">
        <v>4123</v>
      </c>
      <c r="G79" s="28"/>
      <c r="H79" s="28"/>
      <c r="I79" s="28"/>
      <c r="J79" s="28" t="s">
        <v>3401</v>
      </c>
      <c r="K79" s="28" t="s">
        <v>4136</v>
      </c>
      <c r="L79" s="28" t="s">
        <v>4678</v>
      </c>
      <c r="M79" s="28"/>
      <c r="N79" s="28"/>
      <c r="O79" s="28"/>
      <c r="P79" s="28"/>
      <c r="Q79" s="28"/>
      <c r="R79" s="29" t="s">
        <v>8</v>
      </c>
      <c r="S79" s="1" t="s">
        <v>7</v>
      </c>
    </row>
    <row r="80" spans="1:19">
      <c r="A80" s="21" t="s">
        <v>3313</v>
      </c>
      <c r="B80" s="22"/>
      <c r="C80" s="22" t="s">
        <v>3420</v>
      </c>
      <c r="D80" s="22">
        <v>2</v>
      </c>
      <c r="E80" s="22">
        <v>2</v>
      </c>
      <c r="F80" s="22" t="s">
        <v>3413</v>
      </c>
      <c r="G80" s="22" t="s">
        <v>3412</v>
      </c>
      <c r="H80" s="22"/>
      <c r="I80" s="22"/>
      <c r="J80" s="22" t="s">
        <v>3421</v>
      </c>
      <c r="K80" s="22" t="s">
        <v>3422</v>
      </c>
      <c r="L80" s="22" t="s">
        <v>3423</v>
      </c>
      <c r="M80" s="22"/>
      <c r="N80" s="22"/>
      <c r="O80" s="22"/>
      <c r="P80" s="22"/>
      <c r="Q80" s="22"/>
      <c r="R80" s="23" t="s">
        <v>45</v>
      </c>
      <c r="S80" s="1" t="s">
        <v>7</v>
      </c>
    </row>
    <row r="81" spans="1:19">
      <c r="A81" s="24" t="s">
        <v>3314</v>
      </c>
      <c r="B81" s="25"/>
      <c r="C81" s="25" t="s">
        <v>3114</v>
      </c>
      <c r="D81" s="25">
        <v>2</v>
      </c>
      <c r="E81" s="25">
        <v>2</v>
      </c>
      <c r="F81" s="25" t="s">
        <v>3442</v>
      </c>
      <c r="G81" s="25" t="s">
        <v>3071</v>
      </c>
      <c r="H81" s="25" t="s">
        <v>3412</v>
      </c>
      <c r="I81" s="25"/>
      <c r="J81" s="25" t="s">
        <v>3443</v>
      </c>
      <c r="K81" s="25" t="s">
        <v>3117</v>
      </c>
      <c r="L81" s="25" t="s">
        <v>3118</v>
      </c>
      <c r="M81" s="25"/>
      <c r="N81" s="25"/>
      <c r="O81" s="25"/>
      <c r="P81" s="25"/>
      <c r="Q81" s="25"/>
      <c r="R81" s="26" t="s">
        <v>3119</v>
      </c>
      <c r="S81" s="1" t="s">
        <v>7</v>
      </c>
    </row>
    <row r="82" spans="1:19">
      <c r="A82" s="24" t="s">
        <v>3315</v>
      </c>
      <c r="B82" s="25" t="s">
        <v>13347</v>
      </c>
      <c r="C82" s="25" t="s">
        <v>3836</v>
      </c>
      <c r="D82" s="25">
        <v>5</v>
      </c>
      <c r="E82" s="25">
        <v>5</v>
      </c>
      <c r="F82" s="25" t="s">
        <v>3413</v>
      </c>
      <c r="G82" s="25" t="s">
        <v>3867</v>
      </c>
      <c r="H82" s="25"/>
      <c r="I82" s="25"/>
      <c r="J82" s="25" t="s">
        <v>3871</v>
      </c>
      <c r="K82" s="25" t="s">
        <v>3837</v>
      </c>
      <c r="L82" s="25"/>
      <c r="M82" s="25"/>
      <c r="N82" s="25"/>
      <c r="O82" s="25"/>
      <c r="P82" s="25">
        <v>6</v>
      </c>
      <c r="Q82" s="25">
        <v>6</v>
      </c>
      <c r="R82" s="26" t="s">
        <v>26</v>
      </c>
      <c r="S82" s="1" t="s">
        <v>7</v>
      </c>
    </row>
    <row r="83" spans="1:19">
      <c r="A83" s="24" t="s">
        <v>3316</v>
      </c>
      <c r="B83" s="25" t="s">
        <v>13347</v>
      </c>
      <c r="C83" s="25" t="s">
        <v>3852</v>
      </c>
      <c r="D83" s="25">
        <v>3</v>
      </c>
      <c r="E83" s="25">
        <v>3</v>
      </c>
      <c r="F83" s="25" t="s">
        <v>3413</v>
      </c>
      <c r="G83" s="25" t="s">
        <v>3867</v>
      </c>
      <c r="H83" s="25"/>
      <c r="I83" s="25"/>
      <c r="J83" s="25" t="s">
        <v>3871</v>
      </c>
      <c r="K83" s="25" t="s">
        <v>3745</v>
      </c>
      <c r="L83" s="25"/>
      <c r="M83" s="25"/>
      <c r="N83" s="25"/>
      <c r="O83" s="25"/>
      <c r="P83" s="25">
        <v>5</v>
      </c>
      <c r="Q83" s="25">
        <v>5</v>
      </c>
      <c r="R83" s="26" t="s">
        <v>26</v>
      </c>
      <c r="S83" s="1" t="s">
        <v>9</v>
      </c>
    </row>
    <row r="84" spans="1:19" ht="14.25" thickBot="1">
      <c r="A84" s="24" t="s">
        <v>3317</v>
      </c>
      <c r="B84" s="25"/>
      <c r="C84" s="25" t="s">
        <v>13374</v>
      </c>
      <c r="D84" s="25"/>
      <c r="E84" s="25"/>
      <c r="F84" s="25"/>
      <c r="G84" s="25"/>
      <c r="H84" s="25"/>
      <c r="I84" s="25"/>
      <c r="J84" s="25"/>
      <c r="K84" s="25"/>
      <c r="L84" s="25"/>
      <c r="M84" s="25"/>
      <c r="N84" s="25"/>
      <c r="O84" s="25"/>
      <c r="P84" s="25"/>
      <c r="Q84" s="25"/>
      <c r="R84" s="26"/>
    </row>
    <row r="85" spans="1:19">
      <c r="A85" s="21" t="s">
        <v>3318</v>
      </c>
      <c r="B85" s="22"/>
      <c r="C85" s="22" t="s">
        <v>5916</v>
      </c>
      <c r="D85" s="22"/>
      <c r="E85" s="22"/>
      <c r="F85" s="22" t="s">
        <v>3736</v>
      </c>
      <c r="G85" s="22"/>
      <c r="H85" s="22"/>
      <c r="I85" s="22"/>
      <c r="J85" s="22" t="s">
        <v>5684</v>
      </c>
      <c r="K85" s="22" t="s">
        <v>5917</v>
      </c>
      <c r="L85" s="22"/>
      <c r="M85" s="22"/>
      <c r="N85" s="22"/>
      <c r="O85" s="22"/>
      <c r="P85" s="22"/>
      <c r="Q85" s="22"/>
      <c r="R85" s="23" t="s">
        <v>604</v>
      </c>
      <c r="S85" s="1" t="s">
        <v>7</v>
      </c>
    </row>
    <row r="86" spans="1:19">
      <c r="A86" s="24" t="s">
        <v>13452</v>
      </c>
      <c r="B86" s="25"/>
      <c r="C86" s="25" t="s">
        <v>6000</v>
      </c>
      <c r="D86" s="25"/>
      <c r="E86" s="25"/>
      <c r="F86" s="25" t="s">
        <v>3736</v>
      </c>
      <c r="G86" s="25"/>
      <c r="H86" s="25"/>
      <c r="I86" s="25"/>
      <c r="J86" s="25" t="s">
        <v>5684</v>
      </c>
      <c r="K86" s="25" t="s">
        <v>6001</v>
      </c>
      <c r="L86" s="25"/>
      <c r="M86" s="25"/>
      <c r="N86" s="25"/>
      <c r="O86" s="25"/>
      <c r="P86" s="25"/>
      <c r="Q86" s="25"/>
      <c r="R86" s="26" t="s">
        <v>174</v>
      </c>
      <c r="S86" s="1" t="s">
        <v>7</v>
      </c>
    </row>
    <row r="87" spans="1:19" ht="14.25" thickBot="1">
      <c r="A87" s="27" t="s">
        <v>13453</v>
      </c>
      <c r="B87" s="28"/>
      <c r="C87" s="28" t="s">
        <v>5710</v>
      </c>
      <c r="D87" s="28"/>
      <c r="E87" s="28"/>
      <c r="F87" s="28" t="s">
        <v>3736</v>
      </c>
      <c r="G87" s="28"/>
      <c r="H87" s="28"/>
      <c r="I87" s="28"/>
      <c r="J87" s="28" t="s">
        <v>5684</v>
      </c>
      <c r="K87" s="28" t="s">
        <v>5711</v>
      </c>
      <c r="L87" s="28" t="s">
        <v>6047</v>
      </c>
      <c r="M87" s="28"/>
      <c r="N87" s="28"/>
      <c r="O87" s="28"/>
      <c r="P87" s="28"/>
      <c r="Q87" s="28"/>
      <c r="R87" s="29" t="s">
        <v>48</v>
      </c>
      <c r="S87" s="1" t="s">
        <v>7</v>
      </c>
    </row>
  </sheetData>
  <phoneticPr fontId="1"/>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Z93"/>
  <sheetViews>
    <sheetView zoomScale="85" zoomScaleNormal="85" workbookViewId="0">
      <pane ySplit="2" topLeftCell="A52" activePane="bottomLeft" state="frozen"/>
      <selection activeCell="E3" sqref="E3"/>
      <selection pane="bottomLeft" activeCell="J90" sqref="J90"/>
    </sheetView>
  </sheetViews>
  <sheetFormatPr defaultRowHeight="13.5"/>
  <cols>
    <col min="1" max="16384" width="9" style="1"/>
  </cols>
  <sheetData>
    <row r="1" spans="1:26">
      <c r="T1" s="1">
        <v>1</v>
      </c>
      <c r="U1" s="30">
        <v>2</v>
      </c>
      <c r="V1" s="30">
        <v>3</v>
      </c>
      <c r="W1" s="1">
        <v>4</v>
      </c>
      <c r="X1" s="1">
        <v>5</v>
      </c>
      <c r="Y1" s="1">
        <v>6</v>
      </c>
      <c r="Z1" s="1">
        <v>7</v>
      </c>
    </row>
    <row r="2" spans="1:26" ht="14.25" thickBot="1">
      <c r="B2" s="1" t="s">
        <v>13313</v>
      </c>
      <c r="C2" s="1" t="s">
        <v>13314</v>
      </c>
      <c r="D2" s="1" t="s">
        <v>3152</v>
      </c>
      <c r="E2" s="1" t="s">
        <v>3160</v>
      </c>
      <c r="F2" s="1" t="s">
        <v>3153</v>
      </c>
      <c r="G2" s="1" t="s">
        <v>3154</v>
      </c>
      <c r="H2" s="1" t="s">
        <v>3155</v>
      </c>
      <c r="I2" s="1" t="s">
        <v>3156</v>
      </c>
      <c r="J2" s="1" t="s">
        <v>13315</v>
      </c>
      <c r="P2" s="1" t="s">
        <v>4769</v>
      </c>
      <c r="Q2" s="1" t="s">
        <v>4770</v>
      </c>
      <c r="R2" s="1" t="s">
        <v>3159</v>
      </c>
      <c r="T2" s="1">
        <f t="shared" ref="T2:Y2" si="0">COUNTIF($E:$E,T1)</f>
        <v>3</v>
      </c>
      <c r="U2" s="1">
        <f t="shared" si="0"/>
        <v>11</v>
      </c>
      <c r="V2" s="1">
        <f t="shared" si="0"/>
        <v>13</v>
      </c>
      <c r="W2" s="1">
        <f t="shared" si="0"/>
        <v>15</v>
      </c>
      <c r="X2" s="1">
        <f t="shared" si="0"/>
        <v>6</v>
      </c>
      <c r="Y2" s="1">
        <f t="shared" si="0"/>
        <v>5</v>
      </c>
      <c r="Z2" s="1">
        <f>COUNTIF($E:$E,Z1)+COUNTIF($E:$E,8)+COUNTIF($E:$E,9)</f>
        <v>1</v>
      </c>
    </row>
    <row r="3" spans="1:26">
      <c r="A3" s="86" t="s">
        <v>3319</v>
      </c>
      <c r="B3" s="87" t="s">
        <v>3498</v>
      </c>
      <c r="C3" s="87" t="s">
        <v>2047</v>
      </c>
      <c r="D3" s="87" t="s">
        <v>186</v>
      </c>
      <c r="E3" s="87">
        <v>1</v>
      </c>
      <c r="F3" s="87" t="s">
        <v>3083</v>
      </c>
      <c r="G3" s="87" t="s">
        <v>3084</v>
      </c>
      <c r="H3" s="87" t="s">
        <v>3050</v>
      </c>
      <c r="I3" s="87"/>
      <c r="J3" s="87" t="s">
        <v>505</v>
      </c>
      <c r="K3" s="87"/>
      <c r="L3" s="87"/>
      <c r="M3" s="87"/>
      <c r="N3" s="87"/>
      <c r="O3" s="87" t="s">
        <v>3150</v>
      </c>
      <c r="P3" s="87">
        <v>1</v>
      </c>
      <c r="Q3" s="87">
        <v>1</v>
      </c>
      <c r="R3" s="88" t="s">
        <v>45</v>
      </c>
      <c r="S3" s="1" t="s">
        <v>9</v>
      </c>
    </row>
    <row r="4" spans="1:26">
      <c r="A4" s="89" t="s">
        <v>3320</v>
      </c>
      <c r="B4" s="85" t="s">
        <v>3498</v>
      </c>
      <c r="C4" s="85" t="s">
        <v>2093</v>
      </c>
      <c r="D4" s="85" t="s">
        <v>204</v>
      </c>
      <c r="E4" s="85">
        <v>3</v>
      </c>
      <c r="F4" s="85" t="s">
        <v>3083</v>
      </c>
      <c r="G4" s="85" t="s">
        <v>3084</v>
      </c>
      <c r="H4" s="85" t="s">
        <v>3050</v>
      </c>
      <c r="I4" s="85"/>
      <c r="J4" s="85" t="s">
        <v>550</v>
      </c>
      <c r="K4" s="85"/>
      <c r="L4" s="85"/>
      <c r="M4" s="85"/>
      <c r="N4" s="85"/>
      <c r="O4" s="85"/>
      <c r="P4" s="85">
        <v>1</v>
      </c>
      <c r="Q4" s="85">
        <v>1</v>
      </c>
      <c r="R4" s="90" t="s">
        <v>181</v>
      </c>
      <c r="S4" s="1" t="s">
        <v>9</v>
      </c>
    </row>
    <row r="5" spans="1:26">
      <c r="A5" s="89" t="s">
        <v>3321</v>
      </c>
      <c r="B5" s="85" t="s">
        <v>3498</v>
      </c>
      <c r="C5" s="85" t="s">
        <v>2109</v>
      </c>
      <c r="D5" s="85" t="s">
        <v>185</v>
      </c>
      <c r="E5" s="85">
        <v>4</v>
      </c>
      <c r="F5" s="85" t="s">
        <v>3087</v>
      </c>
      <c r="G5" s="85" t="s">
        <v>3084</v>
      </c>
      <c r="H5" s="85" t="s">
        <v>3055</v>
      </c>
      <c r="I5" s="85"/>
      <c r="J5" s="85" t="s">
        <v>23</v>
      </c>
      <c r="K5" s="85" t="s">
        <v>575</v>
      </c>
      <c r="L5" s="85" t="s">
        <v>781</v>
      </c>
      <c r="M5" s="85"/>
      <c r="N5" s="85"/>
      <c r="O5" s="85"/>
      <c r="P5" s="85">
        <v>0</v>
      </c>
      <c r="Q5" s="85">
        <v>0</v>
      </c>
      <c r="R5" s="90" t="s">
        <v>53</v>
      </c>
      <c r="S5" s="1" t="s">
        <v>9</v>
      </c>
    </row>
    <row r="6" spans="1:26">
      <c r="A6" s="89" t="s">
        <v>3322</v>
      </c>
      <c r="B6" s="85" t="s">
        <v>3498</v>
      </c>
      <c r="C6" s="85" t="s">
        <v>2134</v>
      </c>
      <c r="D6" s="85" t="s">
        <v>212</v>
      </c>
      <c r="E6" s="85">
        <v>6</v>
      </c>
      <c r="F6" s="85" t="s">
        <v>3083</v>
      </c>
      <c r="G6" s="85" t="s">
        <v>3084</v>
      </c>
      <c r="H6" s="85" t="s">
        <v>3050</v>
      </c>
      <c r="I6" s="85"/>
      <c r="J6" s="85" t="s">
        <v>23</v>
      </c>
      <c r="K6" s="85" t="s">
        <v>601</v>
      </c>
      <c r="L6" s="85" t="s">
        <v>602</v>
      </c>
      <c r="M6" s="85"/>
      <c r="N6" s="85"/>
      <c r="O6" s="85" t="s">
        <v>3150</v>
      </c>
      <c r="P6" s="85">
        <v>3</v>
      </c>
      <c r="Q6" s="85">
        <v>3</v>
      </c>
      <c r="R6" s="90" t="s">
        <v>181</v>
      </c>
      <c r="S6" s="1" t="s">
        <v>9</v>
      </c>
    </row>
    <row r="7" spans="1:26">
      <c r="A7" s="89" t="s">
        <v>3323</v>
      </c>
      <c r="B7" s="85"/>
      <c r="C7" s="85" t="s">
        <v>6946</v>
      </c>
      <c r="D7" s="85" t="s">
        <v>6803</v>
      </c>
      <c r="E7" s="85">
        <v>6</v>
      </c>
      <c r="F7" s="85" t="s">
        <v>3399</v>
      </c>
      <c r="G7" s="85"/>
      <c r="H7" s="85"/>
      <c r="I7" s="85"/>
      <c r="J7" s="85" t="s">
        <v>6947</v>
      </c>
      <c r="K7" s="85"/>
      <c r="L7" s="85"/>
      <c r="M7" s="85"/>
      <c r="N7" s="85"/>
      <c r="O7" s="85"/>
      <c r="P7" s="85"/>
      <c r="Q7" s="85"/>
      <c r="R7" s="90" t="s">
        <v>180</v>
      </c>
      <c r="S7" s="1" t="s">
        <v>9</v>
      </c>
    </row>
    <row r="8" spans="1:26">
      <c r="A8" s="89" t="s">
        <v>3324</v>
      </c>
      <c r="B8" s="85"/>
      <c r="C8" s="85" t="s">
        <v>7047</v>
      </c>
      <c r="D8" s="85" t="s">
        <v>7048</v>
      </c>
      <c r="E8" s="85">
        <v>3</v>
      </c>
      <c r="F8" s="85" t="s">
        <v>3403</v>
      </c>
      <c r="G8" s="85"/>
      <c r="H8" s="85"/>
      <c r="I8" s="85"/>
      <c r="J8" s="85" t="s">
        <v>7049</v>
      </c>
      <c r="K8" s="85"/>
      <c r="L8" s="85"/>
      <c r="M8" s="85"/>
      <c r="N8" s="85"/>
      <c r="O8" s="85"/>
      <c r="P8" s="85"/>
      <c r="Q8" s="85"/>
      <c r="R8" s="90" t="s">
        <v>176</v>
      </c>
      <c r="S8" s="1" t="s">
        <v>9</v>
      </c>
    </row>
    <row r="9" spans="1:26">
      <c r="A9" s="89" t="s">
        <v>3325</v>
      </c>
      <c r="B9" s="85"/>
      <c r="C9" s="85" t="s">
        <v>6865</v>
      </c>
      <c r="D9" s="85" t="s">
        <v>187</v>
      </c>
      <c r="E9" s="85">
        <v>2</v>
      </c>
      <c r="F9" s="85" t="s">
        <v>3399</v>
      </c>
      <c r="G9" s="85"/>
      <c r="H9" s="85"/>
      <c r="I9" s="85"/>
      <c r="J9" s="85" t="s">
        <v>6866</v>
      </c>
      <c r="K9" s="85"/>
      <c r="L9" s="85"/>
      <c r="M9" s="85"/>
      <c r="N9" s="85"/>
      <c r="O9" s="85"/>
      <c r="P9" s="85"/>
      <c r="Q9" s="85"/>
      <c r="R9" s="90" t="s">
        <v>46</v>
      </c>
      <c r="S9" s="1" t="s">
        <v>9</v>
      </c>
    </row>
    <row r="10" spans="1:26">
      <c r="A10" s="89" t="s">
        <v>3326</v>
      </c>
      <c r="B10" s="85" t="s">
        <v>13428</v>
      </c>
      <c r="C10" s="85" t="s">
        <v>6648</v>
      </c>
      <c r="D10" s="85" t="s">
        <v>187</v>
      </c>
      <c r="E10" s="85">
        <v>2</v>
      </c>
      <c r="F10" s="85" t="s">
        <v>3434</v>
      </c>
      <c r="G10" s="85"/>
      <c r="H10" s="85"/>
      <c r="I10" s="85"/>
      <c r="J10" s="85" t="s">
        <v>6649</v>
      </c>
      <c r="K10" s="85" t="s">
        <v>6650</v>
      </c>
      <c r="L10" s="85"/>
      <c r="M10" s="85"/>
      <c r="N10" s="85"/>
      <c r="O10" s="85"/>
      <c r="P10" s="85"/>
      <c r="Q10" s="85"/>
      <c r="R10" s="90" t="s">
        <v>53</v>
      </c>
      <c r="S10" s="1" t="s">
        <v>9</v>
      </c>
    </row>
    <row r="11" spans="1:26">
      <c r="A11" s="100" t="s">
        <v>3363</v>
      </c>
      <c r="B11" s="94" t="s">
        <v>8730</v>
      </c>
      <c r="C11" s="94" t="s">
        <v>6590</v>
      </c>
      <c r="D11" s="94" t="s">
        <v>186</v>
      </c>
      <c r="E11" s="94">
        <v>1</v>
      </c>
      <c r="F11" s="94" t="s">
        <v>1526</v>
      </c>
      <c r="G11" s="94"/>
      <c r="H11" s="94"/>
      <c r="I11" s="94"/>
      <c r="J11" s="94" t="s">
        <v>6591</v>
      </c>
      <c r="K11" s="94" t="s">
        <v>6592</v>
      </c>
      <c r="L11" s="94"/>
      <c r="M11" s="94"/>
      <c r="N11" s="94"/>
      <c r="O11" s="94"/>
      <c r="P11" s="94"/>
      <c r="Q11" s="94"/>
      <c r="R11" s="95"/>
      <c r="S11" s="1" t="s">
        <v>9</v>
      </c>
    </row>
    <row r="12" spans="1:26" ht="14.25" thickBot="1">
      <c r="A12" s="91"/>
      <c r="B12" s="92"/>
      <c r="C12" s="92" t="s">
        <v>5187</v>
      </c>
      <c r="D12" s="92"/>
      <c r="E12" s="92"/>
      <c r="F12" s="92" t="s">
        <v>3617</v>
      </c>
      <c r="G12" s="92"/>
      <c r="H12" s="92"/>
      <c r="I12" s="92"/>
      <c r="J12" s="92" t="s">
        <v>6593</v>
      </c>
      <c r="K12" s="92" t="s">
        <v>5717</v>
      </c>
      <c r="L12" s="92" t="s">
        <v>6594</v>
      </c>
      <c r="M12" s="92"/>
      <c r="N12" s="92"/>
      <c r="O12" s="92"/>
      <c r="P12" s="92"/>
      <c r="Q12" s="92"/>
      <c r="R12" s="93" t="s">
        <v>30</v>
      </c>
      <c r="S12" s="1" t="s">
        <v>9</v>
      </c>
    </row>
    <row r="13" spans="1:26">
      <c r="A13" s="86" t="s">
        <v>3327</v>
      </c>
      <c r="B13" s="87" t="s">
        <v>3498</v>
      </c>
      <c r="C13" s="87" t="s">
        <v>2297</v>
      </c>
      <c r="D13" s="87" t="s">
        <v>847</v>
      </c>
      <c r="E13" s="87">
        <v>2</v>
      </c>
      <c r="F13" s="87" t="s">
        <v>3083</v>
      </c>
      <c r="G13" s="87" t="s">
        <v>3084</v>
      </c>
      <c r="H13" s="87" t="s">
        <v>3071</v>
      </c>
      <c r="I13" s="87"/>
      <c r="J13" s="87" t="s">
        <v>976</v>
      </c>
      <c r="K13" s="87"/>
      <c r="L13" s="87"/>
      <c r="M13" s="87"/>
      <c r="N13" s="87"/>
      <c r="O13" s="87"/>
      <c r="P13" s="87">
        <v>2</v>
      </c>
      <c r="Q13" s="87">
        <v>3</v>
      </c>
      <c r="R13" s="88" t="s">
        <v>27</v>
      </c>
      <c r="S13" s="1" t="s">
        <v>9</v>
      </c>
    </row>
    <row r="14" spans="1:26">
      <c r="A14" s="89" t="s">
        <v>3328</v>
      </c>
      <c r="B14" s="85" t="s">
        <v>3498</v>
      </c>
      <c r="C14" s="85" t="s">
        <v>2301</v>
      </c>
      <c r="D14" s="85" t="s">
        <v>847</v>
      </c>
      <c r="E14" s="85">
        <v>3</v>
      </c>
      <c r="F14" s="85" t="s">
        <v>3087</v>
      </c>
      <c r="G14" s="85" t="s">
        <v>3084</v>
      </c>
      <c r="H14" s="85" t="s">
        <v>3058</v>
      </c>
      <c r="I14" s="85"/>
      <c r="J14" s="85" t="s">
        <v>24</v>
      </c>
      <c r="K14" s="85" t="s">
        <v>1028</v>
      </c>
      <c r="L14" s="85"/>
      <c r="M14" s="85"/>
      <c r="N14" s="85"/>
      <c r="O14" s="85"/>
      <c r="P14" s="85">
        <v>3</v>
      </c>
      <c r="Q14" s="85">
        <v>2</v>
      </c>
      <c r="R14" s="90" t="s">
        <v>53</v>
      </c>
      <c r="S14" s="1" t="s">
        <v>9</v>
      </c>
    </row>
    <row r="15" spans="1:26">
      <c r="A15" s="89" t="s">
        <v>3329</v>
      </c>
      <c r="B15" s="85" t="s">
        <v>3498</v>
      </c>
      <c r="C15" s="85" t="s">
        <v>2309</v>
      </c>
      <c r="D15" s="85" t="s">
        <v>850</v>
      </c>
      <c r="E15" s="85">
        <v>4</v>
      </c>
      <c r="F15" s="85" t="s">
        <v>3087</v>
      </c>
      <c r="G15" s="85" t="s">
        <v>3084</v>
      </c>
      <c r="H15" s="85" t="s">
        <v>3051</v>
      </c>
      <c r="I15" s="85"/>
      <c r="J15" s="85" t="s">
        <v>3</v>
      </c>
      <c r="K15" s="85" t="s">
        <v>986</v>
      </c>
      <c r="L15" s="85"/>
      <c r="M15" s="85"/>
      <c r="N15" s="85"/>
      <c r="O15" s="85" t="s">
        <v>3150</v>
      </c>
      <c r="P15" s="85">
        <v>2</v>
      </c>
      <c r="Q15" s="85">
        <v>2</v>
      </c>
      <c r="R15" s="90" t="s">
        <v>34</v>
      </c>
      <c r="S15" s="1" t="s">
        <v>9</v>
      </c>
    </row>
    <row r="16" spans="1:26">
      <c r="A16" s="89" t="s">
        <v>3330</v>
      </c>
      <c r="B16" s="85"/>
      <c r="C16" s="85" t="s">
        <v>8591</v>
      </c>
      <c r="D16" s="85" t="s">
        <v>7984</v>
      </c>
      <c r="E16" s="85"/>
      <c r="F16" s="85" t="s">
        <v>3403</v>
      </c>
      <c r="G16" s="85"/>
      <c r="H16" s="85"/>
      <c r="I16" s="85" t="s">
        <v>13427</v>
      </c>
      <c r="J16" s="85" t="s">
        <v>3765</v>
      </c>
      <c r="K16" s="85" t="s">
        <v>8592</v>
      </c>
      <c r="L16" s="85"/>
      <c r="M16" s="85"/>
      <c r="N16" s="85"/>
      <c r="O16" s="85"/>
      <c r="P16" s="85"/>
      <c r="Q16" s="85"/>
      <c r="R16" s="90" t="s">
        <v>34</v>
      </c>
      <c r="S16" s="1" t="s">
        <v>9</v>
      </c>
    </row>
    <row r="17" spans="1:19">
      <c r="A17" s="89" t="s">
        <v>3331</v>
      </c>
      <c r="B17" s="85"/>
      <c r="C17" s="85" t="s">
        <v>8652</v>
      </c>
      <c r="D17" s="85" t="s">
        <v>848</v>
      </c>
      <c r="E17" s="85"/>
      <c r="F17" s="85" t="s">
        <v>3403</v>
      </c>
      <c r="G17" s="85"/>
      <c r="H17" s="85"/>
      <c r="I17" s="85" t="s">
        <v>13427</v>
      </c>
      <c r="J17" s="85" t="s">
        <v>3765</v>
      </c>
      <c r="K17" s="85" t="s">
        <v>8653</v>
      </c>
      <c r="L17" s="85"/>
      <c r="M17" s="85"/>
      <c r="N17" s="85"/>
      <c r="O17" s="85"/>
      <c r="P17" s="85"/>
      <c r="Q17" s="85"/>
      <c r="R17" s="90" t="s">
        <v>28</v>
      </c>
      <c r="S17" s="1" t="s">
        <v>9</v>
      </c>
    </row>
    <row r="18" spans="1:19">
      <c r="A18" s="89" t="s">
        <v>3332</v>
      </c>
      <c r="B18" s="85" t="s">
        <v>3758</v>
      </c>
      <c r="C18" s="85" t="s">
        <v>4765</v>
      </c>
      <c r="D18" s="85" t="s">
        <v>850</v>
      </c>
      <c r="E18" s="85"/>
      <c r="F18" s="85" t="s">
        <v>3399</v>
      </c>
      <c r="G18" s="85"/>
      <c r="H18" s="85"/>
      <c r="I18" s="85"/>
      <c r="J18" s="85" t="s">
        <v>8561</v>
      </c>
      <c r="K18" s="85" t="s">
        <v>8562</v>
      </c>
      <c r="L18" s="85"/>
      <c r="M18" s="85"/>
      <c r="N18" s="85"/>
      <c r="O18" s="85"/>
      <c r="P18" s="85"/>
      <c r="Q18" s="85"/>
      <c r="R18" s="90"/>
      <c r="S18" s="1" t="s">
        <v>41</v>
      </c>
    </row>
    <row r="19" spans="1:19">
      <c r="A19" s="89"/>
      <c r="B19" s="85"/>
      <c r="C19" s="85" t="s">
        <v>5185</v>
      </c>
      <c r="D19" s="85" t="s">
        <v>7984</v>
      </c>
      <c r="E19" s="85"/>
      <c r="F19" s="85" t="s">
        <v>3083</v>
      </c>
      <c r="G19" s="85" t="s">
        <v>13385</v>
      </c>
      <c r="H19" s="85"/>
      <c r="I19" s="85"/>
      <c r="J19" s="85" t="s">
        <v>963</v>
      </c>
      <c r="K19" s="85" t="s">
        <v>8563</v>
      </c>
      <c r="L19" s="85"/>
      <c r="M19" s="85"/>
      <c r="N19" s="85"/>
      <c r="O19" s="85"/>
      <c r="P19" s="85">
        <v>1</v>
      </c>
      <c r="Q19" s="85">
        <v>1</v>
      </c>
      <c r="R19" s="90" t="s">
        <v>46</v>
      </c>
      <c r="S19" s="1" t="s">
        <v>41</v>
      </c>
    </row>
    <row r="20" spans="1:19">
      <c r="A20" s="89" t="s">
        <v>3333</v>
      </c>
      <c r="B20" s="85"/>
      <c r="C20" s="85" t="s">
        <v>8511</v>
      </c>
      <c r="D20" s="85" t="s">
        <v>852</v>
      </c>
      <c r="E20" s="85"/>
      <c r="F20" s="85" t="s">
        <v>3399</v>
      </c>
      <c r="G20" s="85"/>
      <c r="H20" s="85"/>
      <c r="I20" s="85"/>
      <c r="J20" s="85" t="s">
        <v>8512</v>
      </c>
      <c r="K20" s="85" t="s">
        <v>8513</v>
      </c>
      <c r="L20" s="85"/>
      <c r="M20" s="85"/>
      <c r="N20" s="85"/>
      <c r="O20" s="85"/>
      <c r="P20" s="85"/>
      <c r="Q20" s="85"/>
      <c r="R20" s="90" t="s">
        <v>35</v>
      </c>
      <c r="S20" s="1" t="s">
        <v>9</v>
      </c>
    </row>
    <row r="21" spans="1:19">
      <c r="A21" s="89" t="s">
        <v>3334</v>
      </c>
      <c r="B21" s="85"/>
      <c r="C21" s="85" t="s">
        <v>8694</v>
      </c>
      <c r="D21" s="85" t="s">
        <v>852</v>
      </c>
      <c r="E21" s="85"/>
      <c r="F21" s="85" t="s">
        <v>3403</v>
      </c>
      <c r="G21" s="85"/>
      <c r="H21" s="85"/>
      <c r="I21" s="85"/>
      <c r="J21" s="85" t="s">
        <v>8695</v>
      </c>
      <c r="K21" s="85"/>
      <c r="L21" s="85"/>
      <c r="M21" s="85"/>
      <c r="N21" s="85"/>
      <c r="O21" s="85"/>
      <c r="P21" s="85"/>
      <c r="Q21" s="85"/>
      <c r="R21" s="90" t="s">
        <v>172</v>
      </c>
      <c r="S21" s="1" t="s">
        <v>9</v>
      </c>
    </row>
    <row r="22" spans="1:19" ht="14.25" thickBot="1">
      <c r="A22" s="91" t="s">
        <v>3362</v>
      </c>
      <c r="B22" s="92"/>
      <c r="C22" s="92" t="s">
        <v>8282</v>
      </c>
      <c r="D22" s="92" t="s">
        <v>850</v>
      </c>
      <c r="E22" s="92"/>
      <c r="F22" s="92" t="s">
        <v>6685</v>
      </c>
      <c r="G22" s="92"/>
      <c r="H22" s="92"/>
      <c r="I22" s="92"/>
      <c r="J22" s="92" t="s">
        <v>8283</v>
      </c>
      <c r="K22" s="92" t="s">
        <v>8284</v>
      </c>
      <c r="L22" s="92"/>
      <c r="M22" s="92"/>
      <c r="N22" s="92"/>
      <c r="O22" s="92"/>
      <c r="P22" s="92"/>
      <c r="Q22" s="92"/>
      <c r="R22" s="93" t="s">
        <v>14</v>
      </c>
      <c r="S22" s="1" t="s">
        <v>9</v>
      </c>
    </row>
    <row r="23" spans="1:19">
      <c r="A23" s="86" t="s">
        <v>3335</v>
      </c>
      <c r="B23" s="87" t="s">
        <v>3498</v>
      </c>
      <c r="C23" s="87" t="s">
        <v>2467</v>
      </c>
      <c r="D23" s="87" t="s">
        <v>1100</v>
      </c>
      <c r="E23" s="87">
        <v>2</v>
      </c>
      <c r="F23" s="87" t="s">
        <v>3083</v>
      </c>
      <c r="G23" s="87" t="s">
        <v>3084</v>
      </c>
      <c r="H23" s="87" t="s">
        <v>3053</v>
      </c>
      <c r="I23" s="87"/>
      <c r="J23" s="87" t="s">
        <v>1203</v>
      </c>
      <c r="K23" s="87"/>
      <c r="L23" s="87"/>
      <c r="M23" s="87"/>
      <c r="N23" s="87"/>
      <c r="O23" s="87"/>
      <c r="P23" s="87">
        <v>1</v>
      </c>
      <c r="Q23" s="87">
        <v>2</v>
      </c>
      <c r="R23" s="88" t="s">
        <v>45</v>
      </c>
      <c r="S23" s="1" t="s">
        <v>9</v>
      </c>
    </row>
    <row r="24" spans="1:19">
      <c r="A24" s="89" t="s">
        <v>3336</v>
      </c>
      <c r="B24" s="85" t="s">
        <v>3498</v>
      </c>
      <c r="C24" s="85" t="s">
        <v>2468</v>
      </c>
      <c r="D24" s="85" t="s">
        <v>1100</v>
      </c>
      <c r="E24" s="85">
        <v>2</v>
      </c>
      <c r="F24" s="85" t="s">
        <v>3083</v>
      </c>
      <c r="G24" s="85" t="s">
        <v>3084</v>
      </c>
      <c r="H24" s="85" t="s">
        <v>3071</v>
      </c>
      <c r="I24" s="85"/>
      <c r="J24" s="85" t="s">
        <v>1086</v>
      </c>
      <c r="K24" s="85" t="s">
        <v>1204</v>
      </c>
      <c r="L24" s="85" t="s">
        <v>1205</v>
      </c>
      <c r="M24" s="85"/>
      <c r="N24" s="85"/>
      <c r="O24" s="85" t="s">
        <v>3150</v>
      </c>
      <c r="P24" s="85">
        <v>2</v>
      </c>
      <c r="Q24" s="85">
        <v>1</v>
      </c>
      <c r="R24" s="90" t="s">
        <v>35</v>
      </c>
      <c r="S24" s="1" t="s">
        <v>9</v>
      </c>
    </row>
    <row r="25" spans="1:19">
      <c r="A25" s="89" t="s">
        <v>3337</v>
      </c>
      <c r="B25" s="85" t="s">
        <v>3498</v>
      </c>
      <c r="C25" s="85" t="s">
        <v>2490</v>
      </c>
      <c r="D25" s="85" t="s">
        <v>1248</v>
      </c>
      <c r="E25" s="85">
        <v>5</v>
      </c>
      <c r="F25" s="85" t="s">
        <v>3083</v>
      </c>
      <c r="G25" s="85" t="s">
        <v>3084</v>
      </c>
      <c r="H25" s="85" t="s">
        <v>3053</v>
      </c>
      <c r="I25" s="85"/>
      <c r="J25" s="85" t="s">
        <v>1228</v>
      </c>
      <c r="K25" s="85" t="s">
        <v>1229</v>
      </c>
      <c r="L25" s="85"/>
      <c r="M25" s="85"/>
      <c r="N25" s="85"/>
      <c r="O25" s="85" t="s">
        <v>3150</v>
      </c>
      <c r="P25" s="85">
        <v>2</v>
      </c>
      <c r="Q25" s="85">
        <v>2</v>
      </c>
      <c r="R25" s="90" t="s">
        <v>48</v>
      </c>
      <c r="S25" s="1" t="s">
        <v>9</v>
      </c>
    </row>
    <row r="26" spans="1:19">
      <c r="A26" s="89" t="s">
        <v>3338</v>
      </c>
      <c r="B26" s="85" t="s">
        <v>3498</v>
      </c>
      <c r="C26" s="85" t="s">
        <v>2493</v>
      </c>
      <c r="D26" s="85" t="s">
        <v>1250</v>
      </c>
      <c r="E26" s="85">
        <v>6</v>
      </c>
      <c r="F26" s="85" t="s">
        <v>3087</v>
      </c>
      <c r="G26" s="85" t="s">
        <v>3084</v>
      </c>
      <c r="H26" s="85" t="s">
        <v>3075</v>
      </c>
      <c r="I26" s="85"/>
      <c r="J26" s="85" t="s">
        <v>1232</v>
      </c>
      <c r="K26" s="85" t="s">
        <v>1254</v>
      </c>
      <c r="L26" s="85"/>
      <c r="M26" s="85"/>
      <c r="N26" s="85"/>
      <c r="O26" s="85"/>
      <c r="P26" s="85">
        <v>4</v>
      </c>
      <c r="Q26" s="85">
        <v>5</v>
      </c>
      <c r="R26" s="90" t="s">
        <v>53</v>
      </c>
      <c r="S26" s="1" t="s">
        <v>9</v>
      </c>
    </row>
    <row r="27" spans="1:19">
      <c r="A27" s="89" t="s">
        <v>3339</v>
      </c>
      <c r="B27" s="85"/>
      <c r="C27" s="85" t="s">
        <v>10281</v>
      </c>
      <c r="D27" s="85" t="s">
        <v>1101</v>
      </c>
      <c r="E27" s="85"/>
      <c r="F27" s="85" t="s">
        <v>3403</v>
      </c>
      <c r="G27" s="85"/>
      <c r="H27" s="85"/>
      <c r="I27" s="85"/>
      <c r="J27" s="85" t="s">
        <v>902</v>
      </c>
      <c r="K27" s="85" t="s">
        <v>10282</v>
      </c>
      <c r="L27" s="85"/>
      <c r="M27" s="85"/>
      <c r="N27" s="85"/>
      <c r="O27" s="85"/>
      <c r="P27" s="85"/>
      <c r="Q27" s="85"/>
      <c r="R27" s="90" t="s">
        <v>36</v>
      </c>
      <c r="S27" s="1" t="s">
        <v>9</v>
      </c>
    </row>
    <row r="28" spans="1:19">
      <c r="A28" s="89" t="s">
        <v>3340</v>
      </c>
      <c r="B28" s="85" t="s">
        <v>13432</v>
      </c>
      <c r="C28" s="85" t="s">
        <v>10294</v>
      </c>
      <c r="D28" s="85" t="s">
        <v>1103</v>
      </c>
      <c r="E28" s="85"/>
      <c r="F28" s="85" t="s">
        <v>3403</v>
      </c>
      <c r="G28" s="85"/>
      <c r="H28" s="85"/>
      <c r="I28" s="85"/>
      <c r="J28" s="85" t="s">
        <v>10295</v>
      </c>
      <c r="K28" s="85"/>
      <c r="L28" s="85"/>
      <c r="M28" s="85"/>
      <c r="N28" s="85"/>
      <c r="O28" s="85"/>
      <c r="P28" s="85"/>
      <c r="Q28" s="85"/>
      <c r="R28" s="90" t="s">
        <v>30</v>
      </c>
      <c r="S28" s="1" t="s">
        <v>9</v>
      </c>
    </row>
    <row r="29" spans="1:19">
      <c r="A29" s="89" t="s">
        <v>3341</v>
      </c>
      <c r="B29" s="85"/>
      <c r="C29" s="85" t="s">
        <v>10116</v>
      </c>
      <c r="D29" s="85" t="s">
        <v>1103</v>
      </c>
      <c r="E29" s="85"/>
      <c r="F29" s="85" t="s">
        <v>3399</v>
      </c>
      <c r="G29" s="85"/>
      <c r="H29" s="85"/>
      <c r="I29" s="85"/>
      <c r="J29" s="85" t="s">
        <v>10117</v>
      </c>
      <c r="K29" s="85"/>
      <c r="L29" s="85"/>
      <c r="M29" s="85"/>
      <c r="N29" s="85"/>
      <c r="O29" s="85"/>
      <c r="P29" s="85"/>
      <c r="Q29" s="85"/>
      <c r="R29" s="90" t="s">
        <v>48</v>
      </c>
      <c r="S29" s="1" t="s">
        <v>9</v>
      </c>
    </row>
    <row r="30" spans="1:19">
      <c r="A30" s="89" t="s">
        <v>3342</v>
      </c>
      <c r="B30" s="85"/>
      <c r="C30" s="85" t="s">
        <v>10099</v>
      </c>
      <c r="D30" s="85" t="s">
        <v>1101</v>
      </c>
      <c r="E30" s="85"/>
      <c r="F30" s="85" t="s">
        <v>3399</v>
      </c>
      <c r="G30" s="85"/>
      <c r="H30" s="85"/>
      <c r="I30" s="85"/>
      <c r="J30" s="85" t="s">
        <v>10100</v>
      </c>
      <c r="K30" s="85"/>
      <c r="L30" s="85"/>
      <c r="M30" s="85"/>
      <c r="N30" s="85"/>
      <c r="O30" s="85"/>
      <c r="P30" s="85"/>
      <c r="Q30" s="85"/>
      <c r="R30" s="90" t="s">
        <v>30</v>
      </c>
      <c r="S30" s="1" t="s">
        <v>9</v>
      </c>
    </row>
    <row r="31" spans="1:19">
      <c r="A31" s="100" t="s">
        <v>3361</v>
      </c>
      <c r="B31" s="94" t="s">
        <v>8730</v>
      </c>
      <c r="C31" s="94" t="s">
        <v>9855</v>
      </c>
      <c r="D31" s="94" t="s">
        <v>1100</v>
      </c>
      <c r="E31" s="94">
        <v>2</v>
      </c>
      <c r="F31" s="94" t="s">
        <v>1526</v>
      </c>
      <c r="G31" s="94"/>
      <c r="H31" s="94"/>
      <c r="I31" s="94"/>
      <c r="J31" s="94" t="s">
        <v>9856</v>
      </c>
      <c r="K31" s="94" t="s">
        <v>9857</v>
      </c>
      <c r="L31" s="94"/>
      <c r="M31" s="94"/>
      <c r="N31" s="94"/>
      <c r="O31" s="94"/>
      <c r="P31" s="94"/>
      <c r="Q31" s="94"/>
      <c r="R31" s="95"/>
      <c r="S31" s="1" t="s">
        <v>9</v>
      </c>
    </row>
    <row r="32" spans="1:19" ht="14.25" thickBot="1">
      <c r="A32" s="91"/>
      <c r="B32" s="92" t="s">
        <v>3490</v>
      </c>
      <c r="C32" s="92" t="s">
        <v>5186</v>
      </c>
      <c r="D32" s="92"/>
      <c r="E32" s="92"/>
      <c r="F32" s="92" t="s">
        <v>3617</v>
      </c>
      <c r="G32" s="92"/>
      <c r="H32" s="92"/>
      <c r="I32" s="92"/>
      <c r="J32" s="92" t="s">
        <v>9858</v>
      </c>
      <c r="K32" s="92" t="s">
        <v>9859</v>
      </c>
      <c r="L32" s="92" t="s">
        <v>9860</v>
      </c>
      <c r="M32" s="92"/>
      <c r="N32" s="92"/>
      <c r="O32" s="92"/>
      <c r="P32" s="92"/>
      <c r="Q32" s="92"/>
      <c r="R32" s="93" t="s">
        <v>30</v>
      </c>
      <c r="S32" s="1" t="s">
        <v>9</v>
      </c>
    </row>
    <row r="33" spans="1:19">
      <c r="A33" s="86" t="s">
        <v>3343</v>
      </c>
      <c r="B33" s="87" t="s">
        <v>3498</v>
      </c>
      <c r="C33" s="87" t="s">
        <v>2676</v>
      </c>
      <c r="D33" s="87" t="s">
        <v>1374</v>
      </c>
      <c r="E33" s="87">
        <v>3</v>
      </c>
      <c r="F33" s="87" t="s">
        <v>3083</v>
      </c>
      <c r="G33" s="87" t="s">
        <v>3084</v>
      </c>
      <c r="H33" s="87" t="s">
        <v>3071</v>
      </c>
      <c r="I33" s="87" t="s">
        <v>3079</v>
      </c>
      <c r="J33" s="87" t="s">
        <v>1094</v>
      </c>
      <c r="K33" s="87" t="s">
        <v>3947</v>
      </c>
      <c r="L33" s="87"/>
      <c r="M33" s="87"/>
      <c r="N33" s="87" t="s">
        <v>13316</v>
      </c>
      <c r="O33" s="87"/>
      <c r="P33" s="87">
        <v>3</v>
      </c>
      <c r="Q33" s="87">
        <v>2</v>
      </c>
      <c r="R33" s="88"/>
    </row>
    <row r="34" spans="1:19">
      <c r="A34" s="85"/>
      <c r="B34" s="85"/>
      <c r="C34" s="85" t="s">
        <v>2677</v>
      </c>
      <c r="D34" s="85" t="s">
        <v>3096</v>
      </c>
      <c r="E34" s="85">
        <v>3</v>
      </c>
      <c r="F34" s="85" t="s">
        <v>3083</v>
      </c>
      <c r="G34" s="85" t="s">
        <v>3079</v>
      </c>
      <c r="H34" s="85"/>
      <c r="I34" s="85"/>
      <c r="J34" s="85" t="s">
        <v>1491</v>
      </c>
      <c r="K34" s="85" t="s">
        <v>3935</v>
      </c>
      <c r="L34" s="85"/>
      <c r="M34" s="85"/>
      <c r="N34" s="85" t="s">
        <v>13316</v>
      </c>
      <c r="O34" s="85" t="s">
        <v>3150</v>
      </c>
      <c r="P34" s="85">
        <v>4</v>
      </c>
      <c r="Q34" s="85">
        <v>3</v>
      </c>
      <c r="R34" s="90" t="s">
        <v>46</v>
      </c>
      <c r="S34" s="1" t="s">
        <v>9</v>
      </c>
    </row>
    <row r="35" spans="1:19">
      <c r="A35" s="85" t="s">
        <v>3344</v>
      </c>
      <c r="B35" s="85" t="s">
        <v>3498</v>
      </c>
      <c r="C35" s="85" t="s">
        <v>2686</v>
      </c>
      <c r="D35" s="85" t="s">
        <v>1374</v>
      </c>
      <c r="E35" s="85">
        <v>3</v>
      </c>
      <c r="F35" s="85" t="s">
        <v>3087</v>
      </c>
      <c r="G35" s="85" t="s">
        <v>3084</v>
      </c>
      <c r="H35" s="85" t="s">
        <v>3055</v>
      </c>
      <c r="I35" s="85"/>
      <c r="J35" s="85" t="s">
        <v>0</v>
      </c>
      <c r="K35" s="85" t="s">
        <v>1542</v>
      </c>
      <c r="L35" s="85"/>
      <c r="M35" s="85"/>
      <c r="N35" s="85"/>
      <c r="O35" s="85"/>
      <c r="P35" s="85">
        <v>3</v>
      </c>
      <c r="Q35" s="85">
        <v>2</v>
      </c>
      <c r="R35" s="90" t="s">
        <v>53</v>
      </c>
      <c r="S35" s="1" t="s">
        <v>9</v>
      </c>
    </row>
    <row r="36" spans="1:19">
      <c r="A36" s="85" t="s">
        <v>3345</v>
      </c>
      <c r="B36" s="85" t="s">
        <v>3498</v>
      </c>
      <c r="C36" s="85" t="s">
        <v>2697</v>
      </c>
      <c r="D36" s="85" t="s">
        <v>1378</v>
      </c>
      <c r="E36" s="85">
        <v>4</v>
      </c>
      <c r="F36" s="85" t="s">
        <v>3083</v>
      </c>
      <c r="G36" s="85" t="s">
        <v>3084</v>
      </c>
      <c r="H36" s="85" t="s">
        <v>3075</v>
      </c>
      <c r="I36" s="85" t="s">
        <v>3079</v>
      </c>
      <c r="J36" s="85" t="s">
        <v>3952</v>
      </c>
      <c r="K36" s="85"/>
      <c r="L36" s="85"/>
      <c r="M36" s="85"/>
      <c r="N36" s="85" t="s">
        <v>13316</v>
      </c>
      <c r="O36" s="85"/>
      <c r="P36" s="85">
        <v>3</v>
      </c>
      <c r="Q36" s="85">
        <v>2</v>
      </c>
      <c r="R36" s="90"/>
    </row>
    <row r="37" spans="1:19">
      <c r="A37" s="85"/>
      <c r="B37" s="85"/>
      <c r="C37" s="85" t="s">
        <v>2698</v>
      </c>
      <c r="D37" s="85" t="s">
        <v>3096</v>
      </c>
      <c r="E37" s="85">
        <v>4</v>
      </c>
      <c r="F37" s="85" t="s">
        <v>3083</v>
      </c>
      <c r="G37" s="85" t="s">
        <v>3079</v>
      </c>
      <c r="H37" s="85"/>
      <c r="I37" s="85"/>
      <c r="J37" s="85" t="s">
        <v>1511</v>
      </c>
      <c r="K37" s="85" t="s">
        <v>5182</v>
      </c>
      <c r="L37" s="85"/>
      <c r="M37" s="85"/>
      <c r="N37" s="85" t="s">
        <v>13316</v>
      </c>
      <c r="O37" s="85"/>
      <c r="P37" s="85">
        <v>5</v>
      </c>
      <c r="Q37" s="85">
        <v>5</v>
      </c>
      <c r="R37" s="90" t="s">
        <v>44</v>
      </c>
      <c r="S37" s="1" t="s">
        <v>9</v>
      </c>
    </row>
    <row r="38" spans="1:19">
      <c r="A38" s="85" t="s">
        <v>3346</v>
      </c>
      <c r="B38" s="85" t="s">
        <v>3498</v>
      </c>
      <c r="C38" s="85" t="s">
        <v>2700</v>
      </c>
      <c r="D38" s="85" t="s">
        <v>1385</v>
      </c>
      <c r="E38" s="85">
        <v>5</v>
      </c>
      <c r="F38" s="85" t="s">
        <v>3083</v>
      </c>
      <c r="G38" s="85" t="s">
        <v>3084</v>
      </c>
      <c r="H38" s="85" t="s">
        <v>3058</v>
      </c>
      <c r="I38" s="85"/>
      <c r="J38" s="85" t="s">
        <v>21</v>
      </c>
      <c r="K38" s="85" t="s">
        <v>24</v>
      </c>
      <c r="L38" s="85"/>
      <c r="M38" s="85"/>
      <c r="N38" s="85"/>
      <c r="O38" s="85"/>
      <c r="P38" s="85">
        <v>3</v>
      </c>
      <c r="Q38" s="85">
        <v>3</v>
      </c>
      <c r="R38" s="90" t="s">
        <v>38</v>
      </c>
      <c r="S38" s="1" t="s">
        <v>9</v>
      </c>
    </row>
    <row r="39" spans="1:19">
      <c r="A39" s="89" t="s">
        <v>3347</v>
      </c>
      <c r="B39" s="85"/>
      <c r="C39" s="85" t="s">
        <v>11689</v>
      </c>
      <c r="D39" s="85" t="s">
        <v>10337</v>
      </c>
      <c r="E39" s="85"/>
      <c r="F39" s="85" t="s">
        <v>3399</v>
      </c>
      <c r="G39" s="85"/>
      <c r="H39" s="85"/>
      <c r="I39" s="85"/>
      <c r="J39" s="85" t="s">
        <v>11690</v>
      </c>
      <c r="K39" s="85" t="s">
        <v>11691</v>
      </c>
      <c r="L39" s="85"/>
      <c r="M39" s="85"/>
      <c r="N39" s="85"/>
      <c r="O39" s="85"/>
      <c r="P39" s="85"/>
      <c r="Q39" s="85"/>
      <c r="R39" s="90" t="s">
        <v>5685</v>
      </c>
      <c r="S39" s="1" t="s">
        <v>9</v>
      </c>
    </row>
    <row r="40" spans="1:19">
      <c r="A40" s="89" t="s">
        <v>3348</v>
      </c>
      <c r="B40" s="85"/>
      <c r="C40" s="85" t="s">
        <v>11708</v>
      </c>
      <c r="D40" s="85" t="s">
        <v>1372</v>
      </c>
      <c r="E40" s="85"/>
      <c r="F40" s="85" t="s">
        <v>3399</v>
      </c>
      <c r="G40" s="85"/>
      <c r="H40" s="85"/>
      <c r="I40" s="85"/>
      <c r="J40" s="85" t="s">
        <v>11709</v>
      </c>
      <c r="K40" s="85" t="s">
        <v>11710</v>
      </c>
      <c r="L40" s="85"/>
      <c r="M40" s="85"/>
      <c r="N40" s="85"/>
      <c r="O40" s="85"/>
      <c r="P40" s="85"/>
      <c r="Q40" s="85"/>
      <c r="R40" s="90" t="s">
        <v>6</v>
      </c>
      <c r="S40" s="1" t="s">
        <v>9</v>
      </c>
    </row>
    <row r="41" spans="1:19">
      <c r="A41" s="89" t="s">
        <v>3349</v>
      </c>
      <c r="B41" s="85"/>
      <c r="C41" s="85" t="s">
        <v>11905</v>
      </c>
      <c r="D41" s="85" t="s">
        <v>1464</v>
      </c>
      <c r="E41" s="85"/>
      <c r="F41" s="85" t="s">
        <v>3403</v>
      </c>
      <c r="G41" s="85"/>
      <c r="H41" s="85"/>
      <c r="I41" s="85"/>
      <c r="J41" s="85" t="s">
        <v>8613</v>
      </c>
      <c r="K41" s="85"/>
      <c r="L41" s="85"/>
      <c r="M41" s="85"/>
      <c r="N41" s="85"/>
      <c r="O41" s="85"/>
      <c r="P41" s="85"/>
      <c r="Q41" s="85"/>
      <c r="R41" s="90" t="s">
        <v>181</v>
      </c>
      <c r="S41" s="1" t="s">
        <v>9</v>
      </c>
    </row>
    <row r="42" spans="1:19">
      <c r="A42" s="89" t="s">
        <v>3350</v>
      </c>
      <c r="B42" s="85"/>
      <c r="C42" s="85" t="s">
        <v>11937</v>
      </c>
      <c r="D42" s="85" t="s">
        <v>1385</v>
      </c>
      <c r="E42" s="85"/>
      <c r="F42" s="85" t="s">
        <v>3403</v>
      </c>
      <c r="G42" s="85"/>
      <c r="H42" s="85"/>
      <c r="I42" s="85"/>
      <c r="J42" s="85" t="s">
        <v>7010</v>
      </c>
      <c r="K42" s="85" t="s">
        <v>11938</v>
      </c>
      <c r="L42" s="85"/>
      <c r="M42" s="85"/>
      <c r="N42" s="85"/>
      <c r="O42" s="85"/>
      <c r="P42" s="85"/>
      <c r="Q42" s="85"/>
      <c r="R42" s="90" t="s">
        <v>31</v>
      </c>
      <c r="S42" s="1" t="s">
        <v>9</v>
      </c>
    </row>
    <row r="43" spans="1:19" ht="14.25" thickBot="1">
      <c r="A43" s="91" t="s">
        <v>3360</v>
      </c>
      <c r="B43" s="92"/>
      <c r="C43" s="92" t="s">
        <v>11608</v>
      </c>
      <c r="D43" s="92" t="s">
        <v>1385</v>
      </c>
      <c r="E43" s="92"/>
      <c r="F43" s="92" t="s">
        <v>3434</v>
      </c>
      <c r="G43" s="92"/>
      <c r="H43" s="92"/>
      <c r="I43" s="92"/>
      <c r="J43" s="92" t="s">
        <v>3</v>
      </c>
      <c r="K43" s="92" t="s">
        <v>11609</v>
      </c>
      <c r="L43" s="92"/>
      <c r="M43" s="92"/>
      <c r="N43" s="92"/>
      <c r="O43" s="92"/>
      <c r="P43" s="92"/>
      <c r="Q43" s="92"/>
      <c r="R43" s="93" t="s">
        <v>27</v>
      </c>
      <c r="S43" s="1" t="s">
        <v>9</v>
      </c>
    </row>
    <row r="44" spans="1:19">
      <c r="A44" s="86" t="s">
        <v>3351</v>
      </c>
      <c r="B44" s="87" t="s">
        <v>3498</v>
      </c>
      <c r="C44" s="87" t="s">
        <v>2856</v>
      </c>
      <c r="D44" s="87" t="s">
        <v>1611</v>
      </c>
      <c r="E44" s="87">
        <v>2</v>
      </c>
      <c r="F44" s="87" t="s">
        <v>3083</v>
      </c>
      <c r="G44" s="87" t="s">
        <v>3084</v>
      </c>
      <c r="H44" s="87" t="s">
        <v>3059</v>
      </c>
      <c r="I44" s="87" t="s">
        <v>3079</v>
      </c>
      <c r="J44" s="87" t="s">
        <v>1704</v>
      </c>
      <c r="K44" s="87" t="s">
        <v>3960</v>
      </c>
      <c r="L44" s="87"/>
      <c r="M44" s="87"/>
      <c r="N44" s="87" t="s">
        <v>13316</v>
      </c>
      <c r="O44" s="87"/>
      <c r="P44" s="87">
        <v>1</v>
      </c>
      <c r="Q44" s="87">
        <v>1</v>
      </c>
      <c r="R44" s="88"/>
    </row>
    <row r="45" spans="1:19">
      <c r="A45" s="85"/>
      <c r="B45" s="85"/>
      <c r="C45" s="85" t="s">
        <v>2857</v>
      </c>
      <c r="D45" s="85" t="s">
        <v>3103</v>
      </c>
      <c r="E45" s="85">
        <v>2</v>
      </c>
      <c r="F45" s="85" t="s">
        <v>3083</v>
      </c>
      <c r="G45" s="85" t="s">
        <v>3079</v>
      </c>
      <c r="H45" s="85"/>
      <c r="I45" s="85"/>
      <c r="J45" s="85" t="s">
        <v>1705</v>
      </c>
      <c r="K45" s="85" t="s">
        <v>1706</v>
      </c>
      <c r="L45" s="85" t="s">
        <v>3975</v>
      </c>
      <c r="M45" s="85"/>
      <c r="N45" s="85" t="s">
        <v>13316</v>
      </c>
      <c r="O45" s="85"/>
      <c r="P45" s="85">
        <v>3</v>
      </c>
      <c r="Q45" s="85">
        <v>3</v>
      </c>
      <c r="R45" s="90" t="s">
        <v>45</v>
      </c>
      <c r="S45" s="1" t="s">
        <v>9</v>
      </c>
    </row>
    <row r="46" spans="1:19">
      <c r="A46" s="85" t="s">
        <v>3352</v>
      </c>
      <c r="B46" s="85" t="s">
        <v>3498</v>
      </c>
      <c r="C46" s="85" t="s">
        <v>2871</v>
      </c>
      <c r="D46" s="85" t="s">
        <v>1618</v>
      </c>
      <c r="E46" s="85">
        <v>3</v>
      </c>
      <c r="F46" s="85" t="s">
        <v>3083</v>
      </c>
      <c r="G46" s="85" t="s">
        <v>3084</v>
      </c>
      <c r="H46" s="85" t="s">
        <v>3064</v>
      </c>
      <c r="I46" s="85"/>
      <c r="J46" s="85" t="s">
        <v>1720</v>
      </c>
      <c r="K46" s="85"/>
      <c r="L46" s="85"/>
      <c r="M46" s="85"/>
      <c r="N46" s="85"/>
      <c r="O46" s="85"/>
      <c r="P46" s="85">
        <v>3</v>
      </c>
      <c r="Q46" s="85">
        <v>2</v>
      </c>
      <c r="R46" s="90" t="s">
        <v>39</v>
      </c>
      <c r="S46" s="1" t="s">
        <v>9</v>
      </c>
    </row>
    <row r="47" spans="1:19">
      <c r="A47" s="85" t="s">
        <v>3353</v>
      </c>
      <c r="B47" s="85" t="s">
        <v>3498</v>
      </c>
      <c r="C47" s="85" t="s">
        <v>2879</v>
      </c>
      <c r="D47" s="85" t="s">
        <v>1618</v>
      </c>
      <c r="E47" s="85">
        <v>3</v>
      </c>
      <c r="F47" s="85" t="s">
        <v>3087</v>
      </c>
      <c r="G47" s="85" t="s">
        <v>3084</v>
      </c>
      <c r="H47" s="85" t="s">
        <v>3055</v>
      </c>
      <c r="I47" s="85"/>
      <c r="J47" s="85" t="s">
        <v>20</v>
      </c>
      <c r="K47" s="85" t="s">
        <v>1766</v>
      </c>
      <c r="L47" s="85"/>
      <c r="M47" s="85"/>
      <c r="N47" s="85"/>
      <c r="O47" s="85"/>
      <c r="P47" s="85">
        <v>4</v>
      </c>
      <c r="Q47" s="85">
        <v>2</v>
      </c>
      <c r="R47" s="90" t="s">
        <v>53</v>
      </c>
      <c r="S47" s="1" t="s">
        <v>9</v>
      </c>
    </row>
    <row r="48" spans="1:19">
      <c r="A48" s="85" t="s">
        <v>3354</v>
      </c>
      <c r="B48" s="85" t="s">
        <v>3498</v>
      </c>
      <c r="C48" s="85" t="s">
        <v>2888</v>
      </c>
      <c r="D48" s="85" t="s">
        <v>1622</v>
      </c>
      <c r="E48" s="85">
        <v>5</v>
      </c>
      <c r="F48" s="85" t="s">
        <v>3083</v>
      </c>
      <c r="G48" s="85" t="s">
        <v>3084</v>
      </c>
      <c r="H48" s="85" t="s">
        <v>3075</v>
      </c>
      <c r="I48" s="85" t="s">
        <v>3079</v>
      </c>
      <c r="J48" s="85" t="s">
        <v>1735</v>
      </c>
      <c r="K48" s="85" t="s">
        <v>1736</v>
      </c>
      <c r="L48" s="85" t="s">
        <v>3968</v>
      </c>
      <c r="M48" s="85"/>
      <c r="N48" s="85" t="s">
        <v>13316</v>
      </c>
      <c r="O48" s="85" t="s">
        <v>3150</v>
      </c>
      <c r="P48" s="85" t="s">
        <v>4048</v>
      </c>
      <c r="Q48" s="85" t="s">
        <v>4048</v>
      </c>
      <c r="R48" s="90"/>
    </row>
    <row r="49" spans="1:19">
      <c r="A49" s="85"/>
      <c r="B49" s="85"/>
      <c r="C49" s="85" t="s">
        <v>2889</v>
      </c>
      <c r="D49" s="85" t="s">
        <v>3103</v>
      </c>
      <c r="E49" s="85">
        <v>5</v>
      </c>
      <c r="F49" s="85" t="s">
        <v>3083</v>
      </c>
      <c r="G49" s="85" t="s">
        <v>3079</v>
      </c>
      <c r="H49" s="85"/>
      <c r="I49" s="85"/>
      <c r="J49" s="85" t="s">
        <v>1737</v>
      </c>
      <c r="K49" s="85" t="s">
        <v>1738</v>
      </c>
      <c r="L49" s="85" t="s">
        <v>3982</v>
      </c>
      <c r="M49" s="85"/>
      <c r="N49" s="85" t="s">
        <v>13316</v>
      </c>
      <c r="O49" s="85"/>
      <c r="P49" s="85" t="s">
        <v>4048</v>
      </c>
      <c r="Q49" s="85" t="s">
        <v>4048</v>
      </c>
      <c r="R49" s="90" t="s">
        <v>46</v>
      </c>
      <c r="S49" s="1" t="s">
        <v>9</v>
      </c>
    </row>
    <row r="50" spans="1:19">
      <c r="A50" s="85" t="s">
        <v>3355</v>
      </c>
      <c r="B50" s="85" t="s">
        <v>3498</v>
      </c>
      <c r="C50" s="85" t="s">
        <v>2893</v>
      </c>
      <c r="D50" s="85" t="s">
        <v>1765</v>
      </c>
      <c r="E50" s="85">
        <v>8</v>
      </c>
      <c r="F50" s="85" t="s">
        <v>3083</v>
      </c>
      <c r="G50" s="85" t="s">
        <v>3084</v>
      </c>
      <c r="H50" s="85" t="s">
        <v>3075</v>
      </c>
      <c r="I50" s="85"/>
      <c r="J50" s="85" t="s">
        <v>1744</v>
      </c>
      <c r="K50" s="85"/>
      <c r="L50" s="85"/>
      <c r="M50" s="85"/>
      <c r="N50" s="85"/>
      <c r="O50" s="85"/>
      <c r="P50" s="85">
        <v>1</v>
      </c>
      <c r="Q50" s="85">
        <v>1</v>
      </c>
      <c r="R50" s="90" t="s">
        <v>170</v>
      </c>
      <c r="S50" s="1" t="s">
        <v>9</v>
      </c>
    </row>
    <row r="51" spans="1:19">
      <c r="A51" s="89" t="s">
        <v>3356</v>
      </c>
      <c r="B51" s="85"/>
      <c r="C51" s="85" t="s">
        <v>12966</v>
      </c>
      <c r="D51" s="85" t="s">
        <v>12757</v>
      </c>
      <c r="E51" s="85"/>
      <c r="F51" s="85" t="s">
        <v>3403</v>
      </c>
      <c r="G51" s="85"/>
      <c r="H51" s="85"/>
      <c r="I51" s="85"/>
      <c r="J51" s="85" t="s">
        <v>12967</v>
      </c>
      <c r="K51" s="85"/>
      <c r="L51" s="85"/>
      <c r="M51" s="85"/>
      <c r="N51" s="85"/>
      <c r="O51" s="85"/>
      <c r="P51" s="85"/>
      <c r="Q51" s="85"/>
      <c r="R51" s="90" t="s">
        <v>40</v>
      </c>
      <c r="S51" s="1" t="s">
        <v>9</v>
      </c>
    </row>
    <row r="52" spans="1:19">
      <c r="A52" s="89" t="s">
        <v>3357</v>
      </c>
      <c r="B52" s="85"/>
      <c r="C52" s="85" t="s">
        <v>12992</v>
      </c>
      <c r="D52" s="85" t="s">
        <v>4898</v>
      </c>
      <c r="E52" s="85"/>
      <c r="F52" s="85" t="s">
        <v>3399</v>
      </c>
      <c r="G52" s="85"/>
      <c r="H52" s="85"/>
      <c r="I52" s="85"/>
      <c r="J52" s="85" t="s">
        <v>12993</v>
      </c>
      <c r="K52" s="85"/>
      <c r="L52" s="85"/>
      <c r="M52" s="85"/>
      <c r="N52" s="85"/>
      <c r="O52" s="85"/>
      <c r="P52" s="85"/>
      <c r="Q52" s="85"/>
      <c r="R52" s="90" t="s">
        <v>169</v>
      </c>
      <c r="S52" s="1" t="s">
        <v>9</v>
      </c>
    </row>
    <row r="53" spans="1:19">
      <c r="A53" s="89" t="s">
        <v>3358</v>
      </c>
      <c r="B53" s="85"/>
      <c r="C53" s="85" t="s">
        <v>13002</v>
      </c>
      <c r="D53" s="85" t="s">
        <v>1686</v>
      </c>
      <c r="E53" s="85"/>
      <c r="F53" s="85" t="s">
        <v>3399</v>
      </c>
      <c r="G53" s="85"/>
      <c r="H53" s="85"/>
      <c r="I53" s="85"/>
      <c r="J53" s="85" t="s">
        <v>13003</v>
      </c>
      <c r="K53" s="85"/>
      <c r="L53" s="85"/>
      <c r="M53" s="85"/>
      <c r="N53" s="85"/>
      <c r="O53" s="85"/>
      <c r="P53" s="85"/>
      <c r="Q53" s="85"/>
      <c r="R53" s="90" t="s">
        <v>29</v>
      </c>
      <c r="S53" s="1" t="s">
        <v>9</v>
      </c>
    </row>
    <row r="54" spans="1:19" ht="14.25" thickBot="1">
      <c r="A54" s="91" t="s">
        <v>3359</v>
      </c>
      <c r="B54" s="92"/>
      <c r="C54" s="92" t="s">
        <v>13224</v>
      </c>
      <c r="D54" s="92" t="s">
        <v>1620</v>
      </c>
      <c r="E54" s="92"/>
      <c r="F54" s="92" t="s">
        <v>3434</v>
      </c>
      <c r="G54" s="92"/>
      <c r="H54" s="92"/>
      <c r="I54" s="92"/>
      <c r="J54" s="92" t="s">
        <v>13225</v>
      </c>
      <c r="K54" s="92"/>
      <c r="L54" s="92"/>
      <c r="M54" s="92"/>
      <c r="N54" s="92"/>
      <c r="O54" s="92"/>
      <c r="P54" s="92"/>
      <c r="Q54" s="92"/>
      <c r="R54" s="93" t="s">
        <v>36</v>
      </c>
      <c r="S54" s="1" t="s">
        <v>9</v>
      </c>
    </row>
    <row r="55" spans="1:19">
      <c r="A55" s="86" t="s">
        <v>3364</v>
      </c>
      <c r="B55" s="87" t="s">
        <v>3498</v>
      </c>
      <c r="C55" s="87" t="s">
        <v>4142</v>
      </c>
      <c r="D55" s="87" t="s">
        <v>1788</v>
      </c>
      <c r="E55" s="87">
        <v>3</v>
      </c>
      <c r="F55" s="87" t="s">
        <v>3434</v>
      </c>
      <c r="G55" s="87" t="s">
        <v>3402</v>
      </c>
      <c r="H55" s="87"/>
      <c r="I55" s="87"/>
      <c r="J55" s="87" t="s">
        <v>3401</v>
      </c>
      <c r="K55" s="87" t="s">
        <v>4143</v>
      </c>
      <c r="L55" s="87"/>
      <c r="M55" s="87"/>
      <c r="N55" s="87"/>
      <c r="O55" s="87"/>
      <c r="P55" s="87"/>
      <c r="Q55" s="87"/>
      <c r="R55" s="88" t="s">
        <v>46</v>
      </c>
      <c r="S55" s="1" t="s">
        <v>9</v>
      </c>
    </row>
    <row r="56" spans="1:19">
      <c r="A56" s="89" t="s">
        <v>3365</v>
      </c>
      <c r="B56" s="85" t="s">
        <v>3758</v>
      </c>
      <c r="C56" s="85" t="s">
        <v>4169</v>
      </c>
      <c r="D56" s="85" t="s">
        <v>4170</v>
      </c>
      <c r="E56" s="85">
        <v>4</v>
      </c>
      <c r="F56" s="85" t="s">
        <v>3399</v>
      </c>
      <c r="G56" s="85"/>
      <c r="H56" s="85"/>
      <c r="I56" s="85"/>
      <c r="J56" s="85" t="s">
        <v>4171</v>
      </c>
      <c r="K56" s="85" t="s">
        <v>4172</v>
      </c>
      <c r="L56" s="85"/>
      <c r="M56" s="85"/>
      <c r="N56" s="85"/>
      <c r="O56" s="85"/>
      <c r="P56" s="85"/>
      <c r="Q56" s="85"/>
      <c r="R56" s="90" t="s">
        <v>6</v>
      </c>
      <c r="S56" s="1" t="s">
        <v>9</v>
      </c>
    </row>
    <row r="57" spans="1:19">
      <c r="A57" s="89" t="s">
        <v>3366</v>
      </c>
      <c r="B57" s="85" t="s">
        <v>3498</v>
      </c>
      <c r="C57" s="85" t="s">
        <v>2998</v>
      </c>
      <c r="D57" s="85" t="s">
        <v>1815</v>
      </c>
      <c r="E57" s="85">
        <v>4</v>
      </c>
      <c r="F57" s="85" t="s">
        <v>3083</v>
      </c>
      <c r="G57" s="85" t="s">
        <v>3084</v>
      </c>
      <c r="H57" s="85" t="s">
        <v>3070</v>
      </c>
      <c r="I57" s="85"/>
      <c r="J57" s="85" t="s">
        <v>1840</v>
      </c>
      <c r="K57" s="85"/>
      <c r="L57" s="85"/>
      <c r="M57" s="85"/>
      <c r="N57" s="85"/>
      <c r="O57" s="85"/>
      <c r="P57" s="85" t="s">
        <v>4045</v>
      </c>
      <c r="Q57" s="85">
        <v>3</v>
      </c>
      <c r="R57" s="90" t="s">
        <v>30</v>
      </c>
      <c r="S57" s="1" t="s">
        <v>9</v>
      </c>
    </row>
    <row r="58" spans="1:19">
      <c r="A58" s="89" t="s">
        <v>3367</v>
      </c>
      <c r="B58" s="85" t="s">
        <v>3759</v>
      </c>
      <c r="C58" s="85" t="s">
        <v>4346</v>
      </c>
      <c r="D58" s="85" t="s">
        <v>1816</v>
      </c>
      <c r="E58" s="85">
        <v>5</v>
      </c>
      <c r="F58" s="85" t="s">
        <v>3403</v>
      </c>
      <c r="G58" s="85"/>
      <c r="H58" s="85"/>
      <c r="I58" s="85"/>
      <c r="J58" s="85" t="s">
        <v>4162</v>
      </c>
      <c r="K58" s="85" t="s">
        <v>4347</v>
      </c>
      <c r="L58" s="85" t="s">
        <v>4348</v>
      </c>
      <c r="M58" s="85" t="s">
        <v>4349</v>
      </c>
      <c r="N58" s="85" t="s">
        <v>4350</v>
      </c>
      <c r="O58" s="85" t="s">
        <v>4350</v>
      </c>
      <c r="P58" s="85"/>
      <c r="Q58" s="85"/>
      <c r="R58" s="90" t="s">
        <v>32</v>
      </c>
      <c r="S58" s="1" t="s">
        <v>9</v>
      </c>
    </row>
    <row r="59" spans="1:19">
      <c r="A59" s="89" t="s">
        <v>3368</v>
      </c>
      <c r="B59" s="85" t="s">
        <v>3498</v>
      </c>
      <c r="C59" s="85" t="s">
        <v>3003</v>
      </c>
      <c r="D59" s="85" t="s">
        <v>1861</v>
      </c>
      <c r="E59" s="85">
        <v>4</v>
      </c>
      <c r="F59" s="85" t="s">
        <v>3087</v>
      </c>
      <c r="G59" s="85" t="s">
        <v>3084</v>
      </c>
      <c r="H59" s="85" t="s">
        <v>3053</v>
      </c>
      <c r="I59" s="85"/>
      <c r="J59" s="85" t="s">
        <v>1487</v>
      </c>
      <c r="K59" s="85" t="s">
        <v>1139</v>
      </c>
      <c r="L59" s="85" t="s">
        <v>1858</v>
      </c>
      <c r="M59" s="85"/>
      <c r="N59" s="85"/>
      <c r="O59" s="85"/>
      <c r="P59" s="85" t="s">
        <v>4044</v>
      </c>
      <c r="Q59" s="85">
        <v>3</v>
      </c>
      <c r="R59" s="90" t="s">
        <v>16</v>
      </c>
      <c r="S59" s="1" t="s">
        <v>9</v>
      </c>
    </row>
    <row r="60" spans="1:19">
      <c r="A60" s="89" t="s">
        <v>3369</v>
      </c>
      <c r="B60" s="85" t="s">
        <v>8730</v>
      </c>
      <c r="C60" s="85" t="s">
        <v>4466</v>
      </c>
      <c r="D60" s="85" t="s">
        <v>4462</v>
      </c>
      <c r="E60" s="85">
        <v>6</v>
      </c>
      <c r="F60" s="85" t="s">
        <v>3434</v>
      </c>
      <c r="G60" s="85"/>
      <c r="H60" s="85"/>
      <c r="I60" s="85"/>
      <c r="J60" s="85" t="s">
        <v>4407</v>
      </c>
      <c r="K60" s="85" t="s">
        <v>4467</v>
      </c>
      <c r="L60" s="85"/>
      <c r="M60" s="85"/>
      <c r="N60" s="85"/>
      <c r="O60" s="85"/>
      <c r="P60" s="85"/>
      <c r="Q60" s="85"/>
      <c r="R60" s="90" t="s">
        <v>6</v>
      </c>
      <c r="S60" s="1" t="s">
        <v>9</v>
      </c>
    </row>
    <row r="61" spans="1:19">
      <c r="A61" s="89" t="s">
        <v>3370</v>
      </c>
      <c r="B61" s="85" t="s">
        <v>3498</v>
      </c>
      <c r="C61" s="85" t="s">
        <v>3005</v>
      </c>
      <c r="D61" s="85" t="s">
        <v>1880</v>
      </c>
      <c r="E61" s="85">
        <v>4</v>
      </c>
      <c r="F61" s="85" t="s">
        <v>3083</v>
      </c>
      <c r="G61" s="85" t="s">
        <v>3084</v>
      </c>
      <c r="H61" s="85" t="s">
        <v>3055</v>
      </c>
      <c r="I61" s="85"/>
      <c r="J61" s="85" t="s">
        <v>1879</v>
      </c>
      <c r="K61" s="85"/>
      <c r="L61" s="85"/>
      <c r="M61" s="85"/>
      <c r="N61" s="85"/>
      <c r="O61" s="85"/>
      <c r="P61" s="85" t="s">
        <v>4044</v>
      </c>
      <c r="Q61" s="85">
        <v>3</v>
      </c>
      <c r="R61" s="90" t="s">
        <v>5</v>
      </c>
      <c r="S61" s="1" t="s">
        <v>9</v>
      </c>
    </row>
    <row r="62" spans="1:19">
      <c r="A62" s="89" t="s">
        <v>3371</v>
      </c>
      <c r="B62" s="85" t="s">
        <v>8730</v>
      </c>
      <c r="C62" s="85" t="s">
        <v>4571</v>
      </c>
      <c r="D62" s="85" t="s">
        <v>1893</v>
      </c>
      <c r="E62" s="85">
        <v>5</v>
      </c>
      <c r="F62" s="85" t="s">
        <v>3434</v>
      </c>
      <c r="G62" s="85"/>
      <c r="H62" s="85"/>
      <c r="I62" s="85"/>
      <c r="J62" s="85" t="s">
        <v>4572</v>
      </c>
      <c r="K62" s="85"/>
      <c r="L62" s="85"/>
      <c r="M62" s="85"/>
      <c r="N62" s="85"/>
      <c r="O62" s="85"/>
      <c r="P62" s="85"/>
      <c r="Q62" s="85"/>
      <c r="R62" s="90" t="s">
        <v>1776</v>
      </c>
      <c r="S62" s="1" t="s">
        <v>9</v>
      </c>
    </row>
    <row r="63" spans="1:19">
      <c r="A63" s="89" t="s">
        <v>3372</v>
      </c>
      <c r="B63" s="85" t="s">
        <v>3498</v>
      </c>
      <c r="C63" s="85" t="s">
        <v>3010</v>
      </c>
      <c r="D63" s="85" t="s">
        <v>1899</v>
      </c>
      <c r="E63" s="85">
        <v>4</v>
      </c>
      <c r="F63" s="85" t="s">
        <v>3083</v>
      </c>
      <c r="G63" s="85" t="s">
        <v>3084</v>
      </c>
      <c r="H63" s="85" t="s">
        <v>3054</v>
      </c>
      <c r="I63" s="85"/>
      <c r="J63" s="85" t="s">
        <v>3</v>
      </c>
      <c r="K63" s="85" t="s">
        <v>19</v>
      </c>
      <c r="L63" s="85" t="s">
        <v>1907</v>
      </c>
      <c r="M63" s="85"/>
      <c r="N63" s="85"/>
      <c r="O63" s="85"/>
      <c r="P63" s="85" t="s">
        <v>4044</v>
      </c>
      <c r="Q63" s="85">
        <v>3</v>
      </c>
      <c r="R63" s="90" t="s">
        <v>39</v>
      </c>
      <c r="S63" s="1" t="s">
        <v>9</v>
      </c>
    </row>
    <row r="64" spans="1:19" ht="14.25" thickBot="1">
      <c r="A64" s="91" t="s">
        <v>3373</v>
      </c>
      <c r="B64" s="92" t="s">
        <v>8730</v>
      </c>
      <c r="C64" s="92" t="s">
        <v>4089</v>
      </c>
      <c r="D64" s="92" t="s">
        <v>4090</v>
      </c>
      <c r="E64" s="92">
        <v>4</v>
      </c>
      <c r="F64" s="92" t="s">
        <v>3434</v>
      </c>
      <c r="G64" s="92"/>
      <c r="H64" s="92"/>
      <c r="I64" s="92"/>
      <c r="J64" s="92" t="s">
        <v>4091</v>
      </c>
      <c r="K64" s="92"/>
      <c r="L64" s="92"/>
      <c r="M64" s="92"/>
      <c r="N64" s="92"/>
      <c r="O64" s="92"/>
      <c r="P64" s="92"/>
      <c r="Q64" s="92"/>
      <c r="R64" s="93" t="s">
        <v>6</v>
      </c>
      <c r="S64" s="1" t="s">
        <v>9</v>
      </c>
    </row>
    <row r="65" spans="1:19">
      <c r="A65" s="86" t="s">
        <v>3374</v>
      </c>
      <c r="B65" s="87"/>
      <c r="C65" s="87" t="s">
        <v>3424</v>
      </c>
      <c r="D65" s="87">
        <v>3</v>
      </c>
      <c r="E65" s="87">
        <v>3</v>
      </c>
      <c r="F65" s="87" t="s">
        <v>3413</v>
      </c>
      <c r="G65" s="87" t="s">
        <v>3412</v>
      </c>
      <c r="H65" s="87"/>
      <c r="I65" s="87"/>
      <c r="J65" s="87" t="s">
        <v>3425</v>
      </c>
      <c r="K65" s="87" t="s">
        <v>3426</v>
      </c>
      <c r="L65" s="87" t="s">
        <v>3118</v>
      </c>
      <c r="M65" s="87"/>
      <c r="N65" s="87"/>
      <c r="O65" s="87"/>
      <c r="P65" s="87"/>
      <c r="Q65" s="87"/>
      <c r="R65" s="88" t="s">
        <v>46</v>
      </c>
      <c r="S65" s="1" t="s">
        <v>9</v>
      </c>
    </row>
    <row r="66" spans="1:19">
      <c r="A66" s="89" t="s">
        <v>3375</v>
      </c>
      <c r="B66" s="85"/>
      <c r="C66" s="85" t="s">
        <v>3855</v>
      </c>
      <c r="D66" s="85">
        <v>4</v>
      </c>
      <c r="E66" s="85">
        <v>4</v>
      </c>
      <c r="F66" s="85" t="s">
        <v>3413</v>
      </c>
      <c r="G66" s="85" t="s">
        <v>3867</v>
      </c>
      <c r="H66" s="85"/>
      <c r="I66" s="85"/>
      <c r="J66" s="85" t="s">
        <v>3872</v>
      </c>
      <c r="K66" s="85" t="s">
        <v>3856</v>
      </c>
      <c r="L66" s="85"/>
      <c r="M66" s="85"/>
      <c r="N66" s="85"/>
      <c r="O66" s="85"/>
      <c r="P66" s="85">
        <v>2</v>
      </c>
      <c r="Q66" s="85">
        <v>10</v>
      </c>
      <c r="R66" s="90" t="s">
        <v>30</v>
      </c>
      <c r="S66" s="1" t="s">
        <v>9</v>
      </c>
    </row>
    <row r="67" spans="1:19">
      <c r="A67" s="89"/>
      <c r="B67" s="85"/>
      <c r="C67" s="85" t="s">
        <v>3857</v>
      </c>
      <c r="D67" s="85"/>
      <c r="E67" s="85"/>
      <c r="F67" s="85" t="s">
        <v>3736</v>
      </c>
      <c r="G67" s="85"/>
      <c r="H67" s="85"/>
      <c r="I67" s="85"/>
      <c r="J67" s="85" t="s">
        <v>3858</v>
      </c>
      <c r="K67" s="85" t="s">
        <v>293</v>
      </c>
      <c r="L67" s="85" t="s">
        <v>3859</v>
      </c>
      <c r="M67" s="85" t="s">
        <v>3860</v>
      </c>
      <c r="N67" s="85" t="s">
        <v>3861</v>
      </c>
      <c r="O67" s="85"/>
      <c r="P67" s="85"/>
      <c r="Q67" s="85"/>
      <c r="R67" s="90" t="s">
        <v>30</v>
      </c>
      <c r="S67" s="1" t="s">
        <v>9</v>
      </c>
    </row>
    <row r="68" spans="1:19">
      <c r="A68" s="89" t="s">
        <v>3376</v>
      </c>
      <c r="B68" s="85"/>
      <c r="C68" s="85" t="s">
        <v>3718</v>
      </c>
      <c r="D68" s="85"/>
      <c r="E68" s="85"/>
      <c r="F68" s="85" t="s">
        <v>3536</v>
      </c>
      <c r="G68" s="85"/>
      <c r="H68" s="85"/>
      <c r="I68" s="85"/>
      <c r="J68" s="85" t="s">
        <v>3619</v>
      </c>
      <c r="K68" s="85"/>
      <c r="L68" s="85"/>
      <c r="M68" s="85"/>
      <c r="N68" s="85"/>
      <c r="O68" s="85"/>
      <c r="P68" s="85"/>
      <c r="Q68" s="85"/>
      <c r="R68" s="90" t="s">
        <v>3732</v>
      </c>
    </row>
    <row r="69" spans="1:19">
      <c r="A69" s="89" t="s">
        <v>3377</v>
      </c>
      <c r="B69" s="85" t="s">
        <v>3536</v>
      </c>
      <c r="C69" s="85" t="s">
        <v>3720</v>
      </c>
      <c r="D69" s="85"/>
      <c r="E69" s="85"/>
      <c r="F69" s="85" t="s">
        <v>3536</v>
      </c>
      <c r="G69" s="85"/>
      <c r="H69" s="85"/>
      <c r="I69" s="85"/>
      <c r="J69" s="85" t="s">
        <v>13375</v>
      </c>
      <c r="K69" s="85"/>
      <c r="L69" s="85"/>
      <c r="M69" s="85"/>
      <c r="N69" s="85"/>
      <c r="O69" s="85"/>
      <c r="P69" s="85"/>
      <c r="Q69" s="85"/>
      <c r="R69" s="90" t="s">
        <v>3732</v>
      </c>
    </row>
    <row r="70" spans="1:19" ht="14.25" thickBot="1">
      <c r="A70" s="91" t="s">
        <v>3378</v>
      </c>
      <c r="B70" s="92"/>
      <c r="C70" s="92" t="s">
        <v>3716</v>
      </c>
      <c r="D70" s="92"/>
      <c r="E70" s="92"/>
      <c r="F70" s="92" t="s">
        <v>3617</v>
      </c>
      <c r="G70" s="92"/>
      <c r="H70" s="92"/>
      <c r="I70" s="92"/>
      <c r="J70" s="92" t="s">
        <v>13331</v>
      </c>
      <c r="K70" s="92" t="s">
        <v>13332</v>
      </c>
      <c r="L70" s="92" t="s">
        <v>13376</v>
      </c>
      <c r="M70" s="92"/>
      <c r="N70" s="92"/>
      <c r="O70" s="92"/>
      <c r="P70" s="92"/>
      <c r="Q70" s="92"/>
      <c r="R70" s="93" t="s">
        <v>3732</v>
      </c>
    </row>
    <row r="71" spans="1:19" ht="14.25" thickBot="1"/>
    <row r="72" spans="1:19">
      <c r="A72" s="86" t="s">
        <v>3379</v>
      </c>
      <c r="B72" s="87"/>
      <c r="C72" s="87" t="s">
        <v>6989</v>
      </c>
      <c r="D72" s="87" t="s">
        <v>6990</v>
      </c>
      <c r="E72" s="87"/>
      <c r="F72" s="87" t="s">
        <v>3399</v>
      </c>
      <c r="G72" s="87"/>
      <c r="H72" s="87"/>
      <c r="I72" s="87"/>
      <c r="J72" s="87" t="s">
        <v>6991</v>
      </c>
      <c r="K72" s="87" t="s">
        <v>6992</v>
      </c>
      <c r="L72" s="87"/>
      <c r="M72" s="87"/>
      <c r="N72" s="87"/>
      <c r="O72" s="87"/>
      <c r="P72" s="87"/>
      <c r="Q72" s="87"/>
      <c r="R72" s="88" t="s">
        <v>52</v>
      </c>
      <c r="S72" s="1" t="s">
        <v>41</v>
      </c>
    </row>
    <row r="73" spans="1:19">
      <c r="A73" s="89" t="s">
        <v>3380</v>
      </c>
      <c r="B73" s="85" t="s">
        <v>3498</v>
      </c>
      <c r="C73" s="85" t="s">
        <v>2137</v>
      </c>
      <c r="D73" s="85" t="s">
        <v>186</v>
      </c>
      <c r="E73" s="85">
        <v>1</v>
      </c>
      <c r="F73" s="85" t="s">
        <v>3087</v>
      </c>
      <c r="G73" s="85" t="s">
        <v>3084</v>
      </c>
      <c r="H73" s="85" t="s">
        <v>3050</v>
      </c>
      <c r="I73" s="85"/>
      <c r="J73" s="85" t="s">
        <v>492</v>
      </c>
      <c r="K73" s="85" t="s">
        <v>783</v>
      </c>
      <c r="L73" s="85"/>
      <c r="M73" s="85"/>
      <c r="N73" s="85" t="s">
        <v>13316</v>
      </c>
      <c r="O73" s="85"/>
      <c r="P73" s="85">
        <v>2</v>
      </c>
      <c r="Q73" s="85">
        <v>1</v>
      </c>
      <c r="R73" s="90"/>
    </row>
    <row r="74" spans="1:19">
      <c r="A74" s="89"/>
      <c r="B74" s="85" t="s">
        <v>5184</v>
      </c>
      <c r="C74" s="85" t="s">
        <v>2138</v>
      </c>
      <c r="D74" s="85" t="s">
        <v>3394</v>
      </c>
      <c r="E74" s="85"/>
      <c r="F74" s="85" t="s">
        <v>13377</v>
      </c>
      <c r="G74" s="85" t="s">
        <v>3395</v>
      </c>
      <c r="H74" s="85"/>
      <c r="I74" s="85"/>
      <c r="J74" s="85" t="s">
        <v>493</v>
      </c>
      <c r="K74" s="85" t="s">
        <v>494</v>
      </c>
      <c r="L74" s="85" t="s">
        <v>495</v>
      </c>
      <c r="M74" s="85"/>
      <c r="N74" s="85" t="s">
        <v>13316</v>
      </c>
      <c r="O74" s="85"/>
      <c r="P74" s="85" t="s">
        <v>13378</v>
      </c>
      <c r="Q74" s="85"/>
      <c r="R74" s="90" t="s">
        <v>48</v>
      </c>
      <c r="S74" s="1" t="s">
        <v>41</v>
      </c>
    </row>
    <row r="75" spans="1:19">
      <c r="A75" s="89" t="s">
        <v>3381</v>
      </c>
      <c r="B75" s="85"/>
      <c r="C75" s="85" t="s">
        <v>8570</v>
      </c>
      <c r="D75" s="85" t="s">
        <v>944</v>
      </c>
      <c r="E75" s="85"/>
      <c r="F75" s="85" t="s">
        <v>3399</v>
      </c>
      <c r="G75" s="85"/>
      <c r="H75" s="85"/>
      <c r="I75" s="85"/>
      <c r="J75" s="85" t="s">
        <v>8571</v>
      </c>
      <c r="K75" s="85" t="s">
        <v>8572</v>
      </c>
      <c r="L75" s="85"/>
      <c r="M75" s="85"/>
      <c r="N75" s="85"/>
      <c r="O75" s="85"/>
      <c r="P75" s="85"/>
      <c r="Q75" s="85"/>
      <c r="R75" s="90" t="s">
        <v>37</v>
      </c>
      <c r="S75" s="1" t="s">
        <v>41</v>
      </c>
    </row>
    <row r="76" spans="1:19">
      <c r="A76" s="89" t="s">
        <v>3382</v>
      </c>
      <c r="B76" s="85" t="s">
        <v>3498</v>
      </c>
      <c r="C76" s="85" t="s">
        <v>2333</v>
      </c>
      <c r="D76" s="85" t="s">
        <v>846</v>
      </c>
      <c r="E76" s="85">
        <v>2</v>
      </c>
      <c r="F76" s="85" t="s">
        <v>3087</v>
      </c>
      <c r="G76" s="85" t="s">
        <v>3084</v>
      </c>
      <c r="H76" s="85" t="s">
        <v>3051</v>
      </c>
      <c r="I76" s="85"/>
      <c r="J76" s="85" t="s">
        <v>1029</v>
      </c>
      <c r="K76" s="85"/>
      <c r="L76" s="85"/>
      <c r="M76" s="85"/>
      <c r="N76" s="85" t="s">
        <v>13316</v>
      </c>
      <c r="O76" s="85"/>
      <c r="P76" s="85">
        <v>0</v>
      </c>
      <c r="Q76" s="85">
        <v>2</v>
      </c>
      <c r="R76" s="90"/>
    </row>
    <row r="77" spans="1:19">
      <c r="A77" s="89"/>
      <c r="B77" s="85" t="s">
        <v>5184</v>
      </c>
      <c r="C77" s="85" t="s">
        <v>2334</v>
      </c>
      <c r="D77" s="85" t="s">
        <v>3396</v>
      </c>
      <c r="E77" s="85"/>
      <c r="F77" s="85" t="s">
        <v>13377</v>
      </c>
      <c r="G77" s="85" t="s">
        <v>3397</v>
      </c>
      <c r="H77" s="85"/>
      <c r="I77" s="85"/>
      <c r="J77" s="85" t="s">
        <v>1030</v>
      </c>
      <c r="K77" s="85" t="s">
        <v>1031</v>
      </c>
      <c r="L77" s="85" t="s">
        <v>1032</v>
      </c>
      <c r="M77" s="85"/>
      <c r="N77" s="85" t="s">
        <v>13316</v>
      </c>
      <c r="O77" s="85"/>
      <c r="P77" s="85" t="s">
        <v>13379</v>
      </c>
      <c r="Q77" s="85"/>
      <c r="R77" s="90" t="s">
        <v>48</v>
      </c>
      <c r="S77" s="1" t="s">
        <v>41</v>
      </c>
    </row>
    <row r="78" spans="1:19">
      <c r="A78" s="89" t="s">
        <v>3383</v>
      </c>
      <c r="B78" s="85"/>
      <c r="C78" s="85" t="s">
        <v>10238</v>
      </c>
      <c r="D78" s="85" t="s">
        <v>10239</v>
      </c>
      <c r="E78" s="85"/>
      <c r="F78" s="85" t="s">
        <v>3399</v>
      </c>
      <c r="G78" s="85"/>
      <c r="H78" s="85"/>
      <c r="I78" s="85"/>
      <c r="J78" s="85" t="s">
        <v>10240</v>
      </c>
      <c r="K78" s="85" t="s">
        <v>10241</v>
      </c>
      <c r="L78" s="85"/>
      <c r="M78" s="85"/>
      <c r="N78" s="85"/>
      <c r="O78" s="85"/>
      <c r="P78" s="85"/>
      <c r="Q78" s="85"/>
      <c r="R78" s="90" t="s">
        <v>45</v>
      </c>
      <c r="S78" s="1" t="s">
        <v>41</v>
      </c>
    </row>
    <row r="79" spans="1:19">
      <c r="A79" s="89" t="s">
        <v>3384</v>
      </c>
      <c r="B79" s="85" t="s">
        <v>3498</v>
      </c>
      <c r="C79" s="85" t="s">
        <v>2497</v>
      </c>
      <c r="D79" s="85" t="s">
        <v>1102</v>
      </c>
      <c r="E79" s="85">
        <v>3</v>
      </c>
      <c r="F79" s="85" t="s">
        <v>3087</v>
      </c>
      <c r="G79" s="85" t="s">
        <v>3084</v>
      </c>
      <c r="H79" s="85" t="s">
        <v>3053</v>
      </c>
      <c r="I79" s="85"/>
      <c r="J79" s="85" t="s">
        <v>19</v>
      </c>
      <c r="K79" s="85" t="s">
        <v>1255</v>
      </c>
      <c r="L79" s="85"/>
      <c r="M79" s="85"/>
      <c r="N79" s="85" t="s">
        <v>13316</v>
      </c>
      <c r="O79" s="85"/>
      <c r="P79" s="85">
        <v>2</v>
      </c>
      <c r="Q79" s="85">
        <v>3</v>
      </c>
      <c r="R79" s="90"/>
    </row>
    <row r="80" spans="1:19">
      <c r="A80" s="89"/>
      <c r="B80" s="85" t="s">
        <v>5184</v>
      </c>
      <c r="C80" s="85" t="s">
        <v>2498</v>
      </c>
      <c r="D80" s="85" t="s">
        <v>3091</v>
      </c>
      <c r="E80" s="85"/>
      <c r="F80" s="85" t="s">
        <v>13377</v>
      </c>
      <c r="G80" s="85" t="s">
        <v>3393</v>
      </c>
      <c r="H80" s="85"/>
      <c r="I80" s="85"/>
      <c r="J80" s="85" t="s">
        <v>1256</v>
      </c>
      <c r="K80" s="85" t="s">
        <v>1257</v>
      </c>
      <c r="L80" s="85" t="s">
        <v>1258</v>
      </c>
      <c r="M80" s="85"/>
      <c r="N80" s="85" t="s">
        <v>13316</v>
      </c>
      <c r="O80" s="85"/>
      <c r="P80" s="85" t="s">
        <v>13378</v>
      </c>
      <c r="Q80" s="85"/>
      <c r="R80" s="90" t="s">
        <v>48</v>
      </c>
      <c r="S80" s="1" t="s">
        <v>41</v>
      </c>
    </row>
    <row r="81" spans="1:19">
      <c r="A81" s="89" t="s">
        <v>3385</v>
      </c>
      <c r="B81" s="85"/>
      <c r="C81" s="85" t="s">
        <v>2721</v>
      </c>
      <c r="D81" s="85" t="s">
        <v>1379</v>
      </c>
      <c r="E81" s="85">
        <v>4</v>
      </c>
      <c r="F81" s="85" t="s">
        <v>3083</v>
      </c>
      <c r="G81" s="85" t="s">
        <v>3084</v>
      </c>
      <c r="H81" s="85" t="s">
        <v>3054</v>
      </c>
      <c r="I81" s="85"/>
      <c r="J81" s="85" t="s">
        <v>1094</v>
      </c>
      <c r="K81" s="85" t="s">
        <v>261</v>
      </c>
      <c r="L81" s="85" t="s">
        <v>1553</v>
      </c>
      <c r="M81" s="85"/>
      <c r="N81" s="85"/>
      <c r="O81" s="85"/>
      <c r="P81" s="85">
        <v>4</v>
      </c>
      <c r="Q81" s="85">
        <v>2</v>
      </c>
      <c r="R81" s="90" t="s">
        <v>176</v>
      </c>
      <c r="S81" s="1" t="s">
        <v>41</v>
      </c>
    </row>
    <row r="82" spans="1:19">
      <c r="A82" s="89" t="s">
        <v>3386</v>
      </c>
      <c r="B82" s="85" t="s">
        <v>3498</v>
      </c>
      <c r="C82" s="85" t="s">
        <v>2718</v>
      </c>
      <c r="D82" s="85" t="s">
        <v>1375</v>
      </c>
      <c r="E82" s="85">
        <v>3</v>
      </c>
      <c r="F82" s="85" t="s">
        <v>3087</v>
      </c>
      <c r="G82" s="85" t="s">
        <v>3084</v>
      </c>
      <c r="H82" s="85" t="s">
        <v>3075</v>
      </c>
      <c r="I82" s="85"/>
      <c r="J82" s="85" t="s">
        <v>1547</v>
      </c>
      <c r="K82" s="85" t="s">
        <v>1548</v>
      </c>
      <c r="L82" s="85"/>
      <c r="M82" s="85"/>
      <c r="N82" s="85" t="s">
        <v>13316</v>
      </c>
      <c r="O82" s="85"/>
      <c r="P82" s="85">
        <v>2</v>
      </c>
      <c r="Q82" s="85">
        <v>2</v>
      </c>
      <c r="R82" s="90"/>
    </row>
    <row r="83" spans="1:19">
      <c r="A83" s="89"/>
      <c r="B83" s="85" t="s">
        <v>5184</v>
      </c>
      <c r="C83" s="85" t="s">
        <v>2719</v>
      </c>
      <c r="D83" s="85" t="s">
        <v>3096</v>
      </c>
      <c r="E83" s="85"/>
      <c r="F83" s="85" t="s">
        <v>13377</v>
      </c>
      <c r="G83" s="85" t="s">
        <v>3398</v>
      </c>
      <c r="H83" s="85"/>
      <c r="I83" s="85"/>
      <c r="J83" s="85" t="s">
        <v>1549</v>
      </c>
      <c r="K83" s="85" t="s">
        <v>1550</v>
      </c>
      <c r="L83" s="85" t="s">
        <v>1551</v>
      </c>
      <c r="M83" s="85"/>
      <c r="N83" s="85" t="s">
        <v>13316</v>
      </c>
      <c r="O83" s="85"/>
      <c r="P83" s="85" t="s">
        <v>13380</v>
      </c>
      <c r="Q83" s="85"/>
      <c r="R83" s="90" t="s">
        <v>48</v>
      </c>
      <c r="S83" s="1" t="s">
        <v>41</v>
      </c>
    </row>
    <row r="84" spans="1:19">
      <c r="A84" s="89" t="s">
        <v>3387</v>
      </c>
      <c r="B84" s="85" t="s">
        <v>3498</v>
      </c>
      <c r="C84" s="85" t="s">
        <v>2896</v>
      </c>
      <c r="D84" s="85" t="s">
        <v>1621</v>
      </c>
      <c r="E84" s="85">
        <v>4</v>
      </c>
      <c r="F84" s="85" t="s">
        <v>3083</v>
      </c>
      <c r="G84" s="85" t="s">
        <v>3084</v>
      </c>
      <c r="H84" s="85" t="s">
        <v>3075</v>
      </c>
      <c r="I84" s="85"/>
      <c r="J84" s="85" t="s">
        <v>1768</v>
      </c>
      <c r="K84" s="85" t="s">
        <v>1769</v>
      </c>
      <c r="L84" s="85"/>
      <c r="M84" s="85"/>
      <c r="N84" s="85"/>
      <c r="O84" s="85"/>
      <c r="P84" s="85">
        <v>3</v>
      </c>
      <c r="Q84" s="85">
        <v>3</v>
      </c>
      <c r="R84" s="90" t="s">
        <v>173</v>
      </c>
      <c r="S84" s="1" t="s">
        <v>41</v>
      </c>
    </row>
    <row r="85" spans="1:19">
      <c r="A85" s="89" t="s">
        <v>3388</v>
      </c>
      <c r="B85" s="85" t="s">
        <v>5184</v>
      </c>
      <c r="C85" s="85" t="s">
        <v>13381</v>
      </c>
      <c r="D85" s="85" t="s">
        <v>13382</v>
      </c>
      <c r="E85" s="85">
        <v>4</v>
      </c>
      <c r="F85" s="85" t="s">
        <v>13377</v>
      </c>
      <c r="G85" s="85" t="s">
        <v>13383</v>
      </c>
      <c r="H85" s="85"/>
      <c r="I85" s="85"/>
      <c r="J85" s="85"/>
      <c r="K85" s="85"/>
      <c r="L85" s="85"/>
      <c r="M85" s="85"/>
      <c r="N85" s="85"/>
      <c r="O85" s="85"/>
      <c r="P85" s="85"/>
      <c r="Q85" s="85"/>
      <c r="R85" s="90"/>
    </row>
    <row r="86" spans="1:19">
      <c r="A86" s="89"/>
      <c r="B86" s="85" t="s">
        <v>5184</v>
      </c>
      <c r="C86" s="85" t="s">
        <v>5183</v>
      </c>
      <c r="D86" s="85"/>
      <c r="E86" s="85"/>
      <c r="F86" s="85" t="s">
        <v>13377</v>
      </c>
      <c r="G86" s="85" t="s">
        <v>13383</v>
      </c>
      <c r="H86" s="85"/>
      <c r="I86" s="85"/>
      <c r="J86" s="85"/>
      <c r="K86" s="85"/>
      <c r="L86" s="85"/>
      <c r="M86" s="85"/>
      <c r="N86" s="85"/>
      <c r="O86" s="85"/>
      <c r="P86" s="85"/>
      <c r="Q86" s="85"/>
      <c r="R86" s="90"/>
    </row>
    <row r="87" spans="1:19">
      <c r="A87" s="89" t="s">
        <v>3389</v>
      </c>
      <c r="B87" s="85" t="s">
        <v>3759</v>
      </c>
      <c r="C87" s="85" t="s">
        <v>4131</v>
      </c>
      <c r="D87" s="85" t="s">
        <v>4132</v>
      </c>
      <c r="E87" s="85">
        <v>3</v>
      </c>
      <c r="F87" s="85" t="s">
        <v>3403</v>
      </c>
      <c r="G87" s="85"/>
      <c r="H87" s="85"/>
      <c r="I87" s="85"/>
      <c r="J87" s="85" t="s">
        <v>4133</v>
      </c>
      <c r="K87" s="85"/>
      <c r="L87" s="85"/>
      <c r="M87" s="85"/>
      <c r="N87" s="85"/>
      <c r="O87" s="85"/>
      <c r="P87" s="85"/>
      <c r="Q87" s="85"/>
      <c r="R87" s="90" t="s">
        <v>6</v>
      </c>
      <c r="S87" s="1" t="s">
        <v>41</v>
      </c>
    </row>
    <row r="88" spans="1:19">
      <c r="A88" s="89" t="s">
        <v>3390</v>
      </c>
      <c r="B88" s="85" t="s">
        <v>3758</v>
      </c>
      <c r="C88" s="85" t="s">
        <v>4236</v>
      </c>
      <c r="D88" s="85" t="s">
        <v>1829</v>
      </c>
      <c r="E88" s="85">
        <v>2</v>
      </c>
      <c r="F88" s="85" t="s">
        <v>3399</v>
      </c>
      <c r="G88" s="85"/>
      <c r="H88" s="85"/>
      <c r="I88" s="85"/>
      <c r="J88" s="85" t="s">
        <v>4237</v>
      </c>
      <c r="K88" s="85"/>
      <c r="L88" s="85"/>
      <c r="M88" s="85"/>
      <c r="N88" s="85"/>
      <c r="O88" s="85"/>
      <c r="P88" s="85"/>
      <c r="Q88" s="85"/>
      <c r="R88" s="90" t="s">
        <v>8</v>
      </c>
      <c r="S88" s="1" t="s">
        <v>9</v>
      </c>
    </row>
    <row r="89" spans="1:19">
      <c r="A89" s="89" t="s">
        <v>3391</v>
      </c>
      <c r="B89" s="85" t="s">
        <v>3758</v>
      </c>
      <c r="C89" s="85" t="s">
        <v>4383</v>
      </c>
      <c r="D89" s="85" t="s">
        <v>4384</v>
      </c>
      <c r="E89" s="85">
        <v>2</v>
      </c>
      <c r="F89" s="85" t="s">
        <v>3399</v>
      </c>
      <c r="G89" s="85"/>
      <c r="H89" s="85"/>
      <c r="I89" s="85"/>
      <c r="J89" s="85" t="s">
        <v>4385</v>
      </c>
      <c r="K89" s="85"/>
      <c r="L89" s="85"/>
      <c r="M89" s="85"/>
      <c r="N89" s="85"/>
      <c r="O89" s="85"/>
      <c r="P89" s="85"/>
      <c r="Q89" s="85"/>
      <c r="R89" s="90" t="s">
        <v>6</v>
      </c>
      <c r="S89" s="1" t="s">
        <v>41</v>
      </c>
    </row>
    <row r="90" spans="1:19">
      <c r="A90" s="89" t="s">
        <v>3392</v>
      </c>
      <c r="B90" s="85" t="s">
        <v>3498</v>
      </c>
      <c r="C90" s="85" t="s">
        <v>3036</v>
      </c>
      <c r="D90" s="85" t="s">
        <v>1892</v>
      </c>
      <c r="E90" s="85">
        <v>4</v>
      </c>
      <c r="F90" s="85" t="s">
        <v>3083</v>
      </c>
      <c r="G90" s="85" t="s">
        <v>3084</v>
      </c>
      <c r="H90" s="85" t="s">
        <v>3079</v>
      </c>
      <c r="I90" s="85"/>
      <c r="J90" s="85" t="s">
        <v>1881</v>
      </c>
      <c r="K90" s="85" t="s">
        <v>1882</v>
      </c>
      <c r="L90" s="85"/>
      <c r="M90" s="85"/>
      <c r="N90" s="85"/>
      <c r="O90" s="85" t="s">
        <v>13316</v>
      </c>
      <c r="P90" s="85">
        <v>2</v>
      </c>
      <c r="Q90" s="85">
        <v>2</v>
      </c>
      <c r="R90" s="90"/>
    </row>
    <row r="91" spans="1:19">
      <c r="A91" s="89"/>
      <c r="B91" s="85" t="s">
        <v>3498</v>
      </c>
      <c r="C91" s="85" t="s">
        <v>3037</v>
      </c>
      <c r="D91" s="85" t="s">
        <v>3921</v>
      </c>
      <c r="E91" s="85"/>
      <c r="F91" s="85" t="s">
        <v>3083</v>
      </c>
      <c r="G91" s="85" t="s">
        <v>3079</v>
      </c>
      <c r="H91" s="85"/>
      <c r="I91" s="85"/>
      <c r="J91" s="85" t="s">
        <v>20</v>
      </c>
      <c r="K91" s="85" t="s">
        <v>1883</v>
      </c>
      <c r="L91" s="85" t="s">
        <v>1884</v>
      </c>
      <c r="M91" s="85"/>
      <c r="N91" s="85"/>
      <c r="O91" s="85" t="s">
        <v>13316</v>
      </c>
      <c r="P91" s="85">
        <v>4</v>
      </c>
      <c r="Q91" s="85">
        <v>4</v>
      </c>
      <c r="R91" s="90" t="s">
        <v>44</v>
      </c>
      <c r="S91" s="1" t="s">
        <v>41</v>
      </c>
    </row>
    <row r="92" spans="1:19">
      <c r="A92" s="89" t="s">
        <v>13429</v>
      </c>
      <c r="B92" s="85" t="s">
        <v>8730</v>
      </c>
      <c r="C92" s="85" t="s">
        <v>4674</v>
      </c>
      <c r="D92" s="85" t="s">
        <v>4675</v>
      </c>
      <c r="E92" s="85">
        <v>6</v>
      </c>
      <c r="F92" s="85" t="s">
        <v>3434</v>
      </c>
      <c r="G92" s="85"/>
      <c r="H92" s="85"/>
      <c r="I92" s="85"/>
      <c r="J92" s="85" t="s">
        <v>4676</v>
      </c>
      <c r="K92" s="85"/>
      <c r="L92" s="85"/>
      <c r="M92" s="85"/>
      <c r="N92" s="85"/>
      <c r="O92" s="85"/>
      <c r="P92" s="85"/>
      <c r="Q92" s="85"/>
      <c r="R92" s="90" t="s">
        <v>6</v>
      </c>
      <c r="S92" s="1" t="s">
        <v>9</v>
      </c>
    </row>
    <row r="93" spans="1:19" ht="14.25" thickBot="1">
      <c r="A93" s="91" t="s">
        <v>13430</v>
      </c>
      <c r="B93" s="92" t="s">
        <v>3536</v>
      </c>
      <c r="C93" s="92" t="s">
        <v>3730</v>
      </c>
      <c r="D93" s="92"/>
      <c r="E93" s="92"/>
      <c r="F93" s="92" t="s">
        <v>3536</v>
      </c>
      <c r="G93" s="92"/>
      <c r="H93" s="92"/>
      <c r="I93" s="92"/>
      <c r="J93" s="92" t="s">
        <v>13384</v>
      </c>
      <c r="K93" s="92"/>
      <c r="L93" s="92"/>
      <c r="M93" s="92"/>
      <c r="N93" s="92"/>
      <c r="O93" s="92"/>
      <c r="P93" s="92"/>
      <c r="Q93" s="92"/>
      <c r="R93" s="93" t="s">
        <v>3733</v>
      </c>
    </row>
  </sheetData>
  <phoneticPr fontId="1"/>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G72"/>
  <sheetViews>
    <sheetView workbookViewId="0">
      <selection activeCell="O12" sqref="O12:S31"/>
    </sheetView>
  </sheetViews>
  <sheetFormatPr defaultRowHeight="13.5"/>
  <cols>
    <col min="1" max="12" width="4" style="3" customWidth="1"/>
    <col min="13" max="13" width="4.75" style="3" customWidth="1"/>
    <col min="14" max="26" width="4" style="3" customWidth="1"/>
    <col min="27" max="27" width="4.375" style="3" customWidth="1"/>
    <col min="28" max="28" width="3.875" style="3" bestFit="1" customWidth="1"/>
    <col min="29" max="29" width="3.5" style="3" bestFit="1" customWidth="1"/>
    <col min="30" max="30" width="3.625" style="3" bestFit="1" customWidth="1"/>
    <col min="31" max="31" width="4.625" style="3" bestFit="1" customWidth="1"/>
    <col min="32" max="32" width="5.5" style="3" customWidth="1"/>
    <col min="33" max="16384" width="9" style="3"/>
  </cols>
  <sheetData>
    <row r="1" spans="1:33">
      <c r="B1" s="31"/>
      <c r="C1" s="31" t="s">
        <v>3462</v>
      </c>
      <c r="D1" s="31" t="s">
        <v>3463</v>
      </c>
      <c r="E1" s="31" t="s">
        <v>3464</v>
      </c>
      <c r="F1" s="31" t="s">
        <v>3465</v>
      </c>
      <c r="G1" s="31" t="s">
        <v>3466</v>
      </c>
      <c r="H1" s="31" t="s">
        <v>3467</v>
      </c>
      <c r="I1" s="3" t="s">
        <v>3468</v>
      </c>
      <c r="J1" s="3" t="s">
        <v>3469</v>
      </c>
      <c r="K1" s="3" t="s">
        <v>3470</v>
      </c>
      <c r="L1" s="3" t="s">
        <v>3471</v>
      </c>
      <c r="M1" s="3" t="s">
        <v>3472</v>
      </c>
      <c r="N1" s="3" t="s">
        <v>3473</v>
      </c>
      <c r="O1" s="3" t="s">
        <v>3474</v>
      </c>
      <c r="P1" s="3" t="s">
        <v>3475</v>
      </c>
      <c r="Q1" s="3" t="s">
        <v>3476</v>
      </c>
      <c r="R1" s="3" t="s">
        <v>3477</v>
      </c>
      <c r="S1" s="3" t="s">
        <v>3478</v>
      </c>
      <c r="T1" s="3" t="s">
        <v>3479</v>
      </c>
      <c r="U1" s="3" t="s">
        <v>3480</v>
      </c>
      <c r="V1" s="3" t="s">
        <v>3481</v>
      </c>
      <c r="W1" s="3" t="s">
        <v>3482</v>
      </c>
      <c r="X1" s="3" t="s">
        <v>3483</v>
      </c>
      <c r="Y1" s="3" t="s">
        <v>3484</v>
      </c>
      <c r="Z1" s="3" t="s">
        <v>3485</v>
      </c>
      <c r="AA1" s="3" t="s">
        <v>3486</v>
      </c>
      <c r="AB1" s="3" t="s">
        <v>3487</v>
      </c>
      <c r="AC1" s="3" t="s">
        <v>3416</v>
      </c>
      <c r="AD1" s="3" t="s">
        <v>3461</v>
      </c>
      <c r="AE1" s="3" t="s">
        <v>3488</v>
      </c>
    </row>
    <row r="2" spans="1:33">
      <c r="B2" s="31" t="s">
        <v>1363</v>
      </c>
      <c r="C2" s="31">
        <f t="shared" ref="C2:AD2" si="0">COUNTIF($B$12:$K$23,C1)</f>
        <v>17</v>
      </c>
      <c r="D2" s="31">
        <f t="shared" si="0"/>
        <v>17</v>
      </c>
      <c r="E2" s="31">
        <f t="shared" si="0"/>
        <v>17</v>
      </c>
      <c r="F2" s="31">
        <f t="shared" si="0"/>
        <v>17</v>
      </c>
      <c r="G2" s="31">
        <f t="shared" si="0"/>
        <v>17</v>
      </c>
      <c r="H2" s="31">
        <f t="shared" si="0"/>
        <v>2</v>
      </c>
      <c r="I2" s="31">
        <f t="shared" si="0"/>
        <v>2</v>
      </c>
      <c r="J2" s="31">
        <f t="shared" si="0"/>
        <v>2</v>
      </c>
      <c r="K2" s="31">
        <f t="shared" si="0"/>
        <v>2</v>
      </c>
      <c r="L2" s="31">
        <f t="shared" si="0"/>
        <v>2</v>
      </c>
      <c r="M2" s="31">
        <f t="shared" si="0"/>
        <v>0</v>
      </c>
      <c r="N2" s="31">
        <f t="shared" si="0"/>
        <v>0</v>
      </c>
      <c r="O2" s="31">
        <f t="shared" si="0"/>
        <v>0</v>
      </c>
      <c r="P2" s="31">
        <f t="shared" si="0"/>
        <v>0</v>
      </c>
      <c r="Q2" s="31">
        <f t="shared" si="0"/>
        <v>0</v>
      </c>
      <c r="R2" s="31">
        <f t="shared" si="0"/>
        <v>0</v>
      </c>
      <c r="S2" s="31">
        <f t="shared" si="0"/>
        <v>0</v>
      </c>
      <c r="T2" s="31">
        <f t="shared" si="0"/>
        <v>0</v>
      </c>
      <c r="U2" s="31">
        <f t="shared" si="0"/>
        <v>0</v>
      </c>
      <c r="V2" s="31">
        <f t="shared" si="0"/>
        <v>0</v>
      </c>
      <c r="W2" s="31">
        <f t="shared" si="0"/>
        <v>0</v>
      </c>
      <c r="X2" s="31">
        <f t="shared" si="0"/>
        <v>0</v>
      </c>
      <c r="Y2" s="31">
        <f t="shared" si="0"/>
        <v>0</v>
      </c>
      <c r="Z2" s="31">
        <f t="shared" si="0"/>
        <v>0</v>
      </c>
      <c r="AA2" s="31">
        <f t="shared" si="0"/>
        <v>0</v>
      </c>
      <c r="AB2" s="31">
        <f t="shared" si="0"/>
        <v>0</v>
      </c>
      <c r="AC2" s="31">
        <f t="shared" si="0"/>
        <v>7</v>
      </c>
      <c r="AD2" s="31">
        <f t="shared" si="0"/>
        <v>8</v>
      </c>
      <c r="AE2" s="31">
        <f>SUM(C2:AD2)</f>
        <v>110</v>
      </c>
      <c r="AF2" s="31">
        <f>AE2*A8</f>
        <v>550</v>
      </c>
    </row>
    <row r="3" spans="1:33">
      <c r="B3" s="31" t="s">
        <v>1364</v>
      </c>
      <c r="C3" s="31">
        <f t="shared" ref="C3:AD3" si="1">COUNTIF($P$12:$T$31,C1)</f>
        <v>12</v>
      </c>
      <c r="D3" s="31">
        <f t="shared" si="1"/>
        <v>12</v>
      </c>
      <c r="E3" s="31">
        <f t="shared" si="1"/>
        <v>12</v>
      </c>
      <c r="F3" s="31">
        <f t="shared" si="1"/>
        <v>12</v>
      </c>
      <c r="G3" s="31">
        <f t="shared" si="1"/>
        <v>12</v>
      </c>
      <c r="H3" s="31">
        <f t="shared" si="1"/>
        <v>2</v>
      </c>
      <c r="I3" s="31">
        <f t="shared" si="1"/>
        <v>2</v>
      </c>
      <c r="J3" s="31">
        <f t="shared" si="1"/>
        <v>2</v>
      </c>
      <c r="K3" s="31">
        <f t="shared" si="1"/>
        <v>2</v>
      </c>
      <c r="L3" s="31">
        <f t="shared" si="1"/>
        <v>2</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31">
        <f t="shared" si="1"/>
        <v>0</v>
      </c>
      <c r="Y3" s="31">
        <f t="shared" si="1"/>
        <v>0</v>
      </c>
      <c r="Z3" s="31">
        <f t="shared" si="1"/>
        <v>0</v>
      </c>
      <c r="AA3" s="31">
        <f t="shared" si="1"/>
        <v>0</v>
      </c>
      <c r="AB3" s="31">
        <f t="shared" si="1"/>
        <v>0</v>
      </c>
      <c r="AC3" s="31">
        <f t="shared" si="1"/>
        <v>5</v>
      </c>
      <c r="AD3" s="31">
        <f t="shared" si="1"/>
        <v>3</v>
      </c>
      <c r="AE3" s="31">
        <f>SUM(C3:AD3)</f>
        <v>78</v>
      </c>
      <c r="AF3" s="31">
        <f>AE3*O9</f>
        <v>234</v>
      </c>
    </row>
    <row r="4" spans="1:33">
      <c r="B4" s="31" t="s">
        <v>1365</v>
      </c>
      <c r="C4" s="31">
        <f t="shared" ref="C4:AD4" si="2">COUNTIF($Y$11:$AC$25,C1)</f>
        <v>9</v>
      </c>
      <c r="D4" s="31">
        <f t="shared" si="2"/>
        <v>9</v>
      </c>
      <c r="E4" s="31">
        <f t="shared" si="2"/>
        <v>9</v>
      </c>
      <c r="F4" s="31">
        <f t="shared" si="2"/>
        <v>9</v>
      </c>
      <c r="G4" s="31">
        <f t="shared" si="2"/>
        <v>9</v>
      </c>
      <c r="H4" s="31">
        <f t="shared" si="2"/>
        <v>2</v>
      </c>
      <c r="I4" s="31">
        <f t="shared" si="2"/>
        <v>2</v>
      </c>
      <c r="J4" s="31">
        <f t="shared" si="2"/>
        <v>2</v>
      </c>
      <c r="K4" s="31">
        <f t="shared" si="2"/>
        <v>2</v>
      </c>
      <c r="L4" s="31">
        <f t="shared" si="2"/>
        <v>2</v>
      </c>
      <c r="M4" s="31">
        <f t="shared" si="2"/>
        <v>0</v>
      </c>
      <c r="N4" s="31">
        <f t="shared" si="2"/>
        <v>0</v>
      </c>
      <c r="O4" s="31">
        <f t="shared" si="2"/>
        <v>0</v>
      </c>
      <c r="P4" s="31">
        <f t="shared" si="2"/>
        <v>0</v>
      </c>
      <c r="Q4" s="31">
        <f t="shared" si="2"/>
        <v>0</v>
      </c>
      <c r="R4" s="31">
        <f t="shared" si="2"/>
        <v>0</v>
      </c>
      <c r="S4" s="31">
        <f t="shared" si="2"/>
        <v>0</v>
      </c>
      <c r="T4" s="31">
        <f t="shared" si="2"/>
        <v>0</v>
      </c>
      <c r="U4" s="31">
        <f t="shared" si="2"/>
        <v>0</v>
      </c>
      <c r="V4" s="31">
        <f t="shared" si="2"/>
        <v>0</v>
      </c>
      <c r="W4" s="31">
        <f t="shared" si="2"/>
        <v>0</v>
      </c>
      <c r="X4" s="31">
        <f t="shared" si="2"/>
        <v>0</v>
      </c>
      <c r="Y4" s="31">
        <f t="shared" si="2"/>
        <v>0</v>
      </c>
      <c r="Z4" s="31">
        <f t="shared" si="2"/>
        <v>0</v>
      </c>
      <c r="AA4" s="31">
        <f t="shared" si="2"/>
        <v>0</v>
      </c>
      <c r="AB4" s="31">
        <f t="shared" si="2"/>
        <v>0</v>
      </c>
      <c r="AC4" s="31">
        <f t="shared" si="2"/>
        <v>5</v>
      </c>
      <c r="AD4" s="31">
        <f t="shared" si="2"/>
        <v>0</v>
      </c>
      <c r="AE4" s="31">
        <f>SUM(C4:AD4)</f>
        <v>60</v>
      </c>
      <c r="AF4" s="31">
        <f>AE4*2</f>
        <v>120</v>
      </c>
    </row>
    <row r="5" spans="1:33">
      <c r="B5" s="31" t="s">
        <v>3460</v>
      </c>
      <c r="C5" s="31">
        <f t="shared" ref="C5:AC5" si="3">COUNTIF($Y$26:$AC$30,C1)</f>
        <v>2</v>
      </c>
      <c r="D5" s="31">
        <f t="shared" si="3"/>
        <v>2</v>
      </c>
      <c r="E5" s="31">
        <f t="shared" si="3"/>
        <v>2</v>
      </c>
      <c r="F5" s="31">
        <f t="shared" si="3"/>
        <v>2</v>
      </c>
      <c r="G5" s="31">
        <f t="shared" si="3"/>
        <v>2</v>
      </c>
      <c r="H5" s="31">
        <f t="shared" si="3"/>
        <v>1</v>
      </c>
      <c r="I5" s="31">
        <f t="shared" si="3"/>
        <v>1</v>
      </c>
      <c r="J5" s="31">
        <f t="shared" si="3"/>
        <v>1</v>
      </c>
      <c r="K5" s="31">
        <f t="shared" si="3"/>
        <v>1</v>
      </c>
      <c r="L5" s="31">
        <f t="shared" si="3"/>
        <v>1</v>
      </c>
      <c r="M5" s="31">
        <f t="shared" si="3"/>
        <v>0</v>
      </c>
      <c r="N5" s="31">
        <f t="shared" si="3"/>
        <v>0</v>
      </c>
      <c r="O5" s="31">
        <f t="shared" si="3"/>
        <v>0</v>
      </c>
      <c r="P5" s="31">
        <f t="shared" si="3"/>
        <v>0</v>
      </c>
      <c r="Q5" s="31">
        <f t="shared" si="3"/>
        <v>0</v>
      </c>
      <c r="R5" s="31">
        <f t="shared" si="3"/>
        <v>0</v>
      </c>
      <c r="S5" s="31">
        <f t="shared" si="3"/>
        <v>0</v>
      </c>
      <c r="T5" s="31">
        <f t="shared" si="3"/>
        <v>0</v>
      </c>
      <c r="U5" s="31">
        <f t="shared" si="3"/>
        <v>0</v>
      </c>
      <c r="V5" s="31">
        <f t="shared" si="3"/>
        <v>0</v>
      </c>
      <c r="W5" s="31">
        <f t="shared" si="3"/>
        <v>0</v>
      </c>
      <c r="X5" s="31">
        <f t="shared" si="3"/>
        <v>0</v>
      </c>
      <c r="Y5" s="31">
        <f t="shared" si="3"/>
        <v>0</v>
      </c>
      <c r="Z5" s="31">
        <f t="shared" si="3"/>
        <v>0</v>
      </c>
      <c r="AA5" s="31">
        <f t="shared" si="3"/>
        <v>0</v>
      </c>
      <c r="AB5" s="31">
        <f t="shared" si="3"/>
        <v>0</v>
      </c>
      <c r="AC5" s="31">
        <f t="shared" si="3"/>
        <v>0</v>
      </c>
      <c r="AD5" s="31">
        <v>1</v>
      </c>
      <c r="AE5" s="31">
        <f>SUM(C5:AD5)</f>
        <v>16</v>
      </c>
      <c r="AF5" s="31">
        <f>AE5</f>
        <v>16</v>
      </c>
    </row>
    <row r="6" spans="1:33">
      <c r="B6" s="31"/>
      <c r="C6" s="31">
        <f>SUM(C2:C5)</f>
        <v>40</v>
      </c>
      <c r="D6" s="31">
        <f t="shared" ref="D6:AD6" si="4">SUM(D2:D5)</f>
        <v>40</v>
      </c>
      <c r="E6" s="31">
        <f t="shared" si="4"/>
        <v>40</v>
      </c>
      <c r="F6" s="31">
        <f t="shared" si="4"/>
        <v>40</v>
      </c>
      <c r="G6" s="31">
        <f t="shared" si="4"/>
        <v>40</v>
      </c>
      <c r="H6" s="31">
        <f t="shared" si="4"/>
        <v>7</v>
      </c>
      <c r="I6" s="31">
        <f t="shared" si="4"/>
        <v>7</v>
      </c>
      <c r="J6" s="31">
        <f t="shared" si="4"/>
        <v>7</v>
      </c>
      <c r="K6" s="31">
        <f t="shared" si="4"/>
        <v>7</v>
      </c>
      <c r="L6" s="31">
        <f t="shared" si="4"/>
        <v>7</v>
      </c>
      <c r="M6" s="31">
        <f t="shared" si="4"/>
        <v>0</v>
      </c>
      <c r="N6" s="31">
        <f t="shared" si="4"/>
        <v>0</v>
      </c>
      <c r="O6" s="31">
        <f t="shared" si="4"/>
        <v>0</v>
      </c>
      <c r="P6" s="31">
        <f t="shared" si="4"/>
        <v>0</v>
      </c>
      <c r="Q6" s="31">
        <f t="shared" si="4"/>
        <v>0</v>
      </c>
      <c r="R6" s="31">
        <f t="shared" si="4"/>
        <v>0</v>
      </c>
      <c r="S6" s="31">
        <f t="shared" si="4"/>
        <v>0</v>
      </c>
      <c r="T6" s="31">
        <f t="shared" si="4"/>
        <v>0</v>
      </c>
      <c r="U6" s="31">
        <f t="shared" si="4"/>
        <v>0</v>
      </c>
      <c r="V6" s="31">
        <f t="shared" si="4"/>
        <v>0</v>
      </c>
      <c r="W6" s="31">
        <f t="shared" si="4"/>
        <v>0</v>
      </c>
      <c r="X6" s="31">
        <f t="shared" si="4"/>
        <v>0</v>
      </c>
      <c r="Y6" s="31">
        <f t="shared" si="4"/>
        <v>0</v>
      </c>
      <c r="Z6" s="31">
        <f t="shared" si="4"/>
        <v>0</v>
      </c>
      <c r="AA6" s="31">
        <f t="shared" si="4"/>
        <v>0</v>
      </c>
      <c r="AB6" s="31">
        <f t="shared" si="4"/>
        <v>0</v>
      </c>
      <c r="AC6" s="31">
        <f t="shared" si="4"/>
        <v>17</v>
      </c>
      <c r="AD6" s="31">
        <f t="shared" si="4"/>
        <v>12</v>
      </c>
      <c r="AE6" s="31">
        <f>SUM(C6:AD6)</f>
        <v>264</v>
      </c>
      <c r="AF6" s="31">
        <f>SUM(AF2:AF5)</f>
        <v>920</v>
      </c>
    </row>
    <row r="8" spans="1:33" ht="14.25" thickBot="1">
      <c r="A8" s="3">
        <v>5</v>
      </c>
      <c r="B8" s="3">
        <f>8*3</f>
        <v>24</v>
      </c>
      <c r="K8" s="3">
        <f>SUM(B11:K11)</f>
        <v>550</v>
      </c>
      <c r="AE8" s="3">
        <f>AE6/9</f>
        <v>29.333333333333332</v>
      </c>
      <c r="AF8" s="3">
        <f>AF6/80</f>
        <v>11.5</v>
      </c>
    </row>
    <row r="9" spans="1:33">
      <c r="A9" s="35"/>
      <c r="B9" s="36">
        <v>1</v>
      </c>
      <c r="C9" s="37">
        <v>2</v>
      </c>
      <c r="D9" s="37">
        <v>3</v>
      </c>
      <c r="E9" s="37">
        <v>4</v>
      </c>
      <c r="F9" s="37">
        <v>5</v>
      </c>
      <c r="G9" s="37">
        <v>6</v>
      </c>
      <c r="H9" s="37">
        <v>7</v>
      </c>
      <c r="I9" s="37">
        <v>8</v>
      </c>
      <c r="J9" s="37">
        <v>9</v>
      </c>
      <c r="K9" s="37">
        <v>10</v>
      </c>
      <c r="L9" s="38"/>
      <c r="O9" s="35">
        <v>3</v>
      </c>
      <c r="P9" s="36">
        <v>1</v>
      </c>
      <c r="Q9" s="37">
        <v>2</v>
      </c>
      <c r="R9" s="37">
        <v>3</v>
      </c>
      <c r="S9" s="37">
        <v>4</v>
      </c>
      <c r="T9" s="37">
        <v>5</v>
      </c>
      <c r="U9" s="38"/>
      <c r="X9" s="1"/>
      <c r="Y9" s="1">
        <v>1</v>
      </c>
      <c r="Z9" s="1">
        <v>2</v>
      </c>
      <c r="AA9" s="1">
        <v>3</v>
      </c>
      <c r="AB9" s="1">
        <v>4</v>
      </c>
      <c r="AC9" s="1">
        <v>5</v>
      </c>
      <c r="AD9" s="1">
        <v>6</v>
      </c>
      <c r="AF9" s="3">
        <v>7</v>
      </c>
    </row>
    <row r="10" spans="1:33">
      <c r="A10" s="39"/>
      <c r="B10" s="39">
        <f>COUNTA(B12:B23)</f>
        <v>12</v>
      </c>
      <c r="C10" s="41">
        <f t="shared" ref="C10:K10" si="5">COUNTA(C12:C23)</f>
        <v>12</v>
      </c>
      <c r="D10" s="41">
        <f t="shared" si="5"/>
        <v>12</v>
      </c>
      <c r="E10" s="41">
        <f t="shared" si="5"/>
        <v>12</v>
      </c>
      <c r="F10" s="41">
        <f t="shared" si="5"/>
        <v>12</v>
      </c>
      <c r="G10" s="41">
        <f t="shared" si="5"/>
        <v>10</v>
      </c>
      <c r="H10" s="41">
        <f t="shared" si="5"/>
        <v>10</v>
      </c>
      <c r="I10" s="41">
        <f t="shared" si="5"/>
        <v>10</v>
      </c>
      <c r="J10" s="41">
        <f t="shared" si="5"/>
        <v>10</v>
      </c>
      <c r="K10" s="74">
        <f t="shared" si="5"/>
        <v>10</v>
      </c>
      <c r="L10" s="43">
        <f>SUM(B10:K10)</f>
        <v>110</v>
      </c>
      <c r="O10" s="39"/>
      <c r="P10" s="41">
        <f>COUNTA(P12:P31)</f>
        <v>20</v>
      </c>
      <c r="Q10" s="41">
        <f t="shared" ref="Q10:T10" si="6">COUNTA(Q12:Q31)</f>
        <v>20</v>
      </c>
      <c r="R10" s="41">
        <f t="shared" si="6"/>
        <v>20</v>
      </c>
      <c r="S10" s="41">
        <f t="shared" si="6"/>
        <v>18</v>
      </c>
      <c r="T10" s="41">
        <f t="shared" si="6"/>
        <v>0</v>
      </c>
      <c r="U10" s="43">
        <f>SUM(P10:T10)</f>
        <v>78</v>
      </c>
      <c r="X10" s="1"/>
      <c r="Y10" s="1">
        <f>COUNTA(Y11:Y25)</f>
        <v>12</v>
      </c>
      <c r="Z10" s="1">
        <f t="shared" ref="Z10:AC10" si="7">COUNTA(Z11:Z25)</f>
        <v>12</v>
      </c>
      <c r="AA10" s="1">
        <f t="shared" si="7"/>
        <v>12</v>
      </c>
      <c r="AB10" s="1">
        <f t="shared" si="7"/>
        <v>12</v>
      </c>
      <c r="AC10" s="1">
        <f t="shared" si="7"/>
        <v>12</v>
      </c>
      <c r="AD10" s="1">
        <f>COUNTA(G51:G70)</f>
        <v>0</v>
      </c>
      <c r="AF10" s="3">
        <v>6</v>
      </c>
    </row>
    <row r="11" spans="1:33" ht="14.25" thickBot="1">
      <c r="A11" s="44"/>
      <c r="B11" s="45">
        <f t="shared" ref="B11:K11" si="8">B10*$A$8</f>
        <v>60</v>
      </c>
      <c r="C11" s="46">
        <f t="shared" si="8"/>
        <v>60</v>
      </c>
      <c r="D11" s="46">
        <f t="shared" si="8"/>
        <v>60</v>
      </c>
      <c r="E11" s="46">
        <f t="shared" si="8"/>
        <v>60</v>
      </c>
      <c r="F11" s="46">
        <f t="shared" si="8"/>
        <v>60</v>
      </c>
      <c r="G11" s="46">
        <f t="shared" si="8"/>
        <v>50</v>
      </c>
      <c r="H11" s="46">
        <f t="shared" si="8"/>
        <v>50</v>
      </c>
      <c r="I11" s="46">
        <f t="shared" si="8"/>
        <v>50</v>
      </c>
      <c r="J11" s="46">
        <f t="shared" si="8"/>
        <v>50</v>
      </c>
      <c r="K11" s="47">
        <f t="shared" si="8"/>
        <v>50</v>
      </c>
      <c r="L11" s="48">
        <f>SUM(B11:K11)</f>
        <v>550</v>
      </c>
      <c r="O11" s="53"/>
      <c r="P11" s="54">
        <f>P10*$O$9</f>
        <v>60</v>
      </c>
      <c r="Q11" s="55">
        <f>Q10*$O$9</f>
        <v>60</v>
      </c>
      <c r="R11" s="55">
        <f>R10*$O$9</f>
        <v>60</v>
      </c>
      <c r="S11" s="55">
        <f>S10*$O$9</f>
        <v>54</v>
      </c>
      <c r="T11" s="55">
        <f>T10*$O$9</f>
        <v>0</v>
      </c>
      <c r="U11" s="56">
        <f>SUM(P11:T11)</f>
        <v>234</v>
      </c>
      <c r="X11" s="1">
        <v>1</v>
      </c>
      <c r="Y11" s="1" t="s">
        <v>3462</v>
      </c>
      <c r="Z11" s="1" t="s">
        <v>3462</v>
      </c>
      <c r="AA11" s="1" t="s">
        <v>3462</v>
      </c>
      <c r="AB11" s="1" t="s">
        <v>3462</v>
      </c>
      <c r="AC11" s="1" t="s">
        <v>3462</v>
      </c>
      <c r="AD11" s="1"/>
      <c r="AF11" s="3">
        <v>5</v>
      </c>
      <c r="AG11" s="3">
        <v>12</v>
      </c>
    </row>
    <row r="12" spans="1:33">
      <c r="A12" s="49">
        <v>1</v>
      </c>
      <c r="B12" s="50" t="s">
        <v>3462</v>
      </c>
      <c r="C12" s="51" t="s">
        <v>3463</v>
      </c>
      <c r="D12" s="51" t="s">
        <v>3464</v>
      </c>
      <c r="E12" s="51" t="s">
        <v>3465</v>
      </c>
      <c r="F12" s="51" t="s">
        <v>3466</v>
      </c>
      <c r="G12" s="41" t="s">
        <v>3462</v>
      </c>
      <c r="H12" s="41" t="s">
        <v>3462</v>
      </c>
      <c r="I12" s="41" t="s">
        <v>3490</v>
      </c>
      <c r="J12" s="41" t="s">
        <v>3467</v>
      </c>
      <c r="K12" s="42" t="s">
        <v>3489</v>
      </c>
      <c r="L12" s="52"/>
      <c r="M12" s="3">
        <f>L11/8</f>
        <v>68.75</v>
      </c>
      <c r="O12" s="35">
        <v>1</v>
      </c>
      <c r="P12" s="36" t="s">
        <v>3462</v>
      </c>
      <c r="Q12" s="37" t="s">
        <v>3462</v>
      </c>
      <c r="R12" s="37" t="s">
        <v>3462</v>
      </c>
      <c r="S12" s="37" t="s">
        <v>3467</v>
      </c>
      <c r="T12" s="37"/>
      <c r="U12" s="38"/>
      <c r="X12" s="1">
        <v>2</v>
      </c>
      <c r="Y12" s="1" t="s">
        <v>3463</v>
      </c>
      <c r="Z12" s="1" t="s">
        <v>3463</v>
      </c>
      <c r="AA12" s="1" t="s">
        <v>3463</v>
      </c>
      <c r="AB12" s="1" t="s">
        <v>3463</v>
      </c>
      <c r="AC12" s="1" t="s">
        <v>3463</v>
      </c>
      <c r="AD12" s="1"/>
      <c r="AF12" s="3">
        <v>4</v>
      </c>
      <c r="AG12" s="3">
        <v>10</v>
      </c>
    </row>
    <row r="13" spans="1:33">
      <c r="A13" s="39">
        <v>2</v>
      </c>
      <c r="B13" s="40" t="s">
        <v>3462</v>
      </c>
      <c r="C13" s="41" t="s">
        <v>3463</v>
      </c>
      <c r="D13" s="41" t="s">
        <v>3464</v>
      </c>
      <c r="E13" s="41" t="s">
        <v>3465</v>
      </c>
      <c r="F13" s="41" t="s">
        <v>3466</v>
      </c>
      <c r="G13" s="41" t="s">
        <v>3463</v>
      </c>
      <c r="H13" s="41" t="s">
        <v>3463</v>
      </c>
      <c r="I13" s="41" t="s">
        <v>3490</v>
      </c>
      <c r="J13" s="41" t="s">
        <v>3468</v>
      </c>
      <c r="K13" s="42" t="s">
        <v>3489</v>
      </c>
      <c r="L13" s="43"/>
      <c r="O13" s="39">
        <v>2</v>
      </c>
      <c r="P13" s="40" t="s">
        <v>3463</v>
      </c>
      <c r="Q13" s="41" t="s">
        <v>3463</v>
      </c>
      <c r="R13" s="41" t="s">
        <v>3463</v>
      </c>
      <c r="S13" s="41" t="s">
        <v>3468</v>
      </c>
      <c r="T13" s="41"/>
      <c r="U13" s="43"/>
      <c r="X13" s="1">
        <v>3</v>
      </c>
      <c r="Y13" s="1" t="s">
        <v>3464</v>
      </c>
      <c r="Z13" s="1" t="s">
        <v>3464</v>
      </c>
      <c r="AA13" s="1" t="s">
        <v>3464</v>
      </c>
      <c r="AB13" s="1" t="s">
        <v>3464</v>
      </c>
      <c r="AC13" s="1" t="s">
        <v>3464</v>
      </c>
      <c r="AD13" s="1"/>
      <c r="AF13" s="3">
        <v>3</v>
      </c>
      <c r="AG13" s="3">
        <v>8</v>
      </c>
    </row>
    <row r="14" spans="1:33">
      <c r="A14" s="39">
        <v>3</v>
      </c>
      <c r="B14" s="40" t="s">
        <v>3462</v>
      </c>
      <c r="C14" s="41" t="s">
        <v>3463</v>
      </c>
      <c r="D14" s="41" t="s">
        <v>3464</v>
      </c>
      <c r="E14" s="41" t="s">
        <v>3465</v>
      </c>
      <c r="F14" s="41" t="s">
        <v>3466</v>
      </c>
      <c r="G14" s="41" t="s">
        <v>3464</v>
      </c>
      <c r="H14" s="41" t="s">
        <v>3464</v>
      </c>
      <c r="I14" s="41" t="s">
        <v>3490</v>
      </c>
      <c r="J14" s="41" t="s">
        <v>3469</v>
      </c>
      <c r="K14" s="42" t="s">
        <v>3489</v>
      </c>
      <c r="L14" s="43"/>
      <c r="O14" s="39">
        <v>3</v>
      </c>
      <c r="P14" s="40" t="s">
        <v>3464</v>
      </c>
      <c r="Q14" s="41" t="s">
        <v>3464</v>
      </c>
      <c r="R14" s="41" t="s">
        <v>3464</v>
      </c>
      <c r="S14" s="41" t="s">
        <v>3469</v>
      </c>
      <c r="T14" s="41"/>
      <c r="U14" s="43"/>
      <c r="X14" s="1">
        <v>4</v>
      </c>
      <c r="Y14" s="1" t="s">
        <v>3465</v>
      </c>
      <c r="Z14" s="1" t="s">
        <v>3465</v>
      </c>
      <c r="AA14" s="1" t="s">
        <v>3465</v>
      </c>
      <c r="AB14" s="1" t="s">
        <v>3465</v>
      </c>
      <c r="AC14" s="1" t="s">
        <v>3465</v>
      </c>
      <c r="AD14" s="1"/>
      <c r="AF14" s="3">
        <v>2</v>
      </c>
      <c r="AG14" s="3">
        <v>6</v>
      </c>
    </row>
    <row r="15" spans="1:33">
      <c r="A15" s="39">
        <v>4</v>
      </c>
      <c r="B15" s="40" t="s">
        <v>3462</v>
      </c>
      <c r="C15" s="41" t="s">
        <v>3463</v>
      </c>
      <c r="D15" s="41" t="s">
        <v>3464</v>
      </c>
      <c r="E15" s="41" t="s">
        <v>3465</v>
      </c>
      <c r="F15" s="41" t="s">
        <v>3466</v>
      </c>
      <c r="G15" s="41" t="s">
        <v>3465</v>
      </c>
      <c r="H15" s="41" t="s">
        <v>3465</v>
      </c>
      <c r="I15" s="41" t="s">
        <v>3490</v>
      </c>
      <c r="J15" s="41" t="s">
        <v>3470</v>
      </c>
      <c r="K15" s="42" t="s">
        <v>3489</v>
      </c>
      <c r="L15" s="43"/>
      <c r="O15" s="39">
        <v>4</v>
      </c>
      <c r="P15" s="40" t="s">
        <v>3465</v>
      </c>
      <c r="Q15" s="41" t="s">
        <v>3465</v>
      </c>
      <c r="R15" s="41" t="s">
        <v>3465</v>
      </c>
      <c r="S15" s="41" t="s">
        <v>3470</v>
      </c>
      <c r="T15" s="41"/>
      <c r="U15" s="43"/>
      <c r="X15" s="1">
        <v>5</v>
      </c>
      <c r="Y15" s="1" t="s">
        <v>3466</v>
      </c>
      <c r="Z15" s="1" t="s">
        <v>3466</v>
      </c>
      <c r="AA15" s="1" t="s">
        <v>3466</v>
      </c>
      <c r="AB15" s="1" t="s">
        <v>3466</v>
      </c>
      <c r="AC15" s="1" t="s">
        <v>3466</v>
      </c>
      <c r="AD15" s="1"/>
      <c r="AF15" s="3">
        <v>1</v>
      </c>
      <c r="AG15" s="3">
        <v>4</v>
      </c>
    </row>
    <row r="16" spans="1:33">
      <c r="A16" s="39">
        <v>5</v>
      </c>
      <c r="B16" s="40" t="s">
        <v>3462</v>
      </c>
      <c r="C16" s="41" t="s">
        <v>3463</v>
      </c>
      <c r="D16" s="41" t="s">
        <v>3464</v>
      </c>
      <c r="E16" s="41" t="s">
        <v>3465</v>
      </c>
      <c r="F16" s="41" t="s">
        <v>3466</v>
      </c>
      <c r="G16" s="41" t="s">
        <v>3466</v>
      </c>
      <c r="H16" s="41" t="s">
        <v>3466</v>
      </c>
      <c r="I16" s="41" t="s">
        <v>3490</v>
      </c>
      <c r="J16" s="41" t="s">
        <v>3471</v>
      </c>
      <c r="K16" s="42" t="s">
        <v>3489</v>
      </c>
      <c r="L16" s="43"/>
      <c r="O16" s="39">
        <v>5</v>
      </c>
      <c r="P16" s="39" t="s">
        <v>3466</v>
      </c>
      <c r="Q16" s="41" t="s">
        <v>3466</v>
      </c>
      <c r="R16" s="41" t="s">
        <v>3466</v>
      </c>
      <c r="S16" s="41" t="s">
        <v>3471</v>
      </c>
      <c r="T16" s="41"/>
      <c r="U16" s="43"/>
      <c r="X16" s="1">
        <v>6</v>
      </c>
      <c r="Y16" s="1" t="s">
        <v>3462</v>
      </c>
      <c r="Z16" s="1" t="s">
        <v>3463</v>
      </c>
      <c r="AA16" s="1" t="s">
        <v>3464</v>
      </c>
      <c r="AB16" s="1" t="s">
        <v>3465</v>
      </c>
      <c r="AC16" s="1" t="s">
        <v>3466</v>
      </c>
      <c r="AD16" s="1"/>
    </row>
    <row r="17" spans="1:30">
      <c r="A17" s="39">
        <v>6</v>
      </c>
      <c r="B17" s="40" t="s">
        <v>3462</v>
      </c>
      <c r="C17" s="41" t="s">
        <v>3463</v>
      </c>
      <c r="D17" s="41" t="s">
        <v>3464</v>
      </c>
      <c r="E17" s="41" t="s">
        <v>3465</v>
      </c>
      <c r="F17" s="41" t="s">
        <v>3466</v>
      </c>
      <c r="G17" s="41" t="s">
        <v>3462</v>
      </c>
      <c r="H17" s="41" t="s">
        <v>3462</v>
      </c>
      <c r="I17" s="41" t="s">
        <v>3462</v>
      </c>
      <c r="J17" s="41" t="s">
        <v>3467</v>
      </c>
      <c r="K17" s="42" t="s">
        <v>3489</v>
      </c>
      <c r="L17" s="43"/>
      <c r="O17" s="39">
        <v>6</v>
      </c>
      <c r="P17" s="39" t="s">
        <v>3462</v>
      </c>
      <c r="Q17" s="41" t="s">
        <v>3462</v>
      </c>
      <c r="R17" s="41" t="s">
        <v>3462</v>
      </c>
      <c r="S17" s="41" t="s">
        <v>3467</v>
      </c>
      <c r="T17" s="41"/>
      <c r="U17" s="43"/>
      <c r="X17" s="1">
        <v>7</v>
      </c>
      <c r="Y17" s="1" t="s">
        <v>3463</v>
      </c>
      <c r="Z17" s="1" t="s">
        <v>3464</v>
      </c>
      <c r="AA17" s="1" t="s">
        <v>3465</v>
      </c>
      <c r="AB17" s="1" t="s">
        <v>3466</v>
      </c>
      <c r="AC17" s="1" t="s">
        <v>3462</v>
      </c>
    </row>
    <row r="18" spans="1:30">
      <c r="A18" s="39">
        <v>7</v>
      </c>
      <c r="B18" s="40" t="s">
        <v>3462</v>
      </c>
      <c r="C18" s="41" t="s">
        <v>3463</v>
      </c>
      <c r="D18" s="41" t="s">
        <v>3464</v>
      </c>
      <c r="E18" s="41" t="s">
        <v>3465</v>
      </c>
      <c r="F18" s="41" t="s">
        <v>3466</v>
      </c>
      <c r="G18" s="41" t="s">
        <v>3463</v>
      </c>
      <c r="H18" s="41" t="s">
        <v>3463</v>
      </c>
      <c r="I18" s="41" t="s">
        <v>3463</v>
      </c>
      <c r="J18" s="41" t="s">
        <v>3468</v>
      </c>
      <c r="K18" s="42" t="s">
        <v>3489</v>
      </c>
      <c r="L18" s="43"/>
      <c r="O18" s="39">
        <v>7</v>
      </c>
      <c r="P18" s="39" t="s">
        <v>3463</v>
      </c>
      <c r="Q18" s="41" t="s">
        <v>3463</v>
      </c>
      <c r="R18" s="41" t="s">
        <v>3463</v>
      </c>
      <c r="S18" s="41" t="s">
        <v>3468</v>
      </c>
      <c r="T18" s="41"/>
      <c r="U18" s="43"/>
      <c r="X18" s="1">
        <v>8</v>
      </c>
      <c r="Y18" s="1"/>
      <c r="Z18" s="1"/>
      <c r="AA18" s="1"/>
      <c r="AB18" s="1"/>
      <c r="AC18" s="1"/>
    </row>
    <row r="19" spans="1:30">
      <c r="A19" s="39">
        <v>8</v>
      </c>
      <c r="B19" s="40" t="s">
        <v>3462</v>
      </c>
      <c r="C19" s="41" t="s">
        <v>3463</v>
      </c>
      <c r="D19" s="41" t="s">
        <v>3464</v>
      </c>
      <c r="E19" s="41" t="s">
        <v>3465</v>
      </c>
      <c r="F19" s="41" t="s">
        <v>3466</v>
      </c>
      <c r="G19" s="41" t="s">
        <v>3464</v>
      </c>
      <c r="H19" s="41" t="s">
        <v>3464</v>
      </c>
      <c r="I19" s="41" t="s">
        <v>3464</v>
      </c>
      <c r="J19" s="41" t="s">
        <v>3469</v>
      </c>
      <c r="K19" s="42" t="s">
        <v>4065</v>
      </c>
      <c r="L19" s="43"/>
      <c r="O19" s="39">
        <v>8</v>
      </c>
      <c r="P19" s="39" t="s">
        <v>3464</v>
      </c>
      <c r="Q19" s="41" t="s">
        <v>3464</v>
      </c>
      <c r="R19" s="41" t="s">
        <v>3464</v>
      </c>
      <c r="S19" s="41" t="s">
        <v>3469</v>
      </c>
      <c r="T19" s="41"/>
      <c r="U19" s="43"/>
      <c r="X19" s="1">
        <v>9</v>
      </c>
      <c r="Y19" s="1"/>
      <c r="Z19" s="1"/>
      <c r="AA19" s="1"/>
      <c r="AB19" s="1"/>
      <c r="AC19" s="1"/>
    </row>
    <row r="20" spans="1:30">
      <c r="A20" s="39">
        <v>9</v>
      </c>
      <c r="B20" s="40" t="s">
        <v>3462</v>
      </c>
      <c r="C20" s="41" t="s">
        <v>3463</v>
      </c>
      <c r="D20" s="41" t="s">
        <v>3464</v>
      </c>
      <c r="E20" s="41" t="s">
        <v>3465</v>
      </c>
      <c r="F20" s="41" t="s">
        <v>3466</v>
      </c>
      <c r="G20" s="41" t="s">
        <v>3465</v>
      </c>
      <c r="H20" s="41" t="s">
        <v>3465</v>
      </c>
      <c r="I20" s="41" t="s">
        <v>3465</v>
      </c>
      <c r="J20" s="41" t="s">
        <v>3470</v>
      </c>
      <c r="K20" s="42" t="s">
        <v>4065</v>
      </c>
      <c r="L20" s="43"/>
      <c r="O20" s="39">
        <v>9</v>
      </c>
      <c r="P20" s="39" t="s">
        <v>3465</v>
      </c>
      <c r="Q20" s="41" t="s">
        <v>3465</v>
      </c>
      <c r="R20" s="41" t="s">
        <v>3465</v>
      </c>
      <c r="S20" s="41" t="s">
        <v>3470</v>
      </c>
      <c r="T20" s="41"/>
      <c r="U20" s="43"/>
      <c r="X20" s="1">
        <v>10</v>
      </c>
      <c r="Y20" s="1" t="s">
        <v>3467</v>
      </c>
      <c r="Z20" s="1" t="s">
        <v>3468</v>
      </c>
      <c r="AA20" s="1" t="s">
        <v>3469</v>
      </c>
      <c r="AB20" s="1" t="s">
        <v>3470</v>
      </c>
      <c r="AC20" s="1" t="s">
        <v>3471</v>
      </c>
      <c r="AD20" s="1"/>
    </row>
    <row r="21" spans="1:30" ht="14.25" thickBot="1">
      <c r="A21" s="44">
        <v>10</v>
      </c>
      <c r="B21" s="40" t="s">
        <v>3462</v>
      </c>
      <c r="C21" s="41" t="s">
        <v>3463</v>
      </c>
      <c r="D21" s="41" t="s">
        <v>3464</v>
      </c>
      <c r="E21" s="41" t="s">
        <v>3465</v>
      </c>
      <c r="F21" s="41" t="s">
        <v>3466</v>
      </c>
      <c r="G21" s="41" t="s">
        <v>3466</v>
      </c>
      <c r="H21" s="41" t="s">
        <v>3466</v>
      </c>
      <c r="I21" s="41" t="s">
        <v>3466</v>
      </c>
      <c r="J21" s="41" t="s">
        <v>3471</v>
      </c>
      <c r="K21" s="42" t="s">
        <v>4065</v>
      </c>
      <c r="L21" s="48"/>
      <c r="O21" s="39">
        <v>10</v>
      </c>
      <c r="P21" s="39" t="s">
        <v>3466</v>
      </c>
      <c r="Q21" s="41" t="s">
        <v>3466</v>
      </c>
      <c r="R21" s="41" t="s">
        <v>3466</v>
      </c>
      <c r="S21" s="41" t="s">
        <v>3471</v>
      </c>
      <c r="T21" s="41"/>
      <c r="U21" s="43"/>
      <c r="X21" s="1">
        <v>11</v>
      </c>
      <c r="Y21" s="1" t="s">
        <v>3467</v>
      </c>
      <c r="Z21" s="1" t="s">
        <v>3468</v>
      </c>
      <c r="AA21" s="1" t="s">
        <v>3469</v>
      </c>
      <c r="AB21" s="1" t="s">
        <v>3470</v>
      </c>
      <c r="AC21" s="1" t="s">
        <v>3471</v>
      </c>
      <c r="AD21" s="1"/>
    </row>
    <row r="22" spans="1:30">
      <c r="A22" s="39">
        <v>11</v>
      </c>
      <c r="B22" s="40" t="s">
        <v>3462</v>
      </c>
      <c r="C22" s="41" t="s">
        <v>3463</v>
      </c>
      <c r="D22" s="41" t="s">
        <v>3464</v>
      </c>
      <c r="E22" s="41" t="s">
        <v>3465</v>
      </c>
      <c r="F22" s="41" t="s">
        <v>3466</v>
      </c>
      <c r="G22" s="41"/>
      <c r="H22" s="41"/>
      <c r="I22" s="41"/>
      <c r="J22" s="41"/>
      <c r="K22" s="42"/>
      <c r="O22" s="39">
        <v>11</v>
      </c>
      <c r="P22" s="39" t="s">
        <v>3462</v>
      </c>
      <c r="Q22" s="41" t="s">
        <v>3462</v>
      </c>
      <c r="R22" s="41" t="s">
        <v>3462</v>
      </c>
      <c r="S22" s="41" t="s">
        <v>3489</v>
      </c>
      <c r="T22" s="41"/>
      <c r="U22" s="43"/>
      <c r="X22" s="1">
        <v>12</v>
      </c>
      <c r="Y22" s="1" t="s">
        <v>3462</v>
      </c>
      <c r="Z22" s="1" t="s">
        <v>3463</v>
      </c>
      <c r="AA22" s="1" t="s">
        <v>3464</v>
      </c>
      <c r="AB22" s="1" t="s">
        <v>3465</v>
      </c>
      <c r="AC22" s="1" t="s">
        <v>3466</v>
      </c>
      <c r="AD22" s="1"/>
    </row>
    <row r="23" spans="1:30">
      <c r="A23" s="39">
        <v>12</v>
      </c>
      <c r="B23" s="40" t="s">
        <v>3462</v>
      </c>
      <c r="C23" s="41" t="s">
        <v>3463</v>
      </c>
      <c r="D23" s="41" t="s">
        <v>3464</v>
      </c>
      <c r="E23" s="41" t="s">
        <v>3465</v>
      </c>
      <c r="F23" s="41" t="s">
        <v>3466</v>
      </c>
      <c r="G23" s="41"/>
      <c r="H23" s="41"/>
      <c r="I23" s="41"/>
      <c r="J23" s="41"/>
      <c r="K23" s="42"/>
      <c r="O23" s="39">
        <v>12</v>
      </c>
      <c r="P23" s="39" t="s">
        <v>3463</v>
      </c>
      <c r="Q23" s="41" t="s">
        <v>3463</v>
      </c>
      <c r="R23" s="41" t="s">
        <v>3463</v>
      </c>
      <c r="S23" s="41" t="s">
        <v>3489</v>
      </c>
      <c r="T23" s="41"/>
      <c r="U23" s="43"/>
      <c r="X23" s="1">
        <v>13</v>
      </c>
      <c r="Y23" s="1" t="s">
        <v>3416</v>
      </c>
      <c r="Z23" s="1" t="s">
        <v>3416</v>
      </c>
      <c r="AA23" s="1" t="s">
        <v>3416</v>
      </c>
      <c r="AB23" s="1" t="s">
        <v>3416</v>
      </c>
      <c r="AC23" s="1" t="s">
        <v>3416</v>
      </c>
      <c r="AD23" s="1"/>
    </row>
    <row r="24" spans="1:30">
      <c r="O24" s="39">
        <v>13</v>
      </c>
      <c r="P24" s="39" t="s">
        <v>3464</v>
      </c>
      <c r="Q24" s="41" t="s">
        <v>3464</v>
      </c>
      <c r="R24" s="41" t="s">
        <v>3464</v>
      </c>
      <c r="S24" s="41" t="s">
        <v>3489</v>
      </c>
      <c r="T24" s="41"/>
      <c r="U24" s="43"/>
      <c r="X24" s="1">
        <v>14</v>
      </c>
      <c r="Y24" s="1" t="s">
        <v>3462</v>
      </c>
      <c r="Z24" s="1" t="s">
        <v>3463</v>
      </c>
      <c r="AA24" s="1" t="s">
        <v>3464</v>
      </c>
      <c r="AB24" s="1" t="s">
        <v>3465</v>
      </c>
      <c r="AC24" s="1" t="s">
        <v>3466</v>
      </c>
      <c r="AD24" s="1"/>
    </row>
    <row r="25" spans="1:30">
      <c r="O25" s="39">
        <v>14</v>
      </c>
      <c r="P25" s="39" t="s">
        <v>3465</v>
      </c>
      <c r="Q25" s="41" t="s">
        <v>3465</v>
      </c>
      <c r="R25" s="41" t="s">
        <v>3465</v>
      </c>
      <c r="S25" s="41" t="s">
        <v>3489</v>
      </c>
      <c r="T25" s="41"/>
      <c r="U25" s="43"/>
      <c r="X25" s="1">
        <v>15</v>
      </c>
      <c r="AD25" s="1"/>
    </row>
    <row r="26" spans="1:30">
      <c r="O26" s="39">
        <v>15</v>
      </c>
      <c r="P26" s="40" t="s">
        <v>3466</v>
      </c>
      <c r="Q26" s="41" t="s">
        <v>3466</v>
      </c>
      <c r="R26" s="41" t="s">
        <v>3466</v>
      </c>
      <c r="S26" s="41" t="s">
        <v>3489</v>
      </c>
      <c r="T26" s="41"/>
      <c r="U26" s="43"/>
      <c r="X26" s="1" t="s">
        <v>3491</v>
      </c>
      <c r="Y26" s="1" t="s">
        <v>3462</v>
      </c>
      <c r="Z26" s="1" t="s">
        <v>3463</v>
      </c>
      <c r="AA26" s="1" t="s">
        <v>3464</v>
      </c>
      <c r="AB26" s="1" t="s">
        <v>3465</v>
      </c>
      <c r="AC26" s="1" t="s">
        <v>3466</v>
      </c>
    </row>
    <row r="27" spans="1:30">
      <c r="O27" s="39">
        <v>16</v>
      </c>
      <c r="P27" s="40" t="s">
        <v>3462</v>
      </c>
      <c r="Q27" s="41" t="s">
        <v>3462</v>
      </c>
      <c r="R27" s="41" t="s">
        <v>3462</v>
      </c>
      <c r="S27" s="41" t="s">
        <v>3490</v>
      </c>
      <c r="T27" s="41"/>
      <c r="U27" s="43"/>
      <c r="X27" s="1" t="s">
        <v>3492</v>
      </c>
      <c r="Y27" s="1" t="s">
        <v>3462</v>
      </c>
      <c r="Z27" s="1" t="s">
        <v>3463</v>
      </c>
      <c r="AA27" s="1" t="s">
        <v>3464</v>
      </c>
      <c r="AB27" s="1" t="s">
        <v>3465</v>
      </c>
      <c r="AC27" s="1" t="s">
        <v>3466</v>
      </c>
    </row>
    <row r="28" spans="1:30">
      <c r="I28" s="57"/>
      <c r="O28" s="39">
        <v>17</v>
      </c>
      <c r="P28" s="40" t="s">
        <v>3463</v>
      </c>
      <c r="Q28" s="41" t="s">
        <v>3463</v>
      </c>
      <c r="R28" s="41" t="s">
        <v>3463</v>
      </c>
      <c r="S28" s="41" t="s">
        <v>3490</v>
      </c>
      <c r="T28" s="41"/>
      <c r="U28" s="43"/>
      <c r="X28" s="1" t="s">
        <v>3493</v>
      </c>
      <c r="Y28" s="1" t="s">
        <v>3467</v>
      </c>
      <c r="Z28" s="1" t="s">
        <v>3468</v>
      </c>
      <c r="AA28" s="1" t="s">
        <v>3469</v>
      </c>
      <c r="AB28" s="1" t="s">
        <v>3470</v>
      </c>
      <c r="AC28" s="1" t="s">
        <v>3471</v>
      </c>
    </row>
    <row r="29" spans="1:30">
      <c r="O29" s="39">
        <v>18</v>
      </c>
      <c r="P29" s="40" t="s">
        <v>3464</v>
      </c>
      <c r="Q29" s="41" t="s">
        <v>3464</v>
      </c>
      <c r="R29" s="41" t="s">
        <v>3464</v>
      </c>
      <c r="S29" s="41" t="s">
        <v>3490</v>
      </c>
      <c r="T29" s="41"/>
      <c r="U29" s="43"/>
      <c r="X29" s="1" t="s">
        <v>3494</v>
      </c>
      <c r="Y29" s="1"/>
      <c r="Z29" s="1"/>
      <c r="AA29" s="1"/>
      <c r="AB29" s="1"/>
      <c r="AC29" s="1"/>
    </row>
    <row r="30" spans="1:30">
      <c r="O30" s="39">
        <v>19</v>
      </c>
      <c r="P30" s="40" t="s">
        <v>3465</v>
      </c>
      <c r="Q30" s="41" t="s">
        <v>3465</v>
      </c>
      <c r="R30" s="41" t="s">
        <v>3465</v>
      </c>
      <c r="S30" s="41"/>
      <c r="T30" s="41"/>
      <c r="U30" s="43"/>
      <c r="X30" s="1" t="s">
        <v>3495</v>
      </c>
      <c r="Y30" s="1"/>
      <c r="Z30" s="1"/>
      <c r="AA30" s="1"/>
      <c r="AB30" s="1"/>
      <c r="AC30" s="1"/>
    </row>
    <row r="31" spans="1:30" ht="14.25" thickBot="1">
      <c r="O31" s="44">
        <v>20</v>
      </c>
      <c r="P31" s="45" t="s">
        <v>3466</v>
      </c>
      <c r="Q31" s="46" t="s">
        <v>3466</v>
      </c>
      <c r="R31" s="46" t="s">
        <v>3466</v>
      </c>
      <c r="S31" s="46"/>
      <c r="T31" s="46"/>
      <c r="U31" s="48"/>
    </row>
    <row r="35" spans="14:29">
      <c r="AC35" s="1"/>
    </row>
    <row r="39" spans="14:29">
      <c r="N39" s="1"/>
    </row>
    <row r="40" spans="14:29">
      <c r="N40" s="1"/>
    </row>
    <row r="41" spans="14:29">
      <c r="N41" s="1"/>
    </row>
    <row r="42" spans="14:29">
      <c r="N42" s="1"/>
    </row>
    <row r="43" spans="14:29">
      <c r="N43" s="1"/>
    </row>
    <row r="49" spans="9:20">
      <c r="I49" s="1"/>
    </row>
    <row r="50" spans="9:20">
      <c r="I50" s="1"/>
      <c r="J50" s="1"/>
      <c r="K50" s="1"/>
    </row>
    <row r="57" spans="9:20">
      <c r="P57" s="1"/>
      <c r="Q57" s="1"/>
      <c r="R57" s="1"/>
      <c r="S57" s="1"/>
      <c r="T57" s="1"/>
    </row>
    <row r="64" spans="9:20">
      <c r="I64" s="1"/>
    </row>
    <row r="65" spans="7:14">
      <c r="I65" s="1"/>
    </row>
    <row r="66" spans="7:14">
      <c r="G66" s="1"/>
      <c r="I66" s="1"/>
    </row>
    <row r="67" spans="7:14">
      <c r="G67" s="1"/>
      <c r="I67" s="1"/>
    </row>
    <row r="68" spans="7:14">
      <c r="G68" s="1"/>
      <c r="I68" s="1"/>
    </row>
    <row r="69" spans="7:14">
      <c r="G69" s="1"/>
      <c r="I69" s="1"/>
    </row>
    <row r="70" spans="7:14">
      <c r="G70" s="1"/>
      <c r="I70" s="1"/>
      <c r="N70" s="1"/>
    </row>
    <row r="71" spans="7:14">
      <c r="I71" s="1"/>
      <c r="N71" s="1"/>
    </row>
    <row r="72" spans="7:14">
      <c r="I72" s="1"/>
      <c r="N72" s="1"/>
    </row>
  </sheetData>
  <phoneticPr fontId="1"/>
  <pageMargins left="0.7" right="0.7" top="0.75" bottom="0.75" header="0.3" footer="0.3"/>
  <pageSetup paperSize="9"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26"/>
  <sheetViews>
    <sheetView zoomScale="85" zoomScaleNormal="85" workbookViewId="0">
      <selection activeCell="E41" sqref="E41"/>
    </sheetView>
  </sheetViews>
  <sheetFormatPr defaultRowHeight="13.5"/>
  <cols>
    <col min="1" max="1" width="3.375" style="1" bestFit="1" customWidth="1"/>
    <col min="2" max="16384" width="9" style="1"/>
  </cols>
  <sheetData>
    <row r="1" spans="1:6">
      <c r="B1" s="1">
        <v>249</v>
      </c>
    </row>
    <row r="2" spans="1:6">
      <c r="B2" s="1">
        <f>B1*0.45</f>
        <v>112.05</v>
      </c>
    </row>
    <row r="3" spans="1:6">
      <c r="B3" s="1">
        <f>112/5</f>
        <v>22.4</v>
      </c>
    </row>
    <row r="4" spans="1:6">
      <c r="B4" s="1" t="s">
        <v>1363</v>
      </c>
      <c r="C4" s="1" t="s">
        <v>1364</v>
      </c>
      <c r="D4" s="1" t="s">
        <v>1365</v>
      </c>
      <c r="E4" s="1" t="s">
        <v>1366</v>
      </c>
    </row>
    <row r="5" spans="1:6">
      <c r="B5" s="1">
        <v>101</v>
      </c>
      <c r="C5" s="1">
        <v>80</v>
      </c>
      <c r="D5" s="1">
        <v>53</v>
      </c>
      <c r="E5" s="1">
        <v>15</v>
      </c>
      <c r="F5" s="1">
        <f>SUM(B5:E5)</f>
        <v>249</v>
      </c>
    </row>
    <row r="6" spans="1:6">
      <c r="B6" s="1">
        <v>110</v>
      </c>
      <c r="C6" s="1">
        <v>80</v>
      </c>
      <c r="D6" s="1">
        <v>60</v>
      </c>
      <c r="E6" s="1">
        <v>15</v>
      </c>
      <c r="F6" s="1">
        <f>SUM(B6:E6)</f>
        <v>265</v>
      </c>
    </row>
    <row r="7" spans="1:6">
      <c r="B7" s="1">
        <f>B6/6</f>
        <v>18.333333333333332</v>
      </c>
      <c r="C7" s="1">
        <f t="shared" ref="C7:D7" si="0">C6/6</f>
        <v>13.333333333333334</v>
      </c>
      <c r="D7" s="1">
        <f t="shared" si="0"/>
        <v>10</v>
      </c>
    </row>
    <row r="8" spans="1:6">
      <c r="A8" s="1" t="s">
        <v>3104</v>
      </c>
      <c r="B8" s="1">
        <v>17</v>
      </c>
      <c r="C8" s="1">
        <v>12</v>
      </c>
      <c r="D8" s="1">
        <v>9</v>
      </c>
      <c r="E8" s="1">
        <v>2</v>
      </c>
    </row>
    <row r="9" spans="1:6">
      <c r="A9" s="1" t="s">
        <v>3105</v>
      </c>
      <c r="B9" s="1">
        <f>B8</f>
        <v>17</v>
      </c>
      <c r="C9" s="1">
        <f t="shared" ref="C9:E12" si="1">C8</f>
        <v>12</v>
      </c>
      <c r="D9" s="1">
        <f t="shared" si="1"/>
        <v>9</v>
      </c>
      <c r="E9" s="1">
        <f t="shared" si="1"/>
        <v>2</v>
      </c>
    </row>
    <row r="10" spans="1:6">
      <c r="A10" s="1" t="s">
        <v>3106</v>
      </c>
      <c r="B10" s="1">
        <f t="shared" ref="B10:B12" si="2">B9</f>
        <v>17</v>
      </c>
      <c r="C10" s="1">
        <f t="shared" si="1"/>
        <v>12</v>
      </c>
      <c r="D10" s="1">
        <f t="shared" si="1"/>
        <v>9</v>
      </c>
      <c r="E10" s="1">
        <f t="shared" si="1"/>
        <v>2</v>
      </c>
    </row>
    <row r="11" spans="1:6">
      <c r="A11" s="1" t="s">
        <v>3107</v>
      </c>
      <c r="B11" s="1">
        <f t="shared" si="2"/>
        <v>17</v>
      </c>
      <c r="C11" s="1">
        <f t="shared" si="1"/>
        <v>12</v>
      </c>
      <c r="D11" s="1">
        <f t="shared" si="1"/>
        <v>9</v>
      </c>
      <c r="E11" s="1">
        <f t="shared" si="1"/>
        <v>2</v>
      </c>
    </row>
    <row r="12" spans="1:6">
      <c r="A12" s="1" t="s">
        <v>3108</v>
      </c>
      <c r="B12" s="1">
        <f t="shared" si="2"/>
        <v>17</v>
      </c>
      <c r="C12" s="1">
        <f t="shared" si="1"/>
        <v>12</v>
      </c>
      <c r="D12" s="1">
        <f t="shared" si="1"/>
        <v>9</v>
      </c>
      <c r="E12" s="1">
        <f t="shared" si="1"/>
        <v>2</v>
      </c>
    </row>
    <row r="13" spans="1:6">
      <c r="A13" s="1" t="s">
        <v>3109</v>
      </c>
      <c r="B13" s="1">
        <v>10</v>
      </c>
      <c r="C13" s="1">
        <v>10</v>
      </c>
      <c r="D13" s="1">
        <v>10</v>
      </c>
      <c r="E13" s="1">
        <v>5</v>
      </c>
    </row>
    <row r="14" spans="1:6">
      <c r="A14" s="1" t="s">
        <v>3110</v>
      </c>
      <c r="B14" s="1">
        <v>10</v>
      </c>
      <c r="C14" s="1">
        <v>5</v>
      </c>
      <c r="D14" s="1">
        <v>5</v>
      </c>
    </row>
    <row r="15" spans="1:6">
      <c r="A15" s="1" t="s">
        <v>3111</v>
      </c>
      <c r="B15" s="1">
        <v>5</v>
      </c>
      <c r="C15" s="1">
        <v>5</v>
      </c>
    </row>
    <row r="16" spans="1:6">
      <c r="B16" s="58">
        <f>SUM(B8:B15)</f>
        <v>110</v>
      </c>
      <c r="C16" s="58">
        <f t="shared" ref="C16:E16" si="3">SUM(C8:C15)</f>
        <v>80</v>
      </c>
      <c r="D16" s="58">
        <f t="shared" si="3"/>
        <v>60</v>
      </c>
      <c r="E16" s="58">
        <f t="shared" si="3"/>
        <v>15</v>
      </c>
      <c r="F16" s="58">
        <f>SUM(B16:E16)</f>
        <v>265</v>
      </c>
    </row>
    <row r="17" spans="1:7" s="3" customFormat="1">
      <c r="B17" s="3" t="s">
        <v>3112</v>
      </c>
    </row>
    <row r="18" spans="1:7">
      <c r="A18" s="1" t="s">
        <v>3104</v>
      </c>
      <c r="B18" s="1">
        <v>11</v>
      </c>
      <c r="C18" s="1">
        <v>6</v>
      </c>
      <c r="D18" s="1">
        <v>4</v>
      </c>
      <c r="E18" s="1">
        <v>1</v>
      </c>
    </row>
    <row r="19" spans="1:7">
      <c r="A19" s="1" t="s">
        <v>3105</v>
      </c>
      <c r="B19" s="1">
        <v>10</v>
      </c>
      <c r="C19" s="1">
        <v>5</v>
      </c>
      <c r="D19" s="1">
        <v>3</v>
      </c>
      <c r="E19" s="1">
        <v>1</v>
      </c>
    </row>
    <row r="20" spans="1:7">
      <c r="A20" s="1" t="s">
        <v>3106</v>
      </c>
      <c r="B20" s="1">
        <v>11</v>
      </c>
      <c r="C20" s="1">
        <v>6</v>
      </c>
      <c r="D20" s="1">
        <v>4</v>
      </c>
      <c r="E20" s="1">
        <v>1</v>
      </c>
    </row>
    <row r="21" spans="1:7">
      <c r="A21" s="1" t="s">
        <v>3107</v>
      </c>
      <c r="B21" s="1">
        <v>11</v>
      </c>
      <c r="C21" s="1">
        <v>6</v>
      </c>
      <c r="D21" s="1">
        <v>4</v>
      </c>
      <c r="E21" s="1">
        <v>2</v>
      </c>
    </row>
    <row r="22" spans="1:7">
      <c r="A22" s="1" t="s">
        <v>3108</v>
      </c>
      <c r="B22" s="1">
        <v>12</v>
      </c>
      <c r="C22" s="1">
        <v>7</v>
      </c>
      <c r="D22" s="1">
        <v>5</v>
      </c>
      <c r="E22" s="1">
        <v>2</v>
      </c>
    </row>
    <row r="23" spans="1:7">
      <c r="A23" s="1" t="s">
        <v>3109</v>
      </c>
      <c r="B23" s="1">
        <v>5</v>
      </c>
      <c r="C23" s="1">
        <v>5</v>
      </c>
      <c r="D23" s="1">
        <v>5</v>
      </c>
      <c r="E23" s="1">
        <v>2</v>
      </c>
    </row>
    <row r="24" spans="1:7">
      <c r="A24" s="1" t="s">
        <v>3110</v>
      </c>
    </row>
    <row r="25" spans="1:7">
      <c r="A25" s="1" t="s">
        <v>3111</v>
      </c>
    </row>
    <row r="26" spans="1:7">
      <c r="B26" s="58">
        <f>SUM(B18:B25)</f>
        <v>60</v>
      </c>
      <c r="C26" s="58">
        <f t="shared" ref="C26" si="4">SUM(C18:C25)</f>
        <v>35</v>
      </c>
      <c r="D26" s="58">
        <f t="shared" ref="D26" si="5">SUM(D18:D25)</f>
        <v>25</v>
      </c>
      <c r="E26" s="58">
        <f t="shared" ref="E26" si="6">SUM(E18:E25)</f>
        <v>9</v>
      </c>
      <c r="F26" s="58">
        <f>SUM(B26:E26)</f>
        <v>129</v>
      </c>
      <c r="G26" s="58">
        <f>F26/F16</f>
        <v>0.48679245283018868</v>
      </c>
    </row>
  </sheetData>
  <phoneticPr fontId="1"/>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W119"/>
  <sheetViews>
    <sheetView topLeftCell="A79" workbookViewId="0">
      <selection activeCell="C94" sqref="C94:S94"/>
    </sheetView>
  </sheetViews>
  <sheetFormatPr defaultRowHeight="13.5"/>
  <sheetData>
    <row r="1" spans="1:23">
      <c r="C1" t="s">
        <v>3151</v>
      </c>
      <c r="D1" t="s">
        <v>3152</v>
      </c>
      <c r="E1" t="s">
        <v>3160</v>
      </c>
      <c r="F1" t="s">
        <v>3153</v>
      </c>
      <c r="G1" t="s">
        <v>3154</v>
      </c>
      <c r="H1" t="s">
        <v>3155</v>
      </c>
      <c r="I1" t="s">
        <v>3156</v>
      </c>
      <c r="J1" t="s">
        <v>3157</v>
      </c>
      <c r="P1" t="s">
        <v>4769</v>
      </c>
      <c r="Q1" t="s">
        <v>4770</v>
      </c>
      <c r="R1" t="s">
        <v>3159</v>
      </c>
    </row>
    <row r="2" spans="1:23">
      <c r="B2">
        <v>1</v>
      </c>
      <c r="C2" t="s">
        <v>4889</v>
      </c>
      <c r="D2" t="s">
        <v>1606</v>
      </c>
      <c r="E2">
        <v>1</v>
      </c>
      <c r="F2" t="s">
        <v>3403</v>
      </c>
      <c r="J2" t="s">
        <v>4890</v>
      </c>
      <c r="R2" t="s">
        <v>37</v>
      </c>
      <c r="S2" t="s">
        <v>4</v>
      </c>
      <c r="T2" t="s">
        <v>4891</v>
      </c>
    </row>
    <row r="3" spans="1:23">
      <c r="B3">
        <v>3</v>
      </c>
      <c r="C3" t="s">
        <v>4892</v>
      </c>
      <c r="D3" t="s">
        <v>1370</v>
      </c>
      <c r="E3">
        <v>1</v>
      </c>
      <c r="F3" t="s">
        <v>3403</v>
      </c>
      <c r="J3" t="s">
        <v>4893</v>
      </c>
      <c r="R3" t="s">
        <v>180</v>
      </c>
      <c r="S3" t="s">
        <v>4</v>
      </c>
      <c r="T3" t="s">
        <v>4891</v>
      </c>
    </row>
    <row r="4" spans="1:23">
      <c r="B4">
        <v>4</v>
      </c>
      <c r="C4" t="s">
        <v>4894</v>
      </c>
      <c r="D4" t="s">
        <v>845</v>
      </c>
      <c r="E4">
        <v>1</v>
      </c>
      <c r="F4" t="s">
        <v>3403</v>
      </c>
      <c r="J4" t="s">
        <v>4895</v>
      </c>
      <c r="R4" t="s">
        <v>14</v>
      </c>
      <c r="S4" t="s">
        <v>4</v>
      </c>
      <c r="T4" t="s">
        <v>4896</v>
      </c>
    </row>
    <row r="5" spans="1:23">
      <c r="B5">
        <v>6</v>
      </c>
      <c r="C5" t="s">
        <v>4897</v>
      </c>
      <c r="D5" t="s">
        <v>4898</v>
      </c>
      <c r="E5">
        <v>1</v>
      </c>
      <c r="F5" t="s">
        <v>3403</v>
      </c>
      <c r="J5" t="s">
        <v>4899</v>
      </c>
      <c r="R5" t="s">
        <v>31</v>
      </c>
      <c r="S5" t="s">
        <v>4</v>
      </c>
      <c r="T5" t="s">
        <v>4891</v>
      </c>
    </row>
    <row r="6" spans="1:23">
      <c r="B6">
        <v>7</v>
      </c>
      <c r="C6" t="s">
        <v>4900</v>
      </c>
      <c r="D6" t="s">
        <v>1370</v>
      </c>
      <c r="E6">
        <v>1</v>
      </c>
      <c r="F6" t="s">
        <v>3403</v>
      </c>
      <c r="J6" t="s">
        <v>4901</v>
      </c>
      <c r="R6" t="s">
        <v>176</v>
      </c>
      <c r="S6" t="s">
        <v>4</v>
      </c>
      <c r="T6" t="s">
        <v>4891</v>
      </c>
    </row>
    <row r="7" spans="1:23">
      <c r="B7">
        <v>8</v>
      </c>
      <c r="C7" t="s">
        <v>4902</v>
      </c>
      <c r="D7" t="s">
        <v>845</v>
      </c>
      <c r="E7">
        <v>1</v>
      </c>
      <c r="F7" t="s">
        <v>3403</v>
      </c>
      <c r="J7" t="s">
        <v>4903</v>
      </c>
      <c r="R7" t="s">
        <v>182</v>
      </c>
      <c r="S7" t="s">
        <v>4</v>
      </c>
      <c r="T7" t="s">
        <v>3456</v>
      </c>
    </row>
    <row r="8" spans="1:23">
      <c r="A8" s="76"/>
      <c r="B8" s="76">
        <v>10</v>
      </c>
      <c r="C8" s="76" t="s">
        <v>4904</v>
      </c>
      <c r="D8" s="76" t="s">
        <v>1370</v>
      </c>
      <c r="E8">
        <v>1</v>
      </c>
      <c r="F8" s="76" t="s">
        <v>3403</v>
      </c>
      <c r="G8" s="76"/>
      <c r="H8" s="76"/>
      <c r="I8" s="76"/>
      <c r="J8" s="76" t="s">
        <v>4905</v>
      </c>
      <c r="K8" s="76"/>
      <c r="L8" s="76"/>
      <c r="M8" s="76"/>
      <c r="N8" s="76"/>
      <c r="O8" s="76"/>
      <c r="P8" s="76"/>
      <c r="Q8" s="76"/>
      <c r="R8" s="76" t="s">
        <v>168</v>
      </c>
      <c r="S8" s="76" t="s">
        <v>4</v>
      </c>
      <c r="T8" s="76" t="s">
        <v>3456</v>
      </c>
      <c r="U8" s="76"/>
      <c r="V8" s="76"/>
      <c r="W8" s="76"/>
    </row>
    <row r="9" spans="1:23">
      <c r="B9">
        <v>11</v>
      </c>
      <c r="C9" t="s">
        <v>4906</v>
      </c>
      <c r="D9" t="s">
        <v>845</v>
      </c>
      <c r="E9">
        <v>1</v>
      </c>
      <c r="F9" t="s">
        <v>3403</v>
      </c>
      <c r="J9" t="s">
        <v>4113</v>
      </c>
      <c r="K9" t="s">
        <v>4907</v>
      </c>
      <c r="L9" t="s">
        <v>4908</v>
      </c>
      <c r="R9" t="s">
        <v>176</v>
      </c>
      <c r="S9" t="s">
        <v>4</v>
      </c>
      <c r="T9" t="s">
        <v>3456</v>
      </c>
    </row>
    <row r="10" spans="1:23">
      <c r="B10">
        <v>12</v>
      </c>
      <c r="C10" t="s">
        <v>4909</v>
      </c>
      <c r="D10" t="s">
        <v>186</v>
      </c>
      <c r="E10">
        <v>1</v>
      </c>
      <c r="F10" t="s">
        <v>3403</v>
      </c>
      <c r="J10" t="s">
        <v>4910</v>
      </c>
      <c r="R10" t="s">
        <v>26</v>
      </c>
      <c r="S10" t="s">
        <v>4</v>
      </c>
      <c r="T10" t="s">
        <v>4891</v>
      </c>
    </row>
    <row r="11" spans="1:23">
      <c r="B11">
        <v>13</v>
      </c>
      <c r="C11" t="s">
        <v>4911</v>
      </c>
      <c r="D11" t="s">
        <v>1370</v>
      </c>
      <c r="E11">
        <v>1</v>
      </c>
      <c r="F11" t="s">
        <v>3403</v>
      </c>
      <c r="J11" t="s">
        <v>4912</v>
      </c>
      <c r="K11" t="s">
        <v>4913</v>
      </c>
      <c r="R11" t="s">
        <v>50</v>
      </c>
      <c r="S11" t="s">
        <v>4</v>
      </c>
      <c r="T11" t="s">
        <v>4891</v>
      </c>
    </row>
    <row r="12" spans="1:23">
      <c r="B12">
        <v>14</v>
      </c>
      <c r="C12" t="s">
        <v>4914</v>
      </c>
      <c r="D12" t="s">
        <v>1606</v>
      </c>
      <c r="E12">
        <v>1</v>
      </c>
      <c r="F12" t="s">
        <v>3403</v>
      </c>
      <c r="J12" t="s">
        <v>4915</v>
      </c>
      <c r="R12" t="s">
        <v>46</v>
      </c>
      <c r="S12" t="s">
        <v>4</v>
      </c>
      <c r="T12" t="s">
        <v>3456</v>
      </c>
    </row>
    <row r="13" spans="1:23">
      <c r="B13">
        <v>15</v>
      </c>
      <c r="C13" t="s">
        <v>4916</v>
      </c>
      <c r="D13" t="s">
        <v>1099</v>
      </c>
      <c r="E13">
        <v>1</v>
      </c>
      <c r="F13" t="s">
        <v>3403</v>
      </c>
      <c r="J13" t="s">
        <v>4917</v>
      </c>
      <c r="K13" t="s">
        <v>3768</v>
      </c>
      <c r="R13" t="s">
        <v>3747</v>
      </c>
      <c r="S13" t="s">
        <v>4</v>
      </c>
      <c r="T13" t="s">
        <v>3456</v>
      </c>
    </row>
    <row r="14" spans="1:23">
      <c r="B14">
        <v>16</v>
      </c>
      <c r="C14" t="s">
        <v>4918</v>
      </c>
      <c r="D14" t="s">
        <v>1606</v>
      </c>
      <c r="E14">
        <v>1</v>
      </c>
      <c r="F14" t="s">
        <v>3403</v>
      </c>
      <c r="J14" t="s">
        <v>4589</v>
      </c>
      <c r="K14" t="s">
        <v>4919</v>
      </c>
      <c r="R14" t="s">
        <v>176</v>
      </c>
      <c r="S14" t="s">
        <v>4</v>
      </c>
      <c r="T14" t="s">
        <v>3456</v>
      </c>
    </row>
    <row r="15" spans="1:23">
      <c r="B15">
        <v>17</v>
      </c>
      <c r="C15" t="s">
        <v>4920</v>
      </c>
      <c r="D15" t="s">
        <v>1370</v>
      </c>
      <c r="E15">
        <v>1</v>
      </c>
      <c r="F15" t="s">
        <v>3403</v>
      </c>
      <c r="J15" t="s">
        <v>4921</v>
      </c>
      <c r="R15" t="s">
        <v>26</v>
      </c>
      <c r="S15" t="s">
        <v>4</v>
      </c>
      <c r="T15" t="s">
        <v>3456</v>
      </c>
    </row>
    <row r="16" spans="1:23">
      <c r="B16">
        <v>18</v>
      </c>
      <c r="C16" t="s">
        <v>4922</v>
      </c>
      <c r="D16" t="s">
        <v>1606</v>
      </c>
      <c r="E16">
        <v>1</v>
      </c>
      <c r="F16" t="s">
        <v>3403</v>
      </c>
      <c r="J16" t="s">
        <v>4923</v>
      </c>
      <c r="R16" t="s">
        <v>604</v>
      </c>
      <c r="S16" t="s">
        <v>4</v>
      </c>
      <c r="T16" t="s">
        <v>4891</v>
      </c>
    </row>
    <row r="17" spans="2:20">
      <c r="B17">
        <v>19</v>
      </c>
      <c r="C17" t="s">
        <v>4924</v>
      </c>
      <c r="D17" t="s">
        <v>1100</v>
      </c>
      <c r="E17">
        <v>2</v>
      </c>
      <c r="F17" t="s">
        <v>3403</v>
      </c>
      <c r="J17" t="s">
        <v>4925</v>
      </c>
      <c r="K17" t="s">
        <v>4240</v>
      </c>
      <c r="R17" t="s">
        <v>30</v>
      </c>
      <c r="S17" t="s">
        <v>4</v>
      </c>
      <c r="T17" t="s">
        <v>4926</v>
      </c>
    </row>
    <row r="18" spans="2:20">
      <c r="B18">
        <v>20</v>
      </c>
      <c r="C18" t="s">
        <v>4927</v>
      </c>
      <c r="D18" t="s">
        <v>1372</v>
      </c>
      <c r="E18">
        <v>2</v>
      </c>
      <c r="F18" t="s">
        <v>3403</v>
      </c>
      <c r="J18" t="s">
        <v>4113</v>
      </c>
      <c r="K18" t="s">
        <v>4369</v>
      </c>
      <c r="L18" t="s">
        <v>4928</v>
      </c>
      <c r="M18" t="s">
        <v>867</v>
      </c>
      <c r="R18" t="s">
        <v>33</v>
      </c>
      <c r="S18" t="s">
        <v>4</v>
      </c>
      <c r="T18" t="s">
        <v>4891</v>
      </c>
    </row>
    <row r="19" spans="2:20">
      <c r="B19">
        <v>21</v>
      </c>
      <c r="C19" t="s">
        <v>4929</v>
      </c>
      <c r="D19" t="s">
        <v>846</v>
      </c>
      <c r="E19">
        <v>2</v>
      </c>
      <c r="F19" t="s">
        <v>3403</v>
      </c>
      <c r="J19" t="s">
        <v>4930</v>
      </c>
      <c r="K19" t="s">
        <v>4931</v>
      </c>
      <c r="R19" t="s">
        <v>46</v>
      </c>
      <c r="S19" t="s">
        <v>4</v>
      </c>
      <c r="T19" t="s">
        <v>3456</v>
      </c>
    </row>
    <row r="20" spans="2:20">
      <c r="B20">
        <v>22</v>
      </c>
      <c r="C20" t="s">
        <v>4932</v>
      </c>
      <c r="D20" t="s">
        <v>1611</v>
      </c>
      <c r="E20">
        <v>2</v>
      </c>
      <c r="F20" t="s">
        <v>3403</v>
      </c>
      <c r="J20" t="s">
        <v>4933</v>
      </c>
      <c r="R20" t="s">
        <v>36</v>
      </c>
      <c r="S20" t="s">
        <v>4</v>
      </c>
      <c r="T20" t="s">
        <v>4891</v>
      </c>
    </row>
    <row r="21" spans="2:20">
      <c r="B21">
        <v>23</v>
      </c>
      <c r="C21" t="s">
        <v>4934</v>
      </c>
      <c r="D21" t="s">
        <v>1372</v>
      </c>
      <c r="E21">
        <v>2</v>
      </c>
      <c r="F21" t="s">
        <v>3403</v>
      </c>
      <c r="J21" t="s">
        <v>4935</v>
      </c>
      <c r="R21" t="s">
        <v>48</v>
      </c>
      <c r="S21" t="s">
        <v>4</v>
      </c>
      <c r="T21" t="s">
        <v>4891</v>
      </c>
    </row>
    <row r="22" spans="2:20">
      <c r="B22">
        <v>24</v>
      </c>
      <c r="C22" t="s">
        <v>4936</v>
      </c>
      <c r="D22" t="s">
        <v>1100</v>
      </c>
      <c r="E22">
        <v>2</v>
      </c>
      <c r="F22" t="s">
        <v>3403</v>
      </c>
      <c r="J22" t="s">
        <v>4937</v>
      </c>
      <c r="R22" t="s">
        <v>169</v>
      </c>
      <c r="S22" t="s">
        <v>4</v>
      </c>
      <c r="T22" t="s">
        <v>4891</v>
      </c>
    </row>
    <row r="23" spans="2:20">
      <c r="B23">
        <v>27</v>
      </c>
      <c r="C23" t="s">
        <v>4938</v>
      </c>
      <c r="D23" t="s">
        <v>1611</v>
      </c>
      <c r="E23">
        <v>2</v>
      </c>
      <c r="F23" t="s">
        <v>3403</v>
      </c>
      <c r="J23" t="s">
        <v>4939</v>
      </c>
      <c r="R23" t="s">
        <v>35</v>
      </c>
      <c r="S23" t="s">
        <v>4</v>
      </c>
      <c r="T23" t="s">
        <v>3456</v>
      </c>
    </row>
    <row r="24" spans="2:20">
      <c r="B24">
        <v>28</v>
      </c>
      <c r="C24" t="s">
        <v>4940</v>
      </c>
      <c r="D24" t="s">
        <v>4941</v>
      </c>
      <c r="E24">
        <v>2</v>
      </c>
      <c r="F24" t="s">
        <v>3403</v>
      </c>
      <c r="J24" t="s">
        <v>4942</v>
      </c>
      <c r="K24" t="s">
        <v>4943</v>
      </c>
      <c r="R24" t="s">
        <v>606</v>
      </c>
      <c r="S24" t="s">
        <v>4</v>
      </c>
      <c r="T24" t="s">
        <v>3456</v>
      </c>
    </row>
    <row r="25" spans="2:20">
      <c r="B25">
        <v>29</v>
      </c>
      <c r="C25" t="s">
        <v>4944</v>
      </c>
      <c r="D25" t="s">
        <v>4945</v>
      </c>
      <c r="E25">
        <v>2</v>
      </c>
      <c r="F25" t="s">
        <v>3403</v>
      </c>
      <c r="J25" t="s">
        <v>4946</v>
      </c>
      <c r="R25" t="s">
        <v>5</v>
      </c>
      <c r="S25" t="s">
        <v>4</v>
      </c>
      <c r="T25" t="s">
        <v>4926</v>
      </c>
    </row>
    <row r="26" spans="2:20">
      <c r="B26">
        <v>32</v>
      </c>
      <c r="C26" t="s">
        <v>4947</v>
      </c>
      <c r="D26" t="s">
        <v>1372</v>
      </c>
      <c r="E26">
        <v>2</v>
      </c>
      <c r="F26" t="s">
        <v>3403</v>
      </c>
      <c r="J26" t="s">
        <v>4893</v>
      </c>
      <c r="R26" t="s">
        <v>36</v>
      </c>
      <c r="S26" t="s">
        <v>4</v>
      </c>
      <c r="T26" t="s">
        <v>4891</v>
      </c>
    </row>
    <row r="27" spans="2:20">
      <c r="B27">
        <v>33</v>
      </c>
      <c r="C27" t="s">
        <v>4948</v>
      </c>
      <c r="D27" t="s">
        <v>1686</v>
      </c>
      <c r="E27">
        <v>2</v>
      </c>
      <c r="F27" t="s">
        <v>3403</v>
      </c>
      <c r="G27" t="s">
        <v>5180</v>
      </c>
      <c r="J27" t="s">
        <v>4933</v>
      </c>
      <c r="K27" t="s">
        <v>4949</v>
      </c>
      <c r="R27" t="s">
        <v>175</v>
      </c>
      <c r="S27" t="s">
        <v>4</v>
      </c>
      <c r="T27" t="s">
        <v>4950</v>
      </c>
    </row>
    <row r="28" spans="2:20">
      <c r="B28">
        <v>34</v>
      </c>
      <c r="C28" t="s">
        <v>4951</v>
      </c>
      <c r="D28" t="s">
        <v>1372</v>
      </c>
      <c r="E28">
        <v>2</v>
      </c>
      <c r="F28" t="s">
        <v>3403</v>
      </c>
      <c r="J28" t="s">
        <v>4952</v>
      </c>
      <c r="K28" t="s">
        <v>4953</v>
      </c>
      <c r="R28" t="s">
        <v>18</v>
      </c>
      <c r="S28" t="s">
        <v>4</v>
      </c>
      <c r="T28" t="s">
        <v>4891</v>
      </c>
    </row>
    <row r="29" spans="2:20">
      <c r="B29">
        <v>36</v>
      </c>
      <c r="C29" t="s">
        <v>4954</v>
      </c>
      <c r="D29" t="s">
        <v>1372</v>
      </c>
      <c r="E29">
        <v>2</v>
      </c>
      <c r="F29" t="s">
        <v>3403</v>
      </c>
      <c r="J29" t="s">
        <v>4893</v>
      </c>
      <c r="K29" t="s">
        <v>4955</v>
      </c>
      <c r="R29" t="s">
        <v>45</v>
      </c>
      <c r="S29" t="s">
        <v>4</v>
      </c>
      <c r="T29" t="s">
        <v>4950</v>
      </c>
    </row>
    <row r="30" spans="2:20">
      <c r="B30">
        <v>37</v>
      </c>
      <c r="C30" t="s">
        <v>4956</v>
      </c>
      <c r="D30" t="s">
        <v>846</v>
      </c>
      <c r="E30">
        <v>2</v>
      </c>
      <c r="F30" t="s">
        <v>3403</v>
      </c>
      <c r="J30" t="s">
        <v>4957</v>
      </c>
      <c r="R30" t="s">
        <v>26</v>
      </c>
      <c r="S30" t="s">
        <v>4</v>
      </c>
      <c r="T30" t="s">
        <v>3456</v>
      </c>
    </row>
    <row r="31" spans="2:20">
      <c r="B31">
        <v>38</v>
      </c>
      <c r="C31" t="s">
        <v>4958</v>
      </c>
      <c r="D31" t="s">
        <v>187</v>
      </c>
      <c r="E31">
        <v>2</v>
      </c>
      <c r="F31" t="s">
        <v>3403</v>
      </c>
      <c r="J31" t="s">
        <v>4959</v>
      </c>
      <c r="R31" t="s">
        <v>176</v>
      </c>
      <c r="S31" t="s">
        <v>4</v>
      </c>
      <c r="T31" t="s">
        <v>4891</v>
      </c>
    </row>
    <row r="32" spans="2:20">
      <c r="B32">
        <v>39</v>
      </c>
      <c r="C32" t="s">
        <v>4960</v>
      </c>
      <c r="D32" t="s">
        <v>187</v>
      </c>
      <c r="E32">
        <v>2</v>
      </c>
      <c r="F32" t="s">
        <v>3403</v>
      </c>
      <c r="J32" t="s">
        <v>4961</v>
      </c>
      <c r="R32" t="s">
        <v>168</v>
      </c>
      <c r="S32" t="s">
        <v>4</v>
      </c>
      <c r="T32" t="s">
        <v>3456</v>
      </c>
    </row>
    <row r="33" spans="2:20">
      <c r="B33">
        <v>40</v>
      </c>
      <c r="C33" t="s">
        <v>4962</v>
      </c>
      <c r="D33" t="s">
        <v>1611</v>
      </c>
      <c r="E33">
        <v>2</v>
      </c>
      <c r="F33" t="s">
        <v>3403</v>
      </c>
      <c r="J33" t="s">
        <v>4893</v>
      </c>
      <c r="K33" t="s">
        <v>4963</v>
      </c>
      <c r="R33" t="s">
        <v>17</v>
      </c>
      <c r="S33" t="s">
        <v>4</v>
      </c>
      <c r="T33" t="s">
        <v>4891</v>
      </c>
    </row>
    <row r="34" spans="2:20">
      <c r="B34">
        <v>41</v>
      </c>
      <c r="C34" t="s">
        <v>4964</v>
      </c>
      <c r="D34" t="s">
        <v>187</v>
      </c>
      <c r="E34">
        <v>2</v>
      </c>
      <c r="F34" t="s">
        <v>3403</v>
      </c>
      <c r="J34" t="s">
        <v>4965</v>
      </c>
      <c r="K34" t="s">
        <v>4931</v>
      </c>
      <c r="R34" t="s">
        <v>46</v>
      </c>
      <c r="S34" t="s">
        <v>4</v>
      </c>
      <c r="T34" t="s">
        <v>3456</v>
      </c>
    </row>
    <row r="35" spans="2:20">
      <c r="B35">
        <v>43</v>
      </c>
      <c r="C35" t="s">
        <v>4966</v>
      </c>
      <c r="D35" t="s">
        <v>1611</v>
      </c>
      <c r="E35">
        <v>2</v>
      </c>
      <c r="F35" t="s">
        <v>3403</v>
      </c>
      <c r="J35" t="s">
        <v>4967</v>
      </c>
      <c r="R35" t="s">
        <v>3119</v>
      </c>
      <c r="S35" t="s">
        <v>4</v>
      </c>
      <c r="T35" t="s">
        <v>3456</v>
      </c>
    </row>
    <row r="36" spans="2:20">
      <c r="B36">
        <v>44</v>
      </c>
      <c r="C36" t="s">
        <v>4968</v>
      </c>
      <c r="D36" t="s">
        <v>1611</v>
      </c>
      <c r="E36">
        <v>2</v>
      </c>
      <c r="F36" t="s">
        <v>3403</v>
      </c>
      <c r="J36" t="s">
        <v>4969</v>
      </c>
      <c r="K36" t="s">
        <v>3768</v>
      </c>
      <c r="R36" t="s">
        <v>50</v>
      </c>
      <c r="S36" t="s">
        <v>4</v>
      </c>
      <c r="T36" t="s">
        <v>3456</v>
      </c>
    </row>
    <row r="37" spans="2:20">
      <c r="B37">
        <v>47</v>
      </c>
      <c r="C37" t="s">
        <v>4085</v>
      </c>
      <c r="D37" t="s">
        <v>4086</v>
      </c>
      <c r="E37">
        <v>2</v>
      </c>
      <c r="F37" t="s">
        <v>3403</v>
      </c>
      <c r="J37" t="s">
        <v>4087</v>
      </c>
      <c r="R37" t="s">
        <v>6</v>
      </c>
      <c r="S37" t="s">
        <v>4</v>
      </c>
      <c r="T37" t="s">
        <v>4891</v>
      </c>
    </row>
    <row r="38" spans="2:20">
      <c r="B38">
        <v>49</v>
      </c>
      <c r="C38" t="s">
        <v>4970</v>
      </c>
      <c r="D38" t="s">
        <v>1611</v>
      </c>
      <c r="E38">
        <v>2</v>
      </c>
      <c r="F38" t="s">
        <v>3403</v>
      </c>
      <c r="J38" t="s">
        <v>4971</v>
      </c>
      <c r="R38" t="s">
        <v>606</v>
      </c>
      <c r="S38" t="s">
        <v>4</v>
      </c>
      <c r="T38" t="s">
        <v>4891</v>
      </c>
    </row>
    <row r="39" spans="2:20">
      <c r="B39">
        <v>51</v>
      </c>
      <c r="C39" t="s">
        <v>4972</v>
      </c>
      <c r="D39" t="s">
        <v>848</v>
      </c>
      <c r="E39">
        <v>3</v>
      </c>
      <c r="F39" t="s">
        <v>3403</v>
      </c>
      <c r="J39" t="s">
        <v>4973</v>
      </c>
      <c r="R39" t="s">
        <v>177</v>
      </c>
      <c r="S39" t="s">
        <v>4</v>
      </c>
      <c r="T39" t="s">
        <v>3456</v>
      </c>
    </row>
    <row r="40" spans="2:20">
      <c r="B40">
        <v>52</v>
      </c>
      <c r="C40" t="s">
        <v>4974</v>
      </c>
      <c r="D40" t="s">
        <v>848</v>
      </c>
      <c r="E40">
        <v>3</v>
      </c>
      <c r="F40" t="s">
        <v>3403</v>
      </c>
      <c r="J40" t="s">
        <v>4975</v>
      </c>
      <c r="K40" t="s">
        <v>3765</v>
      </c>
      <c r="R40" t="s">
        <v>50</v>
      </c>
      <c r="S40" t="s">
        <v>4</v>
      </c>
      <c r="T40" t="s">
        <v>3456</v>
      </c>
    </row>
    <row r="41" spans="2:20">
      <c r="B41">
        <v>53</v>
      </c>
      <c r="C41" t="s">
        <v>4976</v>
      </c>
      <c r="D41" t="s">
        <v>1374</v>
      </c>
      <c r="E41">
        <v>3</v>
      </c>
      <c r="F41" t="s">
        <v>3403</v>
      </c>
      <c r="J41" t="s">
        <v>4977</v>
      </c>
      <c r="R41" t="s">
        <v>26</v>
      </c>
      <c r="S41" t="s">
        <v>4</v>
      </c>
      <c r="T41" t="s">
        <v>3456</v>
      </c>
    </row>
    <row r="42" spans="2:20">
      <c r="B42">
        <v>54</v>
      </c>
      <c r="C42" t="s">
        <v>4978</v>
      </c>
      <c r="D42" t="s">
        <v>847</v>
      </c>
      <c r="E42">
        <v>3</v>
      </c>
      <c r="F42" t="s">
        <v>3403</v>
      </c>
      <c r="J42" t="s">
        <v>4979</v>
      </c>
      <c r="R42" t="s">
        <v>177</v>
      </c>
      <c r="S42" t="s">
        <v>4</v>
      </c>
      <c r="T42" t="s">
        <v>3456</v>
      </c>
    </row>
    <row r="43" spans="2:20">
      <c r="B43">
        <v>56</v>
      </c>
      <c r="C43" t="s">
        <v>4980</v>
      </c>
      <c r="D43" t="s">
        <v>1101</v>
      </c>
      <c r="E43">
        <v>3</v>
      </c>
      <c r="F43" t="s">
        <v>3403</v>
      </c>
      <c r="J43" t="s">
        <v>4981</v>
      </c>
      <c r="R43" t="s">
        <v>35</v>
      </c>
      <c r="S43" t="s">
        <v>4</v>
      </c>
      <c r="T43" t="s">
        <v>4891</v>
      </c>
    </row>
    <row r="44" spans="2:20">
      <c r="B44">
        <v>57</v>
      </c>
      <c r="C44" t="s">
        <v>4982</v>
      </c>
      <c r="D44" t="s">
        <v>1688</v>
      </c>
      <c r="E44">
        <v>3</v>
      </c>
      <c r="F44" t="s">
        <v>3403</v>
      </c>
      <c r="G44" t="s">
        <v>5180</v>
      </c>
      <c r="J44" t="s">
        <v>4983</v>
      </c>
      <c r="K44" t="s">
        <v>3768</v>
      </c>
      <c r="R44" t="s">
        <v>179</v>
      </c>
      <c r="S44" t="s">
        <v>4</v>
      </c>
      <c r="T44" t="s">
        <v>4891</v>
      </c>
    </row>
    <row r="45" spans="2:20">
      <c r="B45">
        <v>60</v>
      </c>
      <c r="C45" t="s">
        <v>4984</v>
      </c>
      <c r="D45" t="s">
        <v>847</v>
      </c>
      <c r="E45">
        <v>3</v>
      </c>
      <c r="F45" t="s">
        <v>3403</v>
      </c>
      <c r="J45" t="s">
        <v>4985</v>
      </c>
      <c r="R45" t="s">
        <v>30</v>
      </c>
      <c r="S45" t="s">
        <v>4</v>
      </c>
      <c r="T45" t="s">
        <v>3456</v>
      </c>
    </row>
    <row r="46" spans="2:20">
      <c r="B46">
        <v>61</v>
      </c>
      <c r="C46" t="s">
        <v>4986</v>
      </c>
      <c r="D46" t="s">
        <v>204</v>
      </c>
      <c r="E46">
        <v>3</v>
      </c>
      <c r="F46" t="s">
        <v>3403</v>
      </c>
      <c r="J46" t="s">
        <v>4987</v>
      </c>
      <c r="R46" t="s">
        <v>177</v>
      </c>
      <c r="S46" t="s">
        <v>4</v>
      </c>
      <c r="T46" t="s">
        <v>3456</v>
      </c>
    </row>
    <row r="47" spans="2:20">
      <c r="B47">
        <v>62</v>
      </c>
      <c r="C47" t="s">
        <v>4988</v>
      </c>
      <c r="D47" t="s">
        <v>1618</v>
      </c>
      <c r="E47">
        <v>3</v>
      </c>
      <c r="F47" t="s">
        <v>3403</v>
      </c>
      <c r="J47" t="s">
        <v>4989</v>
      </c>
      <c r="R47" t="s">
        <v>52</v>
      </c>
      <c r="S47" t="s">
        <v>4</v>
      </c>
      <c r="T47" t="s">
        <v>4891</v>
      </c>
    </row>
    <row r="48" spans="2:20">
      <c r="B48">
        <v>63</v>
      </c>
      <c r="C48" t="s">
        <v>4990</v>
      </c>
      <c r="D48" t="s">
        <v>204</v>
      </c>
      <c r="E48">
        <v>3</v>
      </c>
      <c r="F48" t="s">
        <v>3403</v>
      </c>
      <c r="J48" t="s">
        <v>4991</v>
      </c>
      <c r="K48" t="s">
        <v>4931</v>
      </c>
      <c r="R48" t="s">
        <v>46</v>
      </c>
      <c r="S48" t="s">
        <v>4</v>
      </c>
      <c r="T48" t="s">
        <v>4891</v>
      </c>
    </row>
    <row r="49" spans="2:20">
      <c r="B49">
        <v>64</v>
      </c>
      <c r="C49" t="s">
        <v>4992</v>
      </c>
      <c r="D49" t="s">
        <v>1374</v>
      </c>
      <c r="E49">
        <v>3</v>
      </c>
      <c r="F49" t="s">
        <v>3403</v>
      </c>
      <c r="J49" t="s">
        <v>4893</v>
      </c>
      <c r="K49" t="s">
        <v>3768</v>
      </c>
      <c r="R49" t="s">
        <v>169</v>
      </c>
      <c r="S49" t="s">
        <v>4</v>
      </c>
      <c r="T49" t="s">
        <v>4891</v>
      </c>
    </row>
    <row r="50" spans="2:20">
      <c r="B50">
        <v>67</v>
      </c>
      <c r="C50" t="s">
        <v>4993</v>
      </c>
      <c r="D50" t="s">
        <v>1618</v>
      </c>
      <c r="E50">
        <v>3</v>
      </c>
      <c r="F50" t="s">
        <v>3403</v>
      </c>
      <c r="J50" t="s">
        <v>4994</v>
      </c>
      <c r="R50" t="s">
        <v>26</v>
      </c>
      <c r="S50" t="s">
        <v>4</v>
      </c>
      <c r="T50" t="s">
        <v>4891</v>
      </c>
    </row>
    <row r="51" spans="2:20">
      <c r="B51">
        <v>69</v>
      </c>
      <c r="C51" t="s">
        <v>4995</v>
      </c>
      <c r="D51" t="s">
        <v>847</v>
      </c>
      <c r="E51">
        <v>3</v>
      </c>
      <c r="F51" t="s">
        <v>3403</v>
      </c>
      <c r="J51" t="s">
        <v>4996</v>
      </c>
      <c r="R51" t="s">
        <v>48</v>
      </c>
      <c r="S51" t="s">
        <v>4</v>
      </c>
      <c r="T51" t="s">
        <v>3456</v>
      </c>
    </row>
    <row r="52" spans="2:20">
      <c r="B52">
        <v>71</v>
      </c>
      <c r="C52" t="s">
        <v>4997</v>
      </c>
      <c r="D52" t="s">
        <v>847</v>
      </c>
      <c r="E52">
        <v>3</v>
      </c>
      <c r="F52" t="s">
        <v>3403</v>
      </c>
      <c r="J52" t="s">
        <v>4998</v>
      </c>
      <c r="R52" t="s">
        <v>52</v>
      </c>
      <c r="S52" t="s">
        <v>4</v>
      </c>
      <c r="T52" t="s">
        <v>4926</v>
      </c>
    </row>
    <row r="53" spans="2:20">
      <c r="B53">
        <v>72</v>
      </c>
      <c r="C53" t="s">
        <v>4999</v>
      </c>
      <c r="D53" t="s">
        <v>847</v>
      </c>
      <c r="E53">
        <v>3</v>
      </c>
      <c r="F53" t="s">
        <v>3403</v>
      </c>
      <c r="J53" t="s">
        <v>937</v>
      </c>
      <c r="K53" t="s">
        <v>5000</v>
      </c>
      <c r="R53" t="s">
        <v>35</v>
      </c>
      <c r="S53" t="s">
        <v>4</v>
      </c>
      <c r="T53" t="s">
        <v>3456</v>
      </c>
    </row>
    <row r="54" spans="2:20">
      <c r="B54">
        <v>73</v>
      </c>
      <c r="C54" t="s">
        <v>5001</v>
      </c>
      <c r="D54" t="s">
        <v>204</v>
      </c>
      <c r="E54">
        <v>3</v>
      </c>
      <c r="F54" t="s">
        <v>3403</v>
      </c>
      <c r="J54" t="s">
        <v>5002</v>
      </c>
      <c r="K54" t="s">
        <v>4953</v>
      </c>
      <c r="R54" t="s">
        <v>17</v>
      </c>
      <c r="S54" t="s">
        <v>4</v>
      </c>
      <c r="T54" t="s">
        <v>4926</v>
      </c>
    </row>
    <row r="55" spans="2:20">
      <c r="B55">
        <v>74</v>
      </c>
      <c r="C55" t="s">
        <v>5003</v>
      </c>
      <c r="D55" t="s">
        <v>1618</v>
      </c>
      <c r="E55">
        <v>3</v>
      </c>
      <c r="F55" t="s">
        <v>3403</v>
      </c>
      <c r="J55" t="s">
        <v>4113</v>
      </c>
      <c r="K55" t="s">
        <v>5004</v>
      </c>
      <c r="L55" t="s">
        <v>4369</v>
      </c>
      <c r="R55" t="s">
        <v>44</v>
      </c>
      <c r="S55" t="s">
        <v>4</v>
      </c>
      <c r="T55" t="s">
        <v>4891</v>
      </c>
    </row>
    <row r="56" spans="2:20">
      <c r="B56">
        <v>76</v>
      </c>
      <c r="C56" t="s">
        <v>5005</v>
      </c>
      <c r="D56" t="s">
        <v>204</v>
      </c>
      <c r="E56">
        <v>3</v>
      </c>
      <c r="F56" t="s">
        <v>3403</v>
      </c>
      <c r="J56" t="s">
        <v>4933</v>
      </c>
      <c r="K56" t="s">
        <v>5006</v>
      </c>
      <c r="R56" t="s">
        <v>35</v>
      </c>
      <c r="S56" t="s">
        <v>4</v>
      </c>
      <c r="T56" t="s">
        <v>4891</v>
      </c>
    </row>
    <row r="57" spans="2:20">
      <c r="B57">
        <v>77</v>
      </c>
      <c r="C57" t="s">
        <v>5007</v>
      </c>
      <c r="D57" t="s">
        <v>847</v>
      </c>
      <c r="E57">
        <v>3</v>
      </c>
      <c r="F57" t="s">
        <v>3403</v>
      </c>
      <c r="J57" t="s">
        <v>4903</v>
      </c>
      <c r="K57" t="s">
        <v>3768</v>
      </c>
      <c r="R57" t="s">
        <v>604</v>
      </c>
      <c r="S57" t="s">
        <v>4</v>
      </c>
      <c r="T57" t="s">
        <v>3456</v>
      </c>
    </row>
    <row r="58" spans="2:20">
      <c r="B58">
        <v>79</v>
      </c>
      <c r="C58" t="s">
        <v>5008</v>
      </c>
      <c r="D58" t="s">
        <v>204</v>
      </c>
      <c r="E58">
        <v>3</v>
      </c>
      <c r="F58" t="s">
        <v>3403</v>
      </c>
      <c r="J58" t="s">
        <v>5002</v>
      </c>
      <c r="R58" t="s">
        <v>32</v>
      </c>
      <c r="S58" t="s">
        <v>4</v>
      </c>
      <c r="T58" t="s">
        <v>4926</v>
      </c>
    </row>
    <row r="59" spans="2:20">
      <c r="B59">
        <v>83</v>
      </c>
      <c r="C59" t="s">
        <v>5009</v>
      </c>
      <c r="D59" t="s">
        <v>847</v>
      </c>
      <c r="E59">
        <v>3</v>
      </c>
      <c r="F59" t="s">
        <v>3403</v>
      </c>
      <c r="J59" t="s">
        <v>5010</v>
      </c>
      <c r="R59" t="s">
        <v>168</v>
      </c>
      <c r="S59" t="s">
        <v>4</v>
      </c>
      <c r="T59" t="s">
        <v>3456</v>
      </c>
    </row>
    <row r="60" spans="2:20">
      <c r="B60">
        <v>84</v>
      </c>
      <c r="C60" t="s">
        <v>5011</v>
      </c>
      <c r="D60" t="s">
        <v>204</v>
      </c>
      <c r="E60">
        <v>3</v>
      </c>
      <c r="F60" t="s">
        <v>3403</v>
      </c>
      <c r="J60" t="s">
        <v>5012</v>
      </c>
      <c r="R60" t="s">
        <v>176</v>
      </c>
      <c r="S60" t="s">
        <v>4</v>
      </c>
      <c r="T60" t="s">
        <v>3456</v>
      </c>
    </row>
    <row r="61" spans="2:20">
      <c r="B61">
        <v>85</v>
      </c>
      <c r="C61" t="s">
        <v>5013</v>
      </c>
      <c r="D61" t="s">
        <v>1618</v>
      </c>
      <c r="E61">
        <v>3</v>
      </c>
      <c r="F61" t="s">
        <v>3403</v>
      </c>
      <c r="J61" t="s">
        <v>5014</v>
      </c>
      <c r="K61" t="s">
        <v>4933</v>
      </c>
      <c r="R61" t="s">
        <v>8</v>
      </c>
      <c r="S61" t="s">
        <v>4</v>
      </c>
      <c r="T61" t="s">
        <v>4891</v>
      </c>
    </row>
    <row r="62" spans="2:20">
      <c r="B62">
        <v>86</v>
      </c>
      <c r="C62" t="s">
        <v>5015</v>
      </c>
      <c r="D62" t="s">
        <v>185</v>
      </c>
      <c r="E62">
        <v>4</v>
      </c>
      <c r="F62" t="s">
        <v>3403</v>
      </c>
      <c r="J62" t="s">
        <v>5016</v>
      </c>
      <c r="R62" t="s">
        <v>606</v>
      </c>
      <c r="S62" t="s">
        <v>4</v>
      </c>
      <c r="T62" t="s">
        <v>3456</v>
      </c>
    </row>
    <row r="63" spans="2:20">
      <c r="B63">
        <v>87</v>
      </c>
      <c r="C63" t="s">
        <v>5017</v>
      </c>
      <c r="D63" t="s">
        <v>185</v>
      </c>
      <c r="E63">
        <v>4</v>
      </c>
      <c r="F63" t="s">
        <v>3403</v>
      </c>
      <c r="J63" t="s">
        <v>5018</v>
      </c>
      <c r="K63" t="s">
        <v>3768</v>
      </c>
      <c r="R63" t="s">
        <v>176</v>
      </c>
      <c r="S63" t="s">
        <v>4</v>
      </c>
      <c r="T63" t="s">
        <v>3456</v>
      </c>
    </row>
    <row r="64" spans="2:20">
      <c r="B64">
        <v>88</v>
      </c>
      <c r="C64" t="s">
        <v>5019</v>
      </c>
      <c r="D64" t="s">
        <v>1378</v>
      </c>
      <c r="E64">
        <v>4</v>
      </c>
      <c r="F64" t="s">
        <v>3403</v>
      </c>
      <c r="J64" t="s">
        <v>5020</v>
      </c>
      <c r="K64" t="s">
        <v>5021</v>
      </c>
      <c r="R64" t="s">
        <v>606</v>
      </c>
      <c r="S64" t="s">
        <v>4</v>
      </c>
      <c r="T64" t="s">
        <v>4926</v>
      </c>
    </row>
    <row r="65" spans="2:20">
      <c r="B65">
        <v>90</v>
      </c>
      <c r="C65" t="s">
        <v>5022</v>
      </c>
      <c r="D65" t="s">
        <v>1104</v>
      </c>
      <c r="E65">
        <v>4</v>
      </c>
      <c r="F65" t="s">
        <v>3403</v>
      </c>
      <c r="J65" t="s">
        <v>5023</v>
      </c>
      <c r="R65" t="s">
        <v>168</v>
      </c>
      <c r="S65" t="s">
        <v>4</v>
      </c>
      <c r="T65" t="s">
        <v>3456</v>
      </c>
    </row>
    <row r="66" spans="2:20">
      <c r="B66">
        <v>92</v>
      </c>
      <c r="C66" t="s">
        <v>5024</v>
      </c>
      <c r="D66" t="s">
        <v>849</v>
      </c>
      <c r="E66">
        <v>4</v>
      </c>
      <c r="F66" t="s">
        <v>3403</v>
      </c>
      <c r="J66" t="s">
        <v>5025</v>
      </c>
      <c r="R66" t="s">
        <v>30</v>
      </c>
      <c r="S66" t="s">
        <v>4</v>
      </c>
      <c r="T66" t="s">
        <v>3456</v>
      </c>
    </row>
    <row r="67" spans="2:20">
      <c r="B67">
        <v>96</v>
      </c>
      <c r="C67" t="s">
        <v>5026</v>
      </c>
      <c r="D67" t="s">
        <v>1104</v>
      </c>
      <c r="E67">
        <v>4</v>
      </c>
      <c r="F67" t="s">
        <v>3403</v>
      </c>
      <c r="J67" t="s">
        <v>5027</v>
      </c>
      <c r="R67" t="s">
        <v>177</v>
      </c>
      <c r="S67" t="s">
        <v>4</v>
      </c>
      <c r="T67" t="s">
        <v>3456</v>
      </c>
    </row>
    <row r="68" spans="2:20">
      <c r="B68">
        <v>97</v>
      </c>
      <c r="C68" t="s">
        <v>5028</v>
      </c>
      <c r="D68" t="s">
        <v>1103</v>
      </c>
      <c r="E68">
        <v>4</v>
      </c>
      <c r="F68" t="s">
        <v>3403</v>
      </c>
      <c r="J68" t="s">
        <v>5029</v>
      </c>
      <c r="R68" t="s">
        <v>5</v>
      </c>
      <c r="S68" t="s">
        <v>4</v>
      </c>
      <c r="T68" t="s">
        <v>4891</v>
      </c>
    </row>
    <row r="69" spans="2:20">
      <c r="B69">
        <v>100</v>
      </c>
      <c r="C69" t="s">
        <v>5030</v>
      </c>
      <c r="D69" t="s">
        <v>1620</v>
      </c>
      <c r="E69">
        <v>4</v>
      </c>
      <c r="F69" t="s">
        <v>3403</v>
      </c>
      <c r="J69" t="s">
        <v>5031</v>
      </c>
      <c r="R69" t="s">
        <v>39</v>
      </c>
      <c r="S69" t="s">
        <v>4</v>
      </c>
      <c r="T69" t="s">
        <v>4891</v>
      </c>
    </row>
    <row r="70" spans="2:20">
      <c r="B70">
        <v>101</v>
      </c>
      <c r="C70" t="s">
        <v>5032</v>
      </c>
      <c r="D70" t="s">
        <v>1620</v>
      </c>
      <c r="E70">
        <v>4</v>
      </c>
      <c r="F70" t="s">
        <v>3403</v>
      </c>
      <c r="J70" t="s">
        <v>5033</v>
      </c>
      <c r="R70" t="s">
        <v>53</v>
      </c>
      <c r="S70" t="s">
        <v>4</v>
      </c>
      <c r="T70" t="s">
        <v>4891</v>
      </c>
    </row>
    <row r="71" spans="2:20">
      <c r="B71">
        <v>102</v>
      </c>
      <c r="C71" t="s">
        <v>5034</v>
      </c>
      <c r="D71" t="s">
        <v>1622</v>
      </c>
      <c r="E71">
        <v>5</v>
      </c>
      <c r="F71" t="s">
        <v>3403</v>
      </c>
      <c r="J71" t="s">
        <v>5035</v>
      </c>
      <c r="R71" t="s">
        <v>607</v>
      </c>
      <c r="S71" t="s">
        <v>4</v>
      </c>
      <c r="T71" t="s">
        <v>4891</v>
      </c>
    </row>
    <row r="72" spans="2:20">
      <c r="B72">
        <v>105</v>
      </c>
      <c r="C72" t="s">
        <v>5036</v>
      </c>
      <c r="D72" t="s">
        <v>1248</v>
      </c>
      <c r="E72">
        <v>5</v>
      </c>
      <c r="F72" t="s">
        <v>3403</v>
      </c>
      <c r="J72" t="s">
        <v>5037</v>
      </c>
      <c r="R72" t="s">
        <v>26</v>
      </c>
      <c r="S72" t="s">
        <v>4</v>
      </c>
      <c r="T72" t="s">
        <v>4891</v>
      </c>
    </row>
    <row r="73" spans="2:20">
      <c r="B73">
        <v>110</v>
      </c>
      <c r="C73" t="s">
        <v>5038</v>
      </c>
      <c r="D73" t="s">
        <v>210</v>
      </c>
      <c r="E73">
        <v>5</v>
      </c>
      <c r="F73" t="s">
        <v>3403</v>
      </c>
      <c r="J73" t="s">
        <v>5039</v>
      </c>
      <c r="R73" t="s">
        <v>176</v>
      </c>
      <c r="S73" t="s">
        <v>4</v>
      </c>
      <c r="T73" t="s">
        <v>3456</v>
      </c>
    </row>
    <row r="74" spans="2:20">
      <c r="B74">
        <v>114</v>
      </c>
      <c r="C74" t="s">
        <v>5040</v>
      </c>
      <c r="D74" t="s">
        <v>1385</v>
      </c>
      <c r="E74">
        <v>5</v>
      </c>
      <c r="F74" t="s">
        <v>3403</v>
      </c>
      <c r="J74" t="s">
        <v>4113</v>
      </c>
      <c r="K74" t="s">
        <v>4369</v>
      </c>
      <c r="L74" t="s">
        <v>5041</v>
      </c>
      <c r="M74" t="s">
        <v>5042</v>
      </c>
      <c r="R74" t="s">
        <v>605</v>
      </c>
      <c r="S74" t="s">
        <v>4</v>
      </c>
      <c r="T74" t="s">
        <v>4891</v>
      </c>
    </row>
    <row r="75" spans="2:20">
      <c r="B75">
        <v>117</v>
      </c>
      <c r="C75" t="s">
        <v>5043</v>
      </c>
      <c r="D75" t="s">
        <v>4061</v>
      </c>
      <c r="E75">
        <v>6</v>
      </c>
      <c r="F75" t="s">
        <v>3403</v>
      </c>
      <c r="J75" t="s">
        <v>5044</v>
      </c>
      <c r="K75" t="s">
        <v>5045</v>
      </c>
      <c r="R75" t="s">
        <v>605</v>
      </c>
      <c r="S75" t="s">
        <v>4</v>
      </c>
      <c r="T75" t="s">
        <v>3456</v>
      </c>
    </row>
    <row r="76" spans="2:20">
      <c r="T76" t="s">
        <v>3456</v>
      </c>
    </row>
    <row r="77" spans="2:20">
      <c r="B77">
        <v>2</v>
      </c>
      <c r="C77" t="s">
        <v>5046</v>
      </c>
      <c r="D77" t="s">
        <v>186</v>
      </c>
      <c r="E77">
        <v>1</v>
      </c>
      <c r="F77" t="s">
        <v>3399</v>
      </c>
      <c r="J77" t="s">
        <v>5047</v>
      </c>
      <c r="R77" t="s">
        <v>26</v>
      </c>
      <c r="S77" t="s">
        <v>4</v>
      </c>
      <c r="T77" t="s">
        <v>4891</v>
      </c>
    </row>
    <row r="78" spans="2:20">
      <c r="B78">
        <v>5</v>
      </c>
      <c r="C78" t="s">
        <v>5048</v>
      </c>
      <c r="D78" t="s">
        <v>186</v>
      </c>
      <c r="E78">
        <v>1</v>
      </c>
      <c r="F78" t="s">
        <v>3399</v>
      </c>
      <c r="J78" t="s">
        <v>5049</v>
      </c>
      <c r="R78" t="s">
        <v>177</v>
      </c>
      <c r="S78" t="s">
        <v>4</v>
      </c>
      <c r="T78" t="s">
        <v>3456</v>
      </c>
    </row>
    <row r="79" spans="2:20">
      <c r="B79">
        <v>9</v>
      </c>
      <c r="C79" t="s">
        <v>5050</v>
      </c>
      <c r="D79" t="s">
        <v>1370</v>
      </c>
      <c r="E79">
        <v>1</v>
      </c>
      <c r="F79" t="s">
        <v>3399</v>
      </c>
      <c r="J79" t="s">
        <v>5051</v>
      </c>
      <c r="K79" t="s">
        <v>5052</v>
      </c>
      <c r="R79" t="s">
        <v>50</v>
      </c>
      <c r="S79" t="s">
        <v>4</v>
      </c>
      <c r="T79" t="s">
        <v>4926</v>
      </c>
    </row>
    <row r="80" spans="2:20">
      <c r="B80">
        <v>25</v>
      </c>
      <c r="C80" t="s">
        <v>5053</v>
      </c>
      <c r="D80" t="s">
        <v>187</v>
      </c>
      <c r="E80">
        <v>2</v>
      </c>
      <c r="F80" t="s">
        <v>3399</v>
      </c>
      <c r="J80" t="s">
        <v>5002</v>
      </c>
      <c r="R80" t="s">
        <v>40</v>
      </c>
      <c r="S80" t="s">
        <v>4</v>
      </c>
      <c r="T80" t="s">
        <v>4926</v>
      </c>
    </row>
    <row r="81" spans="2:20">
      <c r="B81">
        <v>26</v>
      </c>
      <c r="C81" t="s">
        <v>5054</v>
      </c>
      <c r="D81" t="s">
        <v>187</v>
      </c>
      <c r="E81">
        <v>2</v>
      </c>
      <c r="F81" t="s">
        <v>3399</v>
      </c>
      <c r="J81" t="s">
        <v>5055</v>
      </c>
      <c r="K81" t="s">
        <v>4195</v>
      </c>
      <c r="R81" t="s">
        <v>3747</v>
      </c>
      <c r="S81" t="s">
        <v>4</v>
      </c>
      <c r="T81" t="s">
        <v>3456</v>
      </c>
    </row>
    <row r="82" spans="2:20">
      <c r="B82">
        <v>30</v>
      </c>
      <c r="C82" t="s">
        <v>5056</v>
      </c>
      <c r="D82" t="s">
        <v>1100</v>
      </c>
      <c r="E82">
        <v>2</v>
      </c>
      <c r="F82" t="s">
        <v>3399</v>
      </c>
      <c r="J82" t="s">
        <v>5057</v>
      </c>
      <c r="R82" t="s">
        <v>177</v>
      </c>
      <c r="S82" t="s">
        <v>4</v>
      </c>
      <c r="T82" t="s">
        <v>3456</v>
      </c>
    </row>
    <row r="83" spans="2:20">
      <c r="B83">
        <v>31</v>
      </c>
      <c r="C83" t="s">
        <v>5058</v>
      </c>
      <c r="D83" t="s">
        <v>1611</v>
      </c>
      <c r="E83">
        <v>2</v>
      </c>
      <c r="F83" t="s">
        <v>3399</v>
      </c>
      <c r="J83" t="s">
        <v>4933</v>
      </c>
      <c r="K83" t="s">
        <v>4195</v>
      </c>
      <c r="R83" t="s">
        <v>3747</v>
      </c>
      <c r="S83" t="s">
        <v>4</v>
      </c>
      <c r="T83" t="s">
        <v>4891</v>
      </c>
    </row>
    <row r="84" spans="2:20">
      <c r="B84">
        <v>35</v>
      </c>
      <c r="C84" t="s">
        <v>5059</v>
      </c>
      <c r="D84" t="s">
        <v>1181</v>
      </c>
      <c r="E84">
        <v>2</v>
      </c>
      <c r="F84" t="s">
        <v>3399</v>
      </c>
      <c r="J84" t="s">
        <v>5060</v>
      </c>
      <c r="R84" t="s">
        <v>168</v>
      </c>
      <c r="S84" t="s">
        <v>4</v>
      </c>
      <c r="T84" t="s">
        <v>3456</v>
      </c>
    </row>
    <row r="85" spans="2:20">
      <c r="B85">
        <v>42</v>
      </c>
      <c r="C85" t="s">
        <v>5061</v>
      </c>
      <c r="D85" t="s">
        <v>1372</v>
      </c>
      <c r="E85">
        <v>2</v>
      </c>
      <c r="F85" t="s">
        <v>3399</v>
      </c>
      <c r="J85" t="s">
        <v>5062</v>
      </c>
      <c r="R85" t="s">
        <v>177</v>
      </c>
      <c r="S85" t="s">
        <v>4</v>
      </c>
      <c r="T85" t="s">
        <v>4891</v>
      </c>
    </row>
    <row r="86" spans="2:20">
      <c r="B86">
        <v>45</v>
      </c>
      <c r="C86" t="s">
        <v>5063</v>
      </c>
      <c r="D86" t="s">
        <v>846</v>
      </c>
      <c r="E86">
        <v>2</v>
      </c>
      <c r="F86" t="s">
        <v>3399</v>
      </c>
      <c r="J86" t="s">
        <v>5064</v>
      </c>
      <c r="K86" t="s">
        <v>4931</v>
      </c>
      <c r="R86" t="s">
        <v>46</v>
      </c>
      <c r="S86" t="s">
        <v>4</v>
      </c>
      <c r="T86" t="s">
        <v>3456</v>
      </c>
    </row>
    <row r="87" spans="2:20">
      <c r="B87">
        <v>46</v>
      </c>
      <c r="C87" t="s">
        <v>5065</v>
      </c>
      <c r="D87" t="s">
        <v>1611</v>
      </c>
      <c r="E87">
        <v>2</v>
      </c>
      <c r="F87" t="s">
        <v>3399</v>
      </c>
      <c r="J87" t="s">
        <v>5066</v>
      </c>
      <c r="R87" t="s">
        <v>3747</v>
      </c>
      <c r="S87" t="s">
        <v>4</v>
      </c>
      <c r="T87" t="s">
        <v>3456</v>
      </c>
    </row>
    <row r="88" spans="2:20">
      <c r="B88">
        <v>48</v>
      </c>
      <c r="C88" t="s">
        <v>5067</v>
      </c>
      <c r="D88" t="s">
        <v>1100</v>
      </c>
      <c r="E88">
        <v>2</v>
      </c>
      <c r="F88" t="s">
        <v>3399</v>
      </c>
      <c r="J88" t="s">
        <v>5068</v>
      </c>
      <c r="R88" t="s">
        <v>35</v>
      </c>
      <c r="S88" t="s">
        <v>4</v>
      </c>
      <c r="T88" t="s">
        <v>3456</v>
      </c>
    </row>
    <row r="89" spans="2:20">
      <c r="B89">
        <v>50</v>
      </c>
      <c r="C89" t="s">
        <v>5069</v>
      </c>
      <c r="D89" t="s">
        <v>1618</v>
      </c>
      <c r="E89">
        <v>3</v>
      </c>
      <c r="F89" t="s">
        <v>3399</v>
      </c>
      <c r="J89" t="s">
        <v>5070</v>
      </c>
      <c r="R89" t="s">
        <v>168</v>
      </c>
      <c r="S89" t="s">
        <v>4</v>
      </c>
      <c r="T89" t="s">
        <v>4891</v>
      </c>
    </row>
    <row r="90" spans="2:20">
      <c r="B90">
        <v>55</v>
      </c>
      <c r="C90" t="s">
        <v>5071</v>
      </c>
      <c r="D90" t="s">
        <v>204</v>
      </c>
      <c r="E90">
        <v>3</v>
      </c>
      <c r="F90" t="s">
        <v>3399</v>
      </c>
      <c r="J90" t="s">
        <v>5002</v>
      </c>
      <c r="R90" t="s">
        <v>39</v>
      </c>
      <c r="S90" t="s">
        <v>4</v>
      </c>
      <c r="T90" t="s">
        <v>4926</v>
      </c>
    </row>
    <row r="91" spans="2:20">
      <c r="B91">
        <v>58</v>
      </c>
      <c r="C91" t="s">
        <v>5072</v>
      </c>
      <c r="D91" t="s">
        <v>1618</v>
      </c>
      <c r="E91">
        <v>3</v>
      </c>
      <c r="F91" t="s">
        <v>3399</v>
      </c>
      <c r="J91" t="s">
        <v>5002</v>
      </c>
      <c r="R91" t="s">
        <v>14</v>
      </c>
      <c r="S91" t="s">
        <v>4</v>
      </c>
      <c r="T91" t="s">
        <v>4926</v>
      </c>
    </row>
    <row r="92" spans="2:20">
      <c r="B92">
        <v>59</v>
      </c>
      <c r="C92" t="s">
        <v>5073</v>
      </c>
      <c r="D92" t="s">
        <v>1101</v>
      </c>
      <c r="E92">
        <v>3</v>
      </c>
      <c r="F92" t="s">
        <v>3399</v>
      </c>
      <c r="J92" t="s">
        <v>4277</v>
      </c>
      <c r="K92" t="s">
        <v>5074</v>
      </c>
      <c r="L92" t="s">
        <v>5075</v>
      </c>
      <c r="R92" t="s">
        <v>26</v>
      </c>
      <c r="S92" t="s">
        <v>4</v>
      </c>
      <c r="T92" t="s">
        <v>3456</v>
      </c>
    </row>
    <row r="93" spans="2:20">
      <c r="B93">
        <v>65</v>
      </c>
      <c r="C93" t="s">
        <v>5076</v>
      </c>
      <c r="D93" t="s">
        <v>204</v>
      </c>
      <c r="E93">
        <v>3</v>
      </c>
      <c r="F93" t="s">
        <v>3399</v>
      </c>
      <c r="G93" t="s">
        <v>5180</v>
      </c>
      <c r="J93" t="s">
        <v>5077</v>
      </c>
      <c r="R93" t="s">
        <v>183</v>
      </c>
      <c r="S93" t="s">
        <v>4</v>
      </c>
      <c r="T93" t="s">
        <v>4891</v>
      </c>
    </row>
    <row r="94" spans="2:20">
      <c r="B94">
        <v>66</v>
      </c>
      <c r="C94" t="s">
        <v>5078</v>
      </c>
      <c r="D94" t="s">
        <v>204</v>
      </c>
      <c r="E94">
        <v>3</v>
      </c>
      <c r="F94" t="s">
        <v>3399</v>
      </c>
      <c r="J94" t="s">
        <v>5031</v>
      </c>
      <c r="R94" t="s">
        <v>172</v>
      </c>
      <c r="S94" t="s">
        <v>4</v>
      </c>
      <c r="T94" t="s">
        <v>4891</v>
      </c>
    </row>
    <row r="95" spans="2:20">
      <c r="B95">
        <v>68</v>
      </c>
      <c r="C95" t="s">
        <v>5079</v>
      </c>
      <c r="D95" t="s">
        <v>1375</v>
      </c>
      <c r="E95">
        <v>3</v>
      </c>
      <c r="F95" t="s">
        <v>3399</v>
      </c>
      <c r="J95" t="s">
        <v>5080</v>
      </c>
      <c r="R95" t="s">
        <v>606</v>
      </c>
      <c r="S95" t="s">
        <v>4</v>
      </c>
      <c r="T95" t="s">
        <v>3456</v>
      </c>
    </row>
    <row r="96" spans="2:20">
      <c r="B96">
        <v>70</v>
      </c>
      <c r="C96" t="s">
        <v>5081</v>
      </c>
      <c r="D96" t="s">
        <v>204</v>
      </c>
      <c r="E96">
        <v>3</v>
      </c>
      <c r="F96" t="s">
        <v>3399</v>
      </c>
      <c r="J96" t="s">
        <v>5082</v>
      </c>
      <c r="K96" t="s">
        <v>5083</v>
      </c>
      <c r="R96" t="s">
        <v>46</v>
      </c>
      <c r="S96" t="s">
        <v>4</v>
      </c>
      <c r="T96" t="s">
        <v>4926</v>
      </c>
    </row>
    <row r="97" spans="2:20">
      <c r="B97">
        <v>75</v>
      </c>
      <c r="C97" t="s">
        <v>5084</v>
      </c>
      <c r="D97" t="s">
        <v>1618</v>
      </c>
      <c r="E97">
        <v>3</v>
      </c>
      <c r="F97" t="s">
        <v>3399</v>
      </c>
      <c r="J97" t="s">
        <v>4933</v>
      </c>
      <c r="K97" t="s">
        <v>4931</v>
      </c>
      <c r="R97" t="s">
        <v>46</v>
      </c>
      <c r="S97" t="s">
        <v>4</v>
      </c>
      <c r="T97" t="s">
        <v>4891</v>
      </c>
    </row>
    <row r="98" spans="2:20">
      <c r="B98">
        <v>78</v>
      </c>
      <c r="C98" t="s">
        <v>5085</v>
      </c>
      <c r="D98" t="s">
        <v>204</v>
      </c>
      <c r="E98">
        <v>3</v>
      </c>
      <c r="F98" t="s">
        <v>3399</v>
      </c>
      <c r="J98" t="s">
        <v>4277</v>
      </c>
      <c r="K98" t="s">
        <v>4278</v>
      </c>
      <c r="L98" t="s">
        <v>5086</v>
      </c>
      <c r="R98" t="s">
        <v>606</v>
      </c>
      <c r="S98" t="s">
        <v>4</v>
      </c>
      <c r="T98" t="s">
        <v>3456</v>
      </c>
    </row>
    <row r="99" spans="2:20">
      <c r="B99">
        <v>80</v>
      </c>
      <c r="C99" t="s">
        <v>5087</v>
      </c>
      <c r="D99" t="s">
        <v>1375</v>
      </c>
      <c r="E99">
        <v>3</v>
      </c>
      <c r="F99" t="s">
        <v>3399</v>
      </c>
      <c r="J99" t="s">
        <v>5088</v>
      </c>
      <c r="R99" t="s">
        <v>30</v>
      </c>
      <c r="S99" t="s">
        <v>4</v>
      </c>
      <c r="T99" t="s">
        <v>3456</v>
      </c>
    </row>
    <row r="100" spans="2:20">
      <c r="B100">
        <v>81</v>
      </c>
      <c r="C100" t="s">
        <v>5089</v>
      </c>
      <c r="D100" t="s">
        <v>1101</v>
      </c>
      <c r="E100">
        <v>3</v>
      </c>
      <c r="F100" t="s">
        <v>3399</v>
      </c>
      <c r="J100" t="s">
        <v>5090</v>
      </c>
      <c r="R100" t="s">
        <v>174</v>
      </c>
      <c r="S100" t="s">
        <v>4</v>
      </c>
      <c r="T100" t="s">
        <v>3456</v>
      </c>
    </row>
    <row r="101" spans="2:20">
      <c r="B101">
        <v>82</v>
      </c>
      <c r="C101" t="s">
        <v>5091</v>
      </c>
      <c r="D101" t="s">
        <v>1374</v>
      </c>
      <c r="E101">
        <v>3</v>
      </c>
      <c r="F101" t="s">
        <v>3399</v>
      </c>
      <c r="J101" t="s">
        <v>4113</v>
      </c>
      <c r="K101" t="s">
        <v>4369</v>
      </c>
      <c r="L101" t="s">
        <v>4506</v>
      </c>
      <c r="R101" t="s">
        <v>35</v>
      </c>
      <c r="S101" t="s">
        <v>4</v>
      </c>
      <c r="T101" t="s">
        <v>4891</v>
      </c>
    </row>
    <row r="102" spans="2:20">
      <c r="B102">
        <v>89</v>
      </c>
      <c r="C102" t="s">
        <v>5092</v>
      </c>
      <c r="D102" t="s">
        <v>1621</v>
      </c>
      <c r="E102">
        <v>4</v>
      </c>
      <c r="F102" t="s">
        <v>3399</v>
      </c>
      <c r="J102" t="s">
        <v>5093</v>
      </c>
      <c r="R102" t="s">
        <v>28</v>
      </c>
      <c r="S102" t="s">
        <v>4</v>
      </c>
      <c r="T102" t="s">
        <v>4891</v>
      </c>
    </row>
    <row r="103" spans="2:20">
      <c r="B103">
        <v>91</v>
      </c>
      <c r="C103" t="s">
        <v>5094</v>
      </c>
      <c r="D103" t="s">
        <v>1378</v>
      </c>
      <c r="E103">
        <v>4</v>
      </c>
      <c r="F103" t="s">
        <v>3399</v>
      </c>
      <c r="J103" t="s">
        <v>3749</v>
      </c>
      <c r="K103" t="s">
        <v>4953</v>
      </c>
      <c r="R103" t="s">
        <v>17</v>
      </c>
      <c r="S103" t="s">
        <v>4</v>
      </c>
      <c r="T103" t="s">
        <v>4891</v>
      </c>
    </row>
    <row r="104" spans="2:20">
      <c r="B104">
        <v>93</v>
      </c>
      <c r="C104" t="s">
        <v>5095</v>
      </c>
      <c r="D104" t="s">
        <v>1378</v>
      </c>
      <c r="E104">
        <v>4</v>
      </c>
      <c r="F104" t="s">
        <v>3399</v>
      </c>
      <c r="J104" t="s">
        <v>5096</v>
      </c>
      <c r="R104" t="s">
        <v>46</v>
      </c>
      <c r="S104" t="s">
        <v>4</v>
      </c>
      <c r="T104" t="s">
        <v>4926</v>
      </c>
    </row>
    <row r="105" spans="2:20">
      <c r="B105">
        <v>94</v>
      </c>
      <c r="C105" t="s">
        <v>5097</v>
      </c>
      <c r="D105" t="s">
        <v>5098</v>
      </c>
      <c r="E105">
        <v>4</v>
      </c>
      <c r="F105" t="s">
        <v>3399</v>
      </c>
      <c r="J105" t="s">
        <v>5099</v>
      </c>
      <c r="K105" t="s">
        <v>5100</v>
      </c>
      <c r="R105" t="s">
        <v>606</v>
      </c>
      <c r="S105" t="s">
        <v>4</v>
      </c>
      <c r="T105" t="s">
        <v>3456</v>
      </c>
    </row>
    <row r="106" spans="2:20">
      <c r="B106">
        <v>95</v>
      </c>
      <c r="C106" t="s">
        <v>5101</v>
      </c>
      <c r="D106" t="s">
        <v>849</v>
      </c>
      <c r="E106">
        <v>4</v>
      </c>
      <c r="F106" t="s">
        <v>3399</v>
      </c>
      <c r="J106" t="s">
        <v>5102</v>
      </c>
      <c r="R106" t="s">
        <v>30</v>
      </c>
      <c r="S106" t="s">
        <v>4</v>
      </c>
      <c r="T106" t="s">
        <v>3456</v>
      </c>
    </row>
    <row r="107" spans="2:20">
      <c r="B107">
        <v>98</v>
      </c>
      <c r="C107" t="s">
        <v>5103</v>
      </c>
      <c r="D107" t="s">
        <v>1379</v>
      </c>
      <c r="E107">
        <v>4</v>
      </c>
      <c r="F107" t="s">
        <v>3399</v>
      </c>
      <c r="J107" t="s">
        <v>3749</v>
      </c>
      <c r="K107" t="s">
        <v>5104</v>
      </c>
      <c r="R107" t="s">
        <v>49</v>
      </c>
      <c r="S107" t="s">
        <v>4</v>
      </c>
      <c r="T107" t="s">
        <v>4950</v>
      </c>
    </row>
    <row r="108" spans="2:20">
      <c r="B108">
        <v>99</v>
      </c>
      <c r="C108" t="s">
        <v>3748</v>
      </c>
      <c r="D108" t="s">
        <v>1378</v>
      </c>
      <c r="E108">
        <v>4</v>
      </c>
      <c r="F108" t="s">
        <v>3399</v>
      </c>
      <c r="J108" t="s">
        <v>3749</v>
      </c>
      <c r="R108" t="s">
        <v>30</v>
      </c>
      <c r="S108" t="s">
        <v>4</v>
      </c>
      <c r="T108" t="s">
        <v>4891</v>
      </c>
    </row>
    <row r="109" spans="2:20">
      <c r="B109">
        <v>103</v>
      </c>
      <c r="C109" t="s">
        <v>5105</v>
      </c>
      <c r="D109" t="s">
        <v>1381</v>
      </c>
      <c r="E109">
        <v>5</v>
      </c>
      <c r="F109" t="s">
        <v>3399</v>
      </c>
      <c r="J109" t="s">
        <v>5106</v>
      </c>
      <c r="R109" t="s">
        <v>606</v>
      </c>
      <c r="S109" t="s">
        <v>4</v>
      </c>
      <c r="T109" t="s">
        <v>4891</v>
      </c>
    </row>
    <row r="110" spans="2:20">
      <c r="B110">
        <v>104</v>
      </c>
      <c r="C110" t="s">
        <v>5107</v>
      </c>
      <c r="D110" t="s">
        <v>851</v>
      </c>
      <c r="E110">
        <v>5</v>
      </c>
      <c r="F110" t="s">
        <v>3399</v>
      </c>
      <c r="J110" t="s">
        <v>5108</v>
      </c>
      <c r="K110" t="s">
        <v>4931</v>
      </c>
      <c r="R110" t="s">
        <v>46</v>
      </c>
      <c r="S110" t="s">
        <v>4</v>
      </c>
      <c r="T110" t="s">
        <v>3456</v>
      </c>
    </row>
    <row r="111" spans="2:20">
      <c r="B111">
        <v>106</v>
      </c>
      <c r="C111" t="s">
        <v>5109</v>
      </c>
      <c r="D111" t="s">
        <v>1381</v>
      </c>
      <c r="E111">
        <v>5</v>
      </c>
      <c r="F111" t="s">
        <v>3399</v>
      </c>
      <c r="J111" t="s">
        <v>3749</v>
      </c>
      <c r="K111" t="s">
        <v>5110</v>
      </c>
      <c r="R111" t="s">
        <v>31</v>
      </c>
      <c r="S111" t="s">
        <v>4</v>
      </c>
      <c r="T111" t="s">
        <v>4950</v>
      </c>
    </row>
    <row r="112" spans="2:20">
      <c r="B112">
        <v>107</v>
      </c>
      <c r="C112" t="s">
        <v>5111</v>
      </c>
      <c r="D112" t="s">
        <v>852</v>
      </c>
      <c r="E112">
        <v>5</v>
      </c>
      <c r="F112" t="s">
        <v>3399</v>
      </c>
      <c r="J112" t="s">
        <v>5112</v>
      </c>
      <c r="R112" t="s">
        <v>26</v>
      </c>
      <c r="S112" t="s">
        <v>4</v>
      </c>
      <c r="T112" t="s">
        <v>3456</v>
      </c>
    </row>
    <row r="113" spans="2:20">
      <c r="B113">
        <v>108</v>
      </c>
      <c r="C113" t="s">
        <v>5113</v>
      </c>
      <c r="D113" t="s">
        <v>1385</v>
      </c>
      <c r="E113">
        <v>5</v>
      </c>
      <c r="F113" t="s">
        <v>3399</v>
      </c>
      <c r="J113" t="s">
        <v>5114</v>
      </c>
      <c r="K113" t="s">
        <v>5115</v>
      </c>
      <c r="R113" t="s">
        <v>176</v>
      </c>
      <c r="S113" t="s">
        <v>4</v>
      </c>
      <c r="T113" t="s">
        <v>3456</v>
      </c>
    </row>
    <row r="114" spans="2:20">
      <c r="B114">
        <v>109</v>
      </c>
      <c r="C114" t="s">
        <v>5116</v>
      </c>
      <c r="D114" t="s">
        <v>1381</v>
      </c>
      <c r="E114">
        <v>5</v>
      </c>
      <c r="F114" t="s">
        <v>3399</v>
      </c>
      <c r="J114" t="s">
        <v>4277</v>
      </c>
      <c r="K114" t="s">
        <v>4369</v>
      </c>
      <c r="L114" t="s">
        <v>5041</v>
      </c>
      <c r="R114" t="s">
        <v>32</v>
      </c>
      <c r="S114" t="s">
        <v>4</v>
      </c>
      <c r="T114" t="s">
        <v>4891</v>
      </c>
    </row>
    <row r="115" spans="2:20">
      <c r="B115">
        <v>111</v>
      </c>
      <c r="C115" t="s">
        <v>5117</v>
      </c>
      <c r="D115" t="s">
        <v>1381</v>
      </c>
      <c r="E115">
        <v>5</v>
      </c>
      <c r="F115" t="s">
        <v>3399</v>
      </c>
      <c r="J115" t="s">
        <v>3749</v>
      </c>
      <c r="K115" t="s">
        <v>4953</v>
      </c>
      <c r="R115" t="s">
        <v>15</v>
      </c>
      <c r="S115" t="s">
        <v>4</v>
      </c>
      <c r="T115" t="s">
        <v>4891</v>
      </c>
    </row>
    <row r="116" spans="2:20">
      <c r="B116">
        <v>112</v>
      </c>
      <c r="C116" t="s">
        <v>5118</v>
      </c>
      <c r="D116" t="s">
        <v>1385</v>
      </c>
      <c r="E116">
        <v>5</v>
      </c>
      <c r="F116" t="s">
        <v>3399</v>
      </c>
      <c r="J116" t="s">
        <v>4277</v>
      </c>
      <c r="K116" t="s">
        <v>4369</v>
      </c>
      <c r="L116" t="s">
        <v>5119</v>
      </c>
      <c r="R116" t="s">
        <v>170</v>
      </c>
      <c r="S116" t="s">
        <v>4</v>
      </c>
      <c r="T116" t="s">
        <v>4891</v>
      </c>
    </row>
    <row r="117" spans="2:20">
      <c r="B117">
        <v>113</v>
      </c>
      <c r="C117" t="s">
        <v>5120</v>
      </c>
      <c r="D117" t="s">
        <v>1248</v>
      </c>
      <c r="E117">
        <v>5</v>
      </c>
      <c r="F117" t="s">
        <v>3399</v>
      </c>
      <c r="J117" t="s">
        <v>5121</v>
      </c>
      <c r="R117" t="s">
        <v>30</v>
      </c>
      <c r="S117" t="s">
        <v>4</v>
      </c>
      <c r="T117" t="s">
        <v>4891</v>
      </c>
    </row>
    <row r="118" spans="2:20">
      <c r="B118">
        <v>115</v>
      </c>
      <c r="C118" t="s">
        <v>5122</v>
      </c>
      <c r="D118" t="s">
        <v>851</v>
      </c>
      <c r="E118">
        <v>5</v>
      </c>
      <c r="F118" t="s">
        <v>3399</v>
      </c>
      <c r="J118" t="s">
        <v>5044</v>
      </c>
      <c r="K118" t="s">
        <v>4240</v>
      </c>
      <c r="R118" t="s">
        <v>168</v>
      </c>
      <c r="S118" t="s">
        <v>4</v>
      </c>
      <c r="T118" t="s">
        <v>3456</v>
      </c>
    </row>
    <row r="119" spans="2:20">
      <c r="B119">
        <v>116</v>
      </c>
      <c r="C119" t="s">
        <v>5123</v>
      </c>
      <c r="D119" t="s">
        <v>1386</v>
      </c>
      <c r="E119">
        <v>6</v>
      </c>
      <c r="F119" t="s">
        <v>3399</v>
      </c>
      <c r="J119" t="s">
        <v>5124</v>
      </c>
      <c r="R119" t="s">
        <v>5</v>
      </c>
      <c r="S119" t="s">
        <v>4</v>
      </c>
      <c r="T119" t="s">
        <v>3456</v>
      </c>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2:W34"/>
  <sheetViews>
    <sheetView topLeftCell="A28" workbookViewId="0">
      <selection activeCell="B34" sqref="B34"/>
    </sheetView>
  </sheetViews>
  <sheetFormatPr defaultRowHeight="13.5"/>
  <cols>
    <col min="2" max="2" width="23.25" bestFit="1" customWidth="1"/>
    <col min="17" max="17" width="18.25" customWidth="1"/>
  </cols>
  <sheetData>
    <row r="2" spans="1:23" s="1" customFormat="1">
      <c r="B2" s="1" t="s">
        <v>3151</v>
      </c>
      <c r="C2" s="1" t="s">
        <v>3152</v>
      </c>
      <c r="D2" s="1" t="s">
        <v>3160</v>
      </c>
      <c r="E2" s="1" t="s">
        <v>3153</v>
      </c>
      <c r="F2" s="1" t="s">
        <v>3154</v>
      </c>
      <c r="G2" s="1" t="s">
        <v>3155</v>
      </c>
      <c r="H2" s="1" t="s">
        <v>3156</v>
      </c>
      <c r="I2" s="1" t="s">
        <v>3157</v>
      </c>
      <c r="K2"/>
      <c r="N2" s="2"/>
      <c r="O2" s="64" t="s">
        <v>4051</v>
      </c>
      <c r="P2" s="64" t="s">
        <v>4052</v>
      </c>
      <c r="Q2" s="1" t="s">
        <v>3159</v>
      </c>
      <c r="T2" s="4" t="s">
        <v>3881</v>
      </c>
      <c r="U2" s="8" t="s">
        <v>3882</v>
      </c>
      <c r="V2" s="9" t="s">
        <v>3906</v>
      </c>
      <c r="W2" s="10" t="s">
        <v>3907</v>
      </c>
    </row>
    <row r="3" spans="1:23">
      <c r="A3" s="76"/>
      <c r="B3" s="76" t="s">
        <v>4790</v>
      </c>
      <c r="C3" s="76" t="s">
        <v>204</v>
      </c>
      <c r="D3" s="76"/>
      <c r="E3" s="76" t="s">
        <v>3094</v>
      </c>
      <c r="F3" s="76" t="s">
        <v>3084</v>
      </c>
      <c r="G3" s="76" t="s">
        <v>3059</v>
      </c>
      <c r="H3" s="76"/>
      <c r="I3" s="76" t="s">
        <v>4792</v>
      </c>
      <c r="J3" s="76"/>
      <c r="K3" s="76"/>
      <c r="L3" s="76"/>
      <c r="M3" s="76"/>
      <c r="N3" s="76" t="s">
        <v>4883</v>
      </c>
      <c r="O3" s="76">
        <v>1</v>
      </c>
      <c r="P3" s="76">
        <v>4</v>
      </c>
      <c r="Q3" s="76" t="s">
        <v>4793</v>
      </c>
      <c r="R3" t="s">
        <v>4</v>
      </c>
    </row>
    <row r="4" spans="1:23">
      <c r="B4" t="s">
        <v>4794</v>
      </c>
      <c r="C4" t="s">
        <v>185</v>
      </c>
      <c r="E4" t="s">
        <v>3094</v>
      </c>
      <c r="F4" t="s">
        <v>3084</v>
      </c>
      <c r="G4" t="s">
        <v>3053</v>
      </c>
      <c r="I4" t="s">
        <v>4796</v>
      </c>
      <c r="J4" t="s">
        <v>4797</v>
      </c>
      <c r="N4" t="s">
        <v>3456</v>
      </c>
      <c r="O4">
        <v>0</v>
      </c>
      <c r="P4">
        <v>0</v>
      </c>
      <c r="Q4" t="s">
        <v>4793</v>
      </c>
      <c r="R4" t="s">
        <v>9</v>
      </c>
    </row>
    <row r="5" spans="1:23">
      <c r="B5" t="s">
        <v>4799</v>
      </c>
      <c r="C5" t="s">
        <v>849</v>
      </c>
      <c r="E5" t="s">
        <v>3094</v>
      </c>
      <c r="F5" t="s">
        <v>3084</v>
      </c>
      <c r="G5" t="s">
        <v>3051</v>
      </c>
      <c r="I5" t="s">
        <v>4801</v>
      </c>
      <c r="J5" t="s">
        <v>4802</v>
      </c>
      <c r="N5" t="s">
        <v>3456</v>
      </c>
      <c r="O5">
        <v>0</v>
      </c>
      <c r="P5">
        <v>0</v>
      </c>
      <c r="Q5" t="s">
        <v>4793</v>
      </c>
      <c r="R5" t="s">
        <v>9</v>
      </c>
    </row>
    <row r="6" spans="1:23">
      <c r="A6" s="76"/>
      <c r="B6" s="76" t="s">
        <v>4803</v>
      </c>
      <c r="C6" s="76" t="s">
        <v>849</v>
      </c>
      <c r="D6" s="76"/>
      <c r="E6" s="76" t="s">
        <v>3094</v>
      </c>
      <c r="F6" s="76" t="s">
        <v>3084</v>
      </c>
      <c r="G6" s="76" t="s">
        <v>3071</v>
      </c>
      <c r="H6" s="76"/>
      <c r="I6" s="76" t="s">
        <v>878</v>
      </c>
      <c r="J6" s="76" t="s">
        <v>4805</v>
      </c>
      <c r="K6" s="76"/>
      <c r="L6" s="76"/>
      <c r="M6" s="76"/>
      <c r="N6" s="76" t="s">
        <v>4884</v>
      </c>
      <c r="O6" s="76">
        <v>2</v>
      </c>
      <c r="P6" s="76">
        <v>2</v>
      </c>
      <c r="Q6" s="76" t="s">
        <v>4793</v>
      </c>
      <c r="R6" t="s">
        <v>4</v>
      </c>
    </row>
    <row r="7" spans="1:23">
      <c r="A7" s="76"/>
      <c r="B7" s="76" t="s">
        <v>4806</v>
      </c>
      <c r="C7" s="76" t="s">
        <v>847</v>
      </c>
      <c r="D7" s="76"/>
      <c r="E7" s="76" t="s">
        <v>3094</v>
      </c>
      <c r="F7" s="76" t="s">
        <v>3084</v>
      </c>
      <c r="G7" s="76" t="s">
        <v>3071</v>
      </c>
      <c r="H7" s="76"/>
      <c r="I7" s="76" t="s">
        <v>4805</v>
      </c>
      <c r="J7" s="76" t="s">
        <v>4807</v>
      </c>
      <c r="K7" s="76"/>
      <c r="L7" s="76"/>
      <c r="M7" s="76"/>
      <c r="N7" s="76" t="s">
        <v>4884</v>
      </c>
      <c r="O7" s="76">
        <v>1</v>
      </c>
      <c r="P7" s="76">
        <v>1</v>
      </c>
      <c r="Q7" s="76" t="s">
        <v>4793</v>
      </c>
      <c r="R7" t="s">
        <v>7</v>
      </c>
    </row>
    <row r="8" spans="1:23">
      <c r="A8" s="97"/>
      <c r="B8" s="97" t="s">
        <v>4808</v>
      </c>
      <c r="C8" s="97" t="s">
        <v>848</v>
      </c>
      <c r="D8" s="97"/>
      <c r="E8" s="97" t="s">
        <v>3880</v>
      </c>
      <c r="F8" s="97" t="s">
        <v>3084</v>
      </c>
      <c r="G8" s="97" t="s">
        <v>3063</v>
      </c>
      <c r="H8" s="97"/>
      <c r="I8" s="97" t="s">
        <v>4810</v>
      </c>
      <c r="J8" s="97"/>
      <c r="K8" s="97"/>
      <c r="L8" s="97"/>
      <c r="M8" s="97"/>
      <c r="N8" s="97" t="s">
        <v>3456</v>
      </c>
      <c r="O8" s="97">
        <v>1</v>
      </c>
      <c r="P8" s="97">
        <v>3</v>
      </c>
      <c r="Q8" s="97" t="s">
        <v>4793</v>
      </c>
      <c r="R8" s="97" t="s">
        <v>41</v>
      </c>
    </row>
    <row r="9" spans="1:23">
      <c r="A9" s="76"/>
      <c r="B9" s="76" t="s">
        <v>4811</v>
      </c>
      <c r="C9" s="76" t="s">
        <v>1374</v>
      </c>
      <c r="D9" s="76"/>
      <c r="E9" s="76" t="s">
        <v>3094</v>
      </c>
      <c r="F9" s="76" t="s">
        <v>3084</v>
      </c>
      <c r="G9" s="76" t="s">
        <v>3055</v>
      </c>
      <c r="H9" s="76"/>
      <c r="I9" s="76" t="s">
        <v>4805</v>
      </c>
      <c r="J9" s="76"/>
      <c r="K9" s="76"/>
      <c r="L9" s="76"/>
      <c r="M9" s="76"/>
      <c r="N9" s="76" t="s">
        <v>4884</v>
      </c>
      <c r="O9" s="76">
        <v>2</v>
      </c>
      <c r="P9" s="76">
        <v>1</v>
      </c>
      <c r="Q9" s="76" t="s">
        <v>4793</v>
      </c>
      <c r="R9" t="s">
        <v>4</v>
      </c>
    </row>
    <row r="10" spans="1:23">
      <c r="A10" s="76"/>
      <c r="B10" s="76" t="s">
        <v>4813</v>
      </c>
      <c r="C10" s="76" t="s">
        <v>1971</v>
      </c>
      <c r="D10" s="76"/>
      <c r="E10" s="76" t="s">
        <v>3094</v>
      </c>
      <c r="F10" s="76" t="s">
        <v>3084</v>
      </c>
      <c r="G10" s="76" t="s">
        <v>3063</v>
      </c>
      <c r="H10" s="76"/>
      <c r="I10" s="76" t="s">
        <v>4815</v>
      </c>
      <c r="J10" s="76" t="s">
        <v>4816</v>
      </c>
      <c r="K10" s="76"/>
      <c r="L10" s="76"/>
      <c r="M10" s="76"/>
      <c r="N10" s="76" t="s">
        <v>3456</v>
      </c>
      <c r="O10" s="76">
        <v>1</v>
      </c>
      <c r="P10" s="76">
        <v>1</v>
      </c>
      <c r="Q10" s="76" t="s">
        <v>4793</v>
      </c>
      <c r="R10" t="s">
        <v>7</v>
      </c>
    </row>
    <row r="11" spans="1:23">
      <c r="A11" s="76"/>
      <c r="B11" s="76" t="s">
        <v>4817</v>
      </c>
      <c r="C11" s="76" t="s">
        <v>2014</v>
      </c>
      <c r="D11" s="76"/>
      <c r="E11" s="76" t="s">
        <v>3880</v>
      </c>
      <c r="F11" s="76" t="s">
        <v>3084</v>
      </c>
      <c r="G11" s="76" t="s">
        <v>3051</v>
      </c>
      <c r="H11" s="76"/>
      <c r="I11" s="76" t="s">
        <v>4805</v>
      </c>
      <c r="J11" s="76" t="s">
        <v>4819</v>
      </c>
      <c r="K11" s="76" t="s">
        <v>4820</v>
      </c>
      <c r="L11" s="76"/>
      <c r="M11" s="76"/>
      <c r="N11" s="76" t="s">
        <v>4884</v>
      </c>
      <c r="O11" s="76">
        <v>3</v>
      </c>
      <c r="P11" s="76">
        <v>3</v>
      </c>
      <c r="Q11" s="76" t="s">
        <v>4793</v>
      </c>
      <c r="R11" t="s">
        <v>41</v>
      </c>
    </row>
    <row r="12" spans="1:23">
      <c r="A12" s="76"/>
      <c r="B12" s="98" t="s">
        <v>4821</v>
      </c>
      <c r="C12" s="98" t="s">
        <v>1951</v>
      </c>
      <c r="D12" s="98"/>
      <c r="E12" s="98" t="s">
        <v>3094</v>
      </c>
      <c r="F12" s="98" t="s">
        <v>3084</v>
      </c>
      <c r="G12" s="98" t="s">
        <v>3071</v>
      </c>
      <c r="H12" s="98"/>
      <c r="I12" s="98" t="s">
        <v>4805</v>
      </c>
      <c r="J12" s="98" t="s">
        <v>4822</v>
      </c>
      <c r="K12" s="98"/>
      <c r="L12" s="98"/>
      <c r="M12" s="98"/>
      <c r="N12" s="98" t="s">
        <v>4884</v>
      </c>
      <c r="O12" s="98">
        <v>1</v>
      </c>
      <c r="P12" s="98">
        <v>1</v>
      </c>
      <c r="Q12" s="98" t="s">
        <v>4793</v>
      </c>
      <c r="R12" s="96" t="s">
        <v>7</v>
      </c>
    </row>
    <row r="13" spans="1:23">
      <c r="A13" s="76"/>
      <c r="B13" s="76" t="s">
        <v>4823</v>
      </c>
      <c r="C13" s="76" t="s">
        <v>204</v>
      </c>
      <c r="D13" s="76"/>
      <c r="E13" s="76" t="s">
        <v>3094</v>
      </c>
      <c r="F13" s="76" t="s">
        <v>3084</v>
      </c>
      <c r="G13" s="76" t="s">
        <v>3059</v>
      </c>
      <c r="H13" s="76"/>
      <c r="I13" s="76" t="s">
        <v>4824</v>
      </c>
      <c r="J13" s="76"/>
      <c r="K13" s="76"/>
      <c r="L13" s="76"/>
      <c r="M13" s="76"/>
      <c r="N13" s="76" t="s">
        <v>4883</v>
      </c>
      <c r="O13" s="76">
        <v>2</v>
      </c>
      <c r="P13" s="76">
        <v>3</v>
      </c>
      <c r="Q13" s="76" t="s">
        <v>4056</v>
      </c>
      <c r="R13" t="s">
        <v>4</v>
      </c>
    </row>
    <row r="14" spans="1:23">
      <c r="B14" t="s">
        <v>4825</v>
      </c>
      <c r="C14" t="s">
        <v>204</v>
      </c>
      <c r="E14" t="s">
        <v>3094</v>
      </c>
      <c r="F14" t="s">
        <v>3084</v>
      </c>
      <c r="G14" t="s">
        <v>3053</v>
      </c>
      <c r="I14" t="s">
        <v>4826</v>
      </c>
      <c r="J14" t="s">
        <v>4827</v>
      </c>
      <c r="N14" t="s">
        <v>4885</v>
      </c>
      <c r="O14">
        <v>2</v>
      </c>
      <c r="P14">
        <v>3</v>
      </c>
      <c r="Q14" t="s">
        <v>4056</v>
      </c>
      <c r="R14" t="s">
        <v>4</v>
      </c>
    </row>
    <row r="15" spans="1:23">
      <c r="A15" s="76"/>
      <c r="B15" s="76" t="s">
        <v>4828</v>
      </c>
      <c r="C15" s="76" t="s">
        <v>208</v>
      </c>
      <c r="D15" s="76"/>
      <c r="E15" s="76" t="s">
        <v>3094</v>
      </c>
      <c r="F15" s="76" t="s">
        <v>3084</v>
      </c>
      <c r="G15" s="76" t="s">
        <v>3053</v>
      </c>
      <c r="H15" s="76"/>
      <c r="I15" s="76" t="s">
        <v>4829</v>
      </c>
      <c r="J15" s="76" t="s">
        <v>4830</v>
      </c>
      <c r="K15" s="76"/>
      <c r="L15" s="76"/>
      <c r="M15" s="76"/>
      <c r="N15" s="76" t="s">
        <v>4886</v>
      </c>
      <c r="O15" s="76">
        <v>1</v>
      </c>
      <c r="P15" s="76">
        <v>2</v>
      </c>
      <c r="Q15" s="76" t="s">
        <v>4056</v>
      </c>
      <c r="R15" t="s">
        <v>7</v>
      </c>
    </row>
    <row r="16" spans="1:23">
      <c r="B16" t="s">
        <v>4831</v>
      </c>
      <c r="C16" t="s">
        <v>211</v>
      </c>
      <c r="E16" t="s">
        <v>3094</v>
      </c>
      <c r="F16" t="s">
        <v>3084</v>
      </c>
      <c r="G16" t="s">
        <v>3050</v>
      </c>
      <c r="I16" t="s">
        <v>4833</v>
      </c>
      <c r="N16" t="s">
        <v>4887</v>
      </c>
      <c r="O16">
        <v>2</v>
      </c>
      <c r="P16">
        <v>2</v>
      </c>
      <c r="Q16" t="s">
        <v>4056</v>
      </c>
      <c r="R16" t="s">
        <v>4</v>
      </c>
    </row>
    <row r="17" spans="1:18">
      <c r="B17" t="s">
        <v>3666</v>
      </c>
      <c r="C17" t="s">
        <v>209</v>
      </c>
      <c r="E17" t="s">
        <v>3094</v>
      </c>
      <c r="F17" t="s">
        <v>3084</v>
      </c>
      <c r="G17" t="s">
        <v>3054</v>
      </c>
      <c r="I17" t="s">
        <v>4835</v>
      </c>
      <c r="J17" t="s">
        <v>4836</v>
      </c>
      <c r="K17" t="s">
        <v>4837</v>
      </c>
      <c r="N17" t="s">
        <v>4885</v>
      </c>
      <c r="O17">
        <v>3</v>
      </c>
      <c r="P17">
        <v>3</v>
      </c>
      <c r="Q17" t="s">
        <v>4056</v>
      </c>
      <c r="R17" t="s">
        <v>7</v>
      </c>
    </row>
    <row r="18" spans="1:18">
      <c r="B18" t="s">
        <v>4057</v>
      </c>
      <c r="C18" t="s">
        <v>209</v>
      </c>
      <c r="E18" t="s">
        <v>3094</v>
      </c>
      <c r="F18" t="s">
        <v>3084</v>
      </c>
      <c r="G18" t="s">
        <v>3050</v>
      </c>
      <c r="I18" t="s">
        <v>4058</v>
      </c>
      <c r="J18" t="s">
        <v>4059</v>
      </c>
      <c r="N18" t="s">
        <v>4888</v>
      </c>
      <c r="O18">
        <v>2</v>
      </c>
      <c r="P18">
        <v>2</v>
      </c>
      <c r="Q18" t="s">
        <v>4056</v>
      </c>
      <c r="R18" t="s">
        <v>7</v>
      </c>
    </row>
    <row r="19" spans="1:18">
      <c r="B19" t="s">
        <v>4838</v>
      </c>
      <c r="C19" t="s">
        <v>185</v>
      </c>
      <c r="E19" t="s">
        <v>3094</v>
      </c>
      <c r="F19" t="s">
        <v>3084</v>
      </c>
      <c r="G19" t="s">
        <v>3050</v>
      </c>
      <c r="I19" t="s">
        <v>4839</v>
      </c>
      <c r="N19" t="s">
        <v>4888</v>
      </c>
      <c r="O19">
        <v>2</v>
      </c>
      <c r="P19">
        <v>4</v>
      </c>
      <c r="Q19" t="s">
        <v>4056</v>
      </c>
      <c r="R19" t="s">
        <v>4</v>
      </c>
    </row>
    <row r="20" spans="1:18">
      <c r="A20" s="76"/>
      <c r="B20" s="76" t="s">
        <v>4840</v>
      </c>
      <c r="C20" s="76" t="s">
        <v>187</v>
      </c>
      <c r="D20" s="76"/>
      <c r="E20" s="76" t="s">
        <v>3094</v>
      </c>
      <c r="F20" s="76" t="s">
        <v>3084</v>
      </c>
      <c r="G20" s="76" t="s">
        <v>3050</v>
      </c>
      <c r="H20" s="76"/>
      <c r="I20" s="76" t="s">
        <v>4841</v>
      </c>
      <c r="J20" s="76" t="s">
        <v>4842</v>
      </c>
      <c r="K20" s="76" t="s">
        <v>4843</v>
      </c>
      <c r="L20" s="76"/>
      <c r="M20" s="76"/>
      <c r="N20" s="76" t="s">
        <v>4885</v>
      </c>
      <c r="O20" s="76">
        <v>2</v>
      </c>
      <c r="P20" s="76">
        <v>2</v>
      </c>
      <c r="Q20" s="76" t="s">
        <v>4056</v>
      </c>
      <c r="R20" t="s">
        <v>9</v>
      </c>
    </row>
    <row r="21" spans="1:18">
      <c r="B21" t="s">
        <v>4844</v>
      </c>
      <c r="C21" t="s">
        <v>204</v>
      </c>
      <c r="E21" t="s">
        <v>3094</v>
      </c>
      <c r="F21" t="s">
        <v>3084</v>
      </c>
      <c r="G21" t="s">
        <v>3050</v>
      </c>
      <c r="I21" t="s">
        <v>4845</v>
      </c>
      <c r="N21" t="s">
        <v>3456</v>
      </c>
      <c r="O21">
        <v>1</v>
      </c>
      <c r="P21">
        <v>1</v>
      </c>
      <c r="Q21" t="s">
        <v>4056</v>
      </c>
      <c r="R21" t="s">
        <v>9</v>
      </c>
    </row>
    <row r="22" spans="1:18">
      <c r="B22" t="s">
        <v>4846</v>
      </c>
      <c r="C22" t="s">
        <v>208</v>
      </c>
      <c r="E22" t="s">
        <v>3094</v>
      </c>
      <c r="F22" t="s">
        <v>3084</v>
      </c>
      <c r="G22" t="s">
        <v>3053</v>
      </c>
      <c r="I22" t="s">
        <v>4847</v>
      </c>
      <c r="J22" t="s">
        <v>4848</v>
      </c>
      <c r="N22" t="s">
        <v>3456</v>
      </c>
      <c r="O22">
        <v>2</v>
      </c>
      <c r="P22">
        <v>2</v>
      </c>
      <c r="Q22" t="s">
        <v>4056</v>
      </c>
      <c r="R22" t="s">
        <v>41</v>
      </c>
    </row>
    <row r="23" spans="1:18">
      <c r="B23" t="s">
        <v>4849</v>
      </c>
      <c r="C23" t="s">
        <v>187</v>
      </c>
      <c r="E23" t="s">
        <v>3094</v>
      </c>
      <c r="F23" t="s">
        <v>3084</v>
      </c>
      <c r="G23" t="s">
        <v>3050</v>
      </c>
      <c r="I23" t="s">
        <v>4850</v>
      </c>
      <c r="N23" t="s">
        <v>4888</v>
      </c>
      <c r="O23">
        <v>2</v>
      </c>
      <c r="P23">
        <v>2</v>
      </c>
      <c r="Q23" t="s">
        <v>4056</v>
      </c>
      <c r="R23" t="s">
        <v>4</v>
      </c>
    </row>
    <row r="24" spans="1:18">
      <c r="A24" s="76"/>
      <c r="B24" s="76" t="s">
        <v>3698</v>
      </c>
      <c r="C24" s="76" t="s">
        <v>852</v>
      </c>
      <c r="D24" s="76"/>
      <c r="E24" s="76" t="s">
        <v>3094</v>
      </c>
      <c r="F24" s="76" t="s">
        <v>3084</v>
      </c>
      <c r="G24" s="76" t="s">
        <v>3051</v>
      </c>
      <c r="H24" s="76"/>
      <c r="I24" s="76" t="s">
        <v>4851</v>
      </c>
      <c r="J24" s="76" t="s">
        <v>4852</v>
      </c>
      <c r="K24" s="76"/>
      <c r="L24" s="76"/>
      <c r="M24" s="76"/>
      <c r="N24" s="76" t="s">
        <v>4885</v>
      </c>
      <c r="O24" s="76">
        <v>3</v>
      </c>
      <c r="P24" s="76">
        <v>3</v>
      </c>
      <c r="Q24" s="76" t="s">
        <v>4056</v>
      </c>
      <c r="R24" t="s">
        <v>9</v>
      </c>
    </row>
    <row r="25" spans="1:18">
      <c r="B25" t="s">
        <v>4060</v>
      </c>
      <c r="C25" t="s">
        <v>4061</v>
      </c>
      <c r="E25" t="s">
        <v>3094</v>
      </c>
      <c r="F25" t="s">
        <v>3084</v>
      </c>
      <c r="G25" t="s">
        <v>3071</v>
      </c>
      <c r="I25" t="s">
        <v>4062</v>
      </c>
      <c r="J25" t="s">
        <v>4063</v>
      </c>
      <c r="N25" t="s">
        <v>4888</v>
      </c>
      <c r="O25">
        <v>3</v>
      </c>
      <c r="P25">
        <v>5</v>
      </c>
      <c r="Q25" t="s">
        <v>4056</v>
      </c>
      <c r="R25" t="s">
        <v>4</v>
      </c>
    </row>
    <row r="26" spans="1:18">
      <c r="B26" t="s">
        <v>4854</v>
      </c>
      <c r="C26" t="s">
        <v>852</v>
      </c>
      <c r="E26" t="s">
        <v>3094</v>
      </c>
      <c r="F26" t="s">
        <v>3084</v>
      </c>
      <c r="G26" t="s">
        <v>3071</v>
      </c>
      <c r="H26" t="s">
        <v>3065</v>
      </c>
      <c r="I26" t="s">
        <v>4856</v>
      </c>
      <c r="J26" t="s">
        <v>4857</v>
      </c>
      <c r="N26" t="s">
        <v>4888</v>
      </c>
      <c r="O26">
        <v>4</v>
      </c>
      <c r="P26">
        <v>4</v>
      </c>
      <c r="Q26" t="s">
        <v>4056</v>
      </c>
      <c r="R26" t="s">
        <v>9</v>
      </c>
    </row>
    <row r="27" spans="1:18">
      <c r="B27" t="s">
        <v>4859</v>
      </c>
      <c r="C27" t="s">
        <v>1101</v>
      </c>
      <c r="E27" t="s">
        <v>3094</v>
      </c>
      <c r="F27" t="s">
        <v>3084</v>
      </c>
      <c r="G27" t="s">
        <v>3059</v>
      </c>
      <c r="I27" t="s">
        <v>4860</v>
      </c>
      <c r="N27" t="s">
        <v>4888</v>
      </c>
      <c r="O27">
        <v>1</v>
      </c>
      <c r="P27">
        <v>4</v>
      </c>
      <c r="Q27" t="s">
        <v>4056</v>
      </c>
      <c r="R27" t="s">
        <v>4</v>
      </c>
    </row>
    <row r="28" spans="1:18">
      <c r="A28" s="76"/>
      <c r="B28" s="76" t="s">
        <v>3670</v>
      </c>
      <c r="C28" s="76" t="s">
        <v>1104</v>
      </c>
      <c r="D28" s="76"/>
      <c r="E28" s="76" t="s">
        <v>3094</v>
      </c>
      <c r="F28" s="76" t="s">
        <v>3084</v>
      </c>
      <c r="G28" s="76" t="s">
        <v>3070</v>
      </c>
      <c r="H28" s="76"/>
      <c r="I28" s="76" t="s">
        <v>4862</v>
      </c>
      <c r="J28" s="76" t="s">
        <v>4863</v>
      </c>
      <c r="K28" s="76" t="s">
        <v>4864</v>
      </c>
      <c r="L28" s="76"/>
      <c r="M28" s="76"/>
      <c r="N28" s="76" t="s">
        <v>4885</v>
      </c>
      <c r="O28" s="76">
        <v>2</v>
      </c>
      <c r="P28" s="76">
        <v>2</v>
      </c>
      <c r="Q28" s="76" t="s">
        <v>4056</v>
      </c>
      <c r="R28" t="s">
        <v>7</v>
      </c>
    </row>
    <row r="29" spans="1:18">
      <c r="B29" t="s">
        <v>4865</v>
      </c>
      <c r="C29" t="s">
        <v>1104</v>
      </c>
      <c r="E29" t="s">
        <v>3094</v>
      </c>
      <c r="F29" t="s">
        <v>3084</v>
      </c>
      <c r="G29" t="s">
        <v>3076</v>
      </c>
      <c r="I29" t="s">
        <v>1050</v>
      </c>
      <c r="J29" t="s">
        <v>4867</v>
      </c>
      <c r="N29" t="s">
        <v>4888</v>
      </c>
      <c r="O29">
        <v>1</v>
      </c>
      <c r="P29">
        <v>3</v>
      </c>
      <c r="Q29" t="s">
        <v>4056</v>
      </c>
      <c r="R29" t="s">
        <v>4</v>
      </c>
    </row>
    <row r="30" spans="1:18">
      <c r="A30" s="76"/>
      <c r="B30" s="76" t="s">
        <v>4868</v>
      </c>
      <c r="C30" s="76" t="s">
        <v>1374</v>
      </c>
      <c r="D30" s="76"/>
      <c r="E30" s="76" t="s">
        <v>3094</v>
      </c>
      <c r="F30" s="76" t="s">
        <v>3084</v>
      </c>
      <c r="G30" s="76" t="s">
        <v>3055</v>
      </c>
      <c r="H30" s="76"/>
      <c r="I30" s="76" t="s">
        <v>1095</v>
      </c>
      <c r="J30" s="76" t="s">
        <v>4829</v>
      </c>
      <c r="K30" s="76"/>
      <c r="L30" s="76"/>
      <c r="M30" s="76"/>
      <c r="N30" s="76" t="s">
        <v>4886</v>
      </c>
      <c r="O30" s="76">
        <v>2</v>
      </c>
      <c r="P30" s="76">
        <v>1</v>
      </c>
      <c r="Q30" s="76" t="s">
        <v>4056</v>
      </c>
      <c r="R30" t="s">
        <v>4</v>
      </c>
    </row>
    <row r="31" spans="1:18">
      <c r="A31" s="76"/>
      <c r="B31" s="76" t="s">
        <v>4869</v>
      </c>
      <c r="C31" s="76" t="s">
        <v>1620</v>
      </c>
      <c r="D31" s="76"/>
      <c r="E31" s="76" t="s">
        <v>3094</v>
      </c>
      <c r="F31" s="76" t="s">
        <v>3084</v>
      </c>
      <c r="G31" s="76" t="s">
        <v>3055</v>
      </c>
      <c r="H31" s="76"/>
      <c r="I31" s="76" t="s">
        <v>20</v>
      </c>
      <c r="J31" s="76" t="s">
        <v>4829</v>
      </c>
      <c r="K31" s="76"/>
      <c r="L31" s="76"/>
      <c r="M31" s="76"/>
      <c r="N31" s="76" t="s">
        <v>4886</v>
      </c>
      <c r="O31" s="76">
        <v>3</v>
      </c>
      <c r="P31" s="76">
        <v>2</v>
      </c>
      <c r="Q31" s="76" t="s">
        <v>4056</v>
      </c>
      <c r="R31" t="s">
        <v>4</v>
      </c>
    </row>
    <row r="32" spans="1:18">
      <c r="A32" s="76"/>
      <c r="B32" s="76" t="s">
        <v>4870</v>
      </c>
      <c r="C32" s="76" t="s">
        <v>1980</v>
      </c>
      <c r="D32" s="76"/>
      <c r="E32" s="76" t="s">
        <v>3880</v>
      </c>
      <c r="F32" s="76" t="s">
        <v>3084</v>
      </c>
      <c r="G32" s="76" t="s">
        <v>3054</v>
      </c>
      <c r="H32" s="76"/>
      <c r="I32" s="76" t="s">
        <v>4829</v>
      </c>
      <c r="J32" s="76" t="s">
        <v>4872</v>
      </c>
      <c r="K32" s="76"/>
      <c r="L32" s="76"/>
      <c r="M32" s="76"/>
      <c r="N32" s="76" t="s">
        <v>4886</v>
      </c>
      <c r="O32" s="76">
        <v>4</v>
      </c>
      <c r="P32" s="76">
        <v>4</v>
      </c>
      <c r="Q32" s="76" t="s">
        <v>4056</v>
      </c>
      <c r="R32" t="s">
        <v>9</v>
      </c>
    </row>
    <row r="33" spans="1:18">
      <c r="A33" s="76"/>
      <c r="B33" s="76" t="s">
        <v>4873</v>
      </c>
      <c r="C33" s="76" t="s">
        <v>1922</v>
      </c>
      <c r="D33" s="76"/>
      <c r="E33" s="76" t="s">
        <v>3094</v>
      </c>
      <c r="F33" s="76" t="s">
        <v>3084</v>
      </c>
      <c r="G33" s="76" t="s">
        <v>3054</v>
      </c>
      <c r="H33" s="76"/>
      <c r="I33" s="76" t="s">
        <v>4874</v>
      </c>
      <c r="J33" s="76" t="s">
        <v>4875</v>
      </c>
      <c r="K33" s="76"/>
      <c r="L33" s="76"/>
      <c r="M33" s="76"/>
      <c r="N33" s="76" t="s">
        <v>4888</v>
      </c>
      <c r="O33" s="76">
        <v>4</v>
      </c>
      <c r="P33" s="76">
        <v>4</v>
      </c>
      <c r="Q33" s="76" t="s">
        <v>4056</v>
      </c>
      <c r="R33" t="s">
        <v>7</v>
      </c>
    </row>
    <row r="34" spans="1:18">
      <c r="A34" s="76"/>
      <c r="B34" s="76" t="s">
        <v>4876</v>
      </c>
      <c r="C34" s="76" t="s">
        <v>4877</v>
      </c>
      <c r="D34" s="76"/>
      <c r="E34" s="76" t="s">
        <v>3880</v>
      </c>
      <c r="F34" s="76" t="s">
        <v>3084</v>
      </c>
      <c r="G34" s="76" t="s">
        <v>3076</v>
      </c>
      <c r="H34" s="76"/>
      <c r="I34" s="76" t="s">
        <v>4879</v>
      </c>
      <c r="J34" s="76" t="s">
        <v>4880</v>
      </c>
      <c r="K34" s="76" t="s">
        <v>4881</v>
      </c>
      <c r="L34" s="76"/>
      <c r="M34" s="76"/>
      <c r="N34" s="76" t="s">
        <v>4888</v>
      </c>
      <c r="O34" s="76">
        <v>3</v>
      </c>
      <c r="P34" s="76">
        <v>3</v>
      </c>
      <c r="Q34" s="76" t="s">
        <v>4056</v>
      </c>
      <c r="R34" t="s">
        <v>41</v>
      </c>
    </row>
  </sheetData>
  <autoFilter ref="B2:R34"/>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W56"/>
  <sheetViews>
    <sheetView zoomScale="70" zoomScaleNormal="70" workbookViewId="0">
      <selection activeCell="H65" sqref="H65"/>
    </sheetView>
  </sheetViews>
  <sheetFormatPr defaultRowHeight="13.5"/>
  <cols>
    <col min="9" max="9" width="15.5" bestFit="1" customWidth="1"/>
    <col min="12" max="12" width="8" customWidth="1"/>
  </cols>
  <sheetData>
    <row r="1" spans="1:23">
      <c r="B1" t="s">
        <v>3151</v>
      </c>
      <c r="C1" t="s">
        <v>3152</v>
      </c>
      <c r="D1" t="s">
        <v>3160</v>
      </c>
      <c r="E1" t="s">
        <v>3153</v>
      </c>
      <c r="F1" t="s">
        <v>3154</v>
      </c>
      <c r="G1" t="s">
        <v>3155</v>
      </c>
      <c r="H1" t="s">
        <v>3156</v>
      </c>
      <c r="I1" t="s">
        <v>3157</v>
      </c>
      <c r="P1" t="s">
        <v>3158</v>
      </c>
      <c r="Q1" t="s">
        <v>3159</v>
      </c>
      <c r="R1" t="s">
        <v>3456</v>
      </c>
      <c r="S1" t="s">
        <v>3456</v>
      </c>
      <c r="T1" t="s">
        <v>4</v>
      </c>
      <c r="U1" t="s">
        <v>7</v>
      </c>
      <c r="V1" t="s">
        <v>9</v>
      </c>
      <c r="W1" t="s">
        <v>3907</v>
      </c>
    </row>
    <row r="2" spans="1:23" hidden="1">
      <c r="A2" s="76">
        <v>1</v>
      </c>
      <c r="B2" s="76" t="s">
        <v>3990</v>
      </c>
      <c r="C2" s="76" t="s">
        <v>186</v>
      </c>
      <c r="D2" s="76">
        <v>1</v>
      </c>
      <c r="E2" s="76" t="s">
        <v>3094</v>
      </c>
      <c r="F2" s="76" t="s">
        <v>3097</v>
      </c>
      <c r="G2" s="76" t="s">
        <v>3053</v>
      </c>
      <c r="H2" s="76"/>
      <c r="I2" s="76" t="s">
        <v>5126</v>
      </c>
      <c r="J2" s="76"/>
      <c r="K2" s="76" t="s">
        <v>3991</v>
      </c>
      <c r="L2" s="76"/>
      <c r="M2" s="76" t="s">
        <v>5139</v>
      </c>
      <c r="N2" s="76"/>
      <c r="O2" s="76"/>
      <c r="P2" t="s">
        <v>155</v>
      </c>
      <c r="Q2" t="s">
        <v>3992</v>
      </c>
      <c r="R2" t="s">
        <v>4</v>
      </c>
      <c r="S2">
        <v>1</v>
      </c>
    </row>
    <row r="3" spans="1:23" hidden="1">
      <c r="A3">
        <v>6</v>
      </c>
      <c r="B3" t="s">
        <v>3995</v>
      </c>
      <c r="C3" t="s">
        <v>186</v>
      </c>
      <c r="D3">
        <v>1</v>
      </c>
      <c r="E3" t="s">
        <v>3094</v>
      </c>
      <c r="F3" t="s">
        <v>3097</v>
      </c>
      <c r="G3" t="s">
        <v>3050</v>
      </c>
      <c r="I3" t="s">
        <v>5125</v>
      </c>
      <c r="J3" t="s">
        <v>5131</v>
      </c>
      <c r="M3" t="s">
        <v>5139</v>
      </c>
      <c r="P3" t="s">
        <v>155</v>
      </c>
      <c r="Q3" t="s">
        <v>3996</v>
      </c>
      <c r="R3" t="s">
        <v>4</v>
      </c>
      <c r="S3">
        <v>1</v>
      </c>
    </row>
    <row r="4" spans="1:23" hidden="1">
      <c r="A4">
        <v>34</v>
      </c>
      <c r="B4" t="s">
        <v>4027</v>
      </c>
      <c r="C4" t="s">
        <v>204</v>
      </c>
      <c r="D4">
        <v>3</v>
      </c>
      <c r="E4" t="s">
        <v>3094</v>
      </c>
      <c r="F4" t="s">
        <v>3097</v>
      </c>
      <c r="G4" t="s">
        <v>3053</v>
      </c>
      <c r="I4" t="s">
        <v>5125</v>
      </c>
      <c r="K4" t="s">
        <v>4028</v>
      </c>
      <c r="M4" t="s">
        <v>5139</v>
      </c>
      <c r="P4" t="s">
        <v>156</v>
      </c>
      <c r="Q4" t="s">
        <v>3992</v>
      </c>
      <c r="R4" t="s">
        <v>4</v>
      </c>
      <c r="S4">
        <v>1</v>
      </c>
    </row>
    <row r="5" spans="1:23" hidden="1">
      <c r="A5">
        <v>37</v>
      </c>
      <c r="B5" t="s">
        <v>4032</v>
      </c>
      <c r="C5" t="s">
        <v>185</v>
      </c>
      <c r="D5">
        <v>4</v>
      </c>
      <c r="E5" t="s">
        <v>3094</v>
      </c>
      <c r="F5" t="s">
        <v>3097</v>
      </c>
      <c r="G5" t="s">
        <v>3053</v>
      </c>
      <c r="I5" t="s">
        <v>5127</v>
      </c>
      <c r="J5" t="s">
        <v>5132</v>
      </c>
      <c r="M5" t="s">
        <v>5139</v>
      </c>
      <c r="P5" t="s">
        <v>163</v>
      </c>
      <c r="Q5" t="s">
        <v>3994</v>
      </c>
      <c r="R5" t="s">
        <v>4</v>
      </c>
      <c r="S5">
        <v>1</v>
      </c>
    </row>
    <row r="6" spans="1:23" hidden="1">
      <c r="A6">
        <v>39</v>
      </c>
      <c r="B6" t="s">
        <v>4034</v>
      </c>
      <c r="C6" t="s">
        <v>185</v>
      </c>
      <c r="D6">
        <v>4</v>
      </c>
      <c r="E6" t="s">
        <v>3094</v>
      </c>
      <c r="F6" t="s">
        <v>3097</v>
      </c>
      <c r="G6" t="s">
        <v>3050</v>
      </c>
      <c r="I6" t="s">
        <v>5127</v>
      </c>
      <c r="K6" t="s">
        <v>4035</v>
      </c>
      <c r="M6" t="s">
        <v>5139</v>
      </c>
      <c r="P6" t="s">
        <v>158</v>
      </c>
      <c r="Q6" t="s">
        <v>3992</v>
      </c>
      <c r="R6" t="s">
        <v>4</v>
      </c>
      <c r="S6">
        <v>1</v>
      </c>
    </row>
    <row r="7" spans="1:23" hidden="1">
      <c r="A7">
        <v>49</v>
      </c>
      <c r="B7" t="s">
        <v>4041</v>
      </c>
      <c r="C7" t="s">
        <v>212</v>
      </c>
      <c r="D7">
        <v>6</v>
      </c>
      <c r="E7" t="s">
        <v>3094</v>
      </c>
      <c r="F7" t="s">
        <v>3097</v>
      </c>
      <c r="G7" t="s">
        <v>3050</v>
      </c>
      <c r="I7" t="s">
        <v>5129</v>
      </c>
      <c r="K7" t="s">
        <v>0</v>
      </c>
      <c r="M7" t="s">
        <v>5139</v>
      </c>
      <c r="P7" t="s">
        <v>167</v>
      </c>
      <c r="Q7" t="s">
        <v>3992</v>
      </c>
      <c r="R7" t="s">
        <v>4</v>
      </c>
      <c r="S7">
        <v>1</v>
      </c>
    </row>
    <row r="8" spans="1:23" hidden="1">
      <c r="A8">
        <v>5</v>
      </c>
      <c r="B8" t="s">
        <v>3993</v>
      </c>
      <c r="C8" t="s">
        <v>186</v>
      </c>
      <c r="D8">
        <v>1</v>
      </c>
      <c r="E8" t="s">
        <v>3094</v>
      </c>
      <c r="F8" t="s">
        <v>3097</v>
      </c>
      <c r="G8" t="s">
        <v>3053</v>
      </c>
      <c r="I8" t="s">
        <v>5125</v>
      </c>
      <c r="J8" t="s">
        <v>5133</v>
      </c>
      <c r="M8" t="s">
        <v>5139</v>
      </c>
      <c r="P8" t="s">
        <v>155</v>
      </c>
      <c r="Q8" t="s">
        <v>3994</v>
      </c>
      <c r="R8" t="s">
        <v>7</v>
      </c>
      <c r="S8">
        <v>2</v>
      </c>
    </row>
    <row r="9" spans="1:23" hidden="1">
      <c r="A9">
        <v>21</v>
      </c>
      <c r="B9" t="s">
        <v>4009</v>
      </c>
      <c r="C9" t="s">
        <v>188</v>
      </c>
      <c r="D9">
        <v>2</v>
      </c>
      <c r="E9" t="s">
        <v>3094</v>
      </c>
      <c r="F9" t="s">
        <v>3097</v>
      </c>
      <c r="G9" t="s">
        <v>3050</v>
      </c>
      <c r="H9" t="s">
        <v>3052</v>
      </c>
      <c r="I9" t="s">
        <v>5125</v>
      </c>
      <c r="K9" t="s">
        <v>198</v>
      </c>
      <c r="M9" t="s">
        <v>5139</v>
      </c>
      <c r="P9" t="s">
        <v>154</v>
      </c>
      <c r="Q9" t="s">
        <v>3992</v>
      </c>
      <c r="R9" t="s">
        <v>7</v>
      </c>
      <c r="S9">
        <v>2</v>
      </c>
    </row>
    <row r="10" spans="1:23" hidden="1">
      <c r="A10">
        <v>25</v>
      </c>
      <c r="B10" t="s">
        <v>4014</v>
      </c>
      <c r="C10" t="s">
        <v>204</v>
      </c>
      <c r="D10">
        <v>3</v>
      </c>
      <c r="E10" t="s">
        <v>3094</v>
      </c>
      <c r="F10" t="s">
        <v>3097</v>
      </c>
      <c r="G10" t="s">
        <v>3053</v>
      </c>
      <c r="I10" t="s">
        <v>5127</v>
      </c>
      <c r="K10" t="s">
        <v>4015</v>
      </c>
      <c r="M10" t="s">
        <v>5139</v>
      </c>
      <c r="P10" t="s">
        <v>154</v>
      </c>
      <c r="Q10" t="s">
        <v>3992</v>
      </c>
      <c r="R10" t="s">
        <v>7</v>
      </c>
      <c r="S10">
        <v>2</v>
      </c>
    </row>
    <row r="11" spans="1:23" hidden="1">
      <c r="A11" s="78">
        <v>40</v>
      </c>
      <c r="B11" s="78" t="s">
        <v>4036</v>
      </c>
      <c r="C11" s="78" t="s">
        <v>185</v>
      </c>
      <c r="D11" s="78">
        <v>4</v>
      </c>
      <c r="E11" s="78" t="s">
        <v>3094</v>
      </c>
      <c r="F11" s="78" t="s">
        <v>3097</v>
      </c>
      <c r="G11" s="78" t="s">
        <v>3050</v>
      </c>
      <c r="H11" s="78"/>
      <c r="I11" s="78" t="s">
        <v>5127</v>
      </c>
      <c r="J11" s="78" t="s">
        <v>5134</v>
      </c>
      <c r="K11" s="78" t="s">
        <v>23</v>
      </c>
      <c r="L11" s="78"/>
      <c r="M11" s="78" t="s">
        <v>5139</v>
      </c>
      <c r="N11" s="78"/>
      <c r="O11" s="78"/>
      <c r="P11" s="78" t="s">
        <v>161</v>
      </c>
      <c r="Q11" s="78" t="s">
        <v>3994</v>
      </c>
      <c r="R11" s="78" t="s">
        <v>7</v>
      </c>
      <c r="S11" s="78">
        <v>2</v>
      </c>
    </row>
    <row r="12" spans="1:23" hidden="1">
      <c r="A12">
        <v>42</v>
      </c>
      <c r="B12" t="s">
        <v>4038</v>
      </c>
      <c r="C12" t="s">
        <v>211</v>
      </c>
      <c r="D12">
        <v>5</v>
      </c>
      <c r="E12" t="s">
        <v>3094</v>
      </c>
      <c r="F12" t="s">
        <v>3097</v>
      </c>
      <c r="G12" t="s">
        <v>3050</v>
      </c>
      <c r="I12" t="s">
        <v>3901</v>
      </c>
      <c r="K12" t="s">
        <v>4039</v>
      </c>
      <c r="M12" t="s">
        <v>5139</v>
      </c>
      <c r="P12" t="s">
        <v>165</v>
      </c>
      <c r="Q12" t="s">
        <v>3992</v>
      </c>
      <c r="R12" t="s">
        <v>7</v>
      </c>
      <c r="S12">
        <v>2</v>
      </c>
    </row>
    <row r="13" spans="1:23" hidden="1">
      <c r="A13">
        <v>46</v>
      </c>
      <c r="B13" t="s">
        <v>4040</v>
      </c>
      <c r="C13" t="s">
        <v>211</v>
      </c>
      <c r="D13">
        <v>5</v>
      </c>
      <c r="E13" t="s">
        <v>3094</v>
      </c>
      <c r="F13" t="s">
        <v>3097</v>
      </c>
      <c r="G13" t="s">
        <v>3053</v>
      </c>
      <c r="I13" t="s">
        <v>3889</v>
      </c>
      <c r="K13" t="s">
        <v>5135</v>
      </c>
      <c r="M13" t="s">
        <v>5139</v>
      </c>
      <c r="P13" t="s">
        <v>164</v>
      </c>
      <c r="Q13" t="s">
        <v>3996</v>
      </c>
      <c r="R13" t="s">
        <v>7</v>
      </c>
      <c r="S13">
        <v>2</v>
      </c>
    </row>
    <row r="14" spans="1:23" hidden="1">
      <c r="A14" s="76">
        <v>11</v>
      </c>
      <c r="B14" s="76" t="s">
        <v>4002</v>
      </c>
      <c r="C14" s="76" t="s">
        <v>187</v>
      </c>
      <c r="D14" s="76">
        <v>2</v>
      </c>
      <c r="E14" s="76" t="s">
        <v>3094</v>
      </c>
      <c r="F14" s="76" t="s">
        <v>3097</v>
      </c>
      <c r="G14" s="76" t="s">
        <v>3053</v>
      </c>
      <c r="H14" s="76"/>
      <c r="I14" s="76"/>
      <c r="J14" s="76"/>
      <c r="K14" s="76" t="s">
        <v>4003</v>
      </c>
      <c r="L14" s="76"/>
      <c r="M14" s="76" t="s">
        <v>5139</v>
      </c>
      <c r="N14" s="76"/>
      <c r="O14" s="76"/>
      <c r="P14" s="76" t="s">
        <v>156</v>
      </c>
      <c r="Q14" s="76" t="s">
        <v>3996</v>
      </c>
      <c r="R14" t="s">
        <v>9</v>
      </c>
      <c r="S14">
        <v>3</v>
      </c>
    </row>
    <row r="15" spans="1:23">
      <c r="A15">
        <v>18</v>
      </c>
      <c r="B15" s="78" t="s">
        <v>2075</v>
      </c>
      <c r="C15" s="78" t="s">
        <v>187</v>
      </c>
      <c r="D15" s="78">
        <v>2</v>
      </c>
      <c r="E15" s="78" t="s">
        <v>3094</v>
      </c>
      <c r="F15" s="78" t="s">
        <v>3097</v>
      </c>
      <c r="G15" s="78" t="s">
        <v>3055</v>
      </c>
      <c r="H15" s="78"/>
      <c r="I15" s="78" t="s">
        <v>3891</v>
      </c>
      <c r="J15" s="78" t="s">
        <v>5136</v>
      </c>
      <c r="K15" s="78" t="s">
        <v>19</v>
      </c>
      <c r="L15" s="78"/>
      <c r="M15" s="78" t="s">
        <v>5139</v>
      </c>
      <c r="N15" s="78"/>
      <c r="O15" s="78"/>
      <c r="P15" s="78" t="s">
        <v>159</v>
      </c>
      <c r="Q15" s="78" t="s">
        <v>32</v>
      </c>
      <c r="R15" s="78" t="s">
        <v>9</v>
      </c>
      <c r="S15">
        <v>3</v>
      </c>
    </row>
    <row r="16" spans="1:23">
      <c r="A16">
        <v>20</v>
      </c>
      <c r="B16" t="s">
        <v>2069</v>
      </c>
      <c r="C16" t="s">
        <v>187</v>
      </c>
      <c r="D16">
        <v>2</v>
      </c>
      <c r="E16" t="s">
        <v>3094</v>
      </c>
      <c r="F16" t="s">
        <v>3097</v>
      </c>
      <c r="G16" t="s">
        <v>3058</v>
      </c>
      <c r="I16" t="s">
        <v>3889</v>
      </c>
      <c r="J16" t="s">
        <v>5137</v>
      </c>
      <c r="M16" t="s">
        <v>5139</v>
      </c>
      <c r="P16" t="s">
        <v>154</v>
      </c>
      <c r="Q16" t="s">
        <v>38</v>
      </c>
      <c r="R16" t="s">
        <v>9</v>
      </c>
      <c r="S16">
        <v>3</v>
      </c>
    </row>
    <row r="17" spans="1:19" hidden="1">
      <c r="A17">
        <v>41</v>
      </c>
      <c r="B17" t="s">
        <v>4037</v>
      </c>
      <c r="C17" t="s">
        <v>185</v>
      </c>
      <c r="D17">
        <v>4</v>
      </c>
      <c r="E17" t="s">
        <v>3094</v>
      </c>
      <c r="F17" t="s">
        <v>3097</v>
      </c>
      <c r="G17" t="s">
        <v>3053</v>
      </c>
      <c r="I17" t="s">
        <v>5130</v>
      </c>
      <c r="J17" t="s">
        <v>5138</v>
      </c>
      <c r="M17" t="s">
        <v>5139</v>
      </c>
      <c r="P17" t="s">
        <v>165</v>
      </c>
      <c r="Q17" t="s">
        <v>3994</v>
      </c>
      <c r="R17" t="s">
        <v>9</v>
      </c>
      <c r="S17">
        <v>3</v>
      </c>
    </row>
    <row r="18" spans="1:19">
      <c r="A18">
        <v>48</v>
      </c>
      <c r="B18" t="s">
        <v>2135</v>
      </c>
      <c r="C18" t="s">
        <v>611</v>
      </c>
      <c r="D18">
        <v>6</v>
      </c>
      <c r="E18" t="s">
        <v>3094</v>
      </c>
      <c r="F18" t="s">
        <v>3097</v>
      </c>
      <c r="G18" t="s">
        <v>3050</v>
      </c>
      <c r="I18" t="s">
        <v>3901</v>
      </c>
      <c r="K18" t="s">
        <v>596</v>
      </c>
      <c r="M18" t="s">
        <v>5139</v>
      </c>
      <c r="P18" t="s">
        <v>164</v>
      </c>
      <c r="Q18" t="s">
        <v>31</v>
      </c>
      <c r="R18" t="s">
        <v>9</v>
      </c>
      <c r="S18">
        <v>3</v>
      </c>
    </row>
    <row r="19" spans="1:19">
      <c r="M19" t="s">
        <v>5139</v>
      </c>
    </row>
    <row r="20" spans="1:19" hidden="1">
      <c r="A20">
        <v>10</v>
      </c>
      <c r="B20" t="s">
        <v>4001</v>
      </c>
      <c r="C20" t="s">
        <v>846</v>
      </c>
      <c r="D20">
        <v>2</v>
      </c>
      <c r="E20" t="s">
        <v>3094</v>
      </c>
      <c r="F20" t="s">
        <v>3097</v>
      </c>
      <c r="G20" t="s">
        <v>3051</v>
      </c>
      <c r="I20" t="s">
        <v>5140</v>
      </c>
      <c r="J20" t="s">
        <v>5161</v>
      </c>
      <c r="M20" t="s">
        <v>5139</v>
      </c>
      <c r="P20" t="s">
        <v>155</v>
      </c>
      <c r="Q20" t="s">
        <v>3994</v>
      </c>
      <c r="R20" t="s">
        <v>4</v>
      </c>
      <c r="S20">
        <v>1</v>
      </c>
    </row>
    <row r="21" spans="1:19" hidden="1">
      <c r="A21" s="76">
        <v>23</v>
      </c>
      <c r="B21" s="76" t="s">
        <v>4010</v>
      </c>
      <c r="C21" s="76" t="s">
        <v>846</v>
      </c>
      <c r="D21" s="76">
        <v>2</v>
      </c>
      <c r="E21" s="76" t="s">
        <v>3094</v>
      </c>
      <c r="F21" s="76" t="s">
        <v>3097</v>
      </c>
      <c r="G21" s="76" t="s">
        <v>3051</v>
      </c>
      <c r="H21" s="76"/>
      <c r="I21" s="76" t="s">
        <v>5128</v>
      </c>
      <c r="J21" s="76"/>
      <c r="K21" s="76" t="s">
        <v>4011</v>
      </c>
      <c r="L21" s="76"/>
      <c r="M21" s="76" t="s">
        <v>5139</v>
      </c>
      <c r="N21" s="76"/>
      <c r="O21" s="76"/>
      <c r="P21" s="76" t="s">
        <v>156</v>
      </c>
      <c r="Q21" s="76" t="s">
        <v>3992</v>
      </c>
      <c r="R21" t="s">
        <v>4</v>
      </c>
      <c r="S21">
        <v>1</v>
      </c>
    </row>
    <row r="22" spans="1:19" hidden="1">
      <c r="A22" s="76">
        <v>27</v>
      </c>
      <c r="B22" s="76" t="s">
        <v>4017</v>
      </c>
      <c r="C22" s="76" t="s">
        <v>847</v>
      </c>
      <c r="D22" s="76">
        <v>3</v>
      </c>
      <c r="E22" s="76" t="s">
        <v>3094</v>
      </c>
      <c r="F22" s="76" t="s">
        <v>3097</v>
      </c>
      <c r="G22" s="76" t="s">
        <v>3051</v>
      </c>
      <c r="H22" s="76"/>
      <c r="I22" s="76" t="s">
        <v>5141</v>
      </c>
      <c r="J22" s="76"/>
      <c r="K22" s="76"/>
      <c r="L22" s="76"/>
      <c r="M22" s="76" t="s">
        <v>5139</v>
      </c>
      <c r="N22" s="76"/>
      <c r="O22" s="76"/>
      <c r="P22" s="76" t="s">
        <v>163</v>
      </c>
      <c r="Q22" s="76" t="s">
        <v>3996</v>
      </c>
      <c r="R22" t="s">
        <v>4</v>
      </c>
      <c r="S22">
        <v>1</v>
      </c>
    </row>
    <row r="23" spans="1:19" hidden="1">
      <c r="A23">
        <v>28</v>
      </c>
      <c r="B23" t="s">
        <v>4018</v>
      </c>
      <c r="C23" t="s">
        <v>847</v>
      </c>
      <c r="D23">
        <v>3</v>
      </c>
      <c r="E23" t="s">
        <v>3094</v>
      </c>
      <c r="F23" t="s">
        <v>3097</v>
      </c>
      <c r="G23" t="s">
        <v>3051</v>
      </c>
      <c r="I23" t="s">
        <v>5128</v>
      </c>
      <c r="J23" t="s">
        <v>5162</v>
      </c>
      <c r="M23" t="s">
        <v>5139</v>
      </c>
      <c r="P23" t="s">
        <v>154</v>
      </c>
      <c r="Q23" t="s">
        <v>3994</v>
      </c>
      <c r="R23" t="s">
        <v>4</v>
      </c>
      <c r="S23">
        <v>1</v>
      </c>
    </row>
    <row r="24" spans="1:19" hidden="1">
      <c r="A24">
        <v>33</v>
      </c>
      <c r="B24" t="s">
        <v>4025</v>
      </c>
      <c r="C24" t="s">
        <v>847</v>
      </c>
      <c r="D24">
        <v>3</v>
      </c>
      <c r="E24" t="s">
        <v>3094</v>
      </c>
      <c r="F24" t="s">
        <v>3097</v>
      </c>
      <c r="G24" t="s">
        <v>3051</v>
      </c>
      <c r="I24" t="s">
        <v>5142</v>
      </c>
      <c r="K24" t="s">
        <v>4026</v>
      </c>
      <c r="M24" t="s">
        <v>5139</v>
      </c>
      <c r="P24" t="s">
        <v>155</v>
      </c>
      <c r="Q24" t="s">
        <v>3992</v>
      </c>
      <c r="R24" t="s">
        <v>4</v>
      </c>
      <c r="S24">
        <v>1</v>
      </c>
    </row>
    <row r="25" spans="1:19">
      <c r="A25">
        <v>45</v>
      </c>
      <c r="B25" t="s">
        <v>2213</v>
      </c>
      <c r="C25" t="s">
        <v>851</v>
      </c>
      <c r="D25">
        <v>5</v>
      </c>
      <c r="E25" t="s">
        <v>3094</v>
      </c>
      <c r="F25" t="s">
        <v>3097</v>
      </c>
      <c r="G25" t="s">
        <v>3058</v>
      </c>
      <c r="I25" t="s">
        <v>5128</v>
      </c>
      <c r="K25" t="s">
        <v>839</v>
      </c>
      <c r="M25" t="s">
        <v>5139</v>
      </c>
      <c r="P25" t="s">
        <v>162</v>
      </c>
      <c r="Q25" t="s">
        <v>38</v>
      </c>
      <c r="R25" t="s">
        <v>4</v>
      </c>
      <c r="S25">
        <v>1</v>
      </c>
    </row>
    <row r="26" spans="1:19" hidden="1">
      <c r="A26">
        <v>50</v>
      </c>
      <c r="B26" t="s">
        <v>4055</v>
      </c>
      <c r="C26" t="s">
        <v>4042</v>
      </c>
      <c r="D26">
        <v>8</v>
      </c>
      <c r="E26" t="s">
        <v>3094</v>
      </c>
      <c r="F26" t="s">
        <v>3097</v>
      </c>
      <c r="G26" t="s">
        <v>3051</v>
      </c>
      <c r="I26" t="s">
        <v>5142</v>
      </c>
      <c r="M26" t="s">
        <v>5139</v>
      </c>
      <c r="P26" t="s">
        <v>155</v>
      </c>
      <c r="Q26" t="s">
        <v>3996</v>
      </c>
      <c r="R26" t="s">
        <v>4</v>
      </c>
      <c r="S26">
        <v>1</v>
      </c>
    </row>
    <row r="27" spans="1:19">
      <c r="A27" s="76">
        <v>2</v>
      </c>
      <c r="B27" s="76" t="s">
        <v>2219</v>
      </c>
      <c r="C27" s="76" t="s">
        <v>845</v>
      </c>
      <c r="D27" s="76">
        <v>1</v>
      </c>
      <c r="E27" s="76" t="s">
        <v>3094</v>
      </c>
      <c r="F27" s="76" t="s">
        <v>3097</v>
      </c>
      <c r="G27" s="76" t="s">
        <v>3051</v>
      </c>
      <c r="H27" s="76"/>
      <c r="I27" s="76" t="s">
        <v>5142</v>
      </c>
      <c r="J27" s="76" t="s">
        <v>5163</v>
      </c>
      <c r="K27" s="76" t="s">
        <v>867</v>
      </c>
      <c r="L27" s="76" t="s">
        <v>868</v>
      </c>
      <c r="M27" s="76" t="s">
        <v>5139</v>
      </c>
      <c r="N27" s="76"/>
      <c r="O27" s="76"/>
      <c r="P27" s="76" t="s">
        <v>155</v>
      </c>
      <c r="Q27" s="76" t="s">
        <v>33</v>
      </c>
      <c r="R27" t="s">
        <v>7</v>
      </c>
      <c r="S27">
        <v>2</v>
      </c>
    </row>
    <row r="28" spans="1:19">
      <c r="A28">
        <v>13</v>
      </c>
      <c r="B28" t="s">
        <v>2225</v>
      </c>
      <c r="C28" t="s">
        <v>846</v>
      </c>
      <c r="D28">
        <v>2</v>
      </c>
      <c r="E28" t="s">
        <v>3094</v>
      </c>
      <c r="F28" t="s">
        <v>3097</v>
      </c>
      <c r="G28" t="s">
        <v>3051</v>
      </c>
      <c r="I28" t="s">
        <v>5143</v>
      </c>
      <c r="J28" t="s">
        <v>5164</v>
      </c>
      <c r="M28" t="s">
        <v>5139</v>
      </c>
      <c r="P28" t="s">
        <v>941</v>
      </c>
      <c r="Q28" t="s">
        <v>38</v>
      </c>
      <c r="R28" t="s">
        <v>7</v>
      </c>
      <c r="S28">
        <v>2</v>
      </c>
    </row>
    <row r="29" spans="1:19" hidden="1">
      <c r="A29">
        <v>16</v>
      </c>
      <c r="B29" t="s">
        <v>4006</v>
      </c>
      <c r="C29" t="s">
        <v>846</v>
      </c>
      <c r="D29">
        <v>2</v>
      </c>
      <c r="E29" t="s">
        <v>3094</v>
      </c>
      <c r="F29" t="s">
        <v>3097</v>
      </c>
      <c r="G29" t="s">
        <v>3051</v>
      </c>
      <c r="I29" t="s">
        <v>5142</v>
      </c>
      <c r="K29" t="s">
        <v>4007</v>
      </c>
      <c r="M29" t="s">
        <v>5139</v>
      </c>
      <c r="P29" t="s">
        <v>156</v>
      </c>
      <c r="Q29" t="s">
        <v>3992</v>
      </c>
      <c r="R29" t="s">
        <v>7</v>
      </c>
      <c r="S29">
        <v>2</v>
      </c>
    </row>
    <row r="30" spans="1:19" hidden="1">
      <c r="A30" s="78">
        <v>30</v>
      </c>
      <c r="B30" s="78" t="s">
        <v>4019</v>
      </c>
      <c r="C30" s="78" t="s">
        <v>847</v>
      </c>
      <c r="D30" s="78">
        <v>3</v>
      </c>
      <c r="E30" s="78" t="s">
        <v>3094</v>
      </c>
      <c r="F30" s="78" t="s">
        <v>3097</v>
      </c>
      <c r="G30" s="78" t="s">
        <v>3051</v>
      </c>
      <c r="H30" s="78"/>
      <c r="I30" s="78" t="s">
        <v>5144</v>
      </c>
      <c r="J30" s="78" t="s">
        <v>5165</v>
      </c>
      <c r="K30" s="78"/>
      <c r="L30" s="78"/>
      <c r="M30" s="78" t="s">
        <v>5139</v>
      </c>
      <c r="N30" s="78"/>
      <c r="O30" s="78"/>
      <c r="P30" s="78" t="s">
        <v>159</v>
      </c>
      <c r="Q30" s="78" t="s">
        <v>3996</v>
      </c>
      <c r="R30" s="78" t="s">
        <v>7</v>
      </c>
      <c r="S30">
        <v>2</v>
      </c>
    </row>
    <row r="31" spans="1:19" hidden="1">
      <c r="A31">
        <v>38</v>
      </c>
      <c r="B31" t="s">
        <v>4033</v>
      </c>
      <c r="C31" t="s">
        <v>850</v>
      </c>
      <c r="D31">
        <v>4</v>
      </c>
      <c r="E31" t="s">
        <v>3094</v>
      </c>
      <c r="F31" t="s">
        <v>3097</v>
      </c>
      <c r="G31" t="s">
        <v>3051</v>
      </c>
      <c r="I31" t="s">
        <v>5128</v>
      </c>
      <c r="J31" t="s">
        <v>5166</v>
      </c>
      <c r="M31" t="s">
        <v>5139</v>
      </c>
      <c r="P31" t="s">
        <v>161</v>
      </c>
      <c r="Q31" t="s">
        <v>3994</v>
      </c>
      <c r="R31" t="s">
        <v>7</v>
      </c>
      <c r="S31">
        <v>2</v>
      </c>
    </row>
    <row r="32" spans="1:19" hidden="1">
      <c r="A32">
        <v>24</v>
      </c>
      <c r="B32" t="s">
        <v>4012</v>
      </c>
      <c r="C32" t="s">
        <v>848</v>
      </c>
      <c r="D32">
        <v>3</v>
      </c>
      <c r="E32" t="s">
        <v>3094</v>
      </c>
      <c r="F32" t="s">
        <v>3097</v>
      </c>
      <c r="G32" t="s">
        <v>3051</v>
      </c>
      <c r="H32" t="s">
        <v>3065</v>
      </c>
      <c r="I32" t="s">
        <v>5140</v>
      </c>
      <c r="K32" t="s">
        <v>4013</v>
      </c>
      <c r="M32" t="s">
        <v>5139</v>
      </c>
      <c r="P32" t="s">
        <v>155</v>
      </c>
      <c r="Q32" t="s">
        <v>3996</v>
      </c>
      <c r="R32" t="s">
        <v>9</v>
      </c>
      <c r="S32">
        <v>3</v>
      </c>
    </row>
    <row r="33" spans="1:19" hidden="1">
      <c r="A33">
        <v>32</v>
      </c>
      <c r="B33" t="s">
        <v>4023</v>
      </c>
      <c r="C33" t="s">
        <v>848</v>
      </c>
      <c r="D33">
        <v>3</v>
      </c>
      <c r="E33" t="s">
        <v>3094</v>
      </c>
      <c r="F33" t="s">
        <v>3097</v>
      </c>
      <c r="G33" t="s">
        <v>3051</v>
      </c>
      <c r="I33" t="s">
        <v>5145</v>
      </c>
      <c r="K33" t="s">
        <v>4024</v>
      </c>
      <c r="M33" t="s">
        <v>5139</v>
      </c>
      <c r="P33" t="s">
        <v>155</v>
      </c>
      <c r="Q33" t="s">
        <v>3992</v>
      </c>
      <c r="R33" t="s">
        <v>9</v>
      </c>
      <c r="S33">
        <v>3</v>
      </c>
    </row>
    <row r="34" spans="1:19">
      <c r="A34">
        <v>8</v>
      </c>
      <c r="B34" t="s">
        <v>3997</v>
      </c>
      <c r="C34" t="s">
        <v>1008</v>
      </c>
      <c r="D34">
        <v>2</v>
      </c>
      <c r="E34" t="s">
        <v>3094</v>
      </c>
      <c r="F34" t="s">
        <v>3097</v>
      </c>
      <c r="G34" t="s">
        <v>3051</v>
      </c>
      <c r="I34" t="s">
        <v>5142</v>
      </c>
      <c r="K34" t="s">
        <v>3998</v>
      </c>
      <c r="M34" t="s">
        <v>5139</v>
      </c>
      <c r="P34" t="s">
        <v>159</v>
      </c>
      <c r="Q34" t="s">
        <v>3999</v>
      </c>
      <c r="R34" t="s">
        <v>4000</v>
      </c>
      <c r="S34">
        <v>4</v>
      </c>
    </row>
    <row r="35" spans="1:19">
      <c r="A35">
        <v>17</v>
      </c>
      <c r="B35" s="78" t="s">
        <v>4008</v>
      </c>
      <c r="C35" s="78" t="s">
        <v>846</v>
      </c>
      <c r="D35" s="78">
        <v>2</v>
      </c>
      <c r="E35" s="78" t="s">
        <v>3094</v>
      </c>
      <c r="F35" s="78" t="s">
        <v>3097</v>
      </c>
      <c r="G35" s="78" t="s">
        <v>3051</v>
      </c>
      <c r="H35" s="78"/>
      <c r="I35" s="78" t="s">
        <v>5146</v>
      </c>
      <c r="J35" s="78" t="s">
        <v>5167</v>
      </c>
      <c r="K35" s="78"/>
      <c r="L35" s="78"/>
      <c r="M35" s="78" t="s">
        <v>5139</v>
      </c>
      <c r="N35" s="78"/>
      <c r="O35" s="78"/>
      <c r="P35" s="78" t="s">
        <v>156</v>
      </c>
      <c r="Q35" s="78" t="s">
        <v>3999</v>
      </c>
      <c r="R35" s="78" t="s">
        <v>4000</v>
      </c>
      <c r="S35">
        <v>4</v>
      </c>
    </row>
    <row r="36" spans="1:19">
      <c r="M36" t="s">
        <v>5139</v>
      </c>
    </row>
    <row r="37" spans="1:19" hidden="1">
      <c r="A37" s="76">
        <v>36</v>
      </c>
      <c r="B37" s="76" t="s">
        <v>4031</v>
      </c>
      <c r="C37" s="76" t="s">
        <v>1104</v>
      </c>
      <c r="D37" s="76">
        <v>4</v>
      </c>
      <c r="E37" s="76" t="s">
        <v>3094</v>
      </c>
      <c r="F37" s="76" t="s">
        <v>3097</v>
      </c>
      <c r="G37" s="76" t="s">
        <v>3053</v>
      </c>
      <c r="H37" s="76"/>
      <c r="I37" s="76" t="s">
        <v>5147</v>
      </c>
      <c r="J37" s="76" t="s">
        <v>5168</v>
      </c>
      <c r="K37" s="76"/>
      <c r="L37" s="76"/>
      <c r="M37" s="76" t="s">
        <v>5139</v>
      </c>
      <c r="N37" s="76"/>
      <c r="O37" s="76"/>
      <c r="P37" s="76" t="s">
        <v>154</v>
      </c>
      <c r="Q37" s="76" t="s">
        <v>3994</v>
      </c>
      <c r="R37" t="s">
        <v>4</v>
      </c>
      <c r="S37">
        <v>1</v>
      </c>
    </row>
    <row r="38" spans="1:19">
      <c r="A38">
        <v>3</v>
      </c>
      <c r="B38" t="s">
        <v>2403</v>
      </c>
      <c r="C38" t="s">
        <v>1099</v>
      </c>
      <c r="D38">
        <v>1</v>
      </c>
      <c r="E38" t="s">
        <v>3094</v>
      </c>
      <c r="F38" t="s">
        <v>3097</v>
      </c>
      <c r="G38" t="s">
        <v>3076</v>
      </c>
      <c r="I38" t="s">
        <v>5148</v>
      </c>
      <c r="J38" t="s">
        <v>5169</v>
      </c>
      <c r="K38" t="s">
        <v>1120</v>
      </c>
      <c r="M38" t="s">
        <v>5139</v>
      </c>
      <c r="P38" t="s">
        <v>155</v>
      </c>
      <c r="Q38" t="s">
        <v>38</v>
      </c>
      <c r="R38" t="s">
        <v>7</v>
      </c>
      <c r="S38">
        <v>2</v>
      </c>
    </row>
    <row r="39" spans="1:19" hidden="1">
      <c r="A39">
        <v>15</v>
      </c>
      <c r="B39" t="s">
        <v>4004</v>
      </c>
      <c r="C39" t="s">
        <v>1100</v>
      </c>
      <c r="D39">
        <v>2</v>
      </c>
      <c r="E39" t="s">
        <v>3094</v>
      </c>
      <c r="F39" t="s">
        <v>3097</v>
      </c>
      <c r="G39" t="s">
        <v>3053</v>
      </c>
      <c r="I39" t="s">
        <v>5149</v>
      </c>
      <c r="K39" t="s">
        <v>4005</v>
      </c>
      <c r="M39" t="s">
        <v>5139</v>
      </c>
      <c r="P39" t="s">
        <v>155</v>
      </c>
      <c r="Q39" t="s">
        <v>3992</v>
      </c>
      <c r="R39" t="s">
        <v>7</v>
      </c>
      <c r="S39">
        <v>2</v>
      </c>
    </row>
    <row r="40" spans="1:19" hidden="1">
      <c r="A40" s="78">
        <v>26</v>
      </c>
      <c r="B40" s="78" t="s">
        <v>4016</v>
      </c>
      <c r="C40" s="78" t="s">
        <v>1101</v>
      </c>
      <c r="D40" s="78">
        <v>3</v>
      </c>
      <c r="E40" s="78" t="s">
        <v>3094</v>
      </c>
      <c r="F40" s="78" t="s">
        <v>3097</v>
      </c>
      <c r="G40" s="78" t="s">
        <v>3051</v>
      </c>
      <c r="H40" s="78"/>
      <c r="I40" s="78" t="s">
        <v>5147</v>
      </c>
      <c r="J40" s="78" t="s">
        <v>5170</v>
      </c>
      <c r="K40" s="78"/>
      <c r="L40" s="78"/>
      <c r="M40" s="78" t="s">
        <v>5139</v>
      </c>
      <c r="N40" s="78"/>
      <c r="O40" s="78"/>
      <c r="P40" s="78" t="s">
        <v>160</v>
      </c>
      <c r="Q40" s="78" t="s">
        <v>3994</v>
      </c>
      <c r="R40" s="78" t="s">
        <v>7</v>
      </c>
      <c r="S40" s="78">
        <v>2</v>
      </c>
    </row>
    <row r="41" spans="1:19" hidden="1">
      <c r="A41">
        <v>35</v>
      </c>
      <c r="B41" t="s">
        <v>4029</v>
      </c>
      <c r="C41" t="s">
        <v>1103</v>
      </c>
      <c r="D41">
        <v>4</v>
      </c>
      <c r="E41" t="s">
        <v>3094</v>
      </c>
      <c r="F41" t="s">
        <v>3097</v>
      </c>
      <c r="G41" t="s">
        <v>3053</v>
      </c>
      <c r="I41" t="s">
        <v>5150</v>
      </c>
      <c r="K41" t="s">
        <v>4030</v>
      </c>
      <c r="M41" t="s">
        <v>5139</v>
      </c>
      <c r="P41" t="s">
        <v>154</v>
      </c>
      <c r="Q41" t="s">
        <v>3992</v>
      </c>
      <c r="R41" t="s">
        <v>7</v>
      </c>
      <c r="S41">
        <v>2</v>
      </c>
    </row>
    <row r="42" spans="1:19">
      <c r="A42">
        <v>12</v>
      </c>
      <c r="B42" s="78" t="s">
        <v>2465</v>
      </c>
      <c r="C42" s="78" t="s">
        <v>1100</v>
      </c>
      <c r="D42" s="78">
        <v>2</v>
      </c>
      <c r="E42" s="78" t="s">
        <v>3094</v>
      </c>
      <c r="F42" s="78" t="s">
        <v>3097</v>
      </c>
      <c r="G42" s="78" t="s">
        <v>3076</v>
      </c>
      <c r="H42" s="78"/>
      <c r="I42" s="78" t="s">
        <v>5151</v>
      </c>
      <c r="J42" s="78" t="s">
        <v>5171</v>
      </c>
      <c r="K42" s="78" t="s">
        <v>1200</v>
      </c>
      <c r="L42" s="78"/>
      <c r="M42" s="78" t="s">
        <v>5139</v>
      </c>
      <c r="N42" s="78"/>
      <c r="O42" s="78"/>
      <c r="P42" s="78" t="s">
        <v>159</v>
      </c>
      <c r="Q42" s="78" t="s">
        <v>32</v>
      </c>
      <c r="R42" s="78" t="s">
        <v>9</v>
      </c>
      <c r="S42">
        <v>3</v>
      </c>
    </row>
    <row r="43" spans="1:19">
      <c r="A43">
        <v>29</v>
      </c>
      <c r="B43" t="s">
        <v>2473</v>
      </c>
      <c r="C43" t="s">
        <v>1101</v>
      </c>
      <c r="D43">
        <v>3</v>
      </c>
      <c r="E43" t="s">
        <v>3094</v>
      </c>
      <c r="F43" t="s">
        <v>3097</v>
      </c>
      <c r="G43" t="s">
        <v>3051</v>
      </c>
      <c r="I43" t="s">
        <v>5149</v>
      </c>
      <c r="K43" t="s">
        <v>1210</v>
      </c>
      <c r="M43" t="s">
        <v>5139</v>
      </c>
      <c r="P43" t="s">
        <v>162</v>
      </c>
      <c r="Q43" t="s">
        <v>38</v>
      </c>
      <c r="R43" t="s">
        <v>9</v>
      </c>
      <c r="S43">
        <v>3</v>
      </c>
    </row>
    <row r="44" spans="1:19" hidden="1">
      <c r="A44">
        <v>31</v>
      </c>
      <c r="B44" t="s">
        <v>4020</v>
      </c>
      <c r="C44" t="s">
        <v>1101</v>
      </c>
      <c r="D44">
        <v>3</v>
      </c>
      <c r="E44" t="s">
        <v>3094</v>
      </c>
      <c r="F44" t="s">
        <v>3097</v>
      </c>
      <c r="G44" t="s">
        <v>3053</v>
      </c>
      <c r="I44" t="s">
        <v>5150</v>
      </c>
      <c r="K44" t="s">
        <v>4021</v>
      </c>
      <c r="L44" t="s">
        <v>4022</v>
      </c>
      <c r="M44" t="s">
        <v>5139</v>
      </c>
      <c r="P44" t="s">
        <v>155</v>
      </c>
      <c r="Q44" t="s">
        <v>3992</v>
      </c>
      <c r="R44" t="s">
        <v>9</v>
      </c>
      <c r="S44">
        <v>3</v>
      </c>
    </row>
    <row r="45" spans="1:19">
      <c r="M45" t="s">
        <v>5139</v>
      </c>
    </row>
    <row r="46" spans="1:19">
      <c r="A46" s="78">
        <v>4</v>
      </c>
      <c r="B46" s="78" t="s">
        <v>2503</v>
      </c>
      <c r="C46" s="78" t="s">
        <v>1370</v>
      </c>
      <c r="D46" s="78">
        <v>1</v>
      </c>
      <c r="E46" s="78" t="s">
        <v>3094</v>
      </c>
      <c r="F46" s="78" t="s">
        <v>3097</v>
      </c>
      <c r="G46" s="78" t="s">
        <v>3075</v>
      </c>
      <c r="H46" s="78"/>
      <c r="I46" s="78" t="s">
        <v>5152</v>
      </c>
      <c r="J46" s="78" t="s">
        <v>5173</v>
      </c>
      <c r="K46" s="78" t="s">
        <v>1094</v>
      </c>
      <c r="L46" s="78"/>
      <c r="M46" s="78" t="s">
        <v>5139</v>
      </c>
      <c r="N46" s="78"/>
      <c r="O46" s="78"/>
      <c r="P46" s="78" t="s">
        <v>155</v>
      </c>
      <c r="Q46" s="78" t="s">
        <v>32</v>
      </c>
      <c r="R46" s="78" t="s">
        <v>4</v>
      </c>
      <c r="S46" s="78">
        <v>1</v>
      </c>
    </row>
    <row r="47" spans="1:19">
      <c r="A47">
        <v>43</v>
      </c>
      <c r="B47" s="97" t="s">
        <v>2577</v>
      </c>
      <c r="C47" s="97" t="s">
        <v>1381</v>
      </c>
      <c r="D47" s="97">
        <v>5</v>
      </c>
      <c r="E47" s="97" t="s">
        <v>3094</v>
      </c>
      <c r="F47" s="97" t="s">
        <v>3097</v>
      </c>
      <c r="G47" s="97" t="s">
        <v>3071</v>
      </c>
      <c r="H47" s="97"/>
      <c r="I47" s="97" t="s">
        <v>5153</v>
      </c>
      <c r="J47" s="97"/>
      <c r="K47" s="97"/>
      <c r="L47" s="97"/>
      <c r="M47" s="97" t="s">
        <v>5139</v>
      </c>
      <c r="N47" s="97"/>
      <c r="O47" s="97"/>
      <c r="P47" s="97" t="s">
        <v>1367</v>
      </c>
      <c r="Q47" s="97" t="s">
        <v>38</v>
      </c>
      <c r="R47" s="97" t="s">
        <v>4</v>
      </c>
      <c r="S47" s="97">
        <v>1</v>
      </c>
    </row>
    <row r="48" spans="1:19">
      <c r="A48">
        <v>47</v>
      </c>
      <c r="B48" t="s">
        <v>2582</v>
      </c>
      <c r="C48" t="s">
        <v>1385</v>
      </c>
      <c r="D48">
        <v>5</v>
      </c>
      <c r="E48" t="s">
        <v>3094</v>
      </c>
      <c r="F48" t="s">
        <v>3097</v>
      </c>
      <c r="G48" t="s">
        <v>3055</v>
      </c>
      <c r="I48" t="s">
        <v>5154</v>
      </c>
      <c r="K48" t="s">
        <v>1360</v>
      </c>
      <c r="M48" t="s">
        <v>5139</v>
      </c>
      <c r="P48" t="s">
        <v>166</v>
      </c>
      <c r="Q48" t="s">
        <v>34</v>
      </c>
      <c r="R48" t="s">
        <v>4</v>
      </c>
      <c r="S48">
        <v>1</v>
      </c>
    </row>
    <row r="49" spans="1:19">
      <c r="A49" s="97">
        <v>19</v>
      </c>
      <c r="B49" s="97" t="s">
        <v>2609</v>
      </c>
      <c r="C49" s="97" t="s">
        <v>1372</v>
      </c>
      <c r="D49" s="97">
        <v>2</v>
      </c>
      <c r="E49" s="97" t="s">
        <v>3094</v>
      </c>
      <c r="F49" s="97" t="s">
        <v>3097</v>
      </c>
      <c r="G49" s="97" t="s">
        <v>3057</v>
      </c>
      <c r="H49" s="97"/>
      <c r="I49" s="97" t="s">
        <v>5155</v>
      </c>
      <c r="J49" s="97" t="s">
        <v>5174</v>
      </c>
      <c r="K49" s="97" t="s">
        <v>1404</v>
      </c>
      <c r="L49" s="97"/>
      <c r="M49" s="97" t="s">
        <v>5139</v>
      </c>
      <c r="N49" s="97"/>
      <c r="O49" s="97"/>
      <c r="P49" s="97" t="s">
        <v>154</v>
      </c>
      <c r="Q49" s="97" t="s">
        <v>38</v>
      </c>
      <c r="R49" s="97" t="s">
        <v>7</v>
      </c>
      <c r="S49" s="97">
        <v>2</v>
      </c>
    </row>
    <row r="50" spans="1:19">
      <c r="A50">
        <v>44</v>
      </c>
      <c r="B50" s="97" t="s">
        <v>2701</v>
      </c>
      <c r="C50" s="97" t="s">
        <v>1381</v>
      </c>
      <c r="D50" s="97">
        <v>5</v>
      </c>
      <c r="E50" s="97" t="s">
        <v>3094</v>
      </c>
      <c r="F50" s="97" t="s">
        <v>3097</v>
      </c>
      <c r="G50" s="97" t="s">
        <v>3071</v>
      </c>
      <c r="H50" s="97"/>
      <c r="I50" s="97" t="s">
        <v>5156</v>
      </c>
      <c r="J50" s="97"/>
      <c r="K50" s="97" t="s">
        <v>1512</v>
      </c>
      <c r="L50" s="97"/>
      <c r="M50" s="97" t="s">
        <v>5139</v>
      </c>
      <c r="N50" s="97"/>
      <c r="O50" s="97"/>
      <c r="P50" s="97" t="s">
        <v>608</v>
      </c>
      <c r="Q50" s="97" t="s">
        <v>31</v>
      </c>
      <c r="R50" s="97" t="s">
        <v>9</v>
      </c>
      <c r="S50">
        <v>3</v>
      </c>
    </row>
    <row r="51" spans="1:19">
      <c r="M51" t="s">
        <v>5139</v>
      </c>
    </row>
    <row r="52" spans="1:19">
      <c r="A52" s="97">
        <v>7</v>
      </c>
      <c r="B52" s="97" t="s">
        <v>2724</v>
      </c>
      <c r="C52" s="97" t="s">
        <v>1606</v>
      </c>
      <c r="D52" s="97">
        <v>1</v>
      </c>
      <c r="E52" s="97" t="s">
        <v>3094</v>
      </c>
      <c r="F52" s="97" t="s">
        <v>3097</v>
      </c>
      <c r="G52" s="97" t="s">
        <v>3055</v>
      </c>
      <c r="H52" s="97"/>
      <c r="I52" s="97" t="s">
        <v>5157</v>
      </c>
      <c r="J52" s="97"/>
      <c r="K52" s="97" t="s">
        <v>1561</v>
      </c>
      <c r="L52" s="97"/>
      <c r="M52" s="97" t="s">
        <v>5139</v>
      </c>
      <c r="N52" s="97"/>
      <c r="O52" s="97"/>
      <c r="P52" s="97" t="s">
        <v>155</v>
      </c>
      <c r="Q52" s="97" t="s">
        <v>38</v>
      </c>
      <c r="R52" s="97" t="s">
        <v>4</v>
      </c>
      <c r="S52" s="97">
        <v>1</v>
      </c>
    </row>
    <row r="53" spans="1:19">
      <c r="A53" s="78">
        <v>22</v>
      </c>
      <c r="B53" s="78" t="s">
        <v>2737</v>
      </c>
      <c r="C53" s="78" t="s">
        <v>1611</v>
      </c>
      <c r="D53" s="78">
        <v>2</v>
      </c>
      <c r="E53" s="78" t="s">
        <v>3094</v>
      </c>
      <c r="F53" s="78" t="s">
        <v>3097</v>
      </c>
      <c r="G53" s="78" t="s">
        <v>3050</v>
      </c>
      <c r="H53" s="78"/>
      <c r="I53" s="78" t="s">
        <v>5158</v>
      </c>
      <c r="J53" s="78" t="s">
        <v>5176</v>
      </c>
      <c r="K53" s="78"/>
      <c r="L53" s="78"/>
      <c r="M53" s="78" t="s">
        <v>5139</v>
      </c>
      <c r="N53" s="78"/>
      <c r="O53" s="78"/>
      <c r="P53" s="78" t="s">
        <v>159</v>
      </c>
      <c r="Q53" s="78" t="s">
        <v>32</v>
      </c>
      <c r="R53" s="78" t="s">
        <v>4</v>
      </c>
      <c r="S53" s="78">
        <v>1</v>
      </c>
    </row>
    <row r="54" spans="1:19">
      <c r="A54" s="97">
        <v>9</v>
      </c>
      <c r="B54" s="97" t="s">
        <v>2862</v>
      </c>
      <c r="C54" s="97" t="s">
        <v>1611</v>
      </c>
      <c r="D54" s="97">
        <v>2</v>
      </c>
      <c r="E54" s="97" t="s">
        <v>3094</v>
      </c>
      <c r="F54" s="97" t="s">
        <v>3097</v>
      </c>
      <c r="G54" s="97" t="s">
        <v>3055</v>
      </c>
      <c r="H54" s="97"/>
      <c r="I54" s="97" t="s">
        <v>5159</v>
      </c>
      <c r="J54" s="97" t="s">
        <v>5177</v>
      </c>
      <c r="K54" s="97" t="s">
        <v>1709</v>
      </c>
      <c r="L54" s="97"/>
      <c r="M54" s="97" t="s">
        <v>5139</v>
      </c>
      <c r="N54" s="97"/>
      <c r="O54" s="97"/>
      <c r="P54" s="97" t="s">
        <v>159</v>
      </c>
      <c r="Q54" s="97" t="s">
        <v>32</v>
      </c>
      <c r="R54" s="97" t="s">
        <v>9</v>
      </c>
      <c r="S54" s="97">
        <v>3</v>
      </c>
    </row>
    <row r="55" spans="1:19">
      <c r="A55" s="76">
        <v>14</v>
      </c>
      <c r="B55" s="76" t="s">
        <v>2855</v>
      </c>
      <c r="C55" s="76" t="s">
        <v>1611</v>
      </c>
      <c r="D55" s="76">
        <v>2</v>
      </c>
      <c r="E55" s="76" t="s">
        <v>3094</v>
      </c>
      <c r="F55" s="76" t="s">
        <v>3097</v>
      </c>
      <c r="G55" s="76" t="s">
        <v>3075</v>
      </c>
      <c r="H55" s="76"/>
      <c r="I55" s="76" t="s">
        <v>5160</v>
      </c>
      <c r="J55" s="76" t="s">
        <v>5178</v>
      </c>
      <c r="K55" s="76" t="s">
        <v>1753</v>
      </c>
      <c r="L55" s="76"/>
      <c r="M55" s="76" t="s">
        <v>5139</v>
      </c>
      <c r="N55" s="76"/>
      <c r="O55" s="76"/>
      <c r="P55" s="76" t="s">
        <v>159</v>
      </c>
      <c r="Q55" s="76" t="s">
        <v>38</v>
      </c>
      <c r="R55" t="s">
        <v>9</v>
      </c>
      <c r="S55">
        <v>3</v>
      </c>
    </row>
    <row r="56" spans="1:19">
      <c r="M56" t="s">
        <v>5139</v>
      </c>
    </row>
  </sheetData>
  <autoFilter ref="A1:R55">
    <filterColumn colId="16">
      <filters blank="1">
        <filter val="Dragons of Tarkir"/>
        <filter val="Future Sight"/>
        <filter val="Khans of Tarkir"/>
        <filter val="Planar Chaos"/>
        <filter val="Time Spiral"/>
        <filter val="Time Spiral &quot;Timeshifted&quot;"/>
      </filters>
    </filterColumn>
  </autoFilter>
  <sortState ref="A52:U55">
    <sortCondition ref="S52:S55"/>
    <sortCondition ref="A52:A55"/>
  </sortState>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32"/>
  <sheetViews>
    <sheetView zoomScale="70" zoomScaleNormal="70" workbookViewId="0">
      <selection activeCell="J17" sqref="J17"/>
    </sheetView>
  </sheetViews>
  <sheetFormatPr defaultRowHeight="13.5"/>
  <cols>
    <col min="3" max="3" width="13.75" bestFit="1" customWidth="1"/>
    <col min="5" max="5" width="9" customWidth="1"/>
  </cols>
  <sheetData>
    <row r="1" spans="1:23" s="1" customFormat="1">
      <c r="B1" s="1" t="s">
        <v>3151</v>
      </c>
      <c r="C1" s="1" t="s">
        <v>3152</v>
      </c>
      <c r="D1" s="1" t="s">
        <v>3160</v>
      </c>
      <c r="E1" s="1" t="s">
        <v>3153</v>
      </c>
      <c r="F1" s="1" t="s">
        <v>3154</v>
      </c>
      <c r="G1" s="1" t="s">
        <v>3155</v>
      </c>
      <c r="H1" s="1" t="s">
        <v>3156</v>
      </c>
      <c r="I1" s="1" t="s">
        <v>3157</v>
      </c>
      <c r="N1" s="2" t="s">
        <v>3456</v>
      </c>
      <c r="O1" s="64" t="s">
        <v>4051</v>
      </c>
      <c r="P1" s="64" t="s">
        <v>4052</v>
      </c>
      <c r="Q1" s="1" t="s">
        <v>3159</v>
      </c>
      <c r="T1" s="4" t="s">
        <v>3881</v>
      </c>
      <c r="U1" s="8" t="s">
        <v>3882</v>
      </c>
      <c r="V1" s="9" t="s">
        <v>3906</v>
      </c>
      <c r="W1" s="10" t="s">
        <v>3907</v>
      </c>
    </row>
    <row r="2" spans="1:23">
      <c r="A2" s="76">
        <v>6</v>
      </c>
      <c r="B2" s="6" t="s">
        <v>4701</v>
      </c>
      <c r="C2" s="6" t="s">
        <v>186</v>
      </c>
      <c r="D2" s="6">
        <v>1</v>
      </c>
      <c r="E2" s="6" t="s">
        <v>3403</v>
      </c>
      <c r="F2" s="6"/>
      <c r="G2" s="6"/>
      <c r="H2" s="6"/>
      <c r="I2" s="6" t="s">
        <v>4702</v>
      </c>
      <c r="J2" s="6"/>
      <c r="K2" s="6"/>
      <c r="L2" s="6"/>
      <c r="M2" s="6"/>
      <c r="N2" s="6"/>
      <c r="O2" s="6"/>
      <c r="P2" s="6"/>
      <c r="Q2" s="6" t="s">
        <v>46</v>
      </c>
      <c r="R2" s="1" t="s">
        <v>4</v>
      </c>
      <c r="S2">
        <v>1</v>
      </c>
    </row>
    <row r="3" spans="1:23">
      <c r="A3">
        <v>7</v>
      </c>
      <c r="B3" s="1" t="s">
        <v>4703</v>
      </c>
      <c r="C3" s="1">
        <v>-1</v>
      </c>
      <c r="D3" s="1">
        <v>1</v>
      </c>
      <c r="E3" s="1" t="s">
        <v>4760</v>
      </c>
      <c r="F3" s="1" t="s">
        <v>4761</v>
      </c>
      <c r="G3" s="1"/>
      <c r="H3" s="1"/>
      <c r="I3" s="1" t="s">
        <v>3408</v>
      </c>
      <c r="J3" s="1" t="s">
        <v>4704</v>
      </c>
      <c r="K3" s="1" t="s">
        <v>4705</v>
      </c>
      <c r="L3" s="1"/>
      <c r="M3" s="1"/>
      <c r="N3" s="1"/>
      <c r="O3" s="1"/>
      <c r="P3" s="1"/>
      <c r="Q3" s="1" t="s">
        <v>52</v>
      </c>
      <c r="R3" s="1" t="s">
        <v>4</v>
      </c>
      <c r="S3">
        <v>1</v>
      </c>
    </row>
    <row r="4" spans="1:23">
      <c r="A4">
        <v>10</v>
      </c>
      <c r="B4" s="1" t="s">
        <v>4706</v>
      </c>
      <c r="C4" s="1">
        <v>-2</v>
      </c>
      <c r="D4" s="1">
        <v>2</v>
      </c>
      <c r="E4" s="1" t="s">
        <v>4760</v>
      </c>
      <c r="F4" s="1" t="s">
        <v>4761</v>
      </c>
      <c r="G4" s="1"/>
      <c r="H4" s="1"/>
      <c r="I4" s="1" t="s">
        <v>4707</v>
      </c>
      <c r="J4" s="1" t="s">
        <v>4708</v>
      </c>
      <c r="K4" s="1" t="s">
        <v>4705</v>
      </c>
      <c r="L4" s="1"/>
      <c r="M4" s="1"/>
      <c r="N4" s="1"/>
      <c r="O4" s="1"/>
      <c r="P4" s="1"/>
      <c r="Q4" s="1" t="s">
        <v>46</v>
      </c>
      <c r="R4" s="1" t="s">
        <v>4</v>
      </c>
      <c r="S4">
        <v>1</v>
      </c>
    </row>
    <row r="5" spans="1:23">
      <c r="A5" s="76">
        <v>12</v>
      </c>
      <c r="B5" s="6" t="s">
        <v>4709</v>
      </c>
      <c r="C5" s="6" t="s">
        <v>187</v>
      </c>
      <c r="D5" s="6">
        <v>2</v>
      </c>
      <c r="E5" s="6" t="s">
        <v>3399</v>
      </c>
      <c r="F5" s="6"/>
      <c r="G5" s="6"/>
      <c r="H5" s="6"/>
      <c r="I5" s="6" t="s">
        <v>4710</v>
      </c>
      <c r="J5" s="6" t="s">
        <v>4711</v>
      </c>
      <c r="K5" s="6"/>
      <c r="L5" s="6"/>
      <c r="M5" s="6"/>
      <c r="N5" s="6"/>
      <c r="O5" s="6"/>
      <c r="P5" s="6"/>
      <c r="Q5" s="6" t="s">
        <v>44</v>
      </c>
      <c r="R5" s="1" t="s">
        <v>4</v>
      </c>
      <c r="S5">
        <v>1</v>
      </c>
    </row>
    <row r="6" spans="1:23">
      <c r="A6" s="78">
        <v>13</v>
      </c>
      <c r="B6" s="4" t="s">
        <v>3427</v>
      </c>
      <c r="C6" s="4" t="s">
        <v>1611</v>
      </c>
      <c r="D6" s="4">
        <v>2</v>
      </c>
      <c r="E6" s="4" t="s">
        <v>3403</v>
      </c>
      <c r="F6" s="4"/>
      <c r="G6" s="4"/>
      <c r="H6" s="4"/>
      <c r="I6" s="4" t="s">
        <v>3428</v>
      </c>
      <c r="J6" s="4"/>
      <c r="K6" s="4"/>
      <c r="L6" s="4"/>
      <c r="M6" s="4"/>
      <c r="N6" s="4"/>
      <c r="O6" s="4"/>
      <c r="P6" s="4"/>
      <c r="Q6" s="4" t="s">
        <v>45</v>
      </c>
      <c r="R6" s="1" t="s">
        <v>4</v>
      </c>
      <c r="S6">
        <v>1</v>
      </c>
    </row>
    <row r="7" spans="1:23">
      <c r="A7">
        <v>15</v>
      </c>
      <c r="B7" s="1" t="s">
        <v>4712</v>
      </c>
      <c r="C7" s="1" t="s">
        <v>187</v>
      </c>
      <c r="D7" s="1">
        <v>2</v>
      </c>
      <c r="E7" s="1" t="s">
        <v>3100</v>
      </c>
      <c r="F7" s="1" t="s">
        <v>4762</v>
      </c>
      <c r="G7" s="1"/>
      <c r="H7" s="1"/>
      <c r="I7" s="1" t="s">
        <v>3401</v>
      </c>
      <c r="J7" s="1" t="s">
        <v>4713</v>
      </c>
      <c r="K7" s="1"/>
      <c r="L7" s="1"/>
      <c r="M7" s="1"/>
      <c r="N7" s="1"/>
      <c r="O7" s="1"/>
      <c r="P7" s="1"/>
      <c r="Q7" s="1" t="s">
        <v>45</v>
      </c>
      <c r="R7" s="1" t="s">
        <v>4</v>
      </c>
      <c r="S7">
        <v>1</v>
      </c>
    </row>
    <row r="8" spans="1:23">
      <c r="A8">
        <v>16</v>
      </c>
      <c r="B8" s="1" t="s">
        <v>4714</v>
      </c>
      <c r="C8" s="1" t="s">
        <v>187</v>
      </c>
      <c r="D8" s="1">
        <v>2</v>
      </c>
      <c r="E8" s="1" t="s">
        <v>3403</v>
      </c>
      <c r="F8" s="1"/>
      <c r="G8" s="1"/>
      <c r="H8" s="1"/>
      <c r="I8" s="1" t="s">
        <v>4715</v>
      </c>
      <c r="J8" s="1"/>
      <c r="K8" s="1"/>
      <c r="L8" s="1"/>
      <c r="M8" s="1"/>
      <c r="N8" s="1"/>
      <c r="O8" s="1"/>
      <c r="P8" s="1"/>
      <c r="Q8" s="1" t="s">
        <v>45</v>
      </c>
      <c r="R8" s="1" t="s">
        <v>4</v>
      </c>
      <c r="S8">
        <v>1</v>
      </c>
    </row>
    <row r="9" spans="1:23">
      <c r="A9">
        <v>18</v>
      </c>
      <c r="B9" s="1" t="s">
        <v>4716</v>
      </c>
      <c r="C9" s="1">
        <v>-3</v>
      </c>
      <c r="D9" s="1">
        <v>3</v>
      </c>
      <c r="E9" s="1" t="s">
        <v>4760</v>
      </c>
      <c r="F9" s="1" t="s">
        <v>4761</v>
      </c>
      <c r="G9" s="1"/>
      <c r="H9" s="1"/>
      <c r="I9" s="1" t="s">
        <v>3408</v>
      </c>
      <c r="J9" s="1" t="s">
        <v>4717</v>
      </c>
      <c r="K9" s="1" t="s">
        <v>4705</v>
      </c>
      <c r="L9" s="1"/>
      <c r="M9" s="1"/>
      <c r="N9" s="1"/>
      <c r="O9" s="1"/>
      <c r="P9" s="1"/>
      <c r="Q9" s="1" t="s">
        <v>44</v>
      </c>
      <c r="R9" s="1" t="s">
        <v>4</v>
      </c>
      <c r="S9">
        <v>1</v>
      </c>
    </row>
    <row r="10" spans="1:23">
      <c r="A10" s="76">
        <v>19</v>
      </c>
      <c r="B10" s="6" t="s">
        <v>4718</v>
      </c>
      <c r="C10" s="6" t="s">
        <v>1374</v>
      </c>
      <c r="D10" s="6">
        <v>3</v>
      </c>
      <c r="E10" s="6" t="s">
        <v>3399</v>
      </c>
      <c r="F10" s="6"/>
      <c r="G10" s="6"/>
      <c r="H10" s="6"/>
      <c r="I10" s="6" t="s">
        <v>4759</v>
      </c>
      <c r="J10" s="6"/>
      <c r="K10" s="6"/>
      <c r="L10" s="6"/>
      <c r="M10" s="6"/>
      <c r="N10" s="6"/>
      <c r="O10" s="6"/>
      <c r="P10" s="6"/>
      <c r="Q10" s="6" t="s">
        <v>52</v>
      </c>
      <c r="R10" s="1" t="s">
        <v>4</v>
      </c>
      <c r="S10">
        <v>1</v>
      </c>
    </row>
    <row r="11" spans="1:23">
      <c r="A11" s="77">
        <v>25</v>
      </c>
      <c r="B11" s="8" t="s">
        <v>3439</v>
      </c>
      <c r="C11" s="8" t="s">
        <v>1620</v>
      </c>
      <c r="D11" s="8">
        <v>4</v>
      </c>
      <c r="E11" s="8" t="s">
        <v>3100</v>
      </c>
      <c r="F11" s="8" t="s">
        <v>4762</v>
      </c>
      <c r="G11" s="8"/>
      <c r="H11" s="8"/>
      <c r="I11" s="8" t="s">
        <v>3401</v>
      </c>
      <c r="J11" s="8" t="s">
        <v>3440</v>
      </c>
      <c r="K11" s="8" t="s">
        <v>3441</v>
      </c>
      <c r="L11" s="8"/>
      <c r="M11" s="8"/>
      <c r="N11" s="8"/>
      <c r="O11" s="8"/>
      <c r="P11" s="8"/>
      <c r="Q11" s="8" t="s">
        <v>46</v>
      </c>
      <c r="R11" s="1" t="s">
        <v>4</v>
      </c>
      <c r="S11">
        <v>1</v>
      </c>
    </row>
    <row r="12" spans="1:23">
      <c r="A12" s="78">
        <v>28</v>
      </c>
      <c r="B12" s="4" t="s">
        <v>4719</v>
      </c>
      <c r="C12" s="4" t="s">
        <v>1248</v>
      </c>
      <c r="D12" s="4">
        <v>5</v>
      </c>
      <c r="E12" s="4" t="s">
        <v>3399</v>
      </c>
      <c r="F12" s="4"/>
      <c r="G12" s="4"/>
      <c r="H12" s="4"/>
      <c r="I12" s="4" t="s">
        <v>4720</v>
      </c>
      <c r="J12" s="4"/>
      <c r="K12" s="4"/>
      <c r="L12" s="4"/>
      <c r="M12" s="4"/>
      <c r="N12" s="4"/>
      <c r="O12" s="4"/>
      <c r="P12" s="4"/>
      <c r="Q12" s="4" t="s">
        <v>44</v>
      </c>
      <c r="R12" s="1" t="s">
        <v>4</v>
      </c>
      <c r="S12">
        <v>1</v>
      </c>
    </row>
    <row r="13" spans="1:23">
      <c r="A13">
        <v>29</v>
      </c>
      <c r="B13" s="1" t="s">
        <v>4721</v>
      </c>
      <c r="C13" s="1" t="s">
        <v>1381</v>
      </c>
      <c r="D13" s="1">
        <v>5</v>
      </c>
      <c r="E13" s="1" t="s">
        <v>3399</v>
      </c>
      <c r="F13" s="1"/>
      <c r="G13" s="1"/>
      <c r="H13" s="1"/>
      <c r="I13" s="1" t="s">
        <v>4722</v>
      </c>
      <c r="J13" s="1"/>
      <c r="K13" s="1"/>
      <c r="L13" s="1"/>
      <c r="M13" s="1"/>
      <c r="N13" s="1"/>
      <c r="O13" s="1"/>
      <c r="P13" s="1"/>
      <c r="Q13" s="1" t="s">
        <v>44</v>
      </c>
      <c r="R13" s="1" t="s">
        <v>4</v>
      </c>
      <c r="S13">
        <v>1</v>
      </c>
    </row>
    <row r="14" spans="1:23">
      <c r="A14" s="76">
        <v>1</v>
      </c>
      <c r="B14" s="7" t="s">
        <v>4723</v>
      </c>
      <c r="C14" s="7">
        <v>-3</v>
      </c>
      <c r="D14" s="7">
        <v>3</v>
      </c>
      <c r="E14" s="7" t="s">
        <v>4763</v>
      </c>
      <c r="F14" s="7" t="s">
        <v>4764</v>
      </c>
      <c r="G14" s="7"/>
      <c r="H14" s="7"/>
      <c r="I14" s="7" t="s">
        <v>4724</v>
      </c>
      <c r="J14" s="7"/>
      <c r="K14" s="7"/>
      <c r="L14" s="7"/>
      <c r="M14" s="7"/>
      <c r="N14" s="7" t="s">
        <v>154</v>
      </c>
      <c r="O14" s="7"/>
      <c r="P14" s="7"/>
      <c r="Q14" s="7"/>
      <c r="R14" s="2"/>
      <c r="S14">
        <v>2</v>
      </c>
    </row>
    <row r="15" spans="1:23">
      <c r="A15" s="76">
        <v>2</v>
      </c>
      <c r="B15" s="7" t="s">
        <v>4725</v>
      </c>
      <c r="C15" s="7"/>
      <c r="D15" s="7">
        <v>3</v>
      </c>
      <c r="E15" s="7" t="s">
        <v>4760</v>
      </c>
      <c r="F15" s="7" t="s">
        <v>4761</v>
      </c>
      <c r="G15" s="7"/>
      <c r="H15" s="7"/>
      <c r="I15" s="7" t="s">
        <v>3408</v>
      </c>
      <c r="J15" s="7" t="s">
        <v>4726</v>
      </c>
      <c r="K15" s="7" t="s">
        <v>3409</v>
      </c>
      <c r="L15" s="7"/>
      <c r="M15" s="7"/>
      <c r="N15" s="7"/>
      <c r="O15" s="7"/>
      <c r="P15" s="7"/>
      <c r="Q15" s="6" t="s">
        <v>46</v>
      </c>
      <c r="R15" s="1" t="s">
        <v>7</v>
      </c>
      <c r="S15">
        <v>2</v>
      </c>
    </row>
    <row r="16" spans="1:23">
      <c r="A16">
        <v>5</v>
      </c>
      <c r="B16" s="1" t="s">
        <v>4727</v>
      </c>
      <c r="C16" s="1">
        <v>-1</v>
      </c>
      <c r="D16" s="1">
        <v>1</v>
      </c>
      <c r="E16" s="1" t="s">
        <v>4760</v>
      </c>
      <c r="F16" s="1" t="s">
        <v>4761</v>
      </c>
      <c r="G16" s="1"/>
      <c r="H16" s="1"/>
      <c r="I16" s="1" t="s">
        <v>4728</v>
      </c>
      <c r="J16" s="1" t="s">
        <v>4708</v>
      </c>
      <c r="K16" s="1" t="s">
        <v>3409</v>
      </c>
      <c r="L16" s="1"/>
      <c r="M16" s="1"/>
      <c r="N16" s="1"/>
      <c r="O16" s="1"/>
      <c r="P16" s="1"/>
      <c r="Q16" s="1" t="s">
        <v>45</v>
      </c>
      <c r="R16" s="1" t="s">
        <v>7</v>
      </c>
      <c r="S16">
        <v>2</v>
      </c>
    </row>
    <row r="17" spans="1:22">
      <c r="A17">
        <v>8</v>
      </c>
      <c r="B17" s="1" t="s">
        <v>4729</v>
      </c>
      <c r="C17" s="1">
        <v>-1</v>
      </c>
      <c r="D17" s="1">
        <v>1</v>
      </c>
      <c r="E17" s="1" t="s">
        <v>4760</v>
      </c>
      <c r="F17" s="1" t="s">
        <v>4761</v>
      </c>
      <c r="G17" s="1"/>
      <c r="H17" s="1"/>
      <c r="I17" s="1" t="s">
        <v>4730</v>
      </c>
      <c r="J17" s="1" t="s">
        <v>3426</v>
      </c>
      <c r="K17" s="1" t="s">
        <v>3409</v>
      </c>
      <c r="L17" s="1"/>
      <c r="M17" s="1"/>
      <c r="N17" s="1"/>
      <c r="O17" s="1"/>
      <c r="P17" s="1"/>
      <c r="Q17" s="1" t="s">
        <v>44</v>
      </c>
      <c r="R17" s="1" t="s">
        <v>7</v>
      </c>
      <c r="S17">
        <v>2</v>
      </c>
    </row>
    <row r="18" spans="1:22">
      <c r="A18" s="77">
        <v>9</v>
      </c>
      <c r="B18" s="8" t="s">
        <v>3429</v>
      </c>
      <c r="C18" s="8" t="s">
        <v>1099</v>
      </c>
      <c r="D18" s="8">
        <v>1</v>
      </c>
      <c r="E18" s="8" t="s">
        <v>3403</v>
      </c>
      <c r="F18" s="8"/>
      <c r="G18" s="8"/>
      <c r="H18" s="8"/>
      <c r="I18" s="8" t="s">
        <v>3430</v>
      </c>
      <c r="J18" s="8"/>
      <c r="K18" s="8"/>
      <c r="L18" s="8"/>
      <c r="M18" s="8"/>
      <c r="N18" s="8"/>
      <c r="O18" s="8"/>
      <c r="P18" s="8"/>
      <c r="Q18" s="8" t="s">
        <v>52</v>
      </c>
      <c r="R18" s="1" t="s">
        <v>7</v>
      </c>
      <c r="S18">
        <v>2</v>
      </c>
    </row>
    <row r="19" spans="1:22">
      <c r="A19">
        <v>11</v>
      </c>
      <c r="B19" s="1" t="s">
        <v>4731</v>
      </c>
      <c r="C19" s="1">
        <v>-2</v>
      </c>
      <c r="D19" s="1">
        <v>2</v>
      </c>
      <c r="E19" s="1" t="s">
        <v>4760</v>
      </c>
      <c r="F19" s="1" t="s">
        <v>4761</v>
      </c>
      <c r="G19" s="1"/>
      <c r="H19" s="1"/>
      <c r="I19" s="1" t="s">
        <v>3421</v>
      </c>
      <c r="J19" s="1" t="s">
        <v>3422</v>
      </c>
      <c r="K19" s="1" t="s">
        <v>3423</v>
      </c>
      <c r="L19" s="1"/>
      <c r="M19" s="1"/>
      <c r="N19" s="1"/>
      <c r="O19" s="1"/>
      <c r="P19" s="1"/>
      <c r="Q19" s="1" t="s">
        <v>45</v>
      </c>
      <c r="R19" s="1" t="s">
        <v>7</v>
      </c>
      <c r="S19">
        <v>2</v>
      </c>
    </row>
    <row r="20" spans="1:22">
      <c r="A20">
        <v>14</v>
      </c>
      <c r="B20" s="1" t="s">
        <v>4732</v>
      </c>
      <c r="C20" s="1" t="s">
        <v>187</v>
      </c>
      <c r="D20" s="1">
        <v>2</v>
      </c>
      <c r="E20" s="1" t="s">
        <v>3403</v>
      </c>
      <c r="F20" s="1"/>
      <c r="G20" s="1"/>
      <c r="H20" s="1"/>
      <c r="I20" s="1" t="s">
        <v>4733</v>
      </c>
      <c r="J20" s="1"/>
      <c r="K20" s="1"/>
      <c r="L20" s="1"/>
      <c r="M20" s="1"/>
      <c r="N20" s="1"/>
      <c r="O20" s="1"/>
      <c r="P20" s="1"/>
      <c r="Q20" s="1" t="s">
        <v>39</v>
      </c>
      <c r="R20" s="1" t="s">
        <v>7</v>
      </c>
      <c r="S20">
        <v>2</v>
      </c>
    </row>
    <row r="21" spans="1:22">
      <c r="A21">
        <v>21</v>
      </c>
      <c r="B21" s="1" t="s">
        <v>4734</v>
      </c>
      <c r="C21" s="1">
        <v>-3</v>
      </c>
      <c r="D21" s="1">
        <v>3</v>
      </c>
      <c r="E21" s="1" t="s">
        <v>4760</v>
      </c>
      <c r="F21" s="1" t="s">
        <v>4761</v>
      </c>
      <c r="G21" s="1"/>
      <c r="H21" s="1"/>
      <c r="I21" s="1" t="s">
        <v>4735</v>
      </c>
      <c r="J21" s="1" t="s">
        <v>4736</v>
      </c>
      <c r="K21" s="1" t="s">
        <v>3118</v>
      </c>
      <c r="L21" s="1"/>
      <c r="M21" s="1"/>
      <c r="N21" s="1"/>
      <c r="O21" s="1"/>
      <c r="P21" s="1"/>
      <c r="Q21" s="1" t="s">
        <v>45</v>
      </c>
      <c r="R21" s="1" t="s">
        <v>7</v>
      </c>
      <c r="S21">
        <v>2</v>
      </c>
    </row>
    <row r="22" spans="1:22">
      <c r="A22" s="77">
        <v>22</v>
      </c>
      <c r="B22" s="8" t="s">
        <v>3431</v>
      </c>
      <c r="C22" s="8" t="s">
        <v>847</v>
      </c>
      <c r="D22" s="8">
        <v>3</v>
      </c>
      <c r="E22" s="8" t="s">
        <v>3399</v>
      </c>
      <c r="F22" s="8"/>
      <c r="G22" s="8"/>
      <c r="H22" s="8"/>
      <c r="I22" s="8" t="s">
        <v>3432</v>
      </c>
      <c r="J22" s="8"/>
      <c r="K22" s="8"/>
      <c r="L22" s="8"/>
      <c r="M22" s="8"/>
      <c r="N22" s="8"/>
      <c r="O22" s="8"/>
      <c r="P22" s="8"/>
      <c r="Q22" s="8" t="s">
        <v>52</v>
      </c>
      <c r="R22" s="1" t="s">
        <v>7</v>
      </c>
      <c r="S22">
        <v>2</v>
      </c>
    </row>
    <row r="23" spans="1:22">
      <c r="A23" s="77">
        <v>23</v>
      </c>
      <c r="B23" s="8" t="s">
        <v>3436</v>
      </c>
      <c r="C23" s="8" t="s">
        <v>204</v>
      </c>
      <c r="D23" s="8">
        <v>3</v>
      </c>
      <c r="E23" s="8" t="s">
        <v>3100</v>
      </c>
      <c r="F23" s="8" t="s">
        <v>4762</v>
      </c>
      <c r="G23" s="8"/>
      <c r="H23" s="8"/>
      <c r="I23" s="8" t="s">
        <v>3401</v>
      </c>
      <c r="J23" s="8" t="s">
        <v>3437</v>
      </c>
      <c r="K23" s="8" t="s">
        <v>3438</v>
      </c>
      <c r="L23" s="8"/>
      <c r="M23" s="8"/>
      <c r="N23" s="8"/>
      <c r="O23" s="8"/>
      <c r="P23" s="8"/>
      <c r="Q23" s="8" t="s">
        <v>46</v>
      </c>
      <c r="R23" s="1" t="s">
        <v>7</v>
      </c>
      <c r="S23">
        <v>2</v>
      </c>
    </row>
    <row r="24" spans="1:22">
      <c r="A24" s="76">
        <v>24</v>
      </c>
      <c r="B24" s="6" t="s">
        <v>4737</v>
      </c>
      <c r="C24" s="6" t="s">
        <v>1618</v>
      </c>
      <c r="D24" s="6">
        <v>3</v>
      </c>
      <c r="E24" s="6" t="s">
        <v>3434</v>
      </c>
      <c r="F24" s="6"/>
      <c r="G24" s="6"/>
      <c r="H24" s="6"/>
      <c r="I24" s="6" t="s">
        <v>4738</v>
      </c>
      <c r="J24" s="6" t="s">
        <v>4739</v>
      </c>
      <c r="K24" s="6"/>
      <c r="L24" s="6"/>
      <c r="M24" s="6"/>
      <c r="N24" s="6"/>
      <c r="O24" s="6"/>
      <c r="P24" s="6"/>
      <c r="Q24" s="6" t="s">
        <v>46</v>
      </c>
      <c r="R24" s="1" t="s">
        <v>7</v>
      </c>
      <c r="S24">
        <v>2</v>
      </c>
    </row>
    <row r="25" spans="1:22">
      <c r="A25" s="77">
        <v>26</v>
      </c>
      <c r="B25" s="8" t="s">
        <v>3433</v>
      </c>
      <c r="C25" s="8" t="s">
        <v>1378</v>
      </c>
      <c r="D25" s="8">
        <v>4</v>
      </c>
      <c r="E25" s="8" t="s">
        <v>3434</v>
      </c>
      <c r="F25" s="8"/>
      <c r="G25" s="8"/>
      <c r="H25" s="8"/>
      <c r="I25" s="8" t="s">
        <v>3435</v>
      </c>
      <c r="J25" s="8"/>
      <c r="K25" s="8"/>
      <c r="L25" s="8"/>
      <c r="M25" s="8"/>
      <c r="N25" s="8"/>
      <c r="O25" s="8"/>
      <c r="P25" s="8"/>
      <c r="Q25" s="8" t="s">
        <v>52</v>
      </c>
      <c r="R25" s="1" t="s">
        <v>7</v>
      </c>
      <c r="S25">
        <v>2</v>
      </c>
    </row>
    <row r="26" spans="1:22">
      <c r="A26" s="76">
        <v>27</v>
      </c>
      <c r="B26" s="6" t="s">
        <v>4740</v>
      </c>
      <c r="C26" s="6" t="s">
        <v>211</v>
      </c>
      <c r="D26" s="6">
        <v>5</v>
      </c>
      <c r="E26" s="6" t="s">
        <v>3100</v>
      </c>
      <c r="F26" s="6" t="s">
        <v>4762</v>
      </c>
      <c r="G26" s="6"/>
      <c r="H26" s="6"/>
      <c r="I26" s="6" t="s">
        <v>3401</v>
      </c>
      <c r="J26" s="6" t="s">
        <v>4741</v>
      </c>
      <c r="K26" s="6"/>
      <c r="L26" s="6"/>
      <c r="M26" s="6"/>
      <c r="N26" s="6"/>
      <c r="O26" s="6"/>
      <c r="P26" s="6"/>
      <c r="Q26" s="6" t="s">
        <v>52</v>
      </c>
      <c r="R26" s="1" t="s">
        <v>7</v>
      </c>
      <c r="S26">
        <v>2</v>
      </c>
    </row>
    <row r="27" spans="1:22">
      <c r="A27" s="76">
        <v>3</v>
      </c>
      <c r="B27" s="6" t="s">
        <v>4742</v>
      </c>
      <c r="C27" s="6"/>
      <c r="D27" s="6">
        <v>0</v>
      </c>
      <c r="E27" s="6" t="s">
        <v>3736</v>
      </c>
      <c r="F27" s="6"/>
      <c r="G27" s="6"/>
      <c r="H27" s="6"/>
      <c r="I27" s="6" t="s">
        <v>293</v>
      </c>
      <c r="J27" s="6" t="s">
        <v>4743</v>
      </c>
      <c r="K27" s="6" t="s">
        <v>4744</v>
      </c>
      <c r="L27" s="6"/>
      <c r="M27" s="6"/>
      <c r="N27" s="6"/>
      <c r="O27" s="6"/>
      <c r="P27" s="6"/>
      <c r="Q27" s="6"/>
      <c r="R27" s="1"/>
      <c r="S27">
        <v>3</v>
      </c>
    </row>
    <row r="28" spans="1:22">
      <c r="A28" s="76">
        <v>4</v>
      </c>
      <c r="B28" s="6" t="s">
        <v>4745</v>
      </c>
      <c r="C28" s="6"/>
      <c r="D28" s="6">
        <v>0</v>
      </c>
      <c r="E28" s="6" t="s">
        <v>4746</v>
      </c>
      <c r="F28" s="6"/>
      <c r="G28" s="6"/>
      <c r="H28" s="6"/>
      <c r="I28" s="6" t="s">
        <v>4747</v>
      </c>
      <c r="J28" s="6" t="s">
        <v>4748</v>
      </c>
      <c r="K28" s="6"/>
      <c r="L28" s="6"/>
      <c r="M28" s="6"/>
      <c r="N28" s="6" t="s">
        <v>4749</v>
      </c>
      <c r="O28" s="6"/>
      <c r="P28" s="6"/>
      <c r="Q28" s="6" t="s">
        <v>46</v>
      </c>
      <c r="R28" s="1" t="s">
        <v>9</v>
      </c>
      <c r="S28">
        <v>3</v>
      </c>
    </row>
    <row r="29" spans="1:22">
      <c r="A29">
        <v>17</v>
      </c>
      <c r="B29" s="1" t="s">
        <v>4750</v>
      </c>
      <c r="C29" s="1">
        <v>-3</v>
      </c>
      <c r="D29" s="1">
        <v>3</v>
      </c>
      <c r="E29" s="1" t="s">
        <v>3413</v>
      </c>
      <c r="F29" s="1"/>
      <c r="G29" s="1"/>
      <c r="H29" s="1"/>
      <c r="I29" s="1" t="s">
        <v>4751</v>
      </c>
      <c r="J29" s="1"/>
      <c r="K29" s="1"/>
      <c r="L29" s="1"/>
      <c r="M29" s="1"/>
      <c r="N29" s="1"/>
      <c r="O29" s="1"/>
      <c r="P29" s="1"/>
      <c r="Q29" s="1" t="s">
        <v>52</v>
      </c>
      <c r="R29" s="1" t="s">
        <v>9</v>
      </c>
      <c r="S29">
        <v>3</v>
      </c>
    </row>
    <row r="30" spans="1:22">
      <c r="A30" s="79">
        <v>20</v>
      </c>
      <c r="B30" s="9" t="s">
        <v>4752</v>
      </c>
      <c r="C30" s="9">
        <v>-3</v>
      </c>
      <c r="D30" s="9">
        <v>3</v>
      </c>
      <c r="E30" s="9" t="s">
        <v>4760</v>
      </c>
      <c r="F30" s="9" t="s">
        <v>4761</v>
      </c>
      <c r="G30" s="9"/>
      <c r="H30" s="9"/>
      <c r="I30" s="9" t="s">
        <v>3425</v>
      </c>
      <c r="J30" s="9" t="s">
        <v>3426</v>
      </c>
      <c r="K30" s="9" t="s">
        <v>3118</v>
      </c>
      <c r="L30" s="9"/>
      <c r="M30" s="9"/>
      <c r="N30" s="9"/>
      <c r="O30" s="9"/>
      <c r="P30" s="9"/>
      <c r="Q30" s="9" t="s">
        <v>46</v>
      </c>
      <c r="R30" s="1" t="s">
        <v>9</v>
      </c>
      <c r="S30">
        <v>3</v>
      </c>
    </row>
    <row r="31" spans="1:22">
      <c r="A31" s="76">
        <v>30</v>
      </c>
      <c r="B31" s="6" t="s">
        <v>4753</v>
      </c>
      <c r="C31" s="6" t="s">
        <v>210</v>
      </c>
      <c r="D31" s="6">
        <v>5</v>
      </c>
      <c r="E31" s="6" t="s">
        <v>3399</v>
      </c>
      <c r="F31" s="6"/>
      <c r="G31" s="6"/>
      <c r="H31" s="6"/>
      <c r="I31" s="6" t="s">
        <v>4754</v>
      </c>
      <c r="J31" s="6" t="s">
        <v>4755</v>
      </c>
      <c r="K31" s="6"/>
      <c r="L31" s="6"/>
      <c r="M31" s="6"/>
      <c r="N31" s="6"/>
      <c r="O31" s="6"/>
      <c r="P31" s="6"/>
      <c r="Q31" s="6" t="s">
        <v>44</v>
      </c>
      <c r="R31" s="1" t="s">
        <v>9</v>
      </c>
      <c r="S31">
        <v>3</v>
      </c>
    </row>
    <row r="32" spans="1:22">
      <c r="A32" s="76">
        <v>31</v>
      </c>
      <c r="B32" s="6" t="s">
        <v>4756</v>
      </c>
      <c r="C32" s="6" t="s">
        <v>4757</v>
      </c>
      <c r="D32" s="6">
        <v>6</v>
      </c>
      <c r="E32" s="6" t="s">
        <v>3399</v>
      </c>
      <c r="F32" s="6"/>
      <c r="G32" s="6"/>
      <c r="H32" s="6"/>
      <c r="I32" s="6" t="s">
        <v>4758</v>
      </c>
      <c r="J32" s="6"/>
      <c r="K32" s="6"/>
      <c r="L32" s="6"/>
      <c r="M32" s="6"/>
      <c r="N32" s="6"/>
      <c r="O32" s="6"/>
      <c r="P32" s="6"/>
      <c r="Q32" s="6" t="s">
        <v>44</v>
      </c>
      <c r="R32" s="6" t="s">
        <v>9</v>
      </c>
      <c r="S32" s="76">
        <v>3</v>
      </c>
      <c r="T32" s="76"/>
      <c r="U32" s="76"/>
      <c r="V32" s="76"/>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R10"/>
  <sheetViews>
    <sheetView topLeftCell="B1" workbookViewId="0">
      <selection activeCell="H15" sqref="H15"/>
    </sheetView>
  </sheetViews>
  <sheetFormatPr defaultRowHeight="13.5"/>
  <cols>
    <col min="3" max="3" width="16.5" bestFit="1" customWidth="1"/>
  </cols>
  <sheetData>
    <row r="1" spans="2:18">
      <c r="B1" t="s">
        <v>3151</v>
      </c>
      <c r="C1" t="s">
        <v>3152</v>
      </c>
      <c r="D1" t="s">
        <v>3160</v>
      </c>
      <c r="E1" t="s">
        <v>3153</v>
      </c>
      <c r="F1" t="s">
        <v>3154</v>
      </c>
      <c r="G1" t="s">
        <v>3155</v>
      </c>
      <c r="H1" t="s">
        <v>3156</v>
      </c>
      <c r="I1" t="s">
        <v>3157</v>
      </c>
      <c r="O1" t="s">
        <v>4769</v>
      </c>
      <c r="P1" t="s">
        <v>4770</v>
      </c>
      <c r="Q1" t="s">
        <v>3159</v>
      </c>
    </row>
    <row r="2" spans="2:18">
      <c r="B2" t="s">
        <v>4081</v>
      </c>
      <c r="C2" t="s">
        <v>186</v>
      </c>
      <c r="D2">
        <v>1</v>
      </c>
      <c r="E2" t="s">
        <v>3399</v>
      </c>
      <c r="I2" t="s">
        <v>4082</v>
      </c>
      <c r="Q2" t="s">
        <v>16</v>
      </c>
      <c r="R2" t="s">
        <v>4</v>
      </c>
    </row>
    <row r="3" spans="2:18">
      <c r="B3" t="s">
        <v>4083</v>
      </c>
      <c r="C3" t="s">
        <v>1611</v>
      </c>
      <c r="D3">
        <v>2</v>
      </c>
      <c r="E3" t="s">
        <v>3403</v>
      </c>
      <c r="I3" t="s">
        <v>4084</v>
      </c>
      <c r="Q3" t="s">
        <v>6</v>
      </c>
      <c r="R3" t="s">
        <v>4</v>
      </c>
    </row>
    <row r="4" spans="2:18">
      <c r="B4" t="s">
        <v>4085</v>
      </c>
      <c r="C4" t="s">
        <v>4086</v>
      </c>
      <c r="D4">
        <v>2</v>
      </c>
      <c r="E4" t="s">
        <v>3403</v>
      </c>
      <c r="I4" t="s">
        <v>4087</v>
      </c>
      <c r="Q4" t="s">
        <v>6</v>
      </c>
      <c r="R4" t="s">
        <v>4</v>
      </c>
    </row>
    <row r="5" spans="2:18">
      <c r="B5" t="s">
        <v>4088</v>
      </c>
      <c r="C5" t="s">
        <v>204</v>
      </c>
      <c r="D5">
        <v>3</v>
      </c>
      <c r="E5" t="s">
        <v>3403</v>
      </c>
      <c r="I5" t="s">
        <v>4693</v>
      </c>
      <c r="Q5" t="s">
        <v>6</v>
      </c>
      <c r="R5" t="s">
        <v>4</v>
      </c>
    </row>
    <row r="6" spans="2:18">
      <c r="B6" t="s">
        <v>4089</v>
      </c>
      <c r="C6" t="s">
        <v>4090</v>
      </c>
      <c r="D6">
        <v>4</v>
      </c>
      <c r="E6" t="s">
        <v>3434</v>
      </c>
      <c r="I6" t="s">
        <v>4091</v>
      </c>
      <c r="Q6" t="s">
        <v>6</v>
      </c>
      <c r="R6" t="s">
        <v>9</v>
      </c>
    </row>
    <row r="7" spans="2:18">
      <c r="B7" t="s">
        <v>4092</v>
      </c>
      <c r="C7" t="s">
        <v>185</v>
      </c>
      <c r="D7">
        <v>4</v>
      </c>
      <c r="E7" t="s">
        <v>3403</v>
      </c>
      <c r="I7" t="s">
        <v>4093</v>
      </c>
      <c r="Q7" t="s">
        <v>6</v>
      </c>
      <c r="R7" t="s">
        <v>4</v>
      </c>
    </row>
    <row r="8" spans="2:18">
      <c r="B8" t="s">
        <v>4094</v>
      </c>
      <c r="C8" t="s">
        <v>611</v>
      </c>
      <c r="D8">
        <v>6</v>
      </c>
      <c r="E8" t="s">
        <v>3403</v>
      </c>
      <c r="I8" t="s">
        <v>4095</v>
      </c>
      <c r="Q8" t="s">
        <v>6</v>
      </c>
      <c r="R8" t="s">
        <v>4</v>
      </c>
    </row>
    <row r="9" spans="2:18">
      <c r="B9" t="s">
        <v>4096</v>
      </c>
      <c r="C9" t="s">
        <v>4097</v>
      </c>
      <c r="D9">
        <v>6</v>
      </c>
      <c r="E9" t="s">
        <v>3399</v>
      </c>
      <c r="I9" t="s">
        <v>4098</v>
      </c>
      <c r="Q9" t="s">
        <v>6</v>
      </c>
      <c r="R9" t="s">
        <v>4</v>
      </c>
    </row>
    <row r="10" spans="2:18">
      <c r="B10" t="s">
        <v>4099</v>
      </c>
      <c r="C10" t="s">
        <v>1765</v>
      </c>
      <c r="D10">
        <v>8</v>
      </c>
      <c r="E10" t="s">
        <v>3399</v>
      </c>
      <c r="I10" t="s">
        <v>4100</v>
      </c>
      <c r="Q10" t="s">
        <v>6</v>
      </c>
      <c r="R10" t="s">
        <v>4</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8"/>
  <sheetViews>
    <sheetView zoomScale="70" zoomScaleNormal="70" workbookViewId="0">
      <selection activeCell="K3" sqref="K3"/>
    </sheetView>
  </sheetViews>
  <sheetFormatPr defaultRowHeight="13.5"/>
  <cols>
    <col min="1" max="4" width="9" style="1"/>
    <col min="5" max="5" width="24.125" style="1" customWidth="1"/>
    <col min="6" max="16384" width="9" style="1"/>
  </cols>
  <sheetData>
    <row r="1" spans="1:17">
      <c r="A1" s="4" t="s">
        <v>3134</v>
      </c>
      <c r="B1" s="4" t="s">
        <v>3135</v>
      </c>
      <c r="C1" s="4" t="s">
        <v>1103</v>
      </c>
      <c r="D1" s="4" t="s">
        <v>3127</v>
      </c>
      <c r="E1" s="4" t="s">
        <v>3132</v>
      </c>
      <c r="F1" s="4" t="s">
        <v>3136</v>
      </c>
      <c r="G1" s="4"/>
      <c r="H1" s="4"/>
      <c r="I1" s="4"/>
      <c r="J1" s="4"/>
      <c r="K1" s="4" t="s">
        <v>3119</v>
      </c>
      <c r="L1" s="4" t="s">
        <v>4</v>
      </c>
      <c r="M1" s="4"/>
      <c r="N1" s="4"/>
      <c r="O1" s="4"/>
      <c r="P1" s="4"/>
      <c r="Q1" s="4"/>
    </row>
    <row r="3" spans="1:17">
      <c r="A3" s="4" t="s">
        <v>3113</v>
      </c>
      <c r="B3" s="4" t="s">
        <v>3114</v>
      </c>
      <c r="C3" s="4" t="s">
        <v>3115</v>
      </c>
      <c r="D3" s="4" t="s">
        <v>3116</v>
      </c>
      <c r="E3" s="4" t="s">
        <v>3142</v>
      </c>
      <c r="F3" s="4" t="s">
        <v>3922</v>
      </c>
      <c r="G3" s="4" t="s">
        <v>3118</v>
      </c>
      <c r="H3" s="4"/>
      <c r="I3" s="4"/>
      <c r="J3" s="4"/>
      <c r="K3" s="4" t="s">
        <v>3119</v>
      </c>
      <c r="L3" s="4" t="s">
        <v>7</v>
      </c>
      <c r="M3" s="4"/>
      <c r="N3" s="4"/>
      <c r="O3" s="4"/>
      <c r="P3" s="4"/>
      <c r="Q3" s="4"/>
    </row>
    <row r="4" spans="1:17">
      <c r="A4" s="1" t="s">
        <v>3120</v>
      </c>
      <c r="B4" s="1" t="s">
        <v>3121</v>
      </c>
      <c r="C4" s="1" t="s">
        <v>847</v>
      </c>
      <c r="D4" s="1" t="s">
        <v>3122</v>
      </c>
      <c r="E4" s="1" t="s">
        <v>3123</v>
      </c>
      <c r="F4" s="1" t="s">
        <v>3124</v>
      </c>
      <c r="K4" s="1" t="s">
        <v>3119</v>
      </c>
      <c r="L4" s="1" t="s">
        <v>7</v>
      </c>
    </row>
    <row r="5" spans="1:17">
      <c r="A5" s="4" t="s">
        <v>3130</v>
      </c>
      <c r="B5" s="4" t="s">
        <v>3131</v>
      </c>
      <c r="C5" s="4" t="s">
        <v>1103</v>
      </c>
      <c r="D5" s="4" t="s">
        <v>3127</v>
      </c>
      <c r="E5" s="4" t="s">
        <v>3132</v>
      </c>
      <c r="F5" s="4" t="s">
        <v>3133</v>
      </c>
      <c r="G5" s="4"/>
      <c r="H5" s="4"/>
      <c r="I5" s="4"/>
      <c r="J5" s="4"/>
      <c r="K5" s="4" t="s">
        <v>3119</v>
      </c>
      <c r="L5" s="4" t="s">
        <v>7</v>
      </c>
      <c r="M5" s="4"/>
      <c r="N5" s="4"/>
      <c r="O5" s="4"/>
      <c r="P5" s="4"/>
      <c r="Q5" s="4"/>
    </row>
    <row r="7" spans="1:17">
      <c r="A7" s="1" t="s">
        <v>3125</v>
      </c>
      <c r="B7" s="1" t="s">
        <v>3126</v>
      </c>
      <c r="C7" s="1" t="s">
        <v>849</v>
      </c>
      <c r="D7" s="1" t="s">
        <v>3127</v>
      </c>
      <c r="E7" s="1" t="s">
        <v>3128</v>
      </c>
      <c r="F7" s="1" t="s">
        <v>3129</v>
      </c>
      <c r="K7" s="1" t="s">
        <v>3119</v>
      </c>
      <c r="L7" s="1" t="s">
        <v>9</v>
      </c>
    </row>
    <row r="8" spans="1:17">
      <c r="A8" s="1" t="s">
        <v>3137</v>
      </c>
      <c r="B8" s="1" t="s">
        <v>3138</v>
      </c>
      <c r="C8" s="1" t="s">
        <v>3139</v>
      </c>
      <c r="D8" s="1" t="s">
        <v>3127</v>
      </c>
      <c r="E8" s="1" t="s">
        <v>3140</v>
      </c>
      <c r="F8" s="1" t="s">
        <v>3141</v>
      </c>
      <c r="K8" s="1" t="s">
        <v>3119</v>
      </c>
      <c r="L8" s="1" t="s">
        <v>9</v>
      </c>
    </row>
  </sheetData>
  <phoneticPr fontId="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29"/>
  <sheetViews>
    <sheetView zoomScale="85" zoomScaleNormal="85" workbookViewId="0">
      <selection activeCell="K29" sqref="K29"/>
    </sheetView>
  </sheetViews>
  <sheetFormatPr defaultRowHeight="13.5"/>
  <cols>
    <col min="1" max="14" width="9" style="1"/>
    <col min="15" max="16" width="3.75" style="1" bestFit="1" customWidth="1"/>
    <col min="17" max="16384" width="9" style="1"/>
  </cols>
  <sheetData>
    <row r="1" spans="2:18">
      <c r="B1" s="1" t="s">
        <v>3151</v>
      </c>
      <c r="C1" s="1" t="s">
        <v>3152</v>
      </c>
      <c r="D1" s="1" t="s">
        <v>3160</v>
      </c>
      <c r="E1" s="1" t="s">
        <v>3153</v>
      </c>
      <c r="F1" s="1" t="s">
        <v>3154</v>
      </c>
      <c r="G1" s="1" t="s">
        <v>3155</v>
      </c>
      <c r="H1" s="1" t="s">
        <v>3156</v>
      </c>
      <c r="I1" s="1" t="s">
        <v>3157</v>
      </c>
      <c r="N1" s="1" t="s">
        <v>3456</v>
      </c>
      <c r="O1" s="1" t="s">
        <v>4051</v>
      </c>
      <c r="P1" s="1" t="s">
        <v>4052</v>
      </c>
      <c r="Q1" s="1" t="s">
        <v>3159</v>
      </c>
    </row>
    <row r="2" spans="2:18">
      <c r="B2" s="1" t="s">
        <v>3820</v>
      </c>
      <c r="C2" s="1">
        <v>2</v>
      </c>
      <c r="D2" s="1">
        <v>2</v>
      </c>
      <c r="E2" s="1" t="s">
        <v>3414</v>
      </c>
      <c r="F2" s="1" t="s">
        <v>3923</v>
      </c>
      <c r="I2" s="1" t="s">
        <v>3869</v>
      </c>
      <c r="J2" s="1" t="s">
        <v>1</v>
      </c>
      <c r="O2" s="1">
        <v>2</v>
      </c>
      <c r="P2" s="1">
        <v>3</v>
      </c>
      <c r="Q2" s="1" t="s">
        <v>26</v>
      </c>
      <c r="R2" s="1" t="s">
        <v>4</v>
      </c>
    </row>
    <row r="3" spans="2:18">
      <c r="B3" s="1" t="s">
        <v>3821</v>
      </c>
      <c r="C3" s="1">
        <v>3</v>
      </c>
      <c r="D3" s="1">
        <v>3</v>
      </c>
      <c r="E3" s="1" t="s">
        <v>3414</v>
      </c>
      <c r="F3" s="1" t="s">
        <v>3867</v>
      </c>
      <c r="I3" s="1" t="s">
        <v>3870</v>
      </c>
      <c r="J3" s="1" t="s">
        <v>3822</v>
      </c>
      <c r="O3" s="1">
        <v>4</v>
      </c>
      <c r="P3" s="1">
        <v>3</v>
      </c>
      <c r="Q3" s="1" t="s">
        <v>26</v>
      </c>
      <c r="R3" s="1" t="s">
        <v>4</v>
      </c>
    </row>
    <row r="4" spans="2:18">
      <c r="B4" s="1" t="s">
        <v>3823</v>
      </c>
      <c r="C4" s="1">
        <v>3</v>
      </c>
      <c r="D4" s="1">
        <v>3</v>
      </c>
      <c r="E4" s="1" t="s">
        <v>3414</v>
      </c>
      <c r="F4" s="1" t="s">
        <v>3867</v>
      </c>
      <c r="I4" s="1" t="s">
        <v>3870</v>
      </c>
      <c r="J4" s="1" t="s">
        <v>3824</v>
      </c>
      <c r="O4" s="1">
        <v>3</v>
      </c>
      <c r="P4" s="1">
        <v>4</v>
      </c>
      <c r="Q4" s="1" t="s">
        <v>35</v>
      </c>
      <c r="R4" s="1" t="s">
        <v>4</v>
      </c>
    </row>
    <row r="5" spans="2:18">
      <c r="B5" s="1" t="s">
        <v>3825</v>
      </c>
      <c r="C5" s="1">
        <v>4</v>
      </c>
      <c r="D5" s="1">
        <v>4</v>
      </c>
      <c r="E5" s="1" t="s">
        <v>3414</v>
      </c>
      <c r="F5" s="1" t="s">
        <v>3867</v>
      </c>
      <c r="I5" s="1" t="s">
        <v>3871</v>
      </c>
      <c r="O5" s="1">
        <v>6</v>
      </c>
      <c r="P5" s="1">
        <v>6</v>
      </c>
      <c r="Q5" s="1" t="s">
        <v>35</v>
      </c>
      <c r="R5" s="1" t="s">
        <v>4</v>
      </c>
    </row>
    <row r="6" spans="2:18">
      <c r="B6" s="1" t="s">
        <v>3782</v>
      </c>
      <c r="C6" s="1">
        <v>5</v>
      </c>
      <c r="D6" s="1">
        <v>5</v>
      </c>
      <c r="E6" s="1" t="s">
        <v>3414</v>
      </c>
      <c r="F6" s="1" t="s">
        <v>3867</v>
      </c>
      <c r="I6" s="1" t="s">
        <v>3872</v>
      </c>
      <c r="J6" s="1" t="s">
        <v>1086</v>
      </c>
      <c r="O6" s="1">
        <v>8</v>
      </c>
      <c r="P6" s="1">
        <v>6</v>
      </c>
      <c r="Q6" s="1" t="s">
        <v>26</v>
      </c>
      <c r="R6" s="1" t="s">
        <v>4</v>
      </c>
    </row>
    <row r="8" spans="2:18">
      <c r="B8" s="1" t="s">
        <v>3826</v>
      </c>
      <c r="C8" s="1">
        <v>1</v>
      </c>
      <c r="D8" s="1">
        <v>1</v>
      </c>
      <c r="E8" s="1" t="s">
        <v>3413</v>
      </c>
      <c r="F8" s="1" t="s">
        <v>3867</v>
      </c>
      <c r="I8" s="1" t="s">
        <v>3874</v>
      </c>
      <c r="O8" s="1">
        <v>7</v>
      </c>
      <c r="P8" s="1">
        <v>11</v>
      </c>
      <c r="Q8" s="1" t="s">
        <v>35</v>
      </c>
      <c r="R8" s="1" t="s">
        <v>7</v>
      </c>
    </row>
    <row r="9" spans="2:18">
      <c r="B9" s="1" t="s">
        <v>3827</v>
      </c>
      <c r="C9" s="1">
        <v>3</v>
      </c>
      <c r="D9" s="1">
        <v>3</v>
      </c>
      <c r="E9" s="1" t="s">
        <v>3413</v>
      </c>
      <c r="F9" s="1" t="s">
        <v>3867</v>
      </c>
      <c r="I9" s="1" t="s">
        <v>3869</v>
      </c>
      <c r="O9" s="1">
        <v>4</v>
      </c>
      <c r="P9" s="1">
        <v>3</v>
      </c>
      <c r="Q9" s="1" t="s">
        <v>30</v>
      </c>
      <c r="R9" s="1" t="s">
        <v>7</v>
      </c>
    </row>
    <row r="10" spans="2:18">
      <c r="B10" s="1" t="s">
        <v>3828</v>
      </c>
      <c r="C10" s="1">
        <v>3</v>
      </c>
      <c r="D10" s="1">
        <v>3</v>
      </c>
      <c r="E10" s="1" t="s">
        <v>3413</v>
      </c>
      <c r="F10" s="1" t="s">
        <v>3867</v>
      </c>
      <c r="I10" s="1" t="s">
        <v>3870</v>
      </c>
      <c r="J10" s="1" t="s">
        <v>3829</v>
      </c>
      <c r="O10" s="1">
        <v>4</v>
      </c>
      <c r="P10" s="1">
        <v>4</v>
      </c>
      <c r="Q10" s="1" t="s">
        <v>35</v>
      </c>
      <c r="R10" s="1" t="s">
        <v>7</v>
      </c>
    </row>
    <row r="11" spans="2:18">
      <c r="B11" s="1" t="s">
        <v>3830</v>
      </c>
      <c r="C11" s="1">
        <v>4</v>
      </c>
      <c r="D11" s="1">
        <v>4</v>
      </c>
      <c r="E11" s="1" t="s">
        <v>3413</v>
      </c>
      <c r="F11" s="1" t="s">
        <v>3867</v>
      </c>
      <c r="I11" s="1" t="s">
        <v>3869</v>
      </c>
      <c r="J11" s="1" t="s">
        <v>20</v>
      </c>
      <c r="K11" s="1" t="s">
        <v>3831</v>
      </c>
      <c r="O11" s="1">
        <v>4</v>
      </c>
      <c r="P11" s="1">
        <v>4</v>
      </c>
      <c r="Q11" s="1" t="s">
        <v>35</v>
      </c>
      <c r="R11" s="1" t="s">
        <v>7</v>
      </c>
    </row>
    <row r="12" spans="2:18">
      <c r="B12" s="1" t="s">
        <v>3832</v>
      </c>
      <c r="C12" s="1">
        <v>4</v>
      </c>
      <c r="D12" s="1">
        <v>4</v>
      </c>
      <c r="E12" s="1" t="s">
        <v>3413</v>
      </c>
      <c r="F12" s="1" t="s">
        <v>3867</v>
      </c>
      <c r="I12" s="1" t="s">
        <v>3871</v>
      </c>
      <c r="J12" s="1" t="s">
        <v>3833</v>
      </c>
      <c r="O12" s="1">
        <v>5</v>
      </c>
      <c r="P12" s="1">
        <v>5</v>
      </c>
      <c r="Q12" s="1" t="s">
        <v>26</v>
      </c>
      <c r="R12" s="1" t="s">
        <v>7</v>
      </c>
    </row>
    <row r="13" spans="2:18">
      <c r="B13" s="1" t="s">
        <v>3834</v>
      </c>
      <c r="C13" s="1">
        <v>4</v>
      </c>
      <c r="D13" s="1">
        <v>4</v>
      </c>
      <c r="E13" s="1" t="s">
        <v>3413</v>
      </c>
      <c r="F13" s="1" t="s">
        <v>3867</v>
      </c>
      <c r="I13" s="1" t="s">
        <v>3869</v>
      </c>
      <c r="J13" s="1" t="s">
        <v>1502</v>
      </c>
      <c r="O13" s="1">
        <v>6</v>
      </c>
      <c r="P13" s="1">
        <v>1</v>
      </c>
      <c r="Q13" s="1" t="s">
        <v>26</v>
      </c>
      <c r="R13" s="1" t="s">
        <v>7</v>
      </c>
    </row>
    <row r="14" spans="2:18">
      <c r="B14" s="1" t="s">
        <v>3835</v>
      </c>
      <c r="C14" s="1">
        <v>5</v>
      </c>
      <c r="D14" s="1">
        <v>5</v>
      </c>
      <c r="E14" s="1" t="s">
        <v>3413</v>
      </c>
      <c r="F14" s="1" t="s">
        <v>3867</v>
      </c>
      <c r="I14" s="1" t="s">
        <v>3870</v>
      </c>
      <c r="J14" s="1" t="s">
        <v>23</v>
      </c>
      <c r="O14" s="1">
        <v>4</v>
      </c>
      <c r="P14" s="1">
        <v>6</v>
      </c>
      <c r="Q14" s="1" t="s">
        <v>30</v>
      </c>
      <c r="R14" s="1" t="s">
        <v>7</v>
      </c>
    </row>
    <row r="15" spans="2:18">
      <c r="B15" s="1" t="s">
        <v>3836</v>
      </c>
      <c r="C15" s="1">
        <v>5</v>
      </c>
      <c r="D15" s="1">
        <v>5</v>
      </c>
      <c r="E15" s="1" t="s">
        <v>3413</v>
      </c>
      <c r="F15" s="1" t="s">
        <v>3867</v>
      </c>
      <c r="I15" s="1" t="s">
        <v>3871</v>
      </c>
      <c r="J15" s="1" t="s">
        <v>3837</v>
      </c>
      <c r="O15" s="1">
        <v>6</v>
      </c>
      <c r="P15" s="1">
        <v>6</v>
      </c>
      <c r="Q15" s="1" t="s">
        <v>26</v>
      </c>
      <c r="R15" s="1" t="s">
        <v>7</v>
      </c>
    </row>
    <row r="16" spans="2:18">
      <c r="B16" s="1" t="s">
        <v>3838</v>
      </c>
      <c r="C16" s="1">
        <v>6</v>
      </c>
      <c r="D16" s="1">
        <v>6</v>
      </c>
      <c r="E16" s="1" t="s">
        <v>3413</v>
      </c>
      <c r="F16" s="1" t="s">
        <v>3867</v>
      </c>
      <c r="I16" s="1" t="s">
        <v>3873</v>
      </c>
      <c r="J16" s="1" t="s">
        <v>3839</v>
      </c>
      <c r="O16" s="1">
        <v>10</v>
      </c>
      <c r="P16" s="1">
        <v>7</v>
      </c>
      <c r="Q16" s="1" t="s">
        <v>26</v>
      </c>
      <c r="R16" s="1" t="s">
        <v>7</v>
      </c>
    </row>
    <row r="18" spans="1:18">
      <c r="B18" s="1" t="s">
        <v>3840</v>
      </c>
      <c r="C18" s="1">
        <v>2</v>
      </c>
      <c r="D18" s="1">
        <v>2</v>
      </c>
      <c r="E18" s="1" t="s">
        <v>3413</v>
      </c>
      <c r="F18" s="1" t="s">
        <v>3867</v>
      </c>
      <c r="I18" s="1" t="s">
        <v>3869</v>
      </c>
      <c r="J18" s="1" t="s">
        <v>1</v>
      </c>
      <c r="K18" s="1" t="s">
        <v>3841</v>
      </c>
      <c r="O18" s="1">
        <v>3</v>
      </c>
      <c r="P18" s="1">
        <v>3</v>
      </c>
      <c r="Q18" s="1" t="s">
        <v>26</v>
      </c>
      <c r="R18" s="1" t="s">
        <v>9</v>
      </c>
    </row>
    <row r="19" spans="1:18">
      <c r="A19" s="6"/>
      <c r="B19" s="6" t="s">
        <v>3842</v>
      </c>
      <c r="C19" s="6">
        <v>2</v>
      </c>
      <c r="D19" s="6">
        <v>2</v>
      </c>
      <c r="E19" s="6" t="s">
        <v>3413</v>
      </c>
      <c r="F19" s="6" t="s">
        <v>3867</v>
      </c>
      <c r="G19" s="6"/>
      <c r="H19" s="6"/>
      <c r="I19" s="6" t="s">
        <v>3870</v>
      </c>
      <c r="J19" s="6" t="s">
        <v>3843</v>
      </c>
      <c r="K19" s="6"/>
      <c r="L19" s="6"/>
      <c r="M19" s="6"/>
      <c r="N19" s="6"/>
      <c r="O19" s="6">
        <v>2</v>
      </c>
      <c r="P19" s="6">
        <v>2</v>
      </c>
      <c r="Q19" s="6" t="s">
        <v>30</v>
      </c>
      <c r="R19" s="1" t="s">
        <v>9</v>
      </c>
    </row>
    <row r="20" spans="1:18">
      <c r="B20" s="1" t="s">
        <v>3844</v>
      </c>
      <c r="C20" s="1">
        <v>3</v>
      </c>
      <c r="D20" s="1">
        <v>3</v>
      </c>
      <c r="E20" s="1" t="s">
        <v>3413</v>
      </c>
      <c r="F20" s="1" t="s">
        <v>3867</v>
      </c>
      <c r="I20" s="1" t="s">
        <v>3871</v>
      </c>
      <c r="J20" s="1" t="s">
        <v>3845</v>
      </c>
      <c r="K20" s="1" t="s">
        <v>3846</v>
      </c>
      <c r="O20" s="1">
        <v>3</v>
      </c>
      <c r="P20" s="1">
        <v>3</v>
      </c>
      <c r="Q20" s="1" t="s">
        <v>30</v>
      </c>
      <c r="R20" s="1" t="s">
        <v>9</v>
      </c>
    </row>
    <row r="21" spans="1:18">
      <c r="A21" s="6"/>
      <c r="B21" s="6" t="s">
        <v>3847</v>
      </c>
      <c r="C21" s="6">
        <v>3</v>
      </c>
      <c r="D21" s="6">
        <v>3</v>
      </c>
      <c r="E21" s="6" t="s">
        <v>3413</v>
      </c>
      <c r="F21" s="6" t="s">
        <v>3867</v>
      </c>
      <c r="G21" s="6"/>
      <c r="H21" s="6"/>
      <c r="I21" s="6" t="s">
        <v>3869</v>
      </c>
      <c r="J21" s="6" t="s">
        <v>1</v>
      </c>
      <c r="K21" s="6" t="s">
        <v>3848</v>
      </c>
      <c r="L21" s="6" t="s">
        <v>3849</v>
      </c>
      <c r="M21" s="6"/>
      <c r="N21" s="6"/>
      <c r="O21" s="6">
        <v>3</v>
      </c>
      <c r="P21" s="6">
        <v>5</v>
      </c>
      <c r="Q21" s="6" t="s">
        <v>35</v>
      </c>
      <c r="R21" s="1" t="s">
        <v>9</v>
      </c>
    </row>
    <row r="22" spans="1:18">
      <c r="B22" s="1" t="s">
        <v>3850</v>
      </c>
      <c r="C22" s="1">
        <v>3</v>
      </c>
      <c r="D22" s="1">
        <v>3</v>
      </c>
      <c r="E22" s="1" t="s">
        <v>3413</v>
      </c>
      <c r="F22" s="1" t="s">
        <v>3867</v>
      </c>
      <c r="I22" s="1" t="s">
        <v>3875</v>
      </c>
      <c r="J22" s="1" t="s">
        <v>3851</v>
      </c>
      <c r="O22" s="1">
        <v>6</v>
      </c>
      <c r="P22" s="1">
        <v>6</v>
      </c>
      <c r="Q22" s="1" t="s">
        <v>35</v>
      </c>
      <c r="R22" s="1" t="s">
        <v>9</v>
      </c>
    </row>
    <row r="23" spans="1:18">
      <c r="B23" s="1" t="s">
        <v>3852</v>
      </c>
      <c r="C23" s="1">
        <v>3</v>
      </c>
      <c r="D23" s="1">
        <v>3</v>
      </c>
      <c r="E23" s="1" t="s">
        <v>3413</v>
      </c>
      <c r="F23" s="1" t="s">
        <v>3867</v>
      </c>
      <c r="I23" s="1" t="s">
        <v>3871</v>
      </c>
      <c r="J23" s="1" t="s">
        <v>3745</v>
      </c>
      <c r="O23" s="1">
        <v>5</v>
      </c>
      <c r="P23" s="1">
        <v>5</v>
      </c>
      <c r="Q23" s="1" t="s">
        <v>26</v>
      </c>
      <c r="R23" s="1" t="s">
        <v>9</v>
      </c>
    </row>
    <row r="24" spans="1:18">
      <c r="B24" s="1" t="s">
        <v>3853</v>
      </c>
      <c r="C24" s="1">
        <v>4</v>
      </c>
      <c r="D24" s="1">
        <v>4</v>
      </c>
      <c r="E24" s="1" t="s">
        <v>3413</v>
      </c>
      <c r="F24" s="1" t="s">
        <v>3867</v>
      </c>
      <c r="I24" s="1" t="s">
        <v>3870</v>
      </c>
      <c r="J24" s="1" t="s">
        <v>1502</v>
      </c>
      <c r="K24" s="1" t="s">
        <v>3854</v>
      </c>
      <c r="O24" s="1">
        <v>5</v>
      </c>
      <c r="P24" s="1">
        <v>3</v>
      </c>
      <c r="Q24" s="1" t="s">
        <v>26</v>
      </c>
      <c r="R24" s="1" t="s">
        <v>9</v>
      </c>
    </row>
    <row r="25" spans="1:18">
      <c r="B25" s="1" t="s">
        <v>3855</v>
      </c>
      <c r="C25" s="1">
        <v>4</v>
      </c>
      <c r="D25" s="1">
        <v>4</v>
      </c>
      <c r="E25" s="1" t="s">
        <v>3413</v>
      </c>
      <c r="F25" s="1" t="s">
        <v>3867</v>
      </c>
      <c r="I25" s="1" t="s">
        <v>3872</v>
      </c>
      <c r="J25" s="1" t="s">
        <v>3856</v>
      </c>
      <c r="O25" s="1">
        <v>2</v>
      </c>
      <c r="P25" s="1">
        <v>10</v>
      </c>
      <c r="Q25" s="1" t="s">
        <v>30</v>
      </c>
      <c r="R25" s="1" t="s">
        <v>9</v>
      </c>
    </row>
    <row r="26" spans="1:18">
      <c r="B26" s="1" t="s">
        <v>3857</v>
      </c>
      <c r="C26" s="1">
        <v>0</v>
      </c>
      <c r="D26" s="1">
        <v>0</v>
      </c>
      <c r="E26" s="1" t="s">
        <v>3736</v>
      </c>
      <c r="I26" s="1" t="s">
        <v>3858</v>
      </c>
      <c r="J26" s="1" t="s">
        <v>293</v>
      </c>
      <c r="K26" s="1" t="s">
        <v>3859</v>
      </c>
      <c r="L26" s="1" t="s">
        <v>3860</v>
      </c>
      <c r="M26" s="1" t="s">
        <v>3861</v>
      </c>
      <c r="Q26" s="1" t="s">
        <v>30</v>
      </c>
      <c r="R26" s="1" t="s">
        <v>9</v>
      </c>
    </row>
    <row r="28" spans="1:18">
      <c r="B28" s="1" t="s">
        <v>3862</v>
      </c>
      <c r="C28" s="1">
        <v>2</v>
      </c>
      <c r="D28" s="1">
        <v>2</v>
      </c>
      <c r="E28" s="1" t="s">
        <v>3868</v>
      </c>
      <c r="F28" s="1" t="s">
        <v>3867</v>
      </c>
      <c r="I28" s="1" t="s">
        <v>3871</v>
      </c>
      <c r="J28" s="1" t="s">
        <v>3863</v>
      </c>
      <c r="K28" s="1" t="s">
        <v>3864</v>
      </c>
      <c r="O28" s="1">
        <v>4</v>
      </c>
      <c r="P28" s="1">
        <v>4</v>
      </c>
      <c r="Q28" s="1" t="s">
        <v>35</v>
      </c>
      <c r="R28" s="1" t="s">
        <v>41</v>
      </c>
    </row>
    <row r="29" spans="1:18">
      <c r="B29" s="1" t="s">
        <v>3865</v>
      </c>
      <c r="C29" s="1">
        <v>5</v>
      </c>
      <c r="D29" s="1">
        <v>5</v>
      </c>
      <c r="E29" s="1" t="s">
        <v>3868</v>
      </c>
      <c r="F29" s="1" t="s">
        <v>3867</v>
      </c>
      <c r="I29" s="1" t="s">
        <v>3871</v>
      </c>
      <c r="J29" s="1" t="s">
        <v>1</v>
      </c>
      <c r="K29" s="1" t="s">
        <v>3866</v>
      </c>
      <c r="O29" s="1">
        <v>6</v>
      </c>
      <c r="P29" s="1">
        <v>5</v>
      </c>
      <c r="Q29" s="1" t="s">
        <v>26</v>
      </c>
      <c r="R29" s="1" t="s">
        <v>41</v>
      </c>
    </row>
  </sheetData>
  <phoneticPr fontId="1"/>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R14"/>
  <sheetViews>
    <sheetView workbookViewId="0">
      <selection activeCell="K10" sqref="K10"/>
    </sheetView>
  </sheetViews>
  <sheetFormatPr defaultRowHeight="13.5"/>
  <cols>
    <col min="3" max="3" width="5" bestFit="1" customWidth="1"/>
    <col min="4" max="4" width="5.375" bestFit="1" customWidth="1"/>
  </cols>
  <sheetData>
    <row r="1" spans="2:18">
      <c r="B1" t="s">
        <v>3151</v>
      </c>
      <c r="C1" t="s">
        <v>3152</v>
      </c>
      <c r="D1" t="s">
        <v>3160</v>
      </c>
      <c r="E1" t="s">
        <v>3153</v>
      </c>
      <c r="F1" t="s">
        <v>3154</v>
      </c>
      <c r="G1" t="s">
        <v>3155</v>
      </c>
      <c r="H1" t="s">
        <v>3156</v>
      </c>
      <c r="I1" t="s">
        <v>3157</v>
      </c>
      <c r="N1" t="s">
        <v>3456</v>
      </c>
      <c r="O1" t="s">
        <v>4769</v>
      </c>
      <c r="P1" t="s">
        <v>4770</v>
      </c>
      <c r="Q1" t="s">
        <v>3159</v>
      </c>
    </row>
    <row r="2" spans="2:18">
      <c r="B2" t="s">
        <v>4064</v>
      </c>
      <c r="C2">
        <v>1</v>
      </c>
      <c r="D2">
        <v>1</v>
      </c>
      <c r="E2" t="s">
        <v>4688</v>
      </c>
      <c r="F2" t="s">
        <v>3412</v>
      </c>
      <c r="I2" t="s">
        <v>4687</v>
      </c>
      <c r="J2" t="s">
        <v>3409</v>
      </c>
      <c r="O2">
        <v>1</v>
      </c>
      <c r="P2">
        <v>1</v>
      </c>
      <c r="Q2" t="s">
        <v>176</v>
      </c>
      <c r="R2" t="s">
        <v>4</v>
      </c>
    </row>
    <row r="4" spans="2:18">
      <c r="B4" t="s">
        <v>4073</v>
      </c>
      <c r="C4">
        <v>2</v>
      </c>
      <c r="D4">
        <v>2</v>
      </c>
      <c r="E4" t="s">
        <v>4688</v>
      </c>
      <c r="F4" t="s">
        <v>3412</v>
      </c>
      <c r="I4" t="s">
        <v>3419</v>
      </c>
      <c r="J4" t="s">
        <v>3409</v>
      </c>
      <c r="K4" t="s">
        <v>4778</v>
      </c>
      <c r="O4">
        <v>0</v>
      </c>
      <c r="P4">
        <v>1</v>
      </c>
      <c r="Q4" t="s">
        <v>176</v>
      </c>
      <c r="R4" t="s">
        <v>7</v>
      </c>
    </row>
    <row r="5" spans="2:18">
      <c r="B5" t="s">
        <v>3411</v>
      </c>
      <c r="C5">
        <v>3</v>
      </c>
      <c r="D5">
        <v>3</v>
      </c>
      <c r="E5" t="s">
        <v>4688</v>
      </c>
      <c r="F5" t="s">
        <v>3412</v>
      </c>
      <c r="I5" t="s">
        <v>3419</v>
      </c>
      <c r="J5" t="s">
        <v>3410</v>
      </c>
      <c r="O5">
        <v>2</v>
      </c>
      <c r="P5">
        <v>2</v>
      </c>
      <c r="Q5" t="s">
        <v>606</v>
      </c>
      <c r="R5" t="s">
        <v>7</v>
      </c>
    </row>
    <row r="6" spans="2:18">
      <c r="B6" t="s">
        <v>4076</v>
      </c>
      <c r="C6">
        <v>4</v>
      </c>
      <c r="D6">
        <v>4</v>
      </c>
      <c r="E6" t="s">
        <v>4688</v>
      </c>
      <c r="F6" t="s">
        <v>3412</v>
      </c>
      <c r="I6" t="s">
        <v>3419</v>
      </c>
      <c r="J6" t="s">
        <v>4068</v>
      </c>
      <c r="K6" t="s">
        <v>4779</v>
      </c>
      <c r="O6">
        <v>2</v>
      </c>
      <c r="P6">
        <v>2</v>
      </c>
      <c r="Q6" t="s">
        <v>176</v>
      </c>
      <c r="R6" t="s">
        <v>7</v>
      </c>
    </row>
    <row r="7" spans="2:18">
      <c r="B7" t="s">
        <v>4078</v>
      </c>
      <c r="C7">
        <v>5</v>
      </c>
      <c r="D7">
        <v>5</v>
      </c>
      <c r="E7" t="s">
        <v>4688</v>
      </c>
      <c r="F7" t="s">
        <v>3412</v>
      </c>
      <c r="I7" t="s">
        <v>3419</v>
      </c>
      <c r="J7" t="s">
        <v>3410</v>
      </c>
      <c r="K7" t="s">
        <v>4780</v>
      </c>
      <c r="O7">
        <v>2</v>
      </c>
      <c r="P7">
        <v>4</v>
      </c>
      <c r="Q7" t="s">
        <v>176</v>
      </c>
      <c r="R7" t="s">
        <v>7</v>
      </c>
    </row>
    <row r="8" spans="2:18">
      <c r="B8" t="s">
        <v>4080</v>
      </c>
      <c r="C8">
        <v>6</v>
      </c>
      <c r="D8">
        <v>6</v>
      </c>
      <c r="E8" t="s">
        <v>4688</v>
      </c>
      <c r="F8" t="s">
        <v>3412</v>
      </c>
      <c r="I8" t="s">
        <v>3419</v>
      </c>
      <c r="J8" t="s">
        <v>3409</v>
      </c>
      <c r="K8" t="s">
        <v>4781</v>
      </c>
      <c r="O8">
        <v>3</v>
      </c>
      <c r="P8">
        <v>1</v>
      </c>
      <c r="Q8" t="s">
        <v>606</v>
      </c>
      <c r="R8" t="s">
        <v>7</v>
      </c>
    </row>
    <row r="10" spans="2:18">
      <c r="B10" t="s">
        <v>4074</v>
      </c>
      <c r="C10">
        <v>4</v>
      </c>
      <c r="D10">
        <v>4</v>
      </c>
      <c r="E10" t="s">
        <v>4688</v>
      </c>
      <c r="F10" t="s">
        <v>3412</v>
      </c>
      <c r="I10" t="s">
        <v>3419</v>
      </c>
      <c r="J10" t="s">
        <v>4067</v>
      </c>
      <c r="K10" t="s">
        <v>4785</v>
      </c>
      <c r="O10" t="s">
        <v>4783</v>
      </c>
      <c r="P10" t="s">
        <v>4784</v>
      </c>
      <c r="Q10" t="s">
        <v>606</v>
      </c>
      <c r="R10" t="s">
        <v>9</v>
      </c>
    </row>
    <row r="11" spans="2:18">
      <c r="B11" t="s">
        <v>4075</v>
      </c>
      <c r="C11">
        <v>4</v>
      </c>
      <c r="D11">
        <v>4</v>
      </c>
      <c r="E11" t="s">
        <v>4688</v>
      </c>
      <c r="F11" t="s">
        <v>3412</v>
      </c>
      <c r="I11" t="s">
        <v>3419</v>
      </c>
      <c r="J11" t="s">
        <v>3409</v>
      </c>
      <c r="K11" t="s">
        <v>4786</v>
      </c>
      <c r="O11" t="s">
        <v>4784</v>
      </c>
      <c r="P11" t="s">
        <v>4784</v>
      </c>
      <c r="Q11" t="s">
        <v>176</v>
      </c>
      <c r="R11" t="s">
        <v>9</v>
      </c>
    </row>
    <row r="12" spans="2:18">
      <c r="B12" t="s">
        <v>4079</v>
      </c>
      <c r="C12">
        <v>5</v>
      </c>
      <c r="D12">
        <v>5</v>
      </c>
      <c r="E12" t="s">
        <v>4688</v>
      </c>
      <c r="F12" t="s">
        <v>3412</v>
      </c>
      <c r="I12" t="s">
        <v>3419</v>
      </c>
      <c r="J12" t="s">
        <v>3118</v>
      </c>
      <c r="K12" t="s">
        <v>4071</v>
      </c>
      <c r="O12">
        <v>1</v>
      </c>
      <c r="P12">
        <v>1</v>
      </c>
      <c r="Q12" t="s">
        <v>4072</v>
      </c>
      <c r="R12" t="s">
        <v>9</v>
      </c>
    </row>
    <row r="14" spans="2:18">
      <c r="B14" t="s">
        <v>4077</v>
      </c>
      <c r="C14">
        <v>5</v>
      </c>
      <c r="D14">
        <v>5</v>
      </c>
      <c r="E14" t="s">
        <v>4688</v>
      </c>
      <c r="F14" t="s">
        <v>3412</v>
      </c>
      <c r="I14" t="s">
        <v>3419</v>
      </c>
      <c r="J14" t="s">
        <v>4070</v>
      </c>
      <c r="K14" t="s">
        <v>4782</v>
      </c>
      <c r="L14" t="s">
        <v>4069</v>
      </c>
      <c r="O14">
        <v>4</v>
      </c>
      <c r="P14">
        <v>4</v>
      </c>
      <c r="Q14" t="s">
        <v>606</v>
      </c>
      <c r="R14" t="s">
        <v>41</v>
      </c>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R96"/>
  <sheetViews>
    <sheetView topLeftCell="A25" zoomScale="85" zoomScaleNormal="85" workbookViewId="0">
      <selection activeCell="D51" sqref="D51:M51"/>
    </sheetView>
  </sheetViews>
  <sheetFormatPr defaultRowHeight="13.5"/>
  <cols>
    <col min="1" max="1" width="9" style="1"/>
    <col min="2" max="2" width="3.5" style="1" bestFit="1" customWidth="1"/>
    <col min="3" max="3" width="5.125" style="1" bestFit="1" customWidth="1"/>
    <col min="4" max="5" width="25" style="1" customWidth="1"/>
    <col min="6" max="6" width="5.25" style="1" bestFit="1" customWidth="1"/>
    <col min="7" max="7" width="3" style="1" customWidth="1"/>
    <col min="8" max="8" width="5.875" style="1" customWidth="1"/>
    <col min="9" max="9" width="8.5" style="1" bestFit="1" customWidth="1"/>
    <col min="10" max="10" width="9.5" style="1" bestFit="1" customWidth="1"/>
    <col min="11" max="11" width="4.875" style="17" bestFit="1" customWidth="1"/>
    <col min="12" max="12" width="9" style="1"/>
    <col min="13" max="13" width="32" style="1" customWidth="1"/>
    <col min="14" max="14" width="28.75" style="1" bestFit="1" customWidth="1"/>
    <col min="15" max="15" width="13.25" style="1" customWidth="1"/>
    <col min="16" max="16384" width="9" style="1"/>
  </cols>
  <sheetData>
    <row r="1" spans="1:18">
      <c r="A1" s="1">
        <v>1</v>
      </c>
      <c r="B1" s="1">
        <v>1</v>
      </c>
      <c r="C1" s="1" t="s">
        <v>3496</v>
      </c>
      <c r="D1" s="1" t="s">
        <v>3628</v>
      </c>
      <c r="E1" s="1" t="s">
        <v>3629</v>
      </c>
      <c r="F1" s="1" t="s">
        <v>3497</v>
      </c>
      <c r="G1" s="1" t="s">
        <v>3498</v>
      </c>
      <c r="H1" s="1" t="s">
        <v>1363</v>
      </c>
      <c r="I1" s="1" t="s">
        <v>3499</v>
      </c>
      <c r="J1" s="1" t="s">
        <v>3500</v>
      </c>
      <c r="K1" s="17" t="s">
        <v>3501</v>
      </c>
      <c r="L1" s="1" t="s">
        <v>3502</v>
      </c>
      <c r="M1" s="1" t="s">
        <v>3503</v>
      </c>
      <c r="N1" s="1" t="s">
        <v>3504</v>
      </c>
      <c r="P1" s="1" t="s">
        <v>3456</v>
      </c>
    </row>
    <row r="2" spans="1:18">
      <c r="A2" s="6">
        <v>1</v>
      </c>
      <c r="B2" s="6">
        <v>4</v>
      </c>
      <c r="C2" s="6" t="s">
        <v>3496</v>
      </c>
      <c r="D2" s="6" t="s">
        <v>3630</v>
      </c>
      <c r="E2" s="6" t="s">
        <v>3631</v>
      </c>
      <c r="F2" s="6" t="s">
        <v>3505</v>
      </c>
      <c r="G2" s="6" t="s">
        <v>3498</v>
      </c>
      <c r="H2" s="6" t="s">
        <v>1363</v>
      </c>
      <c r="I2" s="6" t="s">
        <v>3506</v>
      </c>
      <c r="J2" s="6" t="s">
        <v>3507</v>
      </c>
      <c r="K2" s="18" t="s">
        <v>3508</v>
      </c>
      <c r="L2" s="6" t="s">
        <v>3502</v>
      </c>
      <c r="M2" s="6" t="s">
        <v>3509</v>
      </c>
      <c r="N2" s="6" t="s">
        <v>1</v>
      </c>
      <c r="O2" s="6"/>
      <c r="P2" s="6"/>
      <c r="Q2" s="6"/>
      <c r="R2" s="6"/>
    </row>
    <row r="3" spans="1:18">
      <c r="A3" s="4">
        <v>1</v>
      </c>
      <c r="B3" s="4">
        <v>7</v>
      </c>
      <c r="C3" s="4" t="s">
        <v>3496</v>
      </c>
      <c r="D3" s="4" t="s">
        <v>3632</v>
      </c>
      <c r="E3" s="4" t="s">
        <v>3633</v>
      </c>
      <c r="F3" s="4" t="s">
        <v>3464</v>
      </c>
      <c r="G3" s="4" t="s">
        <v>3498</v>
      </c>
      <c r="H3" s="4" t="s">
        <v>3510</v>
      </c>
      <c r="I3" s="4"/>
      <c r="J3" s="4"/>
      <c r="K3" s="19" t="s">
        <v>3456</v>
      </c>
      <c r="L3" s="4" t="s">
        <v>3502</v>
      </c>
      <c r="M3" s="4" t="s">
        <v>3511</v>
      </c>
      <c r="N3" s="4" t="s">
        <v>3512</v>
      </c>
      <c r="O3" s="4"/>
      <c r="P3" s="4" t="s">
        <v>3456</v>
      </c>
      <c r="Q3" s="4"/>
    </row>
    <row r="4" spans="1:18">
      <c r="A4" s="4">
        <v>1</v>
      </c>
      <c r="B4" s="4">
        <v>10</v>
      </c>
      <c r="C4" s="4" t="s">
        <v>3496</v>
      </c>
      <c r="D4" s="4" t="s">
        <v>3634</v>
      </c>
      <c r="E4" s="4" t="s">
        <v>3635</v>
      </c>
      <c r="F4" s="4" t="s">
        <v>3513</v>
      </c>
      <c r="G4" s="4" t="s">
        <v>3498</v>
      </c>
      <c r="H4" s="4" t="s">
        <v>3510</v>
      </c>
      <c r="I4" s="4"/>
      <c r="J4" s="4"/>
      <c r="K4" s="19" t="s">
        <v>3456</v>
      </c>
      <c r="L4" s="4" t="s">
        <v>3502</v>
      </c>
      <c r="M4" s="4" t="s">
        <v>3514</v>
      </c>
      <c r="N4" s="4" t="s">
        <v>3515</v>
      </c>
      <c r="O4" s="4"/>
      <c r="P4" s="4" t="s">
        <v>3456</v>
      </c>
      <c r="Q4" s="4"/>
    </row>
    <row r="5" spans="1:18">
      <c r="A5" s="6">
        <v>1</v>
      </c>
      <c r="B5" s="6">
        <v>13</v>
      </c>
      <c r="C5" s="6" t="s">
        <v>3496</v>
      </c>
      <c r="D5" s="6" t="s">
        <v>3636</v>
      </c>
      <c r="E5" s="6" t="s">
        <v>3637</v>
      </c>
      <c r="F5" s="6" t="s">
        <v>3516</v>
      </c>
      <c r="G5" s="6" t="s">
        <v>3498</v>
      </c>
      <c r="H5" s="6" t="s">
        <v>1363</v>
      </c>
      <c r="I5" s="6" t="s">
        <v>3517</v>
      </c>
      <c r="J5" s="6" t="s">
        <v>3518</v>
      </c>
      <c r="K5" s="18" t="s">
        <v>3519</v>
      </c>
      <c r="L5" s="6" t="s">
        <v>3502</v>
      </c>
      <c r="M5" s="6" t="s">
        <v>3520</v>
      </c>
      <c r="N5" s="6"/>
      <c r="O5" s="6"/>
      <c r="P5" s="6" t="s">
        <v>3456</v>
      </c>
      <c r="Q5" s="6"/>
      <c r="R5" s="6"/>
    </row>
    <row r="6" spans="1:18">
      <c r="A6" s="6">
        <v>1</v>
      </c>
      <c r="B6" s="6">
        <v>16</v>
      </c>
      <c r="C6" s="6" t="s">
        <v>3521</v>
      </c>
      <c r="D6" s="6" t="s">
        <v>3638</v>
      </c>
      <c r="E6" s="6" t="s">
        <v>3639</v>
      </c>
      <c r="F6" s="18" t="s">
        <v>3522</v>
      </c>
      <c r="G6" s="6" t="s">
        <v>3498</v>
      </c>
      <c r="H6" s="6" t="s">
        <v>3523</v>
      </c>
      <c r="I6" s="6" t="s">
        <v>3524</v>
      </c>
      <c r="J6" s="6"/>
      <c r="K6" s="18" t="s">
        <v>3525</v>
      </c>
      <c r="L6" s="6" t="s">
        <v>3502</v>
      </c>
      <c r="M6" s="6" t="s">
        <v>3526</v>
      </c>
      <c r="N6" s="6"/>
      <c r="O6" s="6"/>
      <c r="P6" s="6" t="s">
        <v>3456</v>
      </c>
      <c r="Q6" s="6"/>
      <c r="R6" s="6"/>
    </row>
    <row r="7" spans="1:18">
      <c r="A7" s="6">
        <v>0</v>
      </c>
      <c r="B7" s="6">
        <v>17</v>
      </c>
      <c r="C7" s="6" t="s">
        <v>3521</v>
      </c>
      <c r="D7" s="6" t="s">
        <v>3640</v>
      </c>
      <c r="E7" s="6" t="s">
        <v>3641</v>
      </c>
      <c r="F7" s="18" t="s">
        <v>3527</v>
      </c>
      <c r="G7" s="6" t="s">
        <v>3498</v>
      </c>
      <c r="H7" s="6" t="s">
        <v>3523</v>
      </c>
      <c r="I7" s="6" t="s">
        <v>3506</v>
      </c>
      <c r="J7" s="6" t="s">
        <v>3524</v>
      </c>
      <c r="K7" s="18" t="s">
        <v>3528</v>
      </c>
      <c r="L7" s="6" t="s">
        <v>3502</v>
      </c>
      <c r="M7" s="6" t="s">
        <v>3529</v>
      </c>
      <c r="N7" s="6" t="s">
        <v>1</v>
      </c>
      <c r="O7" s="6"/>
      <c r="P7" s="6" t="s">
        <v>3456</v>
      </c>
      <c r="Q7" s="6"/>
      <c r="R7" s="6"/>
    </row>
    <row r="8" spans="1:18">
      <c r="A8" s="6">
        <v>1</v>
      </c>
      <c r="B8" s="6">
        <v>18</v>
      </c>
      <c r="C8" s="6" t="s">
        <v>3521</v>
      </c>
      <c r="D8" s="6" t="s">
        <v>3642</v>
      </c>
      <c r="E8" s="6" t="s">
        <v>3643</v>
      </c>
      <c r="F8" s="18" t="s">
        <v>3530</v>
      </c>
      <c r="G8" s="6" t="s">
        <v>3498</v>
      </c>
      <c r="H8" s="6" t="s">
        <v>3523</v>
      </c>
      <c r="I8" s="6" t="s">
        <v>3524</v>
      </c>
      <c r="J8" s="6"/>
      <c r="K8" s="18" t="s">
        <v>3531</v>
      </c>
      <c r="L8" s="6" t="s">
        <v>3502</v>
      </c>
      <c r="M8" s="6" t="s">
        <v>3503</v>
      </c>
      <c r="N8" s="6" t="s">
        <v>3532</v>
      </c>
      <c r="O8" s="6"/>
      <c r="P8" s="6" t="s">
        <v>3456</v>
      </c>
      <c r="Q8" s="6"/>
      <c r="R8" s="6"/>
    </row>
    <row r="9" spans="1:18">
      <c r="A9" s="6">
        <v>0</v>
      </c>
      <c r="B9" s="6">
        <v>19</v>
      </c>
      <c r="C9" s="6" t="s">
        <v>3521</v>
      </c>
      <c r="D9" s="6" t="s">
        <v>3644</v>
      </c>
      <c r="E9" s="6" t="s">
        <v>3645</v>
      </c>
      <c r="F9" s="18" t="s">
        <v>3533</v>
      </c>
      <c r="G9" s="6" t="s">
        <v>3498</v>
      </c>
      <c r="H9" s="6" t="s">
        <v>3523</v>
      </c>
      <c r="I9" s="6" t="s">
        <v>3524</v>
      </c>
      <c r="J9" s="6"/>
      <c r="K9" s="18" t="s">
        <v>3534</v>
      </c>
      <c r="L9" s="6" t="s">
        <v>3502</v>
      </c>
      <c r="M9" s="6" t="s">
        <v>3535</v>
      </c>
      <c r="N9" s="6"/>
      <c r="O9" s="6"/>
      <c r="P9" s="6" t="s">
        <v>3456</v>
      </c>
      <c r="Q9" s="6"/>
      <c r="R9" s="6"/>
    </row>
    <row r="10" spans="1:18">
      <c r="F10" s="17"/>
    </row>
    <row r="11" spans="1:18">
      <c r="A11" s="1">
        <v>1</v>
      </c>
      <c r="B11" s="1">
        <v>28</v>
      </c>
      <c r="C11" s="1" t="s">
        <v>3521</v>
      </c>
      <c r="D11" s="1" t="s">
        <v>3646</v>
      </c>
      <c r="E11" s="1" t="s">
        <v>3647</v>
      </c>
      <c r="G11" s="17" t="s">
        <v>3498</v>
      </c>
      <c r="H11" s="1" t="s">
        <v>3536</v>
      </c>
      <c r="M11" s="17" t="s">
        <v>3537</v>
      </c>
      <c r="P11" s="1" t="s">
        <v>3456</v>
      </c>
    </row>
    <row r="12" spans="1:18">
      <c r="A12" s="1">
        <v>1</v>
      </c>
      <c r="B12" s="1">
        <v>29</v>
      </c>
      <c r="C12" s="1" t="s">
        <v>3521</v>
      </c>
      <c r="D12" s="1" t="s">
        <v>3648</v>
      </c>
      <c r="E12" s="1" t="s">
        <v>3649</v>
      </c>
      <c r="G12" s="17" t="s">
        <v>3498</v>
      </c>
      <c r="H12" s="1" t="s">
        <v>3536</v>
      </c>
      <c r="M12" s="17" t="s">
        <v>3538</v>
      </c>
      <c r="P12" s="1" t="s">
        <v>3456</v>
      </c>
    </row>
    <row r="13" spans="1:18">
      <c r="A13" s="1">
        <v>1</v>
      </c>
      <c r="B13" s="1">
        <v>30</v>
      </c>
      <c r="C13" s="1" t="s">
        <v>3521</v>
      </c>
      <c r="D13" s="1" t="s">
        <v>3650</v>
      </c>
      <c r="E13" s="1" t="s">
        <v>3651</v>
      </c>
      <c r="G13" s="17" t="s">
        <v>3498</v>
      </c>
      <c r="H13" s="1" t="s">
        <v>3536</v>
      </c>
      <c r="M13" s="17" t="s">
        <v>3539</v>
      </c>
      <c r="P13" s="1" t="s">
        <v>3456</v>
      </c>
    </row>
    <row r="14" spans="1:18">
      <c r="A14" s="1">
        <v>1</v>
      </c>
      <c r="B14" s="1">
        <v>31</v>
      </c>
      <c r="C14" s="1" t="s">
        <v>3521</v>
      </c>
      <c r="D14" s="1" t="s">
        <v>3652</v>
      </c>
      <c r="E14" s="1" t="s">
        <v>3653</v>
      </c>
      <c r="G14" s="17" t="s">
        <v>3498</v>
      </c>
      <c r="H14" s="1" t="s">
        <v>3536</v>
      </c>
      <c r="M14" s="17" t="s">
        <v>3540</v>
      </c>
      <c r="P14" s="1" t="s">
        <v>3456</v>
      </c>
    </row>
    <row r="15" spans="1:18">
      <c r="A15" s="1">
        <v>0</v>
      </c>
      <c r="B15" s="1">
        <v>32</v>
      </c>
      <c r="C15" s="1" t="s">
        <v>3521</v>
      </c>
      <c r="D15" s="1" t="s">
        <v>3654</v>
      </c>
      <c r="E15" s="1" t="s">
        <v>3655</v>
      </c>
      <c r="G15" s="17" t="s">
        <v>3498</v>
      </c>
      <c r="H15" s="1" t="s">
        <v>3536</v>
      </c>
      <c r="K15" s="1"/>
      <c r="M15" s="1" t="s">
        <v>3541</v>
      </c>
      <c r="P15" s="1" t="s">
        <v>3456</v>
      </c>
    </row>
    <row r="16" spans="1:18">
      <c r="A16" s="1">
        <v>0</v>
      </c>
      <c r="B16" s="1">
        <v>41</v>
      </c>
      <c r="C16" s="1" t="s">
        <v>3496</v>
      </c>
      <c r="D16" s="1" t="s">
        <v>3656</v>
      </c>
      <c r="E16" s="1" t="s">
        <v>3657</v>
      </c>
      <c r="G16" s="1" t="s">
        <v>3498</v>
      </c>
      <c r="H16" s="1" t="s">
        <v>3536</v>
      </c>
      <c r="M16" s="17" t="s">
        <v>3542</v>
      </c>
      <c r="P16" s="1" t="s">
        <v>3456</v>
      </c>
    </row>
    <row r="17" spans="1:18">
      <c r="A17" s="1">
        <v>0</v>
      </c>
      <c r="B17" s="1">
        <v>42</v>
      </c>
      <c r="C17" s="1" t="s">
        <v>3496</v>
      </c>
      <c r="D17" s="1" t="s">
        <v>3658</v>
      </c>
      <c r="E17" s="1" t="s">
        <v>3659</v>
      </c>
      <c r="G17" s="1" t="s">
        <v>3498</v>
      </c>
      <c r="H17" s="1" t="s">
        <v>3536</v>
      </c>
      <c r="M17" s="17" t="s">
        <v>3543</v>
      </c>
      <c r="O17" s="1" t="s">
        <v>3456</v>
      </c>
      <c r="P17" s="1" t="s">
        <v>3456</v>
      </c>
    </row>
    <row r="18" spans="1:18">
      <c r="A18" s="1">
        <v>0</v>
      </c>
      <c r="B18" s="1">
        <v>43</v>
      </c>
      <c r="C18" s="1" t="s">
        <v>3496</v>
      </c>
      <c r="D18" s="1" t="s">
        <v>3660</v>
      </c>
      <c r="E18" s="1" t="s">
        <v>3661</v>
      </c>
      <c r="G18" s="1" t="s">
        <v>3498</v>
      </c>
      <c r="H18" s="1" t="s">
        <v>3536</v>
      </c>
      <c r="M18" s="17" t="s">
        <v>3544</v>
      </c>
      <c r="O18" s="1" t="s">
        <v>3456</v>
      </c>
      <c r="P18" s="1" t="s">
        <v>3456</v>
      </c>
    </row>
    <row r="19" spans="1:18">
      <c r="A19" s="1">
        <v>0</v>
      </c>
      <c r="B19" s="1">
        <v>44</v>
      </c>
      <c r="C19" s="1" t="s">
        <v>3496</v>
      </c>
      <c r="D19" s="1" t="s">
        <v>3662</v>
      </c>
      <c r="E19" s="1" t="s">
        <v>3663</v>
      </c>
      <c r="G19" s="1" t="s">
        <v>3498</v>
      </c>
      <c r="H19" s="1" t="s">
        <v>3536</v>
      </c>
      <c r="M19" s="17" t="s">
        <v>3545</v>
      </c>
      <c r="P19" s="1" t="s">
        <v>3456</v>
      </c>
    </row>
    <row r="20" spans="1:18">
      <c r="A20" s="1">
        <v>0</v>
      </c>
      <c r="B20" s="1">
        <v>45</v>
      </c>
      <c r="C20" s="1" t="s">
        <v>3496</v>
      </c>
      <c r="D20" s="1" t="s">
        <v>3664</v>
      </c>
      <c r="E20" s="1" t="s">
        <v>3665</v>
      </c>
      <c r="G20" s="1" t="s">
        <v>3498</v>
      </c>
      <c r="H20" s="1" t="s">
        <v>3536</v>
      </c>
      <c r="M20" s="17" t="s">
        <v>3546</v>
      </c>
      <c r="P20" s="1" t="s">
        <v>3456</v>
      </c>
    </row>
    <row r="21" spans="1:18">
      <c r="M21" s="17"/>
    </row>
    <row r="22" spans="1:18">
      <c r="A22" s="1">
        <v>1</v>
      </c>
      <c r="B22" s="1">
        <v>2</v>
      </c>
      <c r="C22" s="1" t="s">
        <v>3496</v>
      </c>
      <c r="D22" s="1" t="s">
        <v>3666</v>
      </c>
      <c r="E22" s="1" t="s">
        <v>3667</v>
      </c>
      <c r="F22" s="1" t="s">
        <v>3547</v>
      </c>
      <c r="G22" s="1" t="s">
        <v>3463</v>
      </c>
      <c r="H22" s="1" t="s">
        <v>1363</v>
      </c>
      <c r="I22" s="1" t="s">
        <v>3499</v>
      </c>
      <c r="J22" s="1" t="s">
        <v>3548</v>
      </c>
      <c r="K22" s="17" t="s">
        <v>3525</v>
      </c>
      <c r="L22" s="1" t="s">
        <v>3502</v>
      </c>
      <c r="M22" s="1" t="s">
        <v>3549</v>
      </c>
      <c r="N22" s="1" t="s">
        <v>3550</v>
      </c>
    </row>
    <row r="23" spans="1:18">
      <c r="A23" s="6">
        <v>0</v>
      </c>
      <c r="B23" s="6">
        <v>5</v>
      </c>
      <c r="C23" s="6" t="s">
        <v>3496</v>
      </c>
      <c r="D23" s="6" t="s">
        <v>3668</v>
      </c>
      <c r="E23" s="6" t="s">
        <v>3669</v>
      </c>
      <c r="F23" s="6" t="s">
        <v>3551</v>
      </c>
      <c r="G23" s="6" t="s">
        <v>3463</v>
      </c>
      <c r="H23" s="6" t="s">
        <v>1363</v>
      </c>
      <c r="I23" s="6" t="s">
        <v>3552</v>
      </c>
      <c r="J23" s="6" t="s">
        <v>3507</v>
      </c>
      <c r="K23" s="18" t="s">
        <v>3519</v>
      </c>
      <c r="L23" s="6" t="s">
        <v>3502</v>
      </c>
      <c r="M23" s="6" t="s">
        <v>3553</v>
      </c>
      <c r="N23" s="6" t="s">
        <v>3554</v>
      </c>
      <c r="O23" s="6"/>
      <c r="P23" s="6"/>
      <c r="Q23" s="6"/>
      <c r="R23" s="6"/>
    </row>
    <row r="24" spans="1:18">
      <c r="A24" s="1">
        <v>1</v>
      </c>
      <c r="B24" s="1">
        <v>8</v>
      </c>
      <c r="C24" s="1" t="s">
        <v>3496</v>
      </c>
      <c r="D24" s="1" t="s">
        <v>3670</v>
      </c>
      <c r="E24" s="1" t="s">
        <v>3671</v>
      </c>
      <c r="F24" s="1" t="s">
        <v>3555</v>
      </c>
      <c r="G24" s="1" t="s">
        <v>3463</v>
      </c>
      <c r="H24" s="1" t="s">
        <v>1363</v>
      </c>
      <c r="I24" s="1" t="s">
        <v>3499</v>
      </c>
      <c r="J24" s="1" t="s">
        <v>3556</v>
      </c>
      <c r="K24" s="17" t="s">
        <v>3557</v>
      </c>
      <c r="L24" s="1" t="s">
        <v>3502</v>
      </c>
      <c r="M24" s="1" t="s">
        <v>3558</v>
      </c>
      <c r="N24" s="1" t="s">
        <v>3559</v>
      </c>
    </row>
    <row r="25" spans="1:18">
      <c r="A25" s="6">
        <v>1</v>
      </c>
      <c r="B25" s="6">
        <v>11</v>
      </c>
      <c r="C25" s="6" t="s">
        <v>3496</v>
      </c>
      <c r="D25" s="6" t="s">
        <v>3672</v>
      </c>
      <c r="E25" s="6" t="s">
        <v>3673</v>
      </c>
      <c r="F25" s="6" t="s">
        <v>3560</v>
      </c>
      <c r="G25" s="6" t="s">
        <v>3463</v>
      </c>
      <c r="H25" s="6" t="s">
        <v>1363</v>
      </c>
      <c r="I25" s="6" t="s">
        <v>3561</v>
      </c>
      <c r="J25" s="6" t="s">
        <v>3562</v>
      </c>
      <c r="K25" s="18" t="s">
        <v>3531</v>
      </c>
      <c r="L25" s="6" t="s">
        <v>3502</v>
      </c>
      <c r="M25" s="6" t="s">
        <v>3514</v>
      </c>
      <c r="N25" s="6" t="s">
        <v>3563</v>
      </c>
      <c r="O25" s="6"/>
      <c r="P25" s="6"/>
      <c r="Q25" s="6"/>
      <c r="R25" s="6"/>
    </row>
    <row r="26" spans="1:18">
      <c r="A26" s="6">
        <v>1</v>
      </c>
      <c r="B26" s="6">
        <v>14</v>
      </c>
      <c r="C26" s="6" t="s">
        <v>3496</v>
      </c>
      <c r="D26" s="6" t="s">
        <v>3674</v>
      </c>
      <c r="E26" s="6" t="s">
        <v>3675</v>
      </c>
      <c r="F26" s="6" t="s">
        <v>3564</v>
      </c>
      <c r="G26" s="6" t="s">
        <v>3463</v>
      </c>
      <c r="H26" s="6" t="s">
        <v>1363</v>
      </c>
      <c r="I26" s="6" t="s">
        <v>3565</v>
      </c>
      <c r="J26" s="6"/>
      <c r="K26" s="18" t="s">
        <v>3566</v>
      </c>
      <c r="L26" s="6" t="s">
        <v>3502</v>
      </c>
      <c r="M26" s="6" t="s">
        <v>3567</v>
      </c>
      <c r="N26" s="6" t="s">
        <v>3568</v>
      </c>
      <c r="O26" s="6"/>
      <c r="P26" s="6"/>
      <c r="Q26" s="6"/>
      <c r="R26" s="6"/>
    </row>
    <row r="27" spans="1:18">
      <c r="A27" s="6">
        <v>1</v>
      </c>
      <c r="B27" s="6">
        <v>20</v>
      </c>
      <c r="C27" s="6" t="s">
        <v>3521</v>
      </c>
      <c r="D27" s="6" t="s">
        <v>3676</v>
      </c>
      <c r="E27" s="6" t="s">
        <v>3677</v>
      </c>
      <c r="F27" s="18" t="s">
        <v>3569</v>
      </c>
      <c r="G27" s="6" t="s">
        <v>3463</v>
      </c>
      <c r="H27" s="6" t="s">
        <v>3523</v>
      </c>
      <c r="I27" s="6" t="s">
        <v>3524</v>
      </c>
      <c r="J27" s="6"/>
      <c r="K27" s="18" t="s">
        <v>3528</v>
      </c>
      <c r="L27" s="6" t="s">
        <v>3502</v>
      </c>
      <c r="M27" s="6" t="s">
        <v>3570</v>
      </c>
      <c r="N27" s="6"/>
      <c r="O27" s="6"/>
      <c r="P27" s="6"/>
      <c r="Q27" s="6"/>
      <c r="R27" s="6"/>
    </row>
    <row r="28" spans="1:18">
      <c r="A28" s="6">
        <v>0</v>
      </c>
      <c r="B28" s="6">
        <v>21</v>
      </c>
      <c r="C28" s="6" t="s">
        <v>3521</v>
      </c>
      <c r="D28" s="6" t="s">
        <v>3678</v>
      </c>
      <c r="E28" s="6" t="s">
        <v>3679</v>
      </c>
      <c r="F28" s="18" t="s">
        <v>3522</v>
      </c>
      <c r="G28" s="6" t="s">
        <v>3463</v>
      </c>
      <c r="H28" s="6" t="s">
        <v>3523</v>
      </c>
      <c r="I28" s="6" t="s">
        <v>3571</v>
      </c>
      <c r="J28" s="6" t="s">
        <v>3524</v>
      </c>
      <c r="K28" s="18" t="s">
        <v>3566</v>
      </c>
      <c r="L28" s="6" t="s">
        <v>3502</v>
      </c>
      <c r="M28" s="6" t="s">
        <v>3572</v>
      </c>
      <c r="N28" s="6" t="s">
        <v>3573</v>
      </c>
      <c r="O28" s="6"/>
      <c r="P28" s="6"/>
      <c r="Q28" s="6"/>
      <c r="R28" s="6"/>
    </row>
    <row r="29" spans="1:18">
      <c r="F29" s="17"/>
    </row>
    <row r="30" spans="1:18">
      <c r="A30" s="1">
        <v>1</v>
      </c>
      <c r="B30" s="1">
        <v>33</v>
      </c>
      <c r="C30" s="1" t="s">
        <v>3521</v>
      </c>
      <c r="D30" s="1" t="s">
        <v>3680</v>
      </c>
      <c r="E30" s="1" t="s">
        <v>3681</v>
      </c>
      <c r="G30" s="17" t="s">
        <v>3463</v>
      </c>
      <c r="H30" s="1" t="s">
        <v>3536</v>
      </c>
      <c r="M30" s="17" t="s">
        <v>3574</v>
      </c>
    </row>
    <row r="31" spans="1:18">
      <c r="A31" s="1">
        <v>1</v>
      </c>
      <c r="B31" s="1">
        <v>34</v>
      </c>
      <c r="C31" s="1" t="s">
        <v>3521</v>
      </c>
      <c r="D31" s="1" t="s">
        <v>3682</v>
      </c>
      <c r="E31" s="1" t="s">
        <v>3683</v>
      </c>
      <c r="G31" s="17" t="s">
        <v>3463</v>
      </c>
      <c r="H31" s="1" t="s">
        <v>3536</v>
      </c>
      <c r="M31" s="17" t="s">
        <v>3575</v>
      </c>
    </row>
    <row r="32" spans="1:18">
      <c r="A32" s="1">
        <v>1</v>
      </c>
      <c r="B32" s="1">
        <v>35</v>
      </c>
      <c r="C32" s="1" t="s">
        <v>3521</v>
      </c>
      <c r="D32" s="1" t="s">
        <v>3684</v>
      </c>
      <c r="E32" s="1" t="s">
        <v>3685</v>
      </c>
      <c r="G32" s="17" t="s">
        <v>3463</v>
      </c>
      <c r="H32" s="1" t="s">
        <v>3536</v>
      </c>
      <c r="M32" s="17" t="s">
        <v>3576</v>
      </c>
    </row>
    <row r="33" spans="1:18">
      <c r="A33" s="1">
        <v>1</v>
      </c>
      <c r="B33" s="1">
        <v>36</v>
      </c>
      <c r="C33" s="1" t="s">
        <v>3521</v>
      </c>
      <c r="D33" s="1" t="s">
        <v>3686</v>
      </c>
      <c r="E33" s="1" t="s">
        <v>3687</v>
      </c>
      <c r="G33" s="17" t="s">
        <v>3463</v>
      </c>
      <c r="H33" s="1" t="s">
        <v>3536</v>
      </c>
      <c r="M33" s="17" t="s">
        <v>3577</v>
      </c>
    </row>
    <row r="34" spans="1:18">
      <c r="A34" s="1">
        <v>0</v>
      </c>
      <c r="B34" s="1">
        <v>37</v>
      </c>
      <c r="C34" s="1" t="s">
        <v>3521</v>
      </c>
      <c r="D34" s="1" t="s">
        <v>3688</v>
      </c>
      <c r="E34" s="1" t="s">
        <v>3689</v>
      </c>
      <c r="G34" s="17" t="s">
        <v>3463</v>
      </c>
      <c r="H34" s="1" t="s">
        <v>3536</v>
      </c>
      <c r="M34" s="1" t="s">
        <v>3578</v>
      </c>
    </row>
    <row r="35" spans="1:18">
      <c r="A35" s="1">
        <v>0</v>
      </c>
      <c r="B35" s="1">
        <v>38</v>
      </c>
      <c r="C35" s="1" t="s">
        <v>3521</v>
      </c>
      <c r="D35" s="1" t="s">
        <v>3690</v>
      </c>
      <c r="E35" s="1" t="s">
        <v>3691</v>
      </c>
      <c r="G35" s="17" t="s">
        <v>3463</v>
      </c>
      <c r="H35" s="1" t="s">
        <v>3536</v>
      </c>
      <c r="K35" s="1"/>
      <c r="M35" s="1" t="s">
        <v>3579</v>
      </c>
    </row>
    <row r="36" spans="1:18">
      <c r="A36" s="1">
        <v>0</v>
      </c>
      <c r="B36" s="1">
        <v>46</v>
      </c>
      <c r="C36" s="1" t="s">
        <v>3496</v>
      </c>
      <c r="D36" s="1" t="s">
        <v>3692</v>
      </c>
      <c r="E36" s="1" t="s">
        <v>3693</v>
      </c>
      <c r="G36" s="1" t="s">
        <v>3463</v>
      </c>
      <c r="H36" s="1" t="s">
        <v>3536</v>
      </c>
      <c r="M36" s="17" t="s">
        <v>3580</v>
      </c>
    </row>
    <row r="37" spans="1:18">
      <c r="A37" s="1">
        <v>1</v>
      </c>
      <c r="B37" s="1">
        <v>47</v>
      </c>
      <c r="C37" s="1" t="s">
        <v>3496</v>
      </c>
      <c r="D37" s="1" t="s">
        <v>3694</v>
      </c>
      <c r="E37" s="1" t="s">
        <v>3695</v>
      </c>
      <c r="G37" s="1" t="s">
        <v>3463</v>
      </c>
      <c r="H37" s="1" t="s">
        <v>3536</v>
      </c>
      <c r="M37" s="17" t="s">
        <v>3581</v>
      </c>
    </row>
    <row r="38" spans="1:18">
      <c r="M38" s="17"/>
    </row>
    <row r="39" spans="1:18">
      <c r="A39" s="1">
        <v>1</v>
      </c>
      <c r="B39" s="1">
        <v>3</v>
      </c>
      <c r="C39" s="1" t="s">
        <v>3496</v>
      </c>
      <c r="D39" s="1" t="s">
        <v>3696</v>
      </c>
      <c r="E39" s="1" t="s">
        <v>3697</v>
      </c>
      <c r="F39" s="1" t="s">
        <v>3582</v>
      </c>
      <c r="G39" s="1" t="s">
        <v>3465</v>
      </c>
      <c r="H39" s="1" t="s">
        <v>1363</v>
      </c>
      <c r="I39" s="1" t="s">
        <v>3499</v>
      </c>
      <c r="J39" s="1" t="s">
        <v>3583</v>
      </c>
      <c r="K39" s="17" t="s">
        <v>3557</v>
      </c>
      <c r="L39" s="1" t="s">
        <v>3502</v>
      </c>
      <c r="M39" s="1" t="s">
        <v>3584</v>
      </c>
      <c r="N39" s="1" t="s">
        <v>3585</v>
      </c>
      <c r="P39" s="1" t="s">
        <v>3456</v>
      </c>
    </row>
    <row r="40" spans="1:18">
      <c r="A40" s="1">
        <v>0</v>
      </c>
      <c r="B40" s="1">
        <v>6</v>
      </c>
      <c r="C40" s="1" t="s">
        <v>3496</v>
      </c>
      <c r="D40" s="1" t="s">
        <v>3698</v>
      </c>
      <c r="E40" s="1" t="s">
        <v>3699</v>
      </c>
      <c r="F40" s="1" t="s">
        <v>3586</v>
      </c>
      <c r="G40" s="1" t="s">
        <v>3465</v>
      </c>
      <c r="H40" s="1" t="s">
        <v>1363</v>
      </c>
      <c r="I40" s="1" t="s">
        <v>3499</v>
      </c>
      <c r="J40" s="1" t="s">
        <v>3587</v>
      </c>
      <c r="K40" s="17" t="s">
        <v>3588</v>
      </c>
      <c r="L40" s="20"/>
      <c r="M40" s="1" t="s">
        <v>3589</v>
      </c>
      <c r="N40" s="20" t="s">
        <v>3590</v>
      </c>
      <c r="P40" s="1" t="s">
        <v>3456</v>
      </c>
    </row>
    <row r="41" spans="1:18">
      <c r="A41" s="6">
        <v>1</v>
      </c>
      <c r="B41" s="6">
        <v>9</v>
      </c>
      <c r="C41" s="6" t="s">
        <v>3496</v>
      </c>
      <c r="D41" s="6" t="s">
        <v>3700</v>
      </c>
      <c r="E41" s="6" t="s">
        <v>3701</v>
      </c>
      <c r="F41" s="6" t="s">
        <v>3591</v>
      </c>
      <c r="G41" s="6" t="s">
        <v>3465</v>
      </c>
      <c r="H41" s="6" t="s">
        <v>1363</v>
      </c>
      <c r="I41" s="6" t="s">
        <v>3592</v>
      </c>
      <c r="J41" s="6"/>
      <c r="K41" s="18" t="s">
        <v>3593</v>
      </c>
      <c r="L41" s="6" t="s">
        <v>3502</v>
      </c>
      <c r="M41" s="6" t="s">
        <v>3594</v>
      </c>
      <c r="N41" s="6" t="s">
        <v>1</v>
      </c>
      <c r="O41" s="6"/>
      <c r="P41" s="6" t="s">
        <v>3456</v>
      </c>
      <c r="Q41" s="6"/>
      <c r="R41" s="6"/>
    </row>
    <row r="42" spans="1:18">
      <c r="A42" s="6">
        <v>0</v>
      </c>
      <c r="B42" s="6">
        <v>12</v>
      </c>
      <c r="C42" s="6" t="s">
        <v>3496</v>
      </c>
      <c r="D42" s="6" t="s">
        <v>3702</v>
      </c>
      <c r="E42" s="6" t="s">
        <v>3703</v>
      </c>
      <c r="F42" s="6" t="s">
        <v>3513</v>
      </c>
      <c r="G42" s="6" t="s">
        <v>3465</v>
      </c>
      <c r="H42" s="6" t="s">
        <v>1363</v>
      </c>
      <c r="I42" s="6" t="s">
        <v>3561</v>
      </c>
      <c r="J42" s="6" t="s">
        <v>3595</v>
      </c>
      <c r="K42" s="18" t="s">
        <v>3596</v>
      </c>
      <c r="L42" s="6"/>
      <c r="M42" s="6" t="s">
        <v>3597</v>
      </c>
      <c r="N42" s="6" t="s">
        <v>3598</v>
      </c>
      <c r="O42" s="6"/>
      <c r="P42" s="6" t="s">
        <v>3456</v>
      </c>
      <c r="Q42" s="6"/>
      <c r="R42" s="6"/>
    </row>
    <row r="43" spans="1:18">
      <c r="A43" s="6">
        <v>0</v>
      </c>
      <c r="B43" s="6">
        <v>15</v>
      </c>
      <c r="C43" s="6" t="s">
        <v>3496</v>
      </c>
      <c r="D43" s="6" t="s">
        <v>3704</v>
      </c>
      <c r="E43" s="6" t="s">
        <v>3705</v>
      </c>
      <c r="F43" s="6" t="s">
        <v>3599</v>
      </c>
      <c r="G43" s="6" t="s">
        <v>3465</v>
      </c>
      <c r="H43" s="6" t="s">
        <v>1363</v>
      </c>
      <c r="I43" s="6" t="s">
        <v>3517</v>
      </c>
      <c r="J43" s="6" t="s">
        <v>3600</v>
      </c>
      <c r="K43" s="18" t="s">
        <v>3601</v>
      </c>
      <c r="L43" s="6"/>
      <c r="M43" s="6" t="s">
        <v>3602</v>
      </c>
      <c r="N43" s="6" t="s">
        <v>3603</v>
      </c>
      <c r="O43" s="6"/>
      <c r="P43" s="6" t="s">
        <v>3456</v>
      </c>
      <c r="Q43" s="6"/>
      <c r="R43" s="6"/>
    </row>
    <row r="44" spans="1:18">
      <c r="A44" s="6">
        <v>1</v>
      </c>
      <c r="B44" s="6">
        <v>22</v>
      </c>
      <c r="C44" s="6" t="s">
        <v>3521</v>
      </c>
      <c r="D44" s="6" t="s">
        <v>3706</v>
      </c>
      <c r="E44" s="6" t="s">
        <v>3707</v>
      </c>
      <c r="F44" s="18" t="s">
        <v>3604</v>
      </c>
      <c r="G44" s="6" t="s">
        <v>3465</v>
      </c>
      <c r="H44" s="6" t="s">
        <v>3523</v>
      </c>
      <c r="I44" s="6" t="s">
        <v>3524</v>
      </c>
      <c r="J44" s="6"/>
      <c r="K44" s="18" t="s">
        <v>3605</v>
      </c>
      <c r="L44" s="6" t="s">
        <v>3502</v>
      </c>
      <c r="M44" s="6" t="s">
        <v>3606</v>
      </c>
      <c r="N44" s="6" t="s">
        <v>3607</v>
      </c>
      <c r="O44" s="6"/>
      <c r="P44" s="6"/>
      <c r="Q44" s="6"/>
      <c r="R44" s="6"/>
    </row>
    <row r="45" spans="1:18">
      <c r="A45" s="6">
        <v>0</v>
      </c>
      <c r="B45" s="6">
        <v>23</v>
      </c>
      <c r="C45" s="6" t="s">
        <v>3521</v>
      </c>
      <c r="D45" s="6" t="s">
        <v>3708</v>
      </c>
      <c r="E45" s="6" t="s">
        <v>3709</v>
      </c>
      <c r="F45" s="18" t="s">
        <v>3522</v>
      </c>
      <c r="G45" s="6" t="s">
        <v>3465</v>
      </c>
      <c r="H45" s="6" t="s">
        <v>3523</v>
      </c>
      <c r="I45" s="6" t="s">
        <v>3524</v>
      </c>
      <c r="J45" s="6"/>
      <c r="K45" s="18" t="s">
        <v>3608</v>
      </c>
      <c r="L45" s="6" t="s">
        <v>3502</v>
      </c>
      <c r="M45" s="6" t="s">
        <v>3609</v>
      </c>
      <c r="N45" s="6" t="s">
        <v>3610</v>
      </c>
      <c r="O45" s="6"/>
      <c r="P45" s="6"/>
      <c r="Q45" s="6"/>
      <c r="R45" s="6"/>
    </row>
    <row r="46" spans="1:18">
      <c r="A46" s="6">
        <v>1</v>
      </c>
      <c r="B46" s="6">
        <v>24</v>
      </c>
      <c r="C46" s="6" t="s">
        <v>3521</v>
      </c>
      <c r="D46" s="6" t="s">
        <v>3710</v>
      </c>
      <c r="E46" s="6" t="s">
        <v>3711</v>
      </c>
      <c r="F46" s="18" t="s">
        <v>3611</v>
      </c>
      <c r="G46" s="6" t="s">
        <v>3465</v>
      </c>
      <c r="H46" s="6" t="s">
        <v>3523</v>
      </c>
      <c r="I46" s="6" t="s">
        <v>3524</v>
      </c>
      <c r="J46" s="6"/>
      <c r="K46" s="18" t="s">
        <v>3531</v>
      </c>
      <c r="L46" s="6" t="s">
        <v>3502</v>
      </c>
      <c r="M46" s="6" t="s">
        <v>3567</v>
      </c>
      <c r="N46" s="6" t="s">
        <v>3612</v>
      </c>
      <c r="O46" s="6"/>
      <c r="P46" s="6"/>
      <c r="Q46" s="6"/>
      <c r="R46" s="6"/>
    </row>
    <row r="47" spans="1:18">
      <c r="A47" s="6">
        <v>0</v>
      </c>
      <c r="B47" s="6">
        <v>25</v>
      </c>
      <c r="C47" s="6" t="s">
        <v>3521</v>
      </c>
      <c r="D47" s="6" t="s">
        <v>3712</v>
      </c>
      <c r="E47" s="6" t="s">
        <v>3713</v>
      </c>
      <c r="F47" s="18" t="s">
        <v>3527</v>
      </c>
      <c r="G47" s="6" t="s">
        <v>3465</v>
      </c>
      <c r="H47" s="6" t="s">
        <v>3523</v>
      </c>
      <c r="I47" s="6" t="s">
        <v>3524</v>
      </c>
      <c r="J47" s="6"/>
      <c r="K47" s="18" t="s">
        <v>3613</v>
      </c>
      <c r="L47" s="6" t="s">
        <v>3502</v>
      </c>
      <c r="M47" s="6" t="s">
        <v>3614</v>
      </c>
      <c r="N47" s="6" t="s">
        <v>3615</v>
      </c>
      <c r="O47" s="6"/>
      <c r="P47" s="6"/>
      <c r="Q47" s="6"/>
      <c r="R47" s="6"/>
    </row>
    <row r="48" spans="1:18">
      <c r="A48" s="6">
        <v>1</v>
      </c>
      <c r="B48" s="6">
        <v>26</v>
      </c>
      <c r="C48" s="6" t="s">
        <v>3521</v>
      </c>
      <c r="D48" s="6" t="s">
        <v>3714</v>
      </c>
      <c r="E48" s="6" t="s">
        <v>3715</v>
      </c>
      <c r="F48" s="18" t="s">
        <v>3569</v>
      </c>
      <c r="G48" s="6" t="s">
        <v>3465</v>
      </c>
      <c r="H48" s="6" t="s">
        <v>3523</v>
      </c>
      <c r="I48" s="6" t="s">
        <v>3524</v>
      </c>
      <c r="J48" s="6"/>
      <c r="K48" s="18" t="s">
        <v>3557</v>
      </c>
      <c r="L48" s="6" t="s">
        <v>3502</v>
      </c>
      <c r="M48" s="6" t="s">
        <v>3616</v>
      </c>
      <c r="N48" s="6"/>
      <c r="O48" s="6"/>
      <c r="P48" s="6"/>
      <c r="Q48" s="6"/>
      <c r="R48" s="6"/>
    </row>
    <row r="49" spans="1:18">
      <c r="A49" s="4">
        <v>1</v>
      </c>
      <c r="B49" s="4">
        <v>27</v>
      </c>
      <c r="C49" s="4" t="s">
        <v>3521</v>
      </c>
      <c r="D49" s="4" t="s">
        <v>3716</v>
      </c>
      <c r="E49" s="4" t="s">
        <v>3717</v>
      </c>
      <c r="F49" s="4"/>
      <c r="G49" s="19" t="s">
        <v>3465</v>
      </c>
      <c r="H49" s="4" t="s">
        <v>3617</v>
      </c>
      <c r="I49" s="4"/>
      <c r="J49" s="4"/>
      <c r="K49" s="19"/>
      <c r="L49" s="4" t="s">
        <v>3502</v>
      </c>
      <c r="M49" s="4" t="s">
        <v>3511</v>
      </c>
      <c r="N49" s="4" t="s">
        <v>3618</v>
      </c>
      <c r="O49" s="4"/>
      <c r="P49" s="4"/>
      <c r="Q49" s="4"/>
      <c r="R49" s="4"/>
    </row>
    <row r="50" spans="1:18">
      <c r="G50" s="17"/>
    </row>
    <row r="51" spans="1:18">
      <c r="A51" s="1">
        <v>1</v>
      </c>
      <c r="B51" s="1">
        <v>39</v>
      </c>
      <c r="C51" s="1" t="s">
        <v>3521</v>
      </c>
      <c r="D51" s="1" t="s">
        <v>3718</v>
      </c>
      <c r="E51" s="1" t="s">
        <v>3719</v>
      </c>
      <c r="G51" s="17" t="s">
        <v>3465</v>
      </c>
      <c r="H51" s="1" t="s">
        <v>3536</v>
      </c>
      <c r="M51" s="1" t="s">
        <v>3619</v>
      </c>
    </row>
    <row r="52" spans="1:18">
      <c r="A52" s="4">
        <v>1</v>
      </c>
      <c r="B52" s="4">
        <v>40</v>
      </c>
      <c r="C52" s="4" t="s">
        <v>3521</v>
      </c>
      <c r="D52" s="4" t="s">
        <v>3720</v>
      </c>
      <c r="E52" s="4" t="s">
        <v>3721</v>
      </c>
      <c r="F52" s="4"/>
      <c r="G52" s="19" t="s">
        <v>3465</v>
      </c>
      <c r="H52" s="4" t="s">
        <v>3620</v>
      </c>
      <c r="I52" s="4"/>
      <c r="J52" s="4"/>
      <c r="K52" s="4"/>
      <c r="L52" s="4"/>
      <c r="M52" s="4" t="s">
        <v>3621</v>
      </c>
      <c r="N52" s="4"/>
      <c r="O52" s="4"/>
      <c r="P52" s="4"/>
      <c r="Q52" s="4"/>
      <c r="R52" s="4"/>
    </row>
    <row r="53" spans="1:18">
      <c r="A53" s="1">
        <v>0</v>
      </c>
      <c r="B53" s="1">
        <v>48</v>
      </c>
      <c r="C53" s="1" t="s">
        <v>3496</v>
      </c>
      <c r="D53" s="1" t="s">
        <v>3722</v>
      </c>
      <c r="E53" s="1" t="s">
        <v>3723</v>
      </c>
      <c r="G53" s="1" t="s">
        <v>3465</v>
      </c>
      <c r="H53" s="1" t="s">
        <v>3536</v>
      </c>
      <c r="K53" s="1"/>
      <c r="M53" s="1" t="s">
        <v>3622</v>
      </c>
    </row>
    <row r="54" spans="1:18">
      <c r="A54" s="1">
        <v>0</v>
      </c>
      <c r="B54" s="1">
        <v>49</v>
      </c>
      <c r="C54" s="1" t="s">
        <v>3496</v>
      </c>
      <c r="D54" s="1" t="s">
        <v>3724</v>
      </c>
      <c r="E54" s="1" t="s">
        <v>3725</v>
      </c>
      <c r="G54" s="1" t="s">
        <v>3465</v>
      </c>
      <c r="H54" s="1" t="s">
        <v>3536</v>
      </c>
      <c r="K54" s="1"/>
      <c r="M54" s="1" t="s">
        <v>3623</v>
      </c>
    </row>
    <row r="55" spans="1:18">
      <c r="A55" s="1">
        <v>1</v>
      </c>
      <c r="B55" s="1">
        <v>51</v>
      </c>
      <c r="C55" s="1" t="s">
        <v>3496</v>
      </c>
      <c r="D55" s="1" t="s">
        <v>3726</v>
      </c>
      <c r="E55" s="1" t="s">
        <v>3727</v>
      </c>
      <c r="G55" s="1" t="s">
        <v>3465</v>
      </c>
      <c r="H55" s="1" t="s">
        <v>3536</v>
      </c>
      <c r="K55" s="1"/>
      <c r="M55" s="1" t="s">
        <v>3624</v>
      </c>
    </row>
    <row r="56" spans="1:18">
      <c r="K56" s="1"/>
    </row>
    <row r="57" spans="1:18">
      <c r="A57" s="4">
        <v>1</v>
      </c>
      <c r="B57" s="4">
        <v>50</v>
      </c>
      <c r="C57" s="4" t="s">
        <v>3496</v>
      </c>
      <c r="D57" s="4" t="s">
        <v>3728</v>
      </c>
      <c r="E57" s="4" t="s">
        <v>3729</v>
      </c>
      <c r="F57" s="4"/>
      <c r="G57" s="4" t="s">
        <v>3625</v>
      </c>
      <c r="H57" s="4" t="s">
        <v>3536</v>
      </c>
      <c r="I57" s="4"/>
      <c r="J57" s="4"/>
      <c r="K57" s="4"/>
      <c r="L57" s="4"/>
      <c r="M57" s="4" t="s">
        <v>3626</v>
      </c>
      <c r="N57" s="4"/>
      <c r="O57" s="4"/>
      <c r="P57" s="4" t="s">
        <v>3456</v>
      </c>
      <c r="Q57" s="4"/>
      <c r="R57" s="4"/>
    </row>
    <row r="58" spans="1:18">
      <c r="A58" s="4">
        <v>1</v>
      </c>
      <c r="B58" s="4">
        <v>52</v>
      </c>
      <c r="C58" s="4" t="s">
        <v>3496</v>
      </c>
      <c r="D58" s="4" t="s">
        <v>3730</v>
      </c>
      <c r="E58" s="4" t="s">
        <v>3731</v>
      </c>
      <c r="F58" s="4"/>
      <c r="G58" s="4" t="s">
        <v>3625</v>
      </c>
      <c r="H58" s="4" t="s">
        <v>3536</v>
      </c>
      <c r="I58" s="4"/>
      <c r="J58" s="4"/>
      <c r="K58" s="4"/>
      <c r="L58" s="4"/>
      <c r="M58" s="4" t="s">
        <v>3627</v>
      </c>
      <c r="N58" s="4"/>
      <c r="O58" s="4"/>
      <c r="P58" s="4"/>
      <c r="Q58" s="4"/>
      <c r="R58" s="4"/>
    </row>
    <row r="65" spans="4:14">
      <c r="D65" s="1" t="s">
        <v>4790</v>
      </c>
      <c r="E65" s="1" t="s">
        <v>204</v>
      </c>
      <c r="F65" s="1" t="s">
        <v>4791</v>
      </c>
      <c r="G65" s="1" t="s">
        <v>4792</v>
      </c>
      <c r="K65" s="1"/>
      <c r="L65" s="17" t="s">
        <v>163</v>
      </c>
      <c r="M65" s="1" t="s">
        <v>4793</v>
      </c>
      <c r="N65" s="1" t="s">
        <v>4</v>
      </c>
    </row>
    <row r="66" spans="4:14">
      <c r="D66" s="1" t="s">
        <v>4794</v>
      </c>
      <c r="E66" s="1" t="s">
        <v>185</v>
      </c>
      <c r="F66" s="1" t="s">
        <v>4795</v>
      </c>
      <c r="G66" s="1" t="s">
        <v>4796</v>
      </c>
      <c r="H66" s="1" t="s">
        <v>4797</v>
      </c>
      <c r="K66" s="1"/>
      <c r="L66" s="17" t="s">
        <v>4798</v>
      </c>
      <c r="M66" s="1" t="s">
        <v>4793</v>
      </c>
      <c r="N66" s="1" t="s">
        <v>9</v>
      </c>
    </row>
    <row r="67" spans="4:14">
      <c r="D67" s="1" t="s">
        <v>4799</v>
      </c>
      <c r="E67" s="1" t="s">
        <v>849</v>
      </c>
      <c r="F67" s="1" t="s">
        <v>4800</v>
      </c>
      <c r="G67" s="1" t="s">
        <v>4801</v>
      </c>
      <c r="H67" s="1" t="s">
        <v>4802</v>
      </c>
      <c r="K67" s="1"/>
      <c r="L67" s="17" t="s">
        <v>4798</v>
      </c>
      <c r="M67" s="1" t="s">
        <v>4793</v>
      </c>
      <c r="N67" s="1" t="s">
        <v>9</v>
      </c>
    </row>
    <row r="68" spans="4:14">
      <c r="D68" s="1" t="s">
        <v>4803</v>
      </c>
      <c r="E68" s="1" t="s">
        <v>849</v>
      </c>
      <c r="F68" s="1" t="s">
        <v>4804</v>
      </c>
      <c r="G68" s="1" t="s">
        <v>878</v>
      </c>
      <c r="H68" s="1" t="s">
        <v>4805</v>
      </c>
      <c r="K68" s="1"/>
      <c r="L68" s="17" t="s">
        <v>154</v>
      </c>
      <c r="M68" s="1" t="s">
        <v>4793</v>
      </c>
      <c r="N68" s="1" t="s">
        <v>4</v>
      </c>
    </row>
    <row r="69" spans="4:14">
      <c r="D69" s="1" t="s">
        <v>4806</v>
      </c>
      <c r="E69" s="1" t="s">
        <v>847</v>
      </c>
      <c r="F69" s="1" t="s">
        <v>4804</v>
      </c>
      <c r="G69" s="1" t="s">
        <v>4805</v>
      </c>
      <c r="H69" s="1" t="s">
        <v>4807</v>
      </c>
      <c r="K69" s="1"/>
      <c r="L69" s="17" t="s">
        <v>155</v>
      </c>
      <c r="M69" s="1" t="s">
        <v>4793</v>
      </c>
      <c r="N69" s="1" t="s">
        <v>7</v>
      </c>
    </row>
    <row r="70" spans="4:14">
      <c r="D70" s="1" t="s">
        <v>4808</v>
      </c>
      <c r="E70" s="1" t="s">
        <v>848</v>
      </c>
      <c r="F70" s="1" t="s">
        <v>4809</v>
      </c>
      <c r="G70" s="1" t="s">
        <v>4810</v>
      </c>
      <c r="K70" s="1"/>
      <c r="L70" s="17" t="s">
        <v>158</v>
      </c>
      <c r="M70" s="1" t="s">
        <v>4793</v>
      </c>
      <c r="N70" s="1" t="s">
        <v>41</v>
      </c>
    </row>
    <row r="71" spans="4:14">
      <c r="D71" s="1" t="s">
        <v>4811</v>
      </c>
      <c r="E71" s="1" t="s">
        <v>1374</v>
      </c>
      <c r="F71" s="1" t="s">
        <v>4812</v>
      </c>
      <c r="G71" s="1" t="s">
        <v>4805</v>
      </c>
      <c r="K71" s="1"/>
      <c r="L71" s="17" t="s">
        <v>159</v>
      </c>
      <c r="M71" s="1" t="s">
        <v>4793</v>
      </c>
      <c r="N71" s="1" t="s">
        <v>4</v>
      </c>
    </row>
    <row r="72" spans="4:14">
      <c r="D72" s="1" t="s">
        <v>4813</v>
      </c>
      <c r="E72" s="1" t="s">
        <v>1971</v>
      </c>
      <c r="F72" s="1" t="s">
        <v>4814</v>
      </c>
      <c r="G72" s="1" t="s">
        <v>4815</v>
      </c>
      <c r="H72" s="1" t="s">
        <v>4816</v>
      </c>
      <c r="K72" s="1"/>
      <c r="L72" s="17" t="s">
        <v>155</v>
      </c>
      <c r="M72" s="1" t="s">
        <v>4882</v>
      </c>
      <c r="N72" s="1" t="s">
        <v>7</v>
      </c>
    </row>
    <row r="73" spans="4:14">
      <c r="D73" s="1" t="s">
        <v>4817</v>
      </c>
      <c r="E73" s="1" t="s">
        <v>2014</v>
      </c>
      <c r="F73" s="1" t="s">
        <v>4818</v>
      </c>
      <c r="G73" s="1" t="s">
        <v>4805</v>
      </c>
      <c r="H73" s="1" t="s">
        <v>4819</v>
      </c>
      <c r="I73" s="1" t="s">
        <v>4820</v>
      </c>
      <c r="K73" s="1"/>
      <c r="L73" s="17" t="s">
        <v>166</v>
      </c>
      <c r="M73" s="1" t="s">
        <v>4793</v>
      </c>
      <c r="N73" s="1" t="s">
        <v>41</v>
      </c>
    </row>
    <row r="74" spans="4:14">
      <c r="D74" s="1" t="s">
        <v>4821</v>
      </c>
      <c r="E74" s="1" t="s">
        <v>1951</v>
      </c>
      <c r="F74" s="1" t="s">
        <v>4804</v>
      </c>
      <c r="G74" s="1" t="s">
        <v>4805</v>
      </c>
      <c r="H74" s="1" t="s">
        <v>4822</v>
      </c>
      <c r="K74" s="1"/>
      <c r="L74" s="17" t="s">
        <v>155</v>
      </c>
      <c r="M74" s="1" t="s">
        <v>4793</v>
      </c>
      <c r="N74" s="1" t="s">
        <v>7</v>
      </c>
    </row>
    <row r="75" spans="4:14">
      <c r="D75" s="1" t="s">
        <v>4823</v>
      </c>
      <c r="E75" s="1" t="s">
        <v>204</v>
      </c>
      <c r="F75" s="1" t="s">
        <v>4791</v>
      </c>
      <c r="G75" s="1" t="s">
        <v>4824</v>
      </c>
      <c r="K75" s="1"/>
      <c r="L75" s="17" t="s">
        <v>161</v>
      </c>
      <c r="M75" s="1" t="s">
        <v>4056</v>
      </c>
      <c r="N75" s="1" t="s">
        <v>4</v>
      </c>
    </row>
    <row r="76" spans="4:14">
      <c r="D76" s="1" t="s">
        <v>4825</v>
      </c>
      <c r="E76" s="1" t="s">
        <v>204</v>
      </c>
      <c r="F76" s="1" t="s">
        <v>4795</v>
      </c>
      <c r="G76" s="1" t="s">
        <v>4826</v>
      </c>
      <c r="H76" s="1" t="s">
        <v>4827</v>
      </c>
      <c r="K76" s="1"/>
      <c r="L76" s="17" t="s">
        <v>161</v>
      </c>
      <c r="M76" s="1" t="s">
        <v>4056</v>
      </c>
      <c r="N76" s="1" t="s">
        <v>4</v>
      </c>
    </row>
    <row r="77" spans="4:14">
      <c r="D77" s="1" t="s">
        <v>4828</v>
      </c>
      <c r="E77" s="1" t="s">
        <v>208</v>
      </c>
      <c r="F77" s="1" t="s">
        <v>4795</v>
      </c>
      <c r="G77" s="1" t="s">
        <v>4829</v>
      </c>
      <c r="H77" s="1" t="s">
        <v>4830</v>
      </c>
      <c r="K77" s="1"/>
      <c r="L77" s="17" t="s">
        <v>156</v>
      </c>
      <c r="M77" s="1" t="s">
        <v>4056</v>
      </c>
      <c r="N77" s="1" t="s">
        <v>7</v>
      </c>
    </row>
    <row r="78" spans="4:14">
      <c r="D78" s="1" t="s">
        <v>4831</v>
      </c>
      <c r="E78" s="1" t="s">
        <v>211</v>
      </c>
      <c r="F78" s="1" t="s">
        <v>4832</v>
      </c>
      <c r="G78" s="1" t="s">
        <v>4833</v>
      </c>
      <c r="K78" s="1"/>
      <c r="L78" s="17" t="s">
        <v>154</v>
      </c>
      <c r="M78" s="1" t="s">
        <v>4056</v>
      </c>
      <c r="N78" s="1" t="s">
        <v>4</v>
      </c>
    </row>
    <row r="79" spans="4:14">
      <c r="D79" s="1" t="s">
        <v>3666</v>
      </c>
      <c r="E79" s="1" t="s">
        <v>209</v>
      </c>
      <c r="F79" s="1" t="s">
        <v>4834</v>
      </c>
      <c r="G79" s="1" t="s">
        <v>4835</v>
      </c>
      <c r="H79" s="1" t="s">
        <v>4836</v>
      </c>
      <c r="I79" s="1" t="s">
        <v>4837</v>
      </c>
      <c r="K79" s="1"/>
      <c r="L79" s="17" t="s">
        <v>166</v>
      </c>
      <c r="M79" s="1" t="s">
        <v>4056</v>
      </c>
      <c r="N79" s="1" t="s">
        <v>7</v>
      </c>
    </row>
    <row r="80" spans="4:14">
      <c r="D80" s="1" t="s">
        <v>4057</v>
      </c>
      <c r="E80" s="1" t="s">
        <v>209</v>
      </c>
      <c r="F80" s="1" t="s">
        <v>4832</v>
      </c>
      <c r="G80" s="1" t="s">
        <v>4058</v>
      </c>
      <c r="H80" s="1" t="s">
        <v>4059</v>
      </c>
      <c r="K80" s="1"/>
      <c r="L80" s="17" t="s">
        <v>154</v>
      </c>
      <c r="M80" s="1" t="s">
        <v>4056</v>
      </c>
      <c r="N80" s="1" t="s">
        <v>7</v>
      </c>
    </row>
    <row r="81" spans="4:14">
      <c r="D81" s="1" t="s">
        <v>4838</v>
      </c>
      <c r="E81" s="1" t="s">
        <v>185</v>
      </c>
      <c r="F81" s="1" t="s">
        <v>4832</v>
      </c>
      <c r="G81" s="1" t="s">
        <v>4839</v>
      </c>
      <c r="K81" s="1"/>
      <c r="L81" s="17" t="s">
        <v>165</v>
      </c>
      <c r="M81" s="1" t="s">
        <v>4056</v>
      </c>
      <c r="N81" s="1" t="s">
        <v>4</v>
      </c>
    </row>
    <row r="82" spans="4:14">
      <c r="D82" s="1" t="s">
        <v>4840</v>
      </c>
      <c r="E82" s="1" t="s">
        <v>187</v>
      </c>
      <c r="F82" s="1" t="s">
        <v>4832</v>
      </c>
      <c r="G82" s="1" t="s">
        <v>4841</v>
      </c>
      <c r="H82" s="1" t="s">
        <v>4842</v>
      </c>
      <c r="I82" s="1" t="s">
        <v>4843</v>
      </c>
      <c r="K82" s="1"/>
      <c r="L82" s="17" t="s">
        <v>154</v>
      </c>
      <c r="M82" s="1" t="s">
        <v>4056</v>
      </c>
      <c r="N82" s="1" t="s">
        <v>9</v>
      </c>
    </row>
    <row r="83" spans="4:14">
      <c r="D83" s="1" t="s">
        <v>4844</v>
      </c>
      <c r="E83" s="1" t="s">
        <v>204</v>
      </c>
      <c r="F83" s="1" t="s">
        <v>4832</v>
      </c>
      <c r="G83" s="1" t="s">
        <v>4845</v>
      </c>
      <c r="K83" s="1"/>
      <c r="L83" s="17" t="s">
        <v>155</v>
      </c>
      <c r="M83" s="1" t="s">
        <v>4056</v>
      </c>
      <c r="N83" s="1" t="s">
        <v>9</v>
      </c>
    </row>
    <row r="84" spans="4:14">
      <c r="D84" s="1" t="s">
        <v>4846</v>
      </c>
      <c r="E84" s="1" t="s">
        <v>208</v>
      </c>
      <c r="F84" s="1" t="s">
        <v>4795</v>
      </c>
      <c r="G84" s="1" t="s">
        <v>4847</v>
      </c>
      <c r="H84" s="1" t="s">
        <v>4848</v>
      </c>
      <c r="K84" s="1"/>
      <c r="L84" s="17" t="s">
        <v>154</v>
      </c>
      <c r="M84" s="1" t="s">
        <v>4056</v>
      </c>
      <c r="N84" s="1" t="s">
        <v>41</v>
      </c>
    </row>
    <row r="85" spans="4:14">
      <c r="D85" s="1" t="s">
        <v>4849</v>
      </c>
      <c r="E85" s="1" t="s">
        <v>187</v>
      </c>
      <c r="F85" s="1" t="s">
        <v>4832</v>
      </c>
      <c r="G85" s="1" t="s">
        <v>4850</v>
      </c>
      <c r="K85" s="1"/>
      <c r="L85" s="17" t="s">
        <v>154</v>
      </c>
      <c r="M85" s="1" t="s">
        <v>4056</v>
      </c>
      <c r="N85" s="1" t="s">
        <v>4</v>
      </c>
    </row>
    <row r="86" spans="4:14">
      <c r="D86" s="1" t="s">
        <v>3698</v>
      </c>
      <c r="E86" s="1" t="s">
        <v>852</v>
      </c>
      <c r="F86" s="1" t="s">
        <v>4800</v>
      </c>
      <c r="G86" s="1" t="s">
        <v>4851</v>
      </c>
      <c r="H86" s="1" t="s">
        <v>4852</v>
      </c>
      <c r="K86" s="1"/>
      <c r="L86" s="17" t="s">
        <v>166</v>
      </c>
      <c r="M86" s="1" t="s">
        <v>4056</v>
      </c>
      <c r="N86" s="1" t="s">
        <v>9</v>
      </c>
    </row>
    <row r="87" spans="4:14">
      <c r="D87" s="1" t="s">
        <v>4060</v>
      </c>
      <c r="E87" s="1" t="s">
        <v>4061</v>
      </c>
      <c r="F87" s="1" t="s">
        <v>4804</v>
      </c>
      <c r="G87" s="1" t="s">
        <v>4062</v>
      </c>
      <c r="H87" s="1" t="s">
        <v>4063</v>
      </c>
      <c r="K87" s="1"/>
      <c r="L87" s="17" t="s">
        <v>4853</v>
      </c>
      <c r="M87" s="1" t="s">
        <v>4056</v>
      </c>
      <c r="N87" s="1" t="s">
        <v>4</v>
      </c>
    </row>
    <row r="88" spans="4:14">
      <c r="D88" s="1" t="s">
        <v>4854</v>
      </c>
      <c r="E88" s="1" t="s">
        <v>852</v>
      </c>
      <c r="F88" s="1" t="s">
        <v>4855</v>
      </c>
      <c r="G88" s="1" t="s">
        <v>4856</v>
      </c>
      <c r="H88" s="1" t="s">
        <v>4857</v>
      </c>
      <c r="K88" s="1"/>
      <c r="L88" s="17" t="s">
        <v>4858</v>
      </c>
      <c r="M88" s="1" t="s">
        <v>4056</v>
      </c>
      <c r="N88" s="1" t="s">
        <v>9</v>
      </c>
    </row>
    <row r="89" spans="4:14">
      <c r="D89" s="1" t="s">
        <v>4859</v>
      </c>
      <c r="E89" s="1" t="s">
        <v>1101</v>
      </c>
      <c r="F89" s="1" t="s">
        <v>4791</v>
      </c>
      <c r="G89" s="1" t="s">
        <v>4860</v>
      </c>
      <c r="K89" s="1"/>
      <c r="L89" s="17" t="s">
        <v>163</v>
      </c>
      <c r="M89" s="1" t="s">
        <v>4056</v>
      </c>
      <c r="N89" s="1" t="s">
        <v>4</v>
      </c>
    </row>
    <row r="90" spans="4:14">
      <c r="D90" s="1" t="s">
        <v>3670</v>
      </c>
      <c r="E90" s="1" t="s">
        <v>1104</v>
      </c>
      <c r="F90" s="1" t="s">
        <v>4861</v>
      </c>
      <c r="G90" s="1" t="s">
        <v>4862</v>
      </c>
      <c r="H90" s="1" t="s">
        <v>4863</v>
      </c>
      <c r="I90" s="1" t="s">
        <v>4864</v>
      </c>
      <c r="K90" s="1"/>
      <c r="L90" s="17" t="s">
        <v>154</v>
      </c>
      <c r="M90" s="1" t="s">
        <v>4056</v>
      </c>
      <c r="N90" s="1" t="s">
        <v>7</v>
      </c>
    </row>
    <row r="91" spans="4:14">
      <c r="D91" s="1" t="s">
        <v>4865</v>
      </c>
      <c r="E91" s="1" t="s">
        <v>1104</v>
      </c>
      <c r="F91" s="1" t="s">
        <v>4866</v>
      </c>
      <c r="G91" s="1" t="s">
        <v>1050</v>
      </c>
      <c r="H91" s="1" t="s">
        <v>4867</v>
      </c>
      <c r="K91" s="1"/>
      <c r="L91" s="17" t="s">
        <v>158</v>
      </c>
      <c r="M91" s="1" t="s">
        <v>4056</v>
      </c>
      <c r="N91" s="1" t="s">
        <v>4</v>
      </c>
    </row>
    <row r="92" spans="4:14">
      <c r="D92" s="1" t="s">
        <v>4868</v>
      </c>
      <c r="E92" s="1" t="s">
        <v>1374</v>
      </c>
      <c r="F92" s="1" t="s">
        <v>4812</v>
      </c>
      <c r="G92" s="1" t="s">
        <v>1095</v>
      </c>
      <c r="H92" s="1" t="s">
        <v>4829</v>
      </c>
      <c r="K92" s="1"/>
      <c r="L92" s="17" t="s">
        <v>159</v>
      </c>
      <c r="M92" s="1" t="s">
        <v>4056</v>
      </c>
      <c r="N92" s="1" t="s">
        <v>4</v>
      </c>
    </row>
    <row r="93" spans="4:14">
      <c r="D93" s="1" t="s">
        <v>4869</v>
      </c>
      <c r="E93" s="1" t="s">
        <v>1620</v>
      </c>
      <c r="F93" s="1" t="s">
        <v>4812</v>
      </c>
      <c r="G93" s="1" t="s">
        <v>20</v>
      </c>
      <c r="H93" s="1" t="s">
        <v>4829</v>
      </c>
      <c r="K93" s="1"/>
      <c r="L93" s="17" t="s">
        <v>162</v>
      </c>
      <c r="M93" s="1" t="s">
        <v>4056</v>
      </c>
      <c r="N93" s="1" t="s">
        <v>4</v>
      </c>
    </row>
    <row r="94" spans="4:14">
      <c r="D94" s="1" t="s">
        <v>4870</v>
      </c>
      <c r="E94" s="1" t="s">
        <v>1980</v>
      </c>
      <c r="F94" s="1" t="s">
        <v>4871</v>
      </c>
      <c r="G94" s="1" t="s">
        <v>4829</v>
      </c>
      <c r="H94" s="1" t="s">
        <v>4872</v>
      </c>
      <c r="K94" s="1"/>
      <c r="L94" s="17" t="s">
        <v>4858</v>
      </c>
      <c r="M94" s="1" t="s">
        <v>4056</v>
      </c>
      <c r="N94" s="1" t="s">
        <v>9</v>
      </c>
    </row>
    <row r="95" spans="4:14">
      <c r="D95" s="1" t="s">
        <v>4873</v>
      </c>
      <c r="E95" s="1" t="s">
        <v>1922</v>
      </c>
      <c r="F95" s="1" t="s">
        <v>4834</v>
      </c>
      <c r="G95" s="1" t="s">
        <v>4874</v>
      </c>
      <c r="H95" s="1" t="s">
        <v>4875</v>
      </c>
      <c r="K95" s="1"/>
      <c r="L95" s="17" t="s">
        <v>4858</v>
      </c>
      <c r="M95" s="1" t="s">
        <v>4056</v>
      </c>
      <c r="N95" s="1" t="s">
        <v>7</v>
      </c>
    </row>
    <row r="96" spans="4:14">
      <c r="D96" s="1" t="s">
        <v>4876</v>
      </c>
      <c r="E96" s="1" t="s">
        <v>4877</v>
      </c>
      <c r="F96" s="1" t="s">
        <v>4878</v>
      </c>
      <c r="G96" s="1" t="s">
        <v>4879</v>
      </c>
      <c r="H96" s="1" t="s">
        <v>4880</v>
      </c>
      <c r="I96" s="1" t="s">
        <v>4881</v>
      </c>
      <c r="K96" s="1"/>
      <c r="L96" s="17" t="s">
        <v>166</v>
      </c>
      <c r="M96" s="1" t="s">
        <v>4056</v>
      </c>
      <c r="N96" s="1" t="s">
        <v>41</v>
      </c>
    </row>
  </sheetData>
  <phoneticPr fontId="1"/>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54"/>
  <sheetViews>
    <sheetView zoomScale="70" zoomScaleNormal="70" workbookViewId="0">
      <selection activeCell="E3" sqref="E3"/>
    </sheetView>
  </sheetViews>
  <sheetFormatPr defaultRowHeight="13.5"/>
  <cols>
    <col min="1" max="16384" width="9" style="1"/>
  </cols>
  <sheetData>
    <row r="1" spans="1:17">
      <c r="B1" s="1" t="s">
        <v>3151</v>
      </c>
      <c r="C1" s="1" t="s">
        <v>3152</v>
      </c>
      <c r="D1" s="1" t="s">
        <v>3160</v>
      </c>
      <c r="E1" s="1" t="s">
        <v>3153</v>
      </c>
      <c r="F1" s="1" t="s">
        <v>3154</v>
      </c>
      <c r="G1" s="1" t="s">
        <v>3155</v>
      </c>
      <c r="H1" s="1" t="s">
        <v>3156</v>
      </c>
      <c r="I1" s="1" t="s">
        <v>3157</v>
      </c>
      <c r="N1" s="1" t="s">
        <v>3456</v>
      </c>
      <c r="O1" s="1" t="s">
        <v>3158</v>
      </c>
      <c r="P1" s="1" t="s">
        <v>3159</v>
      </c>
    </row>
    <row r="2" spans="1:17">
      <c r="A2" s="1">
        <v>6</v>
      </c>
      <c r="B2" s="1" t="s">
        <v>389</v>
      </c>
      <c r="C2" s="1" t="s">
        <v>187</v>
      </c>
      <c r="E2" s="1" t="s">
        <v>3094</v>
      </c>
      <c r="F2" s="1" t="s">
        <v>3097</v>
      </c>
      <c r="G2" s="1" t="s">
        <v>3053</v>
      </c>
      <c r="H2" s="1" t="s">
        <v>3060</v>
      </c>
      <c r="I2" s="1" t="s">
        <v>83</v>
      </c>
      <c r="O2" s="1" t="s">
        <v>154</v>
      </c>
      <c r="P2" s="1" t="s">
        <v>37</v>
      </c>
      <c r="Q2" s="1" t="s">
        <v>4</v>
      </c>
    </row>
    <row r="3" spans="1:17">
      <c r="A3" s="1">
        <v>19</v>
      </c>
      <c r="B3" s="1" t="s">
        <v>441</v>
      </c>
      <c r="C3" s="1" t="s">
        <v>204</v>
      </c>
      <c r="E3" s="1" t="s">
        <v>3094</v>
      </c>
      <c r="F3" s="1" t="s">
        <v>3097</v>
      </c>
      <c r="G3" s="1" t="s">
        <v>3050</v>
      </c>
      <c r="H3" s="1" t="s">
        <v>3924</v>
      </c>
      <c r="I3" s="1" t="s">
        <v>23</v>
      </c>
      <c r="O3" s="1" t="s">
        <v>163</v>
      </c>
      <c r="P3" s="1" t="s">
        <v>37</v>
      </c>
      <c r="Q3" s="1" t="s">
        <v>4</v>
      </c>
    </row>
    <row r="4" spans="1:17">
      <c r="A4" s="1">
        <v>24</v>
      </c>
      <c r="B4" s="1" t="s">
        <v>447</v>
      </c>
      <c r="C4" s="1" t="s">
        <v>204</v>
      </c>
      <c r="E4" s="1" t="s">
        <v>3094</v>
      </c>
      <c r="F4" s="1" t="s">
        <v>3097</v>
      </c>
      <c r="G4" s="1" t="s">
        <v>3054</v>
      </c>
      <c r="H4" s="1" t="s">
        <v>3060</v>
      </c>
      <c r="I4" s="1" t="s">
        <v>121</v>
      </c>
      <c r="O4" s="1" t="s">
        <v>161</v>
      </c>
      <c r="P4" s="1" t="s">
        <v>28</v>
      </c>
      <c r="Q4" s="1" t="s">
        <v>4</v>
      </c>
    </row>
    <row r="5" spans="1:17">
      <c r="A5" s="1">
        <v>25</v>
      </c>
      <c r="B5" s="1" t="s">
        <v>463</v>
      </c>
      <c r="C5" s="1" t="s">
        <v>185</v>
      </c>
      <c r="E5" s="1" t="s">
        <v>3094</v>
      </c>
      <c r="F5" s="1" t="s">
        <v>3097</v>
      </c>
      <c r="G5" s="1" t="s">
        <v>3051</v>
      </c>
      <c r="H5" s="1" t="s">
        <v>3060</v>
      </c>
      <c r="I5" s="1" t="s">
        <v>131</v>
      </c>
      <c r="O5" s="1" t="s">
        <v>165</v>
      </c>
      <c r="P5" s="1" t="s">
        <v>37</v>
      </c>
      <c r="Q5" s="1" t="s">
        <v>4</v>
      </c>
    </row>
    <row r="7" spans="1:17">
      <c r="A7" s="1">
        <v>4</v>
      </c>
      <c r="B7" s="1" t="s">
        <v>2165</v>
      </c>
      <c r="C7" s="1" t="s">
        <v>846</v>
      </c>
      <c r="E7" s="1" t="s">
        <v>3094</v>
      </c>
      <c r="F7" s="1" t="s">
        <v>3097</v>
      </c>
      <c r="G7" s="1" t="s">
        <v>3051</v>
      </c>
      <c r="H7" s="1" t="s">
        <v>3060</v>
      </c>
      <c r="I7" s="1" t="s">
        <v>797</v>
      </c>
      <c r="O7" s="1" t="s">
        <v>158</v>
      </c>
      <c r="P7" s="1" t="s">
        <v>604</v>
      </c>
      <c r="Q7" s="1" t="s">
        <v>4</v>
      </c>
    </row>
    <row r="9" spans="1:17">
      <c r="A9" s="1">
        <v>13</v>
      </c>
      <c r="B9" s="1" t="s">
        <v>2357</v>
      </c>
      <c r="C9" s="1" t="s">
        <v>1100</v>
      </c>
      <c r="E9" s="1" t="s">
        <v>3094</v>
      </c>
      <c r="F9" s="1" t="s">
        <v>3097</v>
      </c>
      <c r="G9" s="1" t="s">
        <v>3055</v>
      </c>
      <c r="H9" s="1" t="s">
        <v>3060</v>
      </c>
      <c r="I9" s="1" t="s">
        <v>1054</v>
      </c>
      <c r="J9" s="1" t="s">
        <v>1055</v>
      </c>
      <c r="O9" s="1" t="s">
        <v>155</v>
      </c>
      <c r="P9" s="1" t="s">
        <v>604</v>
      </c>
      <c r="Q9" s="1" t="s">
        <v>4</v>
      </c>
    </row>
    <row r="10" spans="1:17">
      <c r="A10" s="1">
        <v>29</v>
      </c>
      <c r="B10" s="1" t="s">
        <v>2390</v>
      </c>
      <c r="C10" s="1" t="s">
        <v>1104</v>
      </c>
      <c r="E10" s="1" t="s">
        <v>3094</v>
      </c>
      <c r="F10" s="1" t="s">
        <v>3097</v>
      </c>
      <c r="G10" s="1" t="s">
        <v>3075</v>
      </c>
      <c r="H10" s="1" t="s">
        <v>3060</v>
      </c>
      <c r="I10" s="1" t="s">
        <v>1085</v>
      </c>
      <c r="O10" s="1" t="s">
        <v>1098</v>
      </c>
      <c r="P10" s="1" t="s">
        <v>37</v>
      </c>
      <c r="Q10" s="1" t="s">
        <v>4</v>
      </c>
    </row>
    <row r="11" spans="1:17">
      <c r="A11" s="1">
        <v>31</v>
      </c>
      <c r="B11" s="1" t="s">
        <v>2395</v>
      </c>
      <c r="C11" s="1" t="s">
        <v>1104</v>
      </c>
      <c r="E11" s="1" t="s">
        <v>3094</v>
      </c>
      <c r="F11" s="1" t="s">
        <v>3097</v>
      </c>
      <c r="G11" s="1" t="s">
        <v>3055</v>
      </c>
      <c r="H11" s="1" t="s">
        <v>3060</v>
      </c>
      <c r="I11" s="1" t="s">
        <v>1090</v>
      </c>
      <c r="O11" s="1" t="s">
        <v>154</v>
      </c>
      <c r="P11" s="1" t="s">
        <v>607</v>
      </c>
      <c r="Q11" s="1" t="s">
        <v>4</v>
      </c>
    </row>
    <row r="13" spans="1:17">
      <c r="A13" s="1">
        <v>9</v>
      </c>
      <c r="B13" s="1" t="s">
        <v>2526</v>
      </c>
      <c r="C13" s="1" t="s">
        <v>1372</v>
      </c>
      <c r="E13" s="1" t="s">
        <v>3094</v>
      </c>
      <c r="F13" s="1" t="s">
        <v>3097</v>
      </c>
      <c r="G13" s="1" t="s">
        <v>3057</v>
      </c>
      <c r="H13" s="1" t="s">
        <v>3060</v>
      </c>
      <c r="I13" s="1" t="s">
        <v>1094</v>
      </c>
      <c r="J13" s="1" t="s">
        <v>1318</v>
      </c>
      <c r="O13" s="1" t="s">
        <v>155</v>
      </c>
      <c r="P13" s="1" t="s">
        <v>604</v>
      </c>
      <c r="Q13" s="1" t="s">
        <v>4</v>
      </c>
    </row>
    <row r="14" spans="1:17">
      <c r="A14" s="1">
        <v>10</v>
      </c>
      <c r="B14" s="1" t="s">
        <v>2533</v>
      </c>
      <c r="C14" s="1" t="s">
        <v>1372</v>
      </c>
      <c r="E14" s="1" t="s">
        <v>3094</v>
      </c>
      <c r="F14" s="1" t="s">
        <v>3097</v>
      </c>
      <c r="G14" s="1" t="s">
        <v>3057</v>
      </c>
      <c r="H14" s="1" t="s">
        <v>3060</v>
      </c>
      <c r="I14" s="1" t="s">
        <v>1325</v>
      </c>
      <c r="O14" s="1" t="s">
        <v>159</v>
      </c>
      <c r="P14" s="1" t="s">
        <v>607</v>
      </c>
      <c r="Q14" s="1" t="s">
        <v>4</v>
      </c>
    </row>
    <row r="15" spans="1:17">
      <c r="A15" s="1">
        <v>12</v>
      </c>
      <c r="B15" s="1" t="s">
        <v>2517</v>
      </c>
      <c r="C15" s="1" t="s">
        <v>1372</v>
      </c>
      <c r="E15" s="1" t="s">
        <v>3094</v>
      </c>
      <c r="F15" s="1" t="s">
        <v>3097</v>
      </c>
      <c r="G15" s="1" t="s">
        <v>3055</v>
      </c>
      <c r="H15" s="1" t="s">
        <v>3060</v>
      </c>
      <c r="I15" s="1" t="s">
        <v>1309</v>
      </c>
      <c r="O15" s="1" t="s">
        <v>154</v>
      </c>
      <c r="P15" s="1" t="s">
        <v>28</v>
      </c>
      <c r="Q15" s="1" t="s">
        <v>4</v>
      </c>
    </row>
    <row r="16" spans="1:17">
      <c r="A16" s="1">
        <v>22</v>
      </c>
      <c r="B16" s="1" t="s">
        <v>2539</v>
      </c>
      <c r="C16" s="1" t="s">
        <v>1374</v>
      </c>
      <c r="E16" s="1" t="s">
        <v>3094</v>
      </c>
      <c r="F16" s="1" t="s">
        <v>3097</v>
      </c>
      <c r="G16" s="1" t="s">
        <v>3075</v>
      </c>
      <c r="H16" s="1" t="s">
        <v>3060</v>
      </c>
      <c r="I16" s="1" t="s">
        <v>1329</v>
      </c>
      <c r="O16" s="1" t="s">
        <v>162</v>
      </c>
      <c r="P16" s="1" t="s">
        <v>37</v>
      </c>
      <c r="Q16" s="1" t="s">
        <v>4</v>
      </c>
    </row>
    <row r="18" spans="1:17">
      <c r="A18" s="1">
        <v>11</v>
      </c>
      <c r="B18" s="1" t="s">
        <v>2748</v>
      </c>
      <c r="C18" s="1" t="s">
        <v>1611</v>
      </c>
      <c r="E18" s="1" t="s">
        <v>3094</v>
      </c>
      <c r="F18" s="1" t="s">
        <v>3097</v>
      </c>
      <c r="G18" s="1" t="s">
        <v>3055</v>
      </c>
      <c r="H18" s="1" t="s">
        <v>3060</v>
      </c>
      <c r="I18" s="1" t="s">
        <v>1575</v>
      </c>
      <c r="O18" s="1" t="s">
        <v>155</v>
      </c>
      <c r="P18" s="1" t="s">
        <v>607</v>
      </c>
      <c r="Q18" s="1" t="s">
        <v>4</v>
      </c>
    </row>
    <row r="19" spans="1:17">
      <c r="A19" s="1">
        <v>27</v>
      </c>
      <c r="B19" s="1" t="s">
        <v>2774</v>
      </c>
      <c r="C19" s="1" t="s">
        <v>1620</v>
      </c>
      <c r="E19" s="1" t="s">
        <v>3094</v>
      </c>
      <c r="F19" s="1" t="s">
        <v>3097</v>
      </c>
      <c r="G19" s="1" t="s">
        <v>3055</v>
      </c>
      <c r="H19" s="1" t="s">
        <v>3060</v>
      </c>
      <c r="I19" s="1" t="s">
        <v>20</v>
      </c>
      <c r="J19" s="1" t="s">
        <v>1590</v>
      </c>
      <c r="O19" s="1" t="s">
        <v>154</v>
      </c>
      <c r="P19" s="1" t="s">
        <v>604</v>
      </c>
      <c r="Q19" s="1" t="s">
        <v>4</v>
      </c>
    </row>
    <row r="23" spans="1:17">
      <c r="A23" s="1">
        <v>1</v>
      </c>
      <c r="B23" s="1" t="s">
        <v>634</v>
      </c>
      <c r="C23" s="1" t="s">
        <v>186</v>
      </c>
      <c r="E23" s="1" t="s">
        <v>3094</v>
      </c>
      <c r="F23" s="1" t="s">
        <v>3097</v>
      </c>
      <c r="G23" s="1" t="s">
        <v>3050</v>
      </c>
      <c r="H23" s="1" t="s">
        <v>3060</v>
      </c>
      <c r="I23" s="1" t="s">
        <v>217</v>
      </c>
      <c r="O23" s="1" t="s">
        <v>608</v>
      </c>
      <c r="P23" s="1" t="s">
        <v>604</v>
      </c>
      <c r="Q23" s="1" t="s">
        <v>7</v>
      </c>
    </row>
    <row r="24" spans="1:17">
      <c r="A24" s="1">
        <v>2</v>
      </c>
      <c r="B24" s="1" t="s">
        <v>647</v>
      </c>
      <c r="C24" s="1" t="s">
        <v>186</v>
      </c>
      <c r="E24" s="1" t="s">
        <v>3094</v>
      </c>
      <c r="F24" s="1" t="s">
        <v>3097</v>
      </c>
      <c r="G24" s="1" t="s">
        <v>3049</v>
      </c>
      <c r="H24" s="1" t="s">
        <v>3060</v>
      </c>
      <c r="O24" s="1" t="s">
        <v>159</v>
      </c>
      <c r="P24" s="1" t="s">
        <v>28</v>
      </c>
      <c r="Q24" s="1" t="s">
        <v>7</v>
      </c>
    </row>
    <row r="25" spans="1:17">
      <c r="A25" s="1">
        <v>7</v>
      </c>
      <c r="B25" s="1" t="s">
        <v>661</v>
      </c>
      <c r="C25" s="1" t="s">
        <v>188</v>
      </c>
      <c r="E25" s="1" t="s">
        <v>3094</v>
      </c>
      <c r="F25" s="1" t="s">
        <v>3097</v>
      </c>
      <c r="G25" s="1" t="s">
        <v>3050</v>
      </c>
      <c r="H25" s="1" t="s">
        <v>3060</v>
      </c>
      <c r="I25" s="1" t="s">
        <v>25</v>
      </c>
      <c r="J25" s="1" t="s">
        <v>241</v>
      </c>
      <c r="O25" s="1" t="s">
        <v>155</v>
      </c>
      <c r="P25" s="1" t="s">
        <v>607</v>
      </c>
      <c r="Q25" s="1" t="s">
        <v>7</v>
      </c>
    </row>
    <row r="26" spans="1:17">
      <c r="A26" s="1">
        <v>8</v>
      </c>
      <c r="B26" s="1" t="s">
        <v>677</v>
      </c>
      <c r="C26" s="1" t="s">
        <v>187</v>
      </c>
      <c r="E26" s="1" t="s">
        <v>3094</v>
      </c>
      <c r="F26" s="1" t="s">
        <v>3097</v>
      </c>
      <c r="G26" s="1" t="s">
        <v>3053</v>
      </c>
      <c r="H26" s="1" t="s">
        <v>3060</v>
      </c>
      <c r="I26" s="1" t="s">
        <v>617</v>
      </c>
      <c r="O26" s="1" t="s">
        <v>154</v>
      </c>
      <c r="P26" s="1" t="s">
        <v>28</v>
      </c>
      <c r="Q26" s="1" t="s">
        <v>7</v>
      </c>
    </row>
    <row r="28" spans="1:17">
      <c r="A28" s="1">
        <v>21</v>
      </c>
      <c r="B28" s="1" t="s">
        <v>2240</v>
      </c>
      <c r="C28" s="1" t="s">
        <v>847</v>
      </c>
      <c r="E28" s="1" t="s">
        <v>3094</v>
      </c>
      <c r="F28" s="1" t="s">
        <v>3097</v>
      </c>
      <c r="G28" s="1" t="s">
        <v>3051</v>
      </c>
      <c r="H28" s="1" t="s">
        <v>3060</v>
      </c>
      <c r="I28" s="1" t="s">
        <v>892</v>
      </c>
      <c r="J28" s="1" t="s">
        <v>893</v>
      </c>
      <c r="O28" s="1" t="s">
        <v>161</v>
      </c>
      <c r="P28" s="1" t="s">
        <v>28</v>
      </c>
      <c r="Q28" s="1" t="s">
        <v>7</v>
      </c>
    </row>
    <row r="30" spans="1:17">
      <c r="A30" s="1">
        <v>3</v>
      </c>
      <c r="B30" s="1" t="s">
        <v>2411</v>
      </c>
      <c r="C30" s="1" t="s">
        <v>1100</v>
      </c>
      <c r="E30" s="1" t="s">
        <v>3094</v>
      </c>
      <c r="F30" s="1" t="s">
        <v>3097</v>
      </c>
      <c r="G30" s="1" t="s">
        <v>3071</v>
      </c>
      <c r="H30" s="1" t="s">
        <v>3060</v>
      </c>
      <c r="I30" s="1" t="s">
        <v>1129</v>
      </c>
      <c r="O30" s="1" t="s">
        <v>155</v>
      </c>
      <c r="P30" s="1" t="s">
        <v>28</v>
      </c>
      <c r="Q30" s="1" t="s">
        <v>7</v>
      </c>
    </row>
    <row r="31" spans="1:17">
      <c r="A31" s="1">
        <v>23</v>
      </c>
      <c r="B31" s="1" t="s">
        <v>2429</v>
      </c>
      <c r="C31" s="1" t="s">
        <v>1101</v>
      </c>
      <c r="E31" s="1" t="s">
        <v>3094</v>
      </c>
      <c r="F31" s="1" t="s">
        <v>3097</v>
      </c>
      <c r="G31" s="1" t="s">
        <v>3076</v>
      </c>
      <c r="H31" s="1" t="s">
        <v>3060</v>
      </c>
      <c r="I31" s="1" t="s">
        <v>1185</v>
      </c>
      <c r="O31" s="1" t="s">
        <v>154</v>
      </c>
      <c r="P31" s="1" t="s">
        <v>28</v>
      </c>
      <c r="Q31" s="1" t="s">
        <v>7</v>
      </c>
    </row>
    <row r="33" spans="1:17">
      <c r="A33" s="1">
        <v>16</v>
      </c>
      <c r="B33" s="1" t="s">
        <v>2642</v>
      </c>
      <c r="C33" s="1" t="s">
        <v>1374</v>
      </c>
      <c r="E33" s="1" t="s">
        <v>3094</v>
      </c>
      <c r="F33" s="1" t="s">
        <v>3097</v>
      </c>
      <c r="G33" s="1" t="s">
        <v>3075</v>
      </c>
      <c r="H33" s="1" t="s">
        <v>3060</v>
      </c>
      <c r="I33" s="1" t="s">
        <v>1439</v>
      </c>
      <c r="O33" s="1" t="s">
        <v>154</v>
      </c>
      <c r="P33" s="1" t="s">
        <v>28</v>
      </c>
      <c r="Q33" s="1" t="s">
        <v>7</v>
      </c>
    </row>
    <row r="34" spans="1:17">
      <c r="A34" s="1">
        <v>35</v>
      </c>
      <c r="B34" s="1" t="s">
        <v>2665</v>
      </c>
      <c r="C34" s="1" t="s">
        <v>1465</v>
      </c>
      <c r="E34" s="1" t="s">
        <v>3094</v>
      </c>
      <c r="F34" s="1" t="s">
        <v>3097</v>
      </c>
      <c r="G34" s="1" t="s">
        <v>3075</v>
      </c>
      <c r="H34" s="1" t="s">
        <v>3060</v>
      </c>
      <c r="I34" s="1" t="s">
        <v>1461</v>
      </c>
      <c r="O34" s="1" t="s">
        <v>162</v>
      </c>
      <c r="P34" s="1" t="s">
        <v>607</v>
      </c>
      <c r="Q34" s="1" t="s">
        <v>7</v>
      </c>
    </row>
    <row r="36" spans="1:17">
      <c r="A36" s="1">
        <v>14</v>
      </c>
      <c r="B36" s="1" t="s">
        <v>2980</v>
      </c>
      <c r="C36" s="1" t="s">
        <v>1971</v>
      </c>
      <c r="E36" s="1" t="s">
        <v>3094</v>
      </c>
      <c r="F36" s="1" t="s">
        <v>3097</v>
      </c>
      <c r="G36" s="1" t="s">
        <v>3050</v>
      </c>
      <c r="H36" s="1" t="s">
        <v>3060</v>
      </c>
      <c r="I36" s="1" t="s">
        <v>1976</v>
      </c>
      <c r="O36" s="1" t="s">
        <v>162</v>
      </c>
      <c r="P36" s="1" t="s">
        <v>37</v>
      </c>
      <c r="Q36" s="1" t="s">
        <v>7</v>
      </c>
    </row>
    <row r="37" spans="1:17">
      <c r="A37" s="1">
        <v>33</v>
      </c>
      <c r="B37" s="1" t="s">
        <v>2983</v>
      </c>
      <c r="C37" s="1" t="s">
        <v>1980</v>
      </c>
      <c r="E37" s="1" t="s">
        <v>3094</v>
      </c>
      <c r="F37" s="1" t="s">
        <v>3097</v>
      </c>
      <c r="G37" s="1" t="s">
        <v>3050</v>
      </c>
      <c r="H37" s="1" t="s">
        <v>3060</v>
      </c>
      <c r="I37" s="1" t="s">
        <v>1978</v>
      </c>
      <c r="O37" s="1" t="s">
        <v>154</v>
      </c>
      <c r="P37" s="1" t="s">
        <v>28</v>
      </c>
      <c r="Q37" s="1" t="s">
        <v>7</v>
      </c>
    </row>
    <row r="40" spans="1:17">
      <c r="A40" s="1">
        <v>17</v>
      </c>
      <c r="B40" s="1" t="s">
        <v>2077</v>
      </c>
      <c r="C40" s="1" t="s">
        <v>204</v>
      </c>
      <c r="E40" s="1" t="s">
        <v>3094</v>
      </c>
      <c r="F40" s="1" t="s">
        <v>3097</v>
      </c>
      <c r="G40" s="1" t="s">
        <v>3049</v>
      </c>
      <c r="H40" s="1" t="s">
        <v>3060</v>
      </c>
      <c r="I40" s="1" t="s">
        <v>551</v>
      </c>
      <c r="O40" s="1" t="s">
        <v>162</v>
      </c>
      <c r="P40" s="1" t="s">
        <v>28</v>
      </c>
      <c r="Q40" s="1" t="s">
        <v>9</v>
      </c>
    </row>
    <row r="41" spans="1:17">
      <c r="A41" s="1">
        <v>20</v>
      </c>
      <c r="B41" s="1" t="s">
        <v>2091</v>
      </c>
      <c r="C41" s="1" t="s">
        <v>204</v>
      </c>
      <c r="E41" s="1" t="s">
        <v>3094</v>
      </c>
      <c r="F41" s="1" t="s">
        <v>3097</v>
      </c>
      <c r="G41" s="1" t="s">
        <v>3053</v>
      </c>
      <c r="H41" s="1" t="s">
        <v>3060</v>
      </c>
      <c r="I41" s="1" t="s">
        <v>546</v>
      </c>
      <c r="O41" s="1" t="s">
        <v>161</v>
      </c>
      <c r="P41" s="1" t="s">
        <v>607</v>
      </c>
      <c r="Q41" s="1" t="s">
        <v>9</v>
      </c>
    </row>
    <row r="42" spans="1:17">
      <c r="A42" s="1">
        <v>26</v>
      </c>
      <c r="B42" s="1" t="s">
        <v>2108</v>
      </c>
      <c r="C42" s="1" t="s">
        <v>185</v>
      </c>
      <c r="E42" s="1" t="s">
        <v>3094</v>
      </c>
      <c r="F42" s="1" t="s">
        <v>3097</v>
      </c>
      <c r="G42" s="1" t="s">
        <v>3054</v>
      </c>
      <c r="H42" s="1" t="s">
        <v>3060</v>
      </c>
      <c r="I42" s="1" t="s">
        <v>562</v>
      </c>
      <c r="O42" s="1" t="s">
        <v>161</v>
      </c>
      <c r="P42" s="1" t="s">
        <v>604</v>
      </c>
      <c r="Q42" s="1" t="s">
        <v>9</v>
      </c>
    </row>
    <row r="43" spans="1:17">
      <c r="A43" s="1">
        <v>32</v>
      </c>
      <c r="B43" s="1" t="s">
        <v>2120</v>
      </c>
      <c r="C43" s="1" t="s">
        <v>211</v>
      </c>
      <c r="E43" s="1" t="s">
        <v>3094</v>
      </c>
      <c r="F43" s="1" t="s">
        <v>3097</v>
      </c>
      <c r="G43" s="1" t="s">
        <v>3054</v>
      </c>
      <c r="H43" s="1" t="s">
        <v>3060</v>
      </c>
      <c r="I43" s="1" t="s">
        <v>583</v>
      </c>
      <c r="O43" s="1" t="s">
        <v>610</v>
      </c>
      <c r="P43" s="1" t="s">
        <v>28</v>
      </c>
      <c r="Q43" s="1" t="s">
        <v>9</v>
      </c>
    </row>
    <row r="45" spans="1:17">
      <c r="A45" s="1">
        <v>15</v>
      </c>
      <c r="B45" s="1" t="s">
        <v>2484</v>
      </c>
      <c r="C45" s="1" t="s">
        <v>1101</v>
      </c>
      <c r="E45" s="1" t="s">
        <v>3094</v>
      </c>
      <c r="F45" s="1" t="s">
        <v>3097</v>
      </c>
      <c r="G45" s="1" t="s">
        <v>3075</v>
      </c>
      <c r="H45" s="1" t="s">
        <v>3060</v>
      </c>
      <c r="I45" s="1" t="s">
        <v>1222</v>
      </c>
      <c r="O45" s="1" t="s">
        <v>157</v>
      </c>
      <c r="P45" s="1" t="s">
        <v>604</v>
      </c>
      <c r="Q45" s="1" t="s">
        <v>9</v>
      </c>
    </row>
    <row r="46" spans="1:17">
      <c r="A46" s="1">
        <v>30</v>
      </c>
      <c r="B46" s="1" t="s">
        <v>2485</v>
      </c>
      <c r="C46" s="1" t="s">
        <v>1104</v>
      </c>
      <c r="E46" s="1" t="s">
        <v>3094</v>
      </c>
      <c r="F46" s="1" t="s">
        <v>3097</v>
      </c>
      <c r="G46" s="1" t="s">
        <v>3071</v>
      </c>
      <c r="H46" s="1" t="s">
        <v>3060</v>
      </c>
      <c r="I46" s="1" t="s">
        <v>1223</v>
      </c>
      <c r="O46" s="1" t="s">
        <v>154</v>
      </c>
      <c r="P46" s="1" t="s">
        <v>607</v>
      </c>
      <c r="Q46" s="1" t="s">
        <v>9</v>
      </c>
    </row>
    <row r="48" spans="1:17">
      <c r="A48" s="1">
        <v>5</v>
      </c>
      <c r="B48" s="1" t="s">
        <v>2863</v>
      </c>
      <c r="C48" s="1" t="s">
        <v>1611</v>
      </c>
      <c r="E48" s="1" t="s">
        <v>3094</v>
      </c>
      <c r="F48" s="1" t="s">
        <v>3097</v>
      </c>
      <c r="G48" s="1" t="s">
        <v>3066</v>
      </c>
      <c r="H48" s="1" t="s">
        <v>3060</v>
      </c>
      <c r="I48" s="1" t="s">
        <v>1711</v>
      </c>
      <c r="O48" s="1" t="s">
        <v>608</v>
      </c>
      <c r="P48" s="1" t="s">
        <v>604</v>
      </c>
      <c r="Q48" s="1" t="s">
        <v>9</v>
      </c>
    </row>
    <row r="50" spans="1:17">
      <c r="A50" s="1">
        <v>18</v>
      </c>
      <c r="B50" s="1" t="s">
        <v>3009</v>
      </c>
      <c r="C50" s="1" t="s">
        <v>1898</v>
      </c>
      <c r="E50" s="1" t="s">
        <v>3094</v>
      </c>
      <c r="F50" s="1" t="s">
        <v>3097</v>
      </c>
      <c r="G50" s="1" t="s">
        <v>3050</v>
      </c>
      <c r="H50" s="1" t="s">
        <v>3060</v>
      </c>
      <c r="I50" s="1" t="s">
        <v>1905</v>
      </c>
      <c r="J50" s="1" t="s">
        <v>1906</v>
      </c>
      <c r="O50" s="1" t="s">
        <v>609</v>
      </c>
      <c r="P50" s="1" t="s">
        <v>28</v>
      </c>
      <c r="Q50" s="1" t="s">
        <v>9</v>
      </c>
    </row>
    <row r="53" spans="1:17">
      <c r="A53" s="1">
        <v>28</v>
      </c>
      <c r="B53" s="1" t="s">
        <v>3876</v>
      </c>
      <c r="C53" s="1" t="s">
        <v>1993</v>
      </c>
      <c r="E53" s="1" t="s">
        <v>3880</v>
      </c>
      <c r="F53" s="1" t="s">
        <v>3097</v>
      </c>
      <c r="G53" s="1" t="s">
        <v>3060</v>
      </c>
      <c r="I53" s="1" t="s">
        <v>3877</v>
      </c>
      <c r="J53" s="1" t="s">
        <v>3878</v>
      </c>
      <c r="O53" s="1" t="s">
        <v>166</v>
      </c>
      <c r="P53" s="1" t="s">
        <v>3879</v>
      </c>
      <c r="Q53" s="1" t="s">
        <v>41</v>
      </c>
    </row>
    <row r="54" spans="1:17">
      <c r="A54" s="1">
        <v>34</v>
      </c>
      <c r="B54" s="1" t="s">
        <v>2145</v>
      </c>
      <c r="C54" s="1" t="s">
        <v>211</v>
      </c>
      <c r="E54" s="1" t="s">
        <v>3880</v>
      </c>
      <c r="F54" s="1" t="s">
        <v>3097</v>
      </c>
      <c r="G54" s="1" t="s">
        <v>3060</v>
      </c>
      <c r="I54" s="1" t="s">
        <v>582</v>
      </c>
      <c r="J54" s="1" t="s">
        <v>784</v>
      </c>
      <c r="O54" s="1" t="s">
        <v>167</v>
      </c>
      <c r="P54" s="1" t="s">
        <v>37</v>
      </c>
      <c r="Q54" s="1" t="s">
        <v>41</v>
      </c>
    </row>
  </sheetData>
  <sortState ref="A23:Q54">
    <sortCondition ref="Q23:Q54"/>
    <sortCondition ref="A23:A54"/>
  </sortState>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X359"/>
  <sheetViews>
    <sheetView zoomScale="70" zoomScaleNormal="70" workbookViewId="0">
      <selection activeCell="K157" sqref="K157"/>
    </sheetView>
  </sheetViews>
  <sheetFormatPr defaultRowHeight="13.5"/>
  <cols>
    <col min="1" max="15" width="9" style="3"/>
    <col min="16" max="16" width="6.25" style="3" bestFit="1" customWidth="1"/>
    <col min="17" max="17" width="6" style="3" bestFit="1" customWidth="1"/>
    <col min="18" max="16384" width="9" style="3"/>
  </cols>
  <sheetData>
    <row r="1" spans="1:24" s="1" customFormat="1">
      <c r="C1" s="1" t="s">
        <v>3151</v>
      </c>
      <c r="D1" s="1" t="s">
        <v>3152</v>
      </c>
      <c r="E1" s="1" t="s">
        <v>3160</v>
      </c>
      <c r="F1" s="1" t="s">
        <v>3153</v>
      </c>
      <c r="G1" s="1" t="s">
        <v>3154</v>
      </c>
      <c r="H1" s="1" t="s">
        <v>3155</v>
      </c>
      <c r="I1" s="1" t="s">
        <v>3156</v>
      </c>
      <c r="J1" s="1" t="s">
        <v>3157</v>
      </c>
      <c r="O1" s="2" t="s">
        <v>3456</v>
      </c>
      <c r="P1" s="64" t="s">
        <v>4051</v>
      </c>
      <c r="Q1" s="64" t="s">
        <v>4052</v>
      </c>
      <c r="R1" s="1" t="s">
        <v>3159</v>
      </c>
      <c r="U1" s="4" t="s">
        <v>3881</v>
      </c>
      <c r="V1" s="8" t="s">
        <v>3882</v>
      </c>
      <c r="W1" s="9" t="s">
        <v>3906</v>
      </c>
      <c r="X1" s="10" t="s">
        <v>3907</v>
      </c>
    </row>
    <row r="2" spans="1:24">
      <c r="A2" s="3">
        <v>11</v>
      </c>
      <c r="B2" s="14">
        <v>1</v>
      </c>
      <c r="C2" s="14" t="s">
        <v>2897</v>
      </c>
      <c r="D2" s="14" t="s">
        <v>1777</v>
      </c>
      <c r="E2" s="14">
        <v>2</v>
      </c>
      <c r="F2" s="14" t="s">
        <v>3083</v>
      </c>
      <c r="G2" s="14" t="s">
        <v>3084</v>
      </c>
      <c r="H2" s="14" t="s">
        <v>3051</v>
      </c>
      <c r="I2" s="14"/>
      <c r="J2" s="14" t="s">
        <v>12</v>
      </c>
      <c r="K2" s="14" t="s">
        <v>1774</v>
      </c>
      <c r="L2" s="14"/>
      <c r="M2" s="14"/>
      <c r="N2" s="14"/>
      <c r="O2" s="14"/>
      <c r="P2" s="14">
        <v>2</v>
      </c>
      <c r="Q2" s="70" t="s">
        <v>3569</v>
      </c>
      <c r="R2" s="14" t="s">
        <v>16</v>
      </c>
      <c r="S2" s="14" t="s">
        <v>4</v>
      </c>
    </row>
    <row r="3" spans="1:24">
      <c r="A3" s="3">
        <v>11</v>
      </c>
      <c r="B3" s="14">
        <v>2</v>
      </c>
      <c r="C3" s="14" t="s">
        <v>2898</v>
      </c>
      <c r="D3" s="14" t="s">
        <v>1777</v>
      </c>
      <c r="E3" s="14">
        <v>2</v>
      </c>
      <c r="F3" s="3" t="s">
        <v>3085</v>
      </c>
      <c r="G3" s="3" t="s">
        <v>3084</v>
      </c>
      <c r="H3" s="3" t="s">
        <v>3054</v>
      </c>
      <c r="J3" s="3" t="s">
        <v>13</v>
      </c>
      <c r="P3" s="3">
        <v>1</v>
      </c>
      <c r="Q3" s="60" t="s">
        <v>3527</v>
      </c>
      <c r="R3" s="3" t="s">
        <v>1776</v>
      </c>
      <c r="S3" s="3" t="s">
        <v>4</v>
      </c>
    </row>
    <row r="4" spans="1:24">
      <c r="A4" s="3">
        <v>11</v>
      </c>
      <c r="B4" s="14">
        <v>3</v>
      </c>
      <c r="C4" s="3" t="s">
        <v>2899</v>
      </c>
      <c r="D4" s="3" t="s">
        <v>1777</v>
      </c>
      <c r="E4" s="3">
        <v>2</v>
      </c>
      <c r="F4" s="3" t="s">
        <v>3083</v>
      </c>
      <c r="G4" s="3" t="s">
        <v>3084</v>
      </c>
      <c r="H4" s="3" t="s">
        <v>3071</v>
      </c>
      <c r="J4" s="3" t="s">
        <v>0</v>
      </c>
      <c r="K4" s="3" t="s">
        <v>871</v>
      </c>
      <c r="P4" s="3">
        <v>2</v>
      </c>
      <c r="Q4" s="60" t="s">
        <v>3533</v>
      </c>
      <c r="R4" s="3" t="s">
        <v>15</v>
      </c>
      <c r="S4" s="3" t="s">
        <v>4</v>
      </c>
    </row>
    <row r="5" spans="1:24">
      <c r="A5" s="3">
        <v>11</v>
      </c>
      <c r="B5" s="3">
        <v>1001</v>
      </c>
      <c r="C5" s="3" t="s">
        <v>2925</v>
      </c>
      <c r="D5" s="3" t="s">
        <v>1777</v>
      </c>
      <c r="E5" s="3">
        <v>2</v>
      </c>
      <c r="F5" s="3" t="s">
        <v>3083</v>
      </c>
      <c r="G5" s="3" t="s">
        <v>3084</v>
      </c>
      <c r="H5" s="3" t="s">
        <v>3050</v>
      </c>
      <c r="J5" s="3" t="s">
        <v>3913</v>
      </c>
      <c r="P5" s="3">
        <v>2</v>
      </c>
      <c r="Q5" s="60" t="s">
        <v>3569</v>
      </c>
      <c r="R5" s="3" t="s">
        <v>14</v>
      </c>
      <c r="S5" s="3" t="s">
        <v>7</v>
      </c>
    </row>
    <row r="6" spans="1:24">
      <c r="A6" s="3">
        <v>11</v>
      </c>
      <c r="B6" s="3">
        <v>1002</v>
      </c>
      <c r="C6" s="3" t="s">
        <v>2926</v>
      </c>
      <c r="D6" s="3" t="s">
        <v>1777</v>
      </c>
      <c r="E6" s="3">
        <v>2</v>
      </c>
      <c r="F6" s="3" t="s">
        <v>3083</v>
      </c>
      <c r="G6" s="3" t="s">
        <v>3084</v>
      </c>
      <c r="H6" s="3" t="s">
        <v>3051</v>
      </c>
      <c r="J6" s="3" t="s">
        <v>1790</v>
      </c>
      <c r="K6" s="3" t="s">
        <v>3914</v>
      </c>
      <c r="P6" s="3">
        <v>2</v>
      </c>
      <c r="Q6" s="60" t="s">
        <v>3569</v>
      </c>
      <c r="R6" s="3" t="s">
        <v>6</v>
      </c>
      <c r="S6" s="3" t="s">
        <v>7</v>
      </c>
    </row>
    <row r="7" spans="1:24">
      <c r="A7" s="3">
        <v>11</v>
      </c>
      <c r="B7" s="3">
        <v>1003</v>
      </c>
      <c r="C7" s="3" t="s">
        <v>2898</v>
      </c>
      <c r="D7" s="3" t="s">
        <v>1777</v>
      </c>
      <c r="E7" s="3">
        <v>2</v>
      </c>
      <c r="F7" s="3" t="s">
        <v>3085</v>
      </c>
      <c r="G7" s="3" t="s">
        <v>3084</v>
      </c>
      <c r="H7" s="3" t="s">
        <v>3054</v>
      </c>
      <c r="J7" s="3" t="s">
        <v>3734</v>
      </c>
      <c r="P7" s="3">
        <v>1</v>
      </c>
      <c r="Q7" s="60" t="s">
        <v>3527</v>
      </c>
      <c r="R7" s="3" t="s">
        <v>184</v>
      </c>
      <c r="S7" s="3" t="s">
        <v>7</v>
      </c>
    </row>
    <row r="8" spans="1:24">
      <c r="A8" s="3">
        <v>11</v>
      </c>
      <c r="B8" s="3">
        <v>2001</v>
      </c>
      <c r="C8" s="3" t="s">
        <v>2989</v>
      </c>
      <c r="D8" s="3" t="s">
        <v>1777</v>
      </c>
      <c r="E8" s="3">
        <v>2</v>
      </c>
      <c r="F8" s="3" t="s">
        <v>3087</v>
      </c>
      <c r="G8" s="3" t="s">
        <v>3084</v>
      </c>
      <c r="H8" s="3" t="s">
        <v>3053</v>
      </c>
      <c r="J8" s="3" t="s">
        <v>1791</v>
      </c>
      <c r="K8" s="3" t="s">
        <v>1806</v>
      </c>
      <c r="P8" s="3" t="s">
        <v>4045</v>
      </c>
      <c r="Q8" s="60" t="s">
        <v>3569</v>
      </c>
      <c r="R8" s="3" t="s">
        <v>17</v>
      </c>
      <c r="S8" s="3" t="s">
        <v>9</v>
      </c>
    </row>
    <row r="9" spans="1:24">
      <c r="A9" s="3">
        <v>11</v>
      </c>
      <c r="B9" s="3">
        <v>2002</v>
      </c>
      <c r="C9" s="3" t="s">
        <v>2990</v>
      </c>
      <c r="D9" s="3" t="s">
        <v>1777</v>
      </c>
      <c r="E9" s="3">
        <v>2</v>
      </c>
      <c r="F9" s="3" t="s">
        <v>3083</v>
      </c>
      <c r="G9" s="3" t="s">
        <v>3084</v>
      </c>
      <c r="H9" s="3" t="s">
        <v>3051</v>
      </c>
      <c r="J9" s="3" t="s">
        <v>1792</v>
      </c>
      <c r="K9" s="3" t="s">
        <v>1793</v>
      </c>
      <c r="P9" s="3" t="s">
        <v>4045</v>
      </c>
      <c r="Q9" s="60" t="s">
        <v>3569</v>
      </c>
      <c r="R9" s="3" t="s">
        <v>1776</v>
      </c>
      <c r="S9" s="3" t="s">
        <v>9</v>
      </c>
    </row>
    <row r="10" spans="1:24">
      <c r="A10" s="4">
        <v>11</v>
      </c>
      <c r="B10" s="5">
        <v>4</v>
      </c>
      <c r="C10" s="4" t="s">
        <v>2900</v>
      </c>
      <c r="D10" s="4" t="s">
        <v>1779</v>
      </c>
      <c r="E10" s="4">
        <v>3</v>
      </c>
      <c r="F10" s="4" t="s">
        <v>3083</v>
      </c>
      <c r="G10" s="4" t="s">
        <v>3084</v>
      </c>
      <c r="H10" s="4" t="s">
        <v>3059</v>
      </c>
      <c r="I10" s="4"/>
      <c r="J10" s="4" t="s">
        <v>1780</v>
      </c>
      <c r="K10" s="4" t="s">
        <v>1775</v>
      </c>
      <c r="L10" s="4"/>
      <c r="M10" s="4"/>
      <c r="N10" s="4"/>
      <c r="O10" s="4"/>
      <c r="P10" s="4">
        <v>1</v>
      </c>
      <c r="Q10" s="19" t="s">
        <v>3533</v>
      </c>
      <c r="R10" s="3" t="s">
        <v>10</v>
      </c>
      <c r="S10" s="3" t="s">
        <v>4</v>
      </c>
    </row>
    <row r="11" spans="1:24">
      <c r="A11" s="3">
        <v>11</v>
      </c>
      <c r="B11" s="3">
        <v>1004</v>
      </c>
      <c r="C11" s="3" t="s">
        <v>2927</v>
      </c>
      <c r="D11" s="3" t="s">
        <v>1788</v>
      </c>
      <c r="E11" s="3">
        <v>3</v>
      </c>
      <c r="F11" s="3" t="s">
        <v>3083</v>
      </c>
      <c r="G11" s="3" t="s">
        <v>3084</v>
      </c>
      <c r="H11" s="3" t="s">
        <v>3053</v>
      </c>
      <c r="J11" s="3" t="s">
        <v>43</v>
      </c>
      <c r="K11" s="3" t="s">
        <v>1781</v>
      </c>
      <c r="P11" s="3">
        <v>1</v>
      </c>
      <c r="Q11" s="60" t="s">
        <v>3533</v>
      </c>
      <c r="R11" s="3" t="s">
        <v>18</v>
      </c>
      <c r="S11" s="3" t="s">
        <v>7</v>
      </c>
    </row>
    <row r="12" spans="1:24">
      <c r="A12" s="3">
        <v>11</v>
      </c>
      <c r="B12" s="3">
        <v>1005</v>
      </c>
      <c r="C12" s="3" t="s">
        <v>2928</v>
      </c>
      <c r="D12" s="3" t="s">
        <v>1788</v>
      </c>
      <c r="E12" s="3">
        <v>3</v>
      </c>
      <c r="F12" s="3" t="s">
        <v>3083</v>
      </c>
      <c r="G12" s="3" t="s">
        <v>3084</v>
      </c>
      <c r="H12" s="3" t="s">
        <v>3051</v>
      </c>
      <c r="J12" s="3" t="s">
        <v>1782</v>
      </c>
      <c r="P12" s="3">
        <v>2</v>
      </c>
      <c r="Q12" s="60" t="s">
        <v>3527</v>
      </c>
      <c r="R12" s="3" t="s">
        <v>37</v>
      </c>
      <c r="S12" s="3" t="s">
        <v>7</v>
      </c>
    </row>
    <row r="13" spans="1:24">
      <c r="A13" s="3">
        <v>11</v>
      </c>
      <c r="B13" s="3">
        <v>1006</v>
      </c>
      <c r="C13" s="3" t="s">
        <v>2929</v>
      </c>
      <c r="D13" s="3" t="s">
        <v>1788</v>
      </c>
      <c r="E13" s="3">
        <v>3</v>
      </c>
      <c r="F13" s="3" t="s">
        <v>3083</v>
      </c>
      <c r="G13" s="3" t="s">
        <v>3084</v>
      </c>
      <c r="H13" s="3" t="s">
        <v>3051</v>
      </c>
      <c r="J13" s="3" t="s">
        <v>1783</v>
      </c>
      <c r="P13" s="3">
        <v>1</v>
      </c>
      <c r="Q13" s="60" t="s">
        <v>3533</v>
      </c>
      <c r="R13" s="3" t="s">
        <v>10</v>
      </c>
      <c r="S13" s="3" t="s">
        <v>7</v>
      </c>
    </row>
    <row r="14" spans="1:24">
      <c r="A14" s="3">
        <v>11</v>
      </c>
      <c r="B14" s="3">
        <v>1007</v>
      </c>
      <c r="C14" s="3" t="s">
        <v>2930</v>
      </c>
      <c r="D14" s="3" t="s">
        <v>1788</v>
      </c>
      <c r="E14" s="3">
        <v>3</v>
      </c>
      <c r="F14" s="3" t="s">
        <v>3083</v>
      </c>
      <c r="G14" s="3" t="s">
        <v>3084</v>
      </c>
      <c r="H14" s="3" t="s">
        <v>3054</v>
      </c>
      <c r="J14" s="3" t="s">
        <v>1</v>
      </c>
      <c r="K14" s="3" t="s">
        <v>3915</v>
      </c>
      <c r="P14" s="3">
        <v>3</v>
      </c>
      <c r="Q14" s="60" t="s">
        <v>3533</v>
      </c>
      <c r="R14" s="3" t="s">
        <v>6</v>
      </c>
      <c r="S14" s="3" t="s">
        <v>7</v>
      </c>
    </row>
    <row r="15" spans="1:24">
      <c r="A15" s="3">
        <v>11</v>
      </c>
      <c r="B15" s="3">
        <v>2003</v>
      </c>
      <c r="C15" s="3" t="s">
        <v>2991</v>
      </c>
      <c r="D15" s="3" t="s">
        <v>1788</v>
      </c>
      <c r="E15" s="3">
        <v>3</v>
      </c>
      <c r="F15" s="3" t="s">
        <v>3087</v>
      </c>
      <c r="G15" s="3" t="s">
        <v>3084</v>
      </c>
      <c r="H15" s="3" t="s">
        <v>3071</v>
      </c>
      <c r="J15" s="3" t="s">
        <v>1805</v>
      </c>
      <c r="K15" s="3" t="s">
        <v>1794</v>
      </c>
      <c r="P15" s="3" t="s">
        <v>4045</v>
      </c>
      <c r="Q15" s="60" t="s">
        <v>3569</v>
      </c>
      <c r="R15" s="3" t="s">
        <v>18</v>
      </c>
      <c r="S15" s="3" t="s">
        <v>9</v>
      </c>
    </row>
    <row r="16" spans="1:24">
      <c r="A16" s="3">
        <v>11</v>
      </c>
      <c r="B16" s="3">
        <v>2004</v>
      </c>
      <c r="C16" s="3" t="s">
        <v>2992</v>
      </c>
      <c r="D16" s="3" t="s">
        <v>1788</v>
      </c>
      <c r="E16" s="3">
        <v>3</v>
      </c>
      <c r="F16" s="3" t="s">
        <v>3087</v>
      </c>
      <c r="G16" s="3" t="s">
        <v>3084</v>
      </c>
      <c r="H16" s="3" t="s">
        <v>3050</v>
      </c>
      <c r="J16" s="3" t="s">
        <v>1795</v>
      </c>
      <c r="K16" s="3" t="s">
        <v>1796</v>
      </c>
      <c r="P16" s="3" t="s">
        <v>4045</v>
      </c>
      <c r="Q16" s="60" t="s">
        <v>3569</v>
      </c>
      <c r="R16" s="3" t="s">
        <v>14</v>
      </c>
      <c r="S16" s="3" t="s">
        <v>9</v>
      </c>
    </row>
    <row r="17" spans="1:19">
      <c r="A17" s="3">
        <v>11</v>
      </c>
      <c r="B17" s="14">
        <v>5</v>
      </c>
      <c r="C17" s="3" t="s">
        <v>2901</v>
      </c>
      <c r="D17" s="3" t="s">
        <v>1778</v>
      </c>
      <c r="E17" s="3">
        <v>4</v>
      </c>
      <c r="F17" s="3" t="s">
        <v>3083</v>
      </c>
      <c r="G17" s="3" t="s">
        <v>3084</v>
      </c>
      <c r="H17" s="3" t="s">
        <v>3054</v>
      </c>
      <c r="J17" s="3" t="s">
        <v>1280</v>
      </c>
      <c r="K17" s="3" t="s">
        <v>23</v>
      </c>
      <c r="P17" s="3">
        <v>2</v>
      </c>
      <c r="Q17" s="60" t="s">
        <v>3522</v>
      </c>
      <c r="R17" s="3" t="s">
        <v>6</v>
      </c>
      <c r="S17" s="3" t="s">
        <v>4</v>
      </c>
    </row>
    <row r="18" spans="1:19">
      <c r="A18" s="3">
        <v>11</v>
      </c>
      <c r="B18" s="3">
        <v>1008</v>
      </c>
      <c r="C18" s="3" t="s">
        <v>2931</v>
      </c>
      <c r="D18" s="3" t="s">
        <v>1778</v>
      </c>
      <c r="E18" s="3">
        <v>4</v>
      </c>
      <c r="F18" s="3" t="s">
        <v>3083</v>
      </c>
      <c r="G18" s="3" t="s">
        <v>3084</v>
      </c>
      <c r="H18" s="3" t="s">
        <v>3050</v>
      </c>
      <c r="J18" s="3" t="s">
        <v>1</v>
      </c>
      <c r="K18" s="3" t="s">
        <v>1784</v>
      </c>
      <c r="P18" s="3">
        <v>3</v>
      </c>
      <c r="Q18" s="60" t="s">
        <v>3569</v>
      </c>
      <c r="R18" s="3" t="s">
        <v>35</v>
      </c>
      <c r="S18" s="3" t="s">
        <v>7</v>
      </c>
    </row>
    <row r="19" spans="1:19">
      <c r="A19" s="3">
        <v>11</v>
      </c>
      <c r="B19" s="3">
        <v>2005</v>
      </c>
      <c r="C19" s="3" t="s">
        <v>2993</v>
      </c>
      <c r="D19" s="3" t="s">
        <v>1778</v>
      </c>
      <c r="E19" s="3">
        <v>4</v>
      </c>
      <c r="F19" s="3" t="s">
        <v>3087</v>
      </c>
      <c r="G19" s="3" t="s">
        <v>3084</v>
      </c>
      <c r="H19" s="3" t="s">
        <v>3059</v>
      </c>
      <c r="J19" s="3" t="s">
        <v>1797</v>
      </c>
      <c r="K19" s="3" t="s">
        <v>1798</v>
      </c>
      <c r="L19" s="3" t="s">
        <v>1799</v>
      </c>
      <c r="P19" s="3" t="s">
        <v>4045</v>
      </c>
      <c r="Q19" s="60" t="s">
        <v>3527</v>
      </c>
      <c r="R19" s="3" t="s">
        <v>10</v>
      </c>
      <c r="S19" s="3" t="s">
        <v>9</v>
      </c>
    </row>
    <row r="20" spans="1:19">
      <c r="A20" s="3">
        <v>11</v>
      </c>
      <c r="B20" s="3">
        <v>3001</v>
      </c>
      <c r="C20" s="3" t="s">
        <v>3034</v>
      </c>
      <c r="D20" s="3" t="s">
        <v>1778</v>
      </c>
      <c r="E20" s="3">
        <v>4</v>
      </c>
      <c r="F20" s="3" t="s">
        <v>3083</v>
      </c>
      <c r="G20" s="3" t="s">
        <v>3084</v>
      </c>
      <c r="H20" s="3" t="s">
        <v>3059</v>
      </c>
      <c r="J20" s="3" t="s">
        <v>1809</v>
      </c>
      <c r="K20" s="3" t="s">
        <v>1810</v>
      </c>
      <c r="L20" s="3" t="s">
        <v>1811</v>
      </c>
      <c r="P20" s="3" t="s">
        <v>4045</v>
      </c>
      <c r="Q20" s="60" t="s">
        <v>3522</v>
      </c>
      <c r="R20" s="3" t="s">
        <v>16</v>
      </c>
      <c r="S20" s="3" t="s">
        <v>41</v>
      </c>
    </row>
    <row r="21" spans="1:19">
      <c r="A21" s="3">
        <v>11</v>
      </c>
      <c r="B21" s="3">
        <v>1009</v>
      </c>
      <c r="C21" s="3" t="s">
        <v>2932</v>
      </c>
      <c r="D21" s="3" t="s">
        <v>1789</v>
      </c>
      <c r="E21" s="3">
        <v>5</v>
      </c>
      <c r="F21" s="3" t="s">
        <v>3083</v>
      </c>
      <c r="G21" s="3" t="s">
        <v>3084</v>
      </c>
      <c r="H21" s="3" t="s">
        <v>3054</v>
      </c>
      <c r="J21" s="3" t="s">
        <v>1</v>
      </c>
      <c r="K21" s="3" t="s">
        <v>1785</v>
      </c>
      <c r="L21" s="3" t="s">
        <v>1786</v>
      </c>
      <c r="P21" s="3">
        <v>4</v>
      </c>
      <c r="Q21" s="60" t="s">
        <v>3527</v>
      </c>
      <c r="R21" s="3" t="s">
        <v>10</v>
      </c>
      <c r="S21" s="3" t="s">
        <v>7</v>
      </c>
    </row>
    <row r="22" spans="1:19">
      <c r="A22" s="3">
        <v>11</v>
      </c>
      <c r="B22" s="3">
        <v>1010</v>
      </c>
      <c r="C22" s="3" t="s">
        <v>2933</v>
      </c>
      <c r="D22" s="3" t="s">
        <v>1789</v>
      </c>
      <c r="E22" s="3">
        <v>5</v>
      </c>
      <c r="F22" s="3" t="s">
        <v>3083</v>
      </c>
      <c r="G22" s="3" t="s">
        <v>3084</v>
      </c>
      <c r="H22" s="3" t="s">
        <v>3049</v>
      </c>
      <c r="J22" s="3" t="s">
        <v>1</v>
      </c>
      <c r="K22" s="3" t="s">
        <v>1787</v>
      </c>
      <c r="P22" s="3">
        <v>2</v>
      </c>
      <c r="Q22" s="60" t="s">
        <v>3569</v>
      </c>
      <c r="R22" s="3" t="s">
        <v>26</v>
      </c>
      <c r="S22" s="3" t="s">
        <v>7</v>
      </c>
    </row>
    <row r="23" spans="1:19">
      <c r="A23" s="3">
        <v>11</v>
      </c>
      <c r="B23" s="3">
        <v>2006</v>
      </c>
      <c r="C23" s="3" t="s">
        <v>2994</v>
      </c>
      <c r="D23" s="3" t="s">
        <v>1789</v>
      </c>
      <c r="E23" s="3">
        <v>5</v>
      </c>
      <c r="F23" s="3" t="s">
        <v>3087</v>
      </c>
      <c r="G23" s="3" t="s">
        <v>3084</v>
      </c>
      <c r="H23" s="3" t="s">
        <v>3050</v>
      </c>
      <c r="J23" s="3" t="s">
        <v>1422</v>
      </c>
      <c r="K23" s="3" t="s">
        <v>1800</v>
      </c>
      <c r="P23" s="3" t="s">
        <v>4046</v>
      </c>
      <c r="Q23" s="60" t="s">
        <v>3522</v>
      </c>
      <c r="R23" s="3" t="s">
        <v>16</v>
      </c>
      <c r="S23" s="3" t="s">
        <v>9</v>
      </c>
    </row>
    <row r="24" spans="1:19">
      <c r="A24" s="3">
        <v>11</v>
      </c>
      <c r="B24" s="3">
        <v>2007</v>
      </c>
      <c r="C24" s="3" t="s">
        <v>2995</v>
      </c>
      <c r="D24" s="3" t="s">
        <v>1808</v>
      </c>
      <c r="E24" s="3">
        <v>5</v>
      </c>
      <c r="F24" s="3" t="s">
        <v>3083</v>
      </c>
      <c r="G24" s="3" t="s">
        <v>3084</v>
      </c>
      <c r="H24" s="3" t="s">
        <v>3059</v>
      </c>
      <c r="J24" s="3" t="s">
        <v>1801</v>
      </c>
      <c r="K24" s="3" t="s">
        <v>1802</v>
      </c>
      <c r="P24" s="3" t="s">
        <v>4044</v>
      </c>
      <c r="Q24" s="60" t="s">
        <v>3530</v>
      </c>
      <c r="R24" s="3" t="s">
        <v>6</v>
      </c>
      <c r="S24" s="3" t="s">
        <v>9</v>
      </c>
    </row>
    <row r="25" spans="1:19">
      <c r="A25" s="3">
        <v>11</v>
      </c>
      <c r="B25" s="3">
        <v>2008</v>
      </c>
      <c r="C25" s="3" t="s">
        <v>2996</v>
      </c>
      <c r="D25" s="3" t="s">
        <v>1804</v>
      </c>
      <c r="E25" s="3">
        <v>7</v>
      </c>
      <c r="F25" s="3" t="s">
        <v>3087</v>
      </c>
      <c r="G25" s="3" t="s">
        <v>3084</v>
      </c>
      <c r="H25" s="3" t="s">
        <v>3051</v>
      </c>
      <c r="J25" s="3" t="s">
        <v>23</v>
      </c>
      <c r="K25" s="3" t="s">
        <v>1803</v>
      </c>
      <c r="L25" s="3" t="s">
        <v>1807</v>
      </c>
      <c r="P25" s="3" t="s">
        <v>4044</v>
      </c>
      <c r="Q25" s="60" t="s">
        <v>3530</v>
      </c>
      <c r="R25" s="3" t="s">
        <v>31</v>
      </c>
      <c r="S25" s="3" t="s">
        <v>9</v>
      </c>
    </row>
    <row r="26" spans="1:19">
      <c r="A26" s="3">
        <v>12</v>
      </c>
      <c r="B26" s="14">
        <v>6</v>
      </c>
      <c r="C26" s="14" t="s">
        <v>2902</v>
      </c>
      <c r="D26" s="14" t="s">
        <v>1818</v>
      </c>
      <c r="E26" s="14">
        <v>2</v>
      </c>
      <c r="F26" s="14" t="s">
        <v>3083</v>
      </c>
      <c r="G26" s="14" t="s">
        <v>3084</v>
      </c>
      <c r="H26" s="14" t="s">
        <v>3071</v>
      </c>
      <c r="I26" s="14"/>
      <c r="J26" s="14" t="s">
        <v>1820</v>
      </c>
      <c r="K26" s="14" t="s">
        <v>1812</v>
      </c>
      <c r="L26" s="14"/>
      <c r="M26" s="14"/>
      <c r="N26" s="14"/>
      <c r="O26" s="14"/>
      <c r="P26" s="14">
        <v>1</v>
      </c>
      <c r="Q26" s="70" t="s">
        <v>3569</v>
      </c>
      <c r="R26" s="14" t="s">
        <v>8</v>
      </c>
      <c r="S26" s="14" t="s">
        <v>4</v>
      </c>
    </row>
    <row r="27" spans="1:19">
      <c r="A27" s="4">
        <v>12</v>
      </c>
      <c r="B27" s="4">
        <v>1011</v>
      </c>
      <c r="C27" s="4" t="s">
        <v>2934</v>
      </c>
      <c r="D27" s="4" t="s">
        <v>1837</v>
      </c>
      <c r="E27" s="4">
        <v>2</v>
      </c>
      <c r="F27" s="4" t="s">
        <v>3083</v>
      </c>
      <c r="G27" s="4" t="s">
        <v>3084</v>
      </c>
      <c r="H27" s="4" t="s">
        <v>3051</v>
      </c>
      <c r="I27" s="4"/>
      <c r="J27" s="4" t="s">
        <v>1820</v>
      </c>
      <c r="K27" s="4" t="s">
        <v>1828</v>
      </c>
      <c r="L27" s="4" t="s">
        <v>1835</v>
      </c>
      <c r="M27" s="4"/>
      <c r="N27" s="4"/>
      <c r="O27" s="4"/>
      <c r="P27" s="4">
        <v>2</v>
      </c>
      <c r="Q27" s="19" t="s">
        <v>3569</v>
      </c>
      <c r="R27" s="3" t="s">
        <v>8</v>
      </c>
      <c r="S27" s="3" t="s">
        <v>7</v>
      </c>
    </row>
    <row r="28" spans="1:19">
      <c r="A28" s="3">
        <v>12</v>
      </c>
      <c r="B28" s="3">
        <v>1012</v>
      </c>
      <c r="C28" s="3" t="s">
        <v>2935</v>
      </c>
      <c r="D28" s="3" t="s">
        <v>1829</v>
      </c>
      <c r="E28" s="3">
        <v>2</v>
      </c>
      <c r="F28" s="3" t="s">
        <v>3083</v>
      </c>
      <c r="G28" s="3" t="s">
        <v>3084</v>
      </c>
      <c r="H28" s="3" t="s">
        <v>3053</v>
      </c>
      <c r="J28" s="3" t="s">
        <v>1</v>
      </c>
      <c r="K28" s="3" t="s">
        <v>1822</v>
      </c>
      <c r="P28" s="3">
        <v>1</v>
      </c>
      <c r="Q28" s="60" t="s">
        <v>3527</v>
      </c>
      <c r="R28" s="3" t="s">
        <v>17</v>
      </c>
      <c r="S28" s="3" t="s">
        <v>7</v>
      </c>
    </row>
    <row r="29" spans="1:19">
      <c r="A29" s="3">
        <v>12</v>
      </c>
      <c r="B29" s="3">
        <v>1013</v>
      </c>
      <c r="C29" s="3" t="s">
        <v>2936</v>
      </c>
      <c r="D29" s="3" t="s">
        <v>1829</v>
      </c>
      <c r="E29" s="3">
        <v>2</v>
      </c>
      <c r="F29" s="3" t="s">
        <v>3083</v>
      </c>
      <c r="G29" s="3" t="s">
        <v>3084</v>
      </c>
      <c r="H29" s="3" t="s">
        <v>3071</v>
      </c>
      <c r="J29" s="3" t="s">
        <v>1823</v>
      </c>
      <c r="P29" s="3">
        <v>1</v>
      </c>
      <c r="Q29" s="60" t="s">
        <v>3527</v>
      </c>
      <c r="R29" s="3" t="s">
        <v>27</v>
      </c>
      <c r="S29" s="3" t="s">
        <v>7</v>
      </c>
    </row>
    <row r="30" spans="1:19">
      <c r="A30" s="3">
        <v>12</v>
      </c>
      <c r="B30" s="3">
        <v>1014</v>
      </c>
      <c r="C30" s="3" t="s">
        <v>2937</v>
      </c>
      <c r="D30" s="3" t="s">
        <v>1829</v>
      </c>
      <c r="E30" s="3">
        <v>2</v>
      </c>
      <c r="F30" s="3" t="s">
        <v>3083</v>
      </c>
      <c r="G30" s="3" t="s">
        <v>3084</v>
      </c>
      <c r="H30" s="3" t="s">
        <v>3051</v>
      </c>
      <c r="J30" s="3" t="s">
        <v>1831</v>
      </c>
      <c r="K30" s="3" t="s">
        <v>1833</v>
      </c>
      <c r="P30" s="3">
        <v>2</v>
      </c>
      <c r="Q30" s="60" t="s">
        <v>3569</v>
      </c>
      <c r="R30" s="3" t="s">
        <v>5</v>
      </c>
      <c r="S30" s="3" t="s">
        <v>7</v>
      </c>
    </row>
    <row r="31" spans="1:19">
      <c r="A31" s="3">
        <v>12</v>
      </c>
      <c r="B31" s="3">
        <v>1015</v>
      </c>
      <c r="C31" s="3" t="s">
        <v>2938</v>
      </c>
      <c r="D31" s="3" t="s">
        <v>1829</v>
      </c>
      <c r="E31" s="3">
        <v>2</v>
      </c>
      <c r="F31" s="3" t="s">
        <v>3085</v>
      </c>
      <c r="G31" s="3" t="s">
        <v>3084</v>
      </c>
      <c r="H31" s="3" t="s">
        <v>3071</v>
      </c>
      <c r="J31" s="3" t="s">
        <v>1832</v>
      </c>
      <c r="P31" s="3">
        <v>1</v>
      </c>
      <c r="Q31" s="60" t="s">
        <v>3533</v>
      </c>
      <c r="R31" s="3" t="s">
        <v>15</v>
      </c>
      <c r="S31" s="3" t="s">
        <v>7</v>
      </c>
    </row>
    <row r="32" spans="1:19">
      <c r="A32" s="3">
        <v>12</v>
      </c>
      <c r="B32" s="14">
        <v>7</v>
      </c>
      <c r="C32" s="14" t="s">
        <v>2903</v>
      </c>
      <c r="D32" s="14" t="s">
        <v>1819</v>
      </c>
      <c r="E32" s="14">
        <v>3</v>
      </c>
      <c r="F32" s="14" t="s">
        <v>3083</v>
      </c>
      <c r="G32" s="14" t="s">
        <v>3084</v>
      </c>
      <c r="H32" s="14" t="s">
        <v>3071</v>
      </c>
      <c r="I32" s="14"/>
      <c r="J32" s="14" t="s">
        <v>1813</v>
      </c>
      <c r="K32" s="14"/>
      <c r="L32" s="14"/>
      <c r="M32" s="14"/>
      <c r="N32" s="14"/>
      <c r="O32" s="14"/>
      <c r="P32" s="3">
        <v>2</v>
      </c>
      <c r="Q32" s="60" t="s">
        <v>3569</v>
      </c>
      <c r="R32" s="3" t="s">
        <v>5</v>
      </c>
      <c r="S32" s="3" t="s">
        <v>4</v>
      </c>
    </row>
    <row r="33" spans="1:19">
      <c r="A33" s="3">
        <v>12</v>
      </c>
      <c r="B33" s="3">
        <v>1016</v>
      </c>
      <c r="C33" s="3" t="s">
        <v>2939</v>
      </c>
      <c r="D33" s="3" t="s">
        <v>1830</v>
      </c>
      <c r="E33" s="3">
        <v>3</v>
      </c>
      <c r="F33" s="3" t="s">
        <v>3083</v>
      </c>
      <c r="G33" s="3" t="s">
        <v>3084</v>
      </c>
      <c r="H33" s="3" t="s">
        <v>3071</v>
      </c>
      <c r="J33" s="3" t="s">
        <v>1824</v>
      </c>
      <c r="K33" s="3" t="s">
        <v>1825</v>
      </c>
      <c r="L33" s="3" t="s">
        <v>1836</v>
      </c>
      <c r="P33" s="3">
        <v>0</v>
      </c>
      <c r="Q33" s="60" t="s">
        <v>3527</v>
      </c>
      <c r="R33" s="3" t="s">
        <v>5</v>
      </c>
      <c r="S33" s="3" t="s">
        <v>7</v>
      </c>
    </row>
    <row r="34" spans="1:19">
      <c r="A34" s="3">
        <v>12</v>
      </c>
      <c r="B34" s="3">
        <v>2009</v>
      </c>
      <c r="C34" s="3" t="s">
        <v>2997</v>
      </c>
      <c r="D34" s="3" t="s">
        <v>1830</v>
      </c>
      <c r="E34" s="3">
        <v>3</v>
      </c>
      <c r="F34" s="3" t="s">
        <v>3083</v>
      </c>
      <c r="G34" s="3" t="s">
        <v>3084</v>
      </c>
      <c r="H34" s="3" t="s">
        <v>3051</v>
      </c>
      <c r="J34" s="3" t="s">
        <v>1838</v>
      </c>
      <c r="K34" s="3" t="s">
        <v>1839</v>
      </c>
      <c r="P34" s="3" t="s">
        <v>4043</v>
      </c>
      <c r="Q34" s="60" t="s">
        <v>3527</v>
      </c>
      <c r="R34" s="3" t="s">
        <v>1845</v>
      </c>
      <c r="S34" s="3" t="s">
        <v>9</v>
      </c>
    </row>
    <row r="35" spans="1:19">
      <c r="A35" s="3">
        <v>12</v>
      </c>
      <c r="B35" s="14">
        <v>8</v>
      </c>
      <c r="C35" s="3" t="s">
        <v>2904</v>
      </c>
      <c r="D35" s="3" t="s">
        <v>1815</v>
      </c>
      <c r="E35" s="3">
        <v>4</v>
      </c>
      <c r="F35" s="3" t="s">
        <v>3085</v>
      </c>
      <c r="G35" s="3" t="s">
        <v>3084</v>
      </c>
      <c r="H35" s="3" t="s">
        <v>3051</v>
      </c>
      <c r="J35" s="3" t="s">
        <v>1814</v>
      </c>
      <c r="K35" s="3" t="s">
        <v>1821</v>
      </c>
      <c r="P35" s="3">
        <v>3</v>
      </c>
      <c r="Q35" s="60" t="s">
        <v>3527</v>
      </c>
      <c r="R35" s="3" t="s">
        <v>1776</v>
      </c>
      <c r="S35" s="3" t="s">
        <v>4</v>
      </c>
    </row>
    <row r="36" spans="1:19">
      <c r="A36" s="3">
        <v>12</v>
      </c>
      <c r="B36" s="3">
        <v>1017</v>
      </c>
      <c r="C36" s="3" t="s">
        <v>2940</v>
      </c>
      <c r="D36" s="3" t="s">
        <v>1815</v>
      </c>
      <c r="E36" s="3">
        <v>4</v>
      </c>
      <c r="F36" s="3" t="s">
        <v>3083</v>
      </c>
      <c r="G36" s="3" t="s">
        <v>3084</v>
      </c>
      <c r="H36" s="3" t="s">
        <v>3070</v>
      </c>
      <c r="J36" s="3" t="s">
        <v>1120</v>
      </c>
      <c r="K36" s="3" t="s">
        <v>3916</v>
      </c>
      <c r="L36" s="3" t="s">
        <v>1826</v>
      </c>
      <c r="P36" s="3">
        <v>2</v>
      </c>
      <c r="Q36" s="60" t="s">
        <v>3522</v>
      </c>
      <c r="R36" s="3" t="s">
        <v>36</v>
      </c>
      <c r="S36" s="3" t="s">
        <v>7</v>
      </c>
    </row>
    <row r="37" spans="1:19">
      <c r="A37" s="3">
        <v>12</v>
      </c>
      <c r="B37" s="3">
        <v>2010</v>
      </c>
      <c r="C37" s="3" t="s">
        <v>2998</v>
      </c>
      <c r="D37" s="3" t="s">
        <v>1815</v>
      </c>
      <c r="E37" s="3">
        <v>4</v>
      </c>
      <c r="F37" s="3" t="s">
        <v>3083</v>
      </c>
      <c r="G37" s="3" t="s">
        <v>3084</v>
      </c>
      <c r="H37" s="3" t="s">
        <v>3070</v>
      </c>
      <c r="J37" s="3" t="s">
        <v>1840</v>
      </c>
      <c r="P37" s="3" t="s">
        <v>4045</v>
      </c>
      <c r="Q37" s="60" t="s">
        <v>3527</v>
      </c>
      <c r="R37" s="3" t="s">
        <v>30</v>
      </c>
      <c r="S37" s="3" t="s">
        <v>9</v>
      </c>
    </row>
    <row r="38" spans="1:19">
      <c r="A38" s="3">
        <v>12</v>
      </c>
      <c r="B38" s="3">
        <v>2011</v>
      </c>
      <c r="C38" s="3" t="s">
        <v>2999</v>
      </c>
      <c r="D38" s="3" t="s">
        <v>1815</v>
      </c>
      <c r="E38" s="3">
        <v>4</v>
      </c>
      <c r="F38" s="3" t="s">
        <v>3083</v>
      </c>
      <c r="G38" s="3" t="s">
        <v>3084</v>
      </c>
      <c r="H38" s="3" t="s">
        <v>3071</v>
      </c>
      <c r="J38" s="3" t="s">
        <v>3</v>
      </c>
      <c r="K38" s="3" t="s">
        <v>1841</v>
      </c>
      <c r="P38" s="3" t="s">
        <v>4044</v>
      </c>
      <c r="Q38" s="60" t="s">
        <v>3533</v>
      </c>
      <c r="R38" s="3" t="s">
        <v>16</v>
      </c>
      <c r="S38" s="3" t="s">
        <v>9</v>
      </c>
    </row>
    <row r="39" spans="1:19">
      <c r="A39" s="3">
        <v>12</v>
      </c>
      <c r="B39" s="3">
        <v>2012</v>
      </c>
      <c r="C39" s="3" t="s">
        <v>3000</v>
      </c>
      <c r="D39" s="3" t="s">
        <v>1815</v>
      </c>
      <c r="E39" s="3">
        <v>4</v>
      </c>
      <c r="F39" s="3" t="s">
        <v>3087</v>
      </c>
      <c r="G39" s="3" t="s">
        <v>3084</v>
      </c>
      <c r="H39" s="3" t="s">
        <v>3051</v>
      </c>
      <c r="J39" s="3" t="s">
        <v>1842</v>
      </c>
      <c r="K39" s="3" t="s">
        <v>1843</v>
      </c>
      <c r="L39" s="3" t="s">
        <v>1844</v>
      </c>
      <c r="P39" s="3" t="s">
        <v>4045</v>
      </c>
      <c r="Q39" s="60" t="s">
        <v>3527</v>
      </c>
      <c r="R39" s="3" t="s">
        <v>8</v>
      </c>
      <c r="S39" s="3" t="s">
        <v>9</v>
      </c>
    </row>
    <row r="40" spans="1:19">
      <c r="A40" s="3">
        <v>12</v>
      </c>
      <c r="B40" s="3">
        <v>3002</v>
      </c>
      <c r="C40" s="3" t="s">
        <v>3035</v>
      </c>
      <c r="D40" s="3" t="s">
        <v>1815</v>
      </c>
      <c r="E40" s="3">
        <v>4</v>
      </c>
      <c r="F40" s="3" t="s">
        <v>3087</v>
      </c>
      <c r="G40" s="3" t="s">
        <v>3084</v>
      </c>
      <c r="H40" s="3" t="s">
        <v>3051</v>
      </c>
      <c r="J40" s="3" t="s">
        <v>1846</v>
      </c>
      <c r="K40" s="3" t="s">
        <v>1847</v>
      </c>
      <c r="P40" s="3" t="s">
        <v>4046</v>
      </c>
      <c r="Q40" s="60" t="s">
        <v>3522</v>
      </c>
      <c r="R40" s="3" t="s">
        <v>39</v>
      </c>
      <c r="S40" s="3" t="s">
        <v>41</v>
      </c>
    </row>
    <row r="41" spans="1:19">
      <c r="A41" s="3">
        <v>12</v>
      </c>
      <c r="B41" s="14">
        <v>9</v>
      </c>
      <c r="C41" s="4" t="s">
        <v>2905</v>
      </c>
      <c r="D41" s="4" t="s">
        <v>1816</v>
      </c>
      <c r="E41" s="4">
        <v>5</v>
      </c>
      <c r="F41" s="4" t="s">
        <v>3085</v>
      </c>
      <c r="G41" s="4" t="s">
        <v>3084</v>
      </c>
      <c r="H41" s="4" t="s">
        <v>3071</v>
      </c>
      <c r="I41" s="4"/>
      <c r="J41" s="4" t="s">
        <v>1817</v>
      </c>
      <c r="K41" s="4"/>
      <c r="L41" s="4"/>
      <c r="M41" s="4"/>
      <c r="N41" s="4"/>
      <c r="O41" s="4"/>
      <c r="P41" s="4">
        <v>4</v>
      </c>
      <c r="Q41" s="19" t="s">
        <v>3527</v>
      </c>
      <c r="R41" s="4" t="s">
        <v>18</v>
      </c>
      <c r="S41" s="4" t="s">
        <v>4</v>
      </c>
    </row>
    <row r="42" spans="1:19">
      <c r="A42" s="3">
        <v>12</v>
      </c>
      <c r="B42" s="3">
        <v>1018</v>
      </c>
      <c r="C42" s="3" t="s">
        <v>2941</v>
      </c>
      <c r="D42" s="3" t="s">
        <v>1816</v>
      </c>
      <c r="E42" s="3">
        <v>5</v>
      </c>
      <c r="F42" s="3" t="s">
        <v>3083</v>
      </c>
      <c r="G42" s="3" t="s">
        <v>3084</v>
      </c>
      <c r="H42" s="3" t="s">
        <v>3070</v>
      </c>
      <c r="J42" s="3" t="s">
        <v>1827</v>
      </c>
      <c r="K42" s="3" t="s">
        <v>1834</v>
      </c>
      <c r="P42" s="3">
        <v>3</v>
      </c>
      <c r="Q42" s="60" t="s">
        <v>3527</v>
      </c>
      <c r="R42" s="3" t="s">
        <v>30</v>
      </c>
      <c r="S42" s="3" t="s">
        <v>7</v>
      </c>
    </row>
    <row r="43" spans="1:19">
      <c r="A43" s="4">
        <v>13</v>
      </c>
      <c r="B43" s="5">
        <v>10</v>
      </c>
      <c r="C43" s="5" t="s">
        <v>2906</v>
      </c>
      <c r="D43" s="5" t="s">
        <v>1848</v>
      </c>
      <c r="E43" s="5">
        <v>2</v>
      </c>
      <c r="F43" s="5" t="s">
        <v>3083</v>
      </c>
      <c r="G43" s="5" t="s">
        <v>3084</v>
      </c>
      <c r="H43" s="5" t="s">
        <v>3057</v>
      </c>
      <c r="I43" s="5"/>
      <c r="J43" s="5" t="s">
        <v>1094</v>
      </c>
      <c r="K43" s="5"/>
      <c r="L43" s="5"/>
      <c r="M43" s="5"/>
      <c r="N43" s="5"/>
      <c r="O43" s="5"/>
      <c r="P43" s="5">
        <v>2</v>
      </c>
      <c r="Q43" s="72" t="s">
        <v>3533</v>
      </c>
      <c r="R43" s="14" t="s">
        <v>6</v>
      </c>
      <c r="S43" s="14" t="s">
        <v>4</v>
      </c>
    </row>
    <row r="44" spans="1:19">
      <c r="A44" s="3">
        <v>13</v>
      </c>
      <c r="B44" s="3">
        <v>1019</v>
      </c>
      <c r="C44" s="3" t="s">
        <v>2942</v>
      </c>
      <c r="D44" s="3" t="s">
        <v>1852</v>
      </c>
      <c r="E44" s="3">
        <v>2</v>
      </c>
      <c r="F44" s="3" t="s">
        <v>3083</v>
      </c>
      <c r="G44" s="3" t="s">
        <v>3084</v>
      </c>
      <c r="H44" s="3" t="s">
        <v>3075</v>
      </c>
      <c r="J44" s="3" t="s">
        <v>1854</v>
      </c>
      <c r="K44" s="3" t="s">
        <v>1855</v>
      </c>
      <c r="P44" s="3">
        <v>2</v>
      </c>
      <c r="Q44" s="60" t="s">
        <v>3569</v>
      </c>
      <c r="R44" s="3" t="s">
        <v>6</v>
      </c>
      <c r="S44" s="3" t="s">
        <v>7</v>
      </c>
    </row>
    <row r="45" spans="1:19">
      <c r="A45" s="3">
        <v>13</v>
      </c>
      <c r="B45" s="3">
        <v>1020</v>
      </c>
      <c r="C45" s="3" t="s">
        <v>2943</v>
      </c>
      <c r="D45" s="3" t="s">
        <v>1853</v>
      </c>
      <c r="E45" s="3">
        <v>3</v>
      </c>
      <c r="F45" s="3" t="s">
        <v>3083</v>
      </c>
      <c r="G45" s="3" t="s">
        <v>3084</v>
      </c>
      <c r="H45" s="3" t="s">
        <v>3051</v>
      </c>
      <c r="J45" s="3" t="s">
        <v>1849</v>
      </c>
      <c r="K45" s="3" t="s">
        <v>1850</v>
      </c>
      <c r="P45" s="3">
        <v>1</v>
      </c>
      <c r="Q45" s="60" t="s">
        <v>3533</v>
      </c>
      <c r="R45" s="3" t="s">
        <v>15</v>
      </c>
      <c r="S45" s="3" t="s">
        <v>7</v>
      </c>
    </row>
    <row r="46" spans="1:19">
      <c r="A46" s="3">
        <v>13</v>
      </c>
      <c r="B46" s="3">
        <v>1021</v>
      </c>
      <c r="C46" s="3" t="s">
        <v>2944</v>
      </c>
      <c r="D46" s="3" t="s">
        <v>1853</v>
      </c>
      <c r="E46" s="3">
        <v>3</v>
      </c>
      <c r="F46" s="3" t="s">
        <v>3083</v>
      </c>
      <c r="G46" s="3" t="s">
        <v>3084</v>
      </c>
      <c r="H46" s="3" t="s">
        <v>3063</v>
      </c>
      <c r="J46" s="3" t="s">
        <v>1851</v>
      </c>
      <c r="P46" s="3">
        <v>3</v>
      </c>
      <c r="Q46" s="60" t="s">
        <v>3527</v>
      </c>
      <c r="R46" s="3" t="s">
        <v>35</v>
      </c>
      <c r="S46" s="3" t="s">
        <v>7</v>
      </c>
    </row>
    <row r="47" spans="1:19">
      <c r="A47" s="3">
        <v>13</v>
      </c>
      <c r="B47" s="3">
        <v>2013</v>
      </c>
      <c r="C47" s="3" t="s">
        <v>3001</v>
      </c>
      <c r="D47" s="3" t="s">
        <v>1853</v>
      </c>
      <c r="E47" s="3">
        <v>3</v>
      </c>
      <c r="F47" s="3" t="s">
        <v>3087</v>
      </c>
      <c r="G47" s="3" t="s">
        <v>3084</v>
      </c>
      <c r="H47" s="3" t="s">
        <v>3053</v>
      </c>
      <c r="J47" s="3" t="s">
        <v>1856</v>
      </c>
      <c r="P47" s="3" t="s">
        <v>4044</v>
      </c>
      <c r="Q47" s="60" t="s">
        <v>3533</v>
      </c>
      <c r="R47" s="3" t="s">
        <v>10</v>
      </c>
      <c r="S47" s="3" t="s">
        <v>9</v>
      </c>
    </row>
    <row r="48" spans="1:19">
      <c r="A48" s="3">
        <v>13</v>
      </c>
      <c r="B48" s="3">
        <v>2014</v>
      </c>
      <c r="C48" s="3" t="s">
        <v>3002</v>
      </c>
      <c r="D48" s="3" t="s">
        <v>1860</v>
      </c>
      <c r="E48" s="3">
        <v>3</v>
      </c>
      <c r="F48" s="3" t="s">
        <v>3083</v>
      </c>
      <c r="G48" s="3" t="s">
        <v>3084</v>
      </c>
      <c r="H48" s="3" t="s">
        <v>3051</v>
      </c>
      <c r="J48" s="3" t="s">
        <v>0</v>
      </c>
      <c r="K48" s="3" t="s">
        <v>1857</v>
      </c>
      <c r="P48" s="3" t="s">
        <v>4044</v>
      </c>
      <c r="Q48" s="60" t="s">
        <v>3569</v>
      </c>
      <c r="R48" s="3" t="s">
        <v>10</v>
      </c>
      <c r="S48" s="3" t="s">
        <v>9</v>
      </c>
    </row>
    <row r="49" spans="1:19">
      <c r="A49" s="3">
        <v>13</v>
      </c>
      <c r="B49" s="3">
        <v>2015</v>
      </c>
      <c r="C49" s="3" t="s">
        <v>3003</v>
      </c>
      <c r="D49" s="3" t="s">
        <v>1861</v>
      </c>
      <c r="E49" s="3">
        <v>4</v>
      </c>
      <c r="F49" s="3" t="s">
        <v>3087</v>
      </c>
      <c r="G49" s="3" t="s">
        <v>3084</v>
      </c>
      <c r="H49" s="3" t="s">
        <v>3053</v>
      </c>
      <c r="J49" s="3" t="s">
        <v>1487</v>
      </c>
      <c r="K49" s="3" t="s">
        <v>1139</v>
      </c>
      <c r="L49" s="3" t="s">
        <v>1858</v>
      </c>
      <c r="P49" s="3" t="s">
        <v>4044</v>
      </c>
      <c r="Q49" s="60" t="s">
        <v>3527</v>
      </c>
      <c r="R49" s="3" t="s">
        <v>16</v>
      </c>
      <c r="S49" s="3" t="s">
        <v>9</v>
      </c>
    </row>
    <row r="50" spans="1:19">
      <c r="A50" s="3">
        <v>13</v>
      </c>
      <c r="B50" s="3">
        <v>2016</v>
      </c>
      <c r="C50" s="3" t="s">
        <v>3004</v>
      </c>
      <c r="D50" s="3" t="s">
        <v>1862</v>
      </c>
      <c r="E50" s="3">
        <v>7</v>
      </c>
      <c r="F50" s="3" t="s">
        <v>3087</v>
      </c>
      <c r="G50" s="3" t="s">
        <v>3084</v>
      </c>
      <c r="H50" s="3" t="s">
        <v>3075</v>
      </c>
      <c r="J50" s="3" t="s">
        <v>1859</v>
      </c>
      <c r="P50" s="3" t="s">
        <v>4049</v>
      </c>
      <c r="Q50" s="60" t="s">
        <v>3522</v>
      </c>
      <c r="R50" s="3" t="s">
        <v>31</v>
      </c>
      <c r="S50" s="3" t="s">
        <v>9</v>
      </c>
    </row>
    <row r="51" spans="1:19">
      <c r="A51" s="3">
        <v>14</v>
      </c>
      <c r="B51" s="14">
        <v>11</v>
      </c>
      <c r="C51" s="14" t="s">
        <v>2907</v>
      </c>
      <c r="D51" s="14" t="s">
        <v>1867</v>
      </c>
      <c r="E51" s="14">
        <v>1</v>
      </c>
      <c r="F51" s="14" t="s">
        <v>3083</v>
      </c>
      <c r="G51" s="14" t="s">
        <v>3084</v>
      </c>
      <c r="H51" s="14" t="s">
        <v>3066</v>
      </c>
      <c r="I51" s="14"/>
      <c r="J51" s="14" t="s">
        <v>1869</v>
      </c>
      <c r="K51" s="14" t="s">
        <v>1863</v>
      </c>
      <c r="L51" s="14"/>
      <c r="M51" s="14"/>
      <c r="N51" s="14"/>
      <c r="O51" s="14"/>
      <c r="P51" s="14">
        <v>1</v>
      </c>
      <c r="Q51" s="70" t="s">
        <v>3533</v>
      </c>
      <c r="R51" s="14" t="s">
        <v>11</v>
      </c>
      <c r="S51" s="14" t="s">
        <v>4</v>
      </c>
    </row>
    <row r="52" spans="1:19">
      <c r="A52" s="3">
        <v>14</v>
      </c>
      <c r="B52" s="14">
        <v>12</v>
      </c>
      <c r="C52" s="5" t="s">
        <v>2908</v>
      </c>
      <c r="D52" s="5" t="s">
        <v>1865</v>
      </c>
      <c r="E52" s="5">
        <v>2</v>
      </c>
      <c r="F52" s="4" t="s">
        <v>3083</v>
      </c>
      <c r="G52" s="4" t="s">
        <v>3084</v>
      </c>
      <c r="H52" s="4" t="s">
        <v>3066</v>
      </c>
      <c r="I52" s="4"/>
      <c r="J52" s="4" t="s">
        <v>1612</v>
      </c>
      <c r="K52" s="4" t="s">
        <v>1864</v>
      </c>
      <c r="L52" s="4"/>
      <c r="M52" s="4"/>
      <c r="N52" s="4"/>
      <c r="O52" s="4"/>
      <c r="P52" s="4">
        <v>1</v>
      </c>
      <c r="Q52" s="19" t="s">
        <v>3533</v>
      </c>
      <c r="R52" s="4" t="s">
        <v>16</v>
      </c>
      <c r="S52" s="4" t="s">
        <v>4</v>
      </c>
    </row>
    <row r="53" spans="1:19">
      <c r="A53" s="4">
        <v>14</v>
      </c>
      <c r="B53" s="5">
        <v>13</v>
      </c>
      <c r="C53" s="4" t="s">
        <v>2909</v>
      </c>
      <c r="D53" s="4" t="s">
        <v>1868</v>
      </c>
      <c r="E53" s="4">
        <v>2</v>
      </c>
      <c r="F53" s="4" t="s">
        <v>3083</v>
      </c>
      <c r="G53" s="4" t="s">
        <v>3084</v>
      </c>
      <c r="H53" s="4" t="s">
        <v>3075</v>
      </c>
      <c r="I53" s="4"/>
      <c r="J53" s="4" t="s">
        <v>1866</v>
      </c>
      <c r="K53" s="4"/>
      <c r="L53" s="4"/>
      <c r="M53" s="4"/>
      <c r="N53" s="4"/>
      <c r="O53" s="4"/>
      <c r="P53" s="4">
        <v>2</v>
      </c>
      <c r="Q53" s="19" t="s">
        <v>3569</v>
      </c>
      <c r="R53" s="3" t="s">
        <v>844</v>
      </c>
      <c r="S53" s="3" t="s">
        <v>4</v>
      </c>
    </row>
    <row r="54" spans="1:19">
      <c r="A54" s="3">
        <v>14</v>
      </c>
      <c r="B54" s="14">
        <v>14</v>
      </c>
      <c r="C54" s="3" t="s">
        <v>2910</v>
      </c>
      <c r="D54" s="3" t="s">
        <v>1865</v>
      </c>
      <c r="E54" s="3">
        <v>2</v>
      </c>
      <c r="F54" s="3" t="s">
        <v>3083</v>
      </c>
      <c r="G54" s="3" t="s">
        <v>3084</v>
      </c>
      <c r="H54" s="3" t="s">
        <v>3055</v>
      </c>
      <c r="J54" s="3" t="s">
        <v>1094</v>
      </c>
      <c r="P54" s="3">
        <v>2</v>
      </c>
      <c r="Q54" s="60" t="s">
        <v>3569</v>
      </c>
      <c r="R54" s="3" t="s">
        <v>15</v>
      </c>
      <c r="S54" s="3" t="s">
        <v>4</v>
      </c>
    </row>
    <row r="55" spans="1:19">
      <c r="A55" s="3">
        <v>14</v>
      </c>
      <c r="B55" s="14">
        <v>15</v>
      </c>
      <c r="C55" s="3" t="s">
        <v>2911</v>
      </c>
      <c r="D55" s="3" t="s">
        <v>1865</v>
      </c>
      <c r="E55" s="3">
        <v>2</v>
      </c>
      <c r="F55" s="3" t="s">
        <v>3083</v>
      </c>
      <c r="G55" s="3" t="s">
        <v>3084</v>
      </c>
      <c r="H55" s="3" t="s">
        <v>3145</v>
      </c>
      <c r="J55" s="3" t="s">
        <v>1394</v>
      </c>
      <c r="K55" s="3" t="s">
        <v>20</v>
      </c>
      <c r="P55" s="3">
        <v>1</v>
      </c>
      <c r="Q55" s="60" t="s">
        <v>3533</v>
      </c>
      <c r="R55" s="3" t="s">
        <v>11</v>
      </c>
      <c r="S55" s="3" t="s">
        <v>4</v>
      </c>
    </row>
    <row r="56" spans="1:19">
      <c r="A56" s="3">
        <v>14</v>
      </c>
      <c r="B56" s="3">
        <v>1022</v>
      </c>
      <c r="C56" s="3" t="s">
        <v>2945</v>
      </c>
      <c r="D56" s="3" t="s">
        <v>1868</v>
      </c>
      <c r="E56" s="3">
        <v>2</v>
      </c>
      <c r="F56" s="3" t="s">
        <v>3083</v>
      </c>
      <c r="G56" s="3" t="s">
        <v>3084</v>
      </c>
      <c r="H56" s="3" t="s">
        <v>3075</v>
      </c>
      <c r="J56" s="3" t="s">
        <v>1869</v>
      </c>
      <c r="K56" s="3" t="s">
        <v>1873</v>
      </c>
      <c r="L56" s="3" t="s">
        <v>1878</v>
      </c>
      <c r="P56" s="3">
        <v>2</v>
      </c>
      <c r="Q56" s="60" t="s">
        <v>3569</v>
      </c>
      <c r="R56" s="3" t="s">
        <v>11</v>
      </c>
      <c r="S56" s="3" t="s">
        <v>7</v>
      </c>
    </row>
    <row r="57" spans="1:19">
      <c r="A57" s="3">
        <v>14</v>
      </c>
      <c r="B57" s="3">
        <v>1023</v>
      </c>
      <c r="C57" s="3" t="s">
        <v>2946</v>
      </c>
      <c r="D57" s="3" t="s">
        <v>1865</v>
      </c>
      <c r="E57" s="3">
        <v>2</v>
      </c>
      <c r="F57" s="3" t="s">
        <v>3083</v>
      </c>
      <c r="G57" s="3" t="s">
        <v>3084</v>
      </c>
      <c r="H57" s="3" t="s">
        <v>3055</v>
      </c>
      <c r="J57" s="3" t="s">
        <v>1870</v>
      </c>
      <c r="K57" s="3" t="s">
        <v>1871</v>
      </c>
      <c r="P57" s="3">
        <v>3</v>
      </c>
      <c r="Q57" s="60" t="s">
        <v>3569</v>
      </c>
      <c r="R57" s="3" t="s">
        <v>26</v>
      </c>
      <c r="S57" s="3" t="s">
        <v>7</v>
      </c>
    </row>
    <row r="58" spans="1:19">
      <c r="A58" s="3">
        <v>14</v>
      </c>
      <c r="B58" s="3">
        <v>1025</v>
      </c>
      <c r="C58" s="3" t="s">
        <v>2947</v>
      </c>
      <c r="D58" s="3" t="s">
        <v>1865</v>
      </c>
      <c r="E58" s="3">
        <v>2</v>
      </c>
      <c r="F58" s="3" t="s">
        <v>3083</v>
      </c>
      <c r="G58" s="3" t="s">
        <v>3084</v>
      </c>
      <c r="H58" s="3" t="s">
        <v>3075</v>
      </c>
      <c r="J58" s="3" t="s">
        <v>1875</v>
      </c>
      <c r="K58" s="3" t="s">
        <v>1877</v>
      </c>
      <c r="P58" s="3">
        <v>2</v>
      </c>
      <c r="Q58" s="60" t="s">
        <v>3569</v>
      </c>
      <c r="R58" s="3" t="s">
        <v>5</v>
      </c>
      <c r="S58" s="3" t="s">
        <v>7</v>
      </c>
    </row>
    <row r="59" spans="1:19">
      <c r="A59" s="3">
        <v>14</v>
      </c>
      <c r="B59" s="3">
        <v>1026</v>
      </c>
      <c r="C59" s="3" t="s">
        <v>2948</v>
      </c>
      <c r="D59" s="3" t="s">
        <v>1874</v>
      </c>
      <c r="E59" s="3">
        <v>3</v>
      </c>
      <c r="F59" s="3" t="s">
        <v>3083</v>
      </c>
      <c r="G59" s="3" t="s">
        <v>3084</v>
      </c>
      <c r="H59" s="3" t="s">
        <v>3075</v>
      </c>
      <c r="J59" s="3" t="s">
        <v>1872</v>
      </c>
      <c r="P59" s="3">
        <v>3</v>
      </c>
      <c r="Q59" s="60" t="s">
        <v>3569</v>
      </c>
      <c r="R59" s="3" t="s">
        <v>1776</v>
      </c>
      <c r="S59" s="3" t="s">
        <v>7</v>
      </c>
    </row>
    <row r="60" spans="1:19">
      <c r="A60" s="3">
        <v>14</v>
      </c>
      <c r="B60" s="3">
        <v>1027</v>
      </c>
      <c r="C60" s="3" t="s">
        <v>2949</v>
      </c>
      <c r="D60" s="3" t="s">
        <v>1874</v>
      </c>
      <c r="E60" s="3">
        <v>3</v>
      </c>
      <c r="F60" s="3" t="s">
        <v>3083</v>
      </c>
      <c r="G60" s="3" t="s">
        <v>3084</v>
      </c>
      <c r="H60" s="3" t="s">
        <v>3055</v>
      </c>
      <c r="J60" s="3" t="s">
        <v>1876</v>
      </c>
      <c r="P60" s="3">
        <v>3</v>
      </c>
      <c r="Q60" s="60" t="s">
        <v>3527</v>
      </c>
      <c r="R60" s="3" t="s">
        <v>37</v>
      </c>
      <c r="S60" s="3" t="s">
        <v>7</v>
      </c>
    </row>
    <row r="61" spans="1:19">
      <c r="A61" s="3">
        <v>14</v>
      </c>
      <c r="B61" s="3">
        <v>2017</v>
      </c>
      <c r="C61" s="3" t="s">
        <v>3005</v>
      </c>
      <c r="D61" s="3" t="s">
        <v>1880</v>
      </c>
      <c r="E61" s="3">
        <v>4</v>
      </c>
      <c r="F61" s="3" t="s">
        <v>3083</v>
      </c>
      <c r="G61" s="3" t="s">
        <v>3084</v>
      </c>
      <c r="H61" s="3" t="s">
        <v>3055</v>
      </c>
      <c r="J61" s="3" t="s">
        <v>1879</v>
      </c>
      <c r="P61" s="3" t="s">
        <v>4044</v>
      </c>
      <c r="Q61" s="60" t="s">
        <v>3527</v>
      </c>
      <c r="R61" s="3" t="s">
        <v>5</v>
      </c>
      <c r="S61" s="3" t="s">
        <v>9</v>
      </c>
    </row>
    <row r="62" spans="1:19">
      <c r="A62" s="3">
        <v>14</v>
      </c>
      <c r="B62" s="3">
        <v>3003</v>
      </c>
      <c r="C62" s="3" t="s">
        <v>3036</v>
      </c>
      <c r="D62" s="3" t="s">
        <v>1892</v>
      </c>
      <c r="E62" s="3">
        <v>4</v>
      </c>
      <c r="F62" s="3" t="s">
        <v>3083</v>
      </c>
      <c r="G62" s="3" t="s">
        <v>3084</v>
      </c>
      <c r="H62" s="3" t="s">
        <v>3079</v>
      </c>
      <c r="J62" s="3" t="s">
        <v>1881</v>
      </c>
      <c r="K62" s="3" t="s">
        <v>1882</v>
      </c>
      <c r="N62" s="3" t="s">
        <v>153</v>
      </c>
      <c r="P62" s="3" t="s">
        <v>4045</v>
      </c>
      <c r="Q62" s="60" t="s">
        <v>3569</v>
      </c>
    </row>
    <row r="63" spans="1:19">
      <c r="A63" s="3">
        <v>14</v>
      </c>
      <c r="B63" s="3">
        <v>3004</v>
      </c>
      <c r="C63" s="3" t="s">
        <v>3037</v>
      </c>
      <c r="D63" s="3" t="s">
        <v>3921</v>
      </c>
      <c r="E63" s="3">
        <v>4</v>
      </c>
      <c r="F63" s="3" t="s">
        <v>3083</v>
      </c>
      <c r="G63" s="3" t="s">
        <v>3079</v>
      </c>
      <c r="J63" s="3" t="s">
        <v>20</v>
      </c>
      <c r="K63" s="3" t="s">
        <v>1883</v>
      </c>
      <c r="L63" s="3" t="s">
        <v>1884</v>
      </c>
      <c r="N63" s="3" t="s">
        <v>153</v>
      </c>
      <c r="P63" s="3" t="s">
        <v>4046</v>
      </c>
      <c r="Q63" s="60" t="s">
        <v>3522</v>
      </c>
      <c r="R63" s="3" t="s">
        <v>44</v>
      </c>
      <c r="S63" s="3" t="s">
        <v>41</v>
      </c>
    </row>
    <row r="64" spans="1:19">
      <c r="A64" s="3">
        <v>14</v>
      </c>
      <c r="B64" s="3">
        <v>3005</v>
      </c>
      <c r="C64" s="3" t="s">
        <v>3038</v>
      </c>
      <c r="D64" s="3" t="s">
        <v>1893</v>
      </c>
      <c r="E64" s="3">
        <v>5</v>
      </c>
      <c r="F64" s="3" t="s">
        <v>3087</v>
      </c>
      <c r="G64" s="3" t="s">
        <v>3084</v>
      </c>
      <c r="H64" s="3" t="s">
        <v>3055</v>
      </c>
      <c r="J64" s="3" t="s">
        <v>3</v>
      </c>
      <c r="K64" s="3" t="s">
        <v>1885</v>
      </c>
      <c r="L64" s="3" t="s">
        <v>1886</v>
      </c>
      <c r="M64" s="3" t="s">
        <v>1891</v>
      </c>
      <c r="P64" s="3" t="s">
        <v>4044</v>
      </c>
      <c r="Q64" s="60" t="s">
        <v>3522</v>
      </c>
      <c r="R64" s="3" t="s">
        <v>17</v>
      </c>
      <c r="S64" s="3" t="s">
        <v>41</v>
      </c>
    </row>
    <row r="65" spans="1:19">
      <c r="A65" s="3">
        <v>14</v>
      </c>
      <c r="B65" s="3">
        <v>3006</v>
      </c>
      <c r="C65" s="3" t="s">
        <v>3039</v>
      </c>
      <c r="D65" s="3" t="s">
        <v>1893</v>
      </c>
      <c r="E65" s="3">
        <v>5</v>
      </c>
      <c r="F65" s="3" t="s">
        <v>3087</v>
      </c>
      <c r="G65" s="3" t="s">
        <v>3084</v>
      </c>
      <c r="H65" s="3" t="s">
        <v>3079</v>
      </c>
      <c r="J65" s="3" t="s">
        <v>1887</v>
      </c>
      <c r="K65" s="3" t="s">
        <v>1888</v>
      </c>
      <c r="N65" s="3" t="s">
        <v>153</v>
      </c>
      <c r="P65" s="3" t="s">
        <v>4046</v>
      </c>
      <c r="Q65" s="60" t="s">
        <v>3522</v>
      </c>
    </row>
    <row r="66" spans="1:19">
      <c r="A66" s="3">
        <v>14</v>
      </c>
      <c r="B66" s="3">
        <v>3007</v>
      </c>
      <c r="C66" s="3" t="s">
        <v>3040</v>
      </c>
      <c r="D66" s="3" t="s">
        <v>3921</v>
      </c>
      <c r="E66" s="3">
        <v>5</v>
      </c>
      <c r="F66" s="3" t="s">
        <v>3087</v>
      </c>
      <c r="G66" s="3" t="s">
        <v>3079</v>
      </c>
      <c r="J66" s="3" t="s">
        <v>1889</v>
      </c>
      <c r="K66" s="3" t="s">
        <v>1890</v>
      </c>
      <c r="N66" s="3" t="s">
        <v>153</v>
      </c>
      <c r="P66" s="3" t="s">
        <v>4054</v>
      </c>
      <c r="Q66" s="60" t="s">
        <v>3611</v>
      </c>
      <c r="R66" s="3" t="s">
        <v>39</v>
      </c>
      <c r="S66" s="3" t="s">
        <v>41</v>
      </c>
    </row>
    <row r="67" spans="1:19">
      <c r="A67" s="3">
        <v>15</v>
      </c>
      <c r="B67" s="14">
        <v>16</v>
      </c>
      <c r="C67" s="14" t="s">
        <v>2912</v>
      </c>
      <c r="D67" s="14" t="s">
        <v>1894</v>
      </c>
      <c r="E67" s="14">
        <v>2</v>
      </c>
      <c r="F67" s="14" t="s">
        <v>3083</v>
      </c>
      <c r="G67" s="14" t="s">
        <v>3084</v>
      </c>
      <c r="H67" s="14" t="s">
        <v>3049</v>
      </c>
      <c r="I67" s="14"/>
      <c r="J67" s="14" t="s">
        <v>22</v>
      </c>
      <c r="K67" s="14"/>
      <c r="L67" s="14"/>
      <c r="M67" s="14"/>
      <c r="N67" s="14"/>
      <c r="O67" s="14"/>
      <c r="P67" s="14">
        <v>2</v>
      </c>
      <c r="Q67" s="70" t="s">
        <v>3569</v>
      </c>
      <c r="R67" s="14" t="s">
        <v>18</v>
      </c>
      <c r="S67" s="14" t="s">
        <v>4</v>
      </c>
    </row>
    <row r="68" spans="1:19">
      <c r="A68" s="3">
        <v>15</v>
      </c>
      <c r="B68" s="14">
        <v>17</v>
      </c>
      <c r="C68" s="14" t="s">
        <v>2913</v>
      </c>
      <c r="D68" s="14" t="s">
        <v>1894</v>
      </c>
      <c r="E68" s="14">
        <v>2</v>
      </c>
      <c r="F68" s="14" t="s">
        <v>3083</v>
      </c>
      <c r="G68" s="14" t="s">
        <v>3084</v>
      </c>
      <c r="H68" s="14" t="s">
        <v>3066</v>
      </c>
      <c r="I68" s="14" t="s">
        <v>3054</v>
      </c>
      <c r="J68" s="14" t="s">
        <v>23</v>
      </c>
      <c r="K68" s="14" t="s">
        <v>1612</v>
      </c>
      <c r="L68" s="14"/>
      <c r="M68" s="14"/>
      <c r="N68" s="14"/>
      <c r="O68" s="14"/>
      <c r="P68" s="14">
        <v>2</v>
      </c>
      <c r="Q68" s="70" t="s">
        <v>3569</v>
      </c>
      <c r="R68" s="14" t="s">
        <v>15</v>
      </c>
      <c r="S68" s="14" t="s">
        <v>4</v>
      </c>
    </row>
    <row r="69" spans="1:19">
      <c r="A69" s="3">
        <v>15</v>
      </c>
      <c r="B69" s="3">
        <v>2018</v>
      </c>
      <c r="C69" s="3" t="s">
        <v>3006</v>
      </c>
      <c r="D69" s="3" t="s">
        <v>1894</v>
      </c>
      <c r="E69" s="3">
        <v>2</v>
      </c>
      <c r="F69" s="3" t="s">
        <v>3087</v>
      </c>
      <c r="G69" s="3" t="s">
        <v>3084</v>
      </c>
      <c r="H69" s="3" t="s">
        <v>3049</v>
      </c>
      <c r="J69" s="3" t="s">
        <v>1901</v>
      </c>
      <c r="P69" s="3" t="s">
        <v>4045</v>
      </c>
      <c r="Q69" s="60" t="s">
        <v>3569</v>
      </c>
      <c r="R69" s="3" t="s">
        <v>31</v>
      </c>
      <c r="S69" s="3" t="s">
        <v>9</v>
      </c>
    </row>
    <row r="70" spans="1:19">
      <c r="A70" s="3">
        <v>15</v>
      </c>
      <c r="B70" s="3">
        <v>2019</v>
      </c>
      <c r="C70" s="3" t="s">
        <v>3007</v>
      </c>
      <c r="D70" s="3" t="s">
        <v>1894</v>
      </c>
      <c r="E70" s="3">
        <v>2</v>
      </c>
      <c r="F70" s="3" t="s">
        <v>3083</v>
      </c>
      <c r="G70" s="3" t="s">
        <v>3084</v>
      </c>
      <c r="H70" s="3" t="s">
        <v>3054</v>
      </c>
      <c r="J70" s="3" t="s">
        <v>1902</v>
      </c>
      <c r="P70" s="3" t="s">
        <v>4045</v>
      </c>
      <c r="Q70" s="60" t="s">
        <v>3569</v>
      </c>
      <c r="R70" s="3" t="s">
        <v>1776</v>
      </c>
      <c r="S70" s="3" t="s">
        <v>9</v>
      </c>
    </row>
    <row r="71" spans="1:19">
      <c r="A71" s="3">
        <v>15</v>
      </c>
      <c r="B71" s="3">
        <v>1028</v>
      </c>
      <c r="C71" s="3" t="s">
        <v>2950</v>
      </c>
      <c r="D71" s="3" t="s">
        <v>1898</v>
      </c>
      <c r="E71" s="3">
        <v>3</v>
      </c>
      <c r="F71" s="3" t="s">
        <v>3083</v>
      </c>
      <c r="G71" s="3" t="s">
        <v>3084</v>
      </c>
      <c r="H71" s="3" t="s">
        <v>3054</v>
      </c>
      <c r="J71" s="3" t="s">
        <v>23</v>
      </c>
      <c r="K71" s="3" t="s">
        <v>3917</v>
      </c>
      <c r="P71" s="3">
        <v>2</v>
      </c>
      <c r="Q71" s="60" t="s">
        <v>3527</v>
      </c>
      <c r="R71" s="3" t="s">
        <v>48</v>
      </c>
      <c r="S71" s="3" t="s">
        <v>7</v>
      </c>
    </row>
    <row r="72" spans="1:19">
      <c r="A72" s="3">
        <v>15</v>
      </c>
      <c r="B72" s="3">
        <v>1029</v>
      </c>
      <c r="C72" s="3" t="s">
        <v>2951</v>
      </c>
      <c r="D72" s="3" t="s">
        <v>1898</v>
      </c>
      <c r="E72" s="3">
        <v>3</v>
      </c>
      <c r="F72" s="3" t="s">
        <v>3083</v>
      </c>
      <c r="G72" s="3" t="s">
        <v>3084</v>
      </c>
      <c r="H72" s="3" t="s">
        <v>3066</v>
      </c>
      <c r="J72" s="3" t="s">
        <v>1634</v>
      </c>
      <c r="K72" s="3" t="s">
        <v>1895</v>
      </c>
      <c r="P72" s="3">
        <v>2</v>
      </c>
      <c r="Q72" s="60" t="s">
        <v>3527</v>
      </c>
      <c r="R72" s="3" t="s">
        <v>36</v>
      </c>
      <c r="S72" s="3" t="s">
        <v>7</v>
      </c>
    </row>
    <row r="73" spans="1:19">
      <c r="A73" s="3">
        <v>15</v>
      </c>
      <c r="B73" s="3">
        <v>1030</v>
      </c>
      <c r="C73" s="3" t="s">
        <v>2952</v>
      </c>
      <c r="D73" s="3" t="s">
        <v>1898</v>
      </c>
      <c r="E73" s="3">
        <v>3</v>
      </c>
      <c r="F73" s="3" t="s">
        <v>3083</v>
      </c>
      <c r="G73" s="3" t="s">
        <v>3084</v>
      </c>
      <c r="H73" s="3" t="s">
        <v>3055</v>
      </c>
      <c r="J73" s="3" t="s">
        <v>1896</v>
      </c>
      <c r="P73" s="3">
        <v>3</v>
      </c>
      <c r="Q73" s="60" t="s">
        <v>3569</v>
      </c>
      <c r="R73" s="3" t="s">
        <v>35</v>
      </c>
      <c r="S73" s="3" t="s">
        <v>7</v>
      </c>
    </row>
    <row r="74" spans="1:19">
      <c r="A74" s="3">
        <v>15</v>
      </c>
      <c r="B74" s="3">
        <v>2020</v>
      </c>
      <c r="C74" s="3" t="s">
        <v>3008</v>
      </c>
      <c r="D74" s="3" t="s">
        <v>1898</v>
      </c>
      <c r="E74" s="3">
        <v>3</v>
      </c>
      <c r="F74" s="3" t="s">
        <v>3083</v>
      </c>
      <c r="G74" s="3" t="s">
        <v>3084</v>
      </c>
      <c r="H74" s="3" t="s">
        <v>3054</v>
      </c>
      <c r="J74" s="3" t="s">
        <v>1903</v>
      </c>
      <c r="K74" s="3" t="s">
        <v>1904</v>
      </c>
      <c r="P74" s="3" t="s">
        <v>4045</v>
      </c>
      <c r="Q74" s="60" t="s">
        <v>3569</v>
      </c>
      <c r="R74" s="3" t="s">
        <v>18</v>
      </c>
      <c r="S74" s="3" t="s">
        <v>9</v>
      </c>
    </row>
    <row r="75" spans="1:19">
      <c r="A75" s="3">
        <v>15</v>
      </c>
      <c r="B75" s="3">
        <v>2021</v>
      </c>
      <c r="C75" s="3" t="s">
        <v>3009</v>
      </c>
      <c r="D75" s="3" t="s">
        <v>1898</v>
      </c>
      <c r="E75" s="3">
        <v>3</v>
      </c>
      <c r="F75" s="3" t="s">
        <v>3083</v>
      </c>
      <c r="G75" s="3" t="s">
        <v>3084</v>
      </c>
      <c r="H75" s="3" t="s">
        <v>3050</v>
      </c>
      <c r="I75" s="3" t="s">
        <v>3060</v>
      </c>
      <c r="J75" s="3" t="s">
        <v>1905</v>
      </c>
      <c r="K75" s="3" t="s">
        <v>1906</v>
      </c>
      <c r="P75" s="3" t="s">
        <v>4047</v>
      </c>
      <c r="Q75" s="60" t="s">
        <v>4048</v>
      </c>
      <c r="R75" s="3" t="s">
        <v>28</v>
      </c>
      <c r="S75" s="3" t="s">
        <v>9</v>
      </c>
    </row>
    <row r="76" spans="1:19">
      <c r="A76" s="3">
        <v>15</v>
      </c>
      <c r="B76" s="3">
        <v>1031</v>
      </c>
      <c r="C76" s="3" t="s">
        <v>2953</v>
      </c>
      <c r="D76" s="3" t="s">
        <v>1899</v>
      </c>
      <c r="E76" s="3">
        <v>4</v>
      </c>
      <c r="F76" s="3" t="s">
        <v>3083</v>
      </c>
      <c r="G76" s="3" t="s">
        <v>3084</v>
      </c>
      <c r="H76" s="3" t="s">
        <v>3055</v>
      </c>
      <c r="J76" s="3" t="s">
        <v>3918</v>
      </c>
      <c r="P76" s="3">
        <v>4</v>
      </c>
      <c r="Q76" s="60" t="s">
        <v>3522</v>
      </c>
      <c r="R76" s="3" t="s">
        <v>17</v>
      </c>
      <c r="S76" s="3" t="s">
        <v>7</v>
      </c>
    </row>
    <row r="77" spans="1:19">
      <c r="A77" s="3">
        <v>15</v>
      </c>
      <c r="B77" s="3">
        <v>2022</v>
      </c>
      <c r="C77" s="3" t="s">
        <v>3010</v>
      </c>
      <c r="D77" s="3" t="s">
        <v>1899</v>
      </c>
      <c r="E77" s="3">
        <v>4</v>
      </c>
      <c r="F77" s="3" t="s">
        <v>3083</v>
      </c>
      <c r="G77" s="3" t="s">
        <v>3084</v>
      </c>
      <c r="H77" s="3" t="s">
        <v>3054</v>
      </c>
      <c r="J77" s="3" t="s">
        <v>3</v>
      </c>
      <c r="K77" s="3" t="s">
        <v>19</v>
      </c>
      <c r="L77" s="3" t="s">
        <v>1907</v>
      </c>
      <c r="P77" s="3" t="s">
        <v>4044</v>
      </c>
      <c r="Q77" s="60" t="s">
        <v>3527</v>
      </c>
      <c r="R77" s="3" t="s">
        <v>39</v>
      </c>
      <c r="S77" s="3" t="s">
        <v>9</v>
      </c>
    </row>
    <row r="78" spans="1:19">
      <c r="A78" s="3">
        <v>15</v>
      </c>
      <c r="B78" s="3">
        <v>2023</v>
      </c>
      <c r="C78" s="3" t="s">
        <v>3011</v>
      </c>
      <c r="D78" s="3" t="s">
        <v>1899</v>
      </c>
      <c r="E78" s="3">
        <v>4</v>
      </c>
      <c r="F78" s="3" t="s">
        <v>3083</v>
      </c>
      <c r="G78" s="3" t="s">
        <v>3084</v>
      </c>
      <c r="H78" s="3" t="s">
        <v>3054</v>
      </c>
      <c r="J78" s="3" t="s">
        <v>1908</v>
      </c>
      <c r="P78" s="3" t="s">
        <v>4045</v>
      </c>
      <c r="Q78" s="60" t="s">
        <v>3569</v>
      </c>
      <c r="R78" s="3" t="s">
        <v>1776</v>
      </c>
      <c r="S78" s="3" t="s">
        <v>9</v>
      </c>
    </row>
    <row r="79" spans="1:19">
      <c r="A79" s="3">
        <v>15</v>
      </c>
      <c r="B79" s="3">
        <v>1032</v>
      </c>
      <c r="C79" s="3" t="s">
        <v>2954</v>
      </c>
      <c r="D79" s="3" t="s">
        <v>1900</v>
      </c>
      <c r="E79" s="3">
        <v>5</v>
      </c>
      <c r="F79" s="3" t="s">
        <v>3083</v>
      </c>
      <c r="G79" s="3" t="s">
        <v>3084</v>
      </c>
      <c r="H79" s="3" t="s">
        <v>3054</v>
      </c>
      <c r="J79" s="3" t="s">
        <v>1897</v>
      </c>
      <c r="P79" s="3">
        <v>2</v>
      </c>
      <c r="Q79" s="60" t="s">
        <v>3522</v>
      </c>
      <c r="R79" s="3" t="s">
        <v>49</v>
      </c>
      <c r="S79" s="3" t="s">
        <v>7</v>
      </c>
    </row>
    <row r="80" spans="1:19">
      <c r="A80" s="3">
        <v>16</v>
      </c>
      <c r="B80" s="3">
        <v>1033</v>
      </c>
      <c r="C80" s="3" t="s">
        <v>2955</v>
      </c>
      <c r="D80" s="3" t="s">
        <v>1920</v>
      </c>
      <c r="E80" s="3">
        <v>2</v>
      </c>
      <c r="F80" s="3" t="s">
        <v>3083</v>
      </c>
      <c r="G80" s="3" t="s">
        <v>3084</v>
      </c>
      <c r="H80" s="3" t="s">
        <v>3055</v>
      </c>
      <c r="J80" s="3" t="s">
        <v>1911</v>
      </c>
      <c r="P80" s="3">
        <v>3</v>
      </c>
      <c r="Q80" s="60" t="s">
        <v>3569</v>
      </c>
      <c r="R80" s="3" t="s">
        <v>38</v>
      </c>
      <c r="S80" s="3" t="s">
        <v>7</v>
      </c>
    </row>
    <row r="81" spans="1:19">
      <c r="A81" s="3">
        <v>16</v>
      </c>
      <c r="B81" s="3">
        <v>1034</v>
      </c>
      <c r="C81" s="3" t="s">
        <v>2956</v>
      </c>
      <c r="D81" s="3" t="s">
        <v>1920</v>
      </c>
      <c r="E81" s="3">
        <v>2</v>
      </c>
      <c r="F81" s="3" t="s">
        <v>3083</v>
      </c>
      <c r="G81" s="3" t="s">
        <v>3084</v>
      </c>
      <c r="H81" s="3" t="s">
        <v>3059</v>
      </c>
      <c r="J81" s="3" t="s">
        <v>1912</v>
      </c>
      <c r="P81" s="3">
        <v>2</v>
      </c>
      <c r="Q81" s="60" t="s">
        <v>3569</v>
      </c>
      <c r="R81" s="3" t="s">
        <v>5</v>
      </c>
      <c r="S81" s="3" t="s">
        <v>7</v>
      </c>
    </row>
    <row r="82" spans="1:19">
      <c r="A82" s="3">
        <v>16</v>
      </c>
      <c r="B82" s="3">
        <v>1035</v>
      </c>
      <c r="C82" s="3" t="s">
        <v>2957</v>
      </c>
      <c r="D82" s="3" t="s">
        <v>1920</v>
      </c>
      <c r="E82" s="3">
        <v>2</v>
      </c>
      <c r="F82" s="3" t="s">
        <v>3083</v>
      </c>
      <c r="G82" s="3" t="s">
        <v>3084</v>
      </c>
      <c r="H82" s="3" t="s">
        <v>3055</v>
      </c>
      <c r="J82" s="3" t="s">
        <v>1913</v>
      </c>
      <c r="P82" s="3">
        <v>2</v>
      </c>
      <c r="Q82" s="60" t="s">
        <v>3527</v>
      </c>
      <c r="R82" s="3" t="s">
        <v>38</v>
      </c>
      <c r="S82" s="3" t="s">
        <v>7</v>
      </c>
    </row>
    <row r="83" spans="1:19">
      <c r="A83" s="3">
        <v>16</v>
      </c>
      <c r="B83" s="3">
        <v>1036</v>
      </c>
      <c r="C83" s="3" t="s">
        <v>2958</v>
      </c>
      <c r="D83" s="3" t="s">
        <v>1927</v>
      </c>
      <c r="E83" s="3">
        <v>2</v>
      </c>
      <c r="F83" s="3" t="s">
        <v>3083</v>
      </c>
      <c r="G83" s="3" t="s">
        <v>3084</v>
      </c>
      <c r="H83" s="3" t="s">
        <v>3051</v>
      </c>
      <c r="J83" s="3" t="s">
        <v>1928</v>
      </c>
      <c r="K83" s="3" t="s">
        <v>1919</v>
      </c>
      <c r="L83" s="3" t="s">
        <v>1926</v>
      </c>
      <c r="P83" s="3">
        <v>2</v>
      </c>
      <c r="Q83" s="60" t="s">
        <v>3569</v>
      </c>
      <c r="R83" s="3" t="s">
        <v>11</v>
      </c>
      <c r="S83" s="3" t="s">
        <v>7</v>
      </c>
    </row>
    <row r="84" spans="1:19">
      <c r="A84" s="3">
        <v>16</v>
      </c>
      <c r="B84" s="3">
        <v>1037</v>
      </c>
      <c r="C84" s="3" t="s">
        <v>2959</v>
      </c>
      <c r="D84" s="3" t="s">
        <v>1920</v>
      </c>
      <c r="E84" s="3">
        <v>2</v>
      </c>
      <c r="F84" s="3" t="s">
        <v>3086</v>
      </c>
      <c r="G84" s="3" t="s">
        <v>3084</v>
      </c>
      <c r="H84" s="3" t="s">
        <v>3053</v>
      </c>
      <c r="J84" s="3" t="s">
        <v>1914</v>
      </c>
      <c r="K84" s="3" t="s">
        <v>1924</v>
      </c>
      <c r="P84" s="3">
        <v>2</v>
      </c>
      <c r="Q84" s="60" t="s">
        <v>3569</v>
      </c>
      <c r="R84" s="3" t="s">
        <v>27</v>
      </c>
      <c r="S84" s="3" t="s">
        <v>7</v>
      </c>
    </row>
    <row r="85" spans="1:19">
      <c r="A85" s="3">
        <v>16</v>
      </c>
      <c r="B85" s="3">
        <v>1038</v>
      </c>
      <c r="C85" s="3" t="s">
        <v>2960</v>
      </c>
      <c r="D85" s="3" t="s">
        <v>1920</v>
      </c>
      <c r="E85" s="3">
        <v>2</v>
      </c>
      <c r="F85" s="3" t="s">
        <v>3083</v>
      </c>
      <c r="G85" s="3" t="s">
        <v>3084</v>
      </c>
      <c r="H85" s="3" t="s">
        <v>3051</v>
      </c>
      <c r="J85" s="3" t="s">
        <v>1923</v>
      </c>
      <c r="K85" s="3" t="s">
        <v>1925</v>
      </c>
      <c r="P85" s="3">
        <v>2</v>
      </c>
      <c r="Q85" s="60" t="s">
        <v>3569</v>
      </c>
      <c r="R85" s="3" t="s">
        <v>5</v>
      </c>
      <c r="S85" s="3" t="s">
        <v>7</v>
      </c>
    </row>
    <row r="86" spans="1:19">
      <c r="A86" s="3">
        <v>16</v>
      </c>
      <c r="B86" s="3">
        <v>2024</v>
      </c>
      <c r="C86" s="3" t="s">
        <v>3012</v>
      </c>
      <c r="D86" s="3" t="s">
        <v>1920</v>
      </c>
      <c r="E86" s="3">
        <v>2</v>
      </c>
      <c r="F86" s="3" t="s">
        <v>3083</v>
      </c>
      <c r="G86" s="3" t="s">
        <v>3084</v>
      </c>
      <c r="H86" s="3" t="s">
        <v>3053</v>
      </c>
      <c r="J86" s="3" t="s">
        <v>1929</v>
      </c>
      <c r="P86" s="3" t="s">
        <v>4043</v>
      </c>
      <c r="Q86" s="60" t="s">
        <v>3533</v>
      </c>
      <c r="R86" s="3" t="s">
        <v>5</v>
      </c>
      <c r="S86" s="3" t="s">
        <v>9</v>
      </c>
    </row>
    <row r="87" spans="1:19">
      <c r="A87" s="3">
        <v>16</v>
      </c>
      <c r="B87" s="14">
        <v>18</v>
      </c>
      <c r="C87" s="14" t="s">
        <v>2914</v>
      </c>
      <c r="D87" s="14" t="s">
        <v>1910</v>
      </c>
      <c r="E87" s="14">
        <v>3</v>
      </c>
      <c r="F87" s="14" t="s">
        <v>3085</v>
      </c>
      <c r="G87" s="14" t="s">
        <v>3084</v>
      </c>
      <c r="H87" s="14" t="s">
        <v>3051</v>
      </c>
      <c r="I87" s="14"/>
      <c r="J87" s="14" t="s">
        <v>1909</v>
      </c>
      <c r="K87" s="14"/>
      <c r="L87" s="14"/>
      <c r="M87" s="14"/>
      <c r="N87" s="14"/>
      <c r="O87" s="14"/>
      <c r="P87" s="14">
        <v>0</v>
      </c>
      <c r="Q87" s="70" t="s">
        <v>3569</v>
      </c>
      <c r="R87" s="14" t="s">
        <v>1776</v>
      </c>
      <c r="S87" s="14" t="s">
        <v>4</v>
      </c>
    </row>
    <row r="88" spans="1:19">
      <c r="A88" s="3">
        <v>16</v>
      </c>
      <c r="B88" s="3">
        <v>1039</v>
      </c>
      <c r="C88" s="3" t="s">
        <v>2961</v>
      </c>
      <c r="D88" s="3" t="s">
        <v>1910</v>
      </c>
      <c r="E88" s="3">
        <v>3</v>
      </c>
      <c r="F88" s="3" t="s">
        <v>3083</v>
      </c>
      <c r="G88" s="3" t="s">
        <v>3084</v>
      </c>
      <c r="H88" s="3" t="s">
        <v>3053</v>
      </c>
      <c r="J88" s="3" t="s">
        <v>1915</v>
      </c>
      <c r="P88" s="3">
        <v>2</v>
      </c>
      <c r="Q88" s="60" t="s">
        <v>3533</v>
      </c>
      <c r="R88" s="3" t="s">
        <v>16</v>
      </c>
      <c r="S88" s="3" t="s">
        <v>7</v>
      </c>
    </row>
    <row r="89" spans="1:19">
      <c r="A89" s="3">
        <v>16</v>
      </c>
      <c r="B89" s="3">
        <v>2025</v>
      </c>
      <c r="C89" s="3" t="s">
        <v>3013</v>
      </c>
      <c r="D89" s="3" t="s">
        <v>1910</v>
      </c>
      <c r="E89" s="3">
        <v>3</v>
      </c>
      <c r="F89" s="3" t="s">
        <v>3083</v>
      </c>
      <c r="G89" s="3" t="s">
        <v>3084</v>
      </c>
      <c r="H89" s="3" t="s">
        <v>3053</v>
      </c>
      <c r="J89" s="3" t="s">
        <v>1930</v>
      </c>
      <c r="K89" s="3" t="s">
        <v>1931</v>
      </c>
      <c r="L89" s="3" t="s">
        <v>1932</v>
      </c>
      <c r="M89" s="3" t="s">
        <v>1933</v>
      </c>
      <c r="P89" s="3" t="s">
        <v>4043</v>
      </c>
      <c r="Q89" s="60" t="s">
        <v>3533</v>
      </c>
      <c r="R89" s="3" t="s">
        <v>11</v>
      </c>
      <c r="S89" s="3" t="s">
        <v>9</v>
      </c>
    </row>
    <row r="90" spans="1:19">
      <c r="A90" s="3">
        <v>16</v>
      </c>
      <c r="B90" s="3">
        <v>2026</v>
      </c>
      <c r="C90" s="3" t="s">
        <v>3014</v>
      </c>
      <c r="D90" s="3" t="s">
        <v>1910</v>
      </c>
      <c r="E90" s="3">
        <v>3</v>
      </c>
      <c r="F90" s="3" t="s">
        <v>3087</v>
      </c>
      <c r="G90" s="3" t="s">
        <v>3084</v>
      </c>
      <c r="H90" s="3" t="s">
        <v>3059</v>
      </c>
      <c r="J90" s="3" t="s">
        <v>1934</v>
      </c>
      <c r="K90" s="3" t="s">
        <v>1935</v>
      </c>
      <c r="P90" s="3" t="s">
        <v>4045</v>
      </c>
      <c r="Q90" s="60" t="s">
        <v>3527</v>
      </c>
      <c r="R90" s="3" t="s">
        <v>11</v>
      </c>
      <c r="S90" s="3" t="s">
        <v>9</v>
      </c>
    </row>
    <row r="91" spans="1:19">
      <c r="A91" s="3">
        <v>16</v>
      </c>
      <c r="B91" s="3">
        <v>2027</v>
      </c>
      <c r="C91" s="3" t="s">
        <v>3015</v>
      </c>
      <c r="D91" s="3" t="s">
        <v>1910</v>
      </c>
      <c r="E91" s="3">
        <v>3</v>
      </c>
      <c r="F91" s="3" t="s">
        <v>3087</v>
      </c>
      <c r="G91" s="3" t="s">
        <v>3084</v>
      </c>
      <c r="H91" s="3" t="s">
        <v>3059</v>
      </c>
      <c r="J91" s="3" t="s">
        <v>1936</v>
      </c>
      <c r="P91" s="3" t="s">
        <v>4045</v>
      </c>
      <c r="Q91" s="60" t="s">
        <v>3527</v>
      </c>
      <c r="R91" s="3" t="s">
        <v>26</v>
      </c>
      <c r="S91" s="3" t="s">
        <v>9</v>
      </c>
    </row>
    <row r="92" spans="1:19">
      <c r="A92" s="3">
        <v>16</v>
      </c>
      <c r="B92" s="3">
        <v>1040</v>
      </c>
      <c r="C92" s="3" t="s">
        <v>2962</v>
      </c>
      <c r="D92" s="3" t="s">
        <v>1921</v>
      </c>
      <c r="E92" s="3">
        <v>4</v>
      </c>
      <c r="F92" s="3" t="s">
        <v>3083</v>
      </c>
      <c r="G92" s="3" t="s">
        <v>3084</v>
      </c>
      <c r="H92" s="3" t="s">
        <v>3063</v>
      </c>
      <c r="J92" s="3" t="s">
        <v>1916</v>
      </c>
      <c r="P92" s="3">
        <v>3</v>
      </c>
      <c r="Q92" s="60" t="s">
        <v>3527</v>
      </c>
      <c r="R92" s="3" t="s">
        <v>26</v>
      </c>
      <c r="S92" s="3" t="s">
        <v>7</v>
      </c>
    </row>
    <row r="93" spans="1:19">
      <c r="A93" s="3">
        <v>16</v>
      </c>
      <c r="B93" s="3">
        <v>2028</v>
      </c>
      <c r="C93" s="3" t="s">
        <v>3016</v>
      </c>
      <c r="D93" s="3" t="s">
        <v>1921</v>
      </c>
      <c r="E93" s="3">
        <v>4</v>
      </c>
      <c r="F93" s="3" t="s">
        <v>3087</v>
      </c>
      <c r="G93" s="3" t="s">
        <v>3084</v>
      </c>
      <c r="H93" s="3" t="s">
        <v>3051</v>
      </c>
      <c r="J93" s="3" t="s">
        <v>1937</v>
      </c>
      <c r="K93" s="3" t="s">
        <v>1940</v>
      </c>
      <c r="L93" s="3" t="s">
        <v>1942</v>
      </c>
      <c r="P93" s="3" t="s">
        <v>4044</v>
      </c>
      <c r="Q93" s="60" t="s">
        <v>3527</v>
      </c>
      <c r="R93" s="3" t="s">
        <v>14</v>
      </c>
      <c r="S93" s="3" t="s">
        <v>9</v>
      </c>
    </row>
    <row r="94" spans="1:19">
      <c r="A94" s="3">
        <v>16</v>
      </c>
      <c r="B94" s="3">
        <v>1041</v>
      </c>
      <c r="C94" s="3" t="s">
        <v>2963</v>
      </c>
      <c r="D94" s="3" t="s">
        <v>1922</v>
      </c>
      <c r="E94" s="3">
        <v>5</v>
      </c>
      <c r="F94" s="3" t="s">
        <v>3083</v>
      </c>
      <c r="G94" s="3" t="s">
        <v>3084</v>
      </c>
      <c r="H94" s="3" t="s">
        <v>3053</v>
      </c>
      <c r="J94" s="3" t="s">
        <v>3803</v>
      </c>
      <c r="K94" s="3" t="s">
        <v>1917</v>
      </c>
      <c r="P94" s="3">
        <v>1</v>
      </c>
      <c r="Q94" s="60" t="s">
        <v>3527</v>
      </c>
      <c r="R94" s="3" t="s">
        <v>5</v>
      </c>
      <c r="S94" s="3" t="s">
        <v>7</v>
      </c>
    </row>
    <row r="95" spans="1:19">
      <c r="A95" s="3">
        <v>16</v>
      </c>
      <c r="B95" s="3">
        <v>1042</v>
      </c>
      <c r="C95" s="3" t="s">
        <v>2964</v>
      </c>
      <c r="D95" s="3" t="s">
        <v>1922</v>
      </c>
      <c r="E95" s="3">
        <v>5</v>
      </c>
      <c r="F95" s="3" t="s">
        <v>3083</v>
      </c>
      <c r="G95" s="3" t="s">
        <v>3084</v>
      </c>
      <c r="H95" s="3" t="s">
        <v>3059</v>
      </c>
      <c r="J95" s="3" t="s">
        <v>1918</v>
      </c>
      <c r="P95" s="3">
        <v>2</v>
      </c>
      <c r="Q95" s="60" t="s">
        <v>3527</v>
      </c>
      <c r="R95" s="3" t="s">
        <v>11</v>
      </c>
      <c r="S95" s="3" t="s">
        <v>7</v>
      </c>
    </row>
    <row r="96" spans="1:19">
      <c r="A96" s="3">
        <v>16</v>
      </c>
      <c r="B96" s="3">
        <v>2029</v>
      </c>
      <c r="C96" s="3" t="s">
        <v>3017</v>
      </c>
      <c r="D96" s="3" t="s">
        <v>1941</v>
      </c>
      <c r="E96" s="3">
        <v>7</v>
      </c>
      <c r="F96" s="3" t="s">
        <v>3087</v>
      </c>
      <c r="G96" s="3" t="s">
        <v>3084</v>
      </c>
      <c r="H96" s="3" t="s">
        <v>3059</v>
      </c>
      <c r="J96" s="3" t="s">
        <v>1938</v>
      </c>
      <c r="K96" s="3" t="s">
        <v>1939</v>
      </c>
      <c r="P96" s="3" t="s">
        <v>4046</v>
      </c>
      <c r="Q96" s="60" t="s">
        <v>3522</v>
      </c>
      <c r="R96" s="3" t="s">
        <v>16</v>
      </c>
      <c r="S96" s="3" t="s">
        <v>9</v>
      </c>
    </row>
    <row r="97" spans="1:19">
      <c r="A97" s="3">
        <v>17</v>
      </c>
      <c r="B97" s="3">
        <v>1043</v>
      </c>
      <c r="C97" s="3" t="s">
        <v>2965</v>
      </c>
      <c r="D97" s="3" t="s">
        <v>1951</v>
      </c>
      <c r="E97" s="3">
        <v>2</v>
      </c>
      <c r="F97" s="3" t="s">
        <v>3083</v>
      </c>
      <c r="G97" s="3" t="s">
        <v>3084</v>
      </c>
      <c r="H97" s="3" t="s">
        <v>3051</v>
      </c>
      <c r="J97" s="3" t="s">
        <v>1321</v>
      </c>
      <c r="K97" s="3" t="s">
        <v>1269</v>
      </c>
      <c r="P97" s="3">
        <v>1</v>
      </c>
      <c r="Q97" s="60" t="s">
        <v>3527</v>
      </c>
      <c r="R97" s="3" t="s">
        <v>37</v>
      </c>
      <c r="S97" s="3" t="s">
        <v>7</v>
      </c>
    </row>
    <row r="98" spans="1:19">
      <c r="A98" s="3">
        <v>17</v>
      </c>
      <c r="B98" s="3">
        <v>1044</v>
      </c>
      <c r="C98" s="3" t="s">
        <v>2966</v>
      </c>
      <c r="D98" s="3" t="s">
        <v>1951</v>
      </c>
      <c r="E98" s="3">
        <v>2</v>
      </c>
      <c r="F98" s="3" t="s">
        <v>3083</v>
      </c>
      <c r="G98" s="3" t="s">
        <v>3084</v>
      </c>
      <c r="H98" s="3" t="s">
        <v>3051</v>
      </c>
      <c r="J98" s="3" t="s">
        <v>1954</v>
      </c>
      <c r="K98" s="3" t="s">
        <v>1955</v>
      </c>
      <c r="P98" s="3">
        <v>2</v>
      </c>
      <c r="Q98" s="60" t="s">
        <v>3569</v>
      </c>
      <c r="R98" s="3" t="s">
        <v>6</v>
      </c>
      <c r="S98" s="3" t="s">
        <v>7</v>
      </c>
    </row>
    <row r="99" spans="1:19">
      <c r="A99" s="3">
        <v>17</v>
      </c>
      <c r="B99" s="3">
        <v>1045</v>
      </c>
      <c r="C99" s="3" t="s">
        <v>2967</v>
      </c>
      <c r="D99" s="3" t="s">
        <v>1957</v>
      </c>
      <c r="E99" s="3">
        <v>2</v>
      </c>
      <c r="F99" s="3" t="s">
        <v>3083</v>
      </c>
      <c r="G99" s="3" t="s">
        <v>3084</v>
      </c>
      <c r="H99" s="3" t="s">
        <v>3051</v>
      </c>
      <c r="J99" s="3" t="s">
        <v>1958</v>
      </c>
      <c r="K99" s="3" t="s">
        <v>1950</v>
      </c>
      <c r="L99" s="3" t="s">
        <v>1956</v>
      </c>
      <c r="P99" s="3">
        <v>2</v>
      </c>
      <c r="Q99" s="60" t="s">
        <v>3569</v>
      </c>
      <c r="R99" s="3" t="s">
        <v>11</v>
      </c>
      <c r="S99" s="3" t="s">
        <v>7</v>
      </c>
    </row>
    <row r="100" spans="1:19">
      <c r="A100" s="3">
        <v>17</v>
      </c>
      <c r="B100" s="3">
        <v>1046</v>
      </c>
      <c r="C100" s="3" t="s">
        <v>2968</v>
      </c>
      <c r="D100" s="3" t="s">
        <v>1952</v>
      </c>
      <c r="E100" s="3">
        <v>3</v>
      </c>
      <c r="F100" s="3" t="s">
        <v>3083</v>
      </c>
      <c r="G100" s="3" t="s">
        <v>3084</v>
      </c>
      <c r="H100" s="3" t="s">
        <v>3070</v>
      </c>
      <c r="J100" s="3" t="s">
        <v>1094</v>
      </c>
      <c r="K100" s="3" t="s">
        <v>1945</v>
      </c>
      <c r="P100" s="3">
        <v>2</v>
      </c>
      <c r="Q100" s="60" t="s">
        <v>3569</v>
      </c>
      <c r="R100" s="3" t="s">
        <v>36</v>
      </c>
      <c r="S100" s="3" t="s">
        <v>7</v>
      </c>
    </row>
    <row r="101" spans="1:19">
      <c r="A101" s="3">
        <v>17</v>
      </c>
      <c r="B101" s="3">
        <v>1047</v>
      </c>
      <c r="C101" s="3" t="s">
        <v>2969</v>
      </c>
      <c r="D101" s="3" t="s">
        <v>1952</v>
      </c>
      <c r="E101" s="3">
        <v>3</v>
      </c>
      <c r="F101" s="3" t="s">
        <v>3083</v>
      </c>
      <c r="G101" s="3" t="s">
        <v>3084</v>
      </c>
      <c r="H101" s="3" t="s">
        <v>3051</v>
      </c>
      <c r="J101" s="3" t="s">
        <v>3</v>
      </c>
      <c r="K101" s="3" t="s">
        <v>1094</v>
      </c>
      <c r="L101" s="3" t="s">
        <v>1946</v>
      </c>
      <c r="P101" s="3">
        <v>0</v>
      </c>
      <c r="Q101" s="60" t="s">
        <v>3527</v>
      </c>
      <c r="R101" s="3" t="s">
        <v>6</v>
      </c>
      <c r="S101" s="3" t="s">
        <v>7</v>
      </c>
    </row>
    <row r="102" spans="1:19">
      <c r="A102" s="3">
        <v>17</v>
      </c>
      <c r="B102" s="3">
        <v>2030</v>
      </c>
      <c r="C102" s="3" t="s">
        <v>3018</v>
      </c>
      <c r="D102" s="3" t="s">
        <v>1952</v>
      </c>
      <c r="E102" s="3">
        <v>3</v>
      </c>
      <c r="F102" s="3" t="s">
        <v>3087</v>
      </c>
      <c r="G102" s="3" t="s">
        <v>3084</v>
      </c>
      <c r="H102" s="3" t="s">
        <v>3051</v>
      </c>
      <c r="J102" s="3" t="s">
        <v>1959</v>
      </c>
      <c r="P102" s="3" t="s">
        <v>4045</v>
      </c>
      <c r="Q102" s="60" t="s">
        <v>3569</v>
      </c>
      <c r="R102" s="3" t="s">
        <v>34</v>
      </c>
      <c r="S102" s="3" t="s">
        <v>9</v>
      </c>
    </row>
    <row r="103" spans="1:19">
      <c r="A103" s="3">
        <v>17</v>
      </c>
      <c r="B103" s="3">
        <v>1048</v>
      </c>
      <c r="C103" s="3" t="s">
        <v>2970</v>
      </c>
      <c r="D103" s="3" t="s">
        <v>1953</v>
      </c>
      <c r="E103" s="3">
        <v>4</v>
      </c>
      <c r="F103" s="3" t="s">
        <v>3083</v>
      </c>
      <c r="G103" s="3" t="s">
        <v>3084</v>
      </c>
      <c r="H103" s="3" t="s">
        <v>3063</v>
      </c>
      <c r="J103" s="3" t="s">
        <v>1094</v>
      </c>
      <c r="K103" s="3" t="s">
        <v>1947</v>
      </c>
      <c r="P103" s="3">
        <v>2</v>
      </c>
      <c r="Q103" s="60" t="s">
        <v>3527</v>
      </c>
      <c r="R103" s="3" t="s">
        <v>48</v>
      </c>
      <c r="S103" s="3" t="s">
        <v>7</v>
      </c>
    </row>
    <row r="104" spans="1:19">
      <c r="A104" s="3">
        <v>17</v>
      </c>
      <c r="B104" s="3">
        <v>1049</v>
      </c>
      <c r="C104" s="3" t="s">
        <v>2971</v>
      </c>
      <c r="D104" s="3" t="s">
        <v>1953</v>
      </c>
      <c r="E104" s="3">
        <v>4</v>
      </c>
      <c r="F104" s="3" t="s">
        <v>3083</v>
      </c>
      <c r="G104" s="3" t="s">
        <v>3084</v>
      </c>
      <c r="H104" s="3" t="s">
        <v>3070</v>
      </c>
      <c r="J104" s="3" t="s">
        <v>1948</v>
      </c>
      <c r="P104" s="3">
        <v>4</v>
      </c>
      <c r="Q104" s="60" t="s">
        <v>3527</v>
      </c>
      <c r="R104" s="3" t="s">
        <v>30</v>
      </c>
      <c r="S104" s="3" t="s">
        <v>7</v>
      </c>
    </row>
    <row r="105" spans="1:19">
      <c r="A105" s="3">
        <v>17</v>
      </c>
      <c r="B105" s="3">
        <v>2031</v>
      </c>
      <c r="C105" s="3" t="s">
        <v>3019</v>
      </c>
      <c r="D105" s="3" t="s">
        <v>1953</v>
      </c>
      <c r="E105" s="3">
        <v>4</v>
      </c>
      <c r="F105" s="3" t="s">
        <v>3087</v>
      </c>
      <c r="G105" s="3" t="s">
        <v>3084</v>
      </c>
      <c r="H105" s="3" t="s">
        <v>3051</v>
      </c>
      <c r="J105" s="3" t="s">
        <v>1960</v>
      </c>
      <c r="K105" s="3" t="s">
        <v>1961</v>
      </c>
      <c r="P105" s="3" t="s">
        <v>4044</v>
      </c>
      <c r="Q105" s="60" t="s">
        <v>3527</v>
      </c>
      <c r="R105" s="3" t="s">
        <v>11</v>
      </c>
      <c r="S105" s="3" t="s">
        <v>9</v>
      </c>
    </row>
    <row r="106" spans="1:19">
      <c r="A106" s="3">
        <v>17</v>
      </c>
      <c r="B106" s="14">
        <v>19</v>
      </c>
      <c r="C106" s="5" t="s">
        <v>2915</v>
      </c>
      <c r="D106" s="5" t="s">
        <v>1944</v>
      </c>
      <c r="E106" s="5">
        <v>5</v>
      </c>
      <c r="F106" s="5" t="s">
        <v>3083</v>
      </c>
      <c r="G106" s="5" t="s">
        <v>3084</v>
      </c>
      <c r="H106" s="5" t="s">
        <v>3051</v>
      </c>
      <c r="I106" s="5"/>
      <c r="J106" s="5" t="s">
        <v>1943</v>
      </c>
      <c r="K106" s="5"/>
      <c r="L106" s="5"/>
      <c r="M106" s="5"/>
      <c r="N106" s="5"/>
      <c r="O106" s="5"/>
      <c r="P106" s="5">
        <v>2</v>
      </c>
      <c r="Q106" s="72" t="s">
        <v>3569</v>
      </c>
      <c r="R106" s="5" t="s">
        <v>11</v>
      </c>
      <c r="S106" s="5" t="s">
        <v>4</v>
      </c>
    </row>
    <row r="107" spans="1:19">
      <c r="A107" s="3">
        <v>17</v>
      </c>
      <c r="B107" s="3">
        <v>1050</v>
      </c>
      <c r="C107" s="3" t="s">
        <v>2972</v>
      </c>
      <c r="D107" s="3" t="s">
        <v>1944</v>
      </c>
      <c r="E107" s="3">
        <v>5</v>
      </c>
      <c r="F107" s="3" t="s">
        <v>3083</v>
      </c>
      <c r="G107" s="3" t="s">
        <v>3084</v>
      </c>
      <c r="H107" s="3" t="s">
        <v>3063</v>
      </c>
      <c r="J107" s="3" t="s">
        <v>3919</v>
      </c>
      <c r="K107" s="3" t="s">
        <v>1949</v>
      </c>
      <c r="P107" s="3">
        <v>2</v>
      </c>
      <c r="Q107" s="60" t="s">
        <v>3569</v>
      </c>
      <c r="R107" s="3" t="s">
        <v>35</v>
      </c>
      <c r="S107" s="3" t="s">
        <v>7</v>
      </c>
    </row>
    <row r="108" spans="1:19">
      <c r="A108" s="3">
        <v>17</v>
      </c>
      <c r="B108" s="3">
        <v>2032</v>
      </c>
      <c r="C108" s="3" t="s">
        <v>3020</v>
      </c>
      <c r="D108" s="3" t="s">
        <v>1944</v>
      </c>
      <c r="E108" s="3">
        <v>5</v>
      </c>
      <c r="F108" s="3" t="s">
        <v>3083</v>
      </c>
      <c r="G108" s="3" t="s">
        <v>3084</v>
      </c>
      <c r="H108" s="3" t="s">
        <v>3051</v>
      </c>
      <c r="J108" s="3" t="s">
        <v>1962</v>
      </c>
      <c r="K108" s="3" t="s">
        <v>1963</v>
      </c>
      <c r="P108" s="3" t="s">
        <v>4045</v>
      </c>
      <c r="Q108" s="60" t="s">
        <v>3527</v>
      </c>
      <c r="R108" s="3" t="s">
        <v>6</v>
      </c>
      <c r="S108" s="3" t="s">
        <v>9</v>
      </c>
    </row>
    <row r="109" spans="1:19">
      <c r="A109" s="3">
        <v>18</v>
      </c>
      <c r="B109" s="3">
        <v>2033</v>
      </c>
      <c r="C109" s="3" t="s">
        <v>3021</v>
      </c>
      <c r="D109" s="3" t="s">
        <v>1966</v>
      </c>
      <c r="E109" s="3">
        <v>2</v>
      </c>
      <c r="F109" s="3" t="s">
        <v>3087</v>
      </c>
      <c r="G109" s="3" t="s">
        <v>3084</v>
      </c>
      <c r="H109" s="3" t="s">
        <v>3053</v>
      </c>
      <c r="J109" s="3" t="s">
        <v>1964</v>
      </c>
      <c r="K109" s="3" t="s">
        <v>1965</v>
      </c>
      <c r="P109" s="3" t="s">
        <v>4045</v>
      </c>
      <c r="Q109" s="60" t="s">
        <v>3569</v>
      </c>
      <c r="R109" s="3" t="s">
        <v>17</v>
      </c>
      <c r="S109" s="3" t="s">
        <v>9</v>
      </c>
    </row>
    <row r="110" spans="1:19">
      <c r="A110" s="3">
        <v>18</v>
      </c>
      <c r="B110" s="3">
        <v>3008</v>
      </c>
      <c r="C110" s="3" t="s">
        <v>3041</v>
      </c>
      <c r="D110" s="3" t="s">
        <v>1966</v>
      </c>
      <c r="E110" s="3">
        <v>2</v>
      </c>
      <c r="F110" s="3" t="s">
        <v>3083</v>
      </c>
      <c r="G110" s="3" t="s">
        <v>3084</v>
      </c>
      <c r="H110" s="3" t="s">
        <v>3055</v>
      </c>
      <c r="J110" s="3" t="s">
        <v>20</v>
      </c>
      <c r="K110" s="3" t="s">
        <v>1967</v>
      </c>
      <c r="L110" s="3" t="s">
        <v>1968</v>
      </c>
      <c r="P110" s="3" t="s">
        <v>4045</v>
      </c>
      <c r="Q110" s="60" t="s">
        <v>3569</v>
      </c>
      <c r="R110" s="3" t="s">
        <v>39</v>
      </c>
      <c r="S110" s="3" t="s">
        <v>41</v>
      </c>
    </row>
    <row r="111" spans="1:19">
      <c r="A111" s="3">
        <v>19</v>
      </c>
      <c r="B111" s="14">
        <v>20</v>
      </c>
      <c r="C111" s="14" t="s">
        <v>2916</v>
      </c>
      <c r="D111" s="14" t="s">
        <v>1971</v>
      </c>
      <c r="E111" s="14">
        <v>2</v>
      </c>
      <c r="F111" s="14" t="s">
        <v>3083</v>
      </c>
      <c r="G111" s="14" t="s">
        <v>3084</v>
      </c>
      <c r="H111" s="14" t="s">
        <v>3050</v>
      </c>
      <c r="I111" s="14"/>
      <c r="J111" s="14" t="s">
        <v>1969</v>
      </c>
      <c r="K111" s="14"/>
      <c r="L111" s="14"/>
      <c r="M111" s="14"/>
      <c r="N111" s="14"/>
      <c r="O111" s="14"/>
      <c r="P111" s="14">
        <v>2</v>
      </c>
      <c r="Q111" s="70" t="s">
        <v>3533</v>
      </c>
      <c r="R111" s="14" t="s">
        <v>8</v>
      </c>
      <c r="S111" s="14" t="s">
        <v>4</v>
      </c>
    </row>
    <row r="112" spans="1:19">
      <c r="A112" s="3">
        <v>19</v>
      </c>
      <c r="B112" s="14">
        <v>21</v>
      </c>
      <c r="C112" s="14" t="s">
        <v>2917</v>
      </c>
      <c r="D112" s="14" t="s">
        <v>1971</v>
      </c>
      <c r="E112" s="14">
        <v>2</v>
      </c>
      <c r="F112" s="14" t="s">
        <v>3083</v>
      </c>
      <c r="G112" s="14" t="s">
        <v>3084</v>
      </c>
      <c r="H112" s="14" t="s">
        <v>3050</v>
      </c>
      <c r="I112" s="14"/>
      <c r="J112" s="14" t="s">
        <v>1970</v>
      </c>
      <c r="K112" s="14"/>
      <c r="L112" s="14"/>
      <c r="M112" s="14"/>
      <c r="N112" s="14"/>
      <c r="O112" s="14"/>
      <c r="P112" s="14">
        <v>3</v>
      </c>
      <c r="Q112" s="70" t="s">
        <v>3569</v>
      </c>
      <c r="R112" s="14" t="s">
        <v>5</v>
      </c>
      <c r="S112" s="14" t="s">
        <v>4</v>
      </c>
    </row>
    <row r="113" spans="1:19">
      <c r="A113" s="3">
        <v>19</v>
      </c>
      <c r="B113" s="3">
        <v>1051</v>
      </c>
      <c r="C113" s="3" t="s">
        <v>2973</v>
      </c>
      <c r="D113" s="3" t="s">
        <v>1971</v>
      </c>
      <c r="E113" s="3">
        <v>2</v>
      </c>
      <c r="F113" s="3" t="s">
        <v>3083</v>
      </c>
      <c r="G113" s="3" t="s">
        <v>3084</v>
      </c>
      <c r="H113" s="3" t="s">
        <v>3061</v>
      </c>
      <c r="J113" s="3" t="s">
        <v>1973</v>
      </c>
      <c r="P113" s="3">
        <v>1</v>
      </c>
      <c r="Q113" s="60" t="s">
        <v>3533</v>
      </c>
      <c r="R113" s="3" t="s">
        <v>1776</v>
      </c>
      <c r="S113" s="3" t="s">
        <v>7</v>
      </c>
    </row>
    <row r="114" spans="1:19">
      <c r="A114" s="3">
        <v>19</v>
      </c>
      <c r="B114" s="3">
        <v>1052</v>
      </c>
      <c r="C114" s="3" t="s">
        <v>2974</v>
      </c>
      <c r="D114" s="3" t="s">
        <v>1986</v>
      </c>
      <c r="E114" s="3">
        <v>2</v>
      </c>
      <c r="F114" s="3" t="s">
        <v>3083</v>
      </c>
      <c r="G114" s="3" t="s">
        <v>3084</v>
      </c>
      <c r="H114" s="3" t="s">
        <v>3051</v>
      </c>
      <c r="J114" s="3" t="s">
        <v>1987</v>
      </c>
      <c r="K114" s="3" t="s">
        <v>1982</v>
      </c>
      <c r="L114" s="3" t="s">
        <v>1979</v>
      </c>
      <c r="P114" s="3">
        <v>2</v>
      </c>
      <c r="Q114" s="60" t="s">
        <v>3569</v>
      </c>
      <c r="R114" s="3" t="s">
        <v>8</v>
      </c>
      <c r="S114" s="3" t="s">
        <v>7</v>
      </c>
    </row>
    <row r="115" spans="1:19">
      <c r="A115" s="3">
        <v>19</v>
      </c>
      <c r="B115" s="3">
        <v>1053</v>
      </c>
      <c r="C115" s="3" t="s">
        <v>2916</v>
      </c>
      <c r="D115" s="3" t="s">
        <v>1971</v>
      </c>
      <c r="E115" s="3">
        <v>2</v>
      </c>
      <c r="F115" s="3" t="s">
        <v>3083</v>
      </c>
      <c r="G115" s="3" t="s">
        <v>3084</v>
      </c>
      <c r="H115" s="3" t="s">
        <v>3050</v>
      </c>
      <c r="J115" s="3" t="s">
        <v>1969</v>
      </c>
      <c r="P115" s="3">
        <v>2</v>
      </c>
      <c r="Q115" s="60" t="s">
        <v>3533</v>
      </c>
      <c r="R115" s="3" t="s">
        <v>844</v>
      </c>
      <c r="S115" s="3" t="s">
        <v>7</v>
      </c>
    </row>
    <row r="116" spans="1:19">
      <c r="A116" s="3">
        <v>19</v>
      </c>
      <c r="B116" s="3">
        <v>1054</v>
      </c>
      <c r="C116" s="3" t="s">
        <v>2975</v>
      </c>
      <c r="D116" s="3" t="s">
        <v>1971</v>
      </c>
      <c r="E116" s="3">
        <v>2</v>
      </c>
      <c r="F116" s="3" t="s">
        <v>3083</v>
      </c>
      <c r="G116" s="3" t="s">
        <v>3084</v>
      </c>
      <c r="H116" s="3" t="s">
        <v>3050</v>
      </c>
      <c r="J116" s="3" t="s">
        <v>1974</v>
      </c>
      <c r="P116" s="3">
        <v>1</v>
      </c>
      <c r="Q116" s="60" t="s">
        <v>3569</v>
      </c>
      <c r="R116" s="3" t="s">
        <v>14</v>
      </c>
      <c r="S116" s="3" t="s">
        <v>7</v>
      </c>
    </row>
    <row r="117" spans="1:19">
      <c r="A117" s="3">
        <v>19</v>
      </c>
      <c r="B117" s="3">
        <v>1055</v>
      </c>
      <c r="C117" s="3" t="s">
        <v>2976</v>
      </c>
      <c r="D117" s="3" t="s">
        <v>1971</v>
      </c>
      <c r="E117" s="3">
        <v>2</v>
      </c>
      <c r="F117" s="3" t="s">
        <v>3083</v>
      </c>
      <c r="G117" s="3" t="s">
        <v>3084</v>
      </c>
      <c r="H117" s="3" t="s">
        <v>3050</v>
      </c>
      <c r="J117" s="3" t="s">
        <v>21</v>
      </c>
      <c r="P117" s="3">
        <v>1</v>
      </c>
      <c r="Q117" s="60" t="s">
        <v>3569</v>
      </c>
      <c r="R117" s="3" t="s">
        <v>8</v>
      </c>
      <c r="S117" s="3" t="s">
        <v>7</v>
      </c>
    </row>
    <row r="118" spans="1:19">
      <c r="A118" s="3">
        <v>19</v>
      </c>
      <c r="B118" s="3">
        <v>1056</v>
      </c>
      <c r="C118" s="3" t="s">
        <v>2977</v>
      </c>
      <c r="D118" s="3" t="s">
        <v>1971</v>
      </c>
      <c r="E118" s="3">
        <v>2</v>
      </c>
      <c r="F118" s="3" t="s">
        <v>3083</v>
      </c>
      <c r="G118" s="3" t="s">
        <v>3084</v>
      </c>
      <c r="H118" s="3" t="s">
        <v>3054</v>
      </c>
      <c r="J118" s="3" t="s">
        <v>23</v>
      </c>
      <c r="K118" s="3" t="s">
        <v>1983</v>
      </c>
      <c r="L118" s="3" t="s">
        <v>1985</v>
      </c>
      <c r="P118" s="3">
        <v>2</v>
      </c>
      <c r="Q118" s="60" t="s">
        <v>3569</v>
      </c>
      <c r="R118" s="3" t="s">
        <v>5</v>
      </c>
      <c r="S118" s="3" t="s">
        <v>7</v>
      </c>
    </row>
    <row r="119" spans="1:19">
      <c r="A119" s="3">
        <v>19</v>
      </c>
      <c r="B119" s="3">
        <v>1057</v>
      </c>
      <c r="C119" s="3" t="s">
        <v>2978</v>
      </c>
      <c r="D119" s="3" t="s">
        <v>1971</v>
      </c>
      <c r="E119" s="3">
        <v>2</v>
      </c>
      <c r="F119" s="3" t="s">
        <v>3083</v>
      </c>
      <c r="G119" s="3" t="s">
        <v>3084</v>
      </c>
      <c r="H119" s="3" t="s">
        <v>3055</v>
      </c>
      <c r="J119" s="3" t="s">
        <v>1975</v>
      </c>
      <c r="P119" s="3">
        <v>3</v>
      </c>
      <c r="Q119" s="60" t="s">
        <v>3569</v>
      </c>
      <c r="R119" s="3" t="s">
        <v>17</v>
      </c>
      <c r="S119" s="3" t="s">
        <v>7</v>
      </c>
    </row>
    <row r="120" spans="1:19">
      <c r="A120" s="3">
        <v>19</v>
      </c>
      <c r="B120" s="3">
        <v>1058</v>
      </c>
      <c r="C120" s="3" t="s">
        <v>2979</v>
      </c>
      <c r="D120" s="3" t="s">
        <v>1971</v>
      </c>
      <c r="E120" s="3">
        <v>2</v>
      </c>
      <c r="F120" s="3" t="s">
        <v>3083</v>
      </c>
      <c r="G120" s="3" t="s">
        <v>3084</v>
      </c>
      <c r="H120" s="3" t="s">
        <v>3051</v>
      </c>
      <c r="J120" s="3" t="s">
        <v>1981</v>
      </c>
      <c r="K120" s="3" t="s">
        <v>1984</v>
      </c>
      <c r="P120" s="3">
        <v>2</v>
      </c>
      <c r="Q120" s="60" t="s">
        <v>3569</v>
      </c>
      <c r="R120" s="3" t="s">
        <v>5</v>
      </c>
      <c r="S120" s="3" t="s">
        <v>7</v>
      </c>
    </row>
    <row r="121" spans="1:19">
      <c r="A121" s="3">
        <v>19</v>
      </c>
      <c r="B121" s="3">
        <v>1059</v>
      </c>
      <c r="C121" s="3" t="s">
        <v>2980</v>
      </c>
      <c r="D121" s="3" t="s">
        <v>1971</v>
      </c>
      <c r="E121" s="3">
        <v>2</v>
      </c>
      <c r="F121" s="3" t="s">
        <v>3083</v>
      </c>
      <c r="G121" s="3" t="s">
        <v>3084</v>
      </c>
      <c r="H121" s="3" t="s">
        <v>3050</v>
      </c>
      <c r="I121" s="3" t="s">
        <v>3060</v>
      </c>
      <c r="J121" s="3" t="s">
        <v>1976</v>
      </c>
      <c r="P121" s="3">
        <v>3</v>
      </c>
      <c r="Q121" s="60" t="s">
        <v>3569</v>
      </c>
      <c r="R121" s="3" t="s">
        <v>37</v>
      </c>
      <c r="S121" s="3" t="s">
        <v>7</v>
      </c>
    </row>
    <row r="122" spans="1:19">
      <c r="A122" s="3">
        <v>19</v>
      </c>
      <c r="B122" s="14">
        <v>22</v>
      </c>
      <c r="C122" s="4" t="s">
        <v>2918</v>
      </c>
      <c r="D122" s="4" t="s">
        <v>1972</v>
      </c>
      <c r="E122" s="4">
        <v>3</v>
      </c>
      <c r="F122" s="4" t="s">
        <v>3083</v>
      </c>
      <c r="G122" s="4" t="s">
        <v>3084</v>
      </c>
      <c r="H122" s="4" t="s">
        <v>3054</v>
      </c>
      <c r="I122" s="4"/>
      <c r="J122" s="4" t="s">
        <v>1321</v>
      </c>
      <c r="K122" s="4"/>
      <c r="L122" s="4"/>
      <c r="M122" s="4"/>
      <c r="N122" s="4"/>
      <c r="O122" s="4"/>
      <c r="P122" s="4">
        <v>2</v>
      </c>
      <c r="Q122" s="19" t="s">
        <v>3569</v>
      </c>
      <c r="R122" s="4" t="s">
        <v>5</v>
      </c>
      <c r="S122" s="4" t="s">
        <v>4</v>
      </c>
    </row>
    <row r="123" spans="1:19">
      <c r="A123" s="3">
        <v>19</v>
      </c>
      <c r="B123" s="3">
        <v>1060</v>
      </c>
      <c r="C123" s="3" t="s">
        <v>2981</v>
      </c>
      <c r="D123" s="3" t="s">
        <v>1972</v>
      </c>
      <c r="E123" s="3">
        <v>3</v>
      </c>
      <c r="F123" s="3" t="s">
        <v>3083</v>
      </c>
      <c r="G123" s="3" t="s">
        <v>3084</v>
      </c>
      <c r="H123" s="3" t="s">
        <v>3050</v>
      </c>
      <c r="J123" s="3" t="s">
        <v>21</v>
      </c>
      <c r="P123" s="3">
        <v>2</v>
      </c>
      <c r="Q123" s="60" t="s">
        <v>3569</v>
      </c>
      <c r="R123" s="3" t="s">
        <v>48</v>
      </c>
      <c r="S123" s="3" t="s">
        <v>7</v>
      </c>
    </row>
    <row r="124" spans="1:19">
      <c r="A124" s="3">
        <v>19</v>
      </c>
      <c r="B124" s="3">
        <v>1061</v>
      </c>
      <c r="C124" s="3" t="s">
        <v>2982</v>
      </c>
      <c r="D124" s="3" t="s">
        <v>1972</v>
      </c>
      <c r="E124" s="3">
        <v>3</v>
      </c>
      <c r="F124" s="3" t="s">
        <v>3083</v>
      </c>
      <c r="G124" s="3" t="s">
        <v>3084</v>
      </c>
      <c r="H124" s="3" t="s">
        <v>3055</v>
      </c>
      <c r="J124" s="3" t="s">
        <v>3920</v>
      </c>
      <c r="K124" s="3" t="s">
        <v>1977</v>
      </c>
      <c r="P124" s="3">
        <v>3</v>
      </c>
      <c r="Q124" s="60" t="s">
        <v>3527</v>
      </c>
      <c r="R124" s="3" t="s">
        <v>29</v>
      </c>
      <c r="S124" s="3" t="s">
        <v>7</v>
      </c>
    </row>
    <row r="125" spans="1:19">
      <c r="A125" s="3">
        <v>19</v>
      </c>
      <c r="B125" s="3">
        <v>2034</v>
      </c>
      <c r="C125" s="3" t="s">
        <v>3022</v>
      </c>
      <c r="D125" s="3" t="s">
        <v>1972</v>
      </c>
      <c r="E125" s="3">
        <v>3</v>
      </c>
      <c r="F125" s="3" t="s">
        <v>3087</v>
      </c>
      <c r="G125" s="3" t="s">
        <v>3084</v>
      </c>
      <c r="H125" s="3" t="s">
        <v>3050</v>
      </c>
      <c r="J125" s="3" t="s">
        <v>25</v>
      </c>
      <c r="K125" s="3" t="s">
        <v>1988</v>
      </c>
      <c r="P125" s="3" t="s">
        <v>4044</v>
      </c>
      <c r="Q125" s="60" t="s">
        <v>3569</v>
      </c>
      <c r="R125" s="3" t="s">
        <v>14</v>
      </c>
      <c r="S125" s="3" t="s">
        <v>9</v>
      </c>
    </row>
    <row r="126" spans="1:19">
      <c r="A126" s="3">
        <v>19</v>
      </c>
      <c r="B126" s="3">
        <v>2035</v>
      </c>
      <c r="C126" s="3" t="s">
        <v>3023</v>
      </c>
      <c r="D126" s="3" t="s">
        <v>1993</v>
      </c>
      <c r="E126" s="3">
        <v>4</v>
      </c>
      <c r="F126" s="3" t="s">
        <v>3087</v>
      </c>
      <c r="G126" s="3" t="s">
        <v>3084</v>
      </c>
      <c r="H126" s="3" t="s">
        <v>3050</v>
      </c>
      <c r="J126" s="3" t="s">
        <v>1989</v>
      </c>
      <c r="K126" s="3" t="s">
        <v>1990</v>
      </c>
      <c r="P126" s="3" t="s">
        <v>4045</v>
      </c>
      <c r="Q126" s="60" t="s">
        <v>3569</v>
      </c>
      <c r="R126" s="3" t="s">
        <v>16</v>
      </c>
      <c r="S126" s="3" t="s">
        <v>9</v>
      </c>
    </row>
    <row r="127" spans="1:19">
      <c r="A127" s="3">
        <v>19</v>
      </c>
      <c r="B127" s="3">
        <v>1062</v>
      </c>
      <c r="C127" s="3" t="s">
        <v>2983</v>
      </c>
      <c r="D127" s="3" t="s">
        <v>1980</v>
      </c>
      <c r="E127" s="3">
        <v>5</v>
      </c>
      <c r="F127" s="3" t="s">
        <v>3083</v>
      </c>
      <c r="G127" s="3" t="s">
        <v>3084</v>
      </c>
      <c r="H127" s="3" t="s">
        <v>3050</v>
      </c>
      <c r="I127" s="3" t="s">
        <v>3060</v>
      </c>
      <c r="J127" s="3" t="s">
        <v>1978</v>
      </c>
      <c r="P127" s="3">
        <v>2</v>
      </c>
      <c r="Q127" s="60" t="s">
        <v>3569</v>
      </c>
      <c r="R127" s="3" t="s">
        <v>28</v>
      </c>
      <c r="S127" s="3" t="s">
        <v>7</v>
      </c>
    </row>
    <row r="128" spans="1:19">
      <c r="A128" s="3">
        <v>19</v>
      </c>
      <c r="B128" s="3">
        <v>2036</v>
      </c>
      <c r="C128" s="3" t="s">
        <v>3024</v>
      </c>
      <c r="D128" s="3" t="s">
        <v>1980</v>
      </c>
      <c r="E128" s="3">
        <v>5</v>
      </c>
      <c r="F128" s="3" t="s">
        <v>3087</v>
      </c>
      <c r="G128" s="3" t="s">
        <v>3084</v>
      </c>
      <c r="H128" s="3" t="s">
        <v>3050</v>
      </c>
      <c r="J128" s="3" t="s">
        <v>1991</v>
      </c>
      <c r="P128" s="3" t="s">
        <v>4044</v>
      </c>
      <c r="Q128" s="60" t="s">
        <v>3527</v>
      </c>
      <c r="R128" s="3" t="s">
        <v>8</v>
      </c>
      <c r="S128" s="3" t="s">
        <v>9</v>
      </c>
    </row>
    <row r="129" spans="1:19">
      <c r="A129" s="3">
        <v>19</v>
      </c>
      <c r="B129" s="3">
        <v>2037</v>
      </c>
      <c r="C129" s="3" t="s">
        <v>3025</v>
      </c>
      <c r="D129" s="3" t="s">
        <v>1980</v>
      </c>
      <c r="E129" s="3">
        <v>5</v>
      </c>
      <c r="F129" s="3" t="s">
        <v>3087</v>
      </c>
      <c r="G129" s="3" t="s">
        <v>3084</v>
      </c>
      <c r="H129" s="3" t="s">
        <v>3055</v>
      </c>
      <c r="J129" s="3" t="s">
        <v>0</v>
      </c>
      <c r="K129" s="3" t="s">
        <v>1992</v>
      </c>
      <c r="P129" s="3" t="s">
        <v>4049</v>
      </c>
      <c r="Q129" s="60" t="s">
        <v>3522</v>
      </c>
      <c r="R129" s="3" t="s">
        <v>606</v>
      </c>
      <c r="S129" s="3" t="s">
        <v>9</v>
      </c>
    </row>
    <row r="130" spans="1:19">
      <c r="A130" s="3">
        <v>20</v>
      </c>
      <c r="B130" s="3">
        <v>1063</v>
      </c>
      <c r="C130" s="3" t="s">
        <v>2984</v>
      </c>
      <c r="D130" s="3" t="s">
        <v>1997</v>
      </c>
      <c r="E130" s="3">
        <v>2</v>
      </c>
      <c r="F130" s="3" t="s">
        <v>3083</v>
      </c>
      <c r="G130" s="3" t="s">
        <v>3084</v>
      </c>
      <c r="H130" s="3" t="s">
        <v>3071</v>
      </c>
      <c r="J130" s="3" t="s">
        <v>1996</v>
      </c>
      <c r="P130" s="3">
        <v>2</v>
      </c>
      <c r="Q130" s="60" t="s">
        <v>3569</v>
      </c>
      <c r="R130" s="3" t="s">
        <v>15</v>
      </c>
      <c r="S130" s="3" t="s">
        <v>7</v>
      </c>
    </row>
    <row r="131" spans="1:19">
      <c r="A131" s="3">
        <v>20</v>
      </c>
      <c r="B131" s="14">
        <v>23</v>
      </c>
      <c r="C131" s="5" t="s">
        <v>2919</v>
      </c>
      <c r="D131" s="5" t="s">
        <v>1994</v>
      </c>
      <c r="E131" s="5">
        <v>3</v>
      </c>
      <c r="F131" s="5" t="s">
        <v>3083</v>
      </c>
      <c r="G131" s="5" t="s">
        <v>3084</v>
      </c>
      <c r="H131" s="5" t="s">
        <v>3074</v>
      </c>
      <c r="I131" s="5" t="s">
        <v>3051</v>
      </c>
      <c r="J131" s="5" t="s">
        <v>1995</v>
      </c>
      <c r="K131" s="5"/>
      <c r="L131" s="5"/>
      <c r="M131" s="5"/>
      <c r="N131" s="5"/>
      <c r="O131" s="5"/>
      <c r="P131" s="5">
        <v>2</v>
      </c>
      <c r="Q131" s="72" t="s">
        <v>3569</v>
      </c>
      <c r="R131" s="5" t="s">
        <v>16</v>
      </c>
      <c r="S131" s="5" t="s">
        <v>4</v>
      </c>
    </row>
    <row r="132" spans="1:19">
      <c r="A132" s="3">
        <v>20</v>
      </c>
      <c r="B132" s="3">
        <v>1064</v>
      </c>
      <c r="C132" s="3" t="s">
        <v>2985</v>
      </c>
      <c r="D132" s="3" t="s">
        <v>1994</v>
      </c>
      <c r="E132" s="3">
        <v>3</v>
      </c>
      <c r="F132" s="3" t="s">
        <v>3083</v>
      </c>
      <c r="G132" s="3" t="s">
        <v>3084</v>
      </c>
      <c r="H132" s="3" t="s">
        <v>3071</v>
      </c>
      <c r="J132" s="3" t="s">
        <v>3988</v>
      </c>
      <c r="P132" s="3">
        <v>3</v>
      </c>
      <c r="Q132" s="60" t="s">
        <v>3569</v>
      </c>
      <c r="R132" s="3" t="s">
        <v>35</v>
      </c>
      <c r="S132" s="3" t="s">
        <v>7</v>
      </c>
    </row>
    <row r="133" spans="1:19">
      <c r="A133" s="3">
        <v>20</v>
      </c>
      <c r="B133" s="3">
        <v>2038</v>
      </c>
      <c r="C133" s="3" t="s">
        <v>3026</v>
      </c>
      <c r="D133" s="3" t="s">
        <v>1994</v>
      </c>
      <c r="E133" s="3">
        <v>3</v>
      </c>
      <c r="F133" s="3" t="s">
        <v>3087</v>
      </c>
      <c r="G133" s="3" t="s">
        <v>3084</v>
      </c>
      <c r="H133" s="3" t="s">
        <v>3082</v>
      </c>
      <c r="J133" s="3" t="s">
        <v>2004</v>
      </c>
      <c r="P133" s="3" t="s">
        <v>4043</v>
      </c>
      <c r="Q133" s="60" t="s">
        <v>3522</v>
      </c>
      <c r="R133" s="3" t="s">
        <v>16</v>
      </c>
      <c r="S133" s="3" t="s">
        <v>9</v>
      </c>
    </row>
    <row r="134" spans="1:19">
      <c r="A134" s="3">
        <v>20</v>
      </c>
      <c r="B134" s="3">
        <v>2039</v>
      </c>
      <c r="C134" s="3" t="s">
        <v>3027</v>
      </c>
      <c r="D134" s="3" t="s">
        <v>1994</v>
      </c>
      <c r="E134" s="3">
        <v>3</v>
      </c>
      <c r="F134" s="3" t="s">
        <v>3083</v>
      </c>
      <c r="G134" s="3" t="s">
        <v>3084</v>
      </c>
      <c r="H134" s="3" t="s">
        <v>3051</v>
      </c>
      <c r="J134" s="3" t="s">
        <v>1998</v>
      </c>
      <c r="P134" s="3" t="s">
        <v>4045</v>
      </c>
      <c r="Q134" s="60" t="s">
        <v>3527</v>
      </c>
      <c r="R134" s="3" t="s">
        <v>5</v>
      </c>
      <c r="S134" s="3" t="s">
        <v>9</v>
      </c>
    </row>
    <row r="135" spans="1:19">
      <c r="A135" s="3">
        <v>20</v>
      </c>
      <c r="B135" s="3">
        <v>2040</v>
      </c>
      <c r="C135" s="3" t="s">
        <v>3028</v>
      </c>
      <c r="D135" s="3" t="s">
        <v>2002</v>
      </c>
      <c r="E135" s="3">
        <v>4</v>
      </c>
      <c r="F135" s="3" t="s">
        <v>3083</v>
      </c>
      <c r="G135" s="3" t="s">
        <v>3084</v>
      </c>
      <c r="H135" s="3" t="s">
        <v>3051</v>
      </c>
      <c r="J135" s="3" t="s">
        <v>1624</v>
      </c>
      <c r="K135" s="3" t="s">
        <v>1999</v>
      </c>
      <c r="P135" s="3" t="s">
        <v>4043</v>
      </c>
      <c r="Q135" s="60" t="s">
        <v>3533</v>
      </c>
      <c r="R135" s="3" t="s">
        <v>5</v>
      </c>
      <c r="S135" s="3" t="s">
        <v>9</v>
      </c>
    </row>
    <row r="136" spans="1:19">
      <c r="A136" s="3">
        <v>20</v>
      </c>
      <c r="B136" s="3">
        <v>2041</v>
      </c>
      <c r="C136" s="3" t="s">
        <v>3029</v>
      </c>
      <c r="D136" s="3" t="s">
        <v>2003</v>
      </c>
      <c r="E136" s="3">
        <v>5</v>
      </c>
      <c r="F136" s="3" t="s">
        <v>3083</v>
      </c>
      <c r="G136" s="3" t="s">
        <v>3084</v>
      </c>
      <c r="H136" s="3" t="s">
        <v>3051</v>
      </c>
      <c r="J136" s="3" t="s">
        <v>2000</v>
      </c>
      <c r="K136" s="3" t="s">
        <v>2001</v>
      </c>
      <c r="P136" s="3" t="s">
        <v>4045</v>
      </c>
      <c r="Q136" s="60" t="s">
        <v>3527</v>
      </c>
      <c r="R136" s="3" t="s">
        <v>14</v>
      </c>
      <c r="S136" s="3" t="s">
        <v>9</v>
      </c>
    </row>
    <row r="137" spans="1:19">
      <c r="A137" s="3">
        <v>31</v>
      </c>
      <c r="B137" s="14">
        <v>24</v>
      </c>
      <c r="C137" s="14" t="s">
        <v>2920</v>
      </c>
      <c r="D137" s="14" t="s">
        <v>2008</v>
      </c>
      <c r="E137" s="14">
        <v>3</v>
      </c>
      <c r="F137" s="14" t="s">
        <v>3085</v>
      </c>
      <c r="G137" s="14" t="s">
        <v>3084</v>
      </c>
      <c r="H137" s="14" t="s">
        <v>3051</v>
      </c>
      <c r="I137" s="14"/>
      <c r="J137" s="14" t="s">
        <v>2</v>
      </c>
      <c r="K137" s="14" t="s">
        <v>2005</v>
      </c>
      <c r="L137" s="14"/>
      <c r="M137" s="14"/>
      <c r="N137" s="14"/>
      <c r="O137" s="14"/>
      <c r="P137" s="14" t="s">
        <v>4045</v>
      </c>
      <c r="Q137" s="70" t="s">
        <v>3569</v>
      </c>
      <c r="R137" s="14" t="s">
        <v>15</v>
      </c>
      <c r="S137" s="14" t="s">
        <v>4</v>
      </c>
    </row>
    <row r="138" spans="1:19">
      <c r="A138" s="3">
        <v>31</v>
      </c>
      <c r="B138" s="3">
        <v>2042</v>
      </c>
      <c r="C138" s="3" t="s">
        <v>3030</v>
      </c>
      <c r="D138" s="3" t="s">
        <v>2009</v>
      </c>
      <c r="E138" s="3">
        <v>4</v>
      </c>
      <c r="F138" s="3" t="s">
        <v>3087</v>
      </c>
      <c r="G138" s="3" t="s">
        <v>3084</v>
      </c>
      <c r="H138" s="3" t="s">
        <v>3051</v>
      </c>
      <c r="J138" s="3" t="s">
        <v>1</v>
      </c>
      <c r="K138" s="3" t="s">
        <v>2006</v>
      </c>
      <c r="P138" s="3" t="s">
        <v>4043</v>
      </c>
      <c r="Q138" s="60" t="s">
        <v>3522</v>
      </c>
      <c r="R138" s="3" t="s">
        <v>49</v>
      </c>
      <c r="S138" s="3" t="s">
        <v>9</v>
      </c>
    </row>
    <row r="139" spans="1:19">
      <c r="A139" s="3">
        <v>31</v>
      </c>
      <c r="B139" s="3">
        <v>3009</v>
      </c>
      <c r="C139" s="3" t="s">
        <v>3042</v>
      </c>
      <c r="D139" s="3" t="s">
        <v>2010</v>
      </c>
      <c r="E139" s="3">
        <v>5</v>
      </c>
      <c r="F139" s="3" t="s">
        <v>3088</v>
      </c>
      <c r="G139" s="3" t="s">
        <v>3084</v>
      </c>
      <c r="H139" s="3" t="s">
        <v>3051</v>
      </c>
      <c r="J139" s="3" t="s">
        <v>2007</v>
      </c>
      <c r="P139" s="3" t="s">
        <v>4044</v>
      </c>
      <c r="Q139" s="60" t="s">
        <v>3527</v>
      </c>
      <c r="R139" s="3" t="s">
        <v>1776</v>
      </c>
      <c r="S139" s="3" t="s">
        <v>41</v>
      </c>
    </row>
    <row r="140" spans="1:19">
      <c r="A140" s="3">
        <v>32</v>
      </c>
      <c r="B140" s="3">
        <v>2043</v>
      </c>
      <c r="C140" s="3" t="s">
        <v>3031</v>
      </c>
      <c r="D140" s="3" t="s">
        <v>2014</v>
      </c>
      <c r="E140" s="3">
        <v>4</v>
      </c>
      <c r="F140" s="3" t="s">
        <v>3087</v>
      </c>
      <c r="G140" s="3" t="s">
        <v>3084</v>
      </c>
      <c r="H140" s="3" t="s">
        <v>3063</v>
      </c>
      <c r="J140" s="3" t="s">
        <v>2013</v>
      </c>
      <c r="P140" s="3" t="s">
        <v>4046</v>
      </c>
      <c r="Q140" s="60" t="s">
        <v>3522</v>
      </c>
      <c r="R140" s="3" t="s">
        <v>31</v>
      </c>
      <c r="S140" s="3" t="s">
        <v>9</v>
      </c>
    </row>
    <row r="141" spans="1:19">
      <c r="A141" s="3">
        <v>32</v>
      </c>
      <c r="B141" s="3">
        <v>3010</v>
      </c>
      <c r="C141" s="3" t="s">
        <v>3043</v>
      </c>
      <c r="D141" s="3" t="s">
        <v>2014</v>
      </c>
      <c r="E141" s="3">
        <v>4</v>
      </c>
      <c r="F141" s="3" t="s">
        <v>3087</v>
      </c>
      <c r="G141" s="3" t="s">
        <v>3084</v>
      </c>
      <c r="H141" s="3" t="s">
        <v>3070</v>
      </c>
      <c r="J141" s="3" t="s">
        <v>2011</v>
      </c>
      <c r="K141" s="3" t="s">
        <v>2012</v>
      </c>
      <c r="P141" s="3" t="s">
        <v>4044</v>
      </c>
      <c r="Q141" s="60" t="s">
        <v>3527</v>
      </c>
      <c r="R141" s="3" t="s">
        <v>30</v>
      </c>
      <c r="S141" s="3" t="s">
        <v>41</v>
      </c>
    </row>
    <row r="142" spans="1:19">
      <c r="A142" s="3">
        <v>33</v>
      </c>
      <c r="B142" s="3">
        <v>3011</v>
      </c>
      <c r="C142" s="3" t="s">
        <v>3044</v>
      </c>
      <c r="D142" s="3" t="s">
        <v>2016</v>
      </c>
      <c r="E142" s="3">
        <v>5</v>
      </c>
      <c r="F142" s="3" t="s">
        <v>3087</v>
      </c>
      <c r="G142" s="3" t="s">
        <v>3084</v>
      </c>
      <c r="H142" s="3" t="s">
        <v>3055</v>
      </c>
      <c r="J142" s="3" t="s">
        <v>2015</v>
      </c>
      <c r="P142" s="3" t="s">
        <v>4044</v>
      </c>
      <c r="Q142" s="60" t="s">
        <v>3527</v>
      </c>
      <c r="R142" s="3" t="s">
        <v>15</v>
      </c>
      <c r="S142" s="3" t="s">
        <v>41</v>
      </c>
    </row>
    <row r="143" spans="1:19">
      <c r="A143" s="3">
        <v>35</v>
      </c>
      <c r="B143" s="14">
        <v>25</v>
      </c>
      <c r="C143" s="14" t="s">
        <v>2921</v>
      </c>
      <c r="D143" s="14" t="s">
        <v>2026</v>
      </c>
      <c r="E143" s="14">
        <v>2</v>
      </c>
      <c r="F143" s="14" t="s">
        <v>3083</v>
      </c>
      <c r="G143" s="14" t="s">
        <v>3084</v>
      </c>
      <c r="H143" s="14" t="s">
        <v>3050</v>
      </c>
      <c r="I143" s="14"/>
      <c r="J143" s="14" t="s">
        <v>2017</v>
      </c>
      <c r="K143" s="14"/>
      <c r="L143" s="14"/>
      <c r="M143" s="14"/>
      <c r="N143" s="14"/>
      <c r="O143" s="14"/>
      <c r="P143" s="14" t="s">
        <v>4045</v>
      </c>
      <c r="Q143" s="70" t="s">
        <v>3533</v>
      </c>
      <c r="R143" s="14" t="s">
        <v>1776</v>
      </c>
      <c r="S143" s="14" t="s">
        <v>4</v>
      </c>
    </row>
    <row r="144" spans="1:19">
      <c r="A144" s="3">
        <v>35</v>
      </c>
      <c r="B144" s="3">
        <v>2044</v>
      </c>
      <c r="C144" s="3" t="s">
        <v>3032</v>
      </c>
      <c r="D144" s="3" t="s">
        <v>2023</v>
      </c>
      <c r="E144" s="3">
        <v>3</v>
      </c>
      <c r="F144" s="3" t="s">
        <v>3083</v>
      </c>
      <c r="G144" s="3" t="s">
        <v>3084</v>
      </c>
      <c r="H144" s="3" t="s">
        <v>3050</v>
      </c>
      <c r="J144" s="3" t="s">
        <v>13</v>
      </c>
      <c r="K144" s="3" t="s">
        <v>2018</v>
      </c>
      <c r="P144" s="3" t="s">
        <v>4045</v>
      </c>
      <c r="Q144" s="60" t="s">
        <v>3569</v>
      </c>
      <c r="R144" s="3" t="s">
        <v>18</v>
      </c>
      <c r="S144" s="3" t="s">
        <v>9</v>
      </c>
    </row>
    <row r="145" spans="1:19">
      <c r="A145" s="3">
        <v>35</v>
      </c>
      <c r="B145" s="14">
        <v>26</v>
      </c>
      <c r="C145" s="3" t="s">
        <v>2922</v>
      </c>
      <c r="D145" s="3" t="s">
        <v>2024</v>
      </c>
      <c r="E145" s="3">
        <v>4</v>
      </c>
      <c r="F145" s="3" t="s">
        <v>3083</v>
      </c>
      <c r="G145" s="3" t="s">
        <v>3084</v>
      </c>
      <c r="H145" s="3" t="s">
        <v>3050</v>
      </c>
      <c r="J145" s="3" t="s">
        <v>2019</v>
      </c>
      <c r="K145" s="3" t="s">
        <v>2022</v>
      </c>
      <c r="P145" s="3" t="s">
        <v>4045</v>
      </c>
      <c r="Q145" s="60" t="s">
        <v>3522</v>
      </c>
      <c r="R145" s="3" t="s">
        <v>1776</v>
      </c>
      <c r="S145" s="3" t="s">
        <v>4</v>
      </c>
    </row>
    <row r="146" spans="1:19">
      <c r="A146" s="3">
        <v>35</v>
      </c>
      <c r="B146" s="3">
        <v>3012</v>
      </c>
      <c r="C146" s="3" t="s">
        <v>3045</v>
      </c>
      <c r="D146" s="3" t="s">
        <v>2024</v>
      </c>
      <c r="E146" s="3">
        <v>4</v>
      </c>
      <c r="F146" s="3" t="s">
        <v>3087</v>
      </c>
      <c r="G146" s="3" t="s">
        <v>3084</v>
      </c>
      <c r="H146" s="3" t="s">
        <v>3054</v>
      </c>
      <c r="J146" s="3" t="s">
        <v>13</v>
      </c>
      <c r="K146" s="3" t="s">
        <v>2020</v>
      </c>
      <c r="P146" s="3" t="s">
        <v>4044</v>
      </c>
      <c r="Q146" s="60" t="s">
        <v>3527</v>
      </c>
      <c r="R146" s="3" t="s">
        <v>15</v>
      </c>
      <c r="S146" s="3" t="s">
        <v>41</v>
      </c>
    </row>
    <row r="147" spans="1:19">
      <c r="A147" s="3">
        <v>35</v>
      </c>
      <c r="B147" s="3">
        <v>1065</v>
      </c>
      <c r="C147" s="3" t="s">
        <v>2986</v>
      </c>
      <c r="D147" s="3" t="s">
        <v>2025</v>
      </c>
      <c r="E147" s="3">
        <v>6</v>
      </c>
      <c r="F147" s="3" t="s">
        <v>3083</v>
      </c>
      <c r="G147" s="3" t="s">
        <v>3084</v>
      </c>
      <c r="H147" s="3" t="s">
        <v>3051</v>
      </c>
      <c r="J147" s="3" t="s">
        <v>23</v>
      </c>
      <c r="K147" s="3" t="s">
        <v>2021</v>
      </c>
      <c r="P147" s="3" t="s">
        <v>4044</v>
      </c>
      <c r="Q147" s="60" t="s">
        <v>3527</v>
      </c>
      <c r="R147" s="3" t="s">
        <v>18</v>
      </c>
      <c r="S147" s="3" t="s">
        <v>7</v>
      </c>
    </row>
    <row r="148" spans="1:19">
      <c r="A148" s="3">
        <v>36</v>
      </c>
      <c r="B148" s="3">
        <v>2045</v>
      </c>
      <c r="C148" s="3" t="s">
        <v>3033</v>
      </c>
      <c r="D148" s="3" t="s">
        <v>2030</v>
      </c>
      <c r="E148" s="3">
        <v>3</v>
      </c>
      <c r="F148" s="3" t="s">
        <v>3083</v>
      </c>
      <c r="G148" s="3" t="s">
        <v>3084</v>
      </c>
      <c r="H148" s="3" t="s">
        <v>3058</v>
      </c>
      <c r="J148" s="3" t="s">
        <v>2027</v>
      </c>
      <c r="P148" s="3" t="s">
        <v>4044</v>
      </c>
      <c r="Q148" s="60" t="s">
        <v>3527</v>
      </c>
      <c r="R148" s="3" t="s">
        <v>38</v>
      </c>
      <c r="S148" s="3" t="s">
        <v>9</v>
      </c>
    </row>
    <row r="149" spans="1:19">
      <c r="A149" s="3">
        <v>36</v>
      </c>
      <c r="B149" s="3">
        <v>3013</v>
      </c>
      <c r="C149" s="3" t="s">
        <v>3046</v>
      </c>
      <c r="D149" s="3" t="s">
        <v>2031</v>
      </c>
      <c r="E149" s="3">
        <v>6</v>
      </c>
      <c r="F149" s="3" t="s">
        <v>3087</v>
      </c>
      <c r="G149" s="3" t="s">
        <v>3084</v>
      </c>
      <c r="H149" s="3" t="s">
        <v>3058</v>
      </c>
      <c r="J149" s="3" t="s">
        <v>2028</v>
      </c>
      <c r="K149" s="3" t="s">
        <v>2029</v>
      </c>
      <c r="P149" s="3" t="s">
        <v>4044</v>
      </c>
      <c r="Q149" s="60" t="s">
        <v>3569</v>
      </c>
      <c r="R149" s="3" t="s">
        <v>38</v>
      </c>
      <c r="S149" s="3" t="s">
        <v>41</v>
      </c>
    </row>
    <row r="150" spans="1:19">
      <c r="A150" s="3">
        <v>39</v>
      </c>
      <c r="B150" s="3">
        <v>1066</v>
      </c>
      <c r="C150" s="3" t="s">
        <v>2987</v>
      </c>
      <c r="D150" s="3" t="s">
        <v>2036</v>
      </c>
      <c r="E150" s="3">
        <v>5</v>
      </c>
      <c r="F150" s="3" t="s">
        <v>3083</v>
      </c>
      <c r="G150" s="3" t="s">
        <v>3084</v>
      </c>
      <c r="H150" s="3" t="s">
        <v>3055</v>
      </c>
      <c r="J150" s="3" t="s">
        <v>2035</v>
      </c>
      <c r="P150" s="3" t="s">
        <v>4045</v>
      </c>
      <c r="Q150" s="60" t="s">
        <v>3569</v>
      </c>
      <c r="R150" s="3" t="s">
        <v>38</v>
      </c>
      <c r="S150" s="3" t="s">
        <v>7</v>
      </c>
    </row>
    <row r="151" spans="1:19">
      <c r="A151" s="3">
        <v>39</v>
      </c>
      <c r="B151" s="3">
        <v>3014</v>
      </c>
      <c r="C151" s="3" t="s">
        <v>3047</v>
      </c>
      <c r="D151" s="3" t="s">
        <v>2036</v>
      </c>
      <c r="E151" s="3">
        <v>5</v>
      </c>
      <c r="F151" s="3" t="s">
        <v>3087</v>
      </c>
      <c r="G151" s="3" t="s">
        <v>3084</v>
      </c>
      <c r="H151" s="3" t="s">
        <v>3055</v>
      </c>
      <c r="J151" s="3" t="s">
        <v>3</v>
      </c>
      <c r="K151" s="3" t="s">
        <v>2032</v>
      </c>
      <c r="L151" s="3" t="s">
        <v>2033</v>
      </c>
      <c r="M151" s="3" t="s">
        <v>2034</v>
      </c>
      <c r="P151" s="3" t="s">
        <v>4054</v>
      </c>
      <c r="Q151" s="60" t="s">
        <v>3611</v>
      </c>
      <c r="R151" s="3" t="s">
        <v>38</v>
      </c>
      <c r="S151" s="3" t="s">
        <v>41</v>
      </c>
    </row>
    <row r="152" spans="1:19">
      <c r="A152" s="3">
        <v>39</v>
      </c>
      <c r="B152" s="14">
        <v>27</v>
      </c>
      <c r="C152" s="3" t="s">
        <v>2923</v>
      </c>
      <c r="D152" s="3" t="s">
        <v>2037</v>
      </c>
      <c r="E152" s="3">
        <v>6</v>
      </c>
      <c r="F152" s="3" t="s">
        <v>3083</v>
      </c>
      <c r="G152" s="3" t="s">
        <v>3084</v>
      </c>
      <c r="H152" s="3" t="s">
        <v>3055</v>
      </c>
      <c r="J152" s="3" t="s">
        <v>20</v>
      </c>
      <c r="K152" s="3" t="s">
        <v>2038</v>
      </c>
      <c r="P152" s="3" t="s">
        <v>4049</v>
      </c>
      <c r="Q152" s="60" t="s">
        <v>3530</v>
      </c>
      <c r="R152" s="3" t="s">
        <v>38</v>
      </c>
      <c r="S152" s="3" t="s">
        <v>4</v>
      </c>
    </row>
    <row r="153" spans="1:19">
      <c r="A153" s="3">
        <v>40</v>
      </c>
      <c r="B153" s="3">
        <v>3015</v>
      </c>
      <c r="C153" s="3" t="s">
        <v>3048</v>
      </c>
      <c r="D153" s="3" t="s">
        <v>2042</v>
      </c>
      <c r="E153" s="3">
        <v>3</v>
      </c>
      <c r="F153" s="3" t="s">
        <v>3087</v>
      </c>
      <c r="G153" s="3" t="s">
        <v>3084</v>
      </c>
      <c r="H153" s="3" t="s">
        <v>3050</v>
      </c>
      <c r="J153" s="3" t="s">
        <v>2039</v>
      </c>
      <c r="K153" s="3" t="s">
        <v>2040</v>
      </c>
      <c r="P153" s="3" t="s">
        <v>4046</v>
      </c>
      <c r="Q153" s="60" t="s">
        <v>3522</v>
      </c>
      <c r="R153" s="3" t="s">
        <v>38</v>
      </c>
      <c r="S153" s="3" t="s">
        <v>41</v>
      </c>
    </row>
    <row r="154" spans="1:19">
      <c r="A154" s="3">
        <v>40</v>
      </c>
      <c r="B154" s="3">
        <v>1067</v>
      </c>
      <c r="C154" s="3" t="s">
        <v>2988</v>
      </c>
      <c r="D154" s="3" t="s">
        <v>2043</v>
      </c>
      <c r="E154" s="3">
        <v>5</v>
      </c>
      <c r="F154" s="3" t="s">
        <v>3083</v>
      </c>
      <c r="G154" s="3" t="s">
        <v>3084</v>
      </c>
      <c r="H154" s="3" t="s">
        <v>3050</v>
      </c>
      <c r="J154" s="3" t="s">
        <v>2041</v>
      </c>
      <c r="P154" s="3" t="s">
        <v>4046</v>
      </c>
      <c r="Q154" s="60" t="s">
        <v>3522</v>
      </c>
      <c r="R154" s="3" t="s">
        <v>38</v>
      </c>
      <c r="S154" s="3" t="s">
        <v>7</v>
      </c>
    </row>
    <row r="155" spans="1:19">
      <c r="A155" s="3">
        <v>40</v>
      </c>
      <c r="B155" s="14">
        <v>28</v>
      </c>
      <c r="C155" s="3" t="s">
        <v>2924</v>
      </c>
      <c r="D155" s="3" t="s">
        <v>2044</v>
      </c>
      <c r="E155" s="3">
        <v>6</v>
      </c>
      <c r="F155" s="3" t="s">
        <v>3083</v>
      </c>
      <c r="G155" s="3" t="s">
        <v>3084</v>
      </c>
      <c r="H155" s="3" t="s">
        <v>3055</v>
      </c>
      <c r="J155" s="3" t="s">
        <v>148</v>
      </c>
      <c r="K155" s="3" t="s">
        <v>2045</v>
      </c>
      <c r="P155" s="3" t="s">
        <v>4046</v>
      </c>
      <c r="Q155" s="60" t="s">
        <v>3522</v>
      </c>
      <c r="R155" s="3" t="s">
        <v>38</v>
      </c>
      <c r="S155" s="3" t="s">
        <v>4</v>
      </c>
    </row>
    <row r="156" spans="1:19">
      <c r="A156" s="3">
        <v>11</v>
      </c>
      <c r="C156" s="3" t="s">
        <v>4102</v>
      </c>
      <c r="D156" s="3" t="s">
        <v>1777</v>
      </c>
      <c r="F156" s="3" t="s">
        <v>3403</v>
      </c>
      <c r="J156" s="3" t="s">
        <v>4103</v>
      </c>
      <c r="K156" s="3" t="s">
        <v>3768</v>
      </c>
      <c r="R156" s="3" t="s">
        <v>15</v>
      </c>
      <c r="S156" s="3" t="s">
        <v>4</v>
      </c>
    </row>
    <row r="157" spans="1:19">
      <c r="A157" s="3">
        <v>11</v>
      </c>
      <c r="C157" s="3" t="s">
        <v>4104</v>
      </c>
      <c r="D157" s="3" t="s">
        <v>1777</v>
      </c>
      <c r="F157" s="3" t="s">
        <v>3403</v>
      </c>
      <c r="J157" s="3" t="s">
        <v>4105</v>
      </c>
      <c r="R157" s="3" t="s">
        <v>6</v>
      </c>
      <c r="S157" s="3" t="s">
        <v>4</v>
      </c>
    </row>
    <row r="158" spans="1:19">
      <c r="A158" s="3">
        <v>11</v>
      </c>
      <c r="C158" s="3" t="s">
        <v>4106</v>
      </c>
      <c r="D158" s="3" t="s">
        <v>4107</v>
      </c>
      <c r="F158" s="3" t="s">
        <v>3403</v>
      </c>
      <c r="J158" s="3" t="s">
        <v>4108</v>
      </c>
      <c r="R158" s="3" t="s">
        <v>10</v>
      </c>
      <c r="S158" s="3" t="s">
        <v>4</v>
      </c>
    </row>
    <row r="159" spans="1:19">
      <c r="A159" s="3">
        <v>11</v>
      </c>
      <c r="C159" s="3" t="s">
        <v>4109</v>
      </c>
      <c r="D159" s="3" t="s">
        <v>1777</v>
      </c>
      <c r="F159" s="3" t="s">
        <v>4066</v>
      </c>
      <c r="J159" s="3" t="s">
        <v>4110</v>
      </c>
      <c r="K159" s="3" t="s">
        <v>4111</v>
      </c>
      <c r="L159" s="3" t="s">
        <v>3409</v>
      </c>
      <c r="R159" s="3" t="s">
        <v>1776</v>
      </c>
      <c r="S159" s="3" t="s">
        <v>7</v>
      </c>
    </row>
    <row r="160" spans="1:19">
      <c r="A160" s="3">
        <v>11</v>
      </c>
      <c r="C160" s="3" t="s">
        <v>4112</v>
      </c>
      <c r="D160" s="3" t="s">
        <v>1777</v>
      </c>
      <c r="F160" s="3" t="s">
        <v>3403</v>
      </c>
      <c r="J160" s="3" t="s">
        <v>4113</v>
      </c>
      <c r="K160" s="3" t="s">
        <v>4114</v>
      </c>
      <c r="L160" s="3" t="s">
        <v>4115</v>
      </c>
      <c r="M160" s="3" t="s">
        <v>4116</v>
      </c>
      <c r="R160" s="3" t="s">
        <v>6</v>
      </c>
      <c r="S160" s="3" t="s">
        <v>7</v>
      </c>
    </row>
    <row r="161" spans="1:19">
      <c r="A161" s="3">
        <v>11</v>
      </c>
      <c r="C161" s="3" t="s">
        <v>4117</v>
      </c>
      <c r="D161" s="3" t="s">
        <v>4118</v>
      </c>
      <c r="F161" s="3" t="s">
        <v>3403</v>
      </c>
      <c r="J161" s="3" t="s">
        <v>4119</v>
      </c>
      <c r="R161" s="3" t="s">
        <v>3747</v>
      </c>
      <c r="S161" s="3" t="s">
        <v>4</v>
      </c>
    </row>
    <row r="162" spans="1:19">
      <c r="A162" s="3">
        <v>11</v>
      </c>
      <c r="C162" s="3" t="s">
        <v>4120</v>
      </c>
      <c r="D162" s="3" t="s">
        <v>1777</v>
      </c>
      <c r="F162" s="3" t="s">
        <v>3399</v>
      </c>
      <c r="J162" s="3" t="s">
        <v>4121</v>
      </c>
      <c r="R162" s="3" t="s">
        <v>6</v>
      </c>
      <c r="S162" s="3" t="s">
        <v>4</v>
      </c>
    </row>
    <row r="163" spans="1:19">
      <c r="A163" s="3">
        <v>11</v>
      </c>
      <c r="C163" s="3" t="s">
        <v>4122</v>
      </c>
      <c r="D163" s="3" t="s">
        <v>4118</v>
      </c>
      <c r="F163" s="3" t="s">
        <v>4123</v>
      </c>
      <c r="J163" s="3" t="s">
        <v>3401</v>
      </c>
      <c r="K163" s="3" t="s">
        <v>4124</v>
      </c>
      <c r="R163" s="3" t="s">
        <v>3747</v>
      </c>
      <c r="S163" s="3" t="s">
        <v>4</v>
      </c>
    </row>
    <row r="164" spans="1:19">
      <c r="A164" s="3">
        <v>11</v>
      </c>
      <c r="C164" s="3" t="s">
        <v>4125</v>
      </c>
      <c r="D164" s="3" t="s">
        <v>4126</v>
      </c>
      <c r="F164" s="3" t="s">
        <v>3403</v>
      </c>
      <c r="J164" s="3" t="s">
        <v>4127</v>
      </c>
      <c r="R164" s="3" t="s">
        <v>16</v>
      </c>
      <c r="S164" s="3" t="s">
        <v>9</v>
      </c>
    </row>
    <row r="165" spans="1:19">
      <c r="A165" s="3">
        <v>11</v>
      </c>
      <c r="C165" s="3" t="s">
        <v>4128</v>
      </c>
      <c r="D165" s="3" t="s">
        <v>1788</v>
      </c>
      <c r="F165" s="3" t="s">
        <v>3434</v>
      </c>
      <c r="J165" s="3" t="s">
        <v>4129</v>
      </c>
      <c r="K165" s="3" t="s">
        <v>4130</v>
      </c>
      <c r="R165" s="3" t="s">
        <v>6</v>
      </c>
      <c r="S165" s="3" t="s">
        <v>9</v>
      </c>
    </row>
    <row r="166" spans="1:19">
      <c r="A166" s="3">
        <v>11</v>
      </c>
      <c r="C166" s="3" t="s">
        <v>4131</v>
      </c>
      <c r="D166" s="3" t="s">
        <v>4132</v>
      </c>
      <c r="F166" s="3" t="s">
        <v>3403</v>
      </c>
      <c r="J166" s="3" t="s">
        <v>4133</v>
      </c>
      <c r="R166" s="3" t="s">
        <v>6</v>
      </c>
      <c r="S166" s="3" t="s">
        <v>41</v>
      </c>
    </row>
    <row r="167" spans="1:19">
      <c r="A167" s="3">
        <v>11</v>
      </c>
      <c r="C167" s="3" t="s">
        <v>4134</v>
      </c>
      <c r="D167" s="3" t="s">
        <v>1788</v>
      </c>
      <c r="F167" s="3" t="s">
        <v>4123</v>
      </c>
      <c r="J167" s="3" t="s">
        <v>3401</v>
      </c>
      <c r="K167" s="3" t="s">
        <v>4135</v>
      </c>
      <c r="L167" s="3" t="s">
        <v>4136</v>
      </c>
      <c r="M167" s="3" t="s">
        <v>4137</v>
      </c>
      <c r="R167" s="3" t="s">
        <v>40</v>
      </c>
      <c r="S167" s="3" t="s">
        <v>7</v>
      </c>
    </row>
    <row r="168" spans="1:19">
      <c r="A168" s="3">
        <v>11</v>
      </c>
      <c r="C168" s="3" t="s">
        <v>4138</v>
      </c>
      <c r="D168" s="3" t="s">
        <v>1788</v>
      </c>
      <c r="F168" s="3" t="s">
        <v>3413</v>
      </c>
      <c r="J168" s="3" t="s">
        <v>4139</v>
      </c>
      <c r="K168" s="3" t="s">
        <v>4140</v>
      </c>
      <c r="L168" s="3" t="s">
        <v>4141</v>
      </c>
      <c r="R168" s="3" t="s">
        <v>1776</v>
      </c>
      <c r="S168" s="3" t="s">
        <v>4</v>
      </c>
    </row>
    <row r="169" spans="1:19">
      <c r="A169" s="3">
        <v>11</v>
      </c>
      <c r="C169" s="3" t="s">
        <v>4142</v>
      </c>
      <c r="D169" s="3" t="s">
        <v>1788</v>
      </c>
      <c r="F169" s="3" t="s">
        <v>4123</v>
      </c>
      <c r="J169" s="3" t="s">
        <v>3401</v>
      </c>
      <c r="K169" s="3" t="s">
        <v>4143</v>
      </c>
      <c r="R169" s="3" t="s">
        <v>46</v>
      </c>
      <c r="S169" s="3" t="s">
        <v>9</v>
      </c>
    </row>
    <row r="170" spans="1:19">
      <c r="A170" s="3">
        <v>11</v>
      </c>
      <c r="C170" s="3" t="s">
        <v>4144</v>
      </c>
      <c r="D170" s="3" t="s">
        <v>1788</v>
      </c>
      <c r="F170" s="3" t="s">
        <v>4123</v>
      </c>
      <c r="J170" s="3" t="s">
        <v>3401</v>
      </c>
      <c r="K170" s="3" t="s">
        <v>4145</v>
      </c>
      <c r="L170" s="3" t="s">
        <v>4146</v>
      </c>
      <c r="R170" s="3" t="s">
        <v>10</v>
      </c>
      <c r="S170" s="3" t="s">
        <v>4</v>
      </c>
    </row>
    <row r="171" spans="1:19">
      <c r="A171" s="3">
        <v>11</v>
      </c>
      <c r="C171" s="3" t="s">
        <v>4147</v>
      </c>
      <c r="D171" s="3" t="s">
        <v>1788</v>
      </c>
      <c r="F171" s="3" t="s">
        <v>3434</v>
      </c>
      <c r="J171" s="3" t="s">
        <v>13</v>
      </c>
      <c r="K171" s="3" t="s">
        <v>4148</v>
      </c>
      <c r="R171" s="3" t="s">
        <v>1776</v>
      </c>
      <c r="S171" s="3" t="s">
        <v>7</v>
      </c>
    </row>
    <row r="172" spans="1:19">
      <c r="A172" s="3">
        <v>11</v>
      </c>
      <c r="C172" s="3" t="s">
        <v>4149</v>
      </c>
      <c r="D172" s="3" t="s">
        <v>1788</v>
      </c>
      <c r="F172" s="3" t="s">
        <v>3403</v>
      </c>
      <c r="J172" s="3" t="s">
        <v>4150</v>
      </c>
      <c r="R172" s="3" t="s">
        <v>16</v>
      </c>
      <c r="S172" s="3" t="s">
        <v>7</v>
      </c>
    </row>
    <row r="173" spans="1:19">
      <c r="A173" s="3">
        <v>11</v>
      </c>
      <c r="C173" s="3" t="s">
        <v>4151</v>
      </c>
      <c r="D173" s="3" t="s">
        <v>1788</v>
      </c>
      <c r="F173" s="3" t="s">
        <v>3399</v>
      </c>
      <c r="J173" s="3" t="s">
        <v>4152</v>
      </c>
      <c r="K173" s="3" t="s">
        <v>4153</v>
      </c>
      <c r="R173" s="3" t="s">
        <v>28</v>
      </c>
      <c r="S173" s="3" t="s">
        <v>7</v>
      </c>
    </row>
    <row r="174" spans="1:19">
      <c r="A174" s="3">
        <v>11</v>
      </c>
      <c r="C174" s="3" t="s">
        <v>4154</v>
      </c>
      <c r="D174" s="3" t="s">
        <v>1779</v>
      </c>
      <c r="F174" s="3" t="s">
        <v>4123</v>
      </c>
      <c r="J174" s="3" t="s">
        <v>3401</v>
      </c>
      <c r="K174" s="3" t="s">
        <v>4155</v>
      </c>
      <c r="L174" s="3" t="s">
        <v>4156</v>
      </c>
      <c r="R174" s="3" t="s">
        <v>3747</v>
      </c>
      <c r="S174" s="3" t="s">
        <v>4</v>
      </c>
    </row>
    <row r="175" spans="1:19">
      <c r="A175" s="3">
        <v>11</v>
      </c>
      <c r="C175" s="3" t="s">
        <v>4157</v>
      </c>
      <c r="D175" s="3" t="s">
        <v>1778</v>
      </c>
      <c r="F175" s="3" t="s">
        <v>3403</v>
      </c>
      <c r="J175" s="3" t="s">
        <v>4158</v>
      </c>
      <c r="R175" s="3" t="s">
        <v>49</v>
      </c>
      <c r="S175" s="3" t="s">
        <v>7</v>
      </c>
    </row>
    <row r="176" spans="1:19">
      <c r="A176" s="3">
        <v>11</v>
      </c>
      <c r="C176" s="3" t="s">
        <v>4159</v>
      </c>
      <c r="D176" s="3" t="s">
        <v>1778</v>
      </c>
      <c r="F176" s="3" t="s">
        <v>3434</v>
      </c>
      <c r="J176" s="3" t="s">
        <v>4160</v>
      </c>
      <c r="K176" s="3" t="s">
        <v>4148</v>
      </c>
      <c r="R176" s="3" t="s">
        <v>1776</v>
      </c>
      <c r="S176" s="3" t="s">
        <v>4</v>
      </c>
    </row>
    <row r="177" spans="1:19">
      <c r="A177" s="3">
        <v>11</v>
      </c>
      <c r="C177" s="3" t="s">
        <v>4161</v>
      </c>
      <c r="D177" s="3" t="s">
        <v>1778</v>
      </c>
      <c r="F177" s="3" t="s">
        <v>3403</v>
      </c>
      <c r="J177" s="3" t="s">
        <v>4162</v>
      </c>
      <c r="K177" s="3" t="s">
        <v>4163</v>
      </c>
      <c r="L177" s="3" t="s">
        <v>4164</v>
      </c>
      <c r="M177" s="3" t="s">
        <v>4165</v>
      </c>
      <c r="N177" s="3" t="s">
        <v>4115</v>
      </c>
      <c r="R177" s="3" t="s">
        <v>32</v>
      </c>
      <c r="S177" s="3" t="s">
        <v>9</v>
      </c>
    </row>
    <row r="178" spans="1:19">
      <c r="A178" s="3">
        <v>11</v>
      </c>
      <c r="C178" s="3" t="s">
        <v>4166</v>
      </c>
      <c r="D178" s="3" t="s">
        <v>4167</v>
      </c>
      <c r="F178" s="3" t="s">
        <v>3403</v>
      </c>
      <c r="J178" s="3" t="s">
        <v>4168</v>
      </c>
      <c r="R178" s="3" t="s">
        <v>3747</v>
      </c>
      <c r="S178" s="3" t="s">
        <v>7</v>
      </c>
    </row>
    <row r="179" spans="1:19">
      <c r="A179" s="3">
        <v>11</v>
      </c>
      <c r="C179" s="3" t="s">
        <v>4169</v>
      </c>
      <c r="D179" s="3" t="s">
        <v>4170</v>
      </c>
      <c r="F179" s="3" t="s">
        <v>3399</v>
      </c>
      <c r="J179" s="3" t="s">
        <v>4171</v>
      </c>
      <c r="K179" s="3" t="s">
        <v>4172</v>
      </c>
      <c r="R179" s="3" t="s">
        <v>6</v>
      </c>
      <c r="S179" s="3" t="s">
        <v>9</v>
      </c>
    </row>
    <row r="180" spans="1:19">
      <c r="A180" s="3">
        <v>11</v>
      </c>
      <c r="C180" s="3" t="s">
        <v>4173</v>
      </c>
      <c r="D180" s="3" t="s">
        <v>1778</v>
      </c>
      <c r="F180" s="3" t="s">
        <v>4174</v>
      </c>
      <c r="J180" s="3" t="s">
        <v>4175</v>
      </c>
      <c r="K180" s="3" t="s">
        <v>4176</v>
      </c>
      <c r="L180" s="3" t="s">
        <v>4177</v>
      </c>
      <c r="P180" s="3">
        <v>6</v>
      </c>
      <c r="R180" s="3" t="s">
        <v>32</v>
      </c>
      <c r="S180" s="3" t="s">
        <v>41</v>
      </c>
    </row>
    <row r="181" spans="1:19">
      <c r="A181" s="3">
        <v>11</v>
      </c>
      <c r="C181" s="3" t="s">
        <v>4178</v>
      </c>
      <c r="D181" s="3" t="s">
        <v>4179</v>
      </c>
      <c r="F181" s="3" t="s">
        <v>3403</v>
      </c>
      <c r="J181" s="3" t="s">
        <v>4180</v>
      </c>
      <c r="R181" s="3" t="s">
        <v>3747</v>
      </c>
      <c r="S181" s="3" t="s">
        <v>9</v>
      </c>
    </row>
    <row r="182" spans="1:19">
      <c r="A182" s="3">
        <v>11</v>
      </c>
      <c r="C182" s="3" t="s">
        <v>4181</v>
      </c>
      <c r="D182" s="3" t="s">
        <v>4170</v>
      </c>
      <c r="F182" s="3" t="s">
        <v>3403</v>
      </c>
      <c r="J182" s="3" t="s">
        <v>4182</v>
      </c>
      <c r="K182" s="3" t="s">
        <v>4183</v>
      </c>
      <c r="R182" s="3" t="s">
        <v>10</v>
      </c>
      <c r="S182" s="3" t="s">
        <v>7</v>
      </c>
    </row>
    <row r="183" spans="1:19">
      <c r="A183" s="3">
        <v>11</v>
      </c>
      <c r="C183" s="3" t="s">
        <v>4184</v>
      </c>
      <c r="D183" s="3" t="s">
        <v>1778</v>
      </c>
      <c r="F183" s="3" t="s">
        <v>3403</v>
      </c>
      <c r="J183" s="3" t="s">
        <v>4185</v>
      </c>
      <c r="R183" s="3" t="s">
        <v>1776</v>
      </c>
      <c r="S183" s="3" t="s">
        <v>4</v>
      </c>
    </row>
    <row r="184" spans="1:19">
      <c r="A184" s="3">
        <v>11</v>
      </c>
      <c r="C184" s="3" t="s">
        <v>4186</v>
      </c>
      <c r="D184" s="3" t="s">
        <v>1778</v>
      </c>
      <c r="F184" s="3" t="s">
        <v>4187</v>
      </c>
      <c r="J184" s="3" t="s">
        <v>4188</v>
      </c>
      <c r="K184" s="3" t="s">
        <v>4189</v>
      </c>
      <c r="L184" s="3" t="s">
        <v>4190</v>
      </c>
      <c r="P184" s="3">
        <v>3</v>
      </c>
      <c r="R184" s="3" t="s">
        <v>26</v>
      </c>
      <c r="S184" s="3" t="s">
        <v>41</v>
      </c>
    </row>
    <row r="185" spans="1:19">
      <c r="A185" s="3">
        <v>11</v>
      </c>
      <c r="C185" s="3" t="s">
        <v>4191</v>
      </c>
      <c r="D185" s="3" t="s">
        <v>1778</v>
      </c>
      <c r="F185" s="3" t="s">
        <v>3403</v>
      </c>
      <c r="J185" s="3" t="s">
        <v>4192</v>
      </c>
      <c r="R185" s="3" t="s">
        <v>10</v>
      </c>
      <c r="S185" s="3" t="s">
        <v>9</v>
      </c>
    </row>
    <row r="186" spans="1:19">
      <c r="A186" s="3">
        <v>11</v>
      </c>
      <c r="C186" s="3" t="s">
        <v>4193</v>
      </c>
      <c r="D186" s="3" t="s">
        <v>4167</v>
      </c>
      <c r="F186" s="3" t="s">
        <v>3403</v>
      </c>
      <c r="J186" s="3" t="s">
        <v>4194</v>
      </c>
      <c r="K186" s="3" t="s">
        <v>4195</v>
      </c>
      <c r="R186" s="3" t="s">
        <v>3747</v>
      </c>
      <c r="S186" s="3" t="s">
        <v>4</v>
      </c>
    </row>
    <row r="187" spans="1:19">
      <c r="A187" s="3">
        <v>11</v>
      </c>
      <c r="C187" s="3" t="s">
        <v>4196</v>
      </c>
      <c r="D187" s="3" t="s">
        <v>1778</v>
      </c>
      <c r="F187" s="3" t="s">
        <v>3413</v>
      </c>
      <c r="J187" s="3" t="s">
        <v>899</v>
      </c>
      <c r="R187" s="3" t="s">
        <v>1776</v>
      </c>
      <c r="S187" s="3" t="s">
        <v>7</v>
      </c>
    </row>
    <row r="188" spans="1:19">
      <c r="A188" s="3">
        <v>11</v>
      </c>
      <c r="C188" s="3" t="s">
        <v>4197</v>
      </c>
      <c r="D188" s="3" t="s">
        <v>1789</v>
      </c>
      <c r="F188" s="3" t="s">
        <v>3434</v>
      </c>
      <c r="J188" s="3" t="s">
        <v>4198</v>
      </c>
      <c r="K188" s="3" t="s">
        <v>4199</v>
      </c>
      <c r="R188" s="3" t="s">
        <v>10</v>
      </c>
      <c r="S188" s="3" t="s">
        <v>7</v>
      </c>
    </row>
    <row r="189" spans="1:19">
      <c r="A189" s="3">
        <v>11</v>
      </c>
      <c r="C189" s="3" t="s">
        <v>4200</v>
      </c>
      <c r="D189" s="3" t="s">
        <v>4201</v>
      </c>
      <c r="F189" s="3" t="s">
        <v>3403</v>
      </c>
      <c r="J189" s="3" t="s">
        <v>4202</v>
      </c>
      <c r="R189" s="3" t="s">
        <v>10</v>
      </c>
      <c r="S189" s="3" t="s">
        <v>9</v>
      </c>
    </row>
    <row r="190" spans="1:19">
      <c r="A190" s="3">
        <v>11</v>
      </c>
      <c r="C190" s="3" t="s">
        <v>4203</v>
      </c>
      <c r="D190" s="3" t="s">
        <v>1808</v>
      </c>
      <c r="F190" s="3" t="s">
        <v>3434</v>
      </c>
      <c r="J190" s="3" t="s">
        <v>4204</v>
      </c>
      <c r="R190" s="3" t="s">
        <v>3747</v>
      </c>
      <c r="S190" s="3" t="s">
        <v>9</v>
      </c>
    </row>
    <row r="191" spans="1:19">
      <c r="A191" s="3">
        <v>11</v>
      </c>
      <c r="C191" s="3" t="s">
        <v>4205</v>
      </c>
      <c r="D191" s="3" t="s">
        <v>1789</v>
      </c>
      <c r="F191" s="3" t="s">
        <v>4206</v>
      </c>
      <c r="J191" s="3" t="s">
        <v>4207</v>
      </c>
      <c r="K191" s="3" t="s">
        <v>4208</v>
      </c>
      <c r="L191" s="3" t="s">
        <v>4209</v>
      </c>
      <c r="P191" s="3">
        <v>3</v>
      </c>
      <c r="R191" s="3" t="s">
        <v>50</v>
      </c>
      <c r="S191" s="3" t="s">
        <v>41</v>
      </c>
    </row>
    <row r="192" spans="1:19">
      <c r="A192" s="3">
        <v>11</v>
      </c>
      <c r="C192" s="3" t="s">
        <v>4210</v>
      </c>
      <c r="D192" s="3" t="s">
        <v>1789</v>
      </c>
      <c r="F192" s="3" t="s">
        <v>4123</v>
      </c>
      <c r="J192" s="3" t="s">
        <v>3401</v>
      </c>
      <c r="K192" s="3" t="s">
        <v>4211</v>
      </c>
      <c r="L192" s="3" t="s">
        <v>4212</v>
      </c>
      <c r="R192" s="3" t="s">
        <v>6</v>
      </c>
      <c r="S192" s="3" t="s">
        <v>9</v>
      </c>
    </row>
    <row r="193" spans="1:19">
      <c r="A193" s="3">
        <v>11</v>
      </c>
      <c r="C193" s="3" t="s">
        <v>4213</v>
      </c>
      <c r="D193" s="3" t="s">
        <v>1789</v>
      </c>
      <c r="F193" s="3" t="s">
        <v>3434</v>
      </c>
      <c r="J193" s="3" t="s">
        <v>4214</v>
      </c>
      <c r="K193" s="3" t="s">
        <v>4215</v>
      </c>
      <c r="R193" s="3" t="s">
        <v>3999</v>
      </c>
      <c r="S193" s="3" t="s">
        <v>4000</v>
      </c>
    </row>
    <row r="194" spans="1:19">
      <c r="A194" s="3">
        <v>11</v>
      </c>
      <c r="C194" s="3" t="s">
        <v>4216</v>
      </c>
      <c r="D194" s="3" t="s">
        <v>1789</v>
      </c>
      <c r="F194" s="3" t="s">
        <v>3403</v>
      </c>
      <c r="J194" s="3" t="s">
        <v>4217</v>
      </c>
      <c r="R194" s="3" t="s">
        <v>6</v>
      </c>
      <c r="S194" s="3" t="s">
        <v>7</v>
      </c>
    </row>
    <row r="195" spans="1:19">
      <c r="A195" s="3">
        <v>11</v>
      </c>
      <c r="C195" s="3" t="s">
        <v>4218</v>
      </c>
      <c r="D195" s="3" t="s">
        <v>4219</v>
      </c>
      <c r="F195" s="3" t="s">
        <v>3399</v>
      </c>
      <c r="J195" s="3" t="s">
        <v>4220</v>
      </c>
      <c r="R195" s="3" t="s">
        <v>15</v>
      </c>
      <c r="S195" s="3" t="s">
        <v>7</v>
      </c>
    </row>
    <row r="196" spans="1:19">
      <c r="A196" s="3">
        <v>11</v>
      </c>
      <c r="C196" s="3" t="s">
        <v>4221</v>
      </c>
      <c r="D196" s="3" t="s">
        <v>4222</v>
      </c>
      <c r="F196" s="3" t="s">
        <v>3434</v>
      </c>
      <c r="J196" s="3" t="s">
        <v>4223</v>
      </c>
      <c r="K196" s="3" t="s">
        <v>4224</v>
      </c>
      <c r="R196" s="3" t="s">
        <v>10</v>
      </c>
      <c r="S196" s="3" t="s">
        <v>9</v>
      </c>
    </row>
    <row r="197" spans="1:19">
      <c r="A197" s="3">
        <v>11</v>
      </c>
      <c r="C197" s="3" t="s">
        <v>4225</v>
      </c>
      <c r="D197" s="3" t="s">
        <v>4226</v>
      </c>
      <c r="F197" s="3" t="s">
        <v>3403</v>
      </c>
      <c r="J197" s="3" t="s">
        <v>4227</v>
      </c>
      <c r="R197" s="3" t="s">
        <v>3747</v>
      </c>
      <c r="S197" s="3" t="s">
        <v>7</v>
      </c>
    </row>
    <row r="198" spans="1:19">
      <c r="A198" s="3">
        <v>11</v>
      </c>
      <c r="C198" s="3" t="s">
        <v>4228</v>
      </c>
      <c r="D198" s="3" t="s">
        <v>4229</v>
      </c>
      <c r="F198" s="3" t="s">
        <v>3399</v>
      </c>
      <c r="J198" s="3" t="s">
        <v>4230</v>
      </c>
      <c r="R198" s="3" t="s">
        <v>3747</v>
      </c>
      <c r="S198" s="3" t="s">
        <v>9</v>
      </c>
    </row>
    <row r="199" spans="1:19">
      <c r="A199" s="3">
        <v>12</v>
      </c>
      <c r="C199" s="3" t="s">
        <v>4231</v>
      </c>
      <c r="D199" s="3" t="s">
        <v>4232</v>
      </c>
      <c r="F199" s="3" t="s">
        <v>3403</v>
      </c>
      <c r="J199" s="3" t="s">
        <v>4233</v>
      </c>
      <c r="R199" s="3" t="s">
        <v>3747</v>
      </c>
      <c r="S199" s="3" t="s">
        <v>7</v>
      </c>
    </row>
    <row r="200" spans="1:19">
      <c r="A200" s="3">
        <v>12</v>
      </c>
      <c r="C200" s="3" t="s">
        <v>4234</v>
      </c>
      <c r="D200" s="3" t="s">
        <v>4232</v>
      </c>
      <c r="F200" s="3" t="s">
        <v>3399</v>
      </c>
      <c r="J200" s="3" t="s">
        <v>4235</v>
      </c>
      <c r="K200" s="3" t="s">
        <v>4195</v>
      </c>
      <c r="R200" s="3" t="s">
        <v>3747</v>
      </c>
      <c r="S200" s="3" t="s">
        <v>4</v>
      </c>
    </row>
    <row r="201" spans="1:19">
      <c r="A201" s="3">
        <v>12</v>
      </c>
      <c r="C201" s="3" t="s">
        <v>4236</v>
      </c>
      <c r="D201" s="3" t="s">
        <v>1829</v>
      </c>
      <c r="F201" s="3" t="s">
        <v>3399</v>
      </c>
      <c r="J201" s="3" t="s">
        <v>4237</v>
      </c>
      <c r="R201" s="3" t="s">
        <v>8</v>
      </c>
      <c r="S201" s="3" t="s">
        <v>9</v>
      </c>
    </row>
    <row r="202" spans="1:19">
      <c r="A202" s="3">
        <v>12</v>
      </c>
      <c r="C202" s="3" t="s">
        <v>4238</v>
      </c>
      <c r="D202" s="3" t="s">
        <v>1818</v>
      </c>
      <c r="F202" s="3" t="s">
        <v>3399</v>
      </c>
      <c r="J202" s="3" t="s">
        <v>4239</v>
      </c>
      <c r="K202" s="3" t="s">
        <v>4240</v>
      </c>
      <c r="R202" s="3" t="s">
        <v>3747</v>
      </c>
      <c r="S202" s="3" t="s">
        <v>4</v>
      </c>
    </row>
    <row r="203" spans="1:19">
      <c r="A203" s="3">
        <v>12</v>
      </c>
      <c r="C203" s="3" t="s">
        <v>4241</v>
      </c>
      <c r="D203" s="3" t="s">
        <v>1829</v>
      </c>
      <c r="F203" s="3" t="s">
        <v>3399</v>
      </c>
      <c r="J203" s="3" t="s">
        <v>4242</v>
      </c>
      <c r="K203" s="3" t="s">
        <v>4243</v>
      </c>
      <c r="R203" s="3" t="s">
        <v>5</v>
      </c>
      <c r="S203" s="3" t="s">
        <v>4</v>
      </c>
    </row>
    <row r="204" spans="1:19">
      <c r="A204" s="3">
        <v>12</v>
      </c>
      <c r="C204" s="3" t="s">
        <v>4244</v>
      </c>
      <c r="D204" s="3" t="s">
        <v>4245</v>
      </c>
      <c r="F204" s="3" t="s">
        <v>3399</v>
      </c>
      <c r="J204" s="3" t="s">
        <v>4246</v>
      </c>
      <c r="R204" s="3" t="s">
        <v>5</v>
      </c>
      <c r="S204" s="3" t="s">
        <v>9</v>
      </c>
    </row>
    <row r="205" spans="1:19">
      <c r="A205" s="3">
        <v>12</v>
      </c>
      <c r="C205" s="3" t="s">
        <v>4247</v>
      </c>
      <c r="D205" s="3" t="s">
        <v>1837</v>
      </c>
      <c r="F205" s="3" t="s">
        <v>3403</v>
      </c>
      <c r="J205" s="3" t="s">
        <v>1820</v>
      </c>
      <c r="K205" s="3" t="s">
        <v>4248</v>
      </c>
      <c r="L205" s="3" t="s">
        <v>3768</v>
      </c>
      <c r="R205" s="3" t="s">
        <v>8</v>
      </c>
      <c r="S205" s="3" t="s">
        <v>9</v>
      </c>
    </row>
    <row r="206" spans="1:19">
      <c r="A206" s="3">
        <v>12</v>
      </c>
      <c r="C206" s="3" t="s">
        <v>4249</v>
      </c>
      <c r="D206" s="3" t="s">
        <v>1829</v>
      </c>
      <c r="F206" s="3" t="s">
        <v>3403</v>
      </c>
      <c r="J206" s="3" t="s">
        <v>4113</v>
      </c>
      <c r="K206" s="3" t="s">
        <v>4250</v>
      </c>
      <c r="L206" s="3" t="s">
        <v>4251</v>
      </c>
      <c r="M206" s="3" t="s">
        <v>4252</v>
      </c>
      <c r="R206" s="3" t="s">
        <v>5</v>
      </c>
      <c r="S206" s="3" t="s">
        <v>7</v>
      </c>
    </row>
    <row r="207" spans="1:19">
      <c r="A207" s="3">
        <v>12</v>
      </c>
      <c r="C207" s="3" t="s">
        <v>4253</v>
      </c>
      <c r="D207" s="3" t="s">
        <v>1829</v>
      </c>
      <c r="F207" s="3" t="s">
        <v>3403</v>
      </c>
      <c r="J207" s="3" t="s">
        <v>4254</v>
      </c>
      <c r="R207" s="3" t="s">
        <v>18</v>
      </c>
      <c r="S207" s="3" t="s">
        <v>7</v>
      </c>
    </row>
    <row r="208" spans="1:19">
      <c r="A208" s="3">
        <v>12</v>
      </c>
      <c r="C208" s="3" t="s">
        <v>4255</v>
      </c>
      <c r="D208" s="3" t="s">
        <v>1829</v>
      </c>
      <c r="F208" s="3" t="s">
        <v>3403</v>
      </c>
      <c r="J208" s="3" t="s">
        <v>4256</v>
      </c>
      <c r="R208" s="3" t="s">
        <v>16</v>
      </c>
      <c r="S208" s="3" t="s">
        <v>7</v>
      </c>
    </row>
    <row r="209" spans="1:19">
      <c r="A209" s="3">
        <v>12</v>
      </c>
      <c r="C209" s="3" t="s">
        <v>4257</v>
      </c>
      <c r="D209" s="3" t="s">
        <v>1829</v>
      </c>
      <c r="F209" s="3" t="s">
        <v>3403</v>
      </c>
      <c r="J209" s="3" t="s">
        <v>4258</v>
      </c>
      <c r="K209" s="3" t="s">
        <v>4259</v>
      </c>
      <c r="R209" s="3" t="s">
        <v>15</v>
      </c>
      <c r="S209" s="3" t="s">
        <v>4</v>
      </c>
    </row>
    <row r="210" spans="1:19">
      <c r="A210" s="3">
        <v>12</v>
      </c>
      <c r="C210" s="3" t="s">
        <v>4260</v>
      </c>
      <c r="D210" s="3" t="s">
        <v>4245</v>
      </c>
      <c r="F210" s="3" t="s">
        <v>3399</v>
      </c>
      <c r="J210" s="3" t="s">
        <v>4261</v>
      </c>
      <c r="R210" s="3" t="s">
        <v>8</v>
      </c>
      <c r="S210" s="3" t="s">
        <v>7</v>
      </c>
    </row>
    <row r="211" spans="1:19">
      <c r="A211" s="3">
        <v>12</v>
      </c>
      <c r="C211" s="3" t="s">
        <v>4262</v>
      </c>
      <c r="D211" s="3" t="s">
        <v>1829</v>
      </c>
      <c r="F211" s="3" t="s">
        <v>4066</v>
      </c>
      <c r="J211" s="3" t="s">
        <v>4263</v>
      </c>
      <c r="K211" s="3" t="s">
        <v>4264</v>
      </c>
      <c r="L211" s="3" t="s">
        <v>3409</v>
      </c>
      <c r="R211" s="3" t="s">
        <v>1776</v>
      </c>
      <c r="S211" s="3" t="s">
        <v>7</v>
      </c>
    </row>
    <row r="212" spans="1:19">
      <c r="A212" s="3">
        <v>12</v>
      </c>
      <c r="C212" s="3" t="s">
        <v>4265</v>
      </c>
      <c r="D212" s="3" t="s">
        <v>1818</v>
      </c>
      <c r="F212" s="3" t="s">
        <v>3403</v>
      </c>
      <c r="J212" s="3" t="s">
        <v>4266</v>
      </c>
      <c r="R212" s="3" t="s">
        <v>3747</v>
      </c>
      <c r="S212" s="3" t="s">
        <v>4</v>
      </c>
    </row>
    <row r="213" spans="1:19">
      <c r="A213" s="3">
        <v>12</v>
      </c>
      <c r="C213" s="3" t="s">
        <v>4267</v>
      </c>
      <c r="D213" s="3" t="s">
        <v>1829</v>
      </c>
      <c r="F213" s="3" t="s">
        <v>3413</v>
      </c>
      <c r="J213" s="3" t="s">
        <v>4268</v>
      </c>
      <c r="R213" s="3" t="s">
        <v>1776</v>
      </c>
      <c r="S213" s="3" t="s">
        <v>9</v>
      </c>
    </row>
    <row r="214" spans="1:19">
      <c r="A214" s="3">
        <v>12</v>
      </c>
      <c r="C214" s="3" t="s">
        <v>4269</v>
      </c>
      <c r="D214" s="3" t="s">
        <v>1830</v>
      </c>
      <c r="F214" s="3" t="s">
        <v>3403</v>
      </c>
      <c r="J214" s="3" t="s">
        <v>4270</v>
      </c>
      <c r="K214" s="3" t="s">
        <v>4271</v>
      </c>
      <c r="R214" s="3" t="s">
        <v>8</v>
      </c>
      <c r="S214" s="3" t="s">
        <v>4</v>
      </c>
    </row>
    <row r="215" spans="1:19">
      <c r="A215" s="3">
        <v>12</v>
      </c>
      <c r="C215" s="3" t="s">
        <v>4272</v>
      </c>
      <c r="D215" s="3" t="s">
        <v>1830</v>
      </c>
      <c r="F215" s="3" t="s">
        <v>4123</v>
      </c>
      <c r="J215" s="3" t="s">
        <v>4273</v>
      </c>
      <c r="K215" s="3" t="s">
        <v>4274</v>
      </c>
      <c r="L215" s="3" t="s">
        <v>4275</v>
      </c>
      <c r="R215" s="3" t="s">
        <v>35</v>
      </c>
      <c r="S215" s="3" t="s">
        <v>7</v>
      </c>
    </row>
    <row r="216" spans="1:19">
      <c r="A216" s="3">
        <v>12</v>
      </c>
      <c r="C216" s="3" t="s">
        <v>4276</v>
      </c>
      <c r="D216" s="3" t="s">
        <v>1830</v>
      </c>
      <c r="F216" s="3" t="s">
        <v>3403</v>
      </c>
      <c r="J216" s="3" t="s">
        <v>4277</v>
      </c>
      <c r="K216" s="3" t="s">
        <v>4165</v>
      </c>
      <c r="L216" s="3" t="s">
        <v>4278</v>
      </c>
      <c r="R216" s="3" t="s">
        <v>1776</v>
      </c>
      <c r="S216" s="3" t="s">
        <v>4</v>
      </c>
    </row>
    <row r="217" spans="1:19">
      <c r="A217" s="3">
        <v>12</v>
      </c>
      <c r="C217" s="3" t="s">
        <v>4279</v>
      </c>
      <c r="D217" s="3" t="s">
        <v>1830</v>
      </c>
      <c r="F217" s="3" t="s">
        <v>4280</v>
      </c>
      <c r="J217" s="3" t="s">
        <v>4281</v>
      </c>
      <c r="K217" s="3" t="s">
        <v>4282</v>
      </c>
      <c r="L217" s="3" t="s">
        <v>4283</v>
      </c>
      <c r="P217" s="3">
        <v>3</v>
      </c>
      <c r="R217" s="3" t="s">
        <v>14</v>
      </c>
      <c r="S217" s="3" t="s">
        <v>41</v>
      </c>
    </row>
    <row r="218" spans="1:19">
      <c r="A218" s="3">
        <v>12</v>
      </c>
      <c r="C218" s="3" t="s">
        <v>4284</v>
      </c>
      <c r="D218" s="3" t="s">
        <v>1830</v>
      </c>
      <c r="F218" s="3" t="s">
        <v>3413</v>
      </c>
      <c r="J218" s="3" t="s">
        <v>4285</v>
      </c>
      <c r="K218" s="3" t="s">
        <v>4286</v>
      </c>
      <c r="L218" s="3" t="s">
        <v>4287</v>
      </c>
      <c r="R218" s="3" t="s">
        <v>1776</v>
      </c>
      <c r="S218" s="3" t="s">
        <v>4</v>
      </c>
    </row>
    <row r="219" spans="1:19">
      <c r="A219" s="3">
        <v>12</v>
      </c>
      <c r="C219" s="3" t="s">
        <v>4288</v>
      </c>
      <c r="D219" s="3" t="s">
        <v>1830</v>
      </c>
      <c r="F219" s="3" t="s">
        <v>3399</v>
      </c>
      <c r="J219" s="3" t="s">
        <v>4113</v>
      </c>
      <c r="K219" s="3" t="s">
        <v>4289</v>
      </c>
      <c r="L219" s="3" t="s">
        <v>4290</v>
      </c>
      <c r="R219" s="3" t="s">
        <v>8</v>
      </c>
      <c r="S219" s="3" t="s">
        <v>4</v>
      </c>
    </row>
    <row r="220" spans="1:19">
      <c r="A220" s="3">
        <v>12</v>
      </c>
      <c r="C220" s="3" t="s">
        <v>4291</v>
      </c>
      <c r="D220" s="3" t="s">
        <v>1830</v>
      </c>
      <c r="F220" s="3" t="s">
        <v>3399</v>
      </c>
      <c r="J220" s="3" t="s">
        <v>4292</v>
      </c>
      <c r="R220" s="3" t="s">
        <v>1776</v>
      </c>
      <c r="S220" s="3" t="s">
        <v>7</v>
      </c>
    </row>
    <row r="221" spans="1:19">
      <c r="A221" s="3">
        <v>12</v>
      </c>
      <c r="C221" s="3" t="s">
        <v>4293</v>
      </c>
      <c r="D221" s="3" t="s">
        <v>4294</v>
      </c>
      <c r="F221" s="3" t="s">
        <v>4123</v>
      </c>
      <c r="J221" s="3" t="s">
        <v>3</v>
      </c>
      <c r="K221" s="3" t="s">
        <v>3401</v>
      </c>
      <c r="L221" s="3" t="s">
        <v>4295</v>
      </c>
      <c r="R221" s="3" t="s">
        <v>3747</v>
      </c>
      <c r="S221" s="3" t="s">
        <v>4</v>
      </c>
    </row>
    <row r="222" spans="1:19">
      <c r="A222" s="3">
        <v>12</v>
      </c>
      <c r="C222" s="3" t="s">
        <v>4296</v>
      </c>
      <c r="D222" s="3" t="s">
        <v>1830</v>
      </c>
      <c r="F222" s="3" t="s">
        <v>3403</v>
      </c>
      <c r="J222" s="3" t="s">
        <v>4297</v>
      </c>
      <c r="R222" s="3" t="s">
        <v>5</v>
      </c>
      <c r="S222" s="3" t="s">
        <v>4</v>
      </c>
    </row>
    <row r="223" spans="1:19">
      <c r="A223" s="3">
        <v>12</v>
      </c>
      <c r="C223" s="3" t="s">
        <v>4298</v>
      </c>
      <c r="D223" s="3" t="s">
        <v>1830</v>
      </c>
      <c r="F223" s="3" t="s">
        <v>3399</v>
      </c>
      <c r="J223" s="3" t="s">
        <v>4299</v>
      </c>
      <c r="R223" s="3" t="s">
        <v>16</v>
      </c>
      <c r="S223" s="3" t="s">
        <v>4</v>
      </c>
    </row>
    <row r="224" spans="1:19">
      <c r="A224" s="3">
        <v>12</v>
      </c>
      <c r="C224" s="3" t="s">
        <v>4300</v>
      </c>
      <c r="D224" s="3" t="s">
        <v>4301</v>
      </c>
      <c r="F224" s="3" t="s">
        <v>3399</v>
      </c>
      <c r="J224" s="3" t="s">
        <v>4302</v>
      </c>
      <c r="R224" s="3" t="s">
        <v>3747</v>
      </c>
      <c r="S224" s="3" t="s">
        <v>7</v>
      </c>
    </row>
    <row r="225" spans="1:19">
      <c r="A225" s="3">
        <v>12</v>
      </c>
      <c r="C225" s="3" t="s">
        <v>4303</v>
      </c>
      <c r="D225" s="3" t="s">
        <v>1815</v>
      </c>
      <c r="F225" s="3" t="s">
        <v>3399</v>
      </c>
      <c r="J225" s="3" t="s">
        <v>4304</v>
      </c>
      <c r="K225" s="3" t="s">
        <v>3768</v>
      </c>
      <c r="R225" s="3" t="s">
        <v>1776</v>
      </c>
      <c r="S225" s="3" t="s">
        <v>4</v>
      </c>
    </row>
    <row r="226" spans="1:19">
      <c r="A226" s="3">
        <v>12</v>
      </c>
      <c r="C226" s="3" t="s">
        <v>4305</v>
      </c>
      <c r="D226" s="3" t="s">
        <v>1815</v>
      </c>
      <c r="F226" s="3" t="s">
        <v>3399</v>
      </c>
      <c r="J226" s="3" t="s">
        <v>4306</v>
      </c>
      <c r="K226" s="3" t="s">
        <v>4243</v>
      </c>
      <c r="R226" s="3" t="s">
        <v>5</v>
      </c>
      <c r="S226" s="3" t="s">
        <v>9</v>
      </c>
    </row>
    <row r="227" spans="1:19">
      <c r="A227" s="3">
        <v>12</v>
      </c>
      <c r="C227" s="3" t="s">
        <v>4307</v>
      </c>
      <c r="D227" s="3" t="s">
        <v>4308</v>
      </c>
      <c r="F227" s="3" t="s">
        <v>3403</v>
      </c>
      <c r="J227" s="3" t="s">
        <v>4309</v>
      </c>
      <c r="R227" s="3" t="s">
        <v>3747</v>
      </c>
      <c r="S227" s="3" t="s">
        <v>9</v>
      </c>
    </row>
    <row r="228" spans="1:19">
      <c r="A228" s="3">
        <v>12</v>
      </c>
      <c r="C228" s="3" t="s">
        <v>4310</v>
      </c>
      <c r="D228" s="3" t="s">
        <v>1815</v>
      </c>
      <c r="F228" s="3" t="s">
        <v>3399</v>
      </c>
      <c r="J228" s="3" t="s">
        <v>4311</v>
      </c>
      <c r="K228" s="3" t="s">
        <v>4243</v>
      </c>
      <c r="R228" s="3" t="s">
        <v>5</v>
      </c>
      <c r="S228" s="3" t="s">
        <v>7</v>
      </c>
    </row>
    <row r="229" spans="1:19">
      <c r="A229" s="3">
        <v>12</v>
      </c>
      <c r="C229" s="3" t="s">
        <v>4312</v>
      </c>
      <c r="D229" s="3" t="s">
        <v>1815</v>
      </c>
      <c r="F229" s="3" t="s">
        <v>4123</v>
      </c>
      <c r="J229" s="3" t="s">
        <v>3401</v>
      </c>
      <c r="K229" s="3" t="s">
        <v>4313</v>
      </c>
      <c r="L229" s="3" t="s">
        <v>4314</v>
      </c>
      <c r="R229" s="3" t="s">
        <v>5</v>
      </c>
      <c r="S229" s="3" t="s">
        <v>9</v>
      </c>
    </row>
    <row r="230" spans="1:19">
      <c r="A230" s="3">
        <v>12</v>
      </c>
      <c r="C230" s="3" t="s">
        <v>4315</v>
      </c>
      <c r="D230" s="3" t="s">
        <v>4316</v>
      </c>
      <c r="F230" s="3" t="s">
        <v>3399</v>
      </c>
      <c r="J230" s="3" t="s">
        <v>4317</v>
      </c>
      <c r="R230" s="3" t="s">
        <v>16</v>
      </c>
      <c r="S230" s="3" t="s">
        <v>41</v>
      </c>
    </row>
    <row r="231" spans="1:19">
      <c r="A231" s="3">
        <v>12</v>
      </c>
      <c r="C231" s="3" t="s">
        <v>4318</v>
      </c>
      <c r="D231" s="3" t="s">
        <v>4301</v>
      </c>
      <c r="F231" s="3" t="s">
        <v>4123</v>
      </c>
      <c r="J231" s="3" t="s">
        <v>3401</v>
      </c>
      <c r="K231" s="3" t="s">
        <v>4319</v>
      </c>
      <c r="L231" s="3" t="s">
        <v>4320</v>
      </c>
      <c r="R231" s="3" t="s">
        <v>3747</v>
      </c>
      <c r="S231" s="3" t="s">
        <v>4</v>
      </c>
    </row>
    <row r="232" spans="1:19">
      <c r="A232" s="3">
        <v>12</v>
      </c>
      <c r="C232" s="3" t="s">
        <v>4321</v>
      </c>
      <c r="D232" s="3" t="s">
        <v>1815</v>
      </c>
      <c r="F232" s="3" t="s">
        <v>4322</v>
      </c>
      <c r="J232" s="3" t="s">
        <v>4323</v>
      </c>
      <c r="K232" s="3" t="s">
        <v>4324</v>
      </c>
      <c r="L232" s="3" t="s">
        <v>4325</v>
      </c>
      <c r="P232" s="3">
        <v>3</v>
      </c>
      <c r="R232" s="3" t="s">
        <v>176</v>
      </c>
      <c r="S232" s="3" t="s">
        <v>41</v>
      </c>
    </row>
    <row r="233" spans="1:19">
      <c r="A233" s="3">
        <v>12</v>
      </c>
      <c r="C233" s="3" t="s">
        <v>4326</v>
      </c>
      <c r="D233" s="3" t="s">
        <v>1815</v>
      </c>
      <c r="F233" s="3" t="s">
        <v>4322</v>
      </c>
      <c r="J233" s="3" t="s">
        <v>4327</v>
      </c>
      <c r="K233" s="3" t="s">
        <v>4328</v>
      </c>
      <c r="L233" s="3" t="s">
        <v>4329</v>
      </c>
      <c r="P233" s="3">
        <v>5</v>
      </c>
      <c r="R233" s="3" t="s">
        <v>35</v>
      </c>
      <c r="S233" s="3" t="s">
        <v>41</v>
      </c>
    </row>
    <row r="234" spans="1:19">
      <c r="A234" s="3">
        <v>12</v>
      </c>
      <c r="C234" s="3" t="s">
        <v>4330</v>
      </c>
      <c r="D234" s="3" t="s">
        <v>4331</v>
      </c>
      <c r="F234" s="3" t="s">
        <v>3403</v>
      </c>
      <c r="J234" s="3" t="s">
        <v>4332</v>
      </c>
      <c r="K234" s="3" t="s">
        <v>4271</v>
      </c>
      <c r="R234" s="3" t="s">
        <v>8</v>
      </c>
      <c r="S234" s="3" t="s">
        <v>7</v>
      </c>
    </row>
    <row r="235" spans="1:19">
      <c r="A235" s="3">
        <v>12</v>
      </c>
      <c r="C235" s="3" t="s">
        <v>4333</v>
      </c>
      <c r="D235" s="3" t="s">
        <v>1816</v>
      </c>
      <c r="F235" s="3" t="s">
        <v>3399</v>
      </c>
      <c r="J235" s="3" t="s">
        <v>4148</v>
      </c>
      <c r="K235" s="3" t="s">
        <v>4334</v>
      </c>
      <c r="R235" s="3" t="s">
        <v>1776</v>
      </c>
      <c r="S235" s="3" t="s">
        <v>4</v>
      </c>
    </row>
    <row r="236" spans="1:19">
      <c r="A236" s="3">
        <v>12</v>
      </c>
      <c r="C236" s="3" t="s">
        <v>4335</v>
      </c>
      <c r="D236" s="3" t="s">
        <v>1816</v>
      </c>
      <c r="F236" s="3" t="s">
        <v>3399</v>
      </c>
      <c r="J236" s="3" t="s">
        <v>4336</v>
      </c>
      <c r="R236" s="3" t="s">
        <v>14</v>
      </c>
      <c r="S236" s="3" t="s">
        <v>9</v>
      </c>
    </row>
    <row r="237" spans="1:19">
      <c r="A237" s="3">
        <v>12</v>
      </c>
      <c r="C237" s="3" t="s">
        <v>4337</v>
      </c>
      <c r="D237" s="3" t="s">
        <v>4338</v>
      </c>
      <c r="F237" s="3" t="s">
        <v>3399</v>
      </c>
      <c r="J237" s="3" t="s">
        <v>4339</v>
      </c>
      <c r="R237" s="3" t="s">
        <v>5</v>
      </c>
      <c r="S237" s="3" t="s">
        <v>7</v>
      </c>
    </row>
    <row r="238" spans="1:19">
      <c r="A238" s="3">
        <v>12</v>
      </c>
      <c r="C238" s="3" t="s">
        <v>4340</v>
      </c>
      <c r="D238" s="3" t="s">
        <v>4341</v>
      </c>
      <c r="F238" s="3" t="s">
        <v>3434</v>
      </c>
      <c r="J238" s="3" t="s">
        <v>4342</v>
      </c>
      <c r="K238" s="3" t="s">
        <v>4343</v>
      </c>
      <c r="R238" s="3" t="s">
        <v>3747</v>
      </c>
      <c r="S238" s="3" t="s">
        <v>9</v>
      </c>
    </row>
    <row r="239" spans="1:19">
      <c r="A239" s="3">
        <v>12</v>
      </c>
      <c r="C239" s="3" t="s">
        <v>4344</v>
      </c>
      <c r="D239" s="3" t="s">
        <v>1816</v>
      </c>
      <c r="F239" s="3" t="s">
        <v>3399</v>
      </c>
      <c r="J239" s="3" t="s">
        <v>4345</v>
      </c>
      <c r="R239" s="3" t="s">
        <v>35</v>
      </c>
      <c r="S239" s="3" t="s">
        <v>9</v>
      </c>
    </row>
    <row r="240" spans="1:19">
      <c r="A240" s="3">
        <v>12</v>
      </c>
      <c r="C240" s="3" t="s">
        <v>4346</v>
      </c>
      <c r="D240" s="3" t="s">
        <v>1816</v>
      </c>
      <c r="F240" s="3" t="s">
        <v>3403</v>
      </c>
      <c r="J240" s="3" t="s">
        <v>4162</v>
      </c>
      <c r="K240" s="3" t="s">
        <v>4347</v>
      </c>
      <c r="L240" s="3" t="s">
        <v>4348</v>
      </c>
      <c r="M240" s="3" t="s">
        <v>4349</v>
      </c>
      <c r="N240" s="3" t="s">
        <v>4350</v>
      </c>
      <c r="R240" s="3" t="s">
        <v>32</v>
      </c>
      <c r="S240" s="3" t="s">
        <v>9</v>
      </c>
    </row>
    <row r="241" spans="1:19">
      <c r="A241" s="3">
        <v>12</v>
      </c>
      <c r="C241" s="3" t="s">
        <v>4351</v>
      </c>
      <c r="D241" s="3" t="s">
        <v>4352</v>
      </c>
      <c r="F241" s="3" t="s">
        <v>3399</v>
      </c>
      <c r="J241" s="3" t="s">
        <v>4353</v>
      </c>
      <c r="R241" s="3" t="s">
        <v>8</v>
      </c>
      <c r="S241" s="3" t="s">
        <v>7</v>
      </c>
    </row>
    <row r="242" spans="1:19">
      <c r="A242" s="3">
        <v>12</v>
      </c>
      <c r="C242" s="3" t="s">
        <v>4354</v>
      </c>
      <c r="D242" s="3" t="s">
        <v>4352</v>
      </c>
      <c r="F242" s="3" t="s">
        <v>4322</v>
      </c>
      <c r="J242" s="3" t="s">
        <v>4355</v>
      </c>
      <c r="K242" s="3" t="s">
        <v>4356</v>
      </c>
      <c r="L242" s="3" t="s">
        <v>4357</v>
      </c>
      <c r="P242" s="3">
        <v>5</v>
      </c>
      <c r="R242" s="3" t="s">
        <v>35</v>
      </c>
      <c r="S242" s="3" t="s">
        <v>41</v>
      </c>
    </row>
    <row r="243" spans="1:19">
      <c r="A243" s="3">
        <v>12</v>
      </c>
      <c r="C243" s="3" t="s">
        <v>4358</v>
      </c>
      <c r="D243" s="3" t="s">
        <v>4359</v>
      </c>
      <c r="F243" s="3" t="s">
        <v>3399</v>
      </c>
      <c r="J243" s="3" t="s">
        <v>4360</v>
      </c>
      <c r="R243" s="3" t="s">
        <v>1776</v>
      </c>
      <c r="S243" s="3" t="s">
        <v>9</v>
      </c>
    </row>
    <row r="244" spans="1:19">
      <c r="A244" s="3">
        <v>13</v>
      </c>
      <c r="C244" s="3" t="s">
        <v>4361</v>
      </c>
      <c r="D244" s="3" t="s">
        <v>4362</v>
      </c>
      <c r="F244" s="3" t="s">
        <v>3403</v>
      </c>
      <c r="J244" s="3" t="s">
        <v>4363</v>
      </c>
      <c r="R244" s="3" t="s">
        <v>3747</v>
      </c>
      <c r="S244" s="3" t="s">
        <v>4</v>
      </c>
    </row>
    <row r="245" spans="1:19">
      <c r="A245" s="3">
        <v>13</v>
      </c>
      <c r="C245" s="3" t="s">
        <v>4364</v>
      </c>
      <c r="D245" s="3" t="s">
        <v>4362</v>
      </c>
      <c r="F245" s="3" t="s">
        <v>4123</v>
      </c>
      <c r="J245" s="3" t="s">
        <v>4365</v>
      </c>
      <c r="K245" s="3" t="s">
        <v>3401</v>
      </c>
      <c r="L245" s="3" t="s">
        <v>4366</v>
      </c>
      <c r="R245" s="3" t="s">
        <v>10</v>
      </c>
      <c r="S245" s="3" t="s">
        <v>4</v>
      </c>
    </row>
    <row r="246" spans="1:19">
      <c r="A246" s="3">
        <v>13</v>
      </c>
      <c r="C246" s="3" t="s">
        <v>4367</v>
      </c>
      <c r="D246" s="3" t="s">
        <v>1852</v>
      </c>
      <c r="F246" s="3" t="s">
        <v>3403</v>
      </c>
      <c r="J246" s="3" t="s">
        <v>4113</v>
      </c>
      <c r="K246" s="3" t="s">
        <v>4368</v>
      </c>
      <c r="L246" s="3" t="s">
        <v>4369</v>
      </c>
      <c r="M246" s="3" t="s">
        <v>4370</v>
      </c>
      <c r="R246" s="3" t="s">
        <v>6</v>
      </c>
      <c r="S246" s="3" t="s">
        <v>7</v>
      </c>
    </row>
    <row r="247" spans="1:19">
      <c r="A247" s="3">
        <v>13</v>
      </c>
      <c r="C247" s="3" t="s">
        <v>4371</v>
      </c>
      <c r="D247" s="3" t="s">
        <v>1852</v>
      </c>
      <c r="F247" s="3" t="s">
        <v>4066</v>
      </c>
      <c r="J247" s="3" t="s">
        <v>4372</v>
      </c>
      <c r="K247" s="3" t="s">
        <v>3423</v>
      </c>
      <c r="R247" s="3" t="s">
        <v>1776</v>
      </c>
      <c r="S247" s="3" t="s">
        <v>7</v>
      </c>
    </row>
    <row r="248" spans="1:19">
      <c r="A248" s="3">
        <v>13</v>
      </c>
      <c r="C248" s="3" t="s">
        <v>4373</v>
      </c>
      <c r="D248" s="3" t="s">
        <v>1852</v>
      </c>
      <c r="F248" s="3" t="s">
        <v>3399</v>
      </c>
      <c r="J248" s="3" t="s">
        <v>4374</v>
      </c>
      <c r="R248" s="3" t="s">
        <v>6</v>
      </c>
      <c r="S248" s="3" t="s">
        <v>9</v>
      </c>
    </row>
    <row r="249" spans="1:19">
      <c r="A249" s="3">
        <v>13</v>
      </c>
      <c r="C249" s="3" t="s">
        <v>4375</v>
      </c>
      <c r="D249" s="3" t="s">
        <v>4376</v>
      </c>
      <c r="F249" s="3" t="s">
        <v>4123</v>
      </c>
      <c r="J249" s="3" t="s">
        <v>3401</v>
      </c>
      <c r="K249" s="3" t="s">
        <v>4377</v>
      </c>
      <c r="L249" s="3" t="s">
        <v>4378</v>
      </c>
      <c r="R249" s="3" t="s">
        <v>3747</v>
      </c>
      <c r="S249" s="3" t="s">
        <v>4</v>
      </c>
    </row>
    <row r="250" spans="1:19">
      <c r="A250" s="3">
        <v>13</v>
      </c>
      <c r="C250" s="3" t="s">
        <v>4379</v>
      </c>
      <c r="D250" s="3" t="s">
        <v>1852</v>
      </c>
      <c r="F250" s="3" t="s">
        <v>3434</v>
      </c>
      <c r="J250" s="3" t="s">
        <v>4380</v>
      </c>
      <c r="R250" s="3" t="s">
        <v>10</v>
      </c>
      <c r="S250" s="3" t="s">
        <v>9</v>
      </c>
    </row>
    <row r="251" spans="1:19">
      <c r="A251" s="3">
        <v>13</v>
      </c>
      <c r="C251" s="3" t="s">
        <v>4381</v>
      </c>
      <c r="D251" s="3" t="s">
        <v>1852</v>
      </c>
      <c r="F251" s="3" t="s">
        <v>3403</v>
      </c>
      <c r="J251" s="3" t="s">
        <v>4382</v>
      </c>
      <c r="R251" s="3" t="s">
        <v>1776</v>
      </c>
      <c r="S251" s="3" t="s">
        <v>4</v>
      </c>
    </row>
    <row r="252" spans="1:19">
      <c r="A252" s="3">
        <v>13</v>
      </c>
      <c r="C252" s="3" t="s">
        <v>4383</v>
      </c>
      <c r="D252" s="3" t="s">
        <v>4384</v>
      </c>
      <c r="F252" s="3" t="s">
        <v>3399</v>
      </c>
      <c r="J252" s="3" t="s">
        <v>4385</v>
      </c>
      <c r="R252" s="3" t="s">
        <v>6</v>
      </c>
      <c r="S252" s="3" t="s">
        <v>41</v>
      </c>
    </row>
    <row r="253" spans="1:19">
      <c r="A253" s="3">
        <v>13</v>
      </c>
      <c r="C253" s="3" t="s">
        <v>4386</v>
      </c>
      <c r="D253" s="3" t="s">
        <v>1853</v>
      </c>
      <c r="F253" s="3" t="s">
        <v>3413</v>
      </c>
      <c r="J253" s="3" t="s">
        <v>4387</v>
      </c>
      <c r="K253" s="3" t="s">
        <v>4388</v>
      </c>
      <c r="L253" s="3" t="s">
        <v>4389</v>
      </c>
      <c r="R253" s="3" t="s">
        <v>1776</v>
      </c>
      <c r="S253" s="3" t="s">
        <v>4</v>
      </c>
    </row>
    <row r="254" spans="1:19">
      <c r="A254" s="3">
        <v>13</v>
      </c>
      <c r="C254" s="3" t="s">
        <v>4390</v>
      </c>
      <c r="D254" s="3" t="s">
        <v>1853</v>
      </c>
      <c r="F254" s="3" t="s">
        <v>3434</v>
      </c>
      <c r="J254" s="3" t="s">
        <v>4391</v>
      </c>
      <c r="R254" s="3" t="s">
        <v>10</v>
      </c>
      <c r="S254" s="3" t="s">
        <v>7</v>
      </c>
    </row>
    <row r="255" spans="1:19">
      <c r="A255" s="3">
        <v>13</v>
      </c>
      <c r="C255" s="3" t="s">
        <v>4392</v>
      </c>
      <c r="D255" s="3" t="s">
        <v>1853</v>
      </c>
      <c r="F255" s="3" t="s">
        <v>3403</v>
      </c>
      <c r="J255" s="3" t="s">
        <v>4393</v>
      </c>
      <c r="R255" s="3" t="s">
        <v>16</v>
      </c>
      <c r="S255" s="3" t="s">
        <v>7</v>
      </c>
    </row>
    <row r="256" spans="1:19">
      <c r="A256" s="3">
        <v>13</v>
      </c>
      <c r="C256" s="3" t="s">
        <v>4394</v>
      </c>
      <c r="D256" s="3" t="s">
        <v>1853</v>
      </c>
      <c r="F256" s="3" t="s">
        <v>3399</v>
      </c>
      <c r="J256" s="3" t="s">
        <v>4395</v>
      </c>
      <c r="R256" s="3" t="s">
        <v>15</v>
      </c>
      <c r="S256" s="3" t="s">
        <v>4</v>
      </c>
    </row>
    <row r="257" spans="1:19">
      <c r="A257" s="3">
        <v>13</v>
      </c>
      <c r="C257" s="3" t="s">
        <v>4396</v>
      </c>
      <c r="D257" s="3" t="s">
        <v>1853</v>
      </c>
      <c r="F257" s="3" t="s">
        <v>3399</v>
      </c>
      <c r="J257" s="3" t="s">
        <v>4148</v>
      </c>
      <c r="K257" s="3" t="s">
        <v>4397</v>
      </c>
      <c r="R257" s="3" t="s">
        <v>1776</v>
      </c>
      <c r="S257" s="3" t="s">
        <v>4</v>
      </c>
    </row>
    <row r="258" spans="1:19">
      <c r="A258" s="3">
        <v>13</v>
      </c>
      <c r="C258" s="3" t="s">
        <v>4398</v>
      </c>
      <c r="D258" s="3" t="s">
        <v>1853</v>
      </c>
      <c r="F258" s="3" t="s">
        <v>3403</v>
      </c>
      <c r="J258" s="3" t="s">
        <v>4399</v>
      </c>
      <c r="R258" s="3" t="s">
        <v>26</v>
      </c>
      <c r="S258" s="3" t="s">
        <v>7</v>
      </c>
    </row>
    <row r="259" spans="1:19">
      <c r="A259" s="3">
        <v>13</v>
      </c>
      <c r="C259" s="3" t="s">
        <v>4400</v>
      </c>
      <c r="D259" s="3" t="s">
        <v>1853</v>
      </c>
      <c r="F259" s="3" t="s">
        <v>3403</v>
      </c>
      <c r="J259" s="3" t="s">
        <v>4401</v>
      </c>
      <c r="R259" s="3" t="s">
        <v>6</v>
      </c>
      <c r="S259" s="3" t="s">
        <v>4</v>
      </c>
    </row>
    <row r="260" spans="1:19">
      <c r="A260" s="3">
        <v>13</v>
      </c>
      <c r="C260" s="3" t="s">
        <v>4402</v>
      </c>
      <c r="D260" s="3" t="s">
        <v>1853</v>
      </c>
      <c r="F260" s="3" t="s">
        <v>3403</v>
      </c>
      <c r="J260" s="3" t="s">
        <v>4162</v>
      </c>
      <c r="K260" s="3" t="s">
        <v>4278</v>
      </c>
      <c r="L260" s="3" t="s">
        <v>4403</v>
      </c>
      <c r="M260" s="3" t="s">
        <v>4369</v>
      </c>
      <c r="N260" s="3" t="s">
        <v>4404</v>
      </c>
      <c r="R260" s="3" t="s">
        <v>32</v>
      </c>
      <c r="S260" s="3" t="s">
        <v>9</v>
      </c>
    </row>
    <row r="261" spans="1:19">
      <c r="A261" s="3">
        <v>13</v>
      </c>
      <c r="C261" s="3" t="s">
        <v>4405</v>
      </c>
      <c r="D261" s="3" t="s">
        <v>4406</v>
      </c>
      <c r="F261" s="3" t="s">
        <v>3434</v>
      </c>
      <c r="J261" s="3" t="s">
        <v>4407</v>
      </c>
      <c r="K261" s="3" t="s">
        <v>4408</v>
      </c>
      <c r="L261" s="3" t="s">
        <v>4409</v>
      </c>
      <c r="R261" s="3" t="s">
        <v>3747</v>
      </c>
      <c r="S261" s="3" t="s">
        <v>9</v>
      </c>
    </row>
    <row r="262" spans="1:19">
      <c r="A262" s="3">
        <v>13</v>
      </c>
      <c r="C262" s="3" t="s">
        <v>4410</v>
      </c>
      <c r="D262" s="3" t="s">
        <v>4411</v>
      </c>
      <c r="F262" s="3" t="s">
        <v>3434</v>
      </c>
      <c r="J262" s="3" t="s">
        <v>4412</v>
      </c>
      <c r="K262" s="3" t="s">
        <v>4413</v>
      </c>
      <c r="R262" s="3" t="s">
        <v>3747</v>
      </c>
      <c r="S262" s="3" t="s">
        <v>9</v>
      </c>
    </row>
    <row r="263" spans="1:19">
      <c r="A263" s="3">
        <v>13</v>
      </c>
      <c r="C263" s="3" t="s">
        <v>4414</v>
      </c>
      <c r="D263" s="3" t="s">
        <v>1861</v>
      </c>
      <c r="F263" s="3" t="s">
        <v>3399</v>
      </c>
      <c r="J263" s="3" t="s">
        <v>4415</v>
      </c>
      <c r="R263" s="3" t="s">
        <v>1776</v>
      </c>
      <c r="S263" s="3" t="s">
        <v>9</v>
      </c>
    </row>
    <row r="264" spans="1:19">
      <c r="A264" s="3">
        <v>13</v>
      </c>
      <c r="C264" s="3" t="s">
        <v>4416</v>
      </c>
      <c r="D264" s="3" t="s">
        <v>4411</v>
      </c>
      <c r="F264" s="3" t="s">
        <v>3399</v>
      </c>
      <c r="J264" s="3" t="s">
        <v>4417</v>
      </c>
      <c r="R264" s="3" t="s">
        <v>3747</v>
      </c>
      <c r="S264" s="3" t="s">
        <v>4</v>
      </c>
    </row>
    <row r="265" spans="1:19">
      <c r="A265" s="3">
        <v>13</v>
      </c>
      <c r="C265" s="3" t="s">
        <v>4418</v>
      </c>
      <c r="D265" s="3" t="s">
        <v>1861</v>
      </c>
      <c r="F265" s="3" t="s">
        <v>3403</v>
      </c>
      <c r="J265" s="3" t="s">
        <v>4419</v>
      </c>
      <c r="R265" s="3" t="s">
        <v>10</v>
      </c>
      <c r="S265" s="3" t="s">
        <v>4</v>
      </c>
    </row>
    <row r="266" spans="1:19">
      <c r="A266" s="3">
        <v>13</v>
      </c>
      <c r="C266" s="3" t="s">
        <v>4420</v>
      </c>
      <c r="D266" s="3" t="s">
        <v>1861</v>
      </c>
      <c r="F266" s="3" t="s">
        <v>3399</v>
      </c>
      <c r="J266" s="3" t="s">
        <v>4421</v>
      </c>
      <c r="K266" s="3" t="s">
        <v>4422</v>
      </c>
      <c r="R266" s="3" t="s">
        <v>6</v>
      </c>
      <c r="S266" s="3" t="s">
        <v>9</v>
      </c>
    </row>
    <row r="267" spans="1:19">
      <c r="A267" s="3">
        <v>13</v>
      </c>
      <c r="C267" s="3" t="s">
        <v>4423</v>
      </c>
      <c r="D267" s="3" t="s">
        <v>4424</v>
      </c>
      <c r="F267" s="3" t="s">
        <v>3434</v>
      </c>
      <c r="J267" s="3" t="s">
        <v>4425</v>
      </c>
      <c r="R267" s="3" t="s">
        <v>18</v>
      </c>
      <c r="S267" s="3" t="s">
        <v>4</v>
      </c>
    </row>
    <row r="268" spans="1:19">
      <c r="A268" s="3">
        <v>13</v>
      </c>
      <c r="C268" s="3" t="s">
        <v>4426</v>
      </c>
      <c r="D268" s="3" t="s">
        <v>4424</v>
      </c>
      <c r="F268" s="3" t="s">
        <v>3403</v>
      </c>
      <c r="J268" s="3" t="s">
        <v>4427</v>
      </c>
      <c r="K268" s="3" t="s">
        <v>4428</v>
      </c>
      <c r="R268" s="3" t="s">
        <v>10</v>
      </c>
      <c r="S268" s="3" t="s">
        <v>7</v>
      </c>
    </row>
    <row r="269" spans="1:19">
      <c r="A269" s="3">
        <v>13</v>
      </c>
      <c r="C269" s="3" t="s">
        <v>4429</v>
      </c>
      <c r="D269" s="3" t="s">
        <v>4424</v>
      </c>
      <c r="F269" s="3" t="s">
        <v>4430</v>
      </c>
      <c r="J269" s="3" t="s">
        <v>4431</v>
      </c>
      <c r="K269" s="3" t="s">
        <v>4432</v>
      </c>
      <c r="L269" s="3" t="s">
        <v>4433</v>
      </c>
      <c r="P269" s="3">
        <v>4</v>
      </c>
      <c r="R269" s="3" t="s">
        <v>36</v>
      </c>
      <c r="S269" s="3" t="s">
        <v>41</v>
      </c>
    </row>
    <row r="270" spans="1:19">
      <c r="A270" s="3">
        <v>13</v>
      </c>
      <c r="C270" s="3" t="s">
        <v>4434</v>
      </c>
      <c r="D270" s="3" t="s">
        <v>4435</v>
      </c>
      <c r="F270" s="3" t="s">
        <v>3434</v>
      </c>
      <c r="J270" s="3" t="s">
        <v>4436</v>
      </c>
      <c r="K270" s="3" t="s">
        <v>4437</v>
      </c>
      <c r="R270" s="3" t="s">
        <v>10</v>
      </c>
      <c r="S270" s="3" t="s">
        <v>9</v>
      </c>
    </row>
    <row r="271" spans="1:19">
      <c r="A271" s="3">
        <v>13</v>
      </c>
      <c r="C271" s="3" t="s">
        <v>4438</v>
      </c>
      <c r="D271" s="3" t="s">
        <v>4424</v>
      </c>
      <c r="F271" s="3" t="s">
        <v>3399</v>
      </c>
      <c r="J271" s="3" t="s">
        <v>4439</v>
      </c>
      <c r="R271" s="3" t="s">
        <v>36</v>
      </c>
      <c r="S271" s="3" t="s">
        <v>9</v>
      </c>
    </row>
    <row r="272" spans="1:19">
      <c r="A272" s="3">
        <v>13</v>
      </c>
      <c r="C272" s="3" t="s">
        <v>4440</v>
      </c>
      <c r="D272" s="3" t="s">
        <v>4441</v>
      </c>
      <c r="F272" s="3" t="s">
        <v>3399</v>
      </c>
      <c r="J272" s="3" t="s">
        <v>4442</v>
      </c>
      <c r="R272" s="3" t="s">
        <v>3747</v>
      </c>
      <c r="S272" s="3" t="s">
        <v>9</v>
      </c>
    </row>
    <row r="273" spans="1:19">
      <c r="A273" s="3">
        <v>13</v>
      </c>
      <c r="C273" s="3" t="s">
        <v>4443</v>
      </c>
      <c r="D273" s="3" t="s">
        <v>4424</v>
      </c>
      <c r="F273" s="3" t="s">
        <v>3399</v>
      </c>
      <c r="J273" s="3" t="s">
        <v>4444</v>
      </c>
      <c r="R273" s="3" t="s">
        <v>3999</v>
      </c>
      <c r="S273" s="3" t="s">
        <v>4000</v>
      </c>
    </row>
    <row r="274" spans="1:19">
      <c r="A274" s="3">
        <v>13</v>
      </c>
      <c r="C274" s="3" t="s">
        <v>4445</v>
      </c>
      <c r="D274" s="3" t="s">
        <v>4446</v>
      </c>
      <c r="F274" s="3" t="s">
        <v>3399</v>
      </c>
      <c r="J274" s="3" t="s">
        <v>4447</v>
      </c>
      <c r="K274" s="3" t="s">
        <v>4195</v>
      </c>
      <c r="R274" s="3" t="s">
        <v>3747</v>
      </c>
      <c r="S274" s="3" t="s">
        <v>4</v>
      </c>
    </row>
    <row r="275" spans="1:19">
      <c r="A275" s="3">
        <v>13</v>
      </c>
      <c r="C275" s="3" t="s">
        <v>4448</v>
      </c>
      <c r="D275" s="3" t="s">
        <v>4424</v>
      </c>
      <c r="F275" s="3" t="s">
        <v>3399</v>
      </c>
      <c r="J275" s="3" t="s">
        <v>4449</v>
      </c>
      <c r="R275" s="3" t="s">
        <v>6</v>
      </c>
      <c r="S275" s="3" t="s">
        <v>4</v>
      </c>
    </row>
    <row r="276" spans="1:19">
      <c r="A276" s="3">
        <v>13</v>
      </c>
      <c r="C276" s="3" t="s">
        <v>4450</v>
      </c>
      <c r="D276" s="3" t="s">
        <v>4424</v>
      </c>
      <c r="F276" s="3" t="s">
        <v>3403</v>
      </c>
      <c r="J276" s="3" t="s">
        <v>4451</v>
      </c>
      <c r="R276" s="3" t="s">
        <v>1776</v>
      </c>
      <c r="S276" s="3" t="s">
        <v>4</v>
      </c>
    </row>
    <row r="277" spans="1:19">
      <c r="A277" s="3">
        <v>13</v>
      </c>
      <c r="C277" s="3" t="s">
        <v>4452</v>
      </c>
      <c r="D277" s="3" t="s">
        <v>4424</v>
      </c>
      <c r="F277" s="3" t="s">
        <v>4453</v>
      </c>
      <c r="J277" s="3" t="s">
        <v>4454</v>
      </c>
      <c r="K277" s="3" t="s">
        <v>4455</v>
      </c>
      <c r="L277" s="3" t="s">
        <v>4456</v>
      </c>
      <c r="P277" s="3">
        <v>7</v>
      </c>
      <c r="R277" s="3" t="s">
        <v>170</v>
      </c>
      <c r="S277" s="3" t="s">
        <v>41</v>
      </c>
    </row>
    <row r="278" spans="1:19">
      <c r="A278" s="3">
        <v>13</v>
      </c>
      <c r="C278" s="3" t="s">
        <v>4457</v>
      </c>
      <c r="D278" s="3" t="s">
        <v>4446</v>
      </c>
      <c r="F278" s="3" t="s">
        <v>3399</v>
      </c>
      <c r="J278" s="3" t="s">
        <v>4458</v>
      </c>
      <c r="R278" s="3" t="s">
        <v>3747</v>
      </c>
      <c r="S278" s="3" t="s">
        <v>7</v>
      </c>
    </row>
    <row r="279" spans="1:19">
      <c r="A279" s="3">
        <v>13</v>
      </c>
      <c r="C279" s="3" t="s">
        <v>4459</v>
      </c>
      <c r="D279" s="3" t="s">
        <v>4424</v>
      </c>
      <c r="F279" s="3" t="s">
        <v>3403</v>
      </c>
      <c r="J279" s="3" t="s">
        <v>4148</v>
      </c>
      <c r="K279" s="3" t="s">
        <v>4460</v>
      </c>
      <c r="R279" s="3" t="s">
        <v>1776</v>
      </c>
      <c r="S279" s="3" t="s">
        <v>7</v>
      </c>
    </row>
    <row r="280" spans="1:19">
      <c r="A280" s="3">
        <v>13</v>
      </c>
      <c r="C280" s="3" t="s">
        <v>4461</v>
      </c>
      <c r="D280" s="3" t="s">
        <v>4462</v>
      </c>
      <c r="F280" s="3" t="s">
        <v>4430</v>
      </c>
      <c r="J280" s="3" t="s">
        <v>4463</v>
      </c>
      <c r="K280" s="3" t="s">
        <v>4464</v>
      </c>
      <c r="L280" s="3" t="s">
        <v>4465</v>
      </c>
      <c r="P280" s="3">
        <v>5</v>
      </c>
      <c r="R280" s="3" t="s">
        <v>36</v>
      </c>
      <c r="S280" s="3" t="s">
        <v>41</v>
      </c>
    </row>
    <row r="281" spans="1:19">
      <c r="A281" s="3">
        <v>13</v>
      </c>
      <c r="C281" s="3" t="s">
        <v>4466</v>
      </c>
      <c r="D281" s="3" t="s">
        <v>4462</v>
      </c>
      <c r="F281" s="3" t="s">
        <v>3434</v>
      </c>
      <c r="J281" s="3" t="s">
        <v>4407</v>
      </c>
      <c r="K281" s="3" t="s">
        <v>4467</v>
      </c>
      <c r="R281" s="3" t="s">
        <v>6</v>
      </c>
      <c r="S281" s="3" t="s">
        <v>9</v>
      </c>
    </row>
    <row r="282" spans="1:19">
      <c r="A282" s="3">
        <v>13</v>
      </c>
      <c r="C282" s="3" t="s">
        <v>4468</v>
      </c>
      <c r="D282" s="3" t="s">
        <v>4462</v>
      </c>
      <c r="F282" s="3" t="s">
        <v>3399</v>
      </c>
      <c r="J282" s="3" t="s">
        <v>4469</v>
      </c>
      <c r="R282" s="3" t="s">
        <v>16</v>
      </c>
      <c r="S282" s="3" t="s">
        <v>4</v>
      </c>
    </row>
    <row r="283" spans="1:19">
      <c r="A283" s="3">
        <v>13</v>
      </c>
      <c r="C283" s="3" t="s">
        <v>4470</v>
      </c>
      <c r="D283" s="3" t="s">
        <v>4471</v>
      </c>
      <c r="F283" s="3" t="s">
        <v>3399</v>
      </c>
      <c r="J283" s="3" t="s">
        <v>4472</v>
      </c>
      <c r="R283" s="3" t="s">
        <v>3747</v>
      </c>
      <c r="S283" s="3" t="s">
        <v>9</v>
      </c>
    </row>
    <row r="284" spans="1:19">
      <c r="A284" s="3">
        <v>14</v>
      </c>
      <c r="C284" s="3" t="s">
        <v>4473</v>
      </c>
      <c r="D284" s="3" t="s">
        <v>1892</v>
      </c>
      <c r="F284" s="3" t="s">
        <v>4474</v>
      </c>
      <c r="J284" s="3" t="s">
        <v>4475</v>
      </c>
      <c r="K284" s="3" t="s">
        <v>4476</v>
      </c>
      <c r="P284" s="3">
        <v>3</v>
      </c>
    </row>
    <row r="285" spans="1:19">
      <c r="A285" s="3">
        <v>14</v>
      </c>
      <c r="C285" s="3" t="s">
        <v>4477</v>
      </c>
      <c r="F285" s="3" t="s">
        <v>4478</v>
      </c>
      <c r="J285" s="3" t="s">
        <v>4474</v>
      </c>
      <c r="K285" s="3" t="s">
        <v>4479</v>
      </c>
      <c r="L285" s="3" t="s">
        <v>4480</v>
      </c>
      <c r="M285" s="3" t="s">
        <v>4481</v>
      </c>
      <c r="R285" s="3" t="s">
        <v>46</v>
      </c>
      <c r="S285" s="3" t="s">
        <v>41</v>
      </c>
    </row>
    <row r="286" spans="1:19">
      <c r="A286" s="3">
        <v>14</v>
      </c>
      <c r="C286" s="3" t="s">
        <v>4482</v>
      </c>
      <c r="D286" s="3" t="s">
        <v>1867</v>
      </c>
      <c r="F286" s="3" t="s">
        <v>3399</v>
      </c>
      <c r="J286" s="3" t="s">
        <v>4483</v>
      </c>
      <c r="R286" s="3" t="s">
        <v>3747</v>
      </c>
      <c r="S286" s="3" t="s">
        <v>7</v>
      </c>
    </row>
    <row r="287" spans="1:19">
      <c r="A287" s="3">
        <v>14</v>
      </c>
      <c r="C287" s="3" t="s">
        <v>4484</v>
      </c>
      <c r="D287" s="3" t="s">
        <v>1867</v>
      </c>
      <c r="F287" s="3" t="s">
        <v>3403</v>
      </c>
      <c r="J287" s="3" t="s">
        <v>4485</v>
      </c>
      <c r="R287" s="3" t="s">
        <v>3747</v>
      </c>
      <c r="S287" s="3" t="s">
        <v>7</v>
      </c>
    </row>
    <row r="288" spans="1:19">
      <c r="A288" s="3">
        <v>14</v>
      </c>
      <c r="C288" s="3" t="s">
        <v>4486</v>
      </c>
      <c r="D288" s="3" t="s">
        <v>4487</v>
      </c>
      <c r="F288" s="3" t="s">
        <v>3403</v>
      </c>
      <c r="J288" s="3" t="s">
        <v>4488</v>
      </c>
      <c r="R288" s="3" t="s">
        <v>5</v>
      </c>
      <c r="S288" s="3" t="s">
        <v>4</v>
      </c>
    </row>
    <row r="289" spans="1:19">
      <c r="A289" s="3">
        <v>14</v>
      </c>
      <c r="C289" s="3" t="s">
        <v>4489</v>
      </c>
      <c r="D289" s="3" t="s">
        <v>4490</v>
      </c>
      <c r="F289" s="3" t="s">
        <v>3399</v>
      </c>
      <c r="J289" s="3" t="s">
        <v>4491</v>
      </c>
      <c r="K289" s="3" t="s">
        <v>4492</v>
      </c>
      <c r="L289" s="3" t="s">
        <v>4493</v>
      </c>
      <c r="M289" s="3" t="s">
        <v>4494</v>
      </c>
      <c r="R289" s="3" t="s">
        <v>5</v>
      </c>
      <c r="S289" s="3" t="s">
        <v>9</v>
      </c>
    </row>
    <row r="290" spans="1:19">
      <c r="A290" s="3">
        <v>14</v>
      </c>
      <c r="C290" s="3" t="s">
        <v>4495</v>
      </c>
      <c r="D290" s="3" t="s">
        <v>1865</v>
      </c>
      <c r="F290" s="3" t="s">
        <v>3403</v>
      </c>
      <c r="J290" s="3" t="s">
        <v>4496</v>
      </c>
      <c r="R290" s="3" t="s">
        <v>5</v>
      </c>
      <c r="S290" s="3" t="s">
        <v>9</v>
      </c>
    </row>
    <row r="291" spans="1:19">
      <c r="A291" s="3">
        <v>14</v>
      </c>
      <c r="C291" s="3" t="s">
        <v>4497</v>
      </c>
      <c r="D291" s="3" t="s">
        <v>1865</v>
      </c>
      <c r="F291" s="3" t="s">
        <v>3403</v>
      </c>
      <c r="J291" s="3" t="s">
        <v>4498</v>
      </c>
      <c r="R291" s="3" t="s">
        <v>1776</v>
      </c>
      <c r="S291" s="3" t="s">
        <v>4</v>
      </c>
    </row>
    <row r="292" spans="1:19">
      <c r="A292" s="3">
        <v>14</v>
      </c>
      <c r="C292" s="3" t="s">
        <v>4499</v>
      </c>
      <c r="D292" s="3" t="s">
        <v>4487</v>
      </c>
      <c r="F292" s="3" t="s">
        <v>3403</v>
      </c>
      <c r="J292" s="3" t="s">
        <v>4500</v>
      </c>
      <c r="K292" s="3" t="s">
        <v>3768</v>
      </c>
      <c r="R292" s="3" t="s">
        <v>3747</v>
      </c>
      <c r="S292" s="3" t="s">
        <v>4</v>
      </c>
    </row>
    <row r="293" spans="1:19">
      <c r="A293" s="3">
        <v>14</v>
      </c>
      <c r="C293" s="3" t="s">
        <v>4501</v>
      </c>
      <c r="D293" s="3" t="s">
        <v>4490</v>
      </c>
      <c r="F293" s="3" t="s">
        <v>3399</v>
      </c>
      <c r="J293" s="3" t="s">
        <v>4502</v>
      </c>
      <c r="R293" s="3" t="s">
        <v>11</v>
      </c>
      <c r="S293" s="3" t="s">
        <v>7</v>
      </c>
    </row>
    <row r="294" spans="1:19">
      <c r="A294" s="3">
        <v>14</v>
      </c>
      <c r="C294" s="3" t="s">
        <v>4503</v>
      </c>
      <c r="D294" s="3" t="s">
        <v>1865</v>
      </c>
      <c r="F294" s="3" t="s">
        <v>3403</v>
      </c>
      <c r="J294" s="3" t="s">
        <v>4504</v>
      </c>
      <c r="R294" s="3" t="s">
        <v>14</v>
      </c>
      <c r="S294" s="3" t="s">
        <v>7</v>
      </c>
    </row>
    <row r="295" spans="1:19">
      <c r="A295" s="3">
        <v>14</v>
      </c>
      <c r="C295" s="3" t="s">
        <v>4505</v>
      </c>
      <c r="D295" s="3" t="s">
        <v>1865</v>
      </c>
      <c r="F295" s="3" t="s">
        <v>3403</v>
      </c>
      <c r="J295" s="3" t="s">
        <v>4113</v>
      </c>
      <c r="K295" s="3" t="s">
        <v>4506</v>
      </c>
      <c r="L295" s="3" t="s">
        <v>4507</v>
      </c>
      <c r="M295" s="3" t="s">
        <v>4508</v>
      </c>
      <c r="R295" s="3" t="s">
        <v>5</v>
      </c>
      <c r="S295" s="3" t="s">
        <v>7</v>
      </c>
    </row>
    <row r="296" spans="1:19">
      <c r="A296" s="3">
        <v>14</v>
      </c>
      <c r="C296" s="3" t="s">
        <v>4509</v>
      </c>
      <c r="D296" s="3" t="s">
        <v>1865</v>
      </c>
      <c r="F296" s="3" t="s">
        <v>3399</v>
      </c>
      <c r="J296" s="3" t="s">
        <v>4510</v>
      </c>
      <c r="R296" s="3" t="s">
        <v>5</v>
      </c>
      <c r="S296" s="3" t="s">
        <v>7</v>
      </c>
    </row>
    <row r="297" spans="1:19">
      <c r="A297" s="3">
        <v>14</v>
      </c>
      <c r="C297" s="3" t="s">
        <v>4511</v>
      </c>
      <c r="D297" s="3" t="s">
        <v>1865</v>
      </c>
      <c r="F297" s="3" t="s">
        <v>3403</v>
      </c>
      <c r="J297" s="3" t="s">
        <v>4162</v>
      </c>
      <c r="K297" s="3" t="s">
        <v>4512</v>
      </c>
      <c r="L297" s="3" t="s">
        <v>4513</v>
      </c>
      <c r="M297" s="3" t="s">
        <v>4514</v>
      </c>
      <c r="N297" s="3" t="s">
        <v>4515</v>
      </c>
      <c r="R297" s="3" t="s">
        <v>32</v>
      </c>
      <c r="S297" s="3" t="s">
        <v>9</v>
      </c>
    </row>
    <row r="298" spans="1:19">
      <c r="A298" s="3">
        <v>14</v>
      </c>
      <c r="C298" s="3" t="s">
        <v>4516</v>
      </c>
      <c r="D298" s="3" t="s">
        <v>1874</v>
      </c>
      <c r="F298" s="3" t="s">
        <v>3413</v>
      </c>
      <c r="J298" s="3" t="s">
        <v>4517</v>
      </c>
      <c r="K298" s="3" t="s">
        <v>4518</v>
      </c>
      <c r="L298" s="3" t="s">
        <v>4519</v>
      </c>
      <c r="R298" s="3" t="s">
        <v>1776</v>
      </c>
      <c r="S298" s="3" t="s">
        <v>4</v>
      </c>
    </row>
    <row r="299" spans="1:19">
      <c r="A299" s="3">
        <v>14</v>
      </c>
      <c r="C299" s="3" t="s">
        <v>4520</v>
      </c>
      <c r="D299" s="3" t="s">
        <v>1874</v>
      </c>
      <c r="F299" s="3" t="s">
        <v>3434</v>
      </c>
      <c r="J299" s="3" t="s">
        <v>4521</v>
      </c>
      <c r="R299" s="3" t="s">
        <v>3999</v>
      </c>
      <c r="S299" s="3" t="s">
        <v>4000</v>
      </c>
    </row>
    <row r="300" spans="1:19">
      <c r="A300" s="3">
        <v>14</v>
      </c>
      <c r="C300" s="3" t="s">
        <v>4522</v>
      </c>
      <c r="D300" s="3" t="s">
        <v>4523</v>
      </c>
      <c r="F300" s="3" t="s">
        <v>3399</v>
      </c>
      <c r="J300" s="3" t="s">
        <v>4524</v>
      </c>
      <c r="R300" s="3" t="s">
        <v>3747</v>
      </c>
      <c r="S300" s="3" t="s">
        <v>7</v>
      </c>
    </row>
    <row r="301" spans="1:19">
      <c r="A301" s="3">
        <v>14</v>
      </c>
      <c r="C301" s="3" t="s">
        <v>4525</v>
      </c>
      <c r="D301" s="3" t="s">
        <v>1874</v>
      </c>
      <c r="F301" s="3" t="s">
        <v>3403</v>
      </c>
      <c r="J301" s="3" t="s">
        <v>4148</v>
      </c>
      <c r="K301" s="3" t="s">
        <v>4526</v>
      </c>
      <c r="R301" s="3" t="s">
        <v>1776</v>
      </c>
      <c r="S301" s="3" t="s">
        <v>4</v>
      </c>
    </row>
    <row r="302" spans="1:19">
      <c r="A302" s="3">
        <v>14</v>
      </c>
      <c r="C302" s="3" t="s">
        <v>4527</v>
      </c>
      <c r="D302" s="3" t="s">
        <v>1874</v>
      </c>
      <c r="F302" s="3" t="s">
        <v>3403</v>
      </c>
      <c r="J302" s="3" t="s">
        <v>4277</v>
      </c>
      <c r="K302" s="3" t="s">
        <v>4528</v>
      </c>
      <c r="L302" s="3" t="s">
        <v>4529</v>
      </c>
      <c r="R302" s="3" t="s">
        <v>15</v>
      </c>
      <c r="S302" s="3" t="s">
        <v>4</v>
      </c>
    </row>
    <row r="303" spans="1:19">
      <c r="A303" s="3">
        <v>14</v>
      </c>
      <c r="C303" s="3" t="s">
        <v>4530</v>
      </c>
      <c r="D303" s="3" t="s">
        <v>1874</v>
      </c>
      <c r="F303" s="3" t="s">
        <v>4066</v>
      </c>
      <c r="J303" s="3" t="s">
        <v>4531</v>
      </c>
      <c r="K303" s="3" t="s">
        <v>3118</v>
      </c>
      <c r="R303" s="3" t="s">
        <v>1776</v>
      </c>
      <c r="S303" s="3" t="s">
        <v>7</v>
      </c>
    </row>
    <row r="304" spans="1:19">
      <c r="A304" s="3">
        <v>14</v>
      </c>
      <c r="C304" s="3" t="s">
        <v>4532</v>
      </c>
      <c r="D304" s="3" t="s">
        <v>4523</v>
      </c>
      <c r="F304" s="3" t="s">
        <v>3399</v>
      </c>
      <c r="J304" s="3" t="s">
        <v>4533</v>
      </c>
      <c r="K304" s="3" t="s">
        <v>4534</v>
      </c>
      <c r="R304" s="3" t="s">
        <v>3747</v>
      </c>
      <c r="S304" s="3" t="s">
        <v>4</v>
      </c>
    </row>
    <row r="305" spans="1:19">
      <c r="A305" s="3">
        <v>14</v>
      </c>
      <c r="C305" s="3" t="s">
        <v>4535</v>
      </c>
      <c r="D305" s="3" t="s">
        <v>1874</v>
      </c>
      <c r="F305" s="3" t="s">
        <v>4536</v>
      </c>
      <c r="J305" s="3" t="s">
        <v>4537</v>
      </c>
      <c r="K305" s="3" t="s">
        <v>4538</v>
      </c>
      <c r="L305" s="3" t="s">
        <v>4539</v>
      </c>
      <c r="P305" s="3">
        <v>3</v>
      </c>
      <c r="R305" s="3" t="s">
        <v>5</v>
      </c>
      <c r="S305" s="3" t="s">
        <v>41</v>
      </c>
    </row>
    <row r="306" spans="1:19">
      <c r="A306" s="3">
        <v>14</v>
      </c>
      <c r="C306" s="3" t="s">
        <v>4540</v>
      </c>
      <c r="D306" s="3" t="s">
        <v>1892</v>
      </c>
      <c r="F306" s="3" t="s">
        <v>4453</v>
      </c>
      <c r="J306" s="3" t="s">
        <v>4541</v>
      </c>
      <c r="K306" s="3" t="s">
        <v>4542</v>
      </c>
      <c r="L306" s="3" t="s">
        <v>4543</v>
      </c>
      <c r="P306" s="3">
        <v>4</v>
      </c>
      <c r="R306" s="3" t="s">
        <v>15</v>
      </c>
      <c r="S306" s="3" t="s">
        <v>41</v>
      </c>
    </row>
    <row r="307" spans="1:19">
      <c r="A307" s="3">
        <v>14</v>
      </c>
      <c r="C307" s="3" t="s">
        <v>4544</v>
      </c>
      <c r="D307" s="3" t="s">
        <v>1892</v>
      </c>
      <c r="F307" s="3" t="s">
        <v>3399</v>
      </c>
      <c r="J307" s="3" t="s">
        <v>4545</v>
      </c>
      <c r="K307" s="3" t="s">
        <v>3749</v>
      </c>
      <c r="R307" s="3" t="s">
        <v>11</v>
      </c>
      <c r="S307" s="3" t="s">
        <v>7</v>
      </c>
    </row>
    <row r="308" spans="1:19">
      <c r="A308" s="3">
        <v>14</v>
      </c>
      <c r="C308" s="3" t="s">
        <v>4546</v>
      </c>
      <c r="D308" s="3" t="s">
        <v>1892</v>
      </c>
      <c r="F308" s="3" t="s">
        <v>4547</v>
      </c>
      <c r="J308" s="3" t="s">
        <v>4548</v>
      </c>
      <c r="K308" s="3" t="s">
        <v>4549</v>
      </c>
      <c r="L308" s="3" t="s">
        <v>4550</v>
      </c>
      <c r="P308" s="3">
        <v>3</v>
      </c>
      <c r="R308" s="3" t="s">
        <v>14</v>
      </c>
      <c r="S308" s="3" t="s">
        <v>41</v>
      </c>
    </row>
    <row r="309" spans="1:19">
      <c r="A309" s="3">
        <v>14</v>
      </c>
      <c r="C309" s="3" t="s">
        <v>4551</v>
      </c>
      <c r="D309" s="3" t="s">
        <v>1892</v>
      </c>
      <c r="F309" s="3" t="s">
        <v>3399</v>
      </c>
      <c r="J309" s="3" t="s">
        <v>4552</v>
      </c>
      <c r="R309" s="3" t="s">
        <v>18</v>
      </c>
      <c r="S309" s="3" t="s">
        <v>4</v>
      </c>
    </row>
    <row r="310" spans="1:19">
      <c r="A310" s="3">
        <v>14</v>
      </c>
      <c r="C310" s="3" t="s">
        <v>4553</v>
      </c>
      <c r="D310" s="3" t="s">
        <v>1892</v>
      </c>
      <c r="F310" s="3" t="s">
        <v>4554</v>
      </c>
      <c r="J310" s="3" t="s">
        <v>4555</v>
      </c>
      <c r="K310" s="3" t="s">
        <v>4556</v>
      </c>
      <c r="L310" s="3" t="s">
        <v>4557</v>
      </c>
      <c r="P310" s="3">
        <v>4</v>
      </c>
      <c r="R310" s="3" t="s">
        <v>29</v>
      </c>
      <c r="S310" s="3" t="s">
        <v>41</v>
      </c>
    </row>
    <row r="311" spans="1:19">
      <c r="A311" s="3">
        <v>14</v>
      </c>
      <c r="C311" s="3" t="s">
        <v>4558</v>
      </c>
      <c r="D311" s="3" t="s">
        <v>4559</v>
      </c>
      <c r="F311" s="3" t="s">
        <v>3434</v>
      </c>
      <c r="J311" s="3" t="s">
        <v>4560</v>
      </c>
      <c r="R311" s="3" t="s">
        <v>3747</v>
      </c>
      <c r="S311" s="3" t="s">
        <v>9</v>
      </c>
    </row>
    <row r="312" spans="1:19">
      <c r="A312" s="3">
        <v>14</v>
      </c>
      <c r="C312" s="3" t="s">
        <v>4561</v>
      </c>
      <c r="D312" s="3" t="s">
        <v>1892</v>
      </c>
      <c r="F312" s="3" t="s">
        <v>3434</v>
      </c>
      <c r="J312" s="3" t="s">
        <v>4562</v>
      </c>
      <c r="R312" s="3" t="s">
        <v>16</v>
      </c>
      <c r="S312" s="3" t="s">
        <v>7</v>
      </c>
    </row>
    <row r="313" spans="1:19">
      <c r="A313" s="3">
        <v>14</v>
      </c>
      <c r="C313" s="3" t="s">
        <v>4563</v>
      </c>
      <c r="D313" s="3" t="s">
        <v>4564</v>
      </c>
      <c r="F313" s="3" t="s">
        <v>4123</v>
      </c>
      <c r="J313" s="3" t="s">
        <v>3401</v>
      </c>
      <c r="K313" s="3" t="s">
        <v>4565</v>
      </c>
      <c r="L313" s="3" t="s">
        <v>4566</v>
      </c>
      <c r="R313" s="3" t="s">
        <v>3747</v>
      </c>
      <c r="S313" s="3" t="s">
        <v>4</v>
      </c>
    </row>
    <row r="314" spans="1:19">
      <c r="A314" s="3">
        <v>14</v>
      </c>
      <c r="C314" s="3" t="s">
        <v>4567</v>
      </c>
      <c r="D314" s="3" t="s">
        <v>1893</v>
      </c>
      <c r="F314" s="3" t="s">
        <v>4123</v>
      </c>
      <c r="J314" s="3" t="s">
        <v>3401</v>
      </c>
      <c r="K314" s="3" t="s">
        <v>4568</v>
      </c>
      <c r="R314" s="3" t="s">
        <v>5</v>
      </c>
      <c r="S314" s="3" t="s">
        <v>4</v>
      </c>
    </row>
    <row r="315" spans="1:19">
      <c r="A315" s="3">
        <v>14</v>
      </c>
      <c r="C315" s="3" t="s">
        <v>4569</v>
      </c>
      <c r="D315" s="3" t="s">
        <v>1893</v>
      </c>
      <c r="F315" s="3" t="s">
        <v>3399</v>
      </c>
      <c r="J315" s="3" t="s">
        <v>4570</v>
      </c>
      <c r="R315" s="3" t="s">
        <v>5</v>
      </c>
      <c r="S315" s="3" t="s">
        <v>7</v>
      </c>
    </row>
    <row r="316" spans="1:19">
      <c r="A316" s="3">
        <v>14</v>
      </c>
      <c r="C316" s="3" t="s">
        <v>4571</v>
      </c>
      <c r="D316" s="3" t="s">
        <v>1893</v>
      </c>
      <c r="F316" s="3" t="s">
        <v>3434</v>
      </c>
      <c r="J316" s="3" t="s">
        <v>4572</v>
      </c>
      <c r="R316" s="3" t="s">
        <v>1776</v>
      </c>
      <c r="S316" s="3" t="s">
        <v>9</v>
      </c>
    </row>
    <row r="317" spans="1:19">
      <c r="A317" s="3">
        <v>14</v>
      </c>
      <c r="C317" s="3" t="s">
        <v>4573</v>
      </c>
      <c r="D317" s="3" t="s">
        <v>4574</v>
      </c>
      <c r="F317" s="3" t="s">
        <v>3399</v>
      </c>
      <c r="J317" s="3" t="s">
        <v>4575</v>
      </c>
      <c r="K317" s="3" t="s">
        <v>4576</v>
      </c>
      <c r="R317" s="3" t="s">
        <v>1776</v>
      </c>
      <c r="S317" s="3" t="s">
        <v>7</v>
      </c>
    </row>
    <row r="318" spans="1:19">
      <c r="A318" s="3">
        <v>14</v>
      </c>
      <c r="C318" s="3" t="s">
        <v>4577</v>
      </c>
      <c r="D318" s="3" t="s">
        <v>4574</v>
      </c>
      <c r="F318" s="3" t="s">
        <v>3399</v>
      </c>
      <c r="J318" s="3" t="s">
        <v>4578</v>
      </c>
      <c r="R318" s="3" t="s">
        <v>15</v>
      </c>
      <c r="S318" s="3" t="s">
        <v>7</v>
      </c>
    </row>
    <row r="319" spans="1:19">
      <c r="A319" s="3">
        <v>14</v>
      </c>
      <c r="C319" s="3" t="s">
        <v>4579</v>
      </c>
      <c r="D319" s="3" t="s">
        <v>4574</v>
      </c>
      <c r="F319" s="3" t="s">
        <v>3434</v>
      </c>
      <c r="J319" s="3" t="s">
        <v>4580</v>
      </c>
      <c r="R319" s="3" t="s">
        <v>11</v>
      </c>
      <c r="S319" s="3" t="s">
        <v>9</v>
      </c>
    </row>
    <row r="320" spans="1:19">
      <c r="A320" s="3">
        <v>14</v>
      </c>
      <c r="C320" s="3" t="s">
        <v>4581</v>
      </c>
      <c r="D320" s="3" t="s">
        <v>4582</v>
      </c>
      <c r="F320" s="3" t="s">
        <v>3399</v>
      </c>
      <c r="J320" s="3" t="s">
        <v>4583</v>
      </c>
      <c r="R320" s="3" t="s">
        <v>27</v>
      </c>
      <c r="S320" s="3" t="s">
        <v>9</v>
      </c>
    </row>
    <row r="321" spans="1:19">
      <c r="A321" s="3">
        <v>15</v>
      </c>
      <c r="C321" s="3" t="s">
        <v>4584</v>
      </c>
      <c r="D321" s="3" t="s">
        <v>4585</v>
      </c>
      <c r="F321" s="3" t="s">
        <v>3399</v>
      </c>
      <c r="J321" s="3" t="s">
        <v>4586</v>
      </c>
      <c r="R321" s="3" t="s">
        <v>3747</v>
      </c>
      <c r="S321" s="3" t="s">
        <v>7</v>
      </c>
    </row>
    <row r="322" spans="1:19">
      <c r="A322" s="3">
        <v>15</v>
      </c>
      <c r="C322" s="3" t="s">
        <v>4587</v>
      </c>
      <c r="D322" s="3" t="s">
        <v>4588</v>
      </c>
      <c r="F322" s="3" t="s">
        <v>3403</v>
      </c>
      <c r="J322" s="3" t="s">
        <v>4589</v>
      </c>
      <c r="K322" s="3" t="s">
        <v>4195</v>
      </c>
      <c r="R322" s="3" t="s">
        <v>3747</v>
      </c>
      <c r="S322" s="3" t="s">
        <v>4</v>
      </c>
    </row>
    <row r="323" spans="1:19">
      <c r="A323" s="3">
        <v>15</v>
      </c>
      <c r="C323" s="3" t="s">
        <v>4590</v>
      </c>
      <c r="D323" s="3" t="s">
        <v>4588</v>
      </c>
      <c r="F323" s="3" t="s">
        <v>3399</v>
      </c>
      <c r="J323" s="3" t="s">
        <v>4591</v>
      </c>
      <c r="R323" s="3" t="s">
        <v>3747</v>
      </c>
      <c r="S323" s="3" t="s">
        <v>4</v>
      </c>
    </row>
    <row r="324" spans="1:19">
      <c r="A324" s="3">
        <v>15</v>
      </c>
      <c r="C324" s="3" t="s">
        <v>4592</v>
      </c>
      <c r="D324" s="3" t="s">
        <v>1894</v>
      </c>
      <c r="F324" s="3" t="s">
        <v>3399</v>
      </c>
      <c r="J324" s="3" t="s">
        <v>4593</v>
      </c>
      <c r="R324" s="3" t="s">
        <v>34</v>
      </c>
      <c r="S324" s="3" t="s">
        <v>9</v>
      </c>
    </row>
    <row r="325" spans="1:19">
      <c r="A325" s="3">
        <v>15</v>
      </c>
      <c r="C325" s="3" t="s">
        <v>4594</v>
      </c>
      <c r="D325" s="3" t="s">
        <v>1894</v>
      </c>
      <c r="F325" s="3" t="s">
        <v>1526</v>
      </c>
      <c r="J325" s="3" t="s">
        <v>4595</v>
      </c>
      <c r="K325" s="3" t="s">
        <v>4596</v>
      </c>
      <c r="R325" s="3" t="s">
        <v>35</v>
      </c>
      <c r="S325" s="3" t="s">
        <v>9</v>
      </c>
    </row>
    <row r="326" spans="1:19">
      <c r="A326" s="3">
        <v>15</v>
      </c>
      <c r="C326" s="3" t="s">
        <v>4597</v>
      </c>
      <c r="D326" s="3" t="s">
        <v>4598</v>
      </c>
      <c r="F326" s="3" t="s">
        <v>3403</v>
      </c>
      <c r="J326" s="3" t="s">
        <v>4599</v>
      </c>
      <c r="R326" s="3" t="s">
        <v>3747</v>
      </c>
      <c r="S326" s="3" t="s">
        <v>7</v>
      </c>
    </row>
    <row r="327" spans="1:19">
      <c r="A327" s="3">
        <v>15</v>
      </c>
      <c r="C327" s="3" t="s">
        <v>4085</v>
      </c>
      <c r="D327" s="3" t="s">
        <v>4086</v>
      </c>
      <c r="F327" s="3" t="s">
        <v>3403</v>
      </c>
      <c r="J327" s="3" t="s">
        <v>4087</v>
      </c>
      <c r="R327" s="3" t="s">
        <v>6</v>
      </c>
      <c r="S327" s="3" t="s">
        <v>4</v>
      </c>
    </row>
    <row r="328" spans="1:19">
      <c r="A328" s="3">
        <v>15</v>
      </c>
      <c r="C328" s="3" t="s">
        <v>4600</v>
      </c>
      <c r="D328" s="3" t="s">
        <v>1894</v>
      </c>
      <c r="F328" s="3" t="s">
        <v>3399</v>
      </c>
      <c r="J328" s="3" t="s">
        <v>4601</v>
      </c>
      <c r="R328" s="3" t="s">
        <v>6</v>
      </c>
      <c r="S328" s="3" t="s">
        <v>7</v>
      </c>
    </row>
    <row r="329" spans="1:19">
      <c r="A329" s="3">
        <v>15</v>
      </c>
      <c r="C329" s="3" t="s">
        <v>4602</v>
      </c>
      <c r="D329" s="3" t="s">
        <v>1894</v>
      </c>
      <c r="F329" s="3" t="s">
        <v>3403</v>
      </c>
      <c r="J329" s="3" t="s">
        <v>4113</v>
      </c>
      <c r="K329" s="3" t="s">
        <v>4603</v>
      </c>
      <c r="L329" s="3" t="s">
        <v>4604</v>
      </c>
      <c r="M329" s="3" t="s">
        <v>4605</v>
      </c>
      <c r="R329" s="3" t="s">
        <v>6</v>
      </c>
      <c r="S329" s="3" t="s">
        <v>7</v>
      </c>
    </row>
    <row r="330" spans="1:19">
      <c r="A330" s="3">
        <v>15</v>
      </c>
      <c r="C330" s="3" t="s">
        <v>4606</v>
      </c>
      <c r="D330" s="3" t="s">
        <v>1894</v>
      </c>
      <c r="F330" s="3" t="s">
        <v>3403</v>
      </c>
      <c r="J330" s="3" t="s">
        <v>4607</v>
      </c>
      <c r="R330" s="3" t="s">
        <v>15</v>
      </c>
      <c r="S330" s="3" t="s">
        <v>4</v>
      </c>
    </row>
    <row r="331" spans="1:19">
      <c r="A331" s="3">
        <v>15</v>
      </c>
      <c r="C331" s="3" t="s">
        <v>4608</v>
      </c>
      <c r="D331" s="3" t="s">
        <v>1894</v>
      </c>
      <c r="F331" s="3" t="s">
        <v>3403</v>
      </c>
      <c r="J331" s="3" t="s">
        <v>4609</v>
      </c>
      <c r="R331" s="3" t="s">
        <v>6</v>
      </c>
      <c r="S331" s="3" t="s">
        <v>7</v>
      </c>
    </row>
    <row r="332" spans="1:19">
      <c r="A332" s="3">
        <v>15</v>
      </c>
      <c r="C332" s="3" t="s">
        <v>4610</v>
      </c>
      <c r="D332" s="3" t="s">
        <v>4086</v>
      </c>
      <c r="F332" s="3" t="s">
        <v>4123</v>
      </c>
      <c r="J332" s="3" t="s">
        <v>1168</v>
      </c>
      <c r="K332" s="3" t="s">
        <v>4611</v>
      </c>
      <c r="R332" s="3" t="s">
        <v>3747</v>
      </c>
      <c r="S332" s="3" t="s">
        <v>9</v>
      </c>
    </row>
    <row r="333" spans="1:19">
      <c r="A333" s="3">
        <v>15</v>
      </c>
      <c r="C333" s="3" t="s">
        <v>4612</v>
      </c>
      <c r="D333" s="3" t="s">
        <v>1894</v>
      </c>
      <c r="F333" s="3" t="s">
        <v>3399</v>
      </c>
      <c r="J333" s="3" t="s">
        <v>4613</v>
      </c>
      <c r="R333" s="3" t="s">
        <v>1776</v>
      </c>
      <c r="S333" s="3" t="s">
        <v>7</v>
      </c>
    </row>
    <row r="334" spans="1:19">
      <c r="A334" s="3">
        <v>15</v>
      </c>
      <c r="C334" s="3" t="s">
        <v>4614</v>
      </c>
      <c r="D334" s="3" t="s">
        <v>1894</v>
      </c>
      <c r="F334" s="3" t="s">
        <v>3403</v>
      </c>
      <c r="J334" s="3" t="s">
        <v>4615</v>
      </c>
      <c r="K334" s="3" t="s">
        <v>4615</v>
      </c>
      <c r="L334" s="3" t="s">
        <v>4615</v>
      </c>
      <c r="R334" s="3" t="s">
        <v>8</v>
      </c>
      <c r="S334" s="3" t="s">
        <v>4</v>
      </c>
    </row>
    <row r="335" spans="1:19">
      <c r="A335" s="3">
        <v>15</v>
      </c>
      <c r="C335" s="3" t="s">
        <v>4616</v>
      </c>
      <c r="D335" s="3" t="s">
        <v>1894</v>
      </c>
      <c r="F335" s="3" t="s">
        <v>3403</v>
      </c>
      <c r="J335" s="3" t="s">
        <v>4162</v>
      </c>
      <c r="K335" s="3" t="s">
        <v>4617</v>
      </c>
      <c r="L335" s="3" t="s">
        <v>4618</v>
      </c>
      <c r="M335" s="3" t="s">
        <v>4619</v>
      </c>
      <c r="N335" s="3" t="s">
        <v>4620</v>
      </c>
      <c r="R335" s="3" t="s">
        <v>32</v>
      </c>
      <c r="S335" s="3" t="s">
        <v>9</v>
      </c>
    </row>
    <row r="336" spans="1:19">
      <c r="A336" s="3">
        <v>15</v>
      </c>
      <c r="C336" s="3" t="s">
        <v>4621</v>
      </c>
      <c r="D336" s="3" t="s">
        <v>1898</v>
      </c>
      <c r="F336" s="3" t="s">
        <v>4066</v>
      </c>
      <c r="J336" s="3" t="s">
        <v>4622</v>
      </c>
      <c r="K336" s="3" t="s">
        <v>3118</v>
      </c>
      <c r="R336" s="3" t="s">
        <v>1776</v>
      </c>
      <c r="S336" s="3" t="s">
        <v>7</v>
      </c>
    </row>
    <row r="337" spans="1:19">
      <c r="A337" s="3">
        <v>15</v>
      </c>
      <c r="C337" s="3" t="s">
        <v>4623</v>
      </c>
      <c r="D337" s="3" t="s">
        <v>4624</v>
      </c>
      <c r="F337" s="3" t="s">
        <v>3403</v>
      </c>
      <c r="J337" s="3" t="s">
        <v>4625</v>
      </c>
      <c r="R337" s="3" t="s">
        <v>3747</v>
      </c>
      <c r="S337" s="3" t="s">
        <v>7</v>
      </c>
    </row>
    <row r="338" spans="1:19">
      <c r="A338" s="3">
        <v>15</v>
      </c>
      <c r="C338" s="3" t="s">
        <v>4626</v>
      </c>
      <c r="D338" s="3" t="s">
        <v>1898</v>
      </c>
      <c r="F338" s="3" t="s">
        <v>3403</v>
      </c>
      <c r="J338" s="3" t="s">
        <v>4627</v>
      </c>
      <c r="R338" s="3" t="s">
        <v>40</v>
      </c>
      <c r="S338" s="3" t="s">
        <v>7</v>
      </c>
    </row>
    <row r="339" spans="1:19">
      <c r="A339" s="3">
        <v>15</v>
      </c>
      <c r="C339" s="3" t="s">
        <v>4628</v>
      </c>
      <c r="D339" s="3" t="s">
        <v>1898</v>
      </c>
      <c r="F339" s="3" t="s">
        <v>3413</v>
      </c>
      <c r="J339" s="3" t="s">
        <v>4629</v>
      </c>
      <c r="K339" s="3" t="s">
        <v>4630</v>
      </c>
      <c r="L339" s="3" t="s">
        <v>4631</v>
      </c>
      <c r="R339" s="3" t="s">
        <v>1776</v>
      </c>
      <c r="S339" s="3" t="s">
        <v>4</v>
      </c>
    </row>
    <row r="340" spans="1:19">
      <c r="A340" s="3">
        <v>15</v>
      </c>
      <c r="C340" s="3" t="s">
        <v>4632</v>
      </c>
      <c r="D340" s="3" t="s">
        <v>1898</v>
      </c>
      <c r="F340" s="3" t="s">
        <v>4123</v>
      </c>
      <c r="J340" s="3" t="s">
        <v>3401</v>
      </c>
      <c r="K340" s="3" t="s">
        <v>3437</v>
      </c>
      <c r="L340" s="3" t="s">
        <v>4633</v>
      </c>
      <c r="R340" s="3" t="s">
        <v>1776</v>
      </c>
      <c r="S340" s="3" t="s">
        <v>4</v>
      </c>
    </row>
    <row r="341" spans="1:19">
      <c r="A341" s="3">
        <v>15</v>
      </c>
      <c r="C341" s="3" t="s">
        <v>4634</v>
      </c>
      <c r="D341" s="3" t="s">
        <v>4624</v>
      </c>
      <c r="F341" s="3" t="s">
        <v>4123</v>
      </c>
      <c r="J341" s="3" t="s">
        <v>3401</v>
      </c>
      <c r="K341" s="3" t="s">
        <v>4635</v>
      </c>
      <c r="L341" s="3" t="s">
        <v>4636</v>
      </c>
      <c r="R341" s="3" t="s">
        <v>3747</v>
      </c>
      <c r="S341" s="3" t="s">
        <v>4</v>
      </c>
    </row>
    <row r="342" spans="1:19">
      <c r="A342" s="3">
        <v>15</v>
      </c>
      <c r="C342" s="3" t="s">
        <v>4637</v>
      </c>
      <c r="D342" s="3" t="s">
        <v>1898</v>
      </c>
      <c r="F342" s="3" t="s">
        <v>4123</v>
      </c>
      <c r="J342" s="3" t="s">
        <v>3401</v>
      </c>
      <c r="K342" s="3" t="s">
        <v>4638</v>
      </c>
      <c r="R342" s="3" t="s">
        <v>16</v>
      </c>
      <c r="S342" s="3" t="s">
        <v>7</v>
      </c>
    </row>
    <row r="343" spans="1:19">
      <c r="A343" s="3">
        <v>15</v>
      </c>
      <c r="C343" s="3" t="s">
        <v>4639</v>
      </c>
      <c r="D343" s="3" t="s">
        <v>4640</v>
      </c>
      <c r="F343" s="3" t="s">
        <v>3403</v>
      </c>
      <c r="J343" s="3" t="s">
        <v>4641</v>
      </c>
      <c r="R343" s="3" t="s">
        <v>8</v>
      </c>
      <c r="S343" s="3" t="s">
        <v>7</v>
      </c>
    </row>
    <row r="344" spans="1:19">
      <c r="A344" s="3">
        <v>15</v>
      </c>
      <c r="C344" s="3" t="s">
        <v>4642</v>
      </c>
      <c r="D344" s="3" t="s">
        <v>1898</v>
      </c>
      <c r="F344" s="3" t="s">
        <v>3403</v>
      </c>
      <c r="J344" s="3" t="s">
        <v>4643</v>
      </c>
      <c r="K344" s="3" t="s">
        <v>4644</v>
      </c>
      <c r="R344" s="3" t="s">
        <v>6</v>
      </c>
      <c r="S344" s="3" t="s">
        <v>4</v>
      </c>
    </row>
    <row r="345" spans="1:19">
      <c r="A345" s="3">
        <v>15</v>
      </c>
      <c r="C345" s="3" t="s">
        <v>4089</v>
      </c>
      <c r="D345" s="3" t="s">
        <v>4090</v>
      </c>
      <c r="F345" s="3" t="s">
        <v>3434</v>
      </c>
      <c r="J345" s="3" t="s">
        <v>4091</v>
      </c>
      <c r="R345" s="3" t="s">
        <v>6</v>
      </c>
      <c r="S345" s="3" t="s">
        <v>9</v>
      </c>
    </row>
    <row r="346" spans="1:19">
      <c r="A346" s="3">
        <v>15</v>
      </c>
      <c r="C346" s="3" t="s">
        <v>4645</v>
      </c>
      <c r="D346" s="3" t="s">
        <v>4646</v>
      </c>
      <c r="F346" s="3" t="s">
        <v>3403</v>
      </c>
      <c r="J346" s="3" t="s">
        <v>4647</v>
      </c>
      <c r="R346" s="3" t="s">
        <v>16</v>
      </c>
      <c r="S346" s="3" t="s">
        <v>9</v>
      </c>
    </row>
    <row r="347" spans="1:19">
      <c r="A347" s="3">
        <v>15</v>
      </c>
      <c r="C347" s="3" t="s">
        <v>4648</v>
      </c>
      <c r="D347" s="3" t="s">
        <v>1899</v>
      </c>
      <c r="F347" s="3" t="s">
        <v>3434</v>
      </c>
      <c r="J347" s="3" t="s">
        <v>4649</v>
      </c>
      <c r="R347" s="3" t="s">
        <v>8</v>
      </c>
      <c r="S347" s="3" t="s">
        <v>9</v>
      </c>
    </row>
    <row r="348" spans="1:19">
      <c r="A348" s="3">
        <v>15</v>
      </c>
      <c r="C348" s="3" t="s">
        <v>4650</v>
      </c>
      <c r="D348" s="3" t="s">
        <v>1899</v>
      </c>
      <c r="F348" s="3" t="s">
        <v>3434</v>
      </c>
      <c r="J348" s="3" t="s">
        <v>4651</v>
      </c>
      <c r="K348" s="3" t="s">
        <v>4652</v>
      </c>
      <c r="R348" s="3" t="s">
        <v>35</v>
      </c>
      <c r="S348" s="3" t="s">
        <v>9</v>
      </c>
    </row>
    <row r="349" spans="1:19">
      <c r="A349" s="3">
        <v>15</v>
      </c>
      <c r="C349" s="3" t="s">
        <v>4653</v>
      </c>
      <c r="D349" s="3" t="s">
        <v>1899</v>
      </c>
      <c r="F349" s="3" t="s">
        <v>4654</v>
      </c>
      <c r="J349" s="3" t="s">
        <v>4655</v>
      </c>
      <c r="K349" s="3" t="s">
        <v>4656</v>
      </c>
      <c r="L349" s="3" t="s">
        <v>4657</v>
      </c>
      <c r="P349" s="3">
        <v>3</v>
      </c>
      <c r="R349" s="3" t="s">
        <v>36</v>
      </c>
      <c r="S349" s="3" t="s">
        <v>41</v>
      </c>
    </row>
    <row r="350" spans="1:19">
      <c r="A350" s="3">
        <v>15</v>
      </c>
      <c r="C350" s="3" t="s">
        <v>4658</v>
      </c>
      <c r="D350" s="3" t="s">
        <v>1899</v>
      </c>
      <c r="F350" s="3" t="s">
        <v>3399</v>
      </c>
      <c r="J350" s="3" t="s">
        <v>4148</v>
      </c>
      <c r="K350" s="3" t="s">
        <v>4659</v>
      </c>
      <c r="R350" s="3" t="s">
        <v>1776</v>
      </c>
      <c r="S350" s="3" t="s">
        <v>4</v>
      </c>
    </row>
    <row r="351" spans="1:19">
      <c r="A351" s="3">
        <v>15</v>
      </c>
      <c r="C351" s="3" t="s">
        <v>4660</v>
      </c>
      <c r="D351" s="3" t="s">
        <v>1900</v>
      </c>
      <c r="F351" s="3" t="s">
        <v>4661</v>
      </c>
      <c r="J351" s="3" t="s">
        <v>4662</v>
      </c>
      <c r="K351" s="3" t="s">
        <v>4663</v>
      </c>
      <c r="L351" s="3" t="s">
        <v>4664</v>
      </c>
      <c r="P351" s="3">
        <v>4</v>
      </c>
      <c r="R351" s="3" t="s">
        <v>27</v>
      </c>
      <c r="S351" s="3" t="s">
        <v>41</v>
      </c>
    </row>
    <row r="352" spans="1:19">
      <c r="A352" s="3">
        <v>15</v>
      </c>
      <c r="C352" s="3" t="s">
        <v>4665</v>
      </c>
      <c r="D352" s="3" t="s">
        <v>4666</v>
      </c>
      <c r="F352" s="3" t="s">
        <v>3434</v>
      </c>
      <c r="J352" s="3" t="s">
        <v>4667</v>
      </c>
      <c r="K352" s="3" t="s">
        <v>4668</v>
      </c>
      <c r="R352" s="3" t="s">
        <v>8</v>
      </c>
      <c r="S352" s="3" t="s">
        <v>9</v>
      </c>
    </row>
    <row r="353" spans="1:19">
      <c r="A353" s="3">
        <v>15</v>
      </c>
      <c r="C353" s="3" t="s">
        <v>4669</v>
      </c>
      <c r="D353" s="3" t="s">
        <v>4666</v>
      </c>
      <c r="F353" s="3" t="s">
        <v>3403</v>
      </c>
      <c r="J353" s="3" t="s">
        <v>4670</v>
      </c>
      <c r="R353" s="3" t="s">
        <v>3747</v>
      </c>
      <c r="S353" s="3" t="s">
        <v>9</v>
      </c>
    </row>
    <row r="354" spans="1:19">
      <c r="A354" s="3">
        <v>15</v>
      </c>
      <c r="C354" s="3" t="s">
        <v>4671</v>
      </c>
      <c r="D354" s="3" t="s">
        <v>1900</v>
      </c>
      <c r="F354" s="3" t="s">
        <v>3399</v>
      </c>
      <c r="J354" s="3" t="s">
        <v>4113</v>
      </c>
      <c r="K354" s="3" t="s">
        <v>4672</v>
      </c>
      <c r="L354" s="3" t="s">
        <v>4673</v>
      </c>
      <c r="R354" s="3" t="s">
        <v>26</v>
      </c>
      <c r="S354" s="3" t="s">
        <v>7</v>
      </c>
    </row>
    <row r="355" spans="1:19">
      <c r="A355" s="3">
        <v>15</v>
      </c>
      <c r="C355" s="3" t="s">
        <v>4674</v>
      </c>
      <c r="D355" s="3" t="s">
        <v>4675</v>
      </c>
      <c r="F355" s="3" t="s">
        <v>3434</v>
      </c>
      <c r="J355" s="3" t="s">
        <v>4676</v>
      </c>
      <c r="R355" s="3" t="s">
        <v>6</v>
      </c>
      <c r="S355" s="3" t="s">
        <v>9</v>
      </c>
    </row>
    <row r="356" spans="1:19">
      <c r="A356" s="3">
        <v>15</v>
      </c>
      <c r="C356" s="3" t="s">
        <v>4677</v>
      </c>
      <c r="D356" s="3" t="s">
        <v>4097</v>
      </c>
      <c r="F356" s="3" t="s">
        <v>4123</v>
      </c>
      <c r="J356" s="3" t="s">
        <v>3401</v>
      </c>
      <c r="K356" s="3" t="s">
        <v>4136</v>
      </c>
      <c r="L356" s="3" t="s">
        <v>4678</v>
      </c>
      <c r="R356" s="3" t="s">
        <v>8</v>
      </c>
      <c r="S356" s="3" t="s">
        <v>7</v>
      </c>
    </row>
    <row r="357" spans="1:19">
      <c r="A357" s="3">
        <v>15</v>
      </c>
      <c r="C357" s="3" t="s">
        <v>4679</v>
      </c>
      <c r="D357" s="3" t="s">
        <v>4097</v>
      </c>
      <c r="F357" s="3" t="s">
        <v>4661</v>
      </c>
      <c r="J357" s="3" t="s">
        <v>4680</v>
      </c>
      <c r="K357" s="3" t="s">
        <v>4681</v>
      </c>
      <c r="L357" s="3" t="s">
        <v>4682</v>
      </c>
      <c r="P357" s="3">
        <v>4</v>
      </c>
      <c r="R357" s="3" t="s">
        <v>35</v>
      </c>
      <c r="S357" s="3" t="s">
        <v>41</v>
      </c>
    </row>
    <row r="358" spans="1:19">
      <c r="A358" s="3">
        <v>15</v>
      </c>
      <c r="C358" s="3" t="s">
        <v>4683</v>
      </c>
      <c r="D358" s="3" t="s">
        <v>4097</v>
      </c>
      <c r="F358" s="3" t="s">
        <v>4661</v>
      </c>
      <c r="J358" s="3" t="s">
        <v>4684</v>
      </c>
      <c r="K358" s="3" t="s">
        <v>4685</v>
      </c>
      <c r="L358" s="3" t="s">
        <v>4686</v>
      </c>
      <c r="P358" s="3">
        <v>4</v>
      </c>
      <c r="R358" s="3" t="s">
        <v>35</v>
      </c>
      <c r="S358" s="3" t="s">
        <v>41</v>
      </c>
    </row>
    <row r="359" spans="1:19">
      <c r="A359" s="3">
        <v>15</v>
      </c>
      <c r="C359" s="3" t="s">
        <v>4096</v>
      </c>
      <c r="D359" s="3" t="s">
        <v>4097</v>
      </c>
      <c r="F359" s="3" t="s">
        <v>3399</v>
      </c>
      <c r="J359" s="3" t="s">
        <v>4098</v>
      </c>
      <c r="R359" s="3" t="s">
        <v>6</v>
      </c>
      <c r="S359" s="3" t="s">
        <v>4</v>
      </c>
    </row>
  </sheetData>
  <autoFilter ref="A1:S155"/>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32</vt:i4>
      </vt:variant>
    </vt:vector>
  </HeadingPairs>
  <TitlesOfParts>
    <vt:vector size="32" baseType="lpstr">
      <vt:lpstr>W</vt:lpstr>
      <vt:lpstr>U</vt:lpstr>
      <vt:lpstr>B</vt:lpstr>
      <vt:lpstr>R</vt:lpstr>
      <vt:lpstr>G</vt:lpstr>
      <vt:lpstr>M</vt:lpstr>
      <vt:lpstr>F</vt:lpstr>
      <vt:lpstr>Sheet1</vt:lpstr>
      <vt:lpstr>WS</vt:lpstr>
      <vt:lpstr>US</vt:lpstr>
      <vt:lpstr>BS</vt:lpstr>
      <vt:lpstr>RS</vt:lpstr>
      <vt:lpstr>GS</vt:lpstr>
      <vt:lpstr>ULAND</vt:lpstr>
      <vt:lpstr>Sheet2</vt:lpstr>
      <vt:lpstr>配列</vt:lpstr>
      <vt:lpstr>コモン</vt:lpstr>
      <vt:lpstr>UC</vt:lpstr>
      <vt:lpstr>RMR</vt:lpstr>
      <vt:lpstr>新CS</vt:lpstr>
      <vt:lpstr>Sheet5</vt:lpstr>
      <vt:lpstr>Naturalize</vt:lpstr>
      <vt:lpstr>Conspiracy</vt:lpstr>
      <vt:lpstr>Morph</vt:lpstr>
      <vt:lpstr>Human</vt:lpstr>
      <vt:lpstr>Populate</vt:lpstr>
      <vt:lpstr>Rogue</vt:lpstr>
      <vt:lpstr>Vehicle</vt:lpstr>
      <vt:lpstr>LivingWeapon</vt:lpstr>
      <vt:lpstr>CNS</vt:lpstr>
      <vt:lpstr>Ally</vt:lpstr>
      <vt:lpstr>多色</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komamura</dc:creator>
  <cp:lastModifiedBy>557117</cp:lastModifiedBy>
  <dcterms:created xsi:type="dcterms:W3CDTF">2018-01-24T02:41:32Z</dcterms:created>
  <dcterms:modified xsi:type="dcterms:W3CDTF">2018-07-31T00:55:13Z</dcterms:modified>
</cp:coreProperties>
</file>