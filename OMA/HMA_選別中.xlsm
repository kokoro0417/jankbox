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komamura\Documents\MTGPQ\OMA\OMA\"/>
    </mc:Choice>
  </mc:AlternateContent>
  <bookViews>
    <workbookView xWindow="0" yWindow="0" windowWidth="5175" windowHeight="360" firstSheet="12" activeTab="17"/>
  </bookViews>
  <sheets>
    <sheet name="白CC" sheetId="11" r:id="rId1"/>
    <sheet name="白UC" sheetId="16" r:id="rId2"/>
    <sheet name="白RC" sheetId="19" r:id="rId3"/>
    <sheet name="青CC" sheetId="12" r:id="rId4"/>
    <sheet name="青UC" sheetId="20" r:id="rId5"/>
    <sheet name="青RC" sheetId="21" r:id="rId6"/>
    <sheet name="黒CC" sheetId="14" r:id="rId7"/>
    <sheet name="黒UC" sheetId="23" r:id="rId8"/>
    <sheet name="黒RC" sheetId="24" r:id="rId9"/>
    <sheet name="赤CC" sheetId="13" r:id="rId10"/>
    <sheet name="赤UC" sheetId="25" r:id="rId11"/>
    <sheet name="赤RC" sheetId="26" r:id="rId12"/>
    <sheet name="緑CC" sheetId="15" r:id="rId13"/>
    <sheet name="緑UC" sheetId="27" r:id="rId14"/>
    <sheet name="緑RC" sheetId="28" r:id="rId15"/>
    <sheet name="多色CC" sheetId="22" r:id="rId16"/>
    <sheet name="多色UC" sheetId="30" r:id="rId17"/>
    <sheet name="多色RC" sheetId="31" r:id="rId18"/>
    <sheet name="多色MC" sheetId="32" r:id="rId19"/>
    <sheet name="ならず者" sheetId="33" r:id="rId20"/>
    <sheet name="Sheet5" sheetId="29" r:id="rId21"/>
    <sheet name="H式CS+ORM" sheetId="38" r:id="rId22"/>
    <sheet name="コモン" sheetId="34" r:id="rId23"/>
    <sheet name="UC" sheetId="35" r:id="rId24"/>
    <sheet name="RMR" sheetId="36" r:id="rId25"/>
    <sheet name="Sheet6" sheetId="37" r:id="rId26"/>
    <sheet name="CNS (2)" sheetId="39" r:id="rId27"/>
  </sheets>
  <externalReferences>
    <externalReference r:id="rId28"/>
    <externalReference r:id="rId29"/>
  </externalReferences>
  <definedNames>
    <definedName name="_xlnm._FilterDatabase" localSheetId="6" hidden="1">黒CC!$A$1:$Q$64</definedName>
    <definedName name="_xlnm._FilterDatabase" localSheetId="8" hidden="1">黒RC!$A$1:$W$87</definedName>
    <definedName name="_xlnm._FilterDatabase" localSheetId="7" hidden="1">黒UC!$A$1:$W$87</definedName>
    <definedName name="_xlnm._FilterDatabase" localSheetId="3" hidden="1">青CC!$B$1:$Q$73</definedName>
    <definedName name="_xlnm._FilterDatabase" localSheetId="5" hidden="1">青RC!$A$1:$W$87</definedName>
    <definedName name="_xlnm._FilterDatabase" localSheetId="4" hidden="1">青UC!$A$1:$W$87</definedName>
    <definedName name="_xlnm._FilterDatabase" localSheetId="9" hidden="1">赤CC!$A$1:$X$87</definedName>
    <definedName name="_xlnm._FilterDatabase" localSheetId="11" hidden="1">赤RC!$A$1:$X$87</definedName>
    <definedName name="_xlnm._FilterDatabase" localSheetId="10" hidden="1">赤UC!$A$1:$X$87</definedName>
    <definedName name="_xlnm._FilterDatabase" localSheetId="15" hidden="1">多色CC!$A$1:$Q$40</definedName>
    <definedName name="_xlnm._FilterDatabase" localSheetId="0" hidden="1">白CC!$B$2:$R$162</definedName>
    <definedName name="_xlnm._FilterDatabase" localSheetId="2" hidden="1">白RC!$A$1:$X$138</definedName>
    <definedName name="_xlnm._FilterDatabase" localSheetId="1" hidden="1">白UC!$A$1:$R$138</definedName>
    <definedName name="_xlnm._FilterDatabase" localSheetId="12" hidden="1">緑CC!$A$1:$Y$63</definedName>
    <definedName name="_xlnm._FilterDatabase" localSheetId="14" hidden="1">緑RC!$A$1:$Y$87</definedName>
    <definedName name="_xlnm._FilterDatabase" localSheetId="13" hidden="1">緑UC!$A$1:$Y$87</definedName>
    <definedName name="CoBCMC" localSheetId="26">[1]コモン!$G$36:$G$52</definedName>
    <definedName name="CoBCMC">[2]コモン!$G$36:$G$52</definedName>
    <definedName name="CoBT" localSheetId="26">[1]コモン!$I$36:$I$52</definedName>
    <definedName name="CoBT">[2]コモン!$I$36:$I$52</definedName>
    <definedName name="CoCMC" localSheetId="26">[1]コモン!$G$2:$G$116</definedName>
    <definedName name="CoCMC">[2]コモン!$G$2:$G$116</definedName>
    <definedName name="CoFCMC" localSheetId="26">[1]コモン!$G$107:$G$113</definedName>
    <definedName name="CoFCMC">[2]コモン!$G$107:$G$113</definedName>
    <definedName name="CoFT" localSheetId="26">[1]コモン!$I$107:$I$113</definedName>
    <definedName name="CoFT">[2]コモン!$I$107:$I$113</definedName>
    <definedName name="CoGCMC" localSheetId="26">[1]コモン!$G$70:$G$86</definedName>
    <definedName name="CoGCMC">[2]コモン!$G$70:$G$86</definedName>
    <definedName name="CoGT" localSheetId="26">[1]コモン!$I$70:$I$86</definedName>
    <definedName name="CoGT">[2]コモン!$I$70:$I$86</definedName>
    <definedName name="CoMCMC" localSheetId="26">[1]コモン!$G$87:$G$106</definedName>
    <definedName name="CoMCMC">[2]コモン!$G$87:$G$106</definedName>
    <definedName name="CoMT" localSheetId="26">[1]コモン!$I$87:$I$106</definedName>
    <definedName name="CoMT">[2]コモン!$I$87:$I$106</definedName>
    <definedName name="CoRCMC" localSheetId="26">[1]コモン!$G$53:$G$69</definedName>
    <definedName name="CoRCMC">[2]コモン!$G$53:$G$69</definedName>
    <definedName name="CoRT" localSheetId="26">[1]コモン!$I$53:$I$69</definedName>
    <definedName name="CoRT">[2]コモン!$I$53:$I$69</definedName>
    <definedName name="CoUCMC" localSheetId="26">[1]コモン!$G$19:$G$35</definedName>
    <definedName name="CoUCMC">[2]コモン!$G$19:$G$35</definedName>
    <definedName name="CoUT" localSheetId="26">[1]コモン!$I$19:$I$35</definedName>
    <definedName name="CoUT">[2]コモン!$I$19:$I$35</definedName>
    <definedName name="CoWCMC" localSheetId="26">[1]コモン!$G$2:$G$18</definedName>
    <definedName name="CoWCMC">[2]コモン!$G$2:$G$18</definedName>
    <definedName name="CoWT" localSheetId="26">[1]コモン!$I$2:$I$18</definedName>
    <definedName name="CoWT">[2]コモン!$I$2:$I$18</definedName>
    <definedName name="ReBCMC" localSheetId="26">[1]コモン!$G$211:$G$218</definedName>
    <definedName name="ReBCMC">[2]コモン!$G$233:$G$241</definedName>
    <definedName name="ReBT" localSheetId="26">[1]コモン!$I$211:$I$218</definedName>
    <definedName name="ReBT">[2]コモン!$I$233:$I$241</definedName>
    <definedName name="ReCMC" localSheetId="26">[1]コモン!$G$195:$G$254</definedName>
    <definedName name="ReCMC">[2]コモン!$G$215:$G$284</definedName>
    <definedName name="ReFCMC" localSheetId="26">[1]コモン!$G$246:$G$249</definedName>
    <definedName name="ReFCMC">[2]コモン!$G$276:$G$279</definedName>
    <definedName name="ReFT" localSheetId="26">[1]コモン!$I$246:$I$249</definedName>
    <definedName name="ReFT">[2]コモン!$I$276:$I$279</definedName>
    <definedName name="ReGCMC" localSheetId="26">[1]コモン!$G$227:$G$234</definedName>
    <definedName name="ReGCMC">[2]コモン!$G$251:$G$259</definedName>
    <definedName name="ReGT" localSheetId="26">[1]コモン!$I$227:$I$234</definedName>
    <definedName name="ReGT">[2]コモン!$I$251:$I$259</definedName>
    <definedName name="ReMCMC" localSheetId="26">[1]コモン!$G$235:$G$245</definedName>
    <definedName name="ReMCMC">[2]コモン!$G$260:$G$275</definedName>
    <definedName name="ReMT" localSheetId="26">[1]コモン!$I$235:$I$245</definedName>
    <definedName name="ReMT">[2]コモン!$I$260:$I$275</definedName>
    <definedName name="ReRCMC" localSheetId="26">[1]コモン!$G$219:$G$226</definedName>
    <definedName name="ReRCMC">[2]コモン!$G$242:$G$250</definedName>
    <definedName name="ReRT" localSheetId="26">[1]コモン!$I$219:$I$226</definedName>
    <definedName name="ReRT">[2]コモン!$I$242:$I$250</definedName>
    <definedName name="ReT" localSheetId="26">[1]コモン!$I$195:$I$254</definedName>
    <definedName name="ReT">[2]コモン!$I$215:$I$284</definedName>
    <definedName name="ReUCMC" localSheetId="26">[1]コモン!$G$203:$G$210</definedName>
    <definedName name="ReUCMC">[2]コモン!$G$224:$G$232</definedName>
    <definedName name="ReUT" localSheetId="26">[1]コモン!$I$203:$I$210</definedName>
    <definedName name="ReUT">[2]コモン!$I$224:$I$232</definedName>
    <definedName name="ReWCMC" localSheetId="26">[1]コモン!$G$195:$G$202</definedName>
    <definedName name="ReWCMC">[2]コモン!$G$215:$G$223</definedName>
    <definedName name="ReWT" localSheetId="26">[1]コモン!$I$195:$I$202</definedName>
    <definedName name="ReWT">[2]コモン!$I$215:$I$223</definedName>
    <definedName name="UCBCMC" localSheetId="26">[1]コモン!$G$141:$G$150</definedName>
    <definedName name="UCBCMC">[2]コモン!$G$143:$G$153</definedName>
    <definedName name="UCBT" localSheetId="26">[1]コモン!$I$141:$I$150</definedName>
    <definedName name="UCBT">[2]コモン!$I$143:$I$153</definedName>
    <definedName name="UCCMC" localSheetId="26">[1]コモン!$G$121:$G$190</definedName>
    <definedName name="UCCMC">[2]コモン!$G$121:$G$210</definedName>
    <definedName name="UCFCMC" localSheetId="26">[1]コモン!$G$181:$G$185</definedName>
    <definedName name="UCFCMC">[2]コモン!$G$201:$G$205</definedName>
    <definedName name="UCFT" localSheetId="26">[1]コモン!$I$181:$I$185</definedName>
    <definedName name="UCFT">[2]コモン!$I$201:$I$205</definedName>
    <definedName name="UCGCMC" localSheetId="26">[1]コモン!$G$161:$G$170</definedName>
    <definedName name="UCGCMC">[2]コモン!$G$165:$G$175</definedName>
    <definedName name="UCGT" localSheetId="26">[1]コモン!$I$161:$I$170</definedName>
    <definedName name="UCGT">[2]コモン!$I$165:$I$175</definedName>
    <definedName name="UCMCMC" localSheetId="26">[1]コモン!$G$171:$G$180</definedName>
    <definedName name="UCMCMC">[2]コモン!$G$176:$G$200</definedName>
    <definedName name="UCMT" localSheetId="26">[1]コモン!$I$171:$I$180</definedName>
    <definedName name="UCMT">[2]コモン!$I$176:$I$200</definedName>
    <definedName name="UCRCMC" localSheetId="26">[1]コモン!$G$151:$G$160</definedName>
    <definedName name="UCRCMC">[2]コモン!$G$154:$G$164</definedName>
    <definedName name="UCRT" localSheetId="26">[1]コモン!$I$151:$I$160</definedName>
    <definedName name="UCRT">[2]コモン!$I$154:$I$164</definedName>
    <definedName name="UCT" localSheetId="26">[1]コモン!$I$121:$I$190</definedName>
    <definedName name="UCT">[2]コモン!$I$121:$I$210</definedName>
    <definedName name="UCUCMC" localSheetId="26">[1]コモン!$G$131:$G$140</definedName>
    <definedName name="UCUCMC">[2]コモン!$G$132:$G$142</definedName>
    <definedName name="UCUT" localSheetId="26">[1]コモン!$I$131:$I$140</definedName>
    <definedName name="UCUT">[2]コモン!$I$132:$I$142</definedName>
    <definedName name="UCWCMC" localSheetId="26">[1]コモン!$G$121:$G$130</definedName>
    <definedName name="UCWCMC">[2]コモン!$G$121:$G$131</definedName>
    <definedName name="UCWT" localSheetId="26">[1]コモン!$I$121:$I$130</definedName>
    <definedName name="UCWT">[2]コモン!$I$121:$I$131</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57" i="34" l="1"/>
  <c r="T40" i="34"/>
  <c r="U40" i="34"/>
  <c r="V40" i="34"/>
  <c r="W40" i="34"/>
  <c r="X40" i="34"/>
  <c r="Y40" i="34"/>
  <c r="S40" i="34"/>
  <c r="T22" i="34"/>
  <c r="U22" i="34"/>
  <c r="V22" i="34"/>
  <c r="W22" i="34"/>
  <c r="X22" i="34"/>
  <c r="Y22" i="34"/>
  <c r="S22" i="34"/>
  <c r="T4" i="34"/>
  <c r="U4" i="34"/>
  <c r="V4" i="34"/>
  <c r="W4" i="34"/>
  <c r="X4" i="34"/>
  <c r="Y4" i="34"/>
  <c r="S4" i="34"/>
  <c r="T2" i="34"/>
  <c r="U2" i="34"/>
  <c r="V2" i="34"/>
  <c r="W2" i="34"/>
  <c r="X2" i="34"/>
  <c r="Y2" i="34"/>
  <c r="S2" i="34"/>
  <c r="Y57" i="34"/>
  <c r="X57" i="34"/>
  <c r="W57" i="34"/>
  <c r="V57" i="34"/>
  <c r="U57" i="34"/>
  <c r="T57" i="34"/>
  <c r="T76" i="34"/>
  <c r="U76" i="34"/>
  <c r="V76" i="34"/>
  <c r="W76" i="34"/>
  <c r="X76" i="34"/>
  <c r="Y76" i="34"/>
  <c r="S76" i="34"/>
  <c r="C41" i="38" l="1"/>
  <c r="D41" i="38"/>
  <c r="D42" i="38" s="1"/>
  <c r="E41" i="38"/>
  <c r="F41" i="38"/>
  <c r="F42" i="38" s="1"/>
  <c r="G41" i="38"/>
  <c r="H41" i="38"/>
  <c r="H42" i="38" s="1"/>
  <c r="I41" i="38"/>
  <c r="I42" i="38" s="1"/>
  <c r="J41" i="38"/>
  <c r="J42" i="38" s="1"/>
  <c r="K41" i="38"/>
  <c r="B41" i="38"/>
  <c r="D30" i="38"/>
  <c r="E30" i="38"/>
  <c r="F30" i="38"/>
  <c r="G30" i="38"/>
  <c r="H30" i="38"/>
  <c r="I30" i="38"/>
  <c r="J30" i="38"/>
  <c r="K30" i="38"/>
  <c r="L30" i="38"/>
  <c r="M30" i="38"/>
  <c r="N30" i="38"/>
  <c r="O30" i="38"/>
  <c r="P30" i="38"/>
  <c r="Q30" i="38"/>
  <c r="R30" i="38"/>
  <c r="S30" i="38"/>
  <c r="T30" i="38"/>
  <c r="U30" i="38"/>
  <c r="V30" i="38"/>
  <c r="W30" i="38"/>
  <c r="X30" i="38"/>
  <c r="Y30" i="38"/>
  <c r="Z30" i="38"/>
  <c r="AA30" i="38"/>
  <c r="AB30" i="38"/>
  <c r="AC30" i="38"/>
  <c r="AD30" i="38"/>
  <c r="C30" i="38"/>
  <c r="N83" i="38"/>
  <c r="K81" i="38"/>
  <c r="J81" i="38"/>
  <c r="G81" i="38"/>
  <c r="F81" i="38"/>
  <c r="E81" i="38"/>
  <c r="D81" i="38"/>
  <c r="I81" i="38" s="1"/>
  <c r="C81" i="38"/>
  <c r="B81" i="38"/>
  <c r="N58" i="38"/>
  <c r="I58" i="38"/>
  <c r="K57" i="38"/>
  <c r="K58" i="38" s="1"/>
  <c r="J57" i="38"/>
  <c r="J58" i="38" s="1"/>
  <c r="I57" i="38"/>
  <c r="H57" i="38"/>
  <c r="H58" i="38" s="1"/>
  <c r="G57" i="38"/>
  <c r="G58" i="38" s="1"/>
  <c r="F57" i="38"/>
  <c r="F58" i="38" s="1"/>
  <c r="E57" i="38"/>
  <c r="E58" i="38" s="1"/>
  <c r="D57" i="38"/>
  <c r="D58" i="38" s="1"/>
  <c r="C57" i="38"/>
  <c r="C58" i="38" s="1"/>
  <c r="B57" i="38"/>
  <c r="B58" i="38" s="1"/>
  <c r="U42" i="38"/>
  <c r="M42" i="38"/>
  <c r="Y41" i="38"/>
  <c r="X41" i="38"/>
  <c r="X42" i="38" s="1"/>
  <c r="W41" i="38"/>
  <c r="W42" i="38" s="1"/>
  <c r="V41" i="38"/>
  <c r="V42" i="38" s="1"/>
  <c r="U41" i="38"/>
  <c r="T41" i="38"/>
  <c r="T42" i="38" s="1"/>
  <c r="S41" i="38"/>
  <c r="S42" i="38" s="1"/>
  <c r="R41" i="38"/>
  <c r="R42" i="38" s="1"/>
  <c r="Q41" i="38"/>
  <c r="Q42" i="38" s="1"/>
  <c r="P41" i="38"/>
  <c r="P42" i="38" s="1"/>
  <c r="O41" i="38"/>
  <c r="O42" i="38" s="1"/>
  <c r="N41" i="38"/>
  <c r="N42" i="38" s="1"/>
  <c r="M41" i="38"/>
  <c r="L41" i="38"/>
  <c r="L42" i="38" s="1"/>
  <c r="K42" i="38"/>
  <c r="G42" i="38"/>
  <c r="E42" i="38"/>
  <c r="C42" i="38"/>
  <c r="B38" i="38"/>
  <c r="AD33" i="38"/>
  <c r="AC33" i="38"/>
  <c r="AB33" i="38"/>
  <c r="AA33" i="38"/>
  <c r="Z33" i="38"/>
  <c r="Y33" i="38"/>
  <c r="X33" i="38"/>
  <c r="W33" i="38"/>
  <c r="V33" i="38"/>
  <c r="U33" i="38"/>
  <c r="T33" i="38"/>
  <c r="S33" i="38"/>
  <c r="R33" i="38"/>
  <c r="Q33" i="38"/>
  <c r="P33" i="38"/>
  <c r="O33" i="38"/>
  <c r="N33" i="38"/>
  <c r="M33" i="38"/>
  <c r="L33" i="38"/>
  <c r="K33" i="38"/>
  <c r="J33" i="38"/>
  <c r="I33" i="38"/>
  <c r="H33" i="38"/>
  <c r="G33" i="38"/>
  <c r="F33" i="38"/>
  <c r="E33" i="38"/>
  <c r="D33" i="38"/>
  <c r="C33" i="38"/>
  <c r="AE33" i="38" s="1"/>
  <c r="AF33" i="38" s="1"/>
  <c r="AD32" i="38"/>
  <c r="AC32" i="38"/>
  <c r="AB32" i="38"/>
  <c r="AA32" i="38"/>
  <c r="Z32" i="38"/>
  <c r="Y32" i="38"/>
  <c r="X32" i="38"/>
  <c r="W32" i="38"/>
  <c r="V32" i="38"/>
  <c r="U32" i="38"/>
  <c r="T32" i="38"/>
  <c r="S32" i="38"/>
  <c r="R32" i="38"/>
  <c r="Q32" i="38"/>
  <c r="P32" i="38"/>
  <c r="O32" i="38"/>
  <c r="N32" i="38"/>
  <c r="M32" i="38"/>
  <c r="L32" i="38"/>
  <c r="K32" i="38"/>
  <c r="J32" i="38"/>
  <c r="I32" i="38"/>
  <c r="H32" i="38"/>
  <c r="G32" i="38"/>
  <c r="F32" i="38"/>
  <c r="E32" i="38"/>
  <c r="D32" i="38"/>
  <c r="C32" i="38"/>
  <c r="AE32" i="38" s="1"/>
  <c r="AF32" i="38" s="1"/>
  <c r="AD31" i="38"/>
  <c r="AC31" i="38"/>
  <c r="AB31" i="38"/>
  <c r="AA31" i="38"/>
  <c r="Z31" i="38"/>
  <c r="Y31" i="38"/>
  <c r="X31" i="38"/>
  <c r="W31" i="38"/>
  <c r="V31" i="38"/>
  <c r="U31" i="38"/>
  <c r="T31" i="38"/>
  <c r="S31" i="38"/>
  <c r="R31" i="38"/>
  <c r="Q31" i="38"/>
  <c r="P31" i="38"/>
  <c r="O31" i="38"/>
  <c r="N31" i="38"/>
  <c r="M31" i="38"/>
  <c r="L31" i="38"/>
  <c r="K31" i="38"/>
  <c r="J31" i="38"/>
  <c r="I31" i="38"/>
  <c r="H31" i="38"/>
  <c r="G31" i="38"/>
  <c r="F31" i="38"/>
  <c r="F34" i="38" s="1"/>
  <c r="E31" i="38"/>
  <c r="D31" i="38"/>
  <c r="C31" i="38"/>
  <c r="P24" i="38"/>
  <c r="O24" i="38"/>
  <c r="P23" i="38"/>
  <c r="O23" i="38"/>
  <c r="N23" i="38"/>
  <c r="N24" i="38" s="1"/>
  <c r="M23" i="38"/>
  <c r="Q23" i="38" s="1"/>
  <c r="M22" i="38"/>
  <c r="I22" i="38"/>
  <c r="G22" i="38"/>
  <c r="M15" i="38"/>
  <c r="M19" i="38" s="1"/>
  <c r="G15" i="38"/>
  <c r="G19" i="38" s="1"/>
  <c r="G20" i="38" s="1"/>
  <c r="N14" i="38"/>
  <c r="M14" i="38"/>
  <c r="L14" i="38"/>
  <c r="K14" i="38"/>
  <c r="K15" i="38" s="1"/>
  <c r="K19" i="38" s="1"/>
  <c r="J14" i="38"/>
  <c r="I14" i="38"/>
  <c r="I15" i="38" s="1"/>
  <c r="I19" i="38" s="1"/>
  <c r="I20" i="38" s="1"/>
  <c r="I21" i="38" s="1"/>
  <c r="H14" i="38"/>
  <c r="I24" i="38" s="1"/>
  <c r="G14" i="38"/>
  <c r="H23" i="38" s="1"/>
  <c r="H24" i="38" s="1"/>
  <c r="D14" i="38"/>
  <c r="C14" i="38"/>
  <c r="B14" i="38"/>
  <c r="E14" i="38" s="1"/>
  <c r="E23" i="38" s="1"/>
  <c r="X12" i="38"/>
  <c r="W12" i="38"/>
  <c r="V12" i="38"/>
  <c r="U12" i="38"/>
  <c r="T12" i="38"/>
  <c r="S12" i="38"/>
  <c r="R12" i="38"/>
  <c r="S15" i="38" s="1"/>
  <c r="Q12" i="38"/>
  <c r="R14" i="38" s="1"/>
  <c r="R15" i="38" s="1"/>
  <c r="AD34" i="38" l="1"/>
  <c r="Z34" i="38"/>
  <c r="V34" i="38"/>
  <c r="R34" i="38"/>
  <c r="N34" i="38"/>
  <c r="J34" i="38"/>
  <c r="AC34" i="38"/>
  <c r="Y34" i="38"/>
  <c r="U34" i="38"/>
  <c r="Q34" i="38"/>
  <c r="M34" i="38"/>
  <c r="I34" i="38"/>
  <c r="E34" i="38"/>
  <c r="AB34" i="38"/>
  <c r="X34" i="38"/>
  <c r="T34" i="38"/>
  <c r="P34" i="38"/>
  <c r="L34" i="38"/>
  <c r="H34" i="38"/>
  <c r="D34" i="38"/>
  <c r="AE31" i="38"/>
  <c r="AF31" i="38" s="1"/>
  <c r="AA34" i="38"/>
  <c r="W34" i="38"/>
  <c r="S34" i="38"/>
  <c r="O34" i="38"/>
  <c r="K34" i="38"/>
  <c r="G34" i="38"/>
  <c r="Y38" i="38"/>
  <c r="Z41" i="38"/>
  <c r="AE30" i="38"/>
  <c r="AF30" i="38" s="1"/>
  <c r="C34" i="38"/>
  <c r="L58" i="38"/>
  <c r="N59" i="38" s="1"/>
  <c r="K20" i="38"/>
  <c r="K21" i="38" s="1"/>
  <c r="G21" i="38"/>
  <c r="B42" i="38"/>
  <c r="L57" i="38"/>
  <c r="M24" i="38"/>
  <c r="Q24" i="38" s="1"/>
  <c r="AF34" i="38" l="1"/>
  <c r="AE34" i="38"/>
  <c r="M20" i="38"/>
  <c r="M21" i="38" s="1"/>
  <c r="K38" i="38"/>
  <c r="Z42" i="38"/>
  <c r="AA43" i="38" s="1"/>
  <c r="R1" i="19" l="1"/>
  <c r="Q1" i="19"/>
  <c r="R1" i="16"/>
  <c r="Q1" i="16"/>
  <c r="R1" i="11"/>
  <c r="Q1" i="11"/>
  <c r="B1" i="37" l="1"/>
  <c r="C2" i="37"/>
  <c r="C3" i="37" s="1"/>
  <c r="C4" i="37" s="1"/>
  <c r="C5" i="37" s="1"/>
  <c r="C6" i="37" s="1"/>
  <c r="C7" i="37" s="1"/>
  <c r="C8" i="37" s="1"/>
  <c r="C9" i="37" s="1"/>
  <c r="C10" i="37" s="1"/>
  <c r="C11" i="37" s="1"/>
  <c r="C12" i="37" s="1"/>
  <c r="C13" i="37" s="1"/>
  <c r="C14" i="37" s="1"/>
  <c r="C15" i="37" s="1"/>
  <c r="C16" i="37" s="1"/>
  <c r="C17" i="37" s="1"/>
  <c r="B2" i="37" l="1"/>
  <c r="D2" i="37"/>
  <c r="S16" i="15"/>
  <c r="S15" i="15"/>
  <c r="S14" i="15"/>
  <c r="S13" i="15"/>
  <c r="S12" i="15"/>
  <c r="S11" i="15"/>
  <c r="S10" i="15"/>
  <c r="S9" i="15"/>
  <c r="S8" i="15"/>
  <c r="S7" i="15"/>
  <c r="S6" i="15"/>
  <c r="S5" i="15"/>
  <c r="S4" i="15"/>
  <c r="S3" i="15"/>
  <c r="S2" i="15"/>
  <c r="S3" i="13"/>
  <c r="S4" i="13"/>
  <c r="S5" i="13"/>
  <c r="S6" i="13"/>
  <c r="S7" i="13"/>
  <c r="S8" i="13"/>
  <c r="S9" i="13"/>
  <c r="S10" i="13"/>
  <c r="S11" i="13"/>
  <c r="S12" i="13"/>
  <c r="S13" i="13"/>
  <c r="S14" i="13"/>
  <c r="S15" i="13"/>
  <c r="S16" i="13"/>
  <c r="S17" i="13"/>
  <c r="S18" i="13"/>
  <c r="S19" i="13"/>
  <c r="S20" i="13"/>
  <c r="S2" i="13"/>
  <c r="S3" i="14"/>
  <c r="S4" i="14"/>
  <c r="S5" i="14"/>
  <c r="S6" i="14"/>
  <c r="S7" i="14"/>
  <c r="S8" i="14"/>
  <c r="S9" i="14"/>
  <c r="S10" i="14"/>
  <c r="S11" i="14"/>
  <c r="S12" i="14"/>
  <c r="S13" i="14"/>
  <c r="S14" i="14"/>
  <c r="S15" i="14"/>
  <c r="S16" i="14"/>
  <c r="S2" i="14"/>
  <c r="S3" i="11"/>
  <c r="S4" i="11"/>
  <c r="S5" i="11"/>
  <c r="S6" i="11"/>
  <c r="S7" i="11"/>
  <c r="S8" i="11"/>
  <c r="S9" i="11"/>
  <c r="S10" i="11"/>
  <c r="S11" i="11"/>
  <c r="S12" i="11"/>
  <c r="S13" i="11"/>
  <c r="S14" i="11"/>
  <c r="S15" i="11"/>
  <c r="S16" i="11"/>
  <c r="S2" i="11"/>
  <c r="S3" i="12"/>
  <c r="S4" i="12"/>
  <c r="S5" i="12"/>
  <c r="S6" i="12"/>
  <c r="S7" i="12"/>
  <c r="S8" i="12"/>
  <c r="S9" i="12"/>
  <c r="S10" i="12"/>
  <c r="S11" i="12"/>
  <c r="S12" i="12"/>
  <c r="S13" i="12"/>
  <c r="S14" i="12"/>
  <c r="S15" i="12"/>
  <c r="S16" i="12"/>
  <c r="S2" i="12"/>
  <c r="D3" i="37" l="1"/>
  <c r="D19" i="29"/>
  <c r="C19" i="29"/>
  <c r="C20" i="29" s="1"/>
  <c r="C21" i="29" s="1"/>
  <c r="C22" i="29" s="1"/>
  <c r="D4" i="37" l="1"/>
  <c r="D5" i="37" s="1"/>
  <c r="D6" i="37" s="1"/>
  <c r="D7" i="37" s="1"/>
  <c r="D8" i="37" s="1"/>
  <c r="D9" i="37" s="1"/>
  <c r="D10" i="37" s="1"/>
  <c r="D11" i="37" s="1"/>
  <c r="D12" i="37" s="1"/>
  <c r="D13" i="37" s="1"/>
  <c r="D14" i="37" s="1"/>
  <c r="D15" i="37" s="1"/>
  <c r="D16" i="37" s="1"/>
  <c r="D17" i="37" s="1"/>
  <c r="D18" i="37" s="1"/>
  <c r="D19" i="37" s="1"/>
  <c r="B3" i="37"/>
  <c r="B4" i="37"/>
  <c r="B21" i="29"/>
  <c r="C26" i="29"/>
  <c r="D20" i="29"/>
  <c r="D21" i="29" s="1"/>
  <c r="D22" i="29" s="1"/>
  <c r="F5" i="29"/>
  <c r="C9" i="29"/>
  <c r="C10" i="29" s="1"/>
  <c r="C11" i="29" s="1"/>
  <c r="D9" i="29"/>
  <c r="D10" i="29" s="1"/>
  <c r="D11" i="29" s="1"/>
  <c r="D12" i="29" s="1"/>
  <c r="D16" i="29" s="1"/>
  <c r="E9" i="29"/>
  <c r="E10" i="29" s="1"/>
  <c r="E11" i="29" s="1"/>
  <c r="B9" i="29"/>
  <c r="B10" i="29" s="1"/>
  <c r="B11" i="29" s="1"/>
  <c r="B12" i="29" s="1"/>
  <c r="C7" i="29"/>
  <c r="D7" i="29"/>
  <c r="B7" i="29"/>
  <c r="B5" i="37" l="1"/>
  <c r="B16" i="29"/>
  <c r="E26" i="29"/>
  <c r="D26" i="29"/>
  <c r="B26" i="29"/>
  <c r="E12" i="29"/>
  <c r="E16" i="29" s="1"/>
  <c r="C12" i="29"/>
  <c r="C16" i="29" s="1"/>
  <c r="F6" i="29"/>
  <c r="B3" i="29"/>
  <c r="B2" i="29"/>
  <c r="B6" i="37" l="1"/>
  <c r="F16" i="29"/>
  <c r="F26" i="29"/>
  <c r="B7" i="37" l="1"/>
  <c r="G26" i="29"/>
  <c r="B8" i="37" l="1"/>
  <c r="B9" i="37" l="1"/>
  <c r="B10" i="37" l="1"/>
  <c r="B11" i="37" l="1"/>
  <c r="B12" i="37" l="1"/>
  <c r="B13" i="37" l="1"/>
  <c r="B14" i="37" l="1"/>
  <c r="B15" i="37" l="1"/>
  <c r="B16" i="37" l="1"/>
  <c r="C18" i="37" l="1"/>
  <c r="B17" i="37"/>
  <c r="B18" i="37" l="1"/>
  <c r="C19" i="37"/>
  <c r="B19" i="37" s="1"/>
</calcChain>
</file>

<file path=xl/sharedStrings.xml><?xml version="1.0" encoding="utf-8"?>
<sst xmlns="http://schemas.openxmlformats.org/spreadsheetml/2006/main" count="16686" uniqueCount="4279">
  <si>
    <t>先制攻撃</t>
  </si>
  <si>
    <t>飛行</t>
  </si>
  <si>
    <t>絆魂（このクリーチャーがダメージを与える場合、さらにあなたは同じ点数のライフを得る。）</t>
  </si>
  <si>
    <t>瞬速</t>
  </si>
  <si>
    <t>コモン</t>
  </si>
  <si>
    <t>Gatecrash</t>
  </si>
  <si>
    <t>Return to Ravnica</t>
  </si>
  <si>
    <t>アンコモン</t>
  </si>
  <si>
    <t>Ravnica: City of Guilds</t>
  </si>
  <si>
    <t>レア</t>
  </si>
  <si>
    <t>Dissension</t>
  </si>
  <si>
    <t>Guildpact</t>
  </si>
  <si>
    <t>瞬速（あなたはこの呪文を、あなたがインスタントを唱えられるときならいつでも唱えてよい。）</t>
  </si>
  <si>
    <t>賛美（あなたがコントロールするいずれかのクリーチャーが単独で攻撃するたび、そのクリーチャーはターン終了時まで+1/+1の修整を受ける。）</t>
  </si>
  <si>
    <t>Theros</t>
  </si>
  <si>
    <t>Shards of Alara</t>
  </si>
  <si>
    <t>Dragon's Maze</t>
  </si>
  <si>
    <t>Amonkhet</t>
  </si>
  <si>
    <t>Conflux</t>
  </si>
  <si>
    <t>絆魂</t>
  </si>
  <si>
    <t>トランプル</t>
  </si>
  <si>
    <t>二段攻撃</t>
  </si>
  <si>
    <t>プロテクション（黒）</t>
  </si>
  <si>
    <t>警戒</t>
  </si>
  <si>
    <t>果敢（あなたがクリーチャーでない呪文を１つ唱えるたび、ターン終了時まで、このクリーチャーは+1/+1の修整を受ける。）</t>
  </si>
  <si>
    <t>先制攻撃、警戒</t>
  </si>
  <si>
    <t>Kaladesh</t>
  </si>
  <si>
    <t>Journey into Nyx</t>
  </si>
  <si>
    <t>Battle for Zendikar</t>
  </si>
  <si>
    <t>Hour of Devastation</t>
  </si>
  <si>
    <t>Ixalan</t>
  </si>
  <si>
    <t>Time Spiral</t>
  </si>
  <si>
    <t>Dragons of Tarkir</t>
  </si>
  <si>
    <t>Planar Chaos</t>
  </si>
  <si>
    <t>Future Sight</t>
  </si>
  <si>
    <t>Aether Revolt</t>
  </si>
  <si>
    <t>Rivals of Ixalan</t>
  </si>
  <si>
    <t>Oath of the Gatewatch</t>
  </si>
  <si>
    <t>Khans of Tarkir</t>
  </si>
  <si>
    <t>Eldritch Moon</t>
  </si>
  <si>
    <t>Born of the Gods</t>
  </si>
  <si>
    <t>神話レア</t>
  </si>
  <si>
    <t>強請（あなたが呪文を１つ唱えるたび、あなたは(W/B)を支払ってもよい。そうした場合、各対戦相手はそれぞれ１点のライフを失い、あなたはその点数分のライフを得る。）</t>
  </si>
  <si>
    <t>(Ｔ)：クリーチャー１体かプレイヤー１人を対象とする。このターン、それに与えられる次のダメージを１点軽減する。</t>
  </si>
  <si>
    <t>Dark Ascension</t>
  </si>
  <si>
    <t>Innistrad</t>
  </si>
  <si>
    <t>Shadows over Innistrad</t>
  </si>
  <si>
    <t>あなたがコントロールする他の白のクリーチャーは+1/+1の修整を受ける。</t>
  </si>
  <si>
    <t>Magic Origins</t>
  </si>
  <si>
    <t>Coldsnap</t>
  </si>
  <si>
    <t>Scars of Mirrodin</t>
  </si>
  <si>
    <t>防衛</t>
  </si>
  <si>
    <t>Avacyn Restored</t>
  </si>
  <si>
    <t>Fate Reforged</t>
  </si>
  <si>
    <t>あなたがコントロールする他のクリーチャーが１体死亡するたび、あなたはスレイベンの歩哨を変身させてもよい。</t>
  </si>
  <si>
    <t>(Ｔ)：攻撃しているクリーチャーかブロックしているクリーチャー１体を対象とする。キイェルドーの投槍兵はそれに、キイェルドーの投槍兵の上に置かれている経年カウンターの数に等しい点数のダメージを与える。</t>
  </si>
  <si>
    <t>あなたが恐竜(Dinosaur)呪文を唱えるためのコストは(１)少なくなる。</t>
  </si>
  <si>
    <t>大聖堂の聖別者が戦場に出たとき、あなたは３点のライフを得る。</t>
  </si>
  <si>
    <t>(Ｔ),ハズダーの免罪人を生け贄に捧げる：オーラ(Aura)１つを対象とし、それを破壊する。</t>
  </si>
  <si>
    <t>エンチャントされているクリーチャーは+1/+2の修整を受ける。</t>
  </si>
  <si>
    <t>(Ｔ),カードを１枚捨てる：クリーチャー１体を対象とし、それをタップする。</t>
  </si>
  <si>
    <t>他のクリーチャーが１体戦場に出るたび、あなたは１点のライフを得る。</t>
  </si>
  <si>
    <t>武士道１（このクリーチャーがブロックするかブロックされた状態になるたび、それはターン終了時まで+1/+1の修整を受ける。）</t>
  </si>
  <si>
    <t>(１),あなたの手札から白のカードをＸ枚公開する,砂の殉教者を生け贄に捧げる：あなたはＸの３倍のライフを得る。</t>
  </si>
  <si>
    <t>あなたが青か黒か赤である呪文を１つ唱えるたび、あなたは１点のライフを得る。</t>
  </si>
  <si>
    <t>金属術 ― 献身的な補充兵は、あなたが３つ以上のアーティファクトをコントロールしているかぎり+2/+2の修整を受ける。</t>
  </si>
  <si>
    <t>プロテクション（吸血鬼(Vampire)）</t>
  </si>
  <si>
    <t>(Ｔ)：あなたは１点のライフを得る。</t>
  </si>
  <si>
    <t>オーリオックの長刀使いが装備しているかぎり、オーリオックの長刀使いは+1/+1の修整を受けるとともに先制攻撃を持つ。</t>
  </si>
  <si>
    <t>宿命の旅人が死亡したとき、飛行を持つ白の1/1のスピリット(Spirit)・クリーチャー・トークンを１体生成する。</t>
  </si>
  <si>
    <t>防衛、先制攻撃</t>
  </si>
  <si>
    <t>(Ｔ)：攻撃しているクリーチャー１体を対象とする。それはターン終了時まで+1/+1の修整を受ける。</t>
  </si>
  <si>
    <t>他のクリーチャーが１体戦場に出るたび、あなたは１点のライフを得てもよい。</t>
  </si>
  <si>
    <t>高名１（このクリーチャーがプレイヤー１人に戦闘ダメージを与えたとき、これが高名でない場合、これの上に+1/+1カウンターを１個置く。これは高名になる。）</t>
  </si>
  <si>
    <t>(１),(Ｔ)：人間(Human)でないクリーチャー１体を対象とし、それをタップする。</t>
  </si>
  <si>
    <t>Ｌｖアップ(４)（(４)：この上にＬｖ(level)カウンターを１個置く。Ｌｖアップはソーサリーとしてのみ行う。）</t>
  </si>
  <si>
    <t>あなたがコントロールする他のクリーチャーが１体死亡するたび、物騒な群衆の上に+1/+1カウンターを１個置く。</t>
  </si>
  <si>
    <t>金属術 ― あなたがアーティファクトを３つ以上コントロールしているかぎり、オーリオックの太陽追いは+2/+2の修整を受けるとともに飛行を持つ。</t>
  </si>
  <si>
    <t>不動の聖戦士が攻撃するたび、ターン終了時まで、これは+0/+2の修整を受ける。</t>
  </si>
  <si>
    <t>英雄的 ― あなたがセテッサの戦神官を対象とする呪文を１つ唱えるたび、あなたは２点のライフを得る。</t>
  </si>
  <si>
    <t>側面攻撃（側面攻撃を持たないクリーチャーがこのクリーチャーをブロックするたび、ターン終了時まで、ブロックしているクリーチャーは-1/-1の修整を受ける。）</t>
  </si>
  <si>
    <t>大隊 ― 果敢なスカイジェクと少なくとも２体の他のクリーチャーが攻撃するたび、果敢なスカイジェクはターン終了時まで飛行を得る。</t>
  </si>
  <si>
    <t>あなたがグリフィン(Griffin)・クリーチャーをコントロールしているかぎり、グリフィンの乗り手は+3/+3の修整を受けるとともに飛行を持つ。</t>
  </si>
  <si>
    <t>盟友 ― (Ｔ),あなたがコントロールするアンタップ状態の同盟者(Ally)を１体タップする：あなたは２点のライフを得る。</t>
  </si>
  <si>
    <t>(Ｔ)：攻撃しているクリーチャーかブロックしているクリーチャー１体を対象とする。弩弓歩兵はそれに１点のダメージを与える。</t>
  </si>
  <si>
    <t>クリーチャー・トークンが１体あなたのコントロール下で戦場に出るたび、あなたは１点のライフを得る。</t>
  </si>
  <si>
    <t>英雄的 ― あなたがアクロスの空護衛を対象とする呪文を１つ唱えるたび、アクロスの空護衛の上に+1/+1カウンターを１個置く。</t>
  </si>
  <si>
    <t>光歩きは、その上に+1/+1カウンターが置かれているかぎり飛行を持つ。</t>
  </si>
  <si>
    <t>忠実な聖戦士が死亡したとき、次の終了ステップの開始時に、あなたのコントロール下でそれを変身させた状態で戦場に戻す。</t>
  </si>
  <si>
    <t>不浄の聖戦士ではブロックできない。</t>
  </si>
  <si>
    <t>アラシンの僧侶が戦場に出たとき、あなたは３点のライフを得る。</t>
  </si>
  <si>
    <t>先制攻撃（このクリーチャーは、先制攻撃を持たないクリーチャーより先に戦闘ダメージを与える。）</t>
  </si>
  <si>
    <t>あなたがコントロールする他の兵士(Soldier)は+0/+1の修整を受ける。</t>
  </si>
  <si>
    <t>あなたがコントロールする他の戦士(Warrior)クリーチャーは警戒を持つ。</t>
  </si>
  <si>
    <t>(Ｔ)：タフネスが２以下のクリーチャー１体を対象とし、それをタップする。</t>
  </si>
  <si>
    <t>あなたがコントロールする防衛を持つ他のクリーチャーは+0/+2の修整を受ける。</t>
  </si>
  <si>
    <t>シャドー（このクリーチャーは、シャドーを持つクリーチャーのみブロックでき、シャドーを持つクリーチャーによってのみブロックされる。）</t>
  </si>
  <si>
    <t>ヴェク追われの占い師を生け贄に捧げる：あなたは４点のライフを得る。この能力は、あなたのアップキープの間にのみ起動できる。</t>
  </si>
  <si>
    <t>前線の僧侶が戦場に出たとき、あなたはあなたがコントロールしている《前線の僧侶/Cleric of the Forward Order》という名前のクリーチャー１体につき２点のライフを得る。</t>
  </si>
  <si>
    <t>あなたがコントロールする他のクリーチャーは+0/+1の修整を受ける。</t>
  </si>
  <si>
    <t>陽動の達人が攻撃するたび、防御プレイヤーがコントロールしているクリーチャー１体を対象とし、それをタップする。</t>
  </si>
  <si>
    <t>従者つきの騎士が戦場に出たとき、白の1/1の兵士(Soldier)クリーチャー・トークンを１体生成する。</t>
  </si>
  <si>
    <t>他の白のクリーチャーが１体あなたのコントロール下で戦場に出るたび、対戦相手１人がコントロールするクリーチャー１体を対象とし、それをタップする。</t>
  </si>
  <si>
    <t>捨て身の歩哨が死亡したとき、無色の3/2のエルドラージ(Eldrazi)・ホラー(Horror)・クリーチャー・トークンを１体生成する。</t>
  </si>
  <si>
    <t>昂揚 ― あなたの墓地にあるカードにカード・タイプが合計４種類以上含まれるかぎり、捨て身の歩哨は+3/+0の修整を受ける。</t>
  </si>
  <si>
    <t>ヴェク追われの盲信者が攻撃してブロックされないたび、あなたはクリーチャー１体を対象とし、これはそれに１点のダメージを与えることを選んでもよい。そうした場合、このターンヴェク追われの盲信者が与えるすべての戦闘ダメージを軽減する。</t>
  </si>
  <si>
    <t>強襲 ― マルドゥの軍族長が戦場に出たとき、このターンにあなたがクリーチャーで攻撃していた場合、白の1/1の戦士(Warrior)クリーチャー・トークンを１体生成する。</t>
  </si>
  <si>
    <t>オーラ術師が戦場に出たとき、あなたの墓地にあるエンチャント・カード１枚を対象とする。あなたは、それをあなたの手札に戻してもよい。</t>
  </si>
  <si>
    <t>華麗なる突風乗りを生け贄に捧げる：あなたがコントロールするパワーが５以上のクリーチャーは、ターン終了時まで飛行を得る。</t>
  </si>
  <si>
    <t>ベナリアの古参兵が攻撃するたび、それはターン終了時まで+1/+1の修整を受ける。</t>
  </si>
  <si>
    <t>他のクリーチャーが１体戦場に出るたび、深夜の護衛をアンタップする。</t>
  </si>
  <si>
    <t>自由風の乗馬兵がエンチャントされているかぎり、それは「(Ｔ)：攻撃しているクリーチャーかブロックしているクリーチャー１体を対象とする。自由風の乗馬兵はそれに２点のダメージを与える。」を持つ。</t>
  </si>
  <si>
    <t>砂草原ののけ者が戦場に出たとき、以下から１つを選ぶ。</t>
  </si>
  <si>
    <t>・砂草原ののけ者の上に+1/+1カウンターを１個置く。</t>
  </si>
  <si>
    <t>・飛行を持つ白の1/1のスピリット(Spirit)・クリーチャー・トークンを１体生成する。</t>
  </si>
  <si>
    <t>あなたがコントロールする他の兵士(Soldier)クリーチャーは+1/+0の修整を受ける。</t>
  </si>
  <si>
    <t>鉄覆いの処刑者が戦場に出たとき、あなたの墓地からオーラ(Aura)・カード１枚か装備品(Equipment)カード１枚を対象とする。あなたはそれをあなたの手札に戻してもよい。</t>
  </si>
  <si>
    <t>上座の聖戦士が死亡したとき、あなたがコントロールするクリーチャー１体を対象とし、それの上に+1/+1カウンターを１個置く。そのクリーチャーが人間(Human)である場合、代わりにそれの上に+1/+1カウンターを２個置く。</t>
  </si>
  <si>
    <t>歌鳥の売り手が戦場に出たとき、飛行を持つ白の1/1の鳥(Bird)クリーチャー・トークンを１体生成する。</t>
  </si>
  <si>
    <t>英雄的 ― あなたが散兵の精鋭を対象とする呪文を１つ唱えるたび、クリーチャー１体を対象とする。あなたはそれをタップしてもよい。</t>
  </si>
  <si>
    <t>戦闘的な審問官は、あなたがコントロールする装備品(Equipment)１つにつき+1/+0の修整を受ける。</t>
  </si>
  <si>
    <t>結集 ― マキンディの巡回兵か他の同盟者(Ally)が１体あなたのコントロール下で戦場に出るたび、ターン終了時まで、あなたがコントロールするクリーチャーは警戒を得る。</t>
  </si>
  <si>
    <t>博覧会の歓迎者が戦場に出たとき、あなたがコントロールするクリーチャー１体を対象とする。ターン終了時まで、それは+1/+1の修整を受ける。</t>
  </si>
  <si>
    <t>宮殿の護衛は望む数のクリーチャーをブロックできる。</t>
  </si>
  <si>
    <t>英雄的 ― あなたが天馬の乗り手を対象とする呪文を１つ唱えるたび、天馬の乗り手の上に+1/+1カウンターを１個置く。</t>
  </si>
  <si>
    <t>(Ｔ)：攻撃しているクリーチャーかブロックしているクリーチャー１体を対象とする。アヴナントの癒し手はそれに１点のダメージを与える。</t>
  </si>
  <si>
    <t>村の鐘鳴らしが戦場に出たとき、あなたがコントロールするすべてのクリーチャーをアンタップする。</t>
  </si>
  <si>
    <t>ヘリオッドの巡礼者が戦場に出たとき、あなたはあなたのライブラリーからオーラ(Aura)・カードを１枚探してもよい。そうしたなら、それを公開してあなたの手札に加え、その後あなたのライブラリーを切り直す。</t>
  </si>
  <si>
    <t>ありがたい老修道士が戦場に出たとき、あなたは２点のライフを得る。</t>
  </si>
  <si>
    <t>(Ｔ)：クリーチャー１体を対象とする。それはターン終了時まで-2/-0の修整を受ける。</t>
  </si>
  <si>
    <t>あなたがクリーチャーでない呪文を１つ唱えるたび、あなたは２点のライフを得る。</t>
  </si>
  <si>
    <t>盟友 ― (Ｔ),あなたがコントロールするアンタップ状態の同盟者(Ally)を１体タップする：クリーチャー１体を対象とし、それをタップする。</t>
  </si>
  <si>
    <t>(Ｔ)：攻撃かブロックしているスピリット(Spirit)１体を対象とする。武野の騎兵はそれに１点のダメージを与える。</t>
  </si>
  <si>
    <t>太陽塔の門番が戦場に出たとき、あなたが門(Gate)を２つ以上コントロールしている場合、警戒を持つ白の2/2の騎士(Knight)クリーチャー・トークンを１体生成する。</t>
  </si>
  <si>
    <t>フォライアスの介入者は、各戦闘で追加で１体のクリーチャーをブロックできる。</t>
  </si>
  <si>
    <t>ミッドヴァストの守護者が戦場に出たとき、あなたがコントロールするクリーチャー１体を対象とする。それはターン終了時までプロテクション（あなたが選んだ色１色）を得る。</t>
  </si>
  <si>
    <t>(Ｔ)：パワーが３以下のクリーチャー１体を対象とし、それをタップする。</t>
  </si>
  <si>
    <t>製造１（このクリーチャーが戦場に出たとき、これの上に+1/+1カウンターを１個置くか、無色の1/1の霊気装置(Servo)アーティファクト・クリーチャー・トークンを１体生成する。）</t>
  </si>
  <si>
    <t>エルゴードの審問官が死亡したとき、飛行を持つ白の1/1のスピリット(Spirit)・クリーチャー・トークンを１体生成する。</t>
  </si>
  <si>
    <t>アンプリンの戦術家が戦場に出たとき、ターン終了時まで、あなたがコントロールするクリーチャーは+1/+1の修整を受ける。</t>
  </si>
  <si>
    <t>悪鬼を縛る者が攻撃するたび、防御プレイヤーがコントロールするクリーチャー１体を対象とし、それをタップする。</t>
  </si>
  <si>
    <t>鼓舞する隊長が戦場に出たとき、ターン終了時まで、あなたがコントロールするクリーチャーは+1/+1の修整を受ける。</t>
  </si>
  <si>
    <t>あなたが恐竜(Dinosaur)をコントロールしているかぎり、プテロドンの騎士は飛行を持つ。</t>
  </si>
  <si>
    <t>不屈の宣教師が戦場に出たとき、あなたは３点のライフを得る。</t>
  </si>
  <si>
    <t>重歩兵が戦場に出たとき、対戦相手がコントロールするクリーチャー１体を対象とし、それをタップする。</t>
  </si>
  <si>
    <t>大隊 ― 航行隊の猛士と少なくとも２体の他のクリーチャーが攻撃するたび、航行隊の猛士はターン終了時まで+1/+1の修整を受ける。これをアンタップする。</t>
  </si>
  <si>
    <t>空乗りの見習いは、それがエンチャントされているかぎり飛行を持つ。</t>
  </si>
  <si>
    <t>議事会の密集軍が戦場に出たとき、あなたがコントロールするクリーチャー１体につき、あなたは１点のライフを得る。</t>
  </si>
  <si>
    <t>絆魂（このクリーチャーがダメージを与えると、さらにあなたはその点数分のライフを得る。）</t>
  </si>
  <si>
    <t>Lv1-4：2/2</t>
    <phoneticPr fontId="2"/>
  </si>
  <si>
    <t>Lv5+：先制攻撃5/5</t>
    <phoneticPr fontId="2"/>
  </si>
  <si>
    <t>Lv1-3：警戒2/6</t>
    <phoneticPr fontId="2"/>
  </si>
  <si>
    <t>Lv4+：警戒3/10</t>
    <phoneticPr fontId="2"/>
  </si>
  <si>
    <t>[変身]</t>
    <rPh sb="1" eb="3">
      <t>ヘンシン</t>
    </rPh>
    <phoneticPr fontId="2"/>
  </si>
  <si>
    <t>_2/2</t>
  </si>
  <si>
    <t>_5/4</t>
  </si>
  <si>
    <t>_1/1</t>
  </si>
  <si>
    <t>_1/2</t>
  </si>
  <si>
    <t>_0/2</t>
  </si>
  <si>
    <t>_0/3</t>
  </si>
  <si>
    <t>_0/4</t>
  </si>
  <si>
    <t>_1/3</t>
  </si>
  <si>
    <t>_2/1</t>
  </si>
  <si>
    <t>_3/1</t>
  </si>
  <si>
    <t>_2/3</t>
  </si>
  <si>
    <t>_3/2</t>
  </si>
  <si>
    <t>_1/4</t>
  </si>
  <si>
    <t>_2/5</t>
  </si>
  <si>
    <t>_2/4</t>
  </si>
  <si>
    <t>_0/5</t>
  </si>
  <si>
    <t>_3/3</t>
  </si>
  <si>
    <t>_3/4</t>
  </si>
  <si>
    <t>_3/5</t>
  </si>
  <si>
    <t>Mirrodin</t>
  </si>
  <si>
    <t>Tenth Edition</t>
  </si>
  <si>
    <t>Rise of the Eldrazi</t>
  </si>
  <si>
    <t>Ninth Edition</t>
  </si>
  <si>
    <t>Magic 2015</t>
  </si>
  <si>
    <t>Magic 2010</t>
  </si>
  <si>
    <t>Magic 2012</t>
  </si>
  <si>
    <t>Champions of Kamigawa</t>
  </si>
  <si>
    <t>Mirrodin Besieged</t>
  </si>
  <si>
    <t>Darksteel</t>
  </si>
  <si>
    <t>Magic 2011</t>
  </si>
  <si>
    <t>Saviors of Kamigawa</t>
  </si>
  <si>
    <t>Magic 2014</t>
  </si>
  <si>
    <t>Magic 2013</t>
  </si>
  <si>
    <t>Eighth Edition</t>
  </si>
  <si>
    <t>Betrayers of Kamigawa</t>
  </si>
  <si>
    <t>Modern Masters 2015 Edition</t>
  </si>
  <si>
    <t>(３)(W)</t>
  </si>
  <si>
    <t>(W)</t>
  </si>
  <si>
    <t>(１)(W)</t>
  </si>
  <si>
    <t>(W)(W)</t>
  </si>
  <si>
    <t>(W),回収の斥候を生け贄に捧げる：あなたの墓地にあるアーティファクト・カード１枚を対象とし、それをあなたの手札に戻す。</t>
  </si>
  <si>
    <t>(W),(Ｔ)：アーティファクト１つを対象とし、それをタップする。</t>
  </si>
  <si>
    <t>(１)(W),(Ｔ),カードを１枚捨てる：白の1/1の人間(Human)・兵士(Soldier)クリーチャー・トークンを１体生成する。</t>
  </si>
  <si>
    <t>(１)(W),(Ｔ)：飛行を持たないクリーチャー１体を対象とし、それをタップする。</t>
  </si>
  <si>
    <t>(W)：儀仗兵はターン終了時まで+0/+1の修整を受ける。</t>
  </si>
  <si>
    <t>(W),クリーチャーを１体、生け贄に捧げる：クリーチャー１体かプレイヤー１人を対象とする。このターン、それに与えられる次のダメージを１点軽減する。</t>
  </si>
  <si>
    <t>(W),サマイトの香炉持ちを生け贄に捧げる：このターン、あなたがコントロールする各クリーチャーに与えられる次のダメージをそれぞれ１点軽減する。</t>
  </si>
  <si>
    <t>(１)(W),無私の聖戦士を生け贄に捧げる：あなたがコントロールするクリーチャーは、ターン終了時まで+1/+1の修整を受ける。</t>
  </si>
  <si>
    <t>(２)(W),(Ｔ)：クリーチャー１体を対象とし、それをタップする。</t>
  </si>
  <si>
    <t>(W),(Ｔ)：クリーチャー１体を対象とし、それをタップする。</t>
  </si>
  <si>
    <t>(４)(W)：クリーチャー１体を対象とする。このターン、それが石識の防衛者に与えるすべてのダメージを軽減する。</t>
  </si>
  <si>
    <t>(２)(W)：ムーアランドの審問官はターン終了時まで先制攻撃を得る。</t>
  </si>
  <si>
    <t>(４)(W)：勇猛な反対派はターン終了時まで+1/+2の修整を受ける。</t>
  </si>
  <si>
    <t>(１)(W)：キャパシェンの騎士は、ターン終了時まで+1/+0の修整を受ける。</t>
  </si>
  <si>
    <t>(W)：キイェルドーの先導はターン終了時まで+0/+1の修整を受ける。</t>
  </si>
  <si>
    <t>(２)(W)</t>
  </si>
  <si>
    <t>(１)(W),あなたの墓地から不屈の聖戦士を追放する：飛行を持つ白の1/1のスピリット(Spirit)・クリーチャー・トークンを１体生成する。この能力は、あなたがソーサリーを唱えられるときにのみ起動できる。</t>
  </si>
  <si>
    <t>(１)(W),(Ｔ),カードを１枚捨てる：白の1/1の市民(Citizen)クリーチャー・トークンを２体生成する。</t>
  </si>
  <si>
    <t>ハズダーの罠部隊が攻撃するたび、対戦相手１人がコントロールするクリーチャー１体を対象とする。あなたは(W)を支払ってもよい。そうした場合、それをタップする。</t>
  </si>
  <si>
    <t>(１)(W)(W)</t>
  </si>
  <si>
    <t>(２)(W)(W)</t>
  </si>
  <si>
    <t>(３)(W)(W)</t>
  </si>
  <si>
    <t>(４)(W)</t>
  </si>
  <si>
    <t>(４)(W)(W)</t>
  </si>
  <si>
    <t>(２)(B)：各対戦相手はそれぞれ１点のライフを失う。あなたはこれにより失われたライフに等しい点数のライフを得る。</t>
  </si>
  <si>
    <t>(３)(R)：ターン終了時まで、炎蹄の騎兵は+2/+0の修整を受けるとともにトランプルを得る。</t>
  </si>
  <si>
    <t>(２)(G)：議事会の崇拝者を再生する。</t>
  </si>
  <si>
    <t>(３)(G)：天望の騎士はターン終了時まで+3/+3の修整を受ける。この能力は、各ターンに１回のみ起動できる。</t>
  </si>
  <si>
    <t>ハーダの自由刃か他の同盟者(Ally)があなたのコントロール下で戦場に出るたび、あなたはハーダの自由刃の上に+1/+1カウンターを１個置いてもよい。</t>
  </si>
  <si>
    <t>(Ｔ)：攻撃クリーチャー１体を対象とする。ターン終了時まで、それは+1/+1の修整を受ける。</t>
  </si>
  <si>
    <t>あなたが恐竜(Dinosaur)をコントロールしているかぎり、帝国の槍騎兵は二段攻撃を持つ。</t>
  </si>
  <si>
    <t>大隊 ― ボロスの精鋭と少なくとも２体の他のクリーチャーが攻撃するたび、ボロスの精鋭はターン終了時まで+2/+2の修整を受ける。</t>
  </si>
  <si>
    <t>このターン、新参の武士によってダメージを与えられたクリーチャーが死亡したとき、新参の武士を反転する。</t>
  </si>
  <si>
    <t>マルドゥの悲哀狩りか他の戦士(Warrior)が１体あなたのコントロール下で戦場に出るたび、墓地にあるクリーチャー・カード１枚を対象とする。あなたはそれを追放してもよい。そうしたなら、あなたは１点のライフを得る。</t>
  </si>
  <si>
    <t>英雄的 ― あなたが恩寵の重装歩兵を対象とする呪文を１つ唱えるたび、恩寵の重装歩兵の上に+1/+1カウンターを１個置く。また、このターン、これに与えられるすべてのダメージを軽減する。</t>
  </si>
  <si>
    <t>(Ｔ),あなたがコントロールするアンタップ状態のクリーチャー１体をタップする：町のゴシップ屋を変身させる。</t>
  </si>
  <si>
    <t>各戦闘で、扇動された民衆は可能なら攻撃する。</t>
  </si>
  <si>
    <t>(２)：ターン終了時まで、扇動された民衆は+1/+0の修整を受ける。</t>
  </si>
  <si>
    <t>廃院の神主は、あなたがコントロールするパーマネントの色に対するプロテクションを持つ。</t>
  </si>
  <si>
    <t>星の兵団が戦場に出るに際し、色を１色選ぶ。</t>
  </si>
  <si>
    <t>星の兵団は選ばれた色に対するプロテクションを持つ。</t>
  </si>
  <si>
    <t>あなたがコントロールする防衛を持つクリーチャーがブロックするたび、あなたは２点のライフを得てもよい。</t>
  </si>
  <si>
    <t>プロテクション（ドラゴン(Dragon)）</t>
  </si>
  <si>
    <t>ドラゴンを狩る者は、それが到達を持っているかのようにドラゴンをブロックできる。</t>
  </si>
  <si>
    <t>(Ｔ)：いずれかの墓地にあるクリーチャー・カード１枚を対象とし、それを追放する。</t>
  </si>
  <si>
    <t>先制攻撃、絆魂</t>
  </si>
  <si>
    <t>終了ステップの開始時に、このターンにあなたが３点以上のライフを得ていた場合、単体騎手を変身させる。</t>
  </si>
  <si>
    <t>先制攻撃、トランプル、絆魂</t>
  </si>
  <si>
    <t>あなたがコントロールするクリーチャーの上に-1/-1カウンターが１個以上置かれるなら、代わりに、その数から１を引いた個数の-1/-1カウンターをそれの上に置く。</t>
  </si>
  <si>
    <t>あなたがアーティファクト呪文を唱えるたび、あなたは(１)を支払ってもよい。そうした場合、無色の1/1のマイア(Myr)・アーティファクト・クリーチャー・トークンを１体生成する。</t>
  </si>
  <si>
    <t>不屈の河川司令官は、あなたが島(Island)をコントロールしているかぎり+1/+1の修整を受ける。</t>
  </si>
  <si>
    <t>あなたがクリーチャーでない呪文を１つ唱えるたび、ターン終了時まで、道の探求者は絆魂を得る。</t>
  </si>
  <si>
    <t>カザンドゥの刃の達人か他の同盟者(Ally)があなたのコントロール下で戦場に出るたび、あなたはカザンドゥの刃の達人の上に+1/+1カウンターを１個置いてもよい。</t>
  </si>
  <si>
    <t>英雄的 ― あなたが密集軍の指揮者を対象とする呪文を１つ唱えるたび、あなたがコントロールする各クリーチャーの上に+1/+1カウンターをそれぞれ１個置く。</t>
  </si>
  <si>
    <t>放浪する勇者がプレイヤー１人に戦闘ダメージを与えるたび、あなたが青か赤のパーマネントをコントロールしている場合、あなたはカードを１枚捨ててもよい。そうしたなら、カードを１枚引く。</t>
  </si>
  <si>
    <t>(２)：緑か青のクリーチャー１体を対象とする。それはターン終了時まで+0/+1の修整を受ける。</t>
  </si>
  <si>
    <t xml:space="preserve">あなたのアップキープの開始時に、菌類学者の上に胞子(spore)カウンターを１個置く。 </t>
  </si>
  <si>
    <t xml:space="preserve">菌類学者から胞子カウンターを３個取り除く：緑の1/1の苗木(Saproling)クリーチャー・トークンを１体生成する。 </t>
  </si>
  <si>
    <t>苗木を１体生け贄に捧げる：あなたは２点のライフを得る。</t>
  </si>
  <si>
    <t>金属術 ― オーリオックの刃工は、あなたがアーティファクトを３つ以上コントロールしているかぎり二段攻撃を持つ。</t>
  </si>
  <si>
    <t>結魂（このクリーチャーか他のまだ組になっていないクリーチャーが戦場に出たとき、あなたはそれらを組にしてもよい。それらのクリーチャーは、あなたがその両方をコントロールし続けているかぎり組である。）</t>
  </si>
  <si>
    <t>近野の巡礼者が他のクリーチャーと組になっているかぎり、両方のクリーチャーは絆魂を持つ。</t>
  </si>
  <si>
    <t>領事補佐官が攻撃するたび、これが高名である場合、ターン終了時まで、あなたがコントロールする他の攻撃クリーチャーは+1/+1の修整を受ける。</t>
  </si>
  <si>
    <t>あなたが伝説の侍(Samurai)をコントロールしているかぎり、今田の旗本は+1/+2の修整を受けるとともに警戒を持つ。</t>
  </si>
  <si>
    <t>テューンの戦僧が戦場に出たとき、エンチャント１つを対象とする。あなたはそれを破壊してもよい。</t>
  </si>
  <si>
    <t>盲いた喧嘩屋は単独では攻撃できない。</t>
  </si>
  <si>
    <t>エンチャントされているクリーチャーは+3/+2の修整を受けるとともに、単独では攻撃できない。</t>
  </si>
  <si>
    <t>各戦闘で、信念の決闘者は追加で１体のクリーチャーをブロックできる。</t>
  </si>
  <si>
    <t>二段攻撃（このクリーチャーは先制攻撃と通常の戦闘ダメージの両方を与える。）</t>
  </si>
  <si>
    <t>(Ｔ)：クリーチャー１体を対象とする。それはターン終了時まで+X/+Xの修整を受ける。Ｘはオーリオックの刃番のパワーに等しい。</t>
  </si>
  <si>
    <t>聖なる後光の騎士が破壊されるなら、それを再生する。</t>
  </si>
  <si>
    <t>(２)：このターン、聖なる後光の騎士は再生できない。この能力は対戦相手だけが起動してもよい。</t>
  </si>
  <si>
    <t>喊声（このクリーチャーが攻撃するたび、他の各攻撃クリーチャーはターン終了時まで+1/+0の修整を受ける。）</t>
  </si>
  <si>
    <t>あなたのアップキープの開始時に、あなたは修道院の若者を変身させてもよい。</t>
  </si>
  <si>
    <t>あなたの終了ステップの開始時に、あなたは１点のライフを失う。</t>
  </si>
  <si>
    <t>精鋭なる投槍兵がブロックするたび、攻撃しているクリーチャー１体を対象とする。精鋭なる投槍兵はそれに１点のダメージを与える。</t>
  </si>
  <si>
    <t>あなたがコントロールするクリーチャーは先制攻撃を持つ。</t>
  </si>
  <si>
    <t>あなたの対戦相手がコントロールするクリーチャーは先制攻撃を失うとともに、先制攻撃を持つことも得ることもできない。</t>
  </si>
  <si>
    <t>オドリックの十字軍のパワーとタフネスは、それぞれあなたがコントロールするクリーチャーの総数に等しい。</t>
  </si>
  <si>
    <t>窮地 ― あなたのライフが５点以下であるかぎり、あなたがコントロールする他のクリーチャーは+1/+4の修整を受ける。</t>
  </si>
  <si>
    <t>罪からの解放者が戦場に出たとき、あなたは他のパーマネント１つを生け贄に捧げてもよい。そうしたなら、無色の3/2のエルドラージ(Eldrazi)・ホラー(Horror)・クリーチャー・トークンを１体生成する。</t>
  </si>
  <si>
    <t>昂揚 ― あなたのアップキープの開始時に、あなたの墓地にあるカードにカード・タイプが合計４種類以上含まれる場合、罪からの解放者を変身させる。</t>
  </si>
  <si>
    <t>あなたがコントロールするエルドラージ(Eldrazi)は警戒を持つ。</t>
  </si>
  <si>
    <t>(２),(Ｔ),エルドラージでないクリーチャー１体を生け贄に捧げる：無色の3/2のエルドラージ・ホラー(Horror)・クリーチャー・トークンを１体生成する。</t>
  </si>
  <si>
    <t>あなたの手札のカードの枚数がどの対戦相手よりも多いかぎり、清麻呂の末裔は+1/+2の修整を受けるとともに「このクリーチャーが戦闘ダメージを与えるたび、あなたは３点のライフを得る。」を持つ。</t>
  </si>
  <si>
    <t>猶予の侍臣が戦場に出たとき、クリーチャー１体を対象とする。このターンにそれが攻撃していたかブロックしていたなら、あなたはそれを追放してもよい。次の終了ステップの開始時に、そのカードをオーナーのコントロール下で戦場に戻す。</t>
  </si>
  <si>
    <t>宝捜しが戦場に出たとき、あなたの墓地にあるアーティファクト・カード１枚を対象とする。あなたは、それを自分の手札に戻してもよい。</t>
  </si>
  <si>
    <t>あなたがコントロールする、+1/+1カウンターが置かれている各クリーチャーは飛行を持つ。</t>
  </si>
  <si>
    <t>裂け目抜けの騎士が追放されている間にそれから最後の時間カウンターが取り除かれたとき、側面攻撃とプロテクション（白）と速攻を持つ黒の2/2の騎士(Knight)クリーチャー・トークンを１体生成する。</t>
  </si>
  <si>
    <t>雅刃の職工は、これにつけられているオーラ(Aura)１つにつき+2/+2の修整を受ける。</t>
  </si>
  <si>
    <t>陽光鞭の勇者が戦場に出たとき、あなたはこれのパワーに等しい点数のライフを得る。</t>
  </si>
  <si>
    <t>対戦相手がオーナーであるカードが追放領域にあるかぎり、彼方の管理人は+2/+2の修整を受ける。</t>
  </si>
  <si>
    <t>悪鬼の狩人が戦場に出たとき、他のクリーチャー１体を対象とする。あなたはそれを追放してもよい。</t>
  </si>
  <si>
    <t>悪鬼の狩人が戦場を離れたとき、その追放されたカードをオーナーのコントロール下で戦場に戻す。</t>
  </si>
  <si>
    <t>敬虔な福音者か他のクリーチャーが１体あなたのコントロール下で戦場に出るたび、あなたは１点のライフを得る。</t>
  </si>
  <si>
    <t>(２),(Ｔ),他のパーマネント１つを生け贄に捧げる：敬虔な福音者を変身させる。</t>
  </si>
  <si>
    <t>むら気な信奉者かあなたがコントロールする他のクリーチャーが１体死亡するたび、対戦相手１人を対象とする。そのプレイヤーは１点のライフを失い、あなたは１点のライフを得る。</t>
  </si>
  <si>
    <t>聖域の守護者を生け贄に捧げる：クリーチャー１体かプレイヤー１人を対象とする。このターン、あなたが選んだ発生源１つが次にそれに与えるすべてのダメージを軽減する。</t>
  </si>
  <si>
    <t>あなたがスピリット(Spirit)か秘儀(Arcane)呪文を唱えるたび、あなたは信心深い従者の上に気(ki)カウンターを１個置いてもよい。</t>
  </si>
  <si>
    <t>終了ステップの開始時に、信心深い従者の上に気カウンターが２個以上置かれている場合、あなたは信心深い従者を反転してもよい。</t>
  </si>
  <si>
    <t>忠義の記憶、戒想から気(ki)カウンターを１個取り除く：クリーチャー１体を対象とする。このターン、それに与えられるすべてのダメージを軽減する。</t>
  </si>
  <si>
    <t>(Ｔ),あなたがコントロールするアンタップ状態の人間(Human)２体をタップする：アーティファクト１つかエンチャント１つを対象とし、それを追放する。</t>
  </si>
  <si>
    <t>永暁の勇者に与えられる戦闘ダメージをすべて軽減する。</t>
  </si>
  <si>
    <t>あなたの終了ステップの開始時に、あなたがパワーが５以上のクリーチャーをコントロールしている場合、あなたは２点のライフを得てもよい。</t>
  </si>
  <si>
    <t>(Ｔ)：あなたのマナ・プールに(◇)を加える。</t>
  </si>
  <si>
    <t>昂揚 ― あなたの墓地にあるカードにカード・タイプが合計４種類以上含まれるかぎり、偏執的な教区刃は+1/+0の修整を受けるとともに先制攻撃を持つ。</t>
  </si>
  <si>
    <t>あなたのアップキープの開始時に、あなたがコントロールする白のクリーチャーを１体、オーナーの手札に戻す。</t>
  </si>
  <si>
    <t>迷えるオーラ術師が死亡したとき、その上に時間カウンターが１個も置かれていない場合、あなたはあなたのライブラリーからエンチャント・カードを１枚探し、それを戦場に出してもよい。そうした場合、あなたのライブラリーを切り直す。</t>
  </si>
  <si>
    <t>光輝 ― (Ｔ)：クリーチャー１体を対象とする。このターン、それと、その他の共通の色を持つ各クリーチャーに与えられる次のダメージを１点軽減する。</t>
  </si>
  <si>
    <t>あなたがコントロールする、+1/+1カウンターが置かれている各クリーチャーは絆魂を持つ。</t>
  </si>
  <si>
    <t>あなたの終了ステップの開始時に、アヴァシン教の宣教師が装備している場合、これを変身させる。</t>
  </si>
  <si>
    <t>このクリーチャーが月皇の審問官に変身したとき、他のクリーチャー１体を対象とする。あなたは月皇の審問官が戦場を離れるまでそれを追放してもよい。</t>
  </si>
  <si>
    <t>忌まわしきものの処刑者が戦場に出たとき、吸血鬼(Vampire)１体か狼男(Werewolf)１体かゾンビ(Zombie)１体を対象とする。あなたはそれを破壊してもよい。</t>
  </si>
  <si>
    <t>勇敢な先導が戦場に出たとき、あなたのライブラリーの一番上からカードを４枚見る。あなたはその中から人間(Human)カード１枚を公開してあなたの手札に加えてもよい。残りをあなたのライブラリーの一番下に望む順番で置く。</t>
  </si>
  <si>
    <t>あなたがコントロールする侍(Samurai)が死亡するたび、恩義ある侍の上に+1/+1カウンターを１個置いてもよい。</t>
  </si>
  <si>
    <t>あなたがクリーチャーを１体督励するたび、対戦相手がコントロールするクリーチャー１体を対象とし、それをタップする。</t>
  </si>
  <si>
    <t>練達の接合者が戦場に出たとき、無色の3/3のゴーレム(Golem)・アーティファクト・クリーチャー・トークンを１体生成する。</t>
  </si>
  <si>
    <t>あなたがコントロールするゴーレム・クリーチャーは+1/+1の修整を受ける。</t>
  </si>
  <si>
    <t>義理に縛られし者、長雄が攻撃するたび、あなたがコントロールする侍(Samurai)クリーチャーはターン終了時まで+1/+1の修整を受ける。</t>
  </si>
  <si>
    <t>霊廟の護衛が死亡したとき、飛行を持つ白の1/1のスピリット(Spirit)・クリーチャー・トークンを２体生成する。</t>
  </si>
  <si>
    <t>蓮眼の神秘家が戦場に出たとき、あなたの墓地にあるエンチャント・カード１枚を対象とし、それをあなたの手札に戻す。</t>
  </si>
  <si>
    <t>歴戦の司令官が攻撃するたび、クリーチャー１体を対象とする。あなたはそれをタップしてもよい。</t>
  </si>
  <si>
    <t>他のクリーチャーがあなたのコントロール下で戦場に出るたび、あなたがコントロールするクリーチャーはターン終了時まで+1/+1の修整を受ける。</t>
  </si>
  <si>
    <t>あなたがコントロールする機体(Vehicle)は飛行を持つ。</t>
  </si>
  <si>
    <t>(６),(Ｔ)：あなたの墓地にある、点数で見たマナ・コストが５以下であるレベル(Rebel)・パーマネント・カード１枚を対象とし、それを戦場に戻す。</t>
  </si>
  <si>
    <t>(Ｘ),(Ｔ)：このターン、点数で見たマナ・コストがＸである各クリーチャーは、攻撃したりブロックしたりできない。</t>
  </si>
  <si>
    <t>強襲 ― 機を見た軍族朋が戦場に出たとき、このターンにあなたがクリーチャーで攻撃していた場合、あなたの墓地にある点数で見たマナ・コストが２以下のクリーチャー・カード１枚を対象とし、それを戦場に戻す。</t>
  </si>
  <si>
    <t>疾風衣の騎兵が攻撃するたび、クリーチャー１体を対象とする。あなたはそれをタップしてもよい。</t>
  </si>
  <si>
    <t>疾風衣の騎兵がブロックされるたび、あなたは疾風衣の騎兵をアンタップし、戦闘から取り除いてもよい。</t>
  </si>
  <si>
    <t>嵐前線の乗り手が戦場に出たとき、あなたがコントロールするクリーチャー２体をオーナーの手札に戻す。</t>
  </si>
  <si>
    <t>嵐前線の乗り手か他のクリーチャーが戦場からあなたの手札に戻るたび、白の1/1の兵士(Soldier)クリーチャー・トークンを１体生成する。</t>
  </si>
  <si>
    <t>あなたがクリーチャーでない呪文を１つ唱えるたび、ターン終了時まで、あなたがコントロールするクリーチャーは+1/+1の修整を受ける。</t>
  </si>
  <si>
    <t>あなたがコントロールする+1/+1カウンターが置かれているクリーチャーが１体攻撃するたび、防御プレイヤーがコントロールするクリーチャー１体を対象とし、それをタップする。</t>
  </si>
  <si>
    <t>堅牢な防衛隊が戦場に出たとき、あなたは４点のライフを得る。</t>
  </si>
  <si>
    <t>武士道２（このクリーチャーがブロックするかブロックされた状態になるたび、それはターン終了時まで+2/+2の修整を受ける。）</t>
  </si>
  <si>
    <t>オーラ掠りの魔道士が戦場に出たとき、あなたのライブラリーからこれにエンチャントできるオーラ(Aura)・カードを１枚探す。オーラ掠りの魔道士が戦場に出ている場合、それはそのオーラがつけられた状態で戦場に出る。そうでない場合、そのオーラ・カードを公開し、あなたの手札に加える。その後あなたのライブラリーを切り直す。</t>
  </si>
  <si>
    <t>プラーフの聖騎士がダメージを与えるたび、あなたは同じ点数のライフを得る。</t>
  </si>
  <si>
    <t>オーリオックの生き残りが戦場に出たとき、あなたはあなたの墓地にある装備品(Equipment)カード１枚を対象とする。あなたはそれを戦場に戻してもよい。そうした場合、あなたはそれをオーリオックの生き残りにつけてもよい。</t>
  </si>
  <si>
    <t>都邑の庇護者が戦場に出たとき、飛行を持つ白の4/4の天使(Angel)クリーチャー・トークンを１体生成する。</t>
  </si>
  <si>
    <t>祖神に選ばれし者が戦場に出たとき、あなたは自分の墓地にあるカード１枚につき１点のライフを得る。</t>
  </si>
  <si>
    <t>回収の斥候</t>
  </si>
  <si>
    <t>オーリオックの貫通者</t>
  </si>
  <si>
    <t>スレイベンの軍旗手</t>
  </si>
  <si>
    <t>キイェルドーの投槍兵</t>
  </si>
  <si>
    <t>アクラサの従者</t>
  </si>
  <si>
    <t>ドロモカの砂丘唱え</t>
  </si>
  <si>
    <t>儀仗兵</t>
  </si>
  <si>
    <t>コーリスの子</t>
  </si>
  <si>
    <t>キンジャーリの呼び手</t>
  </si>
  <si>
    <t>介護人</t>
  </si>
  <si>
    <t>大聖堂の聖別者</t>
  </si>
  <si>
    <t>ハズダーの免罪人</t>
  </si>
  <si>
    <t>雄々しい守備兵</t>
  </si>
  <si>
    <t>隊商の随員</t>
  </si>
  <si>
    <t>ニクス生まれの盾の仲間</t>
  </si>
  <si>
    <t>スレイベンの検査官</t>
  </si>
  <si>
    <t>マルドゥの悪刃</t>
  </si>
  <si>
    <t>熱心な士官候補生</t>
  </si>
  <si>
    <t>サマイトの香炉持ち</t>
  </si>
  <si>
    <t>無私の聖戦士</t>
  </si>
  <si>
    <t>厳格な巡邏官</t>
  </si>
  <si>
    <t>魂の管理人</t>
  </si>
  <si>
    <t>議事会の崇拝者</t>
  </si>
  <si>
    <t>アクロスの看守</t>
  </si>
  <si>
    <t>ギデオンの法の番人</t>
  </si>
  <si>
    <t>献身的な家来</t>
  </si>
  <si>
    <t>砂の殉教者</t>
  </si>
  <si>
    <t>王神の信者</t>
  </si>
  <si>
    <t>炎蹄の騎兵</t>
  </si>
  <si>
    <t>勇猛な反対派</t>
  </si>
  <si>
    <t>献身的な補充兵</t>
  </si>
  <si>
    <t>真夜中の決闘者</t>
  </si>
  <si>
    <t>魂癒し人</t>
  </si>
  <si>
    <t>オーリオックの長刀使い</t>
  </si>
  <si>
    <t>宿命の旅人</t>
  </si>
  <si>
    <t>龍の眼の歩哨</t>
  </si>
  <si>
    <t>歴戦の歩兵</t>
  </si>
  <si>
    <t>魂の従者</t>
  </si>
  <si>
    <t>トーパの自由刃</t>
  </si>
  <si>
    <t>歴戦の騎兵</t>
  </si>
  <si>
    <t>目潰しの魔道士</t>
  </si>
  <si>
    <t>アヴァシン教の僧侶</t>
  </si>
  <si>
    <t>旅する哲人</t>
  </si>
  <si>
    <t>荒場の蛾乗り</t>
  </si>
  <si>
    <t>イキーラルの先導</t>
  </si>
  <si>
    <t>物騒な群衆</t>
  </si>
  <si>
    <t>石識の防衛者</t>
  </si>
  <si>
    <t>不動の守備兵</t>
  </si>
  <si>
    <t>オーリオックの太陽追い</t>
  </si>
  <si>
    <t>不動の聖戦士</t>
  </si>
  <si>
    <t>スレイベンの勇者</t>
  </si>
  <si>
    <t>セテッサの戦神官</t>
  </si>
  <si>
    <t>ドロモカの戦士</t>
  </si>
  <si>
    <t>栄光の探求者</t>
  </si>
  <si>
    <t>突風歩き</t>
  </si>
  <si>
    <t>ベナリアの騎兵</t>
  </si>
  <si>
    <t>果敢なスカイジェク</t>
  </si>
  <si>
    <t>シガルダ教の僧侶</t>
  </si>
  <si>
    <t>グリフィンの乗り手</t>
  </si>
  <si>
    <t>ムーアランドの審問官</t>
  </si>
  <si>
    <t>オンドゥの戦僧侶</t>
  </si>
  <si>
    <t>弩弓歩兵</t>
  </si>
  <si>
    <t>選定の司祭</t>
  </si>
  <si>
    <t>目明き階級の魔術師</t>
  </si>
  <si>
    <t>アクロスの空護衛</t>
  </si>
  <si>
    <t>光歩き</t>
  </si>
  <si>
    <t>オケチラの報復者</t>
  </si>
  <si>
    <t>忠実な聖戦士</t>
  </si>
  <si>
    <t>不浄の聖戦士</t>
  </si>
  <si>
    <t>ジェスカイの学徒</t>
  </si>
  <si>
    <t>サマイトの癒し手</t>
  </si>
  <si>
    <t>太陽の歩哨</t>
  </si>
  <si>
    <t>アラシンの僧侶</t>
  </si>
  <si>
    <t>キャパシェンの騎士</t>
  </si>
  <si>
    <t>天望の騎士</t>
  </si>
  <si>
    <t>古参兵の鎧鍛冶</t>
  </si>
  <si>
    <t>ドロモカの伝令</t>
  </si>
  <si>
    <t>おとりの達人</t>
  </si>
  <si>
    <t>遍歴の宿命語り</t>
  </si>
  <si>
    <t>断固たる盾持ち</t>
  </si>
  <si>
    <t>徴税理事</t>
  </si>
  <si>
    <t>若年の騎士</t>
  </si>
  <si>
    <t>ヴェク追われの占い師</t>
  </si>
  <si>
    <t>キイェルドーの先導</t>
  </si>
  <si>
    <t>アゾリウスの拘引者</t>
  </si>
  <si>
    <t>前線の僧侶</t>
  </si>
  <si>
    <t>古参兵の武具師</t>
  </si>
  <si>
    <t>遠沼の探検者</t>
  </si>
  <si>
    <t>陽動の達人</t>
  </si>
  <si>
    <t>従者つきの騎士</t>
  </si>
  <si>
    <t>不屈の聖戦士</t>
  </si>
  <si>
    <t>レト一門の槍の達人</t>
  </si>
  <si>
    <t>宮廷通りの住人</t>
  </si>
  <si>
    <t>捨て身の歩哨</t>
  </si>
  <si>
    <t>ヴェク追われの盲信者</t>
  </si>
  <si>
    <t>マルドゥの軍族長</t>
  </si>
  <si>
    <t>巡礼者の道の騎士</t>
  </si>
  <si>
    <t>オーラ術師</t>
  </si>
  <si>
    <t>華麗なる突風乗り</t>
  </si>
  <si>
    <t>ベナリアの古参兵</t>
  </si>
  <si>
    <t>砂造形の魔道士</t>
  </si>
  <si>
    <t>常備軍</t>
  </si>
  <si>
    <t>夜番の巡回兵</t>
  </si>
  <si>
    <t>アイケイシアの触れ役</t>
  </si>
  <si>
    <t>深夜の護衛</t>
  </si>
  <si>
    <t>自由風の乗馬兵</t>
  </si>
  <si>
    <t>エイスリオスの学者</t>
  </si>
  <si>
    <t>砂草原ののけ者</t>
  </si>
  <si>
    <t>うねる歩哨</t>
  </si>
  <si>
    <t>古参兵の剣鍛冶</t>
  </si>
  <si>
    <t>ハズダーの罠部隊</t>
  </si>
  <si>
    <t>鉄覆いの処刑者</t>
  </si>
  <si>
    <t>アーファの守護者</t>
  </si>
  <si>
    <t>上座の聖戦士</t>
  </si>
  <si>
    <t>歌鳥の売り手</t>
  </si>
  <si>
    <t>散兵の精鋭</t>
  </si>
  <si>
    <t>戦闘的な審問官</t>
  </si>
  <si>
    <t>龍鐘の僧兵</t>
  </si>
  <si>
    <t>マキンディの巡回兵</t>
  </si>
  <si>
    <t>ベナリアの騎士</t>
  </si>
  <si>
    <t>博覧会の歓迎者</t>
  </si>
  <si>
    <t>アクラサの守護者</t>
  </si>
  <si>
    <t>宮殿の護衛</t>
  </si>
  <si>
    <t>天馬の乗り手</t>
  </si>
  <si>
    <t>断固たる修練者</t>
  </si>
  <si>
    <t>アヴナントの癒し手</t>
  </si>
  <si>
    <t>村の鐘鳴らし</t>
  </si>
  <si>
    <t>聖堂の護衛</t>
  </si>
  <si>
    <t>ヘリオッドの巡礼者</t>
  </si>
  <si>
    <t>ありがたい老修道士</t>
  </si>
  <si>
    <t>塩平原の世捨て</t>
  </si>
  <si>
    <t>塩路の巡回兵</t>
  </si>
  <si>
    <t>オジュタイの学徒</t>
  </si>
  <si>
    <t>歩兵部隊</t>
  </si>
  <si>
    <t>落とし子縛りの魔道士</t>
  </si>
  <si>
    <t>武野の騎兵</t>
  </si>
  <si>
    <t>スレイベンの歩哨</t>
  </si>
  <si>
    <t>スレイベンの民兵</t>
  </si>
  <si>
    <t>不動の歩哨</t>
  </si>
  <si>
    <t>太陽塔の門番</t>
  </si>
  <si>
    <t>蛾乗りの侍</t>
  </si>
  <si>
    <t>フォライアスの介入者</t>
  </si>
  <si>
    <t>雲の十字軍</t>
  </si>
  <si>
    <t>サーシの騎士</t>
  </si>
  <si>
    <t>ミッドヴァストの守護者</t>
  </si>
  <si>
    <t>エファラの管理人</t>
  </si>
  <si>
    <t>プロペラの先駆者</t>
  </si>
  <si>
    <t>エルゴードの審問官</t>
  </si>
  <si>
    <t>アンプリンの戦術家</t>
  </si>
  <si>
    <t>悪鬼を縛る者</t>
  </si>
  <si>
    <t>鼓舞する隊長</t>
  </si>
  <si>
    <t>プテロドンの騎士</t>
  </si>
  <si>
    <t>暁駆けの聖騎士</t>
  </si>
  <si>
    <t>不屈の宣教師</t>
  </si>
  <si>
    <t>重歩兵</t>
  </si>
  <si>
    <t>航行隊の猛士</t>
  </si>
  <si>
    <t>空乗りの見習い</t>
  </si>
  <si>
    <t>議事会の密集軍</t>
  </si>
  <si>
    <t>日の出の追求者</t>
  </si>
  <si>
    <t>信仰持ちの聖騎士</t>
  </si>
  <si>
    <t>議事会の乗馬兵</t>
  </si>
  <si>
    <t>[CIP]</t>
    <phoneticPr fontId="2"/>
  </si>
  <si>
    <t>[反転]</t>
    <rPh sb="1" eb="3">
      <t>ハンテン</t>
    </rPh>
    <phoneticPr fontId="2"/>
  </si>
  <si>
    <t>戦闘終了時に、この戦闘でアクロスの英雄、キテオンと少なくとも２体の他のクリーチャーが攻撃していた場合、アクロスの英雄、キテオンを追放し、その後、これを変身させた状態でオーナーのコントロール下で戦場に戻す。</t>
  </si>
  <si>
    <t>[+2]：対戦相手がコントロールするクリーチャーを最大１体まで対象とする。それのコントローラーの次のターン中、そのクリーチャーは可能なら歴戦の戦士、ギデオンを攻撃する。</t>
  </si>
  <si>
    <t>[+1]：クリーチャー１体を対象とする。次のあなたのターンまで、それは破壊不能を得る。そのクリーチャーをアンタップする。</t>
  </si>
  <si>
    <t>[0]：ターン終了時まで、歴戦の戦士、ギデオンは破壊不能を持つ4/4の人間(Human)・兵士(Soldier)クリーチャーになる。これはプレインズウォーカーでもある。このターン、これに与えられるすべてのダメージを軽減する。</t>
  </si>
  <si>
    <t>プロテクション（多色）</t>
  </si>
  <si>
    <t>対戦相手が多色の呪文を１つ唱えるたび、あなたは１点のライフを得る。</t>
  </si>
  <si>
    <t>月皇ミケウスは、+1/+1カウンターがＸ個置かれた状態で戦場に出る。</t>
  </si>
  <si>
    <t>(Ｔ)：月皇ミケウスの上に+1/+1カウンターを１個置く。</t>
  </si>
  <si>
    <t>(Ｔ),月皇ミケウスから+1/+1カウンターを１個取り除く：あなたがコントロールする他の各クリーチャーの上に+1/+1カウンターを１個置く。</t>
  </si>
  <si>
    <t>あなたのアップキープの開始時に、あなたはあなたの手札から恐竜(Dinosaur)カード１枚を公開してもよい。そうしたなら、あなたは２点のライフを得る。</t>
  </si>
  <si>
    <t>忠誠な歩哨がクリーチャー１体をブロックしたとき、そのクリーチャーと忠誠な歩哨を破壊する。</t>
  </si>
  <si>
    <t>あなたがアナフェンザの伝令の長久能力を起動するたび、白の1/1の戦士(Warrior)クリーチャー・トークンを１体生成する。</t>
  </si>
  <si>
    <t>あなたのライフが３０点以上であるかぎり、セラの高位僧は+5/+5の修整を受けるとともに飛行を持つ。</t>
  </si>
  <si>
    <t>他の人間(Human)があなたのコントロール下で戦場に出るたび、教区の勇者の上に+1/+1カウンターを１個置く。</t>
  </si>
  <si>
    <t>あなたのターンの間、あなたの対戦相手は呪文を唱えられず、アーティファクトやクリーチャーやエンチャントの能力を起動できない。</t>
  </si>
  <si>
    <t>戦場に出るクリーチャーは能力を誘発させない。</t>
  </si>
  <si>
    <t>プロテクション（吸血鬼(Vampire)）、プロテクション（狼男(Werewolf)）、プロテクション（ゾンビ(Zombie)）</t>
  </si>
  <si>
    <t>あなたがコントロールするインスタント呪文とソーサリー呪文は絆魂を持つ。</t>
  </si>
  <si>
    <t>あなたが唱えるオーラ(Aura)呪文は、それを唱えるためのコストが(１)少なくなる。</t>
  </si>
  <si>
    <t>英雄的 ― あなたがイロアスの英雄を対象とする呪文を１つ唱えるたび、イロアスの英雄の上に+1/+1カウンターを１個置く。</t>
  </si>
  <si>
    <t>装備品(Equipment)があなたのコントロール下で戦場に出るたび、あなたはカードを１枚引いてもよい。</t>
  </si>
  <si>
    <t>金属術 ― あなたが３つ以上のアーティファクトをコントロールしているかぎり、あなたがコントロールする装備品は装備(０)を持つ。</t>
  </si>
  <si>
    <t>プロテクション（黒）、プロテクション（赤）</t>
  </si>
  <si>
    <t>あなたは、あなたが唱える侍(Samurai)呪文のマナ・コストを支払うのではなく、(Ｘ)を支払うことを選んでもよい。Ｘは、その呪文の点数で見たマナ・コストである。</t>
  </si>
  <si>
    <t>あなたの対戦相手がコントロールするクリーチャーはタップ状態で戦場に出る。</t>
  </si>
  <si>
    <t>サリアの副官が戦場に出たとき、あなたがコントロールする他の各人間(Human)の上に+1/+1カウンターをそれぞれ１個置く。</t>
  </si>
  <si>
    <t>他の人間が１体あなたのコントロール下で戦場に出るたび、サリアの副官の上に+1/+1カウンターをそれぞれ１個置く。</t>
  </si>
  <si>
    <t>真珠の達人が表向きになったとき、ターン終了時まで、あなたがコントロールするクリーチャーは+2/+2の修整を受ける。</t>
  </si>
  <si>
    <t>クリーチャーでない呪文は、それを唱えるためのコストが(１)多くなる。</t>
  </si>
  <si>
    <t>隠れたる龍殺しが表向きになったとき、対戦相手がコントロールするパワーが４以上のクリーチャー１体を対象とし、それを破壊する。</t>
  </si>
  <si>
    <t>秘宝の探求者が高名になったとき、あなたはあなたのライブラリーから装備品(Equipment)カードを１枚探してもよい。そうしたなら、それを公開してあなたの手札に加え、その後あなたのライブラリーを切り直す。</t>
  </si>
  <si>
    <t>白蘭の騎士が戦場に出たとき、対戦相手１人があなたより多くの土地をコントロールしている場合、あなたはあなたのライブラリーから平地(Plains)カードを１枚探してもよい。そうしたなら、それを戦場に出し、その後あなたのライブラリーを切り直す。</t>
  </si>
  <si>
    <t>あなたが支払う装備コストは(１)少なくなる。</t>
  </si>
  <si>
    <t>オーリオックの鋼打ちが装備しているかぎり、あなたがコントロールする兵士(Soldier)か騎士(Knight)である各クリーチャーはそれぞれ+1/+1の修整を受ける。</t>
  </si>
  <si>
    <t>このターン、アーティファクトでない呪文を唱えた各プレイヤーは、追加のアーティファクトでない呪文を唱えられない。</t>
  </si>
  <si>
    <t>管区の隊長がプレイヤー１人に戦闘ダメージを与えるたび、白の1/1の兵士(Soldier)クリーチャー・トークンを１体生成する。</t>
  </si>
  <si>
    <t>あなたのアップキープの開始時に、あなたがクリーチャーを４体以上コントロールしている場合、ハンウィアーの民兵隊長を変身させる。</t>
  </si>
  <si>
    <t>ウェストヴェイル教団の指導者のパワーとタフネスはそれぞれ、あなたがコントロールするクリーチャーの総数に等しい。</t>
  </si>
  <si>
    <t>あなたの終了ステップの開始時に、白であり黒である1/1の人間(Human)・クレリック(Cleric)・クリーチャー・トークンを１体生成する。</t>
  </si>
  <si>
    <t>あなたがクリーチャーでない呪文を１つ唱えるたび、果敢を持つ白の1/1のモンク(Monk)・クリーチャー・トークンを１体生成する。</t>
  </si>
  <si>
    <t>(Ｔ)：白の1/1の人間(Human)クリーチャー・トークンを１体生成する。</t>
  </si>
  <si>
    <t>窮地 ― あなたのライフが５点以下であるかぎり、あなたがコントロールする他のクリーチャーは+2/+2の修整を受ける。</t>
  </si>
  <si>
    <t>側面攻撃</t>
  </si>
  <si>
    <t>あなたがエンチャント呪文を唱えるたび、あなたはカードを１枚引いてもよい。</t>
  </si>
  <si>
    <t>大隊 ― 前線の衛生兵と少なくとも２体の他のクリーチャーが攻撃するたび、あなたがコントロールするクリーチャーはターン終了時まで破壊不能を得る。</t>
  </si>
  <si>
    <t>前線の衛生兵を生け贄に捧げる：マナ・コストに(Ｘ)を含む呪文１つを対象とする。それのコントローラーが(３)を支払わないかぎり、それを打ち消す。</t>
  </si>
  <si>
    <t>先制攻撃、プロテクション（赤）</t>
  </si>
  <si>
    <t>茨の騎士ティヴァダールが戦場に出たとき、ゴブリン(Goblin)１つを対象とし、それを破壊する。</t>
  </si>
  <si>
    <t>(Ｔ)：クリーチャー１体を対象とする。このターン、それに与えられるすべてのダメージを軽減する。</t>
  </si>
  <si>
    <t>壮大 ― 他の《サマイトの守護者オリス/Oriss, Samite Guardian》という名前のカードを１枚捨てる：プレイヤー１人を対象とする。このターン、そのプレイヤーは呪文を唱えられず、そのプレイヤーがコントロールするクリーチャーは攻撃できない。</t>
  </si>
  <si>
    <t>英雄的 ― あなたが威名の英雄を対象とする呪文を１つ唱えるたび、威名の英雄の上に+1/+1カウンターを１個置く。</t>
  </si>
  <si>
    <t>(Ｔ)：パーマネント１つを対象とする。コロンドールのマンガラとそれを追放する。</t>
  </si>
  <si>
    <t>他のパワーが２以下のクリーチャーがあなたのコントロール下で戦場に出るたび、あなたは(１)を支払ってもよい。そうした場合、カードを１枚引く。</t>
  </si>
  <si>
    <t>あなたがコントロールするタップ状態のクリーチャーは、それらがアンタップ状態であるかのようにブロックできる。</t>
  </si>
  <si>
    <t>カビーラの福音者か他の同盟者(Ally)があなたのコントロール下で場に出るたび、あなたは色を１色選んでもよい。そうした場合、あなたがコントロールする同盟者は、ターン終了時までプロテクション（選ばれた色）を得る。</t>
  </si>
  <si>
    <t>銀刃の聖騎士が他のクリーチャーと組になっているかぎり、両方のクリーチャーは二段攻撃を持つ。</t>
  </si>
  <si>
    <t>対戦相手がコントロールする、クリーチャーと基本でない土地はタップ状態で戦場に出る。</t>
  </si>
  <si>
    <t>対戦相手１人がコントロールするクリーチャーがタップ状態になるたび、ギデオンの報復者の上に+1/+1カウンターを１個置く。</t>
  </si>
  <si>
    <t>(Ｔ)：パワーが４以上のクリーチャー１体を対象とし、それを破壊する。</t>
  </si>
  <si>
    <t>結集 ― ランタンの斥候か他の同盟者(Ally)が１体あなたのコントロール下で戦場に出るたび、ターン終了時まで、あなたがコントロールするクリーチャーは絆魂を得る。</t>
  </si>
  <si>
    <t>鬼斬の聖騎士は、あなたの対戦相手がコントロールする黒や赤の呪文の対象にならない。</t>
  </si>
  <si>
    <t>二段攻撃、プロテクション（黒）、プロテクション（緑）</t>
  </si>
  <si>
    <t>アラシンの先頭に立つ者が戦場に出るか攻撃するたび、あなたがコントロールする他の戦士(Warrior)クリーチャー１体を対象とする。ターン終了時まで、それは二段攻撃を得る。</t>
  </si>
  <si>
    <t>刃の接合者が戦場に出たとき、無色の3/3のゴーレム(Golem)・アーティファクト・クリーチャー・トークン１体を生成する。</t>
  </si>
  <si>
    <t>あなたがコントロールするゴーレム・クリーチャーは先制攻撃を持つ。</t>
  </si>
  <si>
    <t>対戦相手がコントロールする発生源があなたにダメージを与えるたび、そのプレイヤーはパーマネントを１つ生け贄に捧げる。</t>
  </si>
  <si>
    <t>ガヴォニーの騎手が戦場に出るに際し、クリーチャー・タイプを１つ選ぶ。</t>
  </si>
  <si>
    <t>あなたがコントロールする人間(Human)クリーチャーはプロテクション（その選ばれたタイプのクリーチャー）を持つ。</t>
  </si>
  <si>
    <t>飛行、絆魂</t>
  </si>
  <si>
    <t>英雄的 ― あなたが黎明運びの戦車兵を対象とする呪文を１つ唱えるたび、黎明運びの戦車兵の上に+1/+1カウンターを１個置く。</t>
  </si>
  <si>
    <t>城壁の聖騎士か他の同盟者(Ally)があなたのコントロール下で戦場に出るたび、あなたは「あなたがコントロールする同盟者はターン終了時まで絆魂を得る」ことを選んでもよく、あなたは城壁の聖騎士の上に+1/+1カウンターを１個置いてもよい。</t>
  </si>
  <si>
    <t>革命家チョー＝マノに与えられるすべてのダメージを軽減する。</t>
  </si>
  <si>
    <t>(Ｔ)：あなたがコントロールする装備品(Equipment)１つと、あなたがコントロールするクリーチャー１体を対象とする。その装備品を、そのクリーチャーにつける。</t>
  </si>
  <si>
    <t>すべてのクリーチャーは「あなたのアップキープの開始時に、あなたが(１)を支払わないかぎり、このクリーチャーを生け贄に捧げる。」を持つ。</t>
  </si>
  <si>
    <t>他のクリーチャーが１体あなたのコントロール下で戦場に出るたび、ターン終了時まで、魂の聖別者は+1/+1の修整を受ける。</t>
  </si>
  <si>
    <t>(Ｔ)：クリーチャー１体を対象とする。このターン、あなたが選んだ発生源１つがそのクリーチャーに与えるすべてのダメージは、代わりに巫女の従者に与えられる。</t>
  </si>
  <si>
    <t>刃砦の英雄が攻撃するたび、タップ状態で攻撃している白の1/1の兵士(Soldier)クリーチャー・トークンを２体生成する。</t>
  </si>
  <si>
    <t>各戦闘の開始時に、あなたが１体以上の先制攻撃を持つクリーチャーをコントロールしているなら、ターン終了時まで、あなたがコントロールするクリーチャーは先制攻撃を得る。飛行、接死、二段攻撃、速攻、呪禁、破壊不能、絆魂、威迫、到達、潜伏、トランプル、警戒についても同様である。</t>
  </si>
  <si>
    <t>熟練の戦術家、オドリックと少なくとも３体の他のクリーチャーが攻撃するたび、あなたはこの戦闘でどのクリーチャーがどのようにブロックするかを選ぶ。</t>
  </si>
  <si>
    <t>円盤の大魔術師はタップ状態で戦場に出る。</t>
  </si>
  <si>
    <t>(１),(Ｔ)：すべてのアーティファクトとすべてのクリーチャーとすべてのエンチャントを破壊する。</t>
  </si>
  <si>
    <t>飛行を持たないクリーチャーは攻撃できない。</t>
  </si>
  <si>
    <t>イーオスのレインジャーが戦場に出たとき、あなたはあなたのライブラリーから点数で見たマナ・コストが１以下のクリーチャー・カードを最大２枚まで探し、それらを公開してあなたの手札に加えてもよい。そうした場合、あなたのライブラリーを切り直す。</t>
  </si>
  <si>
    <t>不屈のダガタールは、+1/+1カウンターが４個置かれた状態で戦場に出る。</t>
  </si>
  <si>
    <t>ベナリアの司令官のパワーとタフネスはそれぞれ、あなたがコントロールする兵士(Soldier)の数に等しい。</t>
  </si>
  <si>
    <t>ベナリアの司令官が追放されている間にそれから時間(time)カウンターが取り除かれるたび、白の1/1の兵士クリーチャー・トークンを１体生成する。</t>
  </si>
  <si>
    <t>あなたがクリーチャーでない呪文を１つ唱えるたび、以下から１つを選ぶ。</t>
  </si>
  <si>
    <t>・クリーチャー１体を対象とし、それをタップする。</t>
  </si>
  <si>
    <t>・ターン終了時まで、オジュタイの模範は先制攻撃と絆魂を得る。</t>
  </si>
  <si>
    <t>・オジュタイの模範を追放し、その後これをオーナーのコントロール下でタップ状態で戦場に戻す。</t>
  </si>
  <si>
    <t>タズリ将軍が戦場に出たとき、あなたはあなたのライブラリーから同盟者(Ally)クリーチャー・カードを１枚探してもよい。そうしたなら、それを公開してあなたの手札に加え、その後あなたのライブラリーを切り直す。</t>
  </si>
  <si>
    <t>結集 ― ゴーマ・ファーダの英雄か他の同盟者(Ally)が１体あなたのコントロール下で戦場に出るたび、ターン終了時まで、あなたがコントロールするクリーチャーは破壊不能を得る。</t>
  </si>
  <si>
    <t>光帯びの聖騎士がプレイヤー１人に戦闘ダメージを与えるたび、そのプレイヤーがコントロールする黒か赤のパーマネント１つを対象とする。あなたはそれを追放してもよい。</t>
  </si>
  <si>
    <t>イーオスの騎士長が戦場に出たとき、白の1/1の兵士(Soldier)クリーチャー・トークンを２体生成する。</t>
  </si>
  <si>
    <t>(Ｔ)：このターン、ブロックされなかったクリーチャーによってあなたに与えられるすべての戦闘ダメージは、代わりにキイェルドーの近衛隊に与えられる。</t>
  </si>
  <si>
    <t>(Ｔ)：クリーチャー１体かプレイヤー１人を対象とする。このターン、それに与えられる次のダメージを４点軽減する。</t>
  </si>
  <si>
    <t>サリアの槍騎兵が戦場に出たとき、あなたはあなたのライブラリーから伝説のカード１枚を探してもよい。そうしたなら、それを公開してあなたの手札に加え、その後あなたのライブラリーを切り直す。</t>
  </si>
  <si>
    <t>五制術の聖騎士が戦場に出るに際し、色を１色選ぶ。</t>
  </si>
  <si>
    <t>霊誉の僧兵のパワーとタフネスはそれぞれ、あなたがコントロールするクリーチャーの総数に等しい。</t>
  </si>
  <si>
    <t>霊誉の僧兵が戦場に出たとき、飛行を持つ白の1/1のスピリット(Spirit)・クリーチャー・トークンを２体生成する。</t>
  </si>
  <si>
    <t>目を開いた者、デジェルが戦場に出たとき、あなたはあなたのライブラリーからプレインズウォーカー・カード１枚を探してもよい。そうしたなら、それを公開してあなたの手札に加え、その後あなたのライブラリーを切り直す。</t>
  </si>
  <si>
    <t>発生源１つがあなたがコントロールするプレインズウォーカーにダメージを与えるなら、そのダメージを１点軽減する。</t>
  </si>
  <si>
    <t>(Ｔ)：攻撃しているクリーチャーかブロックしているクリーチャー１体を対象とする。精鋭なる射手はそれに３点のダメージを与える。</t>
  </si>
  <si>
    <t>あなたにダメージが与えられるたび、あなたはその点数に等しい数の白の1/1の兵士(Soldier)クリーチャー・トークンを生成してもよい。</t>
  </si>
  <si>
    <t>雨ざらしのボディガードがアンタップ状態であるかぎり、ブロックされなかったクリーチャーによってあなたに与えられるすべての戦闘ダメージは、代わりに雨ざらしのボディガードに与えられる。</t>
  </si>
  <si>
    <t>あなたがコントロールする他の各侍(Samurai)クリーチャーは、それが持つ武士道の数１点につき+1/+1の修整を受ける。</t>
  </si>
  <si>
    <t>他の白のクリーチャーは+1/+1の修整を受ける。</t>
  </si>
  <si>
    <t>白でないクリーチャーは-1/-1の修整を受ける。</t>
  </si>
  <si>
    <t>２点のライフを支払う：隆盛なる勇士クロウヴァクスをオーナーの手札に戻す。</t>
  </si>
  <si>
    <t>あなたがコントロールする他の兵士(Soldier)クリーチャーは+1/+1の修整を受けるとともに警戒を持つ。</t>
  </si>
  <si>
    <t>警備隊長が戦場に出たとき、白の1/1の兵士クリーチャー・トークンを３体生成する。</t>
  </si>
  <si>
    <t>警戒、破壊不能</t>
  </si>
  <si>
    <t>Worldwake</t>
  </si>
  <si>
    <t>Fifth Dawn</t>
  </si>
  <si>
    <t>New Phyrexia</t>
  </si>
  <si>
    <t>Zendikar</t>
  </si>
  <si>
    <t>Lv2-4：あなたがコントロールする他のクリーチャーは+1/+1の修整を受ける。3/6</t>
    <phoneticPr fontId="2"/>
  </si>
  <si>
    <t>Lv5+：あなたがコントロールする他のクリーチャーは+2/+2の修整を受ける。4/8</t>
    <phoneticPr fontId="2"/>
  </si>
  <si>
    <t>_0/1</t>
  </si>
  <si>
    <t>_4/4</t>
  </si>
  <si>
    <t>_*/*</t>
  </si>
  <si>
    <t>_4/3</t>
  </si>
  <si>
    <t>_4/6</t>
  </si>
  <si>
    <t>(５)(W)</t>
  </si>
  <si>
    <t>(５)(W)(W)</t>
  </si>
  <si>
    <t>(２)(W),(Ｔ),緑のクリーチャー１体と白のクリーチャー１体と青のクリーチャー１体を生け贄に捧げる：あなたのライブラリーから《浄火の大天使/Empryial Archangel》という名前のカードを１枚探し、それを戦場に出す。その後、あなたのライブラリーを切り直す。</t>
  </si>
  <si>
    <t>(１)(W)(W)：クリーチャー１体を対象とする。それはターン終了時まで+1/+1の修整を受ける。</t>
  </si>
  <si>
    <t>(７)(W)：あなたは５点のライフを得る。</t>
  </si>
  <si>
    <t>(W),(Ｔ)：アーティファクト１つを対象とし、それを再生する。</t>
  </si>
  <si>
    <t>あなたがライフを得るたび、クリーチャー１体を対象とする。あなたは(W)を支払ってもよい。そうしたなら、それの上に+1/+1カウンターを１個置く。</t>
  </si>
  <si>
    <t>神啓 ― 神に寵愛された将軍がアンタップ状態になるたび、あなたは(２)(W)を支払ってもよい。そうしたなら、白の1/1の兵士(Soldier)クリーチャー・エンチャント・トークンを２体生成する。</t>
  </si>
  <si>
    <t>(W)(W)：攻撃しているクリーチャー１体を対象とする。それはターン終了時まで-1/-0の修整を受ける。</t>
  </si>
  <si>
    <t>(１)(W)：このターン、次に盲信の審問官に与えられる１点のダメージは、代わりにクリーチャー１体を対象とし、そのクリーチャーに与えられる。</t>
  </si>
  <si>
    <t>(W),(Ｔ)：スケルトン(Skeleton)１つか吸血鬼(Vampire)１つかゾンビ(Zombie)１つを対象とし、それを追放する。</t>
  </si>
  <si>
    <t>(２)(W),(Ｔ)：攻撃かブロックしているクリーチャー１体を対象とする。大石弓の精鋭はそれに３点のダメージを与える。大石弓の精鋭は、あなたの次のアンタップ・ステップにアンタップしない。</t>
  </si>
  <si>
    <t>(Ｘ)(W),(Ｔ)：攻撃しているクリーチャーかブロックしているクリーチャー１体を対象とする。バリスタ班はそれにＸ点のダメージを与える。</t>
  </si>
  <si>
    <t>(２)(W),(Ｔ)：クリーチャー１体を対象とし、それをタップする。そのクリーチャーがゾンビ(Zombie)である場合、それを追放する。</t>
  </si>
  <si>
    <t>(１)(W)：あなたの墓地にある、点数で見たマナ・コストが１以下のアーティファクト・カード１枚を対象とし、それをあなたの手札に戻す。</t>
  </si>
  <si>
    <t>(W)：白き盾の十字軍はターン終了時まで飛行を得る。</t>
  </si>
  <si>
    <t>(２)(W),あなたの墓地から近野の司祭を追放する：飛行を持つ白の1/1のスピリット(Spirit)・クリーチャー・トークンを２体生成する。この能力は、あなたがソーサリーを唱えられるときにのみ起動できる。</t>
  </si>
  <si>
    <t>(W)(W)：白き盾の十字軍はターン終了時まで+1/+0の修整を受ける。</t>
  </si>
  <si>
    <t>(３)(U)：クリーチャー１体を対象とし、それをタップする。</t>
  </si>
  <si>
    <t>(U),(Ｔ)：クリーチャー１体を対象とする。それはターン終了時まで飛行を得る。</t>
  </si>
  <si>
    <t>(２)(R)：あなたがコントロールするクリーチャーは、ターン終了時まで+1/+0の修整を受ける。</t>
  </si>
  <si>
    <t>(G),(Ｔ)：クリーチャー１体を対象とする。それはターン終了時までトランプルを得る。</t>
  </si>
  <si>
    <t>(W)(U)(B)(R)(G)：ターン終了時まで、アミーシャの模範は天使(Angel)になるとともに+3/+3の修整を受け飛行と絆魂を得る。</t>
  </si>
  <si>
    <t>ハーダの自由刃</t>
  </si>
  <si>
    <t>勇者の選定師</t>
  </si>
  <si>
    <t>帝国の槍騎兵</t>
  </si>
  <si>
    <t>ボロスの精鋭</t>
  </si>
  <si>
    <t>新参の武士</t>
  </si>
  <si>
    <t>冷酷なる者、謙造</t>
  </si>
  <si>
    <t>マルドゥの悲哀狩り</t>
  </si>
  <si>
    <t>天使の伝令</t>
  </si>
  <si>
    <t>先兵の精鋭</t>
  </si>
  <si>
    <t>恩寵の重装歩兵</t>
  </si>
  <si>
    <t>町のゴシップ屋</t>
  </si>
  <si>
    <t>扇動された民衆</t>
  </si>
  <si>
    <t>廃院の神主</t>
  </si>
  <si>
    <t>探検隊の特使</t>
  </si>
  <si>
    <t>星の兵団</t>
  </si>
  <si>
    <t>境界線の隊長</t>
  </si>
  <si>
    <t>ドラゴンを狩る者</t>
  </si>
  <si>
    <t>アイケイシアの僧侶</t>
  </si>
  <si>
    <t>スレイベンの異端者</t>
  </si>
  <si>
    <t>単体騎手</t>
  </si>
  <si>
    <t>同体騎手</t>
  </si>
  <si>
    <t>療治の侍臣</t>
  </si>
  <si>
    <t>星明かりの発動者</t>
  </si>
  <si>
    <t>マイア鍛冶</t>
  </si>
  <si>
    <t>不屈の河川司令官</t>
  </si>
  <si>
    <t>機械医師</t>
  </si>
  <si>
    <t>道の探求者</t>
  </si>
  <si>
    <t>カザンドゥの刃の達人</t>
  </si>
  <si>
    <t>密集軍の指揮者</t>
  </si>
  <si>
    <t>放浪する勇者</t>
  </si>
  <si>
    <t>魂の織り手</t>
  </si>
  <si>
    <t>菌類学者</t>
  </si>
  <si>
    <t>オーリオックの刃工</t>
  </si>
  <si>
    <t>近野の巡礼者</t>
  </si>
  <si>
    <t>領事補佐官</t>
  </si>
  <si>
    <t>白騎士</t>
  </si>
  <si>
    <t>雪花石の魔道士</t>
  </si>
  <si>
    <t>今田の旗本</t>
  </si>
  <si>
    <t>白き盾の十字軍</t>
  </si>
  <si>
    <t>テューンの戦僧</t>
  </si>
  <si>
    <t>盲いた喧嘩屋</t>
  </si>
  <si>
    <t>信念の決闘者</t>
  </si>
  <si>
    <t>剣術の名手</t>
  </si>
  <si>
    <t>物静かな使用人</t>
  </si>
  <si>
    <t>オーリオックの刃番</t>
  </si>
  <si>
    <t>神に寵愛された将軍</t>
  </si>
  <si>
    <t>剣の踊り手</t>
  </si>
  <si>
    <t>内室の護衛</t>
  </si>
  <si>
    <t>印章持ちの聖騎士</t>
  </si>
  <si>
    <t>聖なる後光の騎士</t>
  </si>
  <si>
    <t>結束に仕える者</t>
  </si>
  <si>
    <t>名誉の手</t>
  </si>
  <si>
    <t>調和者隊の聖騎士</t>
  </si>
  <si>
    <t>栄光の騎士</t>
  </si>
  <si>
    <t>修道院の若者</t>
  </si>
  <si>
    <t>不浄の悪鬼</t>
  </si>
  <si>
    <t>精鋭なる投槍兵</t>
  </si>
  <si>
    <t>勇気の元型</t>
  </si>
  <si>
    <t>ドロモカの隊長</t>
  </si>
  <si>
    <t>オドリックの十字軍</t>
  </si>
  <si>
    <t>盲信の審問官</t>
  </si>
  <si>
    <t>ガヴォニーの鉄大工</t>
  </si>
  <si>
    <t>罪からの解放者</t>
  </si>
  <si>
    <t>肉体からの解放者</t>
  </si>
  <si>
    <t>清麻呂の末裔</t>
  </si>
  <si>
    <t>猶予の侍臣</t>
  </si>
  <si>
    <t>日の出の使者</t>
  </si>
  <si>
    <t>バントの戦闘魔道士</t>
  </si>
  <si>
    <t>アンデッドを屠る者</t>
  </si>
  <si>
    <t>宝捜し</t>
  </si>
  <si>
    <t>アブザンの鷹匠</t>
  </si>
  <si>
    <t>裂け目抜けの騎士</t>
  </si>
  <si>
    <t>雅刃の職工</t>
  </si>
  <si>
    <t>献身的な門友</t>
  </si>
  <si>
    <t>陽光鞭の勇者</t>
  </si>
  <si>
    <t>彼方の管理人</t>
  </si>
  <si>
    <t>アミーシャの模範</t>
  </si>
  <si>
    <t>悪鬼の狩人</t>
  </si>
  <si>
    <t>放逐する僧侶</t>
  </si>
  <si>
    <t>敬虔な福音者</t>
  </si>
  <si>
    <t>むら気な信奉者</t>
  </si>
  <si>
    <t>聖域の守護者</t>
  </si>
  <si>
    <t>信心深い従者</t>
  </si>
  <si>
    <t>忠義の記憶、戒想</t>
  </si>
  <si>
    <t>敬虔な司祭</t>
  </si>
  <si>
    <t>永暁の勇者</t>
  </si>
  <si>
    <t>太陽の種の育種士</t>
  </si>
  <si>
    <t>偏執的な教区刃</t>
  </si>
  <si>
    <t>永岩城の乗り手</t>
  </si>
  <si>
    <t>迷えるオーラ術師</t>
  </si>
  <si>
    <t>ウォジェクの薬剤師</t>
  </si>
  <si>
    <t>大石弓の精鋭</t>
  </si>
  <si>
    <t>近野の司祭</t>
  </si>
  <si>
    <t>祝福された語り部</t>
  </si>
  <si>
    <t>騎兵戦の達人</t>
  </si>
  <si>
    <t>債務の騎士</t>
  </si>
  <si>
    <t>アブザンの戦僧侶</t>
  </si>
  <si>
    <t>アヴァシン教の宣教師</t>
  </si>
  <si>
    <t>月皇の審問官</t>
  </si>
  <si>
    <t>バリスタ班</t>
  </si>
  <si>
    <t>忌まわしきものの処刑者</t>
  </si>
  <si>
    <t>勇敢な先導</t>
  </si>
  <si>
    <t>恩義ある侍</t>
  </si>
  <si>
    <t>聖なる司法高官</t>
  </si>
  <si>
    <t>信義の侍臣</t>
  </si>
  <si>
    <t>練達の接合者</t>
  </si>
  <si>
    <t>義理に縛られし者、長雄</t>
  </si>
  <si>
    <t>霊廟の護衛</t>
  </si>
  <si>
    <t>蓮眼の神秘家</t>
  </si>
  <si>
    <t>歴戦の司令官</t>
  </si>
  <si>
    <t>カビーラの擁護者</t>
  </si>
  <si>
    <t>黄金夜の指揮官</t>
  </si>
  <si>
    <t>アゾリウスの大司法官</t>
  </si>
  <si>
    <t>オーリオックの廃品回収者</t>
  </si>
  <si>
    <t>アクロスの密集軍</t>
  </si>
  <si>
    <t>飛空士の提督</t>
  </si>
  <si>
    <t>レイモス教の復興論者</t>
  </si>
  <si>
    <t>新たな夜明けの模範</t>
  </si>
  <si>
    <t>戦乱の神託者</t>
  </si>
  <si>
    <t>無感情な官僚</t>
  </si>
  <si>
    <t>機を見た軍族朋</t>
  </si>
  <si>
    <t>疾風衣の騎兵</t>
  </si>
  <si>
    <t>空槍の騎兵</t>
  </si>
  <si>
    <t>嵐前線の乗り手</t>
  </si>
  <si>
    <t>豪腕の修道士</t>
  </si>
  <si>
    <t>献身的民兵団</t>
  </si>
  <si>
    <t>鱗衛兵の精鋭</t>
  </si>
  <si>
    <t>堅牢な防衛隊</t>
  </si>
  <si>
    <t>侍の処罰者</t>
  </si>
  <si>
    <t>オーラ掠りの魔道士</t>
  </si>
  <si>
    <t>ヘリオッドの福音者</t>
  </si>
  <si>
    <t>プラーフの聖騎士</t>
  </si>
  <si>
    <t>オーリオックの生き残り</t>
  </si>
  <si>
    <t>都邑の庇護者</t>
  </si>
  <si>
    <t>祖神に選ばれし者</t>
  </si>
  <si>
    <t>Lv2-6：先制攻撃3/3</t>
    <phoneticPr fontId="2"/>
  </si>
  <si>
    <t>Lv7+：二段攻撃4/4</t>
    <phoneticPr fontId="2"/>
  </si>
  <si>
    <t>Lv1-4：発生源１つがあなたかあなたがコントロールするクリーチャーにダメージを与える場合、そのダメージを１点軽減する。1/4</t>
    <phoneticPr fontId="2"/>
  </si>
  <si>
    <t>Lv5+：発生源１つがあなたかあなたがコントロールするクリーチャーにダメージを与える場合、そのダメージを２点軽減する。2/5</t>
    <phoneticPr fontId="2"/>
  </si>
  <si>
    <t>_0/0</t>
  </si>
  <si>
    <t>_2/6</t>
  </si>
  <si>
    <t>_1/5</t>
  </si>
  <si>
    <t>Modern Masters</t>
  </si>
  <si>
    <t>(W),(Ｔ)：あなたのライブラリーから土地カードを１枚探し、それを公開した上であなたの手札に加える。その後あなたのライブラリーを切り直す。この能力は、対戦相手１人があなたよりも多くの土地をコントロールしている場合にのみ起動できる。</t>
  </si>
  <si>
    <t>(３)(W)(W),覚醒の太陽の神官を生け贄に捧げる：あなたのライブラリーから恐竜カード１枚を探し、それを公開してあなたの手札に加え、その後あなたのライブラリーを切り直す。</t>
  </si>
  <si>
    <t>(W),(Ｔ)：いずれかの墓地にあるオーラ(Aura)・カード１枚を対象とし、それをあなたのコントロール下で、あなたがコントロールするクリーチャー１体につけられた状態で戦場に出す。</t>
  </si>
  <si>
    <t>あなたのアップキープの開始時に、あなたが(W)(W)を支払わないかぎり、ハズダーの盾兵を生け贄に捧げる。</t>
  </si>
  <si>
    <t>(W)：このターン、あなたが選んだ発生源１つが次にあなたに与えるすべてのダメージを軽減する。</t>
  </si>
  <si>
    <t>(２)(W),あなたの墓地からクリーチャー・カード１枚を追放する：飛行を持つ白の1/1のスピリット(Spirit)・クリーチャー・トークンを１体生成する。</t>
  </si>
  <si>
    <t>(W)(W)：クリーチャー１体を対象とし、それをタップする。</t>
  </si>
  <si>
    <t>待機Ｘ ― (Ｘ)(W)(W)、Ｘは０にはできない。</t>
  </si>
  <si>
    <t>(W),(Ｔ),鋼打ちの弟子をオーナーの手札に戻す：あなたのライブラリーから装備品(Equipment)カードを１枚探し、それを公開し、あなたの手札に加える。その後あなたのライブラリーを切り直す。</t>
  </si>
  <si>
    <t>(W),兵士を１つ生け贄に捧げる：このターンに与えられるすべての戦闘ダメージを軽減する。</t>
  </si>
  <si>
    <t>(２)(W)(W)(W)</t>
  </si>
  <si>
    <t>(W)(W),(Ｔ)：選ばれた色のパーマネント１つを対象とし、それを破壊する。</t>
  </si>
  <si>
    <t>(１)(B/G)(B/G)：クリーチャー１体と、２体目のクリーチャー１体を対象とする。その前者の上に置かれている+1/+1カウンターを１個、その後者の上に移動する。</t>
  </si>
  <si>
    <t>Lv6-11：絆魂6/6</t>
    <phoneticPr fontId="2"/>
  </si>
  <si>
    <t>Lv12+：絆魂、破壊不能9/9</t>
    <phoneticPr fontId="2"/>
  </si>
  <si>
    <t>(Ｘ)(W)</t>
  </si>
  <si>
    <t>(２)(W)：ターン終了時まで、アクロスの英雄、キテオンは破壊不能を得る。</t>
  </si>
  <si>
    <t>(W)(U)(B)(R)(G)：ターン終了時まで、あなたがコントロールする同盟者クリーチャーは+X/+Xの修整を受ける。Ｘは、それらのクリーチャーの中の色の数に等しい。</t>
  </si>
  <si>
    <t>(２)(U/R)(U/R)：このターンに次にあなたがあなたの手札からインスタント呪文かソーサリー呪文を唱えるなら、それを解決するに際し、そのカードをあなたの墓地に置く代わりにあなたの手札に加える。</t>
  </si>
  <si>
    <t>あなたのアップキープの開始時に、あなたのライブラリーの一番上のカードを見る。あなたはそのカードを公開してもよい。これによりインスタント・カードかソーサリー・カードが公開された場合、秘密を掘り下げる者を変身させる。</t>
  </si>
  <si>
    <t>(Ｔ)：プレイヤー１人を対象とする。そのプレイヤーは自分のライブラリーの一番上のカードを自分の墓地に置く。</t>
  </si>
  <si>
    <t>(Ｔ)：あなたがコントロールする土地１つを対象とする。それはターン終了時まであなたが選んだ基本土地タイプ１種になる。</t>
  </si>
  <si>
    <t>翼作りが他のクリーチャーと組になっているかぎり、両方のクリーチャーは飛行を持つ。</t>
  </si>
  <si>
    <t>(２),あなたの手札から青のカードをＸ枚公開する,霜の殉教者を生け贄に捧げる：呪文１つを対象とする。それのコントローラーが(Ｘ)を支払わないかぎり、それを打ち消す。</t>
  </si>
  <si>
    <t>ジェスカイの賢者が死亡したとき、カードを１枚引く。</t>
  </si>
  <si>
    <t>強襲 ― 難破船あさりが戦場に出たとき、このターンにあなたがクリーチャーで攻撃していた場合、あなたはカードを１枚引いてもよい。そうしたなら、カード１枚を捨てる。</t>
  </si>
  <si>
    <t>(Ｔ),あなたのライブラリーの一番上のカードをあなたの墓地に置く：あなたのマナ・プールに(◇)を加える。</t>
  </si>
  <si>
    <t>あなたは、あなたのアンタップ・ステップに密の守護兵をアンタップしないことを選んでもよい。</t>
  </si>
  <si>
    <t>(Ｔ)：カードを１枚引き、その後カードを１枚捨てる。</t>
  </si>
  <si>
    <t>あなたの手札の最大値は１多くなる。</t>
  </si>
  <si>
    <t>ハリマーの採掘者か他の同盟者(Ally)があなたのコントロール下で戦場に出るたび、プレイヤー１人を対象とする。そのプレイヤーは自分のライブラリーの一番上からＸ枚のカードを自分の墓地に置く。Ｘはあなたがコントロールする同盟者の数である。</t>
  </si>
  <si>
    <t>感染（このクリーチャーは、クリーチャーに-1/-1カウンターの形でダメージを与え、プレイヤーに毒(poison)カウンターの形でダメージを与える。）</t>
  </si>
  <si>
    <t>荒廃の工作員はブロックされない。</t>
  </si>
  <si>
    <t>帆凧の海賊が攻撃しているかぎり、これは飛行を持つ。</t>
  </si>
  <si>
    <t>(１),(Ｔ)：パーマネント１つを対象とする。あなたはそれをタップまたはアンタップしてもよい。この能力は、あなたが氷雪パーマネントを４つ以上コントロールしている場合にのみ起動できる。</t>
  </si>
  <si>
    <t>あなたがカードを１枚サイクリングするか捨てるたび、ターン終了時まで、狡猾な生き残りは+1/+0の修整を受けるとともに、このターン、これはブロックされない。</t>
  </si>
  <si>
    <t>錬金術師の弟子を生け贄に捧げる：カードを１枚引く。</t>
  </si>
  <si>
    <t>あなたがクリーチャーでない呪文を１つ唱えるたび、ターン終了時まで、神出鬼没の呪拳士は+1/+0の修整を受けるとともに、このターン、ブロックされない。</t>
  </si>
  <si>
    <t>(Ｔ)：カードを１枚引き、その後カード１枚を捨てる。この能力は、あなたがこのターンにクリーチャーでない呪文を唱えていたときにのみ起動できる。</t>
  </si>
  <si>
    <t>ニューロックのスパイは、防御プレイヤーがアーティファクトをコントロールしているかぎりブロックされない。</t>
  </si>
  <si>
    <t>セルホフの密教信者か他のクリーチャーが死亡するたび、プレイヤー１人を対象とする。そのプレイヤーは、自分のライブラリーの一番上のカードを自分の墓地に置く。</t>
  </si>
  <si>
    <t>二人組の見張り番が他のクリーチャーと組になっているかぎり、それらのクリーチャーはそれぞれ「このクリーチャーが対戦相手１人にダメージを与えるたび、カードを１枚引く。」を持つ。</t>
  </si>
  <si>
    <t>累加アップキープ(２)（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</si>
  <si>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(Ｔ)：カードを２枚引き、その後あなたの手札にあるカードを１枚、あなたのライブラリーの一番上に置く。</t>
  </si>
  <si>
    <t>敬慕される教師が戦場に出たとき、あなたがコントロールするＬｖアップを持つ各クリーチャーの上にＬｖ(level)カウンターを２個置く。</t>
  </si>
  <si>
    <t>(１),(Ｔ),周到の書記官を生け贄に捧げる：あなたの墓地からインスタント・カード１枚かソーサリー・カード１枚を対象とし、それをあなたの手札に戻す。</t>
  </si>
  <si>
    <t>秘密の商人が戦場に出たとき、カードを１枚引く。</t>
  </si>
  <si>
    <t>財力ある船乗りが戦場に出たとき、「(Ｔ),このアーティファクトを生け贄に捧げる：あなたのマナ・プールに好きな色１色のマナ１点を加える。」を持つ無色の宝物(Treasure)アーティファクト・トークンを１つ生成する。</t>
  </si>
  <si>
    <t>(１)：基本土地タイプを１つ選ぶ。あなたがコントロールする各土地はターン終了時までそのタイプになる。</t>
  </si>
  <si>
    <t>海門の神官が戦場に出たとき、あなたのライブラリーの一番上から２枚のカードを見る。それらの１枚をあなたの手札に加え、もう１枚をあなたのライブラリーの一番下に置く。</t>
  </si>
  <si>
    <t>あなたがカードを１枚サイクリングするか捨てるたび、ターン終了時までヘクマの歩哨は+1/+1の修整を受ける。</t>
  </si>
  <si>
    <t>秘密を盗む者がプレイヤー１人に戦闘ダメージを与えるたび、カードを１枚引く。</t>
  </si>
  <si>
    <t>あなたがアーティファクトをコントロールしているかぎり、飛空士の修繕屋は飛行を持つ。（これは飛行や到達を持たないクリーチャーによってブロックされない。）</t>
  </si>
  <si>
    <t>粗石の魔道士が戦場に出たとき、あなたは自分のライブラリーから点数で見たマナ・コストが１以下であるアーティファクト・カードを１枚探し、そのカードを公開し、あなたの手札に加えてもよい。そうした場合、あなたのライブラリーを切り直す。</t>
  </si>
  <si>
    <t>あなたがクリーチャーでない呪文を１つ唱えるたび、微風の写字官をアンタップする。</t>
  </si>
  <si>
    <t>(Ｔ)：プレイヤー１人を対象とする。そのプレイヤーはカードを１枚引き、その後カードを１枚捨てる。</t>
  </si>
  <si>
    <t>歓喜する信者が死亡したとき、カードを１枚引く。</t>
  </si>
  <si>
    <t>(Ｔ)：パワーが２以下のクリーチャー１体を対象とする。このターン、それはブロックされない。</t>
  </si>
  <si>
    <t>ニューロックの透術士はブロックされない。</t>
  </si>
  <si>
    <t>ニューロックの透術士が戦場に出たとき、クリーチャー１体を対象とする。このターン、それはブロックされない。</t>
  </si>
  <si>
    <t>アーティファクト・カードを１枚捨てる：ニューロックの神童をオーナーの手札に戻す。</t>
  </si>
  <si>
    <t>霧刃の忍びがプレイヤーに戦闘ダメージを与えるたび、そのプレイヤーがコントロールするクリーチャー１体を対象とする。あなたは、それをオーナーの手札に戻してもよい。</t>
  </si>
  <si>
    <t>霊気の達人が戦場に出たとき、クリーチャー１体を対象とし、それをオーナーの手札に戻す。</t>
  </si>
  <si>
    <t>深き刻の忍者がプレイヤーに戦闘ダメージを与えるたび、あなたはカードを１枚引いてもよい。</t>
  </si>
  <si>
    <t>鍵達人のならず者はブロックされない。</t>
  </si>
  <si>
    <t>鍵達人のならず者が戦場に出たとき、あなたがコントロールするクリーチャーを１体、オーナーの手札に戻す。</t>
  </si>
  <si>
    <t>分離主義者の虚空魔道士が戦場に出たとき、クリーチャー１体を対象とする。あなたはそれをオーナーの手札に戻してもよい。</t>
  </si>
  <si>
    <t>飛空士志願者が戦場に出たとき、飛行を持つ無色の1/1の飛行機械(Thopter)アーティファクト・クリーチャー・トークンを１体生成する。</t>
  </si>
  <si>
    <t>アーティファクトが１つあなたのコントロール下で戦場に出るたび、ターン終了時まで、速接会の翼鍛冶は飛行を得る。</t>
  </si>
  <si>
    <t>古術師が戦場に出たとき、あなたの墓地にあるインスタント・カード１枚かソーサリー・カード１枚を対象とし、それをあなたの手札に戻す。</t>
  </si>
  <si>
    <t>強襲 ― 巧射艦隊の帆綱引きが戦場に出たとき、このターンにあなたがクリーチャーで攻撃していた場合、クリーチャー１体を対象とする。あなたはそれをオーナーの手札に戻してもよい。</t>
  </si>
  <si>
    <t>悟った狂人が戦場に出たとき、無色の3/2のエルドラージ(Eldrazi)・ホラー(Horror)・クリーチャー・トークンを１体生成する。</t>
  </si>
  <si>
    <t>隠道の神秘家はブロックされない。</t>
  </si>
  <si>
    <t>グリフの先兵が戦場に出たとき、カードを１枚引く。</t>
  </si>
  <si>
    <t>虚無使いが戦場に出たとき、クリーチャー１体を対象とする。あなたはそれをオーナーの手札に戻してもよい。</t>
  </si>
  <si>
    <t>裕福な海賊が戦場に出たとき、「(Ｔ),このアーティファクトを生け贄に捧げる：あなたのマナ・プールに好きな色１色のマナ１点を加える。」を持つ無色の宝物(Treasure)アーティファクト・トークンを２つ生成する。</t>
  </si>
  <si>
    <t>神啓 ― スフィンクスの信奉者がアンタップ状態になるたび、カードを１枚引く。</t>
  </si>
  <si>
    <t>Modern Masters 2017 Edition</t>
  </si>
  <si>
    <t>(U)</t>
  </si>
  <si>
    <t>(１)(U)</t>
  </si>
  <si>
    <t>(２)(U)</t>
  </si>
  <si>
    <t>(１)(U)(U)</t>
  </si>
  <si>
    <t>(３)(U)</t>
  </si>
  <si>
    <t>(２)(U)(U)</t>
  </si>
  <si>
    <t>(４)(U)</t>
  </si>
  <si>
    <t>(３)(U)(U)</t>
  </si>
  <si>
    <t>永遠(４)(U)(U)（(４)(U)(U),あなたの墓地からこのカードを追放する：マナ・コストと永遠を持たない黒の4/4のゾンビ(Zombie)・人間(Human)・戦士(Warrior)であることを除き、これのコピーであるトークンを１体生成する。永遠はソーサリーとしてのみ行う。）</t>
  </si>
  <si>
    <t>(２)(U),(Ｔ),カードを１枚捨てる,土地を１つ生け贄に捧げる：あなたのライブラリーから基本土地カードを最大２枚まで探し、それらを戦場に出す。その後あなたのライブラリーを切り直す。</t>
  </si>
  <si>
    <t>(３)(U),(Ｔ)：カードを１枚引き、その後カードを１枚捨てる。</t>
  </si>
  <si>
    <t>(U),(Ｔ)：カードを１枚引き、その後カードを１枚捨てる。</t>
  </si>
  <si>
    <t>忍術(U)（(U),あなたがコントロールする、ブロックされなかった攻撃しているクリーチャー１体を手札に戻す：あなたの手札からこのカードを、タップ状態かつ攻撃している状態で戦場に出す。）</t>
  </si>
  <si>
    <t>忍術(１)(U)（(１)(U),あなたがコントロールする、ブロックされなかった攻撃しているクリーチャー１体を手札に戻す：あなたの手札からこのカードを、タップ状態かつ攻撃している状態で戦場に出す。）</t>
  </si>
  <si>
    <t>(１)(U)：あなたのライブラリーのカードを上からX枚見て、その後それらを望む順番で戻す。Xは、あなたの手札のカードの枚数である。</t>
  </si>
  <si>
    <t>あなたのアップキープの開始時に、あなたが(U)を支払わないかぎりダル追われの流れ者を生け贄に捧げる。</t>
  </si>
  <si>
    <t>(１)(U),(Ｔ)：あなたがコントロールする、密の守護兵以外のクリーチャー１体を対象とする。密の守護兵がタップ状態であり続けるかぎり、それは被覆を持つ。（それは呪文や能力の対象にならない。）</t>
  </si>
  <si>
    <t>(U),(Ｔ)：カードを１枚引く。その後、カードを１枚捨てる。</t>
  </si>
  <si>
    <t>電位式錬金術師が他のクリーチャーと組になっているかぎり、それらのクリーチャーはそれぞれ「(２)(U)：このクリーチャーをアンタップする。」を持つ。</t>
  </si>
  <si>
    <t>(U),(Ｔ),カードを１枚捨てる：あなたがコントロールするパーマネント１つを対象とし、それをオーナーの手札に戻す。</t>
  </si>
  <si>
    <t>(２)(B)：ターン終了時まで、ヴェクティスの口封じは接死を得る。（これが何らかのダメージをクリーチャーに与えたら、それだけで破壊する。）</t>
  </si>
  <si>
    <t>時を曲げる者が表向きになったとき、以下から１つを選ぶ。</t>
  </si>
  <si>
    <t>・パーマネント１つか待機状態のカード１枚を対象とし、その上から時間(time)カウンターを２個取り除く。</t>
  </si>
  <si>
    <t>・パーマネント１つか待機状態のカード１枚を対象とし、その上に時間カウンターを２個置く。</t>
  </si>
  <si>
    <t>あなたの手札の最大値は２増加する。</t>
  </si>
  <si>
    <t>あなたのアップキープの開始時に、あなたがコントロールする青のクリーチャーを１体、オーナーの手札に戻す。</t>
  </si>
  <si>
    <t>被覆（このクリーチャーは呪文や能力の対象にならない。）</t>
  </si>
  <si>
    <t>英雄的 ― あなたがメレティスの天文学者を対象とする呪文を１つ唱えるたび、あなたのライブラリーの一番上から３枚のカードを見る。あなたはその中からエンチャント・カード１枚を公開してあなたの手札に加えてもよい。残りをあなたのライブラリーの一番下に望む順番で置く。</t>
  </si>
  <si>
    <t>(Ｘ),(Ｔ)：パワーがＸ以下のクリーチャー１体を対象とする。このターン、それはブロックされない。</t>
  </si>
  <si>
    <t>躁の書記官が戦場に出たとき、各対戦相手はそれぞれ自分のライブラリーの一番上から３枚のカードを自分の墓地に置く。</t>
  </si>
  <si>
    <t>昂揚 ― 各対戦相手のアップキープの開始時に、あなたの墓地にあるカードにカード・タイプが合計４種類以上含まれる場合、そのプレイヤーは自分のライブラリーの一番上から３枚のカードを自分の墓地に置く。</t>
  </si>
  <si>
    <t>変異 ― あなたの手札にある青のカードを１枚公開する。（あなたはこのカードを、(３)で2/2クリーチャーとして裏向きに唱えてもよい。これの変異コストで、これをいつでも表向きにしてもよい。）</t>
  </si>
  <si>
    <t>龍の眼の学者が表向きになったとき、対戦相手１人を対象とし、そのプレイヤーの手札を見る。</t>
  </si>
  <si>
    <t>呪禁（このクリーチャーは、あなたの対戦相手がコントロールする呪文や能力の対象にならない。）</t>
  </si>
  <si>
    <t>不可視の忍び寄りはブロックされない。</t>
  </si>
  <si>
    <t>各ターンに、あなたが２つ目の呪文を唱えるたび、侵入専門家はターン終了時まで+2/+0の修整を受けるとともに、それはこのターン、ブロックされない。</t>
  </si>
  <si>
    <t>ジェスカイの長老がプレイヤー１人に戦闘ダメージを与えるたび、あなたはカードを１枚引いてもよい。そうしたなら、カードを１枚捨てる。</t>
  </si>
  <si>
    <t>(Ｔ)：各プレイヤーはカードを１枚引き、その後カードを１枚捨てる。</t>
  </si>
  <si>
    <t>強襲 ― このターンにあなたがクリーチャーで攻撃していたなら、風雲艦隊の空中要員は+1/+1カウンターが１個置かれた状態で戦場に出る。</t>
  </si>
  <si>
    <t>あなたが手掛かり(Clue)を１つ生け贄に捧げたとき、果敢な捜索者を変身させる。</t>
  </si>
  <si>
    <t>禁断の真相を知る者がプレイヤー１人に戦闘ダメージを与えるたび、調査を行う。（「(２),このアーティファクトを生け贄に捧げる：カードを１枚引く。」を持つ無色の手掛かり(Clue)アーティファクト・トークンを１つ生成する。）</t>
  </si>
  <si>
    <t>精霊の学び手が飛行を持っているとき、精霊の学び手を反転する。</t>
  </si>
  <si>
    <t>あなたがコントロールするクリーチャーは飛行を持つ。</t>
  </si>
  <si>
    <t>あなたがアーティファクト呪文を１つ唱えるたび、あなたはカードを１枚引いてもよい。そうした場合、カードを１枚捨てる。</t>
  </si>
  <si>
    <t>航空船の略取者がプレイヤー１人に戦闘ダメージを与えるたび、パーマネント１つかプレイヤー１人を対象とし、それが持つカウンター１種類につきそれぞれその種類のカウンターをもう１個、そのパーマネントの上に置くか、そのプレイヤーに与える。</t>
  </si>
  <si>
    <t>(Ｔ)：あなたのマナ・プールに(◇)(◇)を加える。このマナは、アーティファクト呪文を唱えるためか、アーティファクトの能力を起動するためにのみ使用できる。</t>
  </si>
  <si>
    <t>アカデミーの研究者が戦場に出たとき、あなたはあなたの手札にあるオーラ(Aura)・カードを１枚、アカデミーの研究者につけた状態で戦場に出してもよい。</t>
  </si>
  <si>
    <t>ハリマーの潮呼びが戦場に出たとき、あなたの墓地から覚醒を持つカード１枚を対象とする。あなたはそれをあなたの手札に戻してもよい。</t>
  </si>
  <si>
    <t>あなたがコントロールする土地クリーチャーは飛行を持つ。</t>
  </si>
  <si>
    <t>(Ｔ)：あなたのライブラリーの一番上からカードを２枚あなたの墓地に置く。その後、あなたの墓地に無色のクリーチャー・カードがあるなら、白髪交じりの釣り人を変身させる。</t>
  </si>
  <si>
    <t>(６)：このターン、対戦相手がコントロールするクリーチャーは可能なら攻撃する。</t>
  </si>
  <si>
    <t>抜け道を歩む者がプレイヤーに戦闘ダメージを与えるたび、あなたはそのプレイヤーの手札を見てもよい。</t>
  </si>
  <si>
    <t>マラング川をうろつくものではブロックできず、マラング川をうろつくものはブロックされない。</t>
  </si>
  <si>
    <t>あなたが黒か緑のパーマネントをコントロールしているかぎり、あなたはマラング川をうろつくものをあなたの墓地から唱えてもよい。</t>
  </si>
  <si>
    <t>(Ｔ)：他のパーマネント１つを対象とし、それをアンタップする。</t>
  </si>
  <si>
    <t>あなたが砂時計の侍臣をサイクリングしたとき、パーマネント１つを対象とし、それをアンタップする。</t>
  </si>
  <si>
    <t>ジェスの盗人がプレイヤー１人に戦闘ダメージを与えるたび、カードを１枚引く。</t>
  </si>
  <si>
    <t>昇殿（あなたがパーマネントを10個以上コントロールしているなら、このゲームの間、あなたは都市の承認を得る。）</t>
  </si>
  <si>
    <t>あなたが都市の承認を持っているかぎり、捕らえ難い悪漢は呪禁を持つとともにブロックされない。</t>
  </si>
  <si>
    <t xml:space="preserve">あなたがスピリット(Spirit)か秘儀(Arcane)呪文を唱えるたび、あなたは未熟な呪士の上に気(ki)カウンターを１個置いてもよい。 </t>
  </si>
  <si>
    <t>終了ステップの開始時に、未熟な呪士の上に気カウンターが２個以上置かれている場合、あなたは未熟な呪士を反転してもよい。</t>
  </si>
  <si>
    <t>横槍の邪等狗から気(ki)カウンターを１個取り除く：呪文１つを対象とする。それのコントローラーが(２)を支払わないかぎり、それを打ち消す。</t>
  </si>
  <si>
    <t>宝物の魔道士が戦場に出たとき、あなたはあなたのライブラリーから、点数で見たマナ・コストが６以上のアーティファクト・カードを１枚探し、それを公開してあなたの手札に加えてもよい。そうした場合、あなたのライブラリーを切り直す。</t>
  </si>
  <si>
    <t>強襲 ― 風雲艦隊のスパイが戦場に出たとき、このターンにあなたがクリーチャーで攻撃していた場合、カードを１枚引く。</t>
  </si>
  <si>
    <t>あなたの手札の上限は無い。</t>
  </si>
  <si>
    <t>ニューロックの猛士がプレイヤー１人に戦闘ダメージを与えるたび、あなたはカードを１枚引いてもよい。</t>
  </si>
  <si>
    <t>戦利品の魔道士が戦場に出たとき、あなたはあなたのライブラリーから点数で見たマナ・コストが３のアーティファクト・カード１枚を探してもよい。そうしたなら、それを公開してあなたの手札に加え、その後あなたのライブラリーを切り直す。</t>
  </si>
  <si>
    <t>(Ｔ)：カードを１枚引き、その後カードを１枚捨てる。これによりクリーチャー・カードを捨てた場合、礼儀正しい識者をアンタップし、その後それを変身させる。</t>
  </si>
  <si>
    <t>あなたの終了ステップの開始時に、このターン、人殺しの粗暴者が攻撃していなかった場合、人殺しの粗暴者をタップし、それを変身させる。</t>
  </si>
  <si>
    <t>濫用（このクリーチャーが戦場に出たとき、あなたはクリーチャーを１体生け贄に捧げてもよい。）</t>
  </si>
  <si>
    <t>シルムガルの魔術師がクリーチャーを１体濫用したとき、クリーチャー呪文１つを対象とし、それを打ち消す。</t>
  </si>
  <si>
    <t>アーティファクトがあなたのコントロール下で戦場に出るたび、パーマネント１つを対象とする。あなたはそれをタップしてもよい。</t>
  </si>
  <si>
    <t>(Ｔ)：クリーチャー１体を対象とする。このターン、それは可能なら攻撃する。</t>
  </si>
  <si>
    <t>(Ｔ)：クリーチャー１体を対象とする。このターン、それは可能ならブロックする。</t>
  </si>
  <si>
    <t xml:space="preserve">瞬速（あなたはこの呪文を、あなたがインスタントを唱えられるときならいつでも唱えてよい。） </t>
  </si>
  <si>
    <t>虚空魔道士の沈黙者が戦場に出たとき、起動型能力１つを対象とし、それを打ち消す。（マナ能力は対象にできない。）</t>
  </si>
  <si>
    <t>あなたが呪文を唱えるたび、あなたは虚空魔道士の沈黙者をオーナーの手札に戻してもよい。</t>
  </si>
  <si>
    <t>練達の盗賊が戦場に出たとき、アーティファクト１つを対象とする。あなたが練達の盗賊をコントロールし続けているかぎり、あなたはそれのコントロールを得る。</t>
  </si>
  <si>
    <t>あなたがクリーチャーでない呪文を１つ唱えるたび、クリーチャー１体を対象とする。ターン終了時までそれは飛行を得る。</t>
  </si>
  <si>
    <t>選定の侍臣が戦場に出たとき、あなたは、あなたのライブラリーから永遠か不朽を持つクリーチャー・カード１枚を探してもよい。そうしたなら、それをあなたの墓地に置き、その後あなたのライブラリーを切り直す。</t>
  </si>
  <si>
    <t>あなたが永遠か不朽を１つ起動するたび、カードを１枚引く。</t>
  </si>
  <si>
    <t>(１),(Ｔ)：起動型能力１つを対象とし、それを打ち消す。この能力は、あなたが氷雪パーマネントを４つ以上コントロールしている場合にのみ起動できる。（マナ能力は対象にできない。）</t>
  </si>
  <si>
    <t>厳格な導師が他のクリーチャーと組になっているかぎり、それらのクリーチャーはそれぞれ「(Ｔ)：プレイヤー１人を対象とする。そのプレイヤーは、自分のライブラリーの一番上から２枚のカードを自分の墓地に置く。」を持つ。</t>
  </si>
  <si>
    <t>つむじ風のならず者が戦場に出たとき、飛行を持つ無色の1/1の飛行機械(Thopter)アーティファクト・クリーチャー・トークンを２体生成する。</t>
  </si>
  <si>
    <t>あなたがコントロールするアンタップ状態のアーティファクトを２つタップする：クリーチャー１体を対象とする。このターン、それはブロックされない。</t>
  </si>
  <si>
    <t>あなたがコントロールするゴーレム・クリーチャーは飛行を持つ。</t>
  </si>
  <si>
    <t>若年の識者が死亡したとき、カードを２枚引く。</t>
  </si>
  <si>
    <t>あなたのアップキープの開始時に、あなたのライブラリーの一番上のカードをあなたの墓地に置く。それがインスタント・カードかソーサリー・カードなら、逸脱した研究者を変身させる。</t>
  </si>
  <si>
    <t>あなたがコントロールする他の青のクリーチャーは+1/+1の修整を受ける。</t>
  </si>
  <si>
    <t>巧射艦隊の操舵手が戦場に出たとき、あなたは「自分のライブラリーから装備品(Equipment)か機体(Vehicle)であるカード１枚を探し、それを公開してあなたの手札に加え、その後、あなたのライブラリーを切り直す。」を選んでもよい。</t>
  </si>
  <si>
    <t>試験飛行士が戦場に出たとき、飛行を持つ無色の1/1の飛行機械(Thopter)アーティファクト・クリーチャー・トークンを２体生成する。</t>
  </si>
  <si>
    <t>あなたの対戦相手がコントロールするクリーチャーは飛行を失うとともに、飛行を持つことも得ることもできない。</t>
  </si>
  <si>
    <t>即席（あなたのアーティファクトが、この呪文を唱える助けとなる。あなたはあなたのアーティファクトをタップして、１個あたり(１)の支払いに代えてもよい。）</t>
  </si>
  <si>
    <t>移植４（このクリーチャーは、その上に+1/+1カウンターが４個置かれた状態で戦場に出る。他のクリーチャーが１体戦場に出るたび、あなたはこのクリーチャーの上に置かれている+1/+1カウンターを１個、その上に移動してもよい。）</t>
  </si>
  <si>
    <t>(１),あなたがコントロールするクリーチャーの上から、合わせて２個の+1/+1カウンターを取り除く：カードを１枚引く。</t>
  </si>
  <si>
    <t>Lv3+：被覆 ハーダの巡回スパイはブロックされない。3/3</t>
    <rPh sb="5" eb="7">
      <t>ヒフク</t>
    </rPh>
    <phoneticPr fontId="2"/>
  </si>
  <si>
    <t>Lv1-2：ハーダの巡回スパイはブロックされない。2/2</t>
    <phoneticPr fontId="2"/>
  </si>
  <si>
    <t>_0/6</t>
  </si>
  <si>
    <t>_4/5</t>
  </si>
  <si>
    <t>_5/1</t>
  </si>
  <si>
    <t>(W),(Ｔ)：このターン、あなたに与えられる次のダメージを２点軽減する。</t>
  </si>
  <si>
    <t>(W),(Ｔ)：攻撃しているクリーチャーかブロックしているクリーチャー１体を対象とする。暁の光の射手はそれに１点のダメージを与える。</t>
  </si>
  <si>
    <t>(４)(U)(U)</t>
  </si>
  <si>
    <t>(３)(U),(Ｔ)：あなたがコントロールする他のクリーチャー１体を対象とし、それを追放する。その後、そのカードをあなたのコントロール下で戦場に戻す。</t>
  </si>
  <si>
    <t>変異(U)（あなたはこのカードを、(３)で2/2クリーチャーとして裏向きに唱えてもよい。これの変異コストで、これをいつでも表向きにしてもよい。）</t>
  </si>
  <si>
    <t>Ｌｖアップ(２)(U)（(２)(U)：この上にＬｖ(level)カウンターを１個置く。Ｌｖアップはソーサリーとしてのみ行う。）</t>
  </si>
  <si>
    <t>(３)(U)：カードを１枚引く。</t>
  </si>
  <si>
    <t xml:space="preserve">忍術(１)(U)（(１)(U),あなたがコントロールする、ブロックされなかった攻撃しているクリーチャー１体を手札に戻す：あなたの手札からこのカードを、タップ状態かつ攻撃している状態で戦場に出す） </t>
  </si>
  <si>
    <t>(U),(Ｔ)：氷雪土地１つを対象とする。それは飛行を持つ青の2/2のエレメンタル(Elemental)・クリーチャーになる。それは土地でもある。</t>
  </si>
  <si>
    <t>(U)：クリーチャー１体を対象とする。ターン終了時まで、それはそのタイプに加えてアーティファクトになる。</t>
  </si>
  <si>
    <t>(U),(Ｔ)：クリーチャー１体を対象とする。あなたはそれをタップまたはアンタップしてもよい。</t>
  </si>
  <si>
    <t>神啓 ― 高巣の崇拝者がアンタップ状態になるたび、あなたは(２)(U)を支払ってもよい。そうしたなら、飛行を持つ青の2/2の鳥(Bird)クリーチャー・エンチャント・トークンを１体生成する。</t>
  </si>
  <si>
    <t>(U),(Ｔ)：あなたのライブラリーから《心臓貫きの弓/Heart-Piercer Bow》か《龍火の薬瓶/Vial of Dragonfire》という名前のカードを１枚探し、それを公開してあなたの手札に加え、その後あなたのライブラリーを切り直す。</t>
  </si>
  <si>
    <t>サイクリング(１)(U)（(１)(U),このカードを捨てる：カードを１枚引く。）</t>
  </si>
  <si>
    <t>(U)：アーティファクト・クリーチャー１体を対象とする。ターン終了時まで、それは青になるとともに、アーティファクトではなくなる。</t>
  </si>
  <si>
    <t>(U),(Ｔ)：あなたがコントロールする他の青のクリーチャー１体を対象とする。それはターン終了時まで飛行を得る。</t>
  </si>
  <si>
    <t>(１)(U)：あなたがコントロールする忍者(Ninja)１つを対象とし、それをオーナーの手札に戻す。この能力は、あなたのターンの間にのみ起動できる。</t>
  </si>
  <si>
    <t>(B),(Ｔ)：クリーチャー１体を対象とする。それはターン終了時まで-1/-1の修整を受ける。</t>
  </si>
  <si>
    <t>あなたが唱えるインスタント呪文とソーサリー呪文を唱えるためのコストは、それが対象とするクリーチャー１体につき(１)少なくなる。</t>
  </si>
  <si>
    <t>英雄的 ― あなたが戦場の秘術師を対象とする呪文を１つ唱えるたび、戦場の秘術師はターン終了時まで呪禁を得る。</t>
  </si>
  <si>
    <t>あなたがコントロールするイリュージョン(Illusion)・クリーチャーは、+1/+1の修整を受けるとともに呪禁を持つ。（それらはあなたの対戦相手がコントロールする呪文や能力の対象にならない。）</t>
  </si>
  <si>
    <t>潜伏（このクリーチャーは、これより大きなパワーを持つクリーチャーによってはブロックされない。）</t>
  </si>
  <si>
    <t>波止場の潜入者がプレイヤー１人に戦闘ダメージを与えるたび、あなたはカードを１枚引いてもよい。そうしたなら、カード１枚を捨てる。</t>
  </si>
  <si>
    <t>あなたがクリーチャー・カードを１枚捨てるたび、あなたは(２)を支払ってもよい。そうしたなら、無色の3/2のエルドラージ(Eldrazi)・ホラー(Horror)・クリーチャー・トークンを１体生成する。</t>
  </si>
  <si>
    <t>戦凧の匪賊が攻撃するたび、防御プレイヤーがコントロールしているクリーチャー１体を対象とする。ターン終了時まで、それは能力をすべて失うとともに基本のパワーとタフネスが0/1になる。</t>
  </si>
  <si>
    <t>(Ｔ),アーティファクトを１つ生け贄に捧げる：カードを１枚引く。</t>
  </si>
  <si>
    <t>英雄的 ― あなたが精神奪いを対象とする呪文を１つ唱えるたび、プレイヤー１人を対象とし、そのプレイヤーのライブラリーの一番上から３枚のカードを追放する。</t>
  </si>
  <si>
    <t>勇敢な妨害工作員がプレイヤー１人に戦闘ダメージを与えるたび、あなたはカードを１枚引いてもよい。そうしたなら、カード１枚を捨てる。</t>
  </si>
  <si>
    <t>(Ｔ)：カードを２枚引き、その後カードを３枚捨てる。</t>
  </si>
  <si>
    <t>瞬唱の魔道士が戦場に出たとき、あなたの墓地にあるインスタント・カード１枚かソーサリー・カード１枚を対象とする。それはターン終了時までフラッシュバックを得る。そのフラッシュバック・コストは、それのマナ・コストに等しい。（あなたはあなたの墓地にあるそのカードを、そのフラッシュバック・コストで唱えてもよい。その後それを追放する。）</t>
  </si>
  <si>
    <t>英雄的 ― あなたが形態の職工を対象とする呪文を１つ唱えるたび、クリーチャー１体を対象とする。あなたは形態の職工をそれのコピーにしてもよい。そうしたなら、これはこの能力を得る。</t>
  </si>
  <si>
    <t>あなたがインスタント呪文やソーサリー呪文を唱えるためのコストは(１)少なくなる。</t>
  </si>
  <si>
    <t>あなたがコントロールする呪文や能力が呪文を１つ打ち消すたび、あなたはカードを１枚引いてもよい。そうしたなら、カード１枚を捨てる。</t>
  </si>
  <si>
    <t>落とし子の仲買人が戦場に出たとき、あなたがコントロールするクリーチャー１体と、そのパワー以下のパワーを持つ対戦相手がコントロールするクリーチャー１体を対象とする。あなたはそれらのコントロールを交換してもよい。</t>
  </si>
  <si>
    <t>神啓 ― 果敢な泥棒がアンタップ状態になるたび、あなたがコントロールする土地でないパーマネント１つと、それと共通のカード・タイプを持つ、対戦相手がコントロールするパーマネント１つを対象とする。あなたはそれらのコントロールを交換してもよい。</t>
  </si>
  <si>
    <t>他の人間(Human)が１体あなたのコントロール下で戦場に出るたび、霧の海の船長をアンタップする。</t>
  </si>
  <si>
    <t>(Ｔ)：セレンディブの魔術師以外のクリーチャー１体を対象とする。それはターン終了時まで基本のパワーとタフネスが0/2である。</t>
  </si>
  <si>
    <t>あなたのライブラリーの一番上のカードを公開した状態でプレイする。</t>
  </si>
  <si>
    <t>あなたのライブラリーの一番上のカードがアーティファクト・カードかクリーチャー・カードであるかぎり、技を借りる者はそのカードのすべての起動型能力を持つ。（その能力がそのカードの名前を用いている場合、代わりにこのクリーチャーの名前を用いる。）</t>
  </si>
  <si>
    <t>あなたが他にクリーチャーをコントロールしていないかぎり、ジェスカイの浸透者はブロックされない。</t>
  </si>
  <si>
    <t>ジェスカイの浸透者がプレイヤー１人に戦闘ダメージを与えたとき、これとあなたのライブラリーの一番上のカードを裏向きの束にして追放し、その束を切り直してからそれらのカードを予示する。（カードを予示するには、それを裏向きの状態で2/2クリーチャーとして戦場に出す。それがクリーチャー・カードであるなら、そのマナ・コストでいつでも表向きにしてよい。）</t>
  </si>
  <si>
    <t>各対戦相手のアップキープの開始時に、そのプレイヤーはドロー・ステップかメイン・フェイズか戦闘フェイズを選ぶ。そのプレイヤーはこのターン、選んだステップやフェイズを飛ばす。</t>
  </si>
  <si>
    <t>あなたのライブラリーにカードが無いときにあなたがカードを引く場合、代わりにあなたはこのゲームに勝利する。</t>
  </si>
  <si>
    <t>(Ｔ),果敢な弟子を生け贄に捧げる：呪文１つを対象とし、それを打ち消す。</t>
  </si>
  <si>
    <t>造物の学者、ヴェンセールが戦場に出たとき、呪文１つかパーマネント１つを対象とし、それをオーナーの手札に戻す。</t>
  </si>
  <si>
    <t>(Ｔ)：カードを１枚引く。</t>
  </si>
  <si>
    <t>あなたがインスタント呪文を唱えるたび、あなたは(１)を支払ってもよい。そうした場合、カードを１枚引く。</t>
  </si>
  <si>
    <t>(Ｔ)：アーティファクト・クリーチャー１体を対象とする。それのコントローラーはそれを生け贄に捧げる。そのプレイヤーは自分のライブラリーからクリーチャーでないアーティファクト・カードを１枚探し、それを戦場に出してもよい。その後自分のライブラリーを切り直す。</t>
  </si>
  <si>
    <t>狡猾な巾着切りが戦場に出たとき、このターン、対戦相手のコントロール下で生成される各トークンは、代わりにあなたのコントロール下で生成される。</t>
  </si>
  <si>
    <t>水面院の歴史家、歌穂が戦場に出たとき、あなたのライブラリーからインスタント・カードを最大３枚まで探し、それらを追放する。その後あなたのライブラリーを切り直す。</t>
  </si>
  <si>
    <t>(Ｘ),(Ｔ)：あなたは水面院の歴史家、歌穂によって追放された、点数で見たマナ・コストがＸであるカードを１枚、そのマナ・コストを支払うことなく唱えてもよい。</t>
  </si>
  <si>
    <t>速製職人のスパイが戦場に出たとき、あなたがコントロールするアーティファクト１つを対象とする。あなたが速製職人のスパイをコントロールし続けているかぎり、それは「(Ｔ)：カードを１枚引く。」を得る。</t>
  </si>
  <si>
    <t>各プレイヤーのアップキープの開始時に、そのプレイヤーは自分の手札にあるアーティファクト・カード１枚かクリーチャー・カード１枚か土地カード１枚を戦場に出してもよい。</t>
  </si>
  <si>
    <t>壮大 ― 他の《西風の魔道士リネッサ/Linessa, Zephyr Mage》という名前のカードを１枚捨てる：プレイヤー１人を対象とする。そのプレイヤーは自分がコントロールするクリーチャー１体をオーナーの手札に戻し、その後この手順をアーティファクト１つとエンチャント１つと土地１つについて繰り返す。</t>
  </si>
  <si>
    <t>移植２（このクリーチャーは、その上に+1/+1カウンターが２個置かれた状態で戦場に出る。他のクリーチャーが１体戦場に出るたび、あなたはこのクリーチャーの上に置かれている+1/+1カウンターを１個、その上に移動してもよい。）</t>
  </si>
  <si>
    <t>精鋭秘儀術師が戦場に出たとき、あなたはあなたの手札にあるインスタント・カードを１枚追放してもよい。</t>
  </si>
  <si>
    <t>(Ｘ),(Ｔ)：その追放されたカードをコピーする。あなたはそのコピーを、そのマナ・コストを支払うことなく唱えてもよい。Ｘはその追放されたカードの点数で見たマナ・コストに等しい。</t>
  </si>
  <si>
    <t>あなたがコントロールするアンタップ状態のウィザード(Wizard)を１体タップする：カードを１枚引く。</t>
  </si>
  <si>
    <t>あなたがオーナーである、戦場に出ていないクリーチャー・カードは瞬速を持つ。</t>
  </si>
  <si>
    <t>各対戦相手は、自分がソーサリーを唱えられるときにのみ呪文を唱えられる。</t>
  </si>
  <si>
    <t>あなたは、あなたのライブラリーの一番上のカードをプレイしてもよい。</t>
  </si>
  <si>
    <t>対戦相手がコントロールするクリーチャー１体があなたのコントロールする呪文や能力の対象になるたび、あなたが意志を砕く者をコントロールし続けているかぎり、それのコントロールを得る。</t>
  </si>
  <si>
    <t>(２),(Ｔ)：パーマネント１つを対象とし、それをオーナーの手札に戻す。この能力は、あなたが氷雪パーマネントを４つ以上コントロールしている場合にのみ起動できる。</t>
  </si>
  <si>
    <t>静風の日暮がプレイヤーに戦闘ダメージを与えるたび、あなたはあなたのライブラリーから忍者(Ninja)カードを１枚探し、そのカードを公開し、それをあなたの手札に加えてもよい。そうした場合、あなたのライブラリーを切り直す。</t>
  </si>
  <si>
    <t>(２)：忍者クリーチャー１体を対象とする。このターン、それはブロックされない。</t>
  </si>
  <si>
    <t>(Ｔ),壺の大魔術師を生け贄に捧げる：各プレイヤーは、自分の手札のカードをすべて裏向きにした状態で追放し、カードを７枚引く。次の終了ステップの開始時に、各プレイヤーは自分の手札をすべて捨て、これにより自分が追放した各カードを自分の手札に戻す。</t>
  </si>
  <si>
    <t>(U)(U)</t>
  </si>
  <si>
    <t>(２)(U)(U)(U)</t>
  </si>
  <si>
    <t>(２)(U),(Ｔ)：カードを１枚引く。あなたの手札にカードが９枚以上ある場合、呪師の弟子を反転する。</t>
  </si>
  <si>
    <t>(３)(U)(U),(Ｔ)：プレイヤー１人を対象とする。そのプレイヤーはカードをＸ枚引く。Ｘはあなたの手札のカードの枚数に等しい。</t>
  </si>
  <si>
    <t>(２)(U)：このターン、勇敢な妨害工作員はブロックされない。</t>
  </si>
  <si>
    <t>Ｌｖアップ(１)(U)（(１)(U)：この上にＬｖ(level)カウンターを１個置く。Ｌｖアップはソーサリーとしてのみ行う。）</t>
  </si>
  <si>
    <t>(U)(U)(U),(Ｔ)：パーマネント１つを対象とし、それをオーナーの手札に戻す。</t>
  </si>
  <si>
    <t>(２)(U),(Ｔ)：インスタント呪文１つかソーサリー呪文１つを対象とする。それのコントローラーはその呪文をコピーする。そのプレイヤーはそのコピーの新たな対象を選んでもよい。</t>
  </si>
  <si>
    <t>あなたは「騙り者、逆嶋は、それの名前が《騙り者、逆嶋/Sakashima the Impostor》のままであり、それがそれの他のタイプに加えて伝説であり、それが『(２)(U)(U)：次の終了ステップの開始時に、騙り者、逆嶋をオーナーの手札に戻す。』を得ることを除いて、戦場に出ているクリーチャー１体のコピーとして戦場に出る」ことを選んでもよい。</t>
  </si>
  <si>
    <t>(U),(Ｔ),あなたがコントロールするアーティファクトを１つ、オーナーの手札に戻す：あなたはあなたの手札にあるアーティファクト・カードを１枚、戦場に出してもよい。</t>
  </si>
  <si>
    <t>(２)(U),(Ｔ),あなたの墓地にあるクリーチャー・カード１枚を追放する：黒の2/2のゾンビ(Zombie)・クリーチャー・トークンを１体生成する。その後、あなたがコントロールする各ゾンビ・クリーチャーの上に+1/+1カウンターを１個置く。</t>
  </si>
  <si>
    <t>(２)(U),カードを１枚捨てる：呪文１つを対象とする。その呪文が捨てられたカードと同じ点数で見たマナ・コストを持つ場合、それを打ち消す。</t>
  </si>
  <si>
    <t>(Ｘ)(U)(U),(Ｔ)：点数で見たマナ・コストがＸのクリーチャー１体を対象とし、それをオーナーの手札に戻す。</t>
  </si>
  <si>
    <t>(２)(U),(Ｔ),他のクリーチャーを１体生け贄に捧げる：あなたのライブラリーの一番上から、伝説でないクリーチャー・カードが公開されるまでカードを公開する。そのカードを戦場に出し、残りをあなたのライブラリーの一番下に無作為の順番で置く。</t>
  </si>
  <si>
    <t>忍術(２)(U)(U)（(２)(U)(U),あなたがコントロールする、ブロックされなかった攻撃しているクリーチャー１体を手札に戻す：あなたの手札からこのカードを、タップ状態かつ攻撃している状態で戦場に出す。）</t>
  </si>
  <si>
    <t>(U)(U),精神奪いを生け贄に捧げる：精神奪いによって追放されているカードと同じ名前を持つ呪文１つを対象とし、それを打ち消す。</t>
  </si>
  <si>
    <t>Lv2-3：(U)(U),(Ｔ)：インスタント呪文１つかソーサリー呪文１つを対象とし、それをコピーする。あなたはそのコピーの新たな対象を選んでもよい。2/4</t>
  </si>
  <si>
    <t>(１)(U),(Ｔ)：パーマネント１つを対象とする。あなたはそれをタップまたはアンタップしてもよい。</t>
  </si>
  <si>
    <t>(U),(Ｔ)：+1/+1カウンターが置かれているクリーチャー１体を対象とする。細胞質の操作者が戦場に出続けているかぎり、そのコントロールを得る。</t>
  </si>
  <si>
    <t>Lv4+：(U)(U),(Ｔ)：インスタント呪文１つかソーサリー呪文１つを対象とし、それを２回コピーする。あなたはそれらのコピーの新たな対象を選んでもよい。2/5</t>
  </si>
  <si>
    <t>あなたがクリーチャーでない呪文を１つ唱えるたび、クリーチャー１体を対象とする。あなたは(R/W)(R/W)を支払ってもよい。そうしたなら、ターン終了時までそれは二段攻撃を得る。</t>
  </si>
  <si>
    <t>(Ｔ)：カードを１枚引き、その後カードを１枚捨てる。あなたの墓地にカードが５枚以上あるなら、ヴリンの神童、ジェイスを追放し、その後、これを変身させた状態でオーナーのコントロール下で戦場に戻す。</t>
  </si>
  <si>
    <t>[+1]：クリーチャーを最大１体まで対象とする。あなたの次のターンまで、それは-2/-0の修整を受ける。</t>
  </si>
  <si>
    <t>[-3]：あなたの墓地にある、インスタント・カード１枚かソーサリー・カード１枚を対象とする。このターン、あなたはそれを唱えてもよい。このターンにそのカードがあなたの墓地に置かれるなら、代わりにそれを追放する。</t>
  </si>
  <si>
    <t>[-9]：あなたは「あなたが呪文を１つ唱えるたび、対戦相手１人を対象とする。そのプレイヤーは自分のライブラリーの一番上から５枚のカードを自分の墓地に置く。」を持つ紋章を得る。</t>
  </si>
  <si>
    <t>英雄的 ― あなたが時の賢者を対象とする呪文を１つ唱えるたび、時の賢者の上に+1/+1カウンターを１個置く。</t>
  </si>
  <si>
    <t>時の賢者の上からすべての+1/+1カウンターを取り除く：これにより取り除かれたカウンター５個につき、このターンに続いて追加の１ターンを行う。</t>
  </si>
  <si>
    <t>(１),あなたの墓地にあるインスタント・カード１枚かソーサリー・カード１枚を追放する：以下から１つを選ぶ。</t>
  </si>
  <si>
    <t>・クリーチャーでない呪文１つを対象とする。それのコントローラーが(２)を支払わないかぎり、それを打ち消す。</t>
  </si>
  <si>
    <t>・ターン終了時まで、輪の信奉者は+1/+1の修整を受ける。</t>
  </si>
  <si>
    <t>・クリーチャー１体を対象とし、それをアンタップする。</t>
  </si>
  <si>
    <t>(Ｔ)：パワーがあなたがコントロールするクリーチャーの総数以下であるクリーチャー１体を対象とし、それのコントロールを得る。</t>
  </si>
  <si>
    <r>
      <t>Lv4-6</t>
    </r>
    <r>
      <rPr>
        <sz val="10"/>
        <color rgb="FF000000"/>
        <rFont val="ＭＳ Ｐゴシック"/>
        <family val="3"/>
        <charset val="128"/>
      </rPr>
      <t>：</t>
    </r>
    <r>
      <rPr>
        <sz val="10"/>
        <color rgb="FF000000"/>
        <rFont val="Arial Unicode MS"/>
        <family val="2"/>
      </rPr>
      <t>2/4</t>
    </r>
    <phoneticPr fontId="2"/>
  </si>
  <si>
    <r>
      <t>Lv7+</t>
    </r>
    <r>
      <rPr>
        <sz val="10"/>
        <color rgb="FF000000"/>
        <rFont val="ＭＳ Ｐゴシック"/>
        <family val="3"/>
        <charset val="128"/>
      </rPr>
      <t>：各終了ステップの開始時に、それがあなたのターンでない場合、あなたはこのターンに続いて追加の１ターンを行う。</t>
    </r>
    <r>
      <rPr>
        <sz val="10"/>
        <color rgb="FF000000"/>
        <rFont val="Arial Unicode MS"/>
        <family val="2"/>
      </rPr>
      <t>3/5</t>
    </r>
    <phoneticPr fontId="2"/>
  </si>
  <si>
    <t>Ｌｖアップ(U)（(U)：この上にＬｖ(level)カウンターを１個置く。Ｌｖアップはソーサリーとしてのみ行う。）</t>
  </si>
  <si>
    <t>(２)(U)(U),(Ｔ),時間流の航海士をオーナーのライブラリーの一番下に置く：このターンに続いて追加の１ターンを行う。この能力は、あなたが都市の承認を持っているときにのみ起動できる。</t>
  </si>
  <si>
    <t>１つのデッキに《影生まれの使徒/Shadowborn Apostle》という名前のカードを望む枚数だけいれることができる。</t>
  </si>
  <si>
    <t>死の信者を生け贄に捧げる：プレイヤー１人を対象とする。そのプレイヤーは１点のライフを失い、あなたは１点のライフを得る。</t>
  </si>
  <si>
    <t>夜市の見張りがタップ状態になるたび、各対戦相手はそれぞれ１点のライフを失い、あなたは１点のライフを得る。</t>
  </si>
  <si>
    <t>他のクリーチャーが１体死亡するたび、あなたは１点のライフを得てもよい。</t>
  </si>
  <si>
    <t>欲深い悪漢が攻撃しているかぎり、これは+1/+0の修整を受ける。</t>
  </si>
  <si>
    <t>(１),クリーチャーを１体、生け贄に捧げる：対戦相手１人を対象とする。そのプレイヤーのライブラリーのカードを上から２枚見て、その後、それらの１枚を追放する。</t>
  </si>
  <si>
    <t>(１),あなたの手札から黒のカードをＸ枚公開する,骨の殉教者を生け贄に捧げる：単一の墓地にあるカードを最大Ｘ枚まで対象とし、それらを追放する。</t>
  </si>
  <si>
    <t>アーティファクトが１つ戦場からいずれかの墓地に置かれるたび、対戦相手１人を対象とする。あなたは「そのプレイヤーは１点のライフを失う」ことを選んでもよい。</t>
  </si>
  <si>
    <t>接死（これが何らかのダメージをクリーチャーに与えたら、それだけで破壊する。）</t>
  </si>
  <si>
    <t>回収する斬鬼は、あなたの墓地にあるアーティファクト・カード１枚につき+1/+0の修整を受ける。</t>
  </si>
  <si>
    <t>あなたがアーティファクトをコントロールしていないかぎり、自暴自棄の漂流者では攻撃できない。</t>
  </si>
  <si>
    <t>凶兆艦隊の貯め込み屋が死亡したとき、「(Ｔ),このアーティファクトを生け贄に捧げる：あなたのマナ・プールに好きな色１色のマナ１点を加える。」を持つ無色の宝物(Treasure)アーティファクト・トークンを１つ生成する。</t>
  </si>
  <si>
    <t>ボジューカの盗賊ではブロックできない。</t>
  </si>
  <si>
    <t>ボジューカの盗賊か他の同盟者(Ally)があなたのコントロール下で戦場に出るたび、あなたはボジューカの盗賊の上に+1/+1カウンターを１個置いてもよい。</t>
  </si>
  <si>
    <t>奈落の守り手が戦場に出たとき、あなたの墓地にクリーチャー・カードが４枚以上あるならば、あなたはあなたの墓地にあるクリーチャー・カード１枚を対象とし、それをあなたの手札に戻してもよい。</t>
  </si>
  <si>
    <t>マルドゥの頭蓋狩りはタップ状態で戦場に出る。</t>
  </si>
  <si>
    <t>強襲 ― マルドゥの頭蓋狩りが戦場に出たとき、このターンにあなたがクリーチャーで攻撃していた場合、対戦相手１人を対象とする。そのプレイヤーはカードを１枚捨てる。</t>
  </si>
  <si>
    <t>カルシのサディストがクリーチャーを１体濫用したとき、対戦相手１人を対象とする。そのプレイヤーは２点のライフを失い、あなたは２点のライフを得る。</t>
  </si>
  <si>
    <t>恐竜ハンターが恐竜(Dinosaur)１体にダメージを与えるたび、そのクリーチャーを破壊する。</t>
  </si>
  <si>
    <t>あなたがアーティファクトをコントロールしているかぎり、ドゥーンドの調査員は+1/+0の修整を受けるとともに接死を持つ。（これが何らかのダメージをクリーチャーに与えたら、それだけで破壊する。）</t>
  </si>
  <si>
    <t>英雄的 ― あなたが血に狂った重装歩兵を対象とする呪文を１つ唱えるたび、血に狂った重装歩兵の上に+1/+1カウンターを１個置く。</t>
  </si>
  <si>
    <t>血に狂った重装歩兵の上に+1/+1カウンターが１個置かれるたび、対戦相手がコントロールするクリーチャー１体を対象とし、それの上から+1/+1カウンターを１個取り除く。</t>
  </si>
  <si>
    <t>悪運尽きた造反者が死亡したとき、黒の2/2のゾンビ(Zombie)・クリーチャー・トークンを１体生成する。</t>
  </si>
  <si>
    <t>(Ｔ)：プレイヤー１人を対象とする。そのプレイヤーは１点のライフを失う。</t>
  </si>
  <si>
    <t>(４),(Ｔ)：あなたのライブラリーから、点数で見たマナ・コストが３点以下のレベル(Rebel)・パーマネント・カードを１枚探し、そのカードを戦場に出す。その後あなたのライブラリーを切り直す。</t>
  </si>
  <si>
    <t>霊気毒殺者が戦場に出たとき、あなたは(Ｅ)(Ｅ)（エネルギー・カウンター２個）を得る。</t>
  </si>
  <si>
    <t>霊気毒殺者が攻撃するたび、あなたは(Ｅ)(Ｅ)を支払ってもよい。そうしたなら、無色の1/1の霊気装置(Servo)アーティファクト・クリーチャー・トークンを１体生成する。</t>
  </si>
  <si>
    <t>強襲 ― 巧射艦隊の拷問者が戦場に出たとき、このターンにあなたがクリーチャーで攻撃していた場合、対戦相手１人を対象とする。そのプレイヤーはカード１枚を捨てる。</t>
  </si>
  <si>
    <t>石板通りの悪漢がブロックされた状態になるたび、防御プレイヤーはカードを１枚捨てる。</t>
  </si>
  <si>
    <t>アーティファクト・カードを１枚捨てる：肉体を継ぐ者はターン終了時まで+2/+2の修整を受ける。</t>
  </si>
  <si>
    <t>忠信な従者が死亡したとき、あなたの墓地にある他のクリーチャー・カード１枚を対象とし、それをあなたの手札に戻す。</t>
  </si>
  <si>
    <t>憑依（このクリーチャーが死亡したとき、クリーチャー１体を対象とする。このカードをそれに憑依している状態で追放する。）</t>
  </si>
  <si>
    <t>オルゾフの安死術士が戦場に出るか、それが憑依しているクリーチャーが死亡したとき、このターンにダメージを与えられているクリーチャー１体を対象とし、それを破壊する。</t>
  </si>
  <si>
    <t>カードを１枚捨てる：ヴェク追われの侵入者はターン終了時までシャドーを得る。（それは、シャドーを持つクリーチャーのみブロックでき、シャドーを持つクリーチャーによってのみブロックされる。）</t>
  </si>
  <si>
    <t>頭巾被りの暗殺者が戦場に出たとき、以下から１つを選ぶ。</t>
  </si>
  <si>
    <t>・頭巾被りの暗殺者の上に+1/+1カウンターを１個置く。</t>
  </si>
  <si>
    <t>・このターンにダメージを与えられているクリーチャー１体を対象とし、それを破壊する。</t>
  </si>
  <si>
    <t>サディストの穴開け魔道士が死亡したとき、各プレイヤーは自分の手札にあるカードを１枚、自分のライブラリーの一番上に置く。</t>
  </si>
  <si>
    <t>威嚇（このクリーチャーはアーティファクト・クリーチャーかそれと共通の色を持つクリーチャー以外にはブロックされない。）</t>
  </si>
  <si>
    <t>盲目の盲信者がプレイヤー１人に戦闘ダメージを与えるたび、そのプレイヤーがコントロールするクリーチャー１体を対象とする。あなたはこれを生け贄に捧げてもよい。そうした場合、それを破壊する。</t>
  </si>
  <si>
    <t>戦慄の魔術使いは、黒でないクリーチャーによってはブロックされない。</t>
  </si>
  <si>
    <t>(Ｔ)：クリーチャー１体を対象とする。それはターン終了時まで-1/-1の修整を受ける。</t>
  </si>
  <si>
    <t>モリオックのゴミあさりが戦場に出たとき、あなたの墓地にあるアーティファクト・クリーチャー・カード１枚を対象とする。あなたはそれをあなたの手札に戻してもよい。</t>
  </si>
  <si>
    <t>盟友 ― (Ｔ),あなたがコントロールするアンタップ状態の同盟者(Ally)を１体タップする：対戦相手１人を対象とする。そのプレイヤーは２点のライフを失う。</t>
  </si>
  <si>
    <t>威迫</t>
  </si>
  <si>
    <t>街道筋の強盗が戦場に出たとき、対戦相手１人を対象とする。そのプレイヤーは２点のライフを失い、あなたは２点のライフを得る。</t>
  </si>
  <si>
    <t>暴勇 ― ダル追われの殺し屋は、あなたの手札にカードがないかぎりシャドーを持つ。（このクリーチャーは、シャドーを持つクリーチャーのみブロックでき、シャドーを持つクリーチャーによってのみブロックされる。）</t>
  </si>
  <si>
    <t>深海艦隊の殺し屋が戦場に出たとき、対戦相手がコントロールしていてこのターンにダメージが与えられたクリーチャー１体を対象とし、それを破壊する。</t>
  </si>
  <si>
    <t>ニマーナの売剣か他の同盟者(Ally)があなたのコントロール下で戦場に出るたび、あなたはニマーナの売剣の上に+1/+1カウンターを１個置いてもよい。</t>
  </si>
  <si>
    <t>凶兆艦隊の侵入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</si>
  <si>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夜深の死体あさりが戦場に出たとき、あなたの墓地から点数で見たマナ・コストが３以下のクリーチャー・カード１枚を対象とする。あなたはそれをあなたの手札に戻してもよい。</t>
  </si>
  <si>
    <t>（《墓ネズミ/Graf Rats》と合体する。）</t>
  </si>
  <si>
    <t>速攻</t>
  </si>
  <si>
    <t>威迫（このクリーチャーは２体以上のクリーチャーによってしかブロックされない。）</t>
  </si>
  <si>
    <t>騒がしい徒党が戦場に出たとき、ターン終了時まで、あなたがコントロールする他のクリーチャーは+1/+0の修整を受けるとともに威迫を得る。</t>
  </si>
  <si>
    <r>
      <t>Lv3+</t>
    </r>
    <r>
      <rPr>
        <sz val="10"/>
        <color rgb="FF000000"/>
        <rFont val="ＭＳ Ｐゴシック"/>
        <family val="3"/>
        <charset val="128"/>
      </rPr>
      <t>：ズーラポートの処罰者は黒でないクリーチャーによってはブロックされない。</t>
    </r>
    <r>
      <rPr>
        <sz val="10"/>
        <color rgb="FF000000"/>
        <rFont val="Arial Unicode MS"/>
        <family val="2"/>
      </rPr>
      <t>5/5</t>
    </r>
    <phoneticPr fontId="2"/>
  </si>
  <si>
    <r>
      <t>Lv1-2</t>
    </r>
    <r>
      <rPr>
        <sz val="10"/>
        <color rgb="FF000000"/>
        <rFont val="ＭＳ Ｐゴシック"/>
        <family val="3"/>
        <charset val="128"/>
      </rPr>
      <t>：</t>
    </r>
    <r>
      <rPr>
        <sz val="10"/>
        <color rgb="FF000000"/>
        <rFont val="Arial Unicode MS"/>
        <family val="2"/>
      </rPr>
      <t>3/3</t>
    </r>
    <phoneticPr fontId="2"/>
  </si>
  <si>
    <t>[合体]</t>
    <rPh sb="1" eb="3">
      <t>ガッタイ</t>
    </rPh>
    <phoneticPr fontId="2"/>
  </si>
  <si>
    <t>_4/2</t>
  </si>
  <si>
    <t>_4/1</t>
  </si>
  <si>
    <t>_5/6</t>
  </si>
  <si>
    <t>(B)</t>
  </si>
  <si>
    <t>(１)(B)</t>
  </si>
  <si>
    <t>(２)(B)</t>
  </si>
  <si>
    <t>(１)(B)(B)</t>
  </si>
  <si>
    <t>(２)(B)(B)</t>
  </si>
  <si>
    <t>(３)(B)</t>
  </si>
  <si>
    <t>(４)(B)</t>
  </si>
  <si>
    <t>(２)(B),(Ｔ)：単一の墓地にあるカードを最大３枚まで対象とし、それらを追放する。</t>
  </si>
  <si>
    <t>(１)(B),(Ｔ)：プレイヤー１人を対象とする。そのプレイヤーは１点のライフを失う。</t>
  </si>
  <si>
    <t>(３)(B),あなたの墓地からグール呼びの共犯者を追放する：黒の2/2のゾンビ(Zombie)・クリーチャー・トークンを１体生成する。この能力は、あなたがソーサリーを唱えられるときにのみ起動できる。</t>
  </si>
  <si>
    <t>(２)(B),死体運びを生け贄に捧げる：あなたの墓地にある他のクリーチャー・カード１枚を対象とし、それをあなたの手札に戻す。</t>
  </si>
  <si>
    <t>(B),(Ｔ)：クリーチャー１体を対象とし、それをタップする。</t>
  </si>
  <si>
    <t>疾駆(２)(B)（あなたはこの呪文を、これの疾駆コストで唱えてもよい。そうしたなら、これは速攻を得るとともに、次の終了ステップの開始時にこれを戦場からオーナーの手札に戻す。）</t>
  </si>
  <si>
    <t>(２)(B),(Ｔ),カードを１枚捨てる：他の各プレイヤーは２点のライフを失う。あなたはこれにより失われたライフに等しい点数のライフを得る。</t>
  </si>
  <si>
    <t>(B),(Ｔ),カード１枚を捨てる：各プレイヤーはそれぞれ２点のライフを失う。</t>
  </si>
  <si>
    <t>フィナックスの信奉者が戦場に出たとき、プレイヤー１人を対象とする。そのプレイヤーは自分の手札から、あなたの黒への信心に等しい枚数のカードを公開する。あなたはそのうちの１枚を選ぶ。そのプレイヤーはそのカードを捨てる。（あなたの黒への信心は、あなたがコントロールするパーマネントのマナ・コストに含まれる(B)の数に等しい。）</t>
  </si>
  <si>
    <t>(B),《影生まれの使徒/Shadowborn Apostle》という名前のクリーチャーを６体生け贄に捧げる：あなたのライブラリーからデーモン(Demon)・クリーチャー・カードを１枚探し、それを戦場に出す。その後あなたのライブラリーを切り直す。</t>
  </si>
  <si>
    <t>(３)(B),(Ｔ)：対戦相手１人を対象とする。そのプレイヤーは２点のライフを失い、その後、自分の手札からカードを１枚無作為に選んで公開する。</t>
  </si>
  <si>
    <t>(４)(B)(B),(Ｔ),テヴェシュ・ザットの信奉者を生け贄に捧げる：クリーチャー１体を対象とする。それはターン終了時まで-6/-6の修整を受ける。</t>
  </si>
  <si>
    <t>(B)：呪われた浪人はターン終了時まで+1/+1の修整を受ける。</t>
  </si>
  <si>
    <t>マルドゥの影槍が攻撃するたび、各対戦相手はそれぞれ１点のライフを失う。</t>
  </si>
  <si>
    <t>接死</t>
  </si>
  <si>
    <t>変異 ― あなたの手札にある黒のカードを１枚公開する。（あなたはこのカードを、(３)で2/2クリーチャーとして裏向きに唱えてもよい。これの変異コストで、これをいつでも表向きにしてもよい。）</t>
  </si>
  <si>
    <t>無情な切り裂き魔が表向きになったとき、プレイヤー１人を対象とする。そのプレイヤーは２点のライフを失う。</t>
  </si>
  <si>
    <t>苛まれし英雄はタップ状態で戦場に出る。</t>
  </si>
  <si>
    <t>英雄的 ― あなたが苛まれし英雄を対象とする呪文を１つ唱えるたび、各対戦相手はそれぞれ１点のライフを失う。あなたはこれにより失われたライフに等しい点数のライフを得る。</t>
  </si>
  <si>
    <t>あなたがカードを１枚サイクリングするか捨てるたび、あなたは(１)を支払ってもよい。そうしたなら、クリーチャー１体を対象とし、それの上に-1/-1カウンターを１個置く。</t>
  </si>
  <si>
    <t>あなたのアップキープの開始時に、ホムンクルスを１つ生け贄に捧げる。</t>
  </si>
  <si>
    <t>指名手配の獄道者が死亡したとき、対戦相手１人を対象とする。そのプレイヤーは「(Ｔ),このアーティファクトを生け贄に捧げる：あなたのマナ・プールに好きな色１色のマナ１点を加える。」を持つ無色の宝物(Treasure)アーティファクト・トークンを２つ生成する。</t>
  </si>
  <si>
    <t>(１),クリーチャーを１体生け贄に捧げる：あなたは、その生け贄に捧げたクリーチャーのタフネスに等しい点数のライフを得る。</t>
  </si>
  <si>
    <t>ズーラポートの殺し屋かあなたがコントロールする他のクリーチャーが１体死亡するたび、各対戦相手はそれぞれ１点のライフを失い、あなたは１点のライフを得る。</t>
  </si>
  <si>
    <t>探求者の従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</si>
  <si>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プロテクション（白）（このクリーチャーは白のものに対して、ブロックされず、対象にならず、ダメージを与えられず、エンチャントされない。）</t>
  </si>
  <si>
    <t>エンブロールの暴れ者はタップ状態で戦場に出る。</t>
  </si>
  <si>
    <t>あなたがアーティファクトをコントロールしているかぎり、エンブロールの暴れ者は威迫を持つ。</t>
  </si>
  <si>
    <t>帆凧の掠め盗りが戦場に出たとき、対戦相手１人を対象とする。そのプレイヤーは自分の手札を公開する。あなたはその中からクリーチャーでも土地でもないカード１枚を選ぶ。帆凧の掠め盗りが戦場を離れるまで、そのカードを追放する。</t>
  </si>
  <si>
    <t>ゴルガリの凶漢が死亡したとき、あなたの墓地にあるクリーチャー・カード１枚を対象とし、それをあなたのライブラリーの一番上に置く。</t>
  </si>
  <si>
    <t>発掘４（あなたがカードを引く場合、代わりにあなたはあなたのライブラリーのカードを上からちょうど４枚、あなたの墓地に置いてもよい。そうした場合、あなたの墓地にあるこのカードをあなたの手札に戻す。そうしなかった場合、カードを１枚引く。）</t>
  </si>
  <si>
    <t>プロテクション（緑）</t>
  </si>
  <si>
    <t>各終了ステップの開始時に、このターン砂丘乗りの無法者が対戦相手にダメージを与えていた場合、その上に+1/+1カウンターを１個置く。</t>
  </si>
  <si>
    <t>解鎖（あなたはこのクリーチャーを、+1/+1カウンターが１個置かれた状態で戦場に出してもよい。これの上に+1/+1カウンターが置かれているかぎり、これではブロックできない。）</t>
  </si>
  <si>
    <t>あなたがアーティファクト呪文を１つ唱えるたび、クリーチャー１体を対象とする。あなたは「それはターン終了時まで+2/+0の修整を受けるとともに接死を得る」ことを選んでもよい。</t>
  </si>
  <si>
    <t>血顎の憤怒鬼が攻撃するたび、ターン終了時まで、あなたがコントロールする各戦士(Warrior)クリーチャーは威迫を得る。（それらは２体以上のクリーチャーによってしかブロックされない。）</t>
  </si>
  <si>
    <t>プロテクション（白）</t>
  </si>
  <si>
    <t>(Ｔ),ライフを３点支払う：コイン投げをする。あなたがコイン投げに勝った場合、あなたは６点のライフを得る。</t>
  </si>
  <si>
    <t>港の無法者は、あなたが島(Island)をコントロールしているかぎり+1/+1の修整を受ける。</t>
  </si>
  <si>
    <t>(１),クリーチャーを１体生け贄に捧げる：プレイヤー１人を対象とする。そのプレイヤーは自分のライブラリーの一番上から、土地カードが公開されるまでカードを公開し続ける。その後、それらのカードを自分の墓地に置く。</t>
  </si>
  <si>
    <t>呪禁（このクリーチャーは、対戦相手がコントロールする呪文や能力の対象にならない。）</t>
  </si>
  <si>
    <t>苦痛の公使がクリーチャーを１体濫用したとき、ターン終了時まで、あなたの対戦相手がコントロールするクリーチャーは-1/-1の修整を受ける。</t>
  </si>
  <si>
    <t>陰鬱 ― 覚醒舞いが戦場に出たとき、このターン、クリーチャーが死亡していた場合、黒の2/2のゾンビ(Zombie)・クリーチャー・トークンを１体生成する。</t>
  </si>
  <si>
    <t>このクリーチャーが悪魔憑きの魔女に変身したとき、クリーチャー１体を対象とする。あなたはそれを破壊してもよい。</t>
  </si>
  <si>
    <t>英雄的 ― あなたがアショクの心酔者を対象とする呪文を１つ唱えるたび、各対戦相手はそれぞれカードを１枚捨てる。</t>
  </si>
  <si>
    <t>禍鞭の懲罰者が戦場に出たとき、クリーチャー１体を対象とする。あなたはそれの上に-1/-1カウンターを１個置いてもよい。</t>
  </si>
  <si>
    <t>大物狙いが戦場に出たとき、パワーが４以上のクリーチャー１体を対象とし、それを破壊する。それは再生できない。</t>
  </si>
  <si>
    <t>連合の先駆けが戦場に出たとき、あなたは「あなたのライブラリーから海賊(Pirate)カード１枚を探し、それを公開し、その後あなたのライブラリーを切り直し、その一番上にそのカードを置く。」を選んでもよい。</t>
  </si>
  <si>
    <t>他の海賊が１体あなたのコントロール下で戦場に出るたび、各対戦相手はそれぞれ１点のライフを失う。</t>
  </si>
  <si>
    <t xml:space="preserve">あなたがスピリット(Spirit)か秘儀(Arcane)呪文を唱えるたび、あなたは雇いの力男の上に気(ki)カウンターを１個置いてもよい。 </t>
  </si>
  <si>
    <t>終了ステップの開始時に、雇いの力男の上に気カウンターが２個以上置かれている場合、あなたはそれを反転してもよい。</t>
  </si>
  <si>
    <t>傷をつけるもの、切紗深から気(ki)カウンターを１個取り除く：クリーチャー１体を対象とする。ターン終了時まで、それは畏怖を得る。（それは黒でもアーティファクトでもないクリーチャーによってはブロックされない。）</t>
  </si>
  <si>
    <t>他の人間(Human)クリーチャーが死亡するたび、村の食人者の上に+1/+1カウンターを１個置く。</t>
  </si>
  <si>
    <t>歯牙収集家が戦場に出たとき、対戦相手がコントロールするクリーチャー１体を対象とする。ターン終了時まで、それは-1/-1の修整を受ける。</t>
  </si>
  <si>
    <t>昂揚 ― 各対戦相手のアップキープの開始時に、あなたの墓地にあるカードにカード・タイプが合計４種類以上含まれる場合、そのプレイヤーがコントロールするクリーチャー１体を対象とする。ターン終了時まで、それは-1/-1の修整を受ける。</t>
  </si>
  <si>
    <t>煙馬の乗り手が攻撃するたび、攻撃している他の各クリーチャーは、ターン終了時まで畏怖を得る。（それは黒でもアーティファクトでもないクリーチャーによってはブロックされない。）</t>
  </si>
  <si>
    <t>あなたがエンチャント呪文を１つ唱えるたび、クリーチャー１体を対象とする。あなたは「それはターン終了時まで-2/-2の修整を受ける」ことを選んでもよい。</t>
  </si>
  <si>
    <t>アーティファクトが１つあなたのコントロール下で戦場に出るたび、あなたはあなたの墓地から楕円競走の無謀者を自分の手札に戻してもよい。</t>
  </si>
  <si>
    <t>ネクラタルが戦場に出たとき、アーティファクトでも黒でもないクリーチャー１体を対象とし、それを破壊する。それは再生できない。</t>
  </si>
  <si>
    <t>あなたがコントロールしている他のクリーチャーが１体死亡するたび、「(Ｔ),このアーティファクトを生け贄に捧げる：あなたのマナ・プールに好きな色１色のマナ１点を加える。」を持つ無色の宝物(Treasure)アーティファクト・トークンを１つ生成する。</t>
  </si>
  <si>
    <t>あなたの対戦相手が呪われた魔女を対象とする呪文を唱えるためのコストは(１)少なくなる。</t>
  </si>
  <si>
    <t>呪われた魔女が死亡したとき、対戦相手１人を対象とする。これを変身させた状態であなたのコントロール下でそのプレイヤーにつけられた状態で戦場に戻す。</t>
  </si>
  <si>
    <t>エンチャント（プレイヤー）</t>
  </si>
  <si>
    <t>あなたがエンチャントされているプレイヤーを対象とする呪文を唱えるためのコストは(１)少なくなる。</t>
  </si>
  <si>
    <t>エンチャントされているプレイヤーのアップキープの開始時に、そのプレイヤーは１点のライフを失い、あなたは１点のライフを得る。</t>
  </si>
  <si>
    <t>ベラドンナの暗殺者が戦場に出たとき、クリーチャー１体を対象とする。あなたはあなたの手札の黒のカードをＸ枚公開してもよい。そうしたなら、ターン終了時までそれは-X/-Xの修整を受ける。</t>
  </si>
  <si>
    <t>あなたがコントロールするトークンでないアーティファクトが１つ戦場から墓地に置かれるたび、無色の1/1の霊気装置(Servo)アーティファクト・クリーチャー・トークンを１体生成する。</t>
  </si>
  <si>
    <t>苦心の魔女が死亡したとき、プレイヤー１人を対象とする。あなたはあなたのライブラリーから呪い(Curse)カードを１枚探してもよい。そうしたなら、それをそのプレイヤーにつけられた状態で戦場に出し、その後、あなたのライブラリーを切り直す。</t>
  </si>
  <si>
    <t>執念深い群衆が戦場に出たとき、クリーチャーを１体生け贄に捧げる。</t>
  </si>
  <si>
    <t>執念深い群衆は苗木(Saproling)によってはブロックされない。</t>
  </si>
  <si>
    <t>_5/5</t>
  </si>
  <si>
    <t>(U),(Ｔ)：青の0/1のホムンクルス(Homunculus)・アーティファクト・クリーチャー・トークンを１体生成する。</t>
  </si>
  <si>
    <t>(１)(U):このターン、港の無法者はブロックされない。</t>
  </si>
  <si>
    <t>疾駆(１)(B)（あなたはこの呪文を、これの疾駆コストで唱えてもよい。そうしたなら、これは速攻を得るとともに、次の終了ステップの開始時にこれを戦場からオーナーの手札に戻す。）</t>
  </si>
  <si>
    <t>(２)(B),(Ｔ),青のクリーチャー１体と黒のクリーチャー１体と赤のクリーチャー１体を生け贄に捧げる：あなたのライブラリーから《束縛の皇子/Prince of Thralls》という名前のカードを１枚探し、それを戦場に出す。その後、あなたのライブラリーを切り直す。</t>
  </si>
  <si>
    <t>(１)(B),(Ｔ),他のクリーチャー１体を生け贄に捧げる：あなたのライブラリーの一番上のカードを予示する。（それを裏向きの状態で2/2クリーチャーとして戦場に出す。それがクリーチャー・カードであるなら、そのマナ・コストでいつでも表向きにしてよい。）</t>
  </si>
  <si>
    <t>(B)(B)</t>
  </si>
  <si>
    <t>(１)(B)：あなたがコントロールするクリーチャー１体を対象とする。ターン終了時まで、それは接死を得る。（これが何らかのダメージをクリーチャーに与えたら、それだけで破壊する。）</t>
  </si>
  <si>
    <t>(３)(B),(Ｔ),人間(Human)を１体生け贄に捧げる：クリーチャー１体を対象とし、それを破壊する。</t>
  </si>
  <si>
    <t>モーギスの匪賊が戦場に出たとき、クリーチャーを最大Ｘ体まで対象とする。それらはターン終了時まで威嚇と速攻を得る。Ｘはあなたの黒への信心に等しい。（威嚇を持つクリーチャーはアーティファクト・クリーチャーかそれと共通の色を持つクリーチャー以外にはブロックされない。あなたの黒への信心は、あなたがコントロールするパーマネントのマナ・コストに含まれる(B)の数に等しい。）</t>
  </si>
  <si>
    <t>(４)(B)：クリーチャー１体を対象とする。ターン終了時まで、それは-1/-1の修整を受ける。</t>
  </si>
  <si>
    <t>(３)(B)：ターン終了時まで、ザスリッドの隠し刃は呪禁を失い、先制攻撃と接死を得る。（これは先制攻撃をもたないクリーチャーよりも先に戦闘ダメージを与える。これが何らかのダメージをクリーチャーに与えたら、それだけで破壊する。）</t>
  </si>
  <si>
    <t>昂揚 ― (２)(B)：親切な余所者を変身させる。この能力は、あなたの墓地にあるカードにカード・タイプが合計４種類以上含まれるときにのみ起動できる。</t>
  </si>
  <si>
    <t>(B),禍鞭の懲罰者を生け贄に捧げる：-1/-1カウンターが置かれているクリーチャー１体を対象とし、それを破壊する。</t>
  </si>
  <si>
    <t>(B)(B)：薄暮の騎士をブロックしているクリーチャー１体を対象とし、それを破壊する。</t>
  </si>
  <si>
    <t>マッドネス(B)（あなたがこのカードを捨てるなら、これを追放領域に捨てる。あなたがそうしたとき、マッドネス・コストでこれを唱えるか、これをあなたの墓地に置く。）</t>
  </si>
  <si>
    <t>(B),５点のライフを支払う：沼居ののけ者を再生する。</t>
  </si>
  <si>
    <t>(２)(B),クリーチャーを１体生け贄に捧げる：対戦相手１人を対象とする。そのプレイヤーは自分の手札を公開する。あなたはその中からカードを１枚選ぶ。そのプレイヤーはそのカードを捨てる。この能力は、あなたがソーサリーを唱えられるときにのみ起動できる。</t>
  </si>
  <si>
    <t>マッドネス(１)(B)（あなたがこのカードを捨てるなら、これを追放領域に捨てる。あなたがそうしたとき、マッドネス・コストでこれを唱えるか、これをあなたの墓地に置く。）</t>
  </si>
  <si>
    <t>(４)(B)(B)</t>
  </si>
  <si>
    <t>(R),(Ｔ)：クリーチャー１体を対象とする。このターン、それではブロックできない。</t>
  </si>
  <si>
    <t>(W)(U)(B)(R)(G)：クリーチャー１体を対象とする。肉組みはターン終了時まで+2/+2の修整を受けるとともに畏怖を得る。そのクリーチャーはターン終了時まで-2/-2の修整を受ける。この能力は、あなたのターンの間にのみ起動できる。（畏怖を持つクリーチャーは、黒でもアーティファクトでもないクリーチャーによってはブロックされない。）</t>
  </si>
  <si>
    <t>血に染まりし勇者ではブロックできない。</t>
  </si>
  <si>
    <t>凶兆艦隊の毒殺者が戦場に出たとき、あなたがコントロールしていて攻撃している海賊(Pirate)１体を対象とする。ターン終了時まで、それは+1/+1の修整を受けるとともに接死を得る。</t>
  </si>
  <si>
    <t>深海艦隊の船長が攻撃するたび、あなたがトークンでない他の海賊(Pirate)をコントロールしている場合、あなたは(２)を支払ってもよい。そうしたなら、威迫を持つ黒の2/2の海賊クリーチャー・トークンを１体生成する。</t>
  </si>
  <si>
    <t>シルムガルの暗殺者よりパワーが大きいクリーチャーでは、これをブロックできない。</t>
  </si>
  <si>
    <t>シルムガルの暗殺者が表向きになったとき、対戦相手がコントロールするパワーが３以下のクリーチャー１体を対象とし、それを破壊する。</t>
  </si>
  <si>
    <t>あなたのアップキープの開始時に、あなたのライブラリーの一番上のカードを１枚公開し、そのカードをあなたの手札に加える。あなたは、その点数で見たマナ・コストに等しい点数のライフを失う。</t>
  </si>
  <si>
    <t>陰鬱 ― (Ｔ),あなたがコントロールするアンタップ状態のクリーチャーを２体タップする：飛行を持つ黒の5/5のデーモン(Demon)・クリーチャー・トークンを１体生成する。この能力は、このターン、クリーチャーが死亡していた場合にのみ起動できる。</t>
  </si>
  <si>
    <t>光袖会の収集者が戦場に出るか攻撃するたび、あなたは(Ｅ)（エネルギー・カウンター１個）を得る。</t>
  </si>
  <si>
    <t>あなたのアップキープの開始時に、あなたは(Ｅ)(Ｅ)を支払ってもよい。そうしたなら、あなたはカードを１枚引き、あなたは１点のライフを失う。</t>
  </si>
  <si>
    <t>神啓 ― 苦痛の予見者がアンタップ状態になるたび、あなたのライブラリーの一番上のカードを公開し、そのカードをあなたの手札に加える。あなたはそのカードの点数で見たマナ・コストに等しい点数のライフを失う。</t>
  </si>
  <si>
    <t>対戦相手１人がコントロールするクリーチャーが死亡するたび、あなたはあなたの墓地にあるインスタント・カード１枚を対象とし、それを唱えてもよい。このターン、そのカードが墓地に置かれる場合、代わりにそれを追放する。</t>
  </si>
  <si>
    <t>英雄的 ― あなたが運命の工作員を対象とする呪文を１つ唱えるたび、各対戦相手はそれぞれクリーチャーを１体生け贄に捧げる。</t>
  </si>
  <si>
    <t>ザスリッドの屍術師かあなたがコントロールする他の人間(Human)クリーチャーが１体死亡するたび、黒の2/2のゾンビ(Zombie)・クリーチャー・トークンを１体タップ状態で生成する。</t>
  </si>
  <si>
    <t>あなたがコントロールする他のトークンでないクリーチャーが１体死亡するたび、カードを１枚引く。</t>
  </si>
  <si>
    <t>あなたのアップキープの開始時に、各プレイヤーはカードを１枚捨てる。</t>
  </si>
  <si>
    <t>墓刃の匪賊がプレイヤー１人に戦闘ダメージを与えるたび、そのプレイヤーはあなたの墓地にあるクリーチャー・カードの枚数に等しい点数のライフを失う。</t>
  </si>
  <si>
    <t>アーティファクトが１つ戦場からいずれかの墓地に置かれるたび、あなたはモリオックの装具工の上に+1/+1カウンターを１個置いてもよい。</t>
  </si>
  <si>
    <t>ガルザの暗殺者を生け贄に捧げる：黒でないクリーチャー１体を対象とし、それを破壊する。</t>
  </si>
  <si>
    <t>復活 ― あなたのライフの端数を切り上げた半分を支払う。（他のクリーチャーが戦場からあなたの墓地に置かれたとき、あなたはあなたのライフの端数を切り上げた半分を支払ってもよい。そうした場合、あなたの墓地にあるこのカードをあなたの手札に戻す。そうでない場合、このカードを追放する。）</t>
  </si>
  <si>
    <t>(Ｔ)：タップ状態のクリーチャー１体を対象とし、それを破壊する。</t>
  </si>
  <si>
    <t>夢盗人がプレイヤー１人に戦闘ダメージを与えるたび、そのプレイヤーはその点数に等しい枚数のカードを捨てる。</t>
  </si>
  <si>
    <t>現し世の裏切り者、禍我はその上に+1/+1カウンターがX個置かれた状態で戦場に出る。</t>
  </si>
  <si>
    <t>現し世の裏切り者、禍我が戦場に出たとき、プレイヤー１人を対象とする。そのプレイヤーは、この上の+1/+1カウンターの数に等しい点数のライフを失う。</t>
  </si>
  <si>
    <t>(１),カード１枚を捨てる：墳墓荒らし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</si>
  <si>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マルドゥの急襲指揮者が攻撃するたび、黒の2/1の戦士(Warrior)クリーチャー・トークンを１体生成する。</t>
  </si>
  <si>
    <t>(Ｔ)：対戦相手１人の墓地にあるクリーチャー・カード１枚を対象とする。それの点数で見たマナ・コストがあなたがコントロールする同盟者(Ally)の数以下であるならば、それをあなたのコントロール下で戦場に出す。</t>
  </si>
  <si>
    <t>バーラ・ゲドの盗賊か他の同盟者(Ally)があなたのコントロール下で戦場に出るたび、プレイヤー１人を対象とする。そのプレイヤーは自分の手札から、あなたがコントロールする同盟者の数に等しい枚数のカードを公開する。あなたはその中から１枚を選ぶ。そのプレイヤーはそのカードを捨てる。</t>
  </si>
  <si>
    <t>(２),(Ｔ)：あなたのライブラリーから《ただれたイモリ/Festering Newt》という名前か《泡立つ大釜/Bubbling Cauldron》という名前のカードを１枚探し、それをタップ状態で戦場に出し、その後あなたのライブラリーを切り直す。</t>
  </si>
  <si>
    <t>各プレイヤーのアップキープの開始時に、そのプレイヤーが選んだ自分がコントロールするアーティファクトでないクリーチャー１体を対象とし、それを破壊する。それは再生できない。</t>
  </si>
  <si>
    <t>ボーラスの信奉者が戦場に出たとき、他のクリーチャーを１体生け贄に捧げる。あなたはＸ点のライフを得て、カードをＸ枚引く。Ｘはそのクリーチャーのパワーである。</t>
  </si>
  <si>
    <t>神啓 ― 黄金の呪いのマカール王がアンタップ状態になるたび、クリーチャー１体を対象とする。あなたはそれを追放してもよい。そうしたなら、「金/Gold」という名前の無色のアーティファクト・トークンを１つ生成する。それは「このアーティファクトを生け贄に捧げる：あなたのマナ・プールに好きな色１色のマナ１点を加える。」を持つ。</t>
  </si>
  <si>
    <t>血の儀式の司祭が戦場に出たとき、飛行を持つ黒の5/5のデーモン(Demon)・クリーチャー・トークンを１体生成する。</t>
  </si>
  <si>
    <t>あなたのアップキープの開始時に、あなたは２点のライフを失う。</t>
  </si>
  <si>
    <t>あなたがクリーチャー呪文を唱えるたび、黒の1/1のスラル(Thrull)・クリーチャー・トークンをＸ体生成する。Ｘはその呪文の点数で見たマナ・コストである。</t>
  </si>
  <si>
    <t>あなたが７体以上のスラルをコントロールしているとき、練達の育種師、エンドレク・サールを生け贄に捧げる。</t>
  </si>
  <si>
    <t>探査（この呪文を唱える段階であなたがあなたの墓地から追放した各カードは、(１)を支払う。）</t>
  </si>
  <si>
    <t>(Ｔ),鏡の大魔術師を生け贄に捧げる：対戦相手１人を対象とする。あなたのライフの総量と、そのプレイヤーのライフの総量を交換する。この能力は、あなたのアップキープの間にのみ起動できる。</t>
  </si>
  <si>
    <t>製造３（このクリーチャーが戦場に出たとき、これの上に+1/+1カウンターを３個置くか、無色の1/1の霊気装置(Servo)アーティファクト・クリーチャー・トークンを３体生成する。）</t>
  </si>
  <si>
    <t>あなたがコントロールするアーティファクトが１つ戦場から墓地に置かれるたび、対戦相手１人を対象とする。そのプレイヤーはマリオネットの達人のパワーに等しい点数のライフを失う。</t>
  </si>
  <si>
    <t>強襲 ― (１)(B)：あなたの墓地にある血に染まりし勇者を戦場に戻す。この能力は、このターンにあなたがクリーチャーで攻撃していた場合にのみ起動できる。</t>
  </si>
  <si>
    <t>(１)(B),(Ｔ)：対戦相手１人の墓地からカード２枚を対象とし、それらを追放する。巧射艦隊の追跡者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</si>
  <si>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(B),(Ｔ),１点のライフを支払う：残酷なサディストの上に+1/+1カウンターを１個置く。</t>
  </si>
  <si>
    <t>(２)(B),(Ｔ),残酷なサディストの上から+1/+1カウンターをＸ個取り除く：クリーチャー１体を対象とする。残酷なサディストはそれにＸ点のダメージを与える。</t>
  </si>
  <si>
    <t>(２)(B)(B),(Ｔ)：クリーチャー１体を対象とする。そのクリーチャーは自身に、そのパワーに等しい点数のダメージを与える。</t>
  </si>
  <si>
    <t>大変異(２)(B)（あなたはこのカードを、(３)で2/2クリーチャーとして裏向きに唱えてもよい。これの大変異コストで、これをいつでも表向きにしてもよい。そうしたなら、これの上に+1/+1カウンターを１個置く。）</t>
  </si>
  <si>
    <t>変異(B)（あなたはこのカードを、(３)で2/2クリーチャーとして裏向きに唱えてもよい。これの変異コストで、これをいつでも表向きにしてもよい。）</t>
  </si>
  <si>
    <t>(B)(B)(B)</t>
  </si>
  <si>
    <t>永遠(４)(B)(B)（(４)(B)(B),あなたの墓地からこのカードを追放する：マナ・コストと永遠を持たない黒の4/4のゾンビ(Zombie)・人間(Human)・ウィザード(Wizard)であることを除き、これのコピーであるトークンを１体生成する。永遠はソーサリーとしてのみ行う。）</t>
  </si>
  <si>
    <t>(B),(Ｔ),宿命のネクロマンサーを生け贄に捧げる：あなたの墓地にあるクリーチャー・カード１枚を対象とし、それを戦場に戻す。</t>
  </si>
  <si>
    <t>(Ｘ)(B)(B)(B)</t>
  </si>
  <si>
    <t>疾駆(３)(B)（あなたはこの呪文を、これの疾駆コストで唱えてもよい。そうしたなら、これは速攻を得るとともに、次の終了ステップの開始時にこれを戦場からオーナーの手札に戻す。）</t>
  </si>
  <si>
    <t>(３)(B)(B)</t>
  </si>
  <si>
    <t>(２),(Ｔ)：あなたがコントロールする沼(Swamp)１つにつき、あなたのマナ・プールに(B)を加える。</t>
  </si>
  <si>
    <t>(５)(B)</t>
  </si>
  <si>
    <t>(５)(B)(B)</t>
  </si>
  <si>
    <t>対戦相手１人がコントロールするクリーチャーが死亡するたび、あなたは(１)(B)を支払ってもよい。そうした場合、そのカードをあなたのコントロール下で戦場に戻す。それがクリーチャーである場合、それはその他のクリーチャー・タイプに加えてゾンビ(Zombie)である。</t>
  </si>
  <si>
    <t>(１)(B)：ゾンビ１つを対象とし、それを再生する。</t>
  </si>
  <si>
    <t>(２)(G/U)(G/U)：あなたのライブラリーの一番上から２枚のカードをあなたの墓地に置く。その後、対戦相手１人が選んだあなたの墓地にある土地でないカード１枚を、あなたの手札に戻す。</t>
  </si>
  <si>
    <t>あなたがコントロールする他のトークンでないクリーチャーが１体死亡するたび、異端の癒し手、リリアナを追放し、その後、これを変身させた状態でオーナーのコントロール下で戦場に戻す。そうしたなら、黒の2/2のゾンビ(Zombie)・クリーチャー・トークンを１体生成する。</t>
  </si>
  <si>
    <t>[+2]：各プレイヤーはそれぞれカードを１枚捨てる。</t>
  </si>
  <si>
    <t>[-X]：あなたの墓地にある点数で見たマナ・コストがＸの伝説でないクリーチャー・カード１枚を対象とし、それを戦場に戻す。</t>
  </si>
  <si>
    <t>[-8]：あなたは「クリーチャーが１体死亡するたび、次の終了ステップの開始時に、それをあなたのコントロール下で戦場に戻す。」を持つ紋章を得る。</t>
  </si>
  <si>
    <t>累加アップキープ(１)</t>
    <phoneticPr fontId="2"/>
  </si>
  <si>
    <t>授与(２)(W)</t>
    <phoneticPr fontId="2"/>
  </si>
  <si>
    <t>Ｌｖアップ(２)</t>
    <phoneticPr fontId="2"/>
  </si>
  <si>
    <t>スレイベンの検査官が戦場に出たとき、調査を行う。</t>
    <phoneticPr fontId="2"/>
  </si>
  <si>
    <t>(B)：ターン終了時まで、マルドゥの悪刃は接死を得る。</t>
    <phoneticPr fontId="2"/>
  </si>
  <si>
    <t>武士道１</t>
    <phoneticPr fontId="2"/>
  </si>
  <si>
    <t>警戒</t>
    <phoneticPr fontId="2"/>
  </si>
  <si>
    <t>Ｌｖアップ(４)</t>
    <phoneticPr fontId="2"/>
  </si>
  <si>
    <t>側面攻撃</t>
    <phoneticPr fontId="2"/>
  </si>
  <si>
    <t>賛美</t>
    <phoneticPr fontId="2"/>
  </si>
  <si>
    <t>果敢</t>
  </si>
  <si>
    <t>果敢</t>
    <phoneticPr fontId="2"/>
  </si>
  <si>
    <t>オケチラの報復者が攻撃するに際し、あなたはこれを督励してもよい。そうしたとき、このターン、これに与えられる戦闘ダメージをすべて軽減する。</t>
    <phoneticPr fontId="2"/>
  </si>
  <si>
    <t>先制攻撃</t>
    <phoneticPr fontId="2"/>
  </si>
  <si>
    <t>強請</t>
    <phoneticPr fontId="2"/>
  </si>
  <si>
    <t>シャドー</t>
    <phoneticPr fontId="2"/>
  </si>
  <si>
    <t>アゾリウスの拘引者が戦場に出たとき、対戦相手１人がコントロールするクリーチャー１体を対象とし、それを留置する。</t>
    <phoneticPr fontId="2"/>
  </si>
  <si>
    <t>沼渡り</t>
    <phoneticPr fontId="2"/>
  </si>
  <si>
    <t>レト一門の槍の達人が攻撃するに際し、あなたはこれを督励してもよい。そうしたとき、ターン終了時まで、これは+1/+0の修整を受けるとともに先制攻撃を得る。</t>
    <phoneticPr fontId="2"/>
  </si>
  <si>
    <t>高名１</t>
    <phoneticPr fontId="2"/>
  </si>
  <si>
    <t>砂造形の魔道士が戦場に出たとき、鼓舞１を行う。</t>
    <phoneticPr fontId="2"/>
  </si>
  <si>
    <t>瞬速</t>
    <phoneticPr fontId="2"/>
  </si>
  <si>
    <t>防衛</t>
    <phoneticPr fontId="2"/>
  </si>
  <si>
    <t>長久(１)(W)</t>
    <phoneticPr fontId="2"/>
  </si>
  <si>
    <t>コーリスの子を生け贄に捧げる：あなたは、このターンにあなたが失ったライフに等しい点数のライフを得る。</t>
    <phoneticPr fontId="2"/>
  </si>
  <si>
    <t>突風歩きが攻撃するに際し、あなたはこれを督励してもよい。そうしたとき、ターン終了時まで、これは+1/+1の修整を受けるとともに飛行を得る。</t>
    <phoneticPr fontId="2"/>
  </si>
  <si>
    <t>不朽(３)(W)</t>
    <phoneticPr fontId="2"/>
  </si>
  <si>
    <t>(U)：目明き階級の魔術師はターン終了時まで被覆を得る。</t>
    <phoneticPr fontId="2"/>
  </si>
  <si>
    <t>波及４</t>
    <phoneticPr fontId="2"/>
  </si>
  <si>
    <t>不朽(４)(W)</t>
    <phoneticPr fontId="2"/>
  </si>
  <si>
    <t>永遠(４)(W)(W)</t>
    <phoneticPr fontId="2"/>
  </si>
  <si>
    <t>飛行、側面攻撃</t>
    <phoneticPr fontId="2"/>
  </si>
  <si>
    <t>待機３ ― (W)</t>
    <phoneticPr fontId="2"/>
  </si>
  <si>
    <t>製造１</t>
    <phoneticPr fontId="2"/>
  </si>
  <si>
    <t>絆魂</t>
    <phoneticPr fontId="2"/>
  </si>
  <si>
    <t>召集</t>
    <phoneticPr fontId="2"/>
  </si>
  <si>
    <t>日の出の追求者が戦場に出たとき、これは探検を行う。</t>
    <phoneticPr fontId="2"/>
  </si>
  <si>
    <t>結魂</t>
    <phoneticPr fontId="2"/>
  </si>
  <si>
    <t>プロテクション（黒）</t>
    <phoneticPr fontId="2"/>
  </si>
  <si>
    <t>(１)(W)：あなたがコントロールするクリーチャー１体を対象とする。それはターン終了時まで絆魂を得る。</t>
    <phoneticPr fontId="2"/>
  </si>
  <si>
    <t>授与(４)(W)</t>
    <phoneticPr fontId="2"/>
  </si>
  <si>
    <t>二段攻撃</t>
    <phoneticPr fontId="2"/>
  </si>
  <si>
    <t>武士道２</t>
    <phoneticPr fontId="2"/>
  </si>
  <si>
    <t>(Ｔ),結束に仕える者を督励する：警戒を持つ白の1/1の戦士(Warrior)クリーチャー・トークンを１体生成する。</t>
    <phoneticPr fontId="2"/>
  </si>
  <si>
    <t>喊声</t>
    <phoneticPr fontId="2"/>
  </si>
  <si>
    <t>ドロモカの隊長が攻撃するたび、鼓舞１を行う。</t>
    <phoneticPr fontId="2"/>
  </si>
  <si>
    <t>日の出の使者が戦場に出たとき、これは探検を行う。</t>
    <phoneticPr fontId="2"/>
  </si>
  <si>
    <t>長久(W)</t>
    <phoneticPr fontId="2"/>
  </si>
  <si>
    <t>プロテクション（黒）、側面攻撃</t>
    <phoneticPr fontId="2"/>
  </si>
  <si>
    <t>待機３ ― (１)(W)(W)</t>
    <phoneticPr fontId="2"/>
  </si>
  <si>
    <t>献身的な門友が攻撃するに際し、あなたはこれを督励してもよい。そうしたとき、あなたの墓地から点数で見たマナ・コストが２以下のクリーチャー・カード１枚を対象とし、それを戦場に戻す。</t>
    <phoneticPr fontId="2"/>
  </si>
  <si>
    <t>永遠(２)(W)(W)</t>
    <phoneticPr fontId="2"/>
  </si>
  <si>
    <t>放逐する僧侶が戦場に出たとき、対戦相手１人がコントロールするクリーチャー１体を対象とし、放逐する僧侶が戦場を離れるまでそれを追放する。</t>
    <phoneticPr fontId="2"/>
  </si>
  <si>
    <t>消失３</t>
    <phoneticPr fontId="2"/>
  </si>
  <si>
    <t>側面攻撃を持つ、あなたがコントロールする他のクリーチャーは側面攻撃を持つ。</t>
    <phoneticPr fontId="2"/>
  </si>
  <si>
    <t>信義の侍臣が攻撃するに際し、あなたはこれを督励してもよい。</t>
    <phoneticPr fontId="2"/>
  </si>
  <si>
    <t>Ｌｖアップ(２)(W)</t>
    <phoneticPr fontId="2"/>
  </si>
  <si>
    <t>アゾリウスの大司法官が戦場に出たとき、あなたの対戦相手がコントロールするクリーチャーを最大２体まで対象とし、それらを留置する。</t>
    <phoneticPr fontId="2"/>
  </si>
  <si>
    <t>(W),(Ｔ)：あなたがコントロールする他の白のクリーチャー１体を対象とする。それはターン終了時まで警戒を得る。</t>
    <phoneticPr fontId="2"/>
  </si>
  <si>
    <t>鱗衛兵の精鋭が戦場に出たとき、鼓舞２を行う。</t>
    <phoneticPr fontId="2"/>
  </si>
  <si>
    <t>ヘリオッドの福音者が戦場に出たとき、あなたの白への信心に等しい数の白の1/1の兵士(Soldier)クリーチャー・トークンを生成する。</t>
    <phoneticPr fontId="2"/>
  </si>
  <si>
    <t>予見 ― (１)(W),あなたの手札からプラーフの聖騎士を公開する：クリーチャー１体を対象とする。このターン、それがダメージを与えるたび、あなたはその点数に等しい点数のライフを得る。</t>
    <phoneticPr fontId="2"/>
  </si>
  <si>
    <t>二段攻撃、武士道２</t>
    <phoneticPr fontId="2"/>
  </si>
  <si>
    <t>不朽(２)(W)</t>
    <phoneticPr fontId="2"/>
  </si>
  <si>
    <t>変異(３)(W)</t>
    <phoneticPr fontId="2"/>
  </si>
  <si>
    <t>武士道５</t>
    <phoneticPr fontId="2"/>
  </si>
  <si>
    <t>Ｌｖアップ(１)</t>
    <phoneticPr fontId="2"/>
  </si>
  <si>
    <t>長久(２)(W)</t>
    <phoneticPr fontId="2"/>
  </si>
  <si>
    <t>Ｌｖアップ(W)</t>
    <phoneticPr fontId="2"/>
  </si>
  <si>
    <t>あなたは呪禁を持つ。</t>
    <phoneticPr fontId="2"/>
  </si>
  <si>
    <t>あなたは被覆を持つ。</t>
    <phoneticPr fontId="2"/>
  </si>
  <si>
    <t>変異(３)(W)(W)</t>
    <phoneticPr fontId="2"/>
  </si>
  <si>
    <t>栄光半ばの修練者が攻撃するに際し、あなたはこれを督励してもよい。そうしたとき、ターン終了時まで、これは+1/+3の修整を受けるとともに絆魂を得る。</t>
    <phoneticPr fontId="2"/>
  </si>
  <si>
    <t>大変異(２)(W)</t>
    <phoneticPr fontId="2"/>
  </si>
  <si>
    <t>あなたがコントロールする他の騎士(Knight)クリーチャーは+1/+1の修整を受けるとともに破壊不能を持つ。</t>
    <phoneticPr fontId="2"/>
  </si>
  <si>
    <t>先制攻撃、プロテクション（黒）、プロテクション（赤）</t>
    <phoneticPr fontId="2"/>
  </si>
  <si>
    <t>あなたがコントロールするパーマネントにつけられているオーラ(Aura)は族霊鎧を持つ。</t>
    <phoneticPr fontId="2"/>
  </si>
  <si>
    <t>他の兵士(Soldier)クリーチャーは+1/+1の修整を受けるとともに先制攻撃を持つ。</t>
    <phoneticPr fontId="2"/>
  </si>
  <si>
    <t>あなたの終了ステップの開始時に、鼓舞Ｘを行う。Ｘは、あなたがコントロールするタップ状態のクリーチャーの総数である。</t>
    <phoneticPr fontId="2"/>
  </si>
  <si>
    <t>クリーチャー１体があなたに戦闘ダメージを与えるたび、牢獄の管理人、ヒクサスがこのターンに戦場に出ていた場合、牢獄の管理人、ヒクサスが戦場を離れるまでそのクリーチャーを追放する。</t>
    <phoneticPr fontId="2"/>
  </si>
  <si>
    <t>(Ｔ)：クリーチャー１体を対象とする。ターン終了時まで、それは速攻を得る。</t>
  </si>
  <si>
    <t>(２),あなたの手札から赤のカードをＸ枚公開する,灰の殉教者を生け贄に捧げる：灰の殉教者は、飛行を持たない各クリーチャーにそれぞれＸ点のダメージを与える。</t>
  </si>
  <si>
    <t>英雄的 ― あなたがアクロスの十字軍を対象とする呪文を１つ唱えるたび、速攻を持つ赤の1/1の兵士(Soldier)クリーチャー・トークンを１体生成する。</t>
  </si>
  <si>
    <t>ソンバーワルドの自警団がクリーチャーにブロックされた状態になるたび、ソンバーワルドの自警団はそのクリーチャーに１点のダメージを与える。</t>
  </si>
  <si>
    <t>コラガンの嵐唱者が表向きになったとき、クリーチャー１体を対象とする。ターン終了時まで、それは速攻を得る。</t>
  </si>
  <si>
    <t>狂喜１（このターン、対戦相手１人にダメージが与えられている場合、このクリーチャーはその上に+1/+1カウンターが１個置かれた状態で戦場に出る。）</t>
  </si>
  <si>
    <t>谷を駆ける者は、可能なら各戦闘で攻撃する。</t>
  </si>
  <si>
    <t>火花魔道士の弟子が戦場に出たとき、クリーチャー１体かプレイヤー１人を対象とする。火花魔道士の弟子はそれに１点のダメージを与える。</t>
  </si>
  <si>
    <t>ケルドの匪賊が戦場に出るか戦場を離れるかしたとき、プレイヤー１人を対象とする。ケルドの匪賊はそのプレイヤーに１点のダメージを与える。</t>
  </si>
  <si>
    <t>各アップキープの開始時に、直前のターンに呪文が唱えられていなかった場合、内陸の隠遁者を変身させる。</t>
  </si>
  <si>
    <t>内陸の災い魔は可能ならブロックされなければならない。</t>
  </si>
  <si>
    <t>各アップキープの開始時に、直前のターンにプレイヤー１人が呪文を２つ以上唱えていた場合、内陸の災い魔を変身させる。</t>
  </si>
  <si>
    <t>アーティファクトが１つあなたのコントロール下で戦場に出るたび、無謀な炎織りは各対戦相手にそれぞれ１点のダメージを与える。</t>
  </si>
  <si>
    <t>戦に狂える浪人は、可能なら各戦闘で攻撃する。</t>
  </si>
  <si>
    <t>売剣の粗暴者が死亡したとき、それはあなたに２点のダメージを与える。</t>
  </si>
  <si>
    <t>あなたが他の同盟者(Ally)をコントロールしていないかぎり、命知らずの群勢は可能なら各戦闘で攻撃する。</t>
  </si>
  <si>
    <t>あなたがクリーチャーでない呪文を１つ唱えるたび、火付け射手は各対戦相手にそれぞれ１点のダメージを与える。</t>
  </si>
  <si>
    <t>各アップキープの開始時に、直前のターンに呪文が唱えられていなかった場合、村の鉄鍛冶を変身させる。</t>
  </si>
  <si>
    <t>各アップキープの開始時に、直前のターンにプレイヤー１人が２つ以上の呪文を唱えていた場合、鉄牙を変身させる。</t>
  </si>
  <si>
    <t>国境地帯の匪賊が攻撃するたび、これはターン終了時まで+2/+0の修整を受ける。</t>
  </si>
  <si>
    <t>(Ｔ)：熱錬金術師は各対戦相手にそれぞれ１点のダメージを与える。</t>
  </si>
  <si>
    <t>あなたがインスタント呪文かソーサリー呪文を１つ唱えるたび、熱錬金術師をアンタップする。</t>
  </si>
  <si>
    <t>(Ｔ)：パワーが５以上のクリーチャー１体を対象とする。それはターン終了時まで速攻を得る。</t>
  </si>
  <si>
    <t>コラガンの野心家がクリーチャー１体にブロックされた状態になるたび、コラガンの野心家はそのクリーチャーに１点のダメージを与える。</t>
  </si>
  <si>
    <t>霊気追跡者が戦場に出たとき、あなたは(Ｅ)(Ｅ)（エネルギー・カウンター２個）を得る。</t>
  </si>
  <si>
    <t>霊気追跡者が攻撃するたび、あなたは(Ｅ)(Ｅ)を支払ってもよい。そうしたなら、無色の1/1の霊気装置(Servo)アーティファクト・クリーチャー・トークンを１体生成する。</t>
  </si>
  <si>
    <t>アクームの戦歌いか他の同盟者(Ally)が１体あなたのコントロール下で戦場に出るたび、あなたは「あなたがコントロールする同盟者クリーチャーはターン終了時まで+1/+0の修整を受ける」ことを選んでもよい。</t>
  </si>
  <si>
    <t>大隊 ― 爆弾部隊と少なくとも２体の他のクリーチャーが攻撃するたび、クリーチャー１体かプレイヤー１人を対象とする。爆弾部隊はそれに１点のダメージを与える。</t>
  </si>
  <si>
    <t>魔道士輪の暴漢は、可能なら各戦闘で攻撃する。</t>
  </si>
  <si>
    <t>飛行、速攻</t>
  </si>
  <si>
    <t>性急な太陽追いは、可能なら各戦闘で攻撃する。</t>
  </si>
  <si>
    <t>ティロナーリの騎士が攻撃するたび、あなたが恐竜(Dinosaur)をコントロールしている場合、ターン終了時まで、ティロナーリの騎士は+1/+1の修整を受ける。</t>
  </si>
  <si>
    <t>他のクリーチャーがあなたのコントロール下で戦場に出るたび、クルーインの打撃者はターン終了時まで+1/+0の修整を受けるとともにトランプルを得る。</t>
  </si>
  <si>
    <t>高地の狂戦士か他の同盟者(Ally)があなたのコントロール下で戦場に出るたび、あなたは「あなたがコントロールする同盟者クリーチャーは、ターン終了時まで先制攻撃を得る」ことを選んでもよい。</t>
  </si>
  <si>
    <t>ネフ一門の鉄球戦士が攻撃するに際し、あなたはこれを督励してもよい。そうしたとき、ターン終了時まで、これは+1/+2の修整を受ける。（督励されたクリーチャーは、あなたの次のアンタップ・ステップにアンタップしない。）</t>
  </si>
  <si>
    <t>ハンウィアーの槍兵が他のクリーチャーと組になっているかぎり、両方のクリーチャーは先制攻撃を持つ。</t>
  </si>
  <si>
    <t>ヴァルショクの心臓焚きが戦場に出たとき、クリーチャー１体を対象とする。それはターン終了時まで+2/+0の修整を受ける。</t>
  </si>
  <si>
    <t>盟友 ― (Ｔ),あなたがコントロールするアンタップ状態の同盟者(Ally)を１体タップする：カードを１枚捨てる。そうしたなら、カードを１枚引く。</t>
  </si>
  <si>
    <t>(Ｔ)：クリーチャー１体かプレイヤー１人を対象とする。放蕩紅蓮術士はそれに１点のダメージを与える。</t>
  </si>
  <si>
    <t>熱血漢の聖戦士が戦場に出たとき、クリーチャー１体を対象とする。このターン、それではブロックできない。</t>
  </si>
  <si>
    <t>尖塔横の潜入者がタップ状態になるたび、これは各対戦相手にそれぞれ１点のダメージを与える。</t>
  </si>
  <si>
    <t>威嚇（このクリーチャーはアーティファクト・クリーチャーかこれと共通の色を持つクリーチャー以外にはブロックされない。）</t>
  </si>
  <si>
    <t>アカデミーの略奪者がプレイヤー１人に戦闘ダメージを与えるたび、あなたはカードを１枚捨ててもよい。そうした場合、カードを１枚引く。</t>
  </si>
  <si>
    <t>(８)：クリーチャー１体かプレイヤー１人を対象とする。ヴァラクートの発動者はそれに３点のダメージを与える。</t>
  </si>
  <si>
    <t>強襲 ― このターンにあなたがクリーチャーで攻撃していたなら、意気がった海賊は+1/+1カウンターが１個置かれた状態で戦場に出る。</t>
  </si>
  <si>
    <t>(Ｔ)：クリーチャー１体かプレイヤー１人を対象とする。ヴィティアのとげ刺しはそれに１点のダメージを与える。</t>
  </si>
  <si>
    <t>暴動の首謀者が攻撃するたび、あなたがコントロールする人間(Human)クリーチャーはターン終了時まで+1/+0の修整を受ける。</t>
  </si>
  <si>
    <t>各戦闘で、最前線の反逆者は可能なら攻撃する。</t>
  </si>
  <si>
    <t>躁の蛮人が戦場に出たとき、アーティファクト１つを対象とし、それを破壊する。</t>
  </si>
  <si>
    <t>(Ｔ)：クリーチャー１体かプレイヤー１人を対象とする。ヴァルショクの魔術師はそれに１点のダメージを与える。</t>
  </si>
  <si>
    <t>鍛えられた狂戦士が攻撃するたび、このターンにあなたが次の呪文を唱えるためのコストは(１)少なくなる。</t>
  </si>
  <si>
    <t>(Ｔ),アーティファクト１つを生け贄に捧げる：エンブロールの歯車砕きは各対戦相手にそれぞれ２点のダメージを与える。</t>
  </si>
  <si>
    <t>ギラプールの歯車造りが戦場に出たとき、飛行を持つ無色の1/1の飛行機械(Thopter)アーティファクト・クリーチャー・トークンを１体生成する。（飛行を持つクリーチャーは、飛行や到達を持たないクリーチャーによってはブロックされない。）</t>
  </si>
  <si>
    <t>(２)：ターン終了時まで、炎の刃のアスカーリは無色になる。</t>
  </si>
  <si>
    <t>森渡り（このクリーチャーは、防御プレイヤーが森(Forest)をコントロールしているかぎりブロックされない。）</t>
  </si>
  <si>
    <t>各アップキープの開始時に、直前のターンに呪文が唱えられていなかった場合、既決殺人犯を変身させる。</t>
  </si>
  <si>
    <t>各アップキープの開始時に、直前のターンにプレイヤー１人が２つ以上の呪文を唱えていた場合、焼き印の咆哮者を変身させる。</t>
  </si>
  <si>
    <t>突撃隊を生け贄に捧げる：クリーチャー１体かプレイヤー１人を対象とする。突撃隊はそれに２点のダメージを与える。</t>
  </si>
  <si>
    <t>気ままな芸術家が戦場に出たとき、あなたは(Ｅ)（エネルギー・カウンター１個）を得る。</t>
  </si>
  <si>
    <t>(Ｅ)を支払う：クリーチャー１体を対象とする。ターン終了時まで、それは速攻を得る。</t>
  </si>
  <si>
    <t>鉄面連合の海賊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</si>
  <si>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(Ｔ)：クリーチャー１体かプレイヤー１人を対象とする。霜投げはそれに１点のダメージを与える。</t>
  </si>
  <si>
    <t>このターン、霜投げにダメージを与えられたクリーチャー死亡する場合、代わりにそれを追放する。</t>
  </si>
  <si>
    <t>圧倒 ― 剣歯虎の先導隊が攻撃するたび、あなたがコントロールするクリーチャーのパワーの合計が８以上である場合、ターン終了時まで剣歯虎の先導隊は先制攻撃を得る。</t>
  </si>
  <si>
    <t>金属術 ― 刃族の狂戦士が戦場に出たとき、あなたがアーティファクトを３つ以上コントロールしている場合、刃族の狂戦士はターン終了時まで+3/+3の修整を受けるとともに速攻を得る。</t>
  </si>
  <si>
    <t>溶解区の門番が戦場に出たとき、あなたが門(Gate)を２つ以上コントロールしている場合、対戦相手１人がコントロールするクリーチャー１体を対象とし、ターン終了時までそれのコントロールを得る。そのクリーチャーをアンタップする。それはターン終了時まで速攻を得る。</t>
  </si>
  <si>
    <t>鉄面連合の掠め取りが戦場に出たとき、「(Ｔ),このアーティファクトを生け贄に捧げる：あなたのマナ・プールに好きな色１色のマナ１点を加える。」を持つ無色の宝物(Treasure)アーティファクト・トークンを１つ生成する。</t>
  </si>
  <si>
    <t>(Ｔ),カードを１枚捨てる：カードを１枚引く。</t>
  </si>
  <si>
    <t>各アップキープの開始時に、直前のターンに呪文が唱えられていなかった場合、苛まれし最下層民を変身させる。</t>
  </si>
  <si>
    <t>各アップキープの開始時に、直前のターンにプレイヤー１人が２つ以上の呪文を唱えていた場合、猛り狂う狼男を変身させる。</t>
  </si>
  <si>
    <t>速攻（このクリーチャーは、あなたのコントロール下になってすぐに攻撃したり(Ｔ)したりできる。）</t>
  </si>
  <si>
    <t>血の峠の狂戦士は、可能なら各戦闘で攻撃する。</t>
  </si>
  <si>
    <t>各アップキープの開始時に、直前のターンに呪文が唱えられていなかった場合、ガツタフの放火魔を変身させる。</t>
  </si>
  <si>
    <t>各アップキープの開始時に、直前のターンにプレイヤー１人が２つ以上の呪文を唱えていた場合、ガツタフの荒廃者を変身させる。</t>
  </si>
  <si>
    <t>暴勇 ― あなたの手札にカードがないかぎり、ギャサンの略奪者は+2/+2の修整を受ける。</t>
  </si>
  <si>
    <t>変異 ― カードを１枚捨てる。（あなたはこのカードを、(３)で2/2クリーチャーとして裏向きに唱えてもよい。これの変異コストで、これをいつでも表向きにしてもよい。）</t>
  </si>
  <si>
    <t>強襲 ― 風雲艦隊の紅蓮術士が戦場に出たとき、このターンにあなたがクリーチャーで攻撃していた場合、クリーチャー１体かプレイヤー１人を対象とする。風雲艦隊の紅蓮術士はそれに２点のダメージを与える。</t>
  </si>
  <si>
    <t>C</t>
    <phoneticPr fontId="2"/>
  </si>
  <si>
    <t>UC</t>
    <phoneticPr fontId="2"/>
  </si>
  <si>
    <t>R</t>
    <phoneticPr fontId="2"/>
  </si>
  <si>
    <t>M</t>
    <phoneticPr fontId="2"/>
  </si>
  <si>
    <t>_6/4</t>
  </si>
  <si>
    <t>_5/2</t>
  </si>
  <si>
    <t>_6/5</t>
  </si>
  <si>
    <t>(３)(W),イロアスの神官を生け贄に捧げる：エンチャント１つを対象とし、それを破壊する。</t>
  </si>
  <si>
    <t>(２)(W)：ターン終了時まで、跳躍の達人は飛行を得る。</t>
  </si>
  <si>
    <t>(R)</t>
  </si>
  <si>
    <t>大変異(R)（あなたはこのカードを、(３)で2/2クリーチャーとして裏向きに唱えてもよい。これの大変異コストで、これをいつでも表向きにしてもよい。そうしたなら、これの上に+1/+1カウンターを１個置く。）</t>
  </si>
  <si>
    <t>(１)(R)</t>
  </si>
  <si>
    <t>(１)(R)：ターン終了時まで、深海艦隊の扇動者は+1/+0の修整を受ける。</t>
  </si>
  <si>
    <t>(２)(R)</t>
  </si>
  <si>
    <t>(１)(R)(R)</t>
  </si>
  <si>
    <t>蘇生(１)(R)（(１)(R)：このカードを戦場に戻す。そのクリーチャーは速攻を得る。次のターン終了ステップの開始時か、それが戦場を離れる場合に、それを追放する。蘇生はソーサリーとしてのみ行う。）</t>
  </si>
  <si>
    <t>(１)(R),(Ｔ),カードを１枚捨てる：クリーチャー１体を対象とする。それはターン終了時まで+1/-1の修整を受けるとともに速攻を得る。</t>
  </si>
  <si>
    <t>(３)(R)</t>
  </si>
  <si>
    <t>(２)(R)(R)</t>
  </si>
  <si>
    <t>(R)：砂岩の戦士はターン終了時まで+1/+0の修整を受ける。</t>
  </si>
  <si>
    <t>(４)(R)</t>
  </si>
  <si>
    <t>変異(３)(R)（あなたはこのカードを、(３)で2/2クリーチャーとして裏向きに唱えてもよい。これの変異コストで、これをいつでも表向きにしてもよい。）</t>
  </si>
  <si>
    <t>待機４ ― (R)（このカードをあなたの手札から唱えるのではなく、(R)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</si>
  <si>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(R),蛮族の裂け目切りを生け贄に捧げる：土地１つを対象とし、それを破壊する。</t>
  </si>
  <si>
    <t>(３)(R)(R)</t>
  </si>
  <si>
    <t>(５)(R)</t>
  </si>
  <si>
    <t>(W)(U)(B)(R)(G)：ターン終了時まで、竜魂の騎士はドラゴン(Dragon)になるとともに+5/+3の修整を受け飛行とトランプルを得る。</t>
  </si>
  <si>
    <t>各アップキープの開始時に、直前のターンに呪文が唱えられていなかった場合、村の伝書士を変身させる。</t>
  </si>
  <si>
    <t>各アップキープの開始時に、直前のターンにプレイヤー１人が２つ以上の呪文を唱えていた場合、月の出の侵入者を変身させる。</t>
  </si>
  <si>
    <t>各アップキープの開始時に、直前のターンに呪文が唱えられていなかった場合、無謀な浮浪者を変身させる。</t>
  </si>
  <si>
    <t>各アップキープの開始時に、直前のターンにプレイヤー１人が２つ以上の呪文を唱えていた場合、無慈悲な捕食者を変身させる。</t>
  </si>
  <si>
    <t>あなたがアーティファクトをコントロールしているかぎり、発明者の見習いは+1/+1の修整を受ける。</t>
  </si>
  <si>
    <t>勇敢な海賊を唱えるための追加コストとして、あなたの手札から海賊(Pirate)カード１枚を公開するか(２)を支払う。</t>
  </si>
  <si>
    <t>(Ｔ)：対戦相手１人を対象とする。カードを２枚引く。そのプレイヤーは謙虚な離反者のコントロールを得る。この能力は、あなたのターンの間にのみ起動できる。</t>
  </si>
  <si>
    <t>あなたがアーティファクト呪文を唱えるたび、クリーチャー１体かプレイヤー１人を対象とする。あなたは(１)を支払ってもよい。そうした場合、燃えさし鍛冶はそれに１点のダメージを与える。</t>
  </si>
  <si>
    <t>大隊 ― 火拳の打撃者と少なくとも２体の他のクリーチャーが攻撃するたび、クリーチャー１体を対象とする。このターン、それではブロックできない。</t>
  </si>
  <si>
    <t>(Ｔ)：恐竜１体を対象とする。ターン終了時まで、それは速攻を得る。</t>
  </si>
  <si>
    <t>狂喜２（このターン、対戦相手１人にダメージが与えられている場合、このクリーチャーはその上に+1/+1カウンターが２個置かれた状態で戦場に出る。）</t>
  </si>
  <si>
    <t>ケッシグの鍛冶場主がクリーチャー１体をブロックするかクリーチャー１体にブロックされた状態になるたび、ケッシグの鍛冶場主はそのクリーチャーに１点のダメージを与える。</t>
  </si>
  <si>
    <t>各アップキープの開始時に、直前のターンに呪文が唱えられていなかった場合、ケッシグの鍛冶場主を変身させる。</t>
  </si>
  <si>
    <t>炎心の人狼がクリーチャー１体をブロックするかクリーチャー１体にブロックされた状態になるたび、炎心の人狼はそのクリーチャーに２点のダメージを与える。</t>
  </si>
  <si>
    <t>各アップキープの開始時に、直前のターンにプレイヤー１人が２つ以上の呪文を唱えていた場合、炎心の人狼を変身させる。</t>
  </si>
  <si>
    <t>対戦相手がコントロールするクリーチャーが１体死亡するたび、アルタクの求血者はターン終了時まで+2/+0の修整を受けるとともに先制攻撃と速攻を得る。（これは先制攻撃をもたないクリーチャーよりも先に戦闘ダメージを与え、あなたのコントロール下になってすぐに攻撃したり(Ｔ)したりできる。）</t>
  </si>
  <si>
    <t>強襲 ― このターンにあなたがクリーチャーで攻撃していたなら、戦名を望む者は+1/+1カウンターが１個置かれた状態で戦場に出る。</t>
  </si>
  <si>
    <t>戦名を望む者は、パワーが１以下のクリーチャーによってはブロックされない。</t>
  </si>
  <si>
    <t>英雄的 ― あなたが闘技場の競技者を対象とする呪文を１つ唱えるたび、対戦相手がコントロールするクリーチャー１体を対象とする。このターン、それではブロックできない。</t>
  </si>
  <si>
    <t>あなたが都市の承認を持っているかぎり、風雲艦隊の剣客は二段攻撃を持つ。</t>
  </si>
  <si>
    <t>稲妻のやっかいものが他のクリーチャーと組になっているかぎり、両方のクリーチャーは速攻を持つ。</t>
  </si>
  <si>
    <t>先制攻撃、プロテクション（白）</t>
  </si>
  <si>
    <t>軍団の伏兵がブロックするたび、これはあなたは１点のダメージを与える。</t>
  </si>
  <si>
    <t>変異 ― あなたの手札にある赤のカードを１枚公開する。（あなたはこのカードを、(３)で2/2クリーチャーとして裏向きに唱えてもよい。これの変異コストで、これをいつでも表向きにしてもよい。）</t>
  </si>
  <si>
    <t>軍団の伏兵が表向きになったとき、クリーチャー１体を対象とする。このターン、それではブロックできない。</t>
  </si>
  <si>
    <t>(２)：黒か緑のクリーチャー１体を対象とする。それはターン終了時まで速攻を得る。（それは、あなたのコントロール下で戦場に出てすぐに攻撃したり(Ｔ)したりできる。）</t>
  </si>
  <si>
    <t>競走路の熱狂者が機体(Vehicle)１つに搭乗するたび、ターン終了時まで、その機体は速攻を得る。</t>
  </si>
  <si>
    <t>あなたがインスタント呪文かソーサリー呪文を１つ唱えるたび、赤の1/1のエレメンタル(Elemental)・クリーチャー・トークンを１体生成する。</t>
  </si>
  <si>
    <t>あなたがチャンドラ(Chandra)・プレインズウォーカーをコントロールしているかぎり、改革派の炬火は+1/+0の修整を受けるとともに先制攻撃を持つ。（これは先制攻撃を持たないクリーチャーよりも先に戦闘ダメージを与える。）</t>
  </si>
  <si>
    <t xml:space="preserve">あなたがスピリット(Spirit)か秘儀(Arcane)呪文を唱えるたび、あなたは狡猾な山賊の上に気(ki)カウンターを１個置いてもよい。 </t>
  </si>
  <si>
    <t>終了ステップの開始時に、狡猾な山賊の上に気カウンターが２個以上置かれている場合、あなたはそれを反転してもよい。</t>
  </si>
  <si>
    <t>背信の化身、痣矛奇から気(ki)カウンターを１個取り除く：クリーチャー１体を対象とする。ターン終了時まで、そのコントロールを得る。</t>
  </si>
  <si>
    <t>飛行機械技師が戦場に出たとき、飛行を持つ無色の1/1の飛行機械(Thopter)アーティファクト・クリーチャー・トークンを１体生成する。</t>
  </si>
  <si>
    <t>あなたがコントロールするアーティファクト・クリーチャーは速攻を持つ。（それらはあなたのコントロール下になってすぐに攻撃したり(Ｔ)したりできる。）</t>
  </si>
  <si>
    <t>羽虫小路の忍び寄る者は、飛行を持つクリーチャーによってはブロックされない。</t>
  </si>
  <si>
    <t>あなたの終了ステップの開始時に、あなたがパワーが５以上のクリーチャーをコントロールしている場合、プレイヤー１人を対象とする。あなたは「あふれ出る火焚きはそのプレイヤーに２点のダメージを与える」ことを選んでもよい。</t>
  </si>
  <si>
    <t>アーティファクトが１つあなたのコントロール下で戦場に出るたび、あなたはカード１枚を捨ててもよい。そうしたなら、カードを１枚引く。</t>
  </si>
  <si>
    <t>業火の侍祭がクリーチャー１体にブロックされた状態になるたび、業火の侍祭はそのクリーチャーに２点のダメージを与える。</t>
  </si>
  <si>
    <t>(Ｔ)：プレイヤー１人を対象とする。熱烈の苦悶術師はそのプレイヤーに１点のダメージを与える。</t>
  </si>
  <si>
    <t>(Ｔ),熱烈の苦悶術師を督励する：クリーチャー１体を対象とする。これはそれに１点のダメージを与える。（督励されたクリーチャーは、あなたの次のアンタップ・ステップにアンタップしない。）</t>
  </si>
  <si>
    <t>プロテクション（赤）</t>
  </si>
  <si>
    <t>あなたがコントロールするクリーチャーはトランプルを持つ。</t>
  </si>
  <si>
    <t>あなたの対戦相手がコントロールするクリーチャーはトランプルを失うとともに、トランプルを持つことも得ることもできない。</t>
  </si>
  <si>
    <t>ちょうど２つの《山崎兄弟/Brothers Yamazaki》という名前のパーマネントが戦場にある場合、「レジェンド・ルール」はそれらに適用されない。</t>
  </si>
  <si>
    <t>《山崎兄弟/Brothers Yamazaki》という名前の他のクリーチャーはそれぞれ+2/+2の修整を受けるとともに速攻を持つ。</t>
  </si>
  <si>
    <t>(Ｔ)：クリーチャー１体かプレイヤー１人を対象とする。狡猾な火花魔道士はそれに１点のダメージを与える。</t>
  </si>
  <si>
    <t>各プレイヤーの終了ステップの開始時に、そのプレイヤーはアンタップ状態の土地を１つ生け贄に捧げる。</t>
  </si>
  <si>
    <t>各アップキープの開始時に、直前のターンに呪文が唱えられていなかった場合、首折れ路の乗り手を変身させる。</t>
  </si>
  <si>
    <t>あなたがコントロールする攻撃クリーチャーは+1/+0の修整を受けるとともにトランプルを持つ。</t>
  </si>
  <si>
    <t>各アップキープの開始時に、直前のターンにプレイヤー１人が２つ以上の呪文を唱えていた場合、首折りを変身させる。</t>
  </si>
  <si>
    <t>無謀なレーサーがタップ状態になるたび、あなたはカード１枚を捨ててもよい。そうしたなら、カードを１枚引く。</t>
  </si>
  <si>
    <t>あなたが占術を行うたび、炎語りの達人はターン終了時まで+2/+0の修整を受けるとともに先制攻撃を得る。</t>
  </si>
  <si>
    <t>各アップキープの開始時に、直前のターンに呪文が唱えられていなかった場合、ハンウィアーの砦守りを変身させる。</t>
  </si>
  <si>
    <t>ハンウィアーの災いは、可能なら各戦闘で攻撃する。</t>
  </si>
  <si>
    <t>各アップキープの開始時に、直前のターンにプレイヤー１人が２つ以上の呪文を唱えていた場合、ハンウィアーの災いを変身させる。</t>
  </si>
  <si>
    <t>英雄的 ― あなたがアクロスの戦線砕きを対象とする呪文を１つ唱えるたび、アクロスの戦線砕きはターン終了時まで+2/+0の修整を受けるとともに威嚇を得る。（それはアーティファクト・クリーチャーかそれと共通の色を持つクリーチャー以外にはブロックされない。）</t>
  </si>
  <si>
    <t>改革派の霊気砲手が戦場に出たとき、あなたは(Ｅ)(Ｅ)(Ｅ)(Ｅ)（エネルギー・カウンター４個）を得る。</t>
  </si>
  <si>
    <t>(Ｔ),(Ｅ)(Ｅ)を支払う：クリーチャー１体を対象とする。改革派の霊気砲手はそれに１点のダメージを与える。</t>
  </si>
  <si>
    <t>(Ｔ),(Ｅ)(Ｅ)(Ｅ)(Ｅ)(Ｅ)(Ｅ)(Ｅ)(Ｅ)を支払う：プレイヤー１人を対象とする。改革派の霊気砲手はそのプレイヤーに６点のダメージを与える。</t>
  </si>
  <si>
    <t>ケッシグの不満分子が戦場に出たとき、プレイヤー１人を対象とする。ケッシグの不満分子はそのプレイヤーに、あなたがコントロールする人間(Human)の数に等しい点数のダメージを与える。</t>
  </si>
  <si>
    <t>コラガンの先陣のパワーは、あなたがコントロールするクリーチャーの総数に等しい。</t>
  </si>
  <si>
    <t>結集 ― 炎套の魔道士か他の同盟者(Ally)が１体あなたのコントロール下で戦場に出るたび、ターン終了時まで、あなたがコントロールするクリーチャーは威迫を得る。（威迫を持つクリーチャーは２体以上のクリーチャーによってしかブロックされない。）</t>
  </si>
  <si>
    <t>到達</t>
  </si>
  <si>
    <t>あなたがインスタント呪文かソーサリー呪文を１つ唱えるたび、対戦相手がコントロールするクリーチャー１体を対象とする。稲妻織りはそれに１点のダメージを与える。</t>
  </si>
  <si>
    <t>あなたがコントロールする他の赤のクリーチャーは+1/+1の修整を受ける。</t>
  </si>
  <si>
    <t>沸血の処罰者は、あなたの墓地にインスタント・カードとソーサリー・カードの両方があるかぎり先制攻撃とトランプルを持つ。</t>
  </si>
  <si>
    <t>光輝 ― (Ｔ)：クリーチャー１体を対象とする。ウォジェクの燃えさし魔道士はそれと、その他の共通の色を持つ各クリーチャーに１点のダメージを与える。</t>
  </si>
  <si>
    <t>襲拳会の扉破りが戦場に出たとき、あなたは(Ｅ)(Ｅ)（エネルギー・カウンター２個）を得る。</t>
  </si>
  <si>
    <t>襲拳会の扉破りが攻撃するたび、クリーチャー１体を対象とする。あなたは(Ｅ)を支払ってもよい。そうしたなら、このターン、それではブロックできない。</t>
  </si>
  <si>
    <t>心酔させる勝者が戦場に出たとき、対戦相手がコントロールするパワーが２以下のクリーチャー１体を対象とし、ターン終了時まで、それのコントロールを得る。そのクリーチャーをアンタップする。ターン終了時まで、それは速攻を得る。（このターン、それは攻撃したり(Ｔ)したりできる。）</t>
  </si>
  <si>
    <t>屑鉄会の勇者が戦場に出たとき、あなたは(Ｅ)(Ｅ)（エネルギー・カウンター２個）を得る。</t>
  </si>
  <si>
    <t>屑鉄会の勇者が攻撃するたび、あなたは(Ｅ)(Ｅ)を支払ってもよい。そうしたなら、これの上に+1/+1カウンターを１個置く。</t>
  </si>
  <si>
    <t>帝国の先駆けが戦場に出たとき、あなたは「あなたのライブラリーから恐竜(Dinosaur)カード１枚を探し、それを公開し、その後あなたのライブラリーを切り直し、その一番上にそのカードを置く。」を選んでもよい。</t>
  </si>
  <si>
    <t>恐竜が１体あなたのコントロール下で戦場に出るたび、あなたは「帝国の先駆けは各クリーチャーにそれぞれ１点のダメージを与える。」を選んでもよい。</t>
  </si>
  <si>
    <t>金属術 ― らせんの決闘者は、あなたがアーティファクトを３つ以上コントロールしているかぎり、二段攻撃を持つ。</t>
  </si>
  <si>
    <t>(Ｔ)：ブロックしているクリーチャー１体を対象とし、それを戦闘から取り除く。それがブロックしていた、この戦闘で他のクリーチャーにブロックされていないクリーチャーは、ブロックされていない状態になる。その後、それはあなたが選んだいずれかの攻撃しているクリーチャーをブロックする。この能力は、ブロック・クリーチャー指定ステップの間にのみ起動できる。</t>
  </si>
  <si>
    <t>強襲 ― マルドゥの心臓貫きが戦場に出たとき、このターンにあなたがクリーチャーで攻撃していた場合、クリーチャー１体かプレイヤー１人を対象とする。マルドゥの心臓貫きはそれに２点のダメージを与える。</t>
  </si>
  <si>
    <t>各アップキープの開始時に、直前のターンに呪文が唱えられていなかった場合、苦悩の脱走者を変身させる。</t>
  </si>
  <si>
    <t>このクリーチャーが《狼男の荒らし屋/Werewolf Ransacker》に変身するたび、アーティファクト１つを対象とする。あなたはそれを破壊してもよい。これによりそのアーティファクトが墓地に置かれた場合、狼男の荒らし屋はそのアーティファクトのコントローラーに３点のダメージを与える。</t>
  </si>
  <si>
    <t>各アップキープの開始時に、直前のターンにプレイヤー１人が呪文を２つ以上唱えていた場合、狼男の荒らし屋を変身させる。</t>
  </si>
  <si>
    <t>英雄的 ― あなたがアクロスの徴兵人を対象とする呪文を１つ唱えるたび、他のクリーチャー１体を対象とし、ターン終了時までそれのコントロールを得る。そのクリーチャーをアンタップする。それはターン終了時まで速攻を得る。</t>
  </si>
  <si>
    <t>このターン、熊野の学徒にダメージを与えられたクリーチャーが死亡する場合、代わりにそれを追放する。</t>
  </si>
  <si>
    <t>浪人の崖乗りが攻撃するたび、あなたは「それは防御プレイヤーがコントロールする各クリーチャーに１点のダメージを与える」ことを選んでもよい。</t>
  </si>
  <si>
    <t>無政府主義者が戦場に出たとき、あなたの墓地にあるソーサリー・カード１枚を対象とする。あなたは、それをあなたの手札に戻してもよい。</t>
  </si>
  <si>
    <t>他のクリーチャーが１体死亡するたび、プレイヤー１人を対象とする。憤怒を投げる者はそれに２点のダメージを与える。</t>
  </si>
  <si>
    <t>ムラーサの紅蓮術士か他の同盟者(Ally)があなたのコントロール下で戦場に出るたび、クリーチャー１体を対象とする。あなたは「ムラーサの紅蓮術士はそれに、あなたがコントロールする同盟者の数に等しい点数のダメージを与える」ことを選んでもよい。</t>
  </si>
  <si>
    <t>Lv1-2：(Ｔ)：クリーチャー１体かプレイヤー１人を対象とする。硫黄石の魔道士はそれに１点のダメージを与える。2/3</t>
    <phoneticPr fontId="2"/>
  </si>
  <si>
    <t>Lv3+：(Ｔ)：クリーチャー１体かプレイヤー１人を対象とする。硫黄石の魔道士はそれに３点のダメージを与える。2/4</t>
    <phoneticPr fontId="2"/>
  </si>
  <si>
    <t>_*/3</t>
  </si>
  <si>
    <t>(１)(U)：占術１を行う。（あなたのライブラリーの一番上のカードを見る。あなたはそのカードをあなたのライブラリーの一番下に置いてもよい。）</t>
  </si>
  <si>
    <t>(B),(Ｔ)：プレイヤー１人を対象とする。そのプレイヤーは１点のライフを失う。</t>
  </si>
  <si>
    <t>(R)(R)</t>
  </si>
  <si>
    <t>(４)(R)(R)</t>
  </si>
  <si>
    <t>(R)：ターン終了時まで、稲妻の狂戦士は+1/+0の修整を受ける。</t>
  </si>
  <si>
    <t>(R)：伍堂の不正規軍をブロックしているクリーチャー１体を対象とする。伍堂の不正規軍はそれに１点のダメージを与える。</t>
  </si>
  <si>
    <t>上陸 ― 土地が１つあなたのコントロール下で戦場に出るたび、あなたは(２)(R)を支払ってもよい。そうしたなら、トランプルと速攻を持つ赤の3/1のエレメンタル(Elemental)・クリーチャー・トークンを１体生成する。次の終了ステップの開始時に、そのトークンを追放する。</t>
  </si>
  <si>
    <t>(R)：あなたがコントロールするクリーチャー１体を対象とする。それはターン終了時まで速攻を得る。（このターン、それは攻撃したり(Ｔ)したりできる。）</t>
  </si>
  <si>
    <t>Ｌｖアップ(３)(R)（(３)(R)：この上にＬｖ(level)カウンターを１個置く。Ｌｖアップはソーサリーとしてのみ行う。）</t>
  </si>
  <si>
    <t>ウラブラスクの僧侶が戦場に出たとき、あなたのマナ・プールに(R)(R)(R)を加える。</t>
  </si>
  <si>
    <t>(R)：クリーチャー１体を対象とする。それはターン終了時まで速攻を得る。</t>
  </si>
  <si>
    <t>(R),(Ｔ),クリーチャーを１体生け贄に捧げる：クリーチャー１体かプレイヤー１人を対象とする。スカースダグの信者はそれに２点のダメージを与える。</t>
  </si>
  <si>
    <t>オーラ(Aura)が１つ落とし子の守り手につけられた状態になるたび、飛行を持つ赤の2/2のドラゴン(Dragon)・クリーチャー・トークンを１体生成する。それは「(R)：ターン終了時まで、このクリーチャーは+1/+0の修整を受ける。」を持つ。</t>
  </si>
  <si>
    <t>石大工が他のクリーチャーと組になっているかぎり、それらのクリーチャーは「(R)：このクリーチャーはターン終了時まで+1/+0の修整を受ける。」を持つ。</t>
  </si>
  <si>
    <t>疾駆(R)（あなたはこの呪文を、これの疾駆コストで唱えてもよい。そうしたなら、これは速攻を得るとともに、次の終了ステップの開始時にこれを戦場からオーナーの手札に戻す。）</t>
  </si>
  <si>
    <t>(R),(Ｔ)：あなたがコントロールする他の赤のクリーチャー１体を対象とする。それはターン終了時まで速攻を得る。（このターン、それは攻撃したり(Ｔ)したりできる。）</t>
  </si>
  <si>
    <t>(１)(R),(Ｔ)：クリーチャー１体かプレイヤー１人を対象とする。堕ちたる鉄術士はそれに１点のダメージを与える。</t>
  </si>
  <si>
    <t>疾駆(２)(R)（あなたはこの呪文を、これの疾駆コストで唱えてもよい。そうしたなら、これは速攻を得るとともに、次の終了ステップの開始時にこれを戦場からオーナーの手札に戻す。）</t>
  </si>
  <si>
    <t>(G),(Ｔ)：緑の1/1の苗木(Saproling)クリーチャー・トークンを１体生成する。</t>
  </si>
  <si>
    <t>プレイヤー１人が呪文を唱えるか、クリーチャー１体が攻撃したとき、二の足踏みのノリンを追放する。次の終了ステップの開始時に、それをオーナーのコントロール下で戦場に戻す。</t>
  </si>
  <si>
    <t>(３),(Ｔ)：クリーチャー１体かプレイヤー１人を対象とする。カード名を１つ選ぶ。その後、あなたの手札からカードを１枚、無作為に公開する。そのカードが選ばれた名前を持つなら、巻物の大魔術師はそれに２点のダメージを与える。</t>
  </si>
  <si>
    <t>あなたがコントロールする発生源が対戦相手がコントールするクリーチャーに戦闘ダメージでないダメージを与えるなら、代わりにその点数に等しい数の-1/-1カウンターをそのクリーチャーの上に置く。</t>
  </si>
  <si>
    <t>対戦相手が戦場にあるアーティファクトかクリーチャーか土地の能力を１つ起動するたび、それがマナ能力でない場合、過酷な指導者はそのプレイヤーに２点のダメージを与える。</t>
  </si>
  <si>
    <t>先制攻撃、威迫</t>
  </si>
  <si>
    <t>航空船を強襲する者、カーリ・ゼヴが攻撃するたび、《ラガバン/Ragavan》という名前の赤の2/1の伝説の猿(Monkey)クリーチャー・トークンを１体、タップ状態で攻撃している状態で生成する。戦闘終了時に、そのトークンを追放する。</t>
  </si>
  <si>
    <t>先制攻撃、速攻</t>
  </si>
  <si>
    <t>プレイヤー１人が墓地から呪文を１つ唱えるたび、灰の盲信者はそのプレイヤーに３点のダメージを与える。</t>
  </si>
  <si>
    <t>ケラル砦の修道院長が戦場に出たとき、あなたのライブラリーの一番上のカードを追放する。ターン終了時まで、あなたはそのカードをプレイしてもよい。</t>
  </si>
  <si>
    <t>凶兆艦隊の向こう見ずが戦場に出たとき、対戦相手の墓地からインスタントかソーサリーであるカード１枚を対象とし、それを追放する。このターン、あなたはそのカードを唱えてもよい。あなたは、その呪文を唱えるために、任意のマナを望むタイプのマナであるかのように支払ってもよい。このターン、そのカードが墓地に置かれるなら、代わりにそれを追放する。</t>
  </si>
  <si>
    <t>各アップキープの開始時に、直前のターンに呪文が唱えられていなかった場合、ガイアー岬の山賊を変身させる。</t>
  </si>
  <si>
    <t>狼男(Werewolf)が１体あなたのコントロール下で戦場に出るたび、あなたはそれを変身させてもよい。</t>
  </si>
  <si>
    <t>各アップキープの開始時に、直前のターンにプレイヤー１人が２つ以上の呪文を唱えていた場合、ヴィルディン群れの頭目を変身させる。</t>
  </si>
  <si>
    <t>各アップキープの開始時に、直前のターンに呪文が唱えられていなかった場合、クルーインの無法者を変身させる。</t>
  </si>
  <si>
    <t>あなたがコントロールする狼男(Werewolf)は威迫を持つ。（それらは２体以上のクリーチャーによってしかブロックされない。）</t>
  </si>
  <si>
    <t>各アップキープの開始時に、直前のターンにプレイヤー１人が２つ以上の呪文を唱えていた場合、クルーイン峡の恐怖を変身させる。</t>
  </si>
  <si>
    <t>ティロナーリの肌変わりが攻撃するたび、伝説でない他の攻撃クリーチャー１体を対象とする。ターン終了時まで、これはそれのコピーになる。</t>
  </si>
  <si>
    <t>対戦相手がクリーチャーでない呪文を１つ唱えるたび、瘡蓋族の狂戦士が高名である場合、瘡蓋族の狂戦士はそのプレイヤーに２点のダメージを与える。</t>
  </si>
  <si>
    <t>基本でない土地は山(Mountain)である。</t>
  </si>
  <si>
    <t>ピア・ナラーが戦場に出たとき、飛行を持つ無色の1/1の飛行機械(Thopter)アーティファクト・クリーチャー・トークンを１体生成する。</t>
  </si>
  <si>
    <t>(１),アーティファクトを１つ生け贄に捧げる：クリーチャー１体を対象とする。このターン、それではブロックできない。</t>
  </si>
  <si>
    <t>風雲船長ラネリーが攻撃するたび、「(Ｔ),このアーティファクトを生け贄に捧げる：あなたのマナ・プールに好きな色１色のマナ１点を加える。」を持つ無色の宝物(Treasure)アーティファクト・トークンを１つ生成する。</t>
  </si>
  <si>
    <t>あなたが宝物を１つ生け贄に捧げるたび、ターン終了時まで、風雲船長ラネリーは+1/+0の修整を受ける。</t>
  </si>
  <si>
    <t>ハンウィアー守備隊が攻撃するたび、赤の1/1の人間(Human)クリーチャー・トークンを２体タップ状態で攻撃している状態で生成する。</t>
  </si>
  <si>
    <t>（《ハンウィアーの要塞/Hanweir Battlements》と合体する。）</t>
  </si>
  <si>
    <t>トランプル、速攻</t>
  </si>
  <si>
    <t>のたうつ居住区、ハンウィアーが攻撃するたび、無色の3/2のエルドラージ(Eldrazi)・ホラー(Horror)・クリーチャー・トークンを２体、タップ状態で攻撃している状態で生成する。</t>
  </si>
  <si>
    <t>あなたがコントロールする攻撃クリーチャーは+1/+0の修整を受ける。</t>
  </si>
  <si>
    <t>各アップキープの開始時に、直前のターンに呪文が唱えられていなかった場合、扇動する集団を変身させる。</t>
  </si>
  <si>
    <t>あなたがコントロールする攻撃クリーチャーは+3/+0の修整を受ける。</t>
  </si>
  <si>
    <t>各アップキープの開始時に、直前のターンにプレイヤー１人が２つ以上の呪文を唱えていた場合、野生の血の群れを変身させる。</t>
  </si>
  <si>
    <t>速製職人の反逆者が戦場に出たとき、あなたがコントロールするアーティファクト１つを対象とする。あなたが速製職人の反逆者をコントロールし続けているかぎり、それは「(Ｔ)：クリーチャー１体かプレイヤー１人を対象とする。このアーティファクトはそれに２点のダメージを与える。」を得る。</t>
  </si>
  <si>
    <t>卑血の芙巳子は武士道Ｘを持つ。Ｘは攻撃クリーチャーの総数に等しい。（このクリーチャーがブロックするかブロックされた状態になるたび、それはターン終了時まで+X/+Xの修整を受ける。）</t>
  </si>
  <si>
    <t>あなたの対戦相手がコントロールするクリーチャーは、可能なら各戦闘で攻撃する。</t>
  </si>
  <si>
    <t>英雄的 ― あなたが迷宮の勇者を対象とする呪文を１つ唱えるたび、クリーチャー１体かプレイヤー１人を対象とする。迷宮の勇者はそれに２点のダメージを与える。</t>
  </si>
  <si>
    <t>ピア・ナラーとキラン・ナラーが戦場に出たとき、飛行を持つ無色の1/1の飛行機械(Thopter)アーティファクト・クリーチャー・トークンを２体生成する。</t>
  </si>
  <si>
    <t>各アップキープの開始時に、直前のターンに呪文が唱えられていなかった場合、モンドロネンのシャーマンを変身させる。</t>
  </si>
  <si>
    <t>対戦相手１人が呪文を唱えるたび、トヴォラーの魔道士狩りはそのプレイヤーに２点のダメージを与える。</t>
  </si>
  <si>
    <t>各アップキープの開始時に、直前のターンにプレイヤー１人が呪文を２つ以上唱えていた場合、トヴォラーの魔道士狩りを変身させる。</t>
  </si>
  <si>
    <t>あなたのライフの総量を１点未満に減少させるダメージは、代わりにあなたのライフの総量が１点になるまで減少させる。</t>
  </si>
  <si>
    <t>このターン、山伏の長、熊野にダメージを与えられたクリーチャーが死亡する場合、代わりにそれを追放する。</t>
  </si>
  <si>
    <t>士気溢れる徴集兵が戦場に出たとき、パーマネント１つを対象とする。あなたはターン終了時までそれのコントロールを得る。そのパーマネントをアンタップする。それはターン終了時まで速攻を得る。</t>
  </si>
  <si>
    <t>戦士(Warrior)か狂戦士(Berserker)かバーバリアン(Barbarian)である各クリーチャーはそれぞれ+2/+2の修整を受けるとともに速攻を持つ。</t>
  </si>
  <si>
    <t>ヴァルショクの戦場の達人が戦場に出たとき、戦場に出ているすべての装備品(Equipment)をそれにつける。（その装備のコントロールは変わらない。）</t>
  </si>
  <si>
    <t>炎駆の乗り手が攻撃するたび、他の攻撃クリーチャー１体を対象とし、そのクリーチャーのコピーであるトークンを１体タップ状態で攻撃している状態で生成する。戦闘終了時に、そのトークンを追放する。</t>
  </si>
  <si>
    <t>速攻（このクリーチャーは、あなたのコントロール下で戦場に出てすぐに攻撃したり(Ｔ)したりできる。）</t>
  </si>
  <si>
    <t>(Ｔ)：クリーチャー１体かプレイヤー１人を対象とする。ピット・ファイター、カマールはそれに３点のダメージを与える。</t>
  </si>
  <si>
    <t>山賊の頭、伍堂が戦場に出たとき、あなたはあなたのライブラリーから装備品(Equipment)カードを１枚探し、それを戦場に出してもよい。そうした場合、あなたのライブラリーを切り直す。</t>
  </si>
  <si>
    <t>山賊の頭、伍堂が各ターンに最初に攻撃するたび、それとあなたがコントロールするすべての侍(Samurai)をアンタップする。このフェイズの後に、追加の戦闘フェイズ１つを加える。</t>
  </si>
  <si>
    <t>(３),(Ｔ)：あなたがコントロールするクリーチャー１体と、対戦相手１人が選んだそのプレイヤーがコントロールするクリーチャー１体を対象とし、それらをタップする。それらのクリーチャーは格闘を行う。（それぞれはもう一方に自身のパワーに等しい点数のダメージを与える。）</t>
  </si>
  <si>
    <t>上位の人間、焔村ではブロックできない。</t>
  </si>
  <si>
    <t>上位の人間、焔村が死亡したとき、それを反転状態で戦場に戻す。</t>
  </si>
  <si>
    <t>あなたがコントロールしている発生源がパーマネントかプレイヤーにダメージを与えるなら、代わりに、それはそのパーマネントかプレイヤーにその点数の２倍のダメージを与える。</t>
  </si>
  <si>
    <t>伝説のエンチャント</t>
  </si>
  <si>
    <t>_7/4</t>
  </si>
  <si>
    <t>_6/1</t>
  </si>
  <si>
    <t>(R),(Ｔ),あなたの墓地にあるカードを２枚、追放する：クリーチャー１体かプレイヤー１人を対象とする。渋面の溶岩使いはそれに２点のダメージを与える。</t>
  </si>
  <si>
    <t>ティロナーリの召喚士が攻撃するたび、あなたは(Ｘ)(R)を支払ってもよい。そうしたなら、赤の1/1のエレメンタル(Elemental)・クリーチャー・トークンをＸ体タップ状態で攻撃している状態で生成する。次の終了ステップの開始時に、あなたが都市の承認を持っていないかぎり、それらのトークンを追放する。</t>
  </si>
  <si>
    <t>(R),(Ｔ),カードを１枚捨てる：青のパーマネント１つを対象とし、それを破壊する。</t>
  </si>
  <si>
    <t>(１)(R),(Ｔ),カードを１枚捨てる：クリーチャー１体かプレイヤー１人を対象とする。特務魔道士ヤヤ・バラードはそれに３点のダメージを与える。これによりダメージを与えられたクリーチャーは、このターン再生できない。</t>
  </si>
  <si>
    <t>(５)(R)(R),(Ｔ),カードを１枚捨てる：特務魔道士ヤヤ・バラードは、各クリーチャーと各プレイヤーにそれぞれ６点のダメージを与える。</t>
  </si>
  <si>
    <t>(１)(R)：アーティファクト・クリーチャー１体を対象とする。ターン終了時まで、それは+1/+0の修整を受ける。</t>
  </si>
  <si>
    <t>(２)(R),アーティファクトを１つ生け贄に捧げる：クリーチャー１体かプレイヤー１人を対象とする。ピア・ナラーとキラン・ナラーはそれに２点のダメージを与える。</t>
  </si>
  <si>
    <t>(R),(Ｔ)：速攻を持つ赤の3/1のエレメンタル(Elemental)・クリーチャー・トークンを１体生成する。</t>
  </si>
  <si>
    <t>(３)(R)：対戦相手がコントロールしているクリーチャー１体を対象とする。ターン終了時まで、それのコントロールを得る。そのクリーチャーをアンタップする。ターン終了時まで、それは速攻を得る。この能力は、あなたがソーサリーを唱えられるときにのみ起動できる。</t>
  </si>
  <si>
    <t>(２)(R),侍(Samurai)を１体生け贄に捧げる：あなたがコントロールする侍クリーチャーは、ターン終了時まで二段攻撃を得る。</t>
  </si>
  <si>
    <t>変異(R)(R)（あなたはこのカードを、(３)で2/2クリーチャーとして裏向きに唱えてもよい。これの変異コストで、これをいつでも表向きにしてもよい。）</t>
  </si>
  <si>
    <t>(１)(R)：クリーチャー１体かプレイヤー１人を対象とする。山伏の長、熊野はそれに１点のダメージを与える。</t>
  </si>
  <si>
    <t>疾駆(２)(R)(R)（あなたはこの呪文を、これの疾駆コストで唱えてもよい。そうしたなら、これは速攻を得るとともに、次の終了ステップの開始時にこれを戦場からオーナーの手札に戻す。）</t>
  </si>
  <si>
    <t>あなたがコントロールするクリーチャーは+2/+2の修整を受けるとともに、飛行と「(R)：このクリーチャーはターン終了時まで+1/+0の修整を受ける。」を持つ。</t>
  </si>
  <si>
    <t>(５)(R)(R)</t>
  </si>
  <si>
    <t>死に微笑むもの、アリーシャが攻撃するたび、あなたの墓地にあるパワーが２以下のクリーチャー・カード１枚を対象とする。あなたは(W/B)(W/B)を支払ってもよい。そうしたなら、それをタップ状態で攻撃している状態で戦場に戻す。</t>
  </si>
  <si>
    <t>あなたのアップキープの開始時に、あなたが６つ以上の土地をコントロールしている場合、飛行を持つ赤の5/5のドラゴン(Dragon)・クリーチャー・トークンを１体生成する。</t>
  </si>
  <si>
    <t>二段攻撃、トランプル</t>
  </si>
  <si>
    <t>予言の炎語りがプレイヤー１人に戦闘ダメージを与えるたび、あなたのライブラリーの一番上のカードを追放する。このターン、あなたはそれをプレイしてもよい。</t>
  </si>
  <si>
    <t>戦闘の祝賀者がこのターンに督励されていなかったなら、これが攻撃するに際し、あなたはこれを督励してもよい。そうしたとき、あなたがコントロールする他のクリーチャーをすべてアンタップし、このフェイズの後に追加の戦闘フェイズを１つ加える。（督励されたクリーチャーは、あなたの次のアンタップ・ステップにアンタップしない。）</t>
  </si>
  <si>
    <t>あなたが赤の呪文を１つ唱えるたび、カラデシュの火、チャンドラをアンタップする。</t>
  </si>
  <si>
    <t>(Ｔ)：プレイヤー１人を対象とする。カラデシュの火、チャンドラはそのプレイヤーに１点のダメージを与える。このターンにカラデシュの火、チャンドラが３点以上のダメージを与えたなら、カラデシュの火、チャンドラを追放し、その後、これを変身させた状態でオーナーのコントロール下で戦場に戻す。</t>
  </si>
  <si>
    <t>[+1]：プレイヤー１人を対象とする。燃え盛る炎、チャンドラはそのプレイヤーに２点のダメージを与える。</t>
  </si>
  <si>
    <t>[-2]：クリーチャー１体を対象とする。燃え盛る炎、チャンドラはそれに２点のダメージを与える。</t>
  </si>
  <si>
    <t>[-7]：燃え盛る炎、チャンドラは各対戦相手にそれぞれ６点のダメージを与える。これによりダメージを与えられた各プレイヤーはそれぞれ「あなたのアップキープの開始時に、この紋章はあなたに３点のダメージを与える。」を持つ紋章を得る。</t>
  </si>
  <si>
    <t>荒くれ船員が戦場に出たとき、カードを３枚引き、その後カード２枚を無作為に選んで捨てる。これにより共通するカード・タイプを持つカード２枚が捨てられたなら、荒くれ船員の上に+1/+1カウンターを２個置く。</t>
  </si>
  <si>
    <t>オキシド峠の英雄が攻撃するたび、このターン、パワーが１以下のクリーチャーではブロックできない。</t>
  </si>
  <si>
    <t>二段攻撃、速攻</t>
  </si>
  <si>
    <t>稲妻駆けが攻撃するたび、あなたは(Ｅ)(Ｅ)（エネルギー・カウンター２個）を得る。その後、あなたは(Ｅ)(Ｅ)(Ｅ)(Ｅ)(Ｅ)(Ｅ)(Ｅ)(Ｅ)を支払ってもよい。そうしたなら、あなたがコントロールするクリーチャーをすべてアンタップし、このフェイズの後に追加の戦闘フェイズを加える。</t>
  </si>
  <si>
    <t>Lv4-7：飛行4/4</t>
    <phoneticPr fontId="2"/>
  </si>
  <si>
    <t>(R)：ターン終了時まで、龍を操る者は飛行を得る。</t>
  </si>
  <si>
    <t>Ｌｖアップ(R)（(R)：この上にＬｖ(level)カウンターを１個置く。Ｌｖアップはソーサリーとしてのみ行う。）</t>
  </si>
  <si>
    <t>(１)(R)：ターン終了時まで、龍を操る者は+1/+0の修整を受ける。</t>
  </si>
  <si>
    <t>圧倒 ― (４)(R)(R)：飛行を持つ赤の4/4のドラゴン(Dragon)・クリーチャー・トークンを１体生成する。この能力は、あなたがコントロールするクリーチャーのパワーの合計が８以上であるときにのみ起動できる。</t>
  </si>
  <si>
    <t>Lv8+：飛行、トランプル (R)：カルガの竜王はターン終了時まで+1/+0の修整を受ける。8/8</t>
  </si>
  <si>
    <t>(２)：族樹の管理人を再生する。</t>
  </si>
  <si>
    <t>戦墓の随員が他のクリーチャーと組になっているかぎり、両方のクリーチャーはプロテクション（ゾンビ(Zombie)）を持つ。</t>
  </si>
  <si>
    <t>鱗の召使いは+1/+1カウンターが１個置かれた状態で戦場に出る。</t>
  </si>
  <si>
    <t>鱗の召使いが死亡したとき、あなたがコントロールするクリーチャー１体を対象とし、それの上に+1/+1カウンターをＸ個置く。Ｘは、鱗の召使いの上に置かれている+1/+1カウンターの総数に等しい。</t>
  </si>
  <si>
    <t>スカルガンの穴潜みよりもパワーの小さいクリーチャーは、スカルガンの穴潜みをブロックできない。</t>
  </si>
  <si>
    <t>(１),あなたの手札から緑のカードをＸ枚公開する,胞子の殉教者を生け贄に捧げる：クリーチャー１体を対象とする。それはターン終了時まで+X/+Xの修整を受ける。</t>
  </si>
  <si>
    <t>転生７（このクリーチャーが死亡したとき、あなたはあなたの墓地にある点数で見たマナ・コストが７以下のスピリット(Spirit)・カード１枚を対象とし、それをあなたの手札に戻してもよい。）</t>
  </si>
  <si>
    <t>移植１（このクリーチャーは、その上に+1/+1カウンターが１個置かれた状態で戦場に出る。他のクリーチャーが１体戦場に出るたび、あなたはこのクリーチャーの上に置かれている+1/+1カウンターを１個、その上に移動してもよい。）</t>
  </si>
  <si>
    <t>各アップキープの開始時に、直前のターンに呪文が唱えられていなかった場合、軽蔑された村人を変身させる。</t>
  </si>
  <si>
    <t>各アップキープの開始時に、直前のターンにプレイヤー１人が呪文を２つ以上唱えていた場合、月傷の狼男を変身させる。</t>
  </si>
  <si>
    <t>盾を持つ守護者が表向きになったとき、あなたがコントロールする他のクリーチャー１体を対象とし、それの上に+1/+1カウンターを１個置く。</t>
  </si>
  <si>
    <t>あなたのターンであるかぎり、屈強な古参兵は+0/+2の修整を受ける。</t>
  </si>
  <si>
    <t>(Ｔ)：カードを１枚引き、それを公開する。それが土地カードでない場合、それを捨てる。</t>
  </si>
  <si>
    <t>原初のドルイドが死亡したとき、あなたはあなたのライブラリーから基本土地カード１枚を探してもよい。そうしたなら、それをタップ状態で戦場に出し、その後あなたのライブラリーを切り直す。</t>
  </si>
  <si>
    <t>森林地の先達が戦場に出たとき、クリーチャー１体を対象とし、それの上に+1/+1カウンターを１個置く。</t>
  </si>
  <si>
    <t>各アップキープの開始時に、直前のターンに呪文が唱えられていなかった場合、内陸の木こりを変身させる。</t>
  </si>
  <si>
    <t>各アップキープの開始時に、直前のターンにプレイヤー１人が２つ以上の呪文を唱えていた場合、森林を切り裂くものを変身させる。</t>
  </si>
  <si>
    <t>(Ｔ)：あなたのマナ・プールに、対戦相手１人がコントロールする土地が生み出すことのできる好きな色のマナ１点を加える。</t>
  </si>
  <si>
    <t>オラン＝リーフの生き残りか他の同盟者(Ally)があなたのコントロール下で戦場に出るたび、あなたはオラン＝リーフの生き残りの上に+1/+1カウンターを１個置いてもよい。</t>
  </si>
  <si>
    <t>イクサーリの卜占師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</si>
  <si>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ベラドンナの行商人が他のクリーチャーと組になっているかぎり、両方のクリーチャーは接死を持つ。</t>
  </si>
  <si>
    <t>ロナスの重鎮が攻撃するに際し、あなたはこれを督励してもよい。そうしたとき、ターン終了時まで、これは+1/+1の修整を受けるとともに、このターン、これはパワーが２以下のクリーチャーによってはブロックされない。（督励されたクリーチャーは、あなたの次のアンタップ・ステップにアンタップしない。）</t>
  </si>
  <si>
    <t>(８)：ターン終了時まで、オラン＝リーフの発動者は+5/+5の修整を受けるとともにトランプルを得る。</t>
  </si>
  <si>
    <t>到達（このクリーチャーは飛行を持つクリーチャーをブロックできる。）</t>
  </si>
  <si>
    <t>(Ｔ)：あなたのマナ・プールに、好きな色の組み合わせのマナＸ点を加える。Ｘは、あなたがコントロールする防衛を持つクリーチャーの数である。</t>
  </si>
  <si>
    <t>信頼厚き腕力魔道士が他のクリーチャーと組になっているかぎり、それらのクリーチャーは+1/+1の修整を受ける。</t>
  </si>
  <si>
    <t>シタヌールの樹木読みが戦場に出たとき、それがキッカーされていた場合、カードを２枚引く。</t>
  </si>
  <si>
    <t>各アップキープの開始時に、直前のターンに呪文が唱えられていなかった場合、エストワルドの村人を変身させる。</t>
  </si>
  <si>
    <t>各アップキープの開始時に、直前のターンにプレイヤー１人が２つ以上の呪文を唱えていた場合、エストワルドの吠え群れを変身させる。</t>
  </si>
  <si>
    <t>裏道の急使が死亡したとき、調査を行う。（「(２),このアーティファクトを生け贄に捧げる：カードを１枚引く。」を持つ無色の手掛かり(Clue)アーティファクト・トークンを１つ生成する。）</t>
  </si>
  <si>
    <t>国境地帯のレインジャーが戦場に出たとき、あなたはあなたのライブラリーから基本土地カードを１枚探し、それを公開し、あなたの手札に加えてもよい。そうした場合、あなたのライブラリーを切り直す。</t>
  </si>
  <si>
    <t>版図 ― マトカの暴動者のパワーとタフネスはそれぞれ、あなたがコントロールする土地の中の基本土地タイプの数に等しい。</t>
  </si>
  <si>
    <t>冷静な建築家が戦場に出たとき、あなたの墓地の土地カード１枚を対象とする。あなたはそれをあなたの手札に戻してもよい。</t>
  </si>
  <si>
    <t>あなたが恐竜(Dinosaur)呪文を唱えるためのコストは(２)少なくなる。</t>
  </si>
  <si>
    <t>各アップキープの開始時に、直前のターンに呪文が唱えられていなかった場合、孤独な狩人を変身させる。</t>
  </si>
  <si>
    <t>各アップキープの開始時に、直前のターンにプレイヤー１人が２つ以上の呪文を唱えていた場合、群れの一員を変身させる。</t>
  </si>
  <si>
    <t>剛胆な補給兵が戦場に出たとき、あなたがコントロールする他の人間(Human)１体を対象とする。ターン終了時まで、それは+2/+2の修整を受ける。</t>
  </si>
  <si>
    <t>灰色革の狩人か他の同盟者(Ally)があなたのコントロール下で戦場に出るたび、あなたは灰色革の狩人の上に+1/+1カウンターを１個置いてもよい。</t>
  </si>
  <si>
    <t>セテッサの星砕きが戦場に出たとき、オーラ(Aura)１つを対象とする。あなたはそれを破壊してもよい。</t>
  </si>
  <si>
    <t>あなたのコントロール下で土地が戦場に出るたび、石蒔きの秘儀司祭をアンタップする。</t>
  </si>
  <si>
    <t>(Ｔ)：土地１つを対象とし、それをアンタップする。</t>
  </si>
  <si>
    <t>陰鬱 ― 森林の捜索者が戦場に出たとき、このターン、クリーチャーが死亡していた場合、あなたの墓地にあるクリーチャー・カードを１枚無作為に選んで手札に戻す。</t>
  </si>
  <si>
    <t>英雄的 ― あなたが信条の戦士を対象とする呪文を１つ唱えるたび、信条の戦士の上に+1/+1カウンターを２個置く。</t>
  </si>
  <si>
    <t>昂揚 ― あなたの墓地にあるカードにカード・タイプが合計４種類以上含まれるかぎり、辺境林の生存者は+1/+1の修整を受けるとともにトランプルを持つ。</t>
  </si>
  <si>
    <t>あなたの手札のカードの枚数がどの対戦相手よりも多いかぎり、翁神社の夜警は+3/+3の修整を受ける。</t>
  </si>
  <si>
    <t>各アップキープの開始時に、直前のターンに呪文が唱えられていなかった場合、灰毛ののけ者を変身させる。</t>
  </si>
  <si>
    <t>各アップキープの開始時に、直前のターンにプレイヤー１人が２つ以上の呪文を唱えていた場合、爪の群れののけ者を変身させる。</t>
  </si>
  <si>
    <t>霊の罠師が他のクリーチャーと組になっているかぎり、両方のクリーチャーは到達を持つ。</t>
  </si>
  <si>
    <t>大槌の接合者が戦場に出たとき、無色の3/3のゴーレム(Golem)・アーティファクト・クリーチャー・トークンを２体生成する。</t>
  </si>
  <si>
    <t>あなたがコントロールするゴーレム・クリーチャーはトランプルを持つ。</t>
  </si>
  <si>
    <t>_7/7</t>
  </si>
  <si>
    <t>(Ｔ)：あなたのマナ・プールに(W)を加える。</t>
  </si>
  <si>
    <t>(１)(U)：裏向きのクリーチャー１体を対象とし、それの表側を見る。</t>
  </si>
  <si>
    <t>(２)(U)：このターン、彼方の工作員はブロックされない。</t>
  </si>
  <si>
    <t>(R)：旧き道の信奉者はターン終了時まで先制攻撃を得る。</t>
  </si>
  <si>
    <t>グルールの潰し屋が戦場に出たとき、グルールの潰し屋を唱えるために(R)が使われた場合、それはターン終了時まで速攻を得る。</t>
  </si>
  <si>
    <t>(G)</t>
  </si>
  <si>
    <t>変異(G)（あなたはこのカードを、(３)で2/2クリーチャーとして裏向きに唱えてもよい。これの変異コストで、これをいつでも表向きにしてもよい。）</t>
  </si>
  <si>
    <t>(２)(G),(Ｔ),オアシュラの耕作者を生け贄に捧げる：あなたのライブラリーから基本土地カード１枚を探し、それをタップ状態で戦場に出す。その後、あなたのライブラリーを切り直す。</t>
  </si>
  <si>
    <t>(１)(G),名高い織り手を生け贄に捧げる：到達を持つ緑の1/3の蜘蛛(Spider)クリーチャー・エンチャント・トークンを１体生成する。（それは飛行を持つクリーチャーをブロックできる。）</t>
  </si>
  <si>
    <t>(G),(Ｔ)：攻撃している人間(Human)１体を対象とする。ターン終了時まで、それは+1/+1の修整を受ける。</t>
  </si>
  <si>
    <t>(１)(G)</t>
  </si>
  <si>
    <t>(Ｔ)：あなたのマナ・プールに(G)を加える。</t>
  </si>
  <si>
    <t>(Ｔ)：あなたのマナ・プールに(G)(G)を加える。</t>
  </si>
  <si>
    <t>大変異(３)(G)（あなたはこのカードを、(３)で2/2クリーチャーとして裏向きに唱えてもよい。これの大変異コストで、これをいつでも表向きにしてもよい。そうしたなら、これの上に+1/+1カウンターを１個置く。）</t>
  </si>
  <si>
    <t>圧倒 ― (４)(G)：ターン終了時まで、アタルカの獣壊しは+4/+4の修整を受ける。この能力は、あなたがコントロールするクリーチャーのパワーの合計が８以上であるときにのみ起動できる。</t>
  </si>
  <si>
    <t>(７)(G),(Ｔ),イクサーリの守り手を生け贄に捧げる：クリーチャー１体を対象とする。ターン終了時まで、それは+5/+5の修整を受けるとともにトランプルを得る。</t>
  </si>
  <si>
    <t>獰猛 ― (Ｔ)：あなたのマナ・プールに(G)(G)を加える。この能力は、あなたがパワーが４以上のクリーチャーをコントロールしているときにのみ起動できる。</t>
  </si>
  <si>
    <t>(２)(G)</t>
  </si>
  <si>
    <t>キッカー(２)(G)（あなたがこの呪文を唱えるに際し、あなたは追加の(２)(G)を支払ってもよい。）</t>
  </si>
  <si>
    <t>(３)(G)</t>
  </si>
  <si>
    <t>(２)(G)(G)</t>
  </si>
  <si>
    <t>(４)(G)</t>
  </si>
  <si>
    <t>(６)(G)</t>
  </si>
  <si>
    <t>進化（クリーチャー１体があなたのコントロール下で戦場に出るたび、そのクリーチャーのパワーかタフネスがこのクリーチャーよりも大きい場合、このクリーチャーの上に+1/+1カウンターを１個置く。）</t>
  </si>
  <si>
    <t>実験体から+1/+1カウンターを２個取り除く：実験体を再生する。</t>
  </si>
  <si>
    <t>小村の隊長が攻撃するかブロックするたび、ターン終了時まで、あなたがコントロールする他の人間(Human)は+1/+1の修整を受ける。</t>
  </si>
  <si>
    <t>あなたがパワーが４以上のクリーチャーをコントロールしていないかぎり、ラムホルトの平和主義者では攻撃できない。</t>
  </si>
  <si>
    <t>各アップキープの開始時に、直前のターンに呪文が唱えられていなかった場合、ラムホルトの平和主義者を変身させる。</t>
  </si>
  <si>
    <t>各アップキープの開始時に、直前のターンにプレイヤー１人が２つ以上の呪文を唱えていた場合、ラムホルトの解体者を変身させる。</t>
  </si>
  <si>
    <t>各アップキープの開始時に、直前のターンに呪文が唱えられていなかった場合、ガツタフの羊飼いを変身させる。</t>
  </si>
  <si>
    <t>各アップキープの開始時に、直前のターンのプレイヤー１人が２つ以上の呪文を唱えていた場合、ガツタフの咆哮者を変身させる。</t>
  </si>
  <si>
    <t>優雅の集積者は、それにつけられているオーラ(Aura)１つにつき+1/+1の修整を受ける。</t>
  </si>
  <si>
    <t>オーラを１つ生け贄に捧げる：優雅の集積者を再生する。</t>
  </si>
  <si>
    <t>獰猛 ― 荒野の後継者が攻撃するたび、あなたがパワーが４以上のクリーチャーをコントロールしている場合、ターン終了時まで、荒野の後継者は+1/+1の修整を受ける。</t>
  </si>
  <si>
    <t>鱗衛兵の歩哨を唱えるための追加コストとして、あなたの手札にあるドラゴン(Dragon)・カードを１枚公開してもよい。</t>
  </si>
  <si>
    <t>あなたが鱗衛兵の歩哨を唱えた時点でドラゴン・カードを公開したかドラゴンをコントロールしていたなら、鱗衛兵の歩哨は+1/+1カウンターが１個置かれた状態で戦場に出る。</t>
  </si>
  <si>
    <t>あなたが恐竜(Dinosaur)をコントロールしているかぎり、大物群れの操り手は+2/+2の修整を受ける。</t>
  </si>
  <si>
    <t>(Ｔ)：あなたのマナ・プールに好きな色１色のマナ１点を加える。</t>
  </si>
  <si>
    <t>(２)：赤か白のクリーチャー１体を対象とする。それは、ターン終了時までトランプルを得る。（そのクリーチャーが、自身をブロックしているすべてのクリーチャーを破壊するのに十分な戦闘ダメージを割り振る場合、あなたはその残りのダメージを防御プレイヤーかプレインズウォーカーに割り振ってもよい。）</t>
  </si>
  <si>
    <t>(１),(Ｔ)：土地１つを対象とし、それをアンタップする。</t>
  </si>
  <si>
    <t>(１),(Ｔ),希望守りを督励する：土地２つを対象都市、それらをアンタップする。（督励されたクリーチャーは、あなたの次のアンタップ・ステップにアンタップしない。）</t>
  </si>
  <si>
    <t>呪禁、到達</t>
  </si>
  <si>
    <t>各アップキープの開始時に、直前のターンに呪文が唱えられていなかった場合、薄暮見の徴募兵を変身させる。</t>
  </si>
  <si>
    <t>あなたがクリーチャー呪文を唱えるためのコストは(１)少なくなる。</t>
  </si>
  <si>
    <t>各アップキープの開始時に、直前のターンにプレイヤー１人が２つ以上の呪文を唱えていた場合、爪の群れの咆哮者を変身させる。</t>
  </si>
  <si>
    <t>偏執的な皮剥ぎ人が戦場に出たとき、クリーチャー１体を対象とし、それの上に+1/+1カウンターを１個置く。</t>
  </si>
  <si>
    <t>昂揚 ― 各対戦相手のアップキープの開始時に、あなたの墓地にあるカードにカード・タイプが合計４種類以上含まれる場合、クリーチャー１体を対象とし、それの上に+1/+1カウンターを１個置く。</t>
  </si>
  <si>
    <t>あなたがアーティファクト呪文を唱えるたび、あなたは(１)を支払ってもよい。そうした場合、あなたは３点のライフを得る。</t>
  </si>
  <si>
    <t>活力の模範が戦場に出たとき、あなたがコントロールするクリーチャー１体を対象とし、それの上に-1/-1カウンターを３個置く。</t>
  </si>
  <si>
    <t>活力の模範が攻撃するたび、これの上から-1/-1カウンターを１個取り除く。そうしたなら、あなたは１点のライフを得る。</t>
  </si>
  <si>
    <t>永遠の証人が戦場に出たとき、あなたの墓地にあるカード１枚を対象とする。あなたはそれをあなたの手札に戻してもよい。</t>
  </si>
  <si>
    <t>あなたがコントロールする、+1/+1カウンターが置かれている各クリーチャーはトランプルを持つ。</t>
  </si>
  <si>
    <t>襲拳会の革命家が戦場に出たか死亡したとき、パーマネント１つかプレイヤー１人を対象とし、それが持つカウンター１種類につきそれぞれその種類のカウンターをもう１個、そのパーマネントの上に置くかそのプレイヤーに与える。</t>
  </si>
  <si>
    <t>高名２（このクリーチャーがプレイヤー１人に戦闘ダメージを与えたとき、これが高名でない場合、これの上に+1/+1カウンターを２個置く。これは高名になる。）</t>
  </si>
  <si>
    <t>あなたがコントロールするクリーチャーが１体高名になるたび、カードを１枚引く。</t>
  </si>
  <si>
    <t>アゾカンの射手が戦場に出たとき、他のクリーチャー１体を対象とする。あなたは「これはそれと格闘を行う。」を選んでもよい。（それぞれはもう一方に自身のパワーに等しい点数のダメージを与える。）</t>
  </si>
  <si>
    <t>ムウォンヴーリーの獣記しが戦場に出たとき、あなたのライブラリーから接死か呪禁か到達かトランプルを持つクリーチャー・カードを１枚探し、それを公開する。あなたのライブラリーを切り直し、そのカードをその一番上に置く。</t>
  </si>
  <si>
    <t>対戦相手があなたのターンに呪文を１つ唱えるたび、カードを１枚引く。</t>
  </si>
  <si>
    <t>各アップキープの開始時に、直前のターンに呪文が唱えられていなかった場合、ナッターノールズの隠遁者を変身させる。</t>
  </si>
  <si>
    <t>対戦相手があなたのターンに呪文を１つ唱えるたび、カードを２枚引く。</t>
  </si>
  <si>
    <t>各アップキープの開始時に、直前のターンにプレイヤー１人が２つ以上の呪文を唱えていた場合、ナッターノールズの一匹狼を変身させる。</t>
  </si>
  <si>
    <t>覚醒のドルイドが戦場に出たとき、森(Forest)１つを対象とする。それは覚醒のドルイドが戦場に出続けているかぎり、緑の4/5のツリーフォーク(Treefolk)・クリーチャーになる。それは土地でもある。</t>
  </si>
  <si>
    <t>ヤヴィマヤの女魔術師は、戦場に出ているエンチャント１つにつき+1/+1の修整を受ける。</t>
  </si>
  <si>
    <t>このターン、戦利品狩りによってダメージを与えられた飛行を持つクリーチャーが死亡するたび、戦利品狩りの上に+1/+1カウンターを１個置く。</t>
  </si>
  <si>
    <t>あなたがコントロールするアンタップ状態のクリーチャーを１体タップする：トーパの苦行者はターン終了時まで+1/+1の修整を受ける。</t>
  </si>
  <si>
    <t>邪悪の使者が戦場に出たとき、あなたのライブラリーの一番上からカードを４枚見る。あなたはそれらの中からクリーチャー・カード１枚を公開してあなたの手札に加えてもよい。残りをあなたのライブラリーの一番下に望む順番で置く。</t>
  </si>
  <si>
    <t>あなたが現出を持つ呪文を唱える間に邪悪の使者を生け贄に捧げたとき、無色の3/2のエルドラージ(Eldrazi)・ホラー(Horror)・クリーチャー・トークンを１体生成する。</t>
  </si>
  <si>
    <t>塩路補給部隊は+1/+1カウンターが２個置かれた状態で戦場に出る。</t>
  </si>
  <si>
    <t>あなたのアップキープの開始時に、対戦相手１人を対象とする。あなたの手札にあるカード１枚につき、増麻呂の末裔の上に+1/+1カウンターを１個置く。その後その対戦相手の手札にあるカード１枚につき、増麻呂の末裔から+1/+1カウンターを１個取り除く。</t>
  </si>
  <si>
    <t>各アップキープの開始時に、直前のターンに呪文が唱えられていなかった場合、ラムホルトの古老を変身させる。</t>
  </si>
  <si>
    <t>銀皮の狼男がプレイヤー１人に戦闘ダメージを与えるたび、あなたはカードを１枚引く。</t>
  </si>
  <si>
    <t>各アップキープの開始時に、直前のターンにプレイヤー１人が呪文を２つ以上唱えていた場合、銀皮の狼男を変身させる。</t>
  </si>
  <si>
    <t xml:space="preserve">あなたがスピリット(Spirit)か秘儀(Arcane)呪文を唱えるたび、あなたは武道家の学徒の上に気(ki)カウンターを１個置いてもよい。 </t>
  </si>
  <si>
    <t>ターン終了時に、武道家の学徒の上に気カウンターが２個以上置かれている場合、あなたは武道家の学徒を反転してもよい。</t>
  </si>
  <si>
    <t>樫倒しの伊馳我から気(ki)カウンターを１個取り除く：クリーチャー１体を対象とする。それはターン終了時まで+2/+2の修整を受ける。</t>
  </si>
  <si>
    <t>(Ｔ)：飛行を持つ攻撃しているクリーチャー１体を対象とする。フェメレフの射手はそれに４点のダメージを与える。</t>
  </si>
  <si>
    <t>茨橋の巡回兵がクリーチャー１体以上にダメージを与えるたび、調査を行う。（「(２),このアーティファクトを生け贄に捧げる：カードを１枚引く。」を持つ無色の手掛かり(Clue)アーティファクト・トークンを１つ生成する。）</t>
  </si>
  <si>
    <t>各終了ステップの開始時に、あなたがこのターンに手掛かりを３つ以上生け贄に捧げていた場合、あなたはあなたの手札からクリーチャー・カードを１枚戦場に出してもよい。</t>
  </si>
  <si>
    <t>あなたがコントロールする他の緑のクリーチャーは+1/+1の修整を受ける。</t>
  </si>
  <si>
    <t>(１)：あなたがコントロールするゴーレム１つを対象とし、それを再生する。</t>
  </si>
  <si>
    <t>あなたの終了ステップの開始時に、あなたがパワーが５以上のクリーチャーをコントロールしている場合、あなたはカードを１枚引いてもよい。</t>
  </si>
  <si>
    <t>圧倒 ― (Ｔ)：あなたのマナ・プールに(◇)(◇)(◇)を加える。この能力は、あなたがコントロールするクリーチャーのパワーの合計が８以上であるときにのみ起動できる。</t>
  </si>
  <si>
    <t>各アップキープの開始時に、直前のターンに呪文が唱えられていなかった場合、ウルヴェンワルドの神秘家を変身させる。</t>
  </si>
  <si>
    <t>各アップキープの開始時に、直前のターンにプレイヤー１人が２つ以上の呪文を唱えていた場合、ウルヴェンワルドの根源を変身させる。</t>
  </si>
  <si>
    <t>あなたが白か黒のパーマネントをコントロールしているかぎり、アブザンの族護衛は絆魂を持つ。</t>
  </si>
  <si>
    <t>窮地 ― あなたのライフが５点以下であるかぎり、あなたがコントロールする他のクリーチャーは警戒を持つ。</t>
  </si>
  <si>
    <t>あなたがコントロールするパーマネント１つが人間(Human)でないクリーチャーに変身するたび、緑の2/2の狼(Wolf)クリーチャー・トークンを１体生成する。</t>
  </si>
  <si>
    <t>メリーラの守り手の上にはカウンターを置くことができない。</t>
  </si>
  <si>
    <t>Lv1-3：4/4</t>
    <phoneticPr fontId="2"/>
  </si>
  <si>
    <t>Lv4+：トランプル6/6</t>
    <phoneticPr fontId="2"/>
  </si>
  <si>
    <t>(３)(W)：人間(Human)１体を対象とする。ターン終了時まで、それは二段攻撃を得る。</t>
  </si>
  <si>
    <t>アナの戦闘魔道士が戦場に出たとき、それが(２)(U)でキッカーされていた場合、プレイヤー１人を対象とする。そのプレイヤーはカードを３枚捨てる。</t>
  </si>
  <si>
    <t>キッカー(２)(U)/(１)(B)（あなたがこの呪文を唱えるに際し、あなたは追加の(２)(U)か(１)(B)またはその両方を支払ってもよい。）</t>
  </si>
  <si>
    <t>アナの戦闘魔道士が戦場に出たとき、それが(１)(B)でキッカーされていた場合、アンタップ状態のクリーチャー１体を対象とし、それをタップする。そのクリーチャーはそれのコントローラーに、自身のパワーに等しい点数のダメージを与える。</t>
  </si>
  <si>
    <t>(R),(Ｔ)：クリーチャー１体を対象とする。それはターン終了時まで+2/+0の修整を受ける。</t>
  </si>
  <si>
    <t>(１)(G)：あなたの墓地にある基本土地カード１枚を対象とし、それをあなたの手札に戻す。</t>
  </si>
  <si>
    <t>Ｌｖアップ(２)(G)（(２)(G)：この上にＬｖ(level)カウンターを１個置く。Ｌｖアップはソーサリーとしてのみ行う。）</t>
  </si>
  <si>
    <t>紛争 ― 隠れた薬草医が戦場に出たとき、このターンにあなたがコントロールするパーマネントが戦場を離れていた場合、あなたのマナ・プールに(G)(G)を加える。</t>
  </si>
  <si>
    <t>(２)(G)：緑の1/1の苗木(Saproling)クリーチャー・トークンを１体生成する。</t>
  </si>
  <si>
    <t>(G)(G)</t>
  </si>
  <si>
    <t>(２)(G)：あなたのライブラリーの一番上から３枚のカードを見る。あなたはその中からクリーチャー・カードを１枚公開してあなたの手札に加えてもよい。残りをあなたのライブラリーの一番下に望む順番で置く。</t>
  </si>
  <si>
    <t>(１)(G)(G)</t>
  </si>
  <si>
    <t>長久(G)（(G),(Ｔ)：このクリーチャーの上に+1/+1カウンターを１個置く。長久はソーサリーとしてのみ行う。）</t>
  </si>
  <si>
    <t>(１)(G)：飛行を持つクリーチャー１体を対象とする。戦利品狩りはそれに１点のダメージを与える。</t>
  </si>
  <si>
    <t>(２)(G),塩路補給部隊から+1/+1カウンターを１個取り除く：クリーチャー１体を対象とし、それの上に+1/+1カウンターを１個置く。</t>
  </si>
  <si>
    <t>(Ｔ)：あなたのマナ・プールに(G)か(U)を加える。あなたがニッサ(Nissa)・プレインズウォーカーをコントロールしているなら、あなたは２点のライフを得る。</t>
  </si>
  <si>
    <t>上陸 ― 土地が１つあなたのコントロール下で戦場に出るたび、あなたは(３)(G)を支払ってもよい。そうしたなら、ムラーサのレインジャーの上に+1/+1カウンターを２個置く。</t>
  </si>
  <si>
    <t>(G),(Ｔ)：あなたがコントロールする他の緑のクリーチャー１体を対象とする。それはターン終了時までトランプルを得る。（それが自身をブロックしているすべてのクリーチャーを破壊するのに十分なダメージを割り振ったなら、あなたはそれの残りのダメージを防御プレイヤーかプレインズウォーカーに割り振ってもよい。）</t>
  </si>
  <si>
    <t>(G)：ウルヴェンワルドの根源を再生する。</t>
  </si>
  <si>
    <t>(Ｔ)：あなたのマナ・プールに、あなたの緑への信心に等しい点数の(G)を加える。（あなたの緑への信心は、あなたがコントロールするパーマネントのマナ・コストに含まれる(G)の数に等しい。）</t>
  </si>
  <si>
    <t>名誉ある教主が高名であるかぎり、これは警戒と「(Ｔ)：あなたのマナ・プールに、好きな色１色のマナ１点を加える。」を持つ。</t>
  </si>
  <si>
    <t>英雄的 ― あなたがレイナ塔の英雄を対象とする呪文を１つ唱えるたび、あなたは(Ｘ)を支払ってもよい。そうしたなら、レイナ塔の英雄の上に+1/+1カウンターをＸ個置く。</t>
  </si>
  <si>
    <t>(Ｘ),(Ｔ)：土地Ｘ個を対象とし、それをアンタップする。</t>
  </si>
  <si>
    <t>各アップキープの開始時に、直前のターンに呪文が唱えられていなかった場合、狼に噛まれた囚人を変身させる。</t>
  </si>
  <si>
    <t>各アップキープの開始時に、直前のターンにプレイヤー１人が呪文を２つ以上唱えていた場合、爪の群れの殺人者を変身させる。</t>
  </si>
  <si>
    <t>あなたは毒(poison)カウンターを得られない。</t>
  </si>
  <si>
    <t>あなたがコントロールするクリーチャーは、その上に-1/-1カウンターを置くことができない。</t>
  </si>
  <si>
    <t>あなたの対戦相手がコントロールするクリーチャーは感染を失う。</t>
  </si>
  <si>
    <t>変異(２)（あなたはこのカードを、(３)で2/2クリーチャーとして裏向きに唱えてもよい。これの変異コストで、これをいつでも表向きにしてもよい。）</t>
  </si>
  <si>
    <t>あなたがコントロールする他の人間(Human)クリーチャーは+1/+1の修整を受ける。</t>
  </si>
  <si>
    <t>各アップキープの開始時に、直前のターンに呪文が唱えられていなかった場合、アヴァブルックの町長を変身させる。</t>
  </si>
  <si>
    <t>あなたがコントロールする他の狼男(Werewolf)か狼(Wolf)である各クリーチャーはそれぞれ+1/+1の修整を受ける。</t>
  </si>
  <si>
    <t>あなたの終了ステップの開始時に、緑の2/2の狼クリーチャー・トークンを１体生成する。</t>
  </si>
  <si>
    <t>各アップキープの開始時に、直前のターンにプレイヤー１人が２つ以上の呪文を唱えていた場合、吠え群れの頭目を変身させる。</t>
  </si>
  <si>
    <t>(Ｔ)：カードを１枚引く。この能力は、あなたの手札にカードがちょうど７枚ある場合にのみ起動できる。</t>
  </si>
  <si>
    <t>(Ｔ)：あなたは、あなたの手札にある土地カードを１枚戦場に出してもよい。あなたが１０以上の土地をコントロールしている場合、武道家の庭師を反転する。</t>
  </si>
  <si>
    <t>棲み家の防御者よりパワーの小さいクリーチャーでは、これをブロックできない。</t>
  </si>
  <si>
    <t>棲み家の防御者が表向きになったとき、あなたの墓地にあるカード１枚を対象とし、それをあなたの手札に戻す。</t>
  </si>
  <si>
    <t>(Ｔ)：あなたのマナ・プールに好きな色１色のマナＸ点を加える。Ｘはあなたがコントロールする同盟者(Ally)の総数である。</t>
  </si>
  <si>
    <t>・ターン終了時まで、肌変わりは基本のパワーとタフネスが4/4のサイ(Rhino)になるとともにトランプルを得る。この能力は、各ターンに１回のみ起動できる。</t>
  </si>
  <si>
    <t>・ターン終了時まで、肌変わりは基本のパワーとタフネスが2/2の鳥(Bird)になるとともに飛行を得る。この能力は、各ターンに１回のみ起動できる。</t>
  </si>
  <si>
    <t>・ターン終了時まで、肌変わりは基本のパワーとタフネスが0/8の植物(Plant)になる。この能力は、各ターンに１回のみ起動できる。</t>
  </si>
  <si>
    <t>昂揚 ― あなたの墓地にあるカードにカード・タイプが合計４種類以上含まれるかぎり、死天狗茸の栽培者は接死を持つ。</t>
  </si>
  <si>
    <t>媒介者の修練者が戦場に出たとき、あなたがコントロールするクリーチャー１体を対象とし、それの上に-1/-1カウンターを３個置く。</t>
  </si>
  <si>
    <t>(Ｔ),媒介者の修練者の上から-1/-1カウンターを１個取り除く：あなたのマナ・プールに好きな色１色のマナ１点を加える。</t>
  </si>
  <si>
    <t>プレイヤーは、自分のターンの間にしか呪文を唱えられない。</t>
  </si>
  <si>
    <t>(Ｔ)：あなたのマナ・プールに好きな色１色のマナ３点を加える。このマナは、クリーチャー呪文を唱えるためにのみ使用できる。</t>
  </si>
  <si>
    <t>(Ｔ),エムラクールの福音者と、望む数の他のエルドラージ(Eldrazi)でないクリーチャーを生け贄に捧げる：これにより生け贄に捧げられたクリーチャー１体につき、無色の3/2のエルドラージ・ホラー(Horror)・クリーチャー・トークンを１体生成する。</t>
  </si>
  <si>
    <t>ラムホルトの勇者のパワーより小さいパワーを持つクリーチャーでは、あなたがコントロールするクリーチャーをブロックできない。</t>
  </si>
  <si>
    <t>他のクリーチャーが１体あなたのコントロール下で戦場に出るたび、ラムホルトの勇者の上に+1/+1カウンターを１個置く。</t>
  </si>
  <si>
    <t>土地が１つあなたのコントロール下で戦場に出るたび、調査を行う。（「(２),このアーティファクトを生け贄に捧げる：カードを１枚引く。」を持つ無色の手掛かり(Clue)アーティファクト・トークンを１つ生成する。）</t>
  </si>
  <si>
    <t>あなたが手掛かりを１つ生け贄に捧げるたび、不屈の追跡者の上に+1/+1カウンターを１個置く。</t>
  </si>
  <si>
    <t>あなたは自分の各ターンに、追加の土地を２枚プレイしてもよい。</t>
  </si>
  <si>
    <t>(Ｔ)：飛行を持つクリーチャー１体を対象とする。夜明けのレインジャーはそれに２点のダメージを与える。</t>
  </si>
  <si>
    <t>各アップキープの開始時に、直前のターンに呪文が唱えられていなかった場合、夜明けのレインジャーを変身させる。</t>
  </si>
  <si>
    <t>各アップキープの開始時に、直前のターンにプレイヤー１人が２つ以上の呪文を唱えていた場合、黄昏の捕食者を変身させる。</t>
  </si>
  <si>
    <t>あなたが伝説の呪文を唱えるたび、カードを１枚引く。</t>
  </si>
  <si>
    <t>悟りの武士、勲雄は打ち消されない。</t>
  </si>
  <si>
    <t>(２)：侍(Samurai)１つを対象とし、それを再生する。</t>
  </si>
  <si>
    <t>野生の獣使いが攻撃するたび、あなたがコントロールする他の各クリーチャーはターン終了時までそれぞれ+X/+Xの修整を受ける。Ｘは野生の獣使いのパワーである。</t>
  </si>
  <si>
    <t>素拳の岩守が戦場に出たとき、各対戦相手は自分の手札から伝説のクリーチャー・カードを１枚、戦場に出してもよい。</t>
  </si>
  <si>
    <t>圧倒 ― あなたのターンの戦闘の開始時に、あなたがコントロールするクリーチャーのパワーの合計が８以上である場合、あなたがコントロールするクリーチャー１体を対象とする。ターン終了時まで、それは速攻を得る。</t>
  </si>
  <si>
    <t>皇帝の先兵がプレイヤー１人に戦闘ダメージを与えるたび、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</si>
  <si>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ケッシグの檻破りが攻撃するたび、あなたの墓地にあるクリーチャー・カード１枚につき、タップ状態で攻撃している緑の2/2の狼(Wolf)クリーチャー・トークンを１体生成する。</t>
  </si>
  <si>
    <t>古き知恵の賢者のパワーとタフネスはそれぞれ、あなたの手札にあるカードの総数に等しい。</t>
  </si>
  <si>
    <t>古き知恵の賢者が戦場に出たとき、カードを１枚引く。</t>
  </si>
  <si>
    <t>各アップキープの開始時に、直前のターンに呪文が唱えられていなかった場合、古き知恵の賢者を変身させる。</t>
  </si>
  <si>
    <t>警戒、トランプル</t>
  </si>
  <si>
    <t>古き飢えの人狼のパワーとタフネスはそれぞれ、すべてのプレイヤーの手札にあるカードの総数の合計に等しい。</t>
  </si>
  <si>
    <t>各アップキープの開始時に、直前のターンにプレイヤー１人が２つ以上の呪文を唱えていた場合、古き飢えの人狼を変身させる。</t>
  </si>
  <si>
    <t>英雄的 ― あなたがセテッサの英雄、アンソーザを対象とする呪文を１つ唱えるたび、あなたがコントロールする土地を最大３つまで対象とする。ターン終了時まで、それらはそれぞれ2/2の戦士(Warrior)クリーチャーになる。それらは土地でもある。</t>
  </si>
  <si>
    <t>森(Forest)が１つ戦場に出るたび、あなたがコントロールする緑のクリーチャーは、ターン終了時まで+1/+1の修整を受けるとともにトランプルを得る。</t>
  </si>
  <si>
    <t>壮大 ― 他の《クローサの拳バルー/Baru, Fist of Krosa》という名前のカードを１枚捨てる：緑のX/Xのワーム(Wurm)・クリーチャー・トークンを１体生成する。Ｘはあなたがコントロールする土地の数である。</t>
  </si>
  <si>
    <t>ティムールの戦巫師が戦場に出たとき、あなたのライブラリーの一番上のカードを予示する。（それを裏向きの状態で2/2クリーチャーとして戦場に出す。それがクリーチャー・カードであるなら、そのマナ・コストでいつでも表向きにしてよい。）</t>
  </si>
  <si>
    <t>あなたがコントロールするパーマネントが１つ表向きになるたび、それがクリーチャーである場合、あなたがコントロールしていないクリーチャー１体を対象とする。あなたは「その表向きになったパーマネントはそれと格闘を行う」ことを選んでもよい。</t>
  </si>
  <si>
    <t>(１)：あなたがコントロールするクリーチャー１体を対象とする。それはターン終了時まで基本のパワーとタフネスが7/7である。</t>
  </si>
  <si>
    <t>Lv2-5：(Ｔ)：緑の3/3の象(Elephant)クリーチャー・トークンを１体戦場に出す。1/1</t>
    <phoneticPr fontId="2"/>
  </si>
  <si>
    <t>Lv6+：(Ｔ)：緑の3/3の象(Elephant)クリーチャー・トークンを２体戦場に出す。1/1</t>
    <phoneticPr fontId="2"/>
  </si>
  <si>
    <t>(R),(Ｔ)：クリーチャー１体を対象とする。黄昏の捕食者はそれと格闘を行う。（それぞれはもう一方に自身のパワーに等しい点数のダメージを与える。）</t>
  </si>
  <si>
    <t>各プレイヤーの戦闘前メイン・フェイズの開始時に、そのプレイヤーのマナ・プールに(G)(G)を加える。</t>
  </si>
  <si>
    <t>(１)(G),(Ｔ)：あなたがコントロールするクリーチャー１体を対象とし、他のクリーチャー１体を対象とする。その前者はその後者と格闘を行う。</t>
  </si>
  <si>
    <t>(２)(G),(Ｔ)：無色の1/1の霊気装置(Servo)アーティファクト・クリーチャー・トークンを１体生成する。</t>
  </si>
  <si>
    <t>(４)(G),(Ｔ)：無色のX/Xの構築物(Construct)アーティファクト・クリーチャー・トークンを１体生成する。Ｘはあなたがコントロールするクリーチャーの総数に等しい。</t>
  </si>
  <si>
    <t>(１)(G)：狼に噛まれた囚人はターン終了時まで+2/+2の修整を受ける。この能力は、各ターンに１回のみ起動できる。</t>
  </si>
  <si>
    <t>(３)(G)：爪の群れの殺人者はターン終了時まで+4/+4の修整を受ける。この能力は、各ターンに１回のみ起動できる。</t>
  </si>
  <si>
    <t>(Ｔ)：あなたのマナ・プールに(G)か(W)か(U)を加える。</t>
  </si>
  <si>
    <t>(Ｔ)：あなたのマナ・プールに(G)か(U)か(R)を加える。</t>
  </si>
  <si>
    <t>爪鳴らしの神秘家が表向きになったとき、あなたのマナ・プールに(G)(U)(R)を加える。</t>
  </si>
  <si>
    <t>Ｌｖアップ(１)(G)（(１)(G)：この上にＬｖ(level)カウンターを１個置く。Ｌｖアップはソーサリーとしてのみ行う。）</t>
  </si>
  <si>
    <t>(４)(G)(G),(Ｔ)：緑のX/Xのエレメンタル(Elemental)・クリーチャー・トークンを１体生成する。Ｘはあなたがコントロールする土地の数である。</t>
  </si>
  <si>
    <t>大変異(１)(G)（あなたはこのカードを、(３)で2/2クリーチャーとして裏向きに唱えてもよい。これの大変異コストで、これをいつでも表向きにしてもよい。そうしたなら、これの上に+1/+1カウンターを１個置く。）</t>
  </si>
  <si>
    <t>(G)：以下から１つを選ぶ。</t>
  </si>
  <si>
    <t>(１)(G),人間(Human)を１体生け贄に捧げる：クリーチャー１体を対象とし、それの上に+1/+1カウンターを２個置く。</t>
  </si>
  <si>
    <t>(Ｔ)：あなたのマナ・プールに(B)か(G)を加える。</t>
  </si>
  <si>
    <t>(２)(G),(Ｔ),放浪の吟遊詩人、イーサーンの上に詩句(verse)カウンターを１個置く：あなたのライブラリーから、放浪の吟遊詩人、イーサーンの上に置かれている詩句カウンターの総数に等しい点数で見たマナ・コストを持つクリーチャー・カードを１枚探し、それを戦場に出し、その後あなたのライブラリーを切り直す。</t>
  </si>
  <si>
    <t>(３)(G)：クリーチャー１体を対象とする。それはターン終了時まで+X/+Xの修整を受ける。Ｘは、あなたがコントロールするクリーチャーの数である。</t>
  </si>
  <si>
    <t>恭しき狩人が戦場に出たとき、この上にあなたの緑への信心に等しい数の+1/+1カウンターを置く。（あなたの緑への信心は、あなたがコントロールするパーマネントのマナ・コストに含まれる(G)の数に等しい。）</t>
  </si>
  <si>
    <t>(３)(G)(G)</t>
  </si>
  <si>
    <t>(４)(G)(G)</t>
  </si>
  <si>
    <t>(７)(G)</t>
  </si>
  <si>
    <t>あなたのターンの戦闘の開始時に、龍爪のヤソヴァよりもパワーの小さい、対戦相手がコントロールするクリーチャー１体を対象とする。あなたは(１)(U/R)(U/R)を支払ってもよい。そうしたなら、ターン終了時までそれのコントロールを得る。そのクリーチャーをアンタップする。ターン終了時までそれは速攻を得る。</t>
  </si>
  <si>
    <t>(Ｔ)：あなたのマナ・プールに、好きな色の組み合わせのマナ２点を加える。このマナは、クリーチャー呪文を唱えるためにのみ使用できる。</t>
  </si>
  <si>
    <t>あなたのアップキープの開始時に、緑の2/2の狼(Wolf)クリーチャー・トークンを１体生成する。</t>
  </si>
  <si>
    <t>(Ｔ)：クリーチャー１体を対象とする。あなたがコントロールするすべてのアンタップ状態の狼をタップする。これによりタップされた各狼は、それぞれそのクリーチャーに、自身のパワーに等しい点数のダメージを与える。そのクリーチャーは、自身のパワーに等しい点数のダメージを、それのコントローラーの望むように、それらの狼に割り振って与える。</t>
  </si>
  <si>
    <t>圧倒 ― (９)(G)(G),(Ｔ)：各プレイヤーのライフの総量は、そのプレイヤーがコントロールするクリーチャーの総数に等しくなる。この能力は、あなたがコントロールするクリーチャーのパワーの合計が８以上であるときにのみ起動できる。</t>
  </si>
  <si>
    <t>(１)(W/B)：始まりの木の管理人は基本のパワーとタフネスが3/3の人間(Human)・戦士(Warrior)になる。</t>
  </si>
  <si>
    <t>(２)(W/B)(W/B)：始まりの木の管理人が戦士であるなら、これはトランプルと絆魂を持つ人間・スピリット(Spirit)・戦士になる。</t>
  </si>
  <si>
    <t>(３)(W/B)(W/B)(W/B)：始まりの木の管理人がスピリットであるなら、これの上に+1/+1カウンターを５個置く。</t>
  </si>
  <si>
    <t>返済代理人が戦場に出たとき、あなたがコントロールする他のクリーチャー１体を対象とする。あなたはそれをオーナーの手札に戻してもよい。</t>
  </si>
  <si>
    <t>(Ｔ)：クリーチャー１体を対象とし、それをタップする。</t>
  </si>
  <si>
    <t>Deputy of Acquittals</t>
  </si>
  <si>
    <t>Ethercaste Knight</t>
  </si>
  <si>
    <t>Deft Duelist</t>
  </si>
  <si>
    <t>Minister of Impediments</t>
  </si>
  <si>
    <t>Hussar Patrol</t>
  </si>
  <si>
    <t>Alara Reborn</t>
  </si>
  <si>
    <t>(W)(U)</t>
  </si>
  <si>
    <t>(２)(W)(U)</t>
  </si>
  <si>
    <t>(２)(W/U)</t>
  </si>
  <si>
    <t>（(W/U)は(W)でも(U)でも支払うことができる。）</t>
  </si>
  <si>
    <t>(Ｔ)：クリーチャー１体を対象とする。このターン、それはブロックされない。</t>
  </si>
  <si>
    <t>反射魔道士が戦場に出たとき、対戦相手がコントロールするクリーチャー１体を対象とし、それをオーナーの手札に戻す。あなたの次のターンまで、そのクリーチャーのオーナーはそれと同じ名前を持つ呪文を唱えられない。</t>
  </si>
  <si>
    <t>パーマネントが１つあなたの手札に戻るたび、あなたは(１)を支払ってもよい。そうした場合、カードを１枚引く。</t>
  </si>
  <si>
    <t>尖塔の巡回員が戦場に出たとき、対戦相手がコントロールするクリーチャー１体を対象とし、それをタップする。そのクリーチャーは、それのコントローラーの次のアンタップ・ステップにアンタップしない。</t>
  </si>
  <si>
    <t>空の軽騎兵が戦場に出たとき、あなたがコントロールするクリーチャーをすべてアンタップする。</t>
  </si>
  <si>
    <t>予見 ― あなたがコントロールするアンタップ状態の白か青のクリーチャーを２体タップする,あなたの手札から空の軽騎兵を公開する：カードを１枚引く。（この能力は、あなたのアップキープの間にのみ、各ターンに１回のみ起動できる。）</t>
  </si>
  <si>
    <t>雲先案内人が戦場に出たとき、あなたは２点のライフを得て、カードを２枚引く。</t>
  </si>
  <si>
    <t>(１)(W)(U)</t>
  </si>
  <si>
    <t>(３)(W)(U)</t>
  </si>
  <si>
    <t>(W)(U)：クリーチャー１体を対象とする。それはターン終了時まで飛行を得る。</t>
  </si>
  <si>
    <t>あなたのターンの戦闘の開始時に、あなたがコントロールするクリーチャー・トークン１体を対象とする。ターン終了時まで、それは+1/+1の修整を受けるとともに、このターン、それはブロックされない。</t>
  </si>
  <si>
    <t>翻弄する魔道士が戦場に出るに際し、土地でないカード名を１つ選ぶ。</t>
  </si>
  <si>
    <t>選ばれた名前を持つ呪文は唱えられない。</t>
  </si>
  <si>
    <t>賄賂カウンターが置かれているクリーチャーは、攻撃したりブロックしたりできない。</t>
  </si>
  <si>
    <t>メレティスのダクソスはパワーが３以上のクリーチャーによってはブロックされない。</t>
  </si>
  <si>
    <t>メレティスのダクソスがプレイヤー１人に戦闘ダメージを与えるたび、そのプレイヤーのライブラリーの一番上のカードを追放する。あなたはそのカードの点数で見たマナ・コストに等しい点数のライフを得る。ターン終了時まで、あなたは任意のマナをいずれかの色のマナであるかのように支払ってそのカードを唱えてもよい。</t>
  </si>
  <si>
    <t>あなたが唱える白の呪文は、それを唱えるためのコストが(１)少なくなる。</t>
  </si>
  <si>
    <t>あなたが唱える青の呪文は、それを唱えるためのコストが(１)少なくなる。</t>
  </si>
  <si>
    <t>対戦相手が唱える呪文は、それを唱えるためのコストが(１)多くなる。</t>
  </si>
  <si>
    <t>第10管区のラヴィニアが戦場に出たとき、あなたの対戦相手がコントロールする点数で見たマナ・コストが４以下の土地でない各パーマネントを留置する。（あなたの次のターンまで、それらのパーマネントでは攻撃もブロックもできず、それらの起動型能力を起動できない。）</t>
  </si>
  <si>
    <t>あなたのアップキープの開始時に、アゾールの雄弁家の上に牛歩(filibuster)カウンターを１個置く。その後、アゾールの雄弁家の上に牛歩カウンターが５個以上置かれている場合、あなたはこのゲームに勝利する。</t>
  </si>
  <si>
    <t>発生源１つがあなたにダメージを与えるたび、アゾールの雄弁家から牛歩カウンターを１個取り除く。</t>
  </si>
  <si>
    <t>(Ｔ)：攻撃しているクリーチャー１体を対象とし、それをアンタップする。このターン、そのクリーチャーが与える戦闘ダメージと、そのクリーチャーに与えられるすべての戦闘ダメージを軽減する。</t>
  </si>
  <si>
    <t>Temmet, Vizier of Naktamun</t>
  </si>
  <si>
    <t>Meddling Mage</t>
  </si>
  <si>
    <t>Gwafa Hazid, Profiteer</t>
  </si>
  <si>
    <t>Daxos of Meletis</t>
  </si>
  <si>
    <t>Grand Arbiter Augustin IV</t>
  </si>
  <si>
    <t>Lavinia of the Tenth</t>
  </si>
  <si>
    <t>Azor's Elocutors</t>
  </si>
  <si>
    <t>Ith, High Arcanist</t>
  </si>
  <si>
    <t>(５)(W)(U)</t>
  </si>
  <si>
    <t>(W)(U),(Ｔ)：あなたがコントロールしていないクリーチャー１体を対象とし、それの上に賄賂(bribery)カウンターを１個置く。それのコントローラーはカードを１枚引く。</t>
  </si>
  <si>
    <t>不朽(３)(W)(U)（(３)(W)(U),あなたの墓地からこのカードを追放する：マナ・コストと不朽を持たない白のゾンビ(Zombie)・人間(Human)・クレリック(Cleric)であることを除き、これのコピーであるトークンを１体生成する。ナクタムンの侍臣、テムメトはソーサリーとしてのみ行う。）</t>
  </si>
  <si>
    <t>待機４ ― (W)(U)（このカードをあなたの手札から唱えるのではなく、(W)(U)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</si>
  <si>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(３)(W/U)(W/U)</t>
  </si>
  <si>
    <t>不可侵議員が戦場に出るに際し、クリーチャーでも土地でもないカード名を１つ選ぶ。</t>
  </si>
  <si>
    <t>あなたの対戦相手は選ばれた名前を持つ呪文を唱えられない。</t>
  </si>
  <si>
    <t>あなたが唱える選ばれた名前を持つ呪文は、それを唱えるためのコストが(２)少なくなる。</t>
  </si>
  <si>
    <t>Council of the Absolute</t>
  </si>
  <si>
    <t>(２),(Ｔ)：プレイヤー１人を対象とする。そのプレイヤーのライブラリーの一番上のカードを見る。あなたはそのカードを、そのプレイヤーの墓地に置いてもよい。</t>
  </si>
  <si>
    <t>死教団のならず者はならず者(Rogue)によってしかブロックされない。</t>
  </si>
  <si>
    <t>意思切る者が戦場に出たとき、プレイヤー１人を対象とする。そのプレイヤーのライブラリーのカードを上から３枚見る。その後、それらを望む順番で戻す。</t>
  </si>
  <si>
    <t>Lurking Informant</t>
  </si>
  <si>
    <t>Deathcult Rogue</t>
  </si>
  <si>
    <t>Architects of Will</t>
  </si>
  <si>
    <t>Vectis Agents</t>
  </si>
  <si>
    <t>(２)(U)(B)</t>
  </si>
  <si>
    <t>(３)(U)(B)</t>
  </si>
  <si>
    <t>(U)(B)：ヴェクティスの工作員はターン終了時まで-2/-0の修整を受けるとともに、このターン、それはブロックされない。</t>
  </si>
  <si>
    <t>(１)(U/B)</t>
  </si>
  <si>
    <t>(１)(U/B)(U/B)</t>
  </si>
  <si>
    <t>（(U/B)は(U)でも(B)でも支払うことができる。）</t>
  </si>
  <si>
    <t>サイクリング(U/B)（(U/B),このカードを捨てる：カードを１枚引く。）</t>
  </si>
  <si>
    <t>あなたがカードを１枚サイクリングするか捨てるたび、ターン終了時まで、影嵐の侍臣は+1/+1の修整を受ける。</t>
  </si>
  <si>
    <t>神啓 ― 欺瞞の信奉者がアンタップ状態になるたび、あなたは土地でないカードを１枚捨ててもよい。そうしたなら、あなたのライブラリーからそのカードと同じ点数で見たマナ・コストを持つカードを１枚探し、それを公開してあなたの手札に加え、その後あなたのライブラリーを切り直す。</t>
  </si>
  <si>
    <t>(Ｔ)：カードを１枚引き、その後、あなたの手札からカードを１枚裏向きで追放する。</t>
  </si>
  <si>
    <t>あなたは破滅小径の仲介人によって追放されたカードを見てもよい。</t>
  </si>
  <si>
    <t>巧射艦隊の喧嘩屋がプレイヤー１人に戦闘ダメージを与えるたび、あなたが都市の承認を持っている場合、カードを１枚引く。</t>
  </si>
  <si>
    <t>巧射艦隊の略取者は、あなたがコントロールしているアーティファクト１つにつき+1/+1の修整を受ける。</t>
  </si>
  <si>
    <t>(３)(U)：プレイヤー１人を対象とする。そのプレイヤーはカードを１枚引く。この能力は、あなたがソーサリーを唱えられるときにのみ起動できる。</t>
  </si>
  <si>
    <t>(U)(B)</t>
  </si>
  <si>
    <t>(１)(U)(B)</t>
  </si>
  <si>
    <t>(１)(U)(B)：このターン、カードが１枚いずれかの領域から対戦相手１人の墓地に置かれるたび、そのプレイヤーは１点のライフを失う。</t>
  </si>
  <si>
    <t>(U)(B),(Ｔ)：プレイヤー１人を対象とする。そのプレイヤーは１点のライフを失い、自分の手札を公開する。</t>
  </si>
  <si>
    <t>(２)(U)(B)：プレイヤー１人を対象とする。そのプレイヤーは、自分のライブラリーの一番上から２枚のカードを自分の墓地に置く。</t>
  </si>
  <si>
    <t>(２)(U)(B)：「(Ｔ),このアーティファクトを生け贄に捧げる：あなたのマナ・プールに好きな色１色のマナ１点を加える。」を持つ無色の宝物(Treasure)アーティファクト・トークンを１つ生成する。</t>
  </si>
  <si>
    <t>(３)(B)：プレイヤー１人を対象とする。そのプレイヤーはカードを１枚捨てる。この能力は、あなたがソーサリーを唱えられるときにのみ起動できる。</t>
  </si>
  <si>
    <t>(U)(B),(Ｔ)：破滅小径の仲介人で追放されたカードを１枚オーナーの手札に戻す。</t>
  </si>
  <si>
    <t>(U/B)(U/B)</t>
  </si>
  <si>
    <t>畏怖（このクリーチャーは、黒でもアーティファクトでもないクリーチャーによってはブロックされない。）</t>
  </si>
  <si>
    <t>影魔道士の浸透者がプレイヤーに戦闘ダメージを与えるたび、あなたはカードを１枚引いてもよい。</t>
  </si>
  <si>
    <t>人質取りが戦場に出たとき、アーティファクト１つかクリーチャー１体を対象とし、人質取りが戦場を離れるまでそれを追放する。そのカードが追放され続けているかぎり、あなたはそのカードを唱えてもよい。あなたは、その呪文を唱えるために、任意のマナを望むタイプのマナであるかのように支払ってもよい。</t>
  </si>
  <si>
    <t>対戦相手１人が自分の各ドロー・ステップで引く１枚目のカード以外にカードを１枚引く場合、代わりにそのプレイヤーはそのドローを飛ばし、あなたはカードを１枚引く。</t>
  </si>
  <si>
    <t>あなたが青の呪文を唱えるたび、ライブラリー１つを対象とし、その一番上のカードを追放する。</t>
  </si>
  <si>
    <t>あなたが黒の呪文を唱えるたび、ライブラリー１つを対象とし、その一番上のカードを追放する。</t>
  </si>
  <si>
    <t>あなたの対戦相手は、ディミーアの脳外科医、シアクーによって追放されたカードと同じ名前を持つ呪文を唱えられない。</t>
  </si>
  <si>
    <t>Shadowmage Infiltrator</t>
  </si>
  <si>
    <t>Hostage Taker</t>
  </si>
  <si>
    <t>Notion Thief</t>
  </si>
  <si>
    <t>Circu, Dimir Lobotomist</t>
  </si>
  <si>
    <t>Odyssey</t>
  </si>
  <si>
    <t>ギサとゲラルフが戦場に出たとき、あなたのライブラリーの一番上からカードを４枚あなたの墓地に置く。</t>
  </si>
  <si>
    <t>あなたの各ターンの間、あなたはあなたの墓地からゾンビ(Zombie)・クリーチャー・カードを１枚唱えてもよい。</t>
  </si>
  <si>
    <t>Gisa and Geralf</t>
  </si>
  <si>
    <t>Rakdos Shred-Freak</t>
  </si>
  <si>
    <t>(B/R)(B/R)</t>
  </si>
  <si>
    <t>(Ｔ)：クリーチャー１体を対象とする。血の信者はそれに１点のダメージを与える。</t>
  </si>
  <si>
    <t>このターンに血の信者によってダメージを与えられたクリーチャーが１体死亡するたび、血の信者の上に+1/+1カウンターを１個置く。</t>
  </si>
  <si>
    <t>あなたのターンの戦闘の開始時に、あなたがコントロールするアーティファクト・クリーチャー１体を対象とする。ターン終了時まで、それは+2/+0の修整を受ける。</t>
  </si>
  <si>
    <t>(B)(R)</t>
  </si>
  <si>
    <t>(１)(B)(R)</t>
  </si>
  <si>
    <t>(B)(R)：ブロックしているクリーチャー１体を対象とする。それはターン終了時まで-1/-1の修整を受ける。</t>
  </si>
  <si>
    <t>(B)(R)：このターンにライフを失ったプレイヤー１人を対象とする。そのプレイヤーは１点のライフを失う。</t>
  </si>
  <si>
    <t>(２),クリーチャーを１体、生け贄に捧げる：クリーチャー１体かプレイヤー１人を対象とする。生け贄に捧げられたクリーチャーが赤である場合、血の魔女リゾルダはそれに２点のダメージを与える。生け贄に捧げられたクリーチャーが黒である場合、カードを１枚引く。</t>
  </si>
  <si>
    <t>(Ｔ)：対戦相手１人を対象とする。あなたの手札を公開し、そのプレイヤーが選んだカードを１枚捨てる。その後そのプレイヤーは自分の手札を公開し、あなたが選んだカードを１枚捨てる。この能力は、あなたがソーサリーを唱えられるときにのみ起動できる。</t>
  </si>
  <si>
    <t>あなたがコントロールする+1/+1カウンターが置かれている他の各クリーチャーは速攻を持つ。</t>
  </si>
  <si>
    <t>対戦相手１人が呪文を唱えるたび、クリーチャー１体かプレイヤー１人を対象とする。無慈悲なる者ケアヴェクはそれに、その呪文の点数で見たマナ・コストに等しい点数のダメージを与える。</t>
  </si>
  <si>
    <t>Lyzolda, the Blood Witch</t>
  </si>
  <si>
    <t>Rakdos Augermage</t>
  </si>
  <si>
    <t>Exava, Rakdos Blood Witch</t>
  </si>
  <si>
    <t>Kaervek the Merciless</t>
  </si>
  <si>
    <t>(B)(B)(R)</t>
  </si>
  <si>
    <t>(２)(B)(R)</t>
  </si>
  <si>
    <t>(５)(B)(R)</t>
  </si>
  <si>
    <t>野生の朗詠者を生け贄に捧げる：あなたのマナ・プールに、好きな色のマナ１点を加える。</t>
  </si>
  <si>
    <t>あなたがマナを引き出す目的でザル＝ターのドルイドをタップするたび、これは各対戦相手にそれぞれ１点のダメージを与える。</t>
  </si>
  <si>
    <t>Wild Cantor</t>
  </si>
  <si>
    <t>Zhur-Taa Druid</t>
  </si>
  <si>
    <t>Burning-Tree Emissary</t>
  </si>
  <si>
    <t>Rip-Clan Crasher</t>
  </si>
  <si>
    <t>Scab-Clan Mauler</t>
  </si>
  <si>
    <t>(R)(G)</t>
  </si>
  <si>
    <t>炎樹族の使者が戦場に出たとき、あなたのマナ・プールに(R)(G)を加える。</t>
  </si>
  <si>
    <t>(R/G)</t>
  </si>
  <si>
    <t>(R/G)(R/G)</t>
  </si>
  <si>
    <t>（(R/G)は(R)でも(G)でも支払うことができる。）</t>
  </si>
  <si>
    <t>通電の喧嘩屋が戦場に出たとき、あなたは(Ｅ)(Ｅ)（エネルギー・カウンター２個）を得る。</t>
  </si>
  <si>
    <t>通電の喧嘩屋が攻撃するたび、あなたは(Ｅ)を支払ってもよい。そうしたなら、ターン終了時まで、これは+1/+1の修整を受けるとともにトランプルを得る。</t>
  </si>
  <si>
    <t>ヴィティアの背教者が戦場に出たとき、アーティファクト１つを対象とし、それを破壊する。</t>
  </si>
  <si>
    <t>(３)(R),土地を１つ生け贄に捧げる：プレイヤー１人を対象とする。グルールのギルド魔道士はそれに２点のダメージを与える。</t>
  </si>
  <si>
    <t>(１)(R)(G)</t>
  </si>
  <si>
    <t>(R)(G)：あなたがコントロールするクリーチャーは、ターン終了時までトランプルを得る。</t>
  </si>
  <si>
    <t>(１)(R)(G)：ターン終了時まで、執拗な狩人は+1/+1の修整を受けるとともにトランプルを得る。</t>
  </si>
  <si>
    <t>(１)(R)(G)：あなたがコントロールする土地１つを対象とする。それはターン終了時まで4/4のエレメンタル(Elemental)・クリーチャーになる。それは土地でもある。</t>
  </si>
  <si>
    <t>(３)(G)：クリーチャー１体を対象とする。それはターン終了時まで+2/+2の修整を受ける。</t>
  </si>
  <si>
    <t>瓦礫帯の略奪者が攻撃するたび、それの上にあなたがコントロールする攻撃クリーチャー１体につき+1/+1カウンターを１個置く。</t>
  </si>
  <si>
    <t>Rubblebelt Raiders</t>
  </si>
  <si>
    <t>(１)(R/G)(R/G)(R/G)</t>
  </si>
  <si>
    <t>このクリーチャーが戦場に出るか《高原の狩りの達人/Huntmaster of the Fells》に変身するたび、緑の2/2の狼(Wolf)クリーチャー・トークンを１体生成し、あなたは２点のライフを得る。</t>
  </si>
  <si>
    <t>各アップキープの開始時に、直前のターンに呪文が唱えられていなかった場合、高原の狩りの達人を変身させる。</t>
  </si>
  <si>
    <t>このクリーチャーが《高原の荒廃者/Ravager of the Fells》に変身するたび、対戦相手１人を対象とし、そのプレイヤーがコントロールするクリーチャーを最大１体まで対象とする。高原の荒廃者はそのプレイヤーに２点のダメージを与え、そのクリーチャーに２点のダメージを与える。</t>
  </si>
  <si>
    <t>各アップキープの開始時に、直前のターンにプレイヤー１人が呪文を２つ以上唱えていた場合、高原の荒廃者を変身させる。</t>
  </si>
  <si>
    <t>二段攻撃、警戒、速攻</t>
  </si>
  <si>
    <t>あなたがコントロールする他のクリーチャーは速攻を持つ。</t>
  </si>
  <si>
    <t>このクリーチャーが戦場に出るか爪の群れのウルリッチに変身するたび、クリーチャー１体を対象とする。ターン終了時まで、それは+4/+4の修整を受ける。</t>
  </si>
  <si>
    <t>各アップキープの開始時に、直前のターンに呪文が唱えられていなかった場合、爪の群れのウルリッチを変身させる。</t>
  </si>
  <si>
    <t>このクリーチャーが揺るぎない頭目、ウルリッチに変身するたび、あなたがコントロールしておらず狼男(Werewolf)でないクリーチャー１体を対象とする。あなたは「このクリーチャーはそれと格闘を行う。」を選んでもよい。</t>
  </si>
  <si>
    <t>各アップキープの開始時に、直前のターンにプレイヤー１人が２つ以上の呪文を唱えていた場合、揺るぎない頭目、ウルリッチを変身させる。</t>
  </si>
  <si>
    <t>Huntmaster of the Fells</t>
  </si>
  <si>
    <t>Ravager of the Fells</t>
  </si>
  <si>
    <t>Samut, Voice of Dissent</t>
  </si>
  <si>
    <t>Ulrich of the Krallenhorde</t>
  </si>
  <si>
    <t>Ulrich, Uncontested Alpha</t>
  </si>
  <si>
    <t>_6/6</t>
  </si>
  <si>
    <t>(W),(Ｔ)：他のクリーチャー１体を対象とし、それをアンタップする。</t>
  </si>
  <si>
    <t>(２)(R)(G)</t>
  </si>
  <si>
    <t>(３)(R)(G)</t>
  </si>
  <si>
    <t>Valeron Outlander</t>
  </si>
  <si>
    <t>Steward of Valeron</t>
  </si>
  <si>
    <t>(G)(W)</t>
  </si>
  <si>
    <t>アゾカンの予見者を生け贄に捧げる：あなたの墓地から恐竜(Dinosaur)カード１枚を対象とし、それをあなたの手札に戻す。</t>
  </si>
  <si>
    <t>紛争 ― 改革派の結集者が戦場に出たとき、このターンにあなたがコントロールするパーマネントが戦場を離れていた場合、あなたの墓地から点数で見たマナ・コストが２以下のパーマネント・カード１枚を対象とし、それを戦場に戻す。</t>
  </si>
  <si>
    <t>他のクリーチャーがあなたのコントロール下で戦場に出るたび、そのクリーチャーの上に+1/+1カウンターを１個置き、柏槙教団のレインジャーの上に+1/+1カウンターを１個置く。</t>
  </si>
  <si>
    <t>(１)(G)(W)</t>
  </si>
  <si>
    <t>(２)(G)(W)</t>
  </si>
  <si>
    <t>(３)(G)(W)</t>
  </si>
  <si>
    <t>サッフィー・エリクスドッターを生け贄に捧げる：クリーチャー１体を対象とする。このターン、それが戦場からあなたの墓地に置かれたとき、そのカードを戦場に戻す。</t>
  </si>
  <si>
    <t>結び蔦の聖騎士が攻撃するたび、それはターン終了時まであなたがコントロールするアンタップ状態のクリーチャー１体につき+1/+1の修整を受ける。</t>
  </si>
  <si>
    <t>聖遺の騎士は、あなたの墓地にある土地カード１枚につき+1/+1の修整を受ける。</t>
  </si>
  <si>
    <t>(Ｔ),森(Forest)か平地(Plains)を１つ生け贄に捧げる：あなたのライブラリーから土地カードを１枚探し、それを戦場に出す。その後、あなたのライブラリーを切り直す。</t>
  </si>
  <si>
    <t>古参の戦導者のパワーとタフネスは、それぞれあなたがコントロールするクリーチャーの総数に等しい。</t>
  </si>
  <si>
    <t>あなたがコントロールするアンタップ状態の他の同盟者(Ally)を１体タップする：ターン終了時まで、古参の戦導者は先制攻撃か警戒かトランプルのうち、あなたが選んだ１つを得る。</t>
  </si>
  <si>
    <t>優雅な鷺の勇者が戦場に出たとき、ターン終了時まで、あなたがコントロールする他の人間(Human)は+1/+1の修整を受けるとともに絆魂を得る。</t>
  </si>
  <si>
    <t>あなたがコントロールする他の多色の各クリーチャーは、それぞれ自身の色１色につき+1/+1の修整を受ける。</t>
  </si>
  <si>
    <t>Saffi Eriksdotter</t>
  </si>
  <si>
    <t>Knotvine Paladin</t>
  </si>
  <si>
    <t>Knight of the Reliquary</t>
  </si>
  <si>
    <t>Veteran Warleader</t>
  </si>
  <si>
    <t>Heron's Grace Champion</t>
  </si>
  <si>
    <t>Knight of New Alara</t>
  </si>
  <si>
    <t>(Ｔ)：クリーチャー１体を対象とする。それのコントローラーが２点のライフを支払わないかぎり、それをタップする。</t>
  </si>
  <si>
    <t>Vectis Dominator</t>
  </si>
  <si>
    <t>(１)(W)(B)</t>
  </si>
  <si>
    <t>あなたがコントロールする他の戦士(Warrior)クリーチャーは+1/+0の修整を受ける。</t>
  </si>
  <si>
    <t>他のクリーチャーを１体生け贄に捧げる：カルテルの貴種はターン終了時まで、プロテクション（あなたが選んだ色１色）を得る。</t>
  </si>
  <si>
    <t>あなたがコントロールする他の戦士(Warrior)クリーチャーは+0/+1の修整を受ける。</t>
  </si>
  <si>
    <t>星座 ― 死の国の造幣工か他のエンチャント１つがあなたのコントロール下で戦場に出るたび、あなたは１点のライフを得る。</t>
  </si>
  <si>
    <t>罪の収集者が戦場に出たとき、対戦相手１人を対象とする。そのプレイヤーは、自分の手札を公開する。あなたはその中からインスタント・カードかソーサリー・カードを１枚選び、そのカードを追放する。</t>
  </si>
  <si>
    <t>機械修復職人が戦場に出たとき、あなたの墓地からアーティファクト・カード１枚かクリーチャー・カード１枚を対象とし、それをあなたの手札に戻す。</t>
  </si>
  <si>
    <t>ヴィズコーパの聴罪司祭が戦場に出たとき、望む点数のライフを支払う。対戦相手１人を対象とする。そのプレイヤーはその点数に等しい枚数のカードを自分の手札から公開する。あなたはその中から１枚を選び、それを追放する。</t>
  </si>
  <si>
    <t>あなたのアップキープの開始時に、各対戦相手は１点のライフを失う。あなたはこれにより失われたライフに等しい点数のライフを得る。</t>
  </si>
  <si>
    <t>(２)(W)：プレイヤー１人を対象とする。そのプレイヤーは１点のライフを得る。</t>
  </si>
  <si>
    <t>(W)(B)</t>
  </si>
  <si>
    <t>(２)(W)(B)</t>
  </si>
  <si>
    <t>(３)(W)(B)</t>
  </si>
  <si>
    <t>(１)(W)(B)：クリーチャー１体を対象とする。それはターン終了時まで絆魂を得る。</t>
  </si>
  <si>
    <t>(W)(B),ライフを１点支払う：各対戦相手はそれぞれ１点のライフを失う。</t>
  </si>
  <si>
    <t>(１)(W)(B)：このターン、あなたがライフを得るたび、各対戦相手はそれぞれその点数に等しい点数のライフを失う。</t>
  </si>
  <si>
    <t>(２)(B)：各プレイヤーは１点のライフを失う。</t>
  </si>
  <si>
    <t>(W/B)(W/B)</t>
  </si>
  <si>
    <t>（(W/B)は(W)でも(B)でも支払うことができる。）</t>
  </si>
  <si>
    <t>贖罪の高僧がダメージを与えられるたび、土地でないパーマネント１つを対象とする。あなたはそれを破壊してもよい。</t>
  </si>
  <si>
    <t>憑依（このクリーチャーが死亡したとき、クリーチャー１体を対象とする。このカードを、それに憑依した状態で追放する。）</t>
  </si>
  <si>
    <t>オルゾフの司教が戦場に出るか、それが憑依しているクリーチャーが死亡したとき、以下から１つを選ぶ。</t>
  </si>
  <si>
    <t>・あなたがコントロールするクリーチャーは、ターン終了時まで+1/+1の修整を受ける。</t>
  </si>
  <si>
    <t>・あなたがコントロールしていないクリーチャーは、ターン終了時まで-1/-1の修整を受ける。</t>
  </si>
  <si>
    <t>白のクリーチャーを３体生け贄に捧げる：クリーチャー１体を対象とし、それを追放する。</t>
  </si>
  <si>
    <t>あなたがコントロールする他の黒のクリーチャーが死亡するたび、飛行を持つ白の1/1のスピリット(Spirit)・クリーチャー・トークンを１体生成する。</t>
  </si>
  <si>
    <t>対戦相手がクリーチャーでない呪文を１つ唱えるたび、そのプレイヤーは２点のライフを失い、あなたは２点のライフを得る。</t>
  </si>
  <si>
    <t>(１),(Ｔ)：他のクリーチャー１体を対象とし、それの上に運命(fate)カウンターを１個置く。</t>
  </si>
  <si>
    <t>警戒、プロテクション（クリーチャー）</t>
  </si>
  <si>
    <t>クリーチャー１体があなたに戦闘ダメージを与えるたび、そのクリーチャーを破壊する。飛行を持つ白であり黒である1/1のスピリット(Spirit)・クリーチャー・トークンを１体生成する。</t>
  </si>
  <si>
    <t>High Priest of Penance</t>
  </si>
  <si>
    <t>Orzhov Pontiff</t>
  </si>
  <si>
    <t>Teysa, Orzhov Scion</t>
  </si>
  <si>
    <t>Kambal, Consul of Allocation</t>
  </si>
  <si>
    <t>Triad of Fates</t>
  </si>
  <si>
    <t>Teysa, Envoy of Ghosts</t>
  </si>
  <si>
    <t>(W),(Ｔ)：運命カウンターが置かれているクリーチャー１体を対象とし、それを追放する。その後、それをオーナーのコントロール下で戦場に戻す。</t>
  </si>
  <si>
    <t>(５)(W)(B)</t>
  </si>
  <si>
    <t>(B),(Ｔ)：運命カウンターが置かれているクリーチャー１体を対象とし、それを追放する。それのコントローラーはカードを２枚引く。</t>
  </si>
  <si>
    <t>イゼットの時術師が戦場に出たとき、あなたの墓地にあるインスタント・カード１枚かソーサリー・カード１枚を対象とし、それをあなたの手札に戻す。</t>
  </si>
  <si>
    <t>Izzet Chronarch</t>
  </si>
  <si>
    <t>(３)(U)(R)</t>
  </si>
  <si>
    <t>風雲艦隊の疾走者はブロックされない。</t>
  </si>
  <si>
    <t>(Ｔ)：クリーチャー１体を対象とする。イゼットの静電術師は、それと、それと同じ名前を持つ他の各クリーチャーにそれぞれ１点のダメージを与える。</t>
  </si>
  <si>
    <t>隠棲した工匠が戦場に出たとき、クリーチャー１体を対象とする。あなたは「隠棲した工匠はそれに、あなたがコントロールするアーティファクトの総数に等しい点数のダメージを与える。」を選んでもよい。</t>
  </si>
  <si>
    <t>強襲 ― あなたの終了ステップの開始時に、このターンにあなたがクリーチャーで攻撃していた場合、あなたはカードを１枚引いてもよい。そうしたなら、カード１枚を捨てる。</t>
  </si>
  <si>
    <t>異端の飛行機械職人が戦場に出たとき、飛行を持つ無色の1/1の飛行機械(Thopter)アーティファクト・クリーチャー・トークンを２体生成する。</t>
  </si>
  <si>
    <t>(２)(U)：点数で見たマナ・コストが２以下の、あなたがコントロールするインスタント呪文１つを対象とし、それをコピーする。あなたはそのコピーの新たな対象を選んでもよい。</t>
  </si>
  <si>
    <t>(U)(R)</t>
  </si>
  <si>
    <t>(１)(U)(R)</t>
  </si>
  <si>
    <t>(２)(U)(R)</t>
  </si>
  <si>
    <t>(１)(U)(R)：カードを１枚引き、その後カードを１枚捨てる。</t>
  </si>
  <si>
    <t>(２)(U)(R)：あなたがコントロールするインスタント呪文１つかソーサリー呪文１つを対象とし、それをコピーする。あなたはそのコピーの新たな対象を選んでもよい。</t>
  </si>
  <si>
    <t>(２)(R)：点数で見たマナ・コストが２以下の、あなたがコントロールするソーサリー呪文１つを対象とし、それをコピーする。あなたはそのコピーの新たな対象を選んでもよい。</t>
  </si>
  <si>
    <t>(U/R)(U/R)</t>
  </si>
  <si>
    <t>（(U/R)は(U)でも(R)でも支払うことができる。）</t>
  </si>
  <si>
    <t>(２),あなたの手札にある土地でないカードを１枚追放する：その追放されたカードの上に時間(time)カウンターを４個置く。それが待機を持っていない場合、それは待機を得る。（あなたのアップキープの開始時に、時間カウンターを１個取り除く。最後の１個を取り除いたとき、それをそのマナ・コストを支払うことなく唱える。それがクリーチャーである場合、それは速攻を持つ。）</t>
  </si>
  <si>
    <t>あなたが青の呪文を唱えるたび、クリーチャー１体を対象とする。それはターン終了時まで飛行を得る。</t>
  </si>
  <si>
    <t>あなたが赤の呪文を唱えるたび、ティボーとルミアは飛行を持たない各クリーチャーに１点のダメージを与える。</t>
  </si>
  <si>
    <t>Jhoira of the Ghitu</t>
  </si>
  <si>
    <t>Tibor and Lumia</t>
  </si>
  <si>
    <t>Mercurial Chemister</t>
  </si>
  <si>
    <t>(U),(Ｔ)：カードを２枚引く。</t>
  </si>
  <si>
    <t>(R),(Ｔ),カードを１枚捨てる：クリーチャー１体を対象とする。気紛れな薬術師はそれに、その捨てたカードの点数で見たマナ・コストに等しい点数のダメージを与える。</t>
  </si>
  <si>
    <t>毒物の侍臣、ハパチラがプレイヤー１人に戦闘ダメージを与えるたび、クリーチャー１体を対象とする。あなたはそれの上に-1/-1カウンターを１個置いてもよい。</t>
  </si>
  <si>
    <t>あなたがクリーチャー１体の上に-1/-1カウンターを１個以上置くたび、接死を持つ緑の1/1の蛇(Snake)クリーチャー・トークンを１体生成する。</t>
  </si>
  <si>
    <t>Hapatra, Vizier of Poisons</t>
  </si>
  <si>
    <t>(B)(G)</t>
  </si>
  <si>
    <t>残忍な剥ぎ取りがプレイヤー１人に戦闘ダメージを与えるたび、あなたのライブラリーの一番上からカードを３枚見る。そのうちの望む枚数をあなたの墓地に置き、残りをあなたのライブラリーの一番上に望む順番で置く。</t>
  </si>
  <si>
    <t>昂揚 ― あなたの墓地にあるカードにカード・タイプが合計４種類以上含まれるかぎり、残忍な剥ぎ取りは+2/+2の修整を受ける。</t>
  </si>
  <si>
    <t>Grim Flayer</t>
  </si>
  <si>
    <t>(Ｔ)：クリーチャー１体を対象とする。それはこのターン、攻撃したりブロックしたりできない。</t>
  </si>
  <si>
    <t>大隊 ― ウォジェクの矛槍兵と少なくとも２体の他のクリーチャーが攻撃するたび、ウォジェクの矛槍兵はターン終了時まで先制攻撃を得る。</t>
  </si>
  <si>
    <t>Thundersong Trumpeter</t>
  </si>
  <si>
    <t>Wojek Halberdiers</t>
  </si>
  <si>
    <t>Skyknight Legionnaire</t>
  </si>
  <si>
    <t>(R)(W)</t>
  </si>
  <si>
    <t>(１)(R)(W)</t>
  </si>
  <si>
    <t>(１),(Ｔ)：クリーチャー１体を対象とする。気絶の狙撃者はそれに１点のダメージを与える。そのクリーチャーをタップする。</t>
  </si>
  <si>
    <t>アクロスの重装歩兵が攻撃するたび、これはターン終了時まで+X/+0の修整を受ける。Ｘはあなたがコントロールする攻撃クリーチャーの数である。</t>
  </si>
  <si>
    <t>名誉ある門長が攻撃するたび、ターン終了時まで、他の攻撃クリーチャーは+1/+0の修整を受ける。</t>
  </si>
  <si>
    <t>あなたが装備品(Equipment)をコントロールしているかぎり、あなたがコントロールする他のクリーチャーは+1/+0の修整を受ける。</t>
  </si>
  <si>
    <t>あなたがクリーチャーを１体督励するたび、毅然たる生き残りは各対戦相手にそれぞれ１点のダメージを与え、あなたは１点のライフを得る。</t>
  </si>
  <si>
    <t>結集 ― 毅然たる刃の達人か他の同盟者(Ally)が１体あなたのコントロール下で戦場に出るたび、ターン終了時まで、あなたがコントロールするクリーチャーは二段攻撃を得る。</t>
  </si>
  <si>
    <t>(１)(W)：クリーチャー１体を対象とする。それはターン終了時まで先制攻撃を得る。</t>
  </si>
  <si>
    <t>(３)(R)(W)</t>
  </si>
  <si>
    <t>(１)(R)(W)：ターン終了時まで、あなたがコントロールするクリーチャーは+1/+0の修整を受ける。</t>
  </si>
  <si>
    <t>(１)(R)：クリーチャー１体を対象とする。それはターン終了時まで速攻を得る。</t>
  </si>
  <si>
    <t>(R)(W)：真火の聖騎士はターン終了時まで+2/+0の修整を受ける。</t>
  </si>
  <si>
    <t>(２)(R)(W)：速攻を持つ赤であり白である1/1の兵士(Soldier)クリーチャー・トークンを１体生成する。</t>
  </si>
  <si>
    <t>(R)(W)：真火の聖騎士はターン終了時まで先制攻撃を得る。</t>
  </si>
  <si>
    <t>(R/W)(R/W)</t>
  </si>
  <si>
    <t>（(R/W)は(R)でも(W)でも支払うことができる。）</t>
  </si>
  <si>
    <t>英雄的 ― あなたがアナックスとサイミーディを対象とする呪文を１つ唱えるたび、あなたがコントロールするクリーチャーはターン終了時まで+1/+1の修整を受けるとともにトランプルを得る。</t>
  </si>
  <si>
    <t>破壊不能</t>
  </si>
  <si>
    <t>大隊 ― 軍勢の刃、タージクと少なくとも２体の他のクリーチャーが攻撃するたび、軍勢の刃、タージクはターン終了時まで+5/+5の修整を受ける。</t>
  </si>
  <si>
    <t>ウォジェクの古参兵、アグルス・コスが攻撃するたび、攻撃している赤のクリーチャーはターン終了時まで+2/+0の修整を受け、攻撃している白のクリーチャーはターン終了時まで+0/+2の修整を受ける。</t>
  </si>
  <si>
    <t>金属術 ― あなたが３つ以上のアーティファクトをコントロールしているかぎり、あなたがコントロールするクリーチャーは+3/+0の修整を受ける。</t>
  </si>
  <si>
    <t>Anax and Cymede</t>
  </si>
  <si>
    <t>Tajic, Blade of the Legion</t>
  </si>
  <si>
    <t>Agrus Kos, Wojek Veteran</t>
  </si>
  <si>
    <t>Jor Kadeen, the Prevailer</t>
  </si>
  <si>
    <t>(２)(R)(W)</t>
  </si>
  <si>
    <t>Beetleform Mage</t>
  </si>
  <si>
    <t>(１)(G)(U)</t>
  </si>
  <si>
    <t>(G)(U)：甲虫体の魔道士はターン終了時まで+2/+2の修整を受けるともに飛行を得る。この能力は、毎ターン１回のみ起動できる。</t>
  </si>
  <si>
    <t>ジェスの浸透者はブロックされない。</t>
  </si>
  <si>
    <t>ならず者の精製屋が戦場に出たとき、カードを１枚引き、あなたは(Ｅ)(Ｅ)（エネルギー・カウンター２個）を得る。</t>
  </si>
  <si>
    <t>(G)(U)</t>
  </si>
  <si>
    <t>終了ステップの開始時に、あなたが《先端生物学者/Biovisionary》という名前のクリーチャーを４体以上コントロールしている場合、あなたはこのゲームに勝利する。</t>
  </si>
  <si>
    <t>水深の魔道士の上に+1/+1カウンターが１個置かれるたび、あなたはカードを１枚引いてもよい。</t>
  </si>
  <si>
    <t>他の各プレイヤーのアンタップ・ステップに、あなたがコントロールするすべてのクリーチャーとすべての土地をアンタップする。</t>
  </si>
  <si>
    <t>あなたはクリーチャー呪文を、それが瞬速を持っているかのように唱えてもよい。</t>
  </si>
  <si>
    <t>Vorel of the Hull Clade</t>
  </si>
  <si>
    <t>Biovisionary</t>
  </si>
  <si>
    <t>Fathom Mage</t>
  </si>
  <si>
    <t>Prophet of Kruphix</t>
  </si>
  <si>
    <t>(２)(G)(U)</t>
  </si>
  <si>
    <t>(３)(G)(U)</t>
  </si>
  <si>
    <t>(G)(U),(Ｔ)：アーティファクト１つかクリーチャー１体か土地１つを対象とする。それの上に置かれている各種類のカウンターの個数を２倍にする。</t>
  </si>
  <si>
    <t>風生みの魔道士は、あなたの墓地にアーティファクト・カードがあるかぎり飛行を持つ。</t>
  </si>
  <si>
    <t>結界師ズアーが攻撃するたび、あなたはあなたのライブラリーから点数で見たマナ・コストが３以下のエンチャント・カードを１枚探し、それを戦場に出してもよい。そうした場合、あなたのライブラリーを切り直す。</t>
  </si>
  <si>
    <t>あなたのアップキープの開始時に、対戦相手１人を対象として選ぶ。このターン、そのプレイヤーは呪文を唱えられず、起動型能力を起動できず、自分の手札を公開した状態でプレイする。このターン、あなたはそのプレイヤーの手札のカードをプレイしてもよい。</t>
  </si>
  <si>
    <t>Windwright Mage</t>
  </si>
  <si>
    <t>Zur the Enchanter</t>
  </si>
  <si>
    <t>Sen Triplets</t>
  </si>
  <si>
    <t>(W)(U)(B)</t>
  </si>
  <si>
    <t>(１)(W)(U)(B)</t>
  </si>
  <si>
    <t>(２)(W)(U)(B)</t>
  </si>
  <si>
    <t>あなたがコントロールしている他の海賊(Pirate)は+1/+1の修整を受ける。</t>
  </si>
  <si>
    <t>あなたの終了ステップの開始時に、このターンに海賊３体以上によって戦闘ダメージを与えられたプレイヤーがコントロールしている土地でないパーマネント１つを対象とし、それのコントロールを得る。</t>
  </si>
  <si>
    <t>あなたがアーティファクト呪文を１つ唱えるたび、あなたは自分の墓地と手札とライブラリーからその呪文と同じ名前を持つカードを１枚探し、それを戦場に出す。あなたがこれにより自分のライブラリーからカードを探した場合、それを切り直す。</t>
  </si>
  <si>
    <t>Admiral Beckett Brass</t>
  </si>
  <si>
    <t>Mishra, Artificer Prodigy</t>
  </si>
  <si>
    <t>(１)(U)(B)(R)</t>
  </si>
  <si>
    <t>他のクリーチャーが死亡するたび、あなたは血編み髪のクレシュの上に+1/+1カウンターをＸ個置いてもよい。Ｘは、そのクリーチャーのパワーである。</t>
  </si>
  <si>
    <t>Kresh the Bloodbraided</t>
  </si>
  <si>
    <t>(２)(B)(R)(G)</t>
  </si>
  <si>
    <t>あなたが他の多色のパーマネントをコントロールしているかぎり、バントの信刃は+1/+1の修整を受けるとともに先制攻撃を持つ。</t>
  </si>
  <si>
    <t>(Ｔ)：このターン、あなたにダメージを与えたクリーチャー１体を対象とし、それを破壊する。</t>
  </si>
  <si>
    <t>あなたがバントの滞留者をサイクリングするか、それが死亡したとき、白の1/1の兵士(Soldier)クリーチャー・トークンを１体生成してもよい。</t>
  </si>
  <si>
    <t>あなたがコントロールするいずれかのクリーチャーが単独で攻撃するたび、それはターン終了時まで二段攻撃を得る。</t>
  </si>
  <si>
    <t>(Ｔ)：あなたのライブラリーの一番上のカードを公開する。それが土地カードである場合、それを戦場に出す。そうでない場合、それをあなたの手札に加える。</t>
  </si>
  <si>
    <t>Bant Sureblade</t>
  </si>
  <si>
    <t>Giltspire Avenger</t>
  </si>
  <si>
    <t>Bant Sojourners</t>
  </si>
  <si>
    <t>Rafiq of the Many</t>
  </si>
  <si>
    <t>サイクリング(２)(W)（(２)(W),このカードを捨てる：カードを１枚引く。）</t>
  </si>
  <si>
    <t>(G)(W)(U)</t>
  </si>
  <si>
    <t>(１)(G)(W)(U)</t>
  </si>
  <si>
    <t>(３)(G)(W)(U)</t>
  </si>
  <si>
    <t>(G/U)(W)</t>
  </si>
  <si>
    <t>飛行、警戒、速攻</t>
  </si>
  <si>
    <t>先制攻撃、呪禁</t>
  </si>
  <si>
    <t>悟った達人、ナーセットが攻撃するたび、あなたのライブラリーの一番上から４枚のカードを追放する。ターン終了時まで、あなたはこのターンに悟った達人、ナーセットにより追放された、クリーチャーでないカードをそれのマナ・コストを支払うことなく唱えてもよい。</t>
  </si>
  <si>
    <t>Mantis Rider</t>
  </si>
  <si>
    <t>Narset, Enlightened Master</t>
  </si>
  <si>
    <t>(U)(R)(W)</t>
  </si>
  <si>
    <t>(３)(U)(R)(W)</t>
  </si>
  <si>
    <t>龍爪のスーラクは打ち消されない。</t>
  </si>
  <si>
    <t>あなたがコントロールするクリーチャー呪文は打ち消されない。</t>
  </si>
  <si>
    <t>あなたがコントロールする他のクリーチャーはトランプルを持つ。</t>
  </si>
  <si>
    <t>熊の仲間が戦場に出たとき、緑の4/4の熊(Bear)クリーチャー・トークンを１体生成する。</t>
  </si>
  <si>
    <t>Surrak Dragonclaw</t>
  </si>
  <si>
    <t>Snowhorn Rider</t>
  </si>
  <si>
    <t>(２)(G)(U)(R)</t>
  </si>
  <si>
    <t>(３)(G)(U)(R)</t>
  </si>
  <si>
    <t>変異(２)(G)(U)(R)（あなたはこのカードを、(３)で2/2クリーチャーとして裏向きに唱えてもよい。これの変異コストで、これをいつでも表向きにしてもよい。）</t>
  </si>
  <si>
    <t>先頭に立つもの、アナフェンザが攻撃するたび、あなたがコントロールする他のタップ状態のクリーチャー１体を対象とする。それの上に+1/+1カウンターを１個置く。</t>
  </si>
  <si>
    <t>いずれかの対戦相手がオーナーであるトークンでないクリーチャーが死亡するか、戦場にないクリーチャー・カードがいずれかの対戦相手の墓地に置かれるなら、代わりにそれを追放する。</t>
  </si>
  <si>
    <t>軍備部隊が戦場に出たとき、あなたがコントロールするクリーチャーを１体か２体対象とする。それらに２個の+1/+1カウンターを好きなように割り振って置く。</t>
  </si>
  <si>
    <t>Anafenza, the Foremost</t>
  </si>
  <si>
    <t>Abzan Guide</t>
  </si>
  <si>
    <t>(W)(B)(G)</t>
  </si>
  <si>
    <t>(２)(W)(B)(G)</t>
  </si>
  <si>
    <t>(３)(W)(B)(G)</t>
  </si>
  <si>
    <t>変異(２)(W)(B)(G)（あなたはこのカードを、(３)で2/2クリーチャーとして裏向きに唱えてもよい。これの変異コストで、これをいつでも表向きにしてもよい。）</t>
  </si>
  <si>
    <t>忠誠な歩哨</t>
  </si>
  <si>
    <t>教区の勇者</t>
  </si>
  <si>
    <t>雨ざらしの旅人</t>
  </si>
  <si>
    <t>覚醒の太陽の神官</t>
  </si>
  <si>
    <t>セラの高位僧</t>
  </si>
  <si>
    <t>万神殿の兵士</t>
  </si>
  <si>
    <t>アナフェンザの伝令</t>
  </si>
  <si>
    <t>闘争の学び手</t>
  </si>
  <si>
    <t>威圧する君主</t>
  </si>
  <si>
    <t>精鋭の審問官</t>
  </si>
  <si>
    <t>神々の神盾</t>
  </si>
  <si>
    <t>トカートリの儀仗兵</t>
  </si>
  <si>
    <t>オーリオックの鋼打ち</t>
  </si>
  <si>
    <t>秘宝の探求者</t>
  </si>
  <si>
    <t>白蘭の騎士</t>
  </si>
  <si>
    <t>イロアスの英雄</t>
  </si>
  <si>
    <t>サリアの副官</t>
  </si>
  <si>
    <t>真実の信仰者</t>
  </si>
  <si>
    <t>スレイベンの守護者、サリア</t>
  </si>
  <si>
    <t>管区の隊長</t>
  </si>
  <si>
    <t>笑む猫、憲太郎</t>
  </si>
  <si>
    <t>エーテル宣誓会の法学者</t>
  </si>
  <si>
    <t>堂々たる撤廃者</t>
  </si>
  <si>
    <t>真珠の達人</t>
  </si>
  <si>
    <t>栄光半ばの修練者</t>
  </si>
  <si>
    <t>オーリオックのチャンピオン</t>
  </si>
  <si>
    <t>純鋼の聖騎士</t>
  </si>
  <si>
    <t>ハンウィアーの民兵隊長</t>
  </si>
  <si>
    <t>ウェストヴェイル教団の指導者</t>
  </si>
  <si>
    <t>隠れたる龍殺し</t>
  </si>
  <si>
    <t>刃の接合者</t>
  </si>
  <si>
    <t>ランタンの斥候</t>
  </si>
  <si>
    <t>遊牧の民の神話作家</t>
  </si>
  <si>
    <t>異端聖戦士、サリア</t>
  </si>
  <si>
    <t>コロンドールのマンガラ</t>
  </si>
  <si>
    <t>面晶体原の浄化者</t>
  </si>
  <si>
    <t>アラシンの先頭に立つ者</t>
  </si>
  <si>
    <t>メサの女魔術師</t>
  </si>
  <si>
    <t>ミラディンの十字軍</t>
  </si>
  <si>
    <t>鬼斬の聖騎士</t>
  </si>
  <si>
    <t>ハズダーの盾兵</t>
  </si>
  <si>
    <t>茨の騎士ティヴァダール</t>
  </si>
  <si>
    <t>スレイベンの破滅預言者</t>
  </si>
  <si>
    <t>前線の衛生兵</t>
  </si>
  <si>
    <t>ギデオンの報復者</t>
  </si>
  <si>
    <t>カビーラの福音者</t>
  </si>
  <si>
    <t>模範の騎士</t>
  </si>
  <si>
    <t>剛胆な勇士</t>
  </si>
  <si>
    <t>ヴェクの聖騎士</t>
  </si>
  <si>
    <t>弱者の師</t>
  </si>
  <si>
    <t>陰影の神秘家</t>
  </si>
  <si>
    <t>生真面目な君、昌子</t>
  </si>
  <si>
    <t>サマイトの守護者オリス</t>
  </si>
  <si>
    <t>威名の英雄</t>
  </si>
  <si>
    <t>陸軍元帥</t>
  </si>
  <si>
    <t>銀刃の聖騎士</t>
  </si>
  <si>
    <t>濠の大魔術師</t>
  </si>
  <si>
    <t>革命家チョー＝マノ</t>
  </si>
  <si>
    <t>イーオスのレインジャー</t>
  </si>
  <si>
    <t>ガヴォニーの騎手</t>
  </si>
  <si>
    <t>黎明運びの戦車兵</t>
  </si>
  <si>
    <t>魂の聖別者</t>
  </si>
  <si>
    <t>城壁の聖騎士</t>
  </si>
  <si>
    <t>不屈のダガタール</t>
  </si>
  <si>
    <t>オーリオックの風歩き</t>
  </si>
  <si>
    <t>幕屋の大魔術師</t>
  </si>
  <si>
    <t>真実を求める者、今田魅知子</t>
  </si>
  <si>
    <t>龍鱗隊の将軍</t>
  </si>
  <si>
    <t>キテオンの不正規軍</t>
  </si>
  <si>
    <t>月皇の司令官、オドリック</t>
  </si>
  <si>
    <t>円盤の大魔術師</t>
  </si>
  <si>
    <t>熟練の戦術家、オドリック</t>
  </si>
  <si>
    <t>巫女の従者</t>
  </si>
  <si>
    <t>鋼打ちの弟子</t>
  </si>
  <si>
    <t>ゴーマ・ファーダの英雄</t>
  </si>
  <si>
    <t>練達の癒し手</t>
  </si>
  <si>
    <t>イーオスの騎士長</t>
  </si>
  <si>
    <t>キイェルドーの近衛隊</t>
  </si>
  <si>
    <t>五制術の聖騎士</t>
  </si>
  <si>
    <t>目を開いた者、デジェル</t>
  </si>
  <si>
    <t>光帯びの聖騎士</t>
  </si>
  <si>
    <t>牢獄の管理人、ヒクサス</t>
  </si>
  <si>
    <t>霊誉の僧兵</t>
  </si>
  <si>
    <t>サリアの槍騎兵</t>
  </si>
  <si>
    <t>キイェルドーの王、ダリアン</t>
  </si>
  <si>
    <t>侍の御大将、武野</t>
  </si>
  <si>
    <t>隆盛なる勇士クロウヴァクス</t>
  </si>
  <si>
    <t>精鋭なる射手</t>
  </si>
  <si>
    <t>警備隊長</t>
  </si>
  <si>
    <t>雨ざらしのボディガード</t>
  </si>
  <si>
    <t>永岩城の君主、今田</t>
  </si>
  <si>
    <t>アクロスの英雄、キテオン</t>
  </si>
  <si>
    <t>歴戦の戦士、ギデオン</t>
  </si>
  <si>
    <t>月皇ミケウス</t>
  </si>
  <si>
    <t>魂火の大導師</t>
  </si>
  <si>
    <t>卓絶の達人</t>
  </si>
  <si>
    <t>僧院の導師</t>
  </si>
  <si>
    <t>刃砦の英雄</t>
  </si>
  <si>
    <t>オジュタイの模範</t>
  </si>
  <si>
    <t>タズリ将軍</t>
  </si>
  <si>
    <t>エピティアの賢者</t>
  </si>
  <si>
    <t>秘密を掘り下げる者</t>
  </si>
  <si>
    <t>昆虫の逸脱者</t>
  </si>
  <si>
    <t>脱走魔術師</t>
  </si>
  <si>
    <t>ダル追われの流れ者</t>
  </si>
  <si>
    <t>実績ある戦闘員</t>
  </si>
  <si>
    <t>垂れ流しの達人</t>
  </si>
  <si>
    <t>グリクシスの幻術師</t>
  </si>
  <si>
    <t>翼作り</t>
  </si>
  <si>
    <t>霜の殉教者</t>
  </si>
  <si>
    <t>夢次元の芸術家</t>
  </si>
  <si>
    <t>ジェスカイの賢者</t>
  </si>
  <si>
    <t>難破船あさり</t>
  </si>
  <si>
    <t>錯乱した助手</t>
  </si>
  <si>
    <t>密の守護兵</t>
  </si>
  <si>
    <t>ルーメングリッドの管理人</t>
  </si>
  <si>
    <t>研究助手</t>
  </si>
  <si>
    <t>思考の急使</t>
  </si>
  <si>
    <t>水面院の巻物守り</t>
  </si>
  <si>
    <t>ハリマーの採掘者</t>
  </si>
  <si>
    <t>荒廃の工作員</t>
  </si>
  <si>
    <t>ジェスの監視人</t>
  </si>
  <si>
    <t>帆凧の海賊</t>
  </si>
  <si>
    <t>霧氷風の特務魔道士</t>
  </si>
  <si>
    <t>狡猾な生き残り</t>
  </si>
  <si>
    <t>錬金術師の弟子</t>
  </si>
  <si>
    <t>神出鬼没の呪拳士</t>
  </si>
  <si>
    <t>前兆語り</t>
  </si>
  <si>
    <t>洞察の探求者</t>
  </si>
  <si>
    <t>ニューロックのスパイ</t>
  </si>
  <si>
    <t>セルホフの密教信者</t>
  </si>
  <si>
    <t>最前線の賢者</t>
  </si>
  <si>
    <t>二人組の見張り番</t>
  </si>
  <si>
    <t>見えざる者の生き残り</t>
  </si>
  <si>
    <t>敬慕される教師</t>
  </si>
  <si>
    <t>周到の書記官</t>
  </si>
  <si>
    <t>秘密の商人</t>
  </si>
  <si>
    <t>財力ある船乗り</t>
  </si>
  <si>
    <t>ヴェクティスの口封じ</t>
  </si>
  <si>
    <t>土を形作る者</t>
  </si>
  <si>
    <t>海門の神官</t>
  </si>
  <si>
    <t>ヘクマの歩哨</t>
  </si>
  <si>
    <t>電位式錬金術師</t>
  </si>
  <si>
    <t>秘密を盗む者</t>
  </si>
  <si>
    <t>飛空士の修繕屋</t>
  </si>
  <si>
    <t>粗石の魔道士</t>
  </si>
  <si>
    <t>微風の写字官</t>
  </si>
  <si>
    <t>無謀な識者</t>
  </si>
  <si>
    <t>歓喜する信者</t>
  </si>
  <si>
    <t>狡猾な抜け道魔道士</t>
  </si>
  <si>
    <t>ニューロックの透術士</t>
  </si>
  <si>
    <t>ニューロックの神童</t>
  </si>
  <si>
    <t>霧刃の忍び</t>
  </si>
  <si>
    <t>霊気の達人</t>
  </si>
  <si>
    <t>深き刻の忍者</t>
  </si>
  <si>
    <t>溺墓の探検者</t>
  </si>
  <si>
    <t>鍵達人のならず者</t>
  </si>
  <si>
    <t>トレイリアの歩哨</t>
  </si>
  <si>
    <t>分離主義者の虚空魔道士</t>
  </si>
  <si>
    <t>ジェスの先導</t>
  </si>
  <si>
    <t>飛空士志願者</t>
  </si>
  <si>
    <t>速接会の翼鍛冶</t>
  </si>
  <si>
    <t>エルゴードの盾の仲間</t>
  </si>
  <si>
    <t>空麻呂の末裔</t>
  </si>
  <si>
    <t>古術師</t>
  </si>
  <si>
    <t>巧射艦隊の帆綱引き</t>
  </si>
  <si>
    <t>悟った狂人</t>
  </si>
  <si>
    <t>隠道の神秘家</t>
  </si>
  <si>
    <t>グリフの先兵</t>
  </si>
  <si>
    <t>虚無使い</t>
  </si>
  <si>
    <t>裕福な海賊</t>
  </si>
  <si>
    <t>スフィンクスの信奉者</t>
  </si>
  <si>
    <t>ネファリアの密輸人</t>
  </si>
  <si>
    <t>時を曲げる者</t>
  </si>
  <si>
    <t>信頼ある相談役</t>
  </si>
  <si>
    <t>ハーダの巡回スパイ</t>
  </si>
  <si>
    <t>メレティスの天文学者</t>
  </si>
  <si>
    <t>水面院の視線曲げ</t>
  </si>
  <si>
    <t>躁の書記官</t>
  </si>
  <si>
    <t>龍の眼の学者</t>
  </si>
  <si>
    <t>不可視の忍び寄り</t>
  </si>
  <si>
    <t>侵入専門家</t>
  </si>
  <si>
    <t>ジェスカイの長老</t>
  </si>
  <si>
    <t>知識の仲買人</t>
  </si>
  <si>
    <t>風雲艦隊の空中要員</t>
  </si>
  <si>
    <t>果敢な捜索者</t>
  </si>
  <si>
    <t>禁断の真相を知る者</t>
  </si>
  <si>
    <t>精霊の学び手</t>
  </si>
  <si>
    <t>風の達人、鳶太</t>
  </si>
  <si>
    <t>謎鍛冶</t>
  </si>
  <si>
    <t>航空船の略取者</t>
  </si>
  <si>
    <t>蒼穹の魔道士</t>
  </si>
  <si>
    <t>名高い武器職人</t>
  </si>
  <si>
    <t>アカデミーの研究者</t>
  </si>
  <si>
    <t>ハリマーの潮呼び</t>
  </si>
  <si>
    <t>白髪交じりの釣り人</t>
  </si>
  <si>
    <t>不気味なアンコウ</t>
  </si>
  <si>
    <t>抜け道を歩む者</t>
  </si>
  <si>
    <t>マラング川をうろつくもの</t>
  </si>
  <si>
    <t>砂時計の侍臣</t>
  </si>
  <si>
    <t>バルデュヴィアの霜覚師</t>
  </si>
  <si>
    <t>ジェスの盗人</t>
  </si>
  <si>
    <t>捕らえ難い悪漢</t>
  </si>
  <si>
    <t>ニューロックの変成者</t>
  </si>
  <si>
    <t>エスパーの戦闘魔道士</t>
  </si>
  <si>
    <t>未熟な呪士</t>
  </si>
  <si>
    <t>横槍の邪等狗</t>
  </si>
  <si>
    <t>宝物の魔道士</t>
  </si>
  <si>
    <t>風雲艦隊のスパイ</t>
  </si>
  <si>
    <t>くぐつ師</t>
  </si>
  <si>
    <t>暁の光の射手</t>
  </si>
  <si>
    <t>優雅な達人</t>
  </si>
  <si>
    <t>ニューロックの猛士</t>
  </si>
  <si>
    <t>戦利品の魔道士</t>
  </si>
  <si>
    <t>礼儀正しい識者</t>
  </si>
  <si>
    <t>人殺しの粗暴者</t>
  </si>
  <si>
    <t>シルムガルの魔術師</t>
  </si>
  <si>
    <t>ルーメングリッドの歩哨</t>
  </si>
  <si>
    <t>上品な工作員</t>
  </si>
  <si>
    <t>虚空魔道士の沈黙者</t>
  </si>
  <si>
    <t>練達の盗賊</t>
  </si>
  <si>
    <t>霧炎の達人</t>
  </si>
  <si>
    <t>選定の侍臣</t>
  </si>
  <si>
    <t>霧氷風の冷術師</t>
  </si>
  <si>
    <t>厳格な導師</t>
  </si>
  <si>
    <t>つむじ風のならず者</t>
  </si>
  <si>
    <t>高巣の崇拝者</t>
  </si>
  <si>
    <t>翼の接合者</t>
  </si>
  <si>
    <t>若年の識者</t>
  </si>
  <si>
    <t>逸脱した研究者</t>
  </si>
  <si>
    <t>完成態</t>
  </si>
  <si>
    <t>立ちこめる霧の模範</t>
  </si>
  <si>
    <t>巧射艦隊の操舵手</t>
  </si>
  <si>
    <t>試験飛行士</t>
  </si>
  <si>
    <t>空想の元型</t>
  </si>
  <si>
    <t>風友会の強襲者</t>
  </si>
  <si>
    <t>ノヴィジェンの賢者</t>
  </si>
  <si>
    <t>戦場の秘術師</t>
  </si>
  <si>
    <t>非実在の王</t>
  </si>
  <si>
    <t>波止場の潜入者</t>
  </si>
  <si>
    <t>戦凧の匪賊</t>
  </si>
  <si>
    <t>呪師の弟子</t>
  </si>
  <si>
    <t>暴く者、智也</t>
  </si>
  <si>
    <t>ラト＝ナムの賢人</t>
  </si>
  <si>
    <t>精神奪い</t>
  </si>
  <si>
    <t>勇敢な妨害工作員</t>
  </si>
  <si>
    <t>バザールの大魔術師</t>
  </si>
  <si>
    <t>瞬唱の魔道士</t>
  </si>
  <si>
    <t>形態の職工</t>
  </si>
  <si>
    <t>遵法長、バラル</t>
  </si>
  <si>
    <t>落とし子の仲買人</t>
  </si>
  <si>
    <t>果敢な泥棒</t>
  </si>
  <si>
    <t>こだまの魔道士</t>
  </si>
  <si>
    <t>霧の海の船長</t>
  </si>
  <si>
    <t>セレンディブの魔術師</t>
  </si>
  <si>
    <t>沈黙の大嵐、シュー・ユン</t>
  </si>
  <si>
    <t>時間の名人</t>
  </si>
  <si>
    <t>メレティスのほら吹き</t>
  </si>
  <si>
    <t>技を借りる者</t>
  </si>
  <si>
    <t>ジェスカイの浸透者</t>
  </si>
  <si>
    <t>運命をもてあそぶ者</t>
  </si>
  <si>
    <t>研究室の偏執狂</t>
  </si>
  <si>
    <t>果敢な弟子</t>
  </si>
  <si>
    <t>造物の学者、ヴェンセール</t>
  </si>
  <si>
    <t>文書管理人</t>
  </si>
  <si>
    <t>月の神秘家</t>
  </si>
  <si>
    <t>騙り者、逆嶋</t>
  </si>
  <si>
    <t>アーカム・ダグソン</t>
  </si>
  <si>
    <t>狡猾な巾着切り</t>
  </si>
  <si>
    <t>水面院の歴史家、歌穂</t>
  </si>
  <si>
    <t>練達の変成者</t>
  </si>
  <si>
    <t>ヘイヴングルのルーン縛り</t>
  </si>
  <si>
    <t>速製職人のスパイ</t>
  </si>
  <si>
    <t>妖術の達人ブレイズ</t>
  </si>
  <si>
    <t>水面院の師範、密</t>
  </si>
  <si>
    <t>西風の魔道士リネッサ</t>
  </si>
  <si>
    <t>練達の変身術士、ジャリラ</t>
  </si>
  <si>
    <t>細胞質の操作者</t>
  </si>
  <si>
    <t>精鋭秘儀術師</t>
  </si>
  <si>
    <t>巻物の君、あざみ</t>
  </si>
  <si>
    <t>ザルファーの魔道士、テフェリー</t>
  </si>
  <si>
    <t>未来の大魔術師</t>
  </si>
  <si>
    <t>意志を砕く者</t>
  </si>
  <si>
    <t>霧氷風の使い手、ハイダー</t>
  </si>
  <si>
    <t>静風の日暮</t>
  </si>
  <si>
    <t>壺の大魔術師</t>
  </si>
  <si>
    <t>灯台の年代学者</t>
  </si>
  <si>
    <t>ヴリンの神童、ジェイス</t>
  </si>
  <si>
    <t>束縛なきテレパス、ジェイス</t>
  </si>
  <si>
    <t>時の賢者</t>
  </si>
  <si>
    <t>時間流の航海士</t>
  </si>
  <si>
    <t>輪の信奉者</t>
  </si>
  <si>
    <t>意思の詐話師</t>
  </si>
  <si>
    <t>ズーラポートの処罰者</t>
  </si>
  <si>
    <t>影生まれの使徒</t>
  </si>
  <si>
    <t>第四橋をうろつく者</t>
  </si>
  <si>
    <t>死の信者</t>
  </si>
  <si>
    <t>夜市の見張り</t>
  </si>
  <si>
    <t>死を出迎える者</t>
  </si>
  <si>
    <t>欲深い悪漢</t>
  </si>
  <si>
    <t>思考抜きの魔女</t>
  </si>
  <si>
    <t>骨の殉教者</t>
  </si>
  <si>
    <t>大霊堂の信奉者</t>
  </si>
  <si>
    <t>ぼろ布売り</t>
  </si>
  <si>
    <t>ザスリッドの見習い僧</t>
  </si>
  <si>
    <t>シルムガルの手の者</t>
  </si>
  <si>
    <t>回収する斬鬼</t>
  </si>
  <si>
    <t>自暴自棄の漂流者</t>
  </si>
  <si>
    <t>グール呼びの共犯者</t>
  </si>
  <si>
    <t>死体運び</t>
  </si>
  <si>
    <t>凶兆艦隊の貯め込み屋</t>
  </si>
  <si>
    <t>ボジューカの盗賊</t>
  </si>
  <si>
    <t>奈落の守り手</t>
  </si>
  <si>
    <t>破滅小径の悪党</t>
  </si>
  <si>
    <t>マルドゥの頭蓋狩り</t>
  </si>
  <si>
    <t>カルシのサディスト</t>
  </si>
  <si>
    <t>恐竜ハンター</t>
  </si>
  <si>
    <t>ドゥーンドの調査員</t>
  </si>
  <si>
    <t>ラースのわな師</t>
  </si>
  <si>
    <t>血に狂った重装歩兵</t>
  </si>
  <si>
    <t>悪運尽きた造反者</t>
  </si>
  <si>
    <t>コラガンの散兵</t>
  </si>
  <si>
    <t>クロヴの悪漢</t>
  </si>
  <si>
    <t>荒廃語り</t>
  </si>
  <si>
    <t>霊気毒殺者</t>
  </si>
  <si>
    <t>巧射艦隊の拷問者</t>
  </si>
  <si>
    <t>石板通りの悪漢</t>
  </si>
  <si>
    <t>アーボーグの吸魂魔道士</t>
  </si>
  <si>
    <t>肉体を継ぐ者</t>
  </si>
  <si>
    <t>忠信な従者</t>
  </si>
  <si>
    <t>オルゾフの安死術士</t>
  </si>
  <si>
    <t>ネファロックスの召使い</t>
  </si>
  <si>
    <t>ヴェク追われの侵入者</t>
  </si>
  <si>
    <t>頭巾被りの暗殺者</t>
  </si>
  <si>
    <t>サディストの穴開け魔道士</t>
  </si>
  <si>
    <t>マルコフに選ばれし者</t>
  </si>
  <si>
    <t>マルコフの召使い</t>
  </si>
  <si>
    <t>盲目の盲信者</t>
  </si>
  <si>
    <t>雇われ拷問者</t>
  </si>
  <si>
    <t>戦慄の魔術使い</t>
  </si>
  <si>
    <t>モリオックの肉裂き</t>
  </si>
  <si>
    <t>スカースダグの嘆願者</t>
  </si>
  <si>
    <t>テヴェシュ・ザットの信奉者</t>
  </si>
  <si>
    <t>モリオックのゴミあさり</t>
  </si>
  <si>
    <t>ズーラポートの鎖魔道士</t>
  </si>
  <si>
    <t>襲拳会の部隊</t>
  </si>
  <si>
    <t>街道筋の強盗</t>
  </si>
  <si>
    <t>ダル追われの殺し屋</t>
  </si>
  <si>
    <t>深海艦隊の殺し屋</t>
  </si>
  <si>
    <t>ニマーナの売剣</t>
  </si>
  <si>
    <t>凶兆艦隊の侵入者</t>
  </si>
  <si>
    <t>組織の処罰者</t>
  </si>
  <si>
    <t>フィナックスの信奉者</t>
  </si>
  <si>
    <t>呪われた浪人</t>
  </si>
  <si>
    <t>夜深の死体あさり</t>
  </si>
  <si>
    <t>騒がしい徒党</t>
  </si>
  <si>
    <t>マルドゥの影槍</t>
  </si>
  <si>
    <t>無情な切り裂き魔</t>
  </si>
  <si>
    <t>悪魔の伝令</t>
  </si>
  <si>
    <t>苛まれし英雄</t>
  </si>
  <si>
    <t>無情な狙撃手</t>
  </si>
  <si>
    <t>カルシの高僧</t>
  </si>
  <si>
    <t>くぐつの妖術師</t>
  </si>
  <si>
    <t>指名手配の獄道者</t>
  </si>
  <si>
    <t>グリセルブランドの信奉者</t>
  </si>
  <si>
    <t>ズーラポートの殺し屋</t>
  </si>
  <si>
    <t>探求者の従者</t>
  </si>
  <si>
    <t>黒騎士</t>
  </si>
  <si>
    <t>エンブロールの暴れ者</t>
  </si>
  <si>
    <t>帆凧の掠め盗り</t>
  </si>
  <si>
    <t>縞瑪瑙の魔道士</t>
  </si>
  <si>
    <t>ゴルガリの凶漢</t>
  </si>
  <si>
    <t>砂丘乗りの無法者</t>
  </si>
  <si>
    <t>快楽殺人の暗殺者</t>
  </si>
  <si>
    <t>苦痛鍛冶</t>
  </si>
  <si>
    <t>血顎の憤怒鬼</t>
  </si>
  <si>
    <t>残虐の手</t>
  </si>
  <si>
    <t>スカースダグの剥ぎ取り</t>
  </si>
  <si>
    <t>酒場の詐取師</t>
  </si>
  <si>
    <t>悪名の騎士</t>
  </si>
  <si>
    <t>モーギスの匪賊</t>
  </si>
  <si>
    <t>港の無法者</t>
  </si>
  <si>
    <t>グリクシスの戦闘魔道士</t>
  </si>
  <si>
    <t>ハグラの名射手</t>
  </si>
  <si>
    <t>地底街の密告人</t>
  </si>
  <si>
    <t>ザスリッドの隠し刃</t>
  </si>
  <si>
    <t>苦痛の公使</t>
  </si>
  <si>
    <t>覚醒舞い</t>
  </si>
  <si>
    <t>親切な余所者</t>
  </si>
  <si>
    <t>悪魔憑きの魔女</t>
  </si>
  <si>
    <t>アショクの心酔者</t>
  </si>
  <si>
    <t>禍鞭の懲罰者</t>
  </si>
  <si>
    <t>薄暮の騎士</t>
  </si>
  <si>
    <t>大物狙い</t>
  </si>
  <si>
    <t>肉組み</t>
  </si>
  <si>
    <t>連合の先駆け</t>
  </si>
  <si>
    <t>雇いの力男</t>
  </si>
  <si>
    <t>傷をつけるもの、切紗深</t>
  </si>
  <si>
    <t>村の食人者</t>
  </si>
  <si>
    <t>歯牙収集家</t>
  </si>
  <si>
    <t>沼居ののけ者</t>
  </si>
  <si>
    <t>煙馬の乗り手</t>
  </si>
  <si>
    <t>荒廃唱え</t>
  </si>
  <si>
    <t>楕円競走の無謀者</t>
  </si>
  <si>
    <t>死体の交易商人</t>
  </si>
  <si>
    <t>ネクラタル</t>
  </si>
  <si>
    <t>無慈悲な略奪者</t>
  </si>
  <si>
    <t>呪われた魔女</t>
  </si>
  <si>
    <t>感染性の呪い</t>
  </si>
  <si>
    <t>ベラドンナの暗殺者</t>
  </si>
  <si>
    <t>枉惑な調達者</t>
  </si>
  <si>
    <t>苦心の魔女</t>
  </si>
  <si>
    <t>執念深い群衆</t>
  </si>
  <si>
    <t>血に染まりし勇者</t>
  </si>
  <si>
    <t>巧射艦隊の追跡者</t>
  </si>
  <si>
    <t>残酷なサディスト</t>
  </si>
  <si>
    <t>凶兆艦隊の毒殺者</t>
  </si>
  <si>
    <t>夜の華、切苦</t>
  </si>
  <si>
    <t>深海艦隊の船長</t>
  </si>
  <si>
    <t>シルムガルの暗殺者</t>
  </si>
  <si>
    <t>闇の腹心</t>
  </si>
  <si>
    <t>スカースダグの高僧</t>
  </si>
  <si>
    <t>光袖会の収集者</t>
  </si>
  <si>
    <t>苦痛の予見者</t>
  </si>
  <si>
    <t>梅澤俊郎</t>
  </si>
  <si>
    <t>運命の工作員</t>
  </si>
  <si>
    <t>ザスリッドの屍術師</t>
  </si>
  <si>
    <t>不気味な腸卜師</t>
  </si>
  <si>
    <t>狡猾な忘術士</t>
  </si>
  <si>
    <t>墓刃の匪賊</t>
  </si>
  <si>
    <t>モリオックの装具工</t>
  </si>
  <si>
    <t>ガルザの暗殺者</t>
  </si>
  <si>
    <t>凄腕の暗殺者</t>
  </si>
  <si>
    <t>夢盗人</t>
  </si>
  <si>
    <t>宿命のネクロマンサー</t>
  </si>
  <si>
    <t>現し世の裏切り者、禍我</t>
  </si>
  <si>
    <t>墳墓荒らし</t>
  </si>
  <si>
    <t>マルドゥの急襲指揮者</t>
  </si>
  <si>
    <t>アガディームの密教信者</t>
  </si>
  <si>
    <t>バーラ・ゲドの盗賊</t>
  </si>
  <si>
    <t>泥沼煎じの魔女</t>
  </si>
  <si>
    <t>深淵の大魔術師</t>
  </si>
  <si>
    <t>ボーラスの信奉者</t>
  </si>
  <si>
    <t>黄金の呪いのマカール王</t>
  </si>
  <si>
    <t>血の儀式の司祭</t>
  </si>
  <si>
    <t>練達の育種師、エンドレク・サール</t>
  </si>
  <si>
    <t>貴重品室の大魔術師</t>
  </si>
  <si>
    <t>黄金牙、タシグル</t>
  </si>
  <si>
    <t>鏡の大魔術師</t>
  </si>
  <si>
    <t>マリオネットの達人</t>
  </si>
  <si>
    <t>屍術師リム＝ドゥール</t>
  </si>
  <si>
    <t>異端の癒し手、リリアナ</t>
  </si>
  <si>
    <t>反抗する屍術師、リリアナ</t>
  </si>
  <si>
    <t>血に飢えた振起者</t>
  </si>
  <si>
    <t>灰の殉教者</t>
  </si>
  <si>
    <t>アクロスの十字軍</t>
  </si>
  <si>
    <t>ソンバーワルドの自警団</t>
  </si>
  <si>
    <t>コラガンの嵐唱者</t>
  </si>
  <si>
    <t>イロアスの神官</t>
  </si>
  <si>
    <t>ボガーダンの槍騎兵</t>
  </si>
  <si>
    <t>谷を駆ける者</t>
  </si>
  <si>
    <t>流血の家の鎖歩き</t>
  </si>
  <si>
    <t>跳躍の達人</t>
  </si>
  <si>
    <t>火花魔道士の弟子</t>
  </si>
  <si>
    <t>深海艦隊の扇動者</t>
  </si>
  <si>
    <t>ケルドの匪賊</t>
  </si>
  <si>
    <t>内陸の隠遁者</t>
  </si>
  <si>
    <t>内陸の災い魔</t>
  </si>
  <si>
    <t>無謀な炎織り</t>
  </si>
  <si>
    <t>戦に狂える浪人</t>
  </si>
  <si>
    <t>売剣の粗暴者</t>
  </si>
  <si>
    <t>命知らずの群勢</t>
  </si>
  <si>
    <t>火付け射手</t>
  </si>
  <si>
    <t>村の鉄鍛冶</t>
  </si>
  <si>
    <t>鉄牙</t>
  </si>
  <si>
    <t>国境地帯の匪賊</t>
  </si>
  <si>
    <t>熱錬金術師</t>
  </si>
  <si>
    <t>血茨のなじり屋</t>
  </si>
  <si>
    <t>コラガンの野心家</t>
  </si>
  <si>
    <t>霊気追跡者</t>
  </si>
  <si>
    <t>アクームの戦歌い</t>
  </si>
  <si>
    <t>爆弾部隊</t>
  </si>
  <si>
    <t>魔道士輪の暴漢</t>
  </si>
  <si>
    <t>道拓きの修練者</t>
  </si>
  <si>
    <t>性急な太陽追い</t>
  </si>
  <si>
    <t>ティロナーリの騎士</t>
  </si>
  <si>
    <t>クルーインの打撃者</t>
  </si>
  <si>
    <t>高地の狂戦士</t>
  </si>
  <si>
    <t>ネフ一門の鉄球戦士</t>
  </si>
  <si>
    <t>ハンウィアーの槍兵</t>
  </si>
  <si>
    <t>浪人の犬師</t>
  </si>
  <si>
    <t>アクロスの兵長</t>
  </si>
  <si>
    <t>ヴァルショクの心臓焚き</t>
  </si>
  <si>
    <t>アクームの炎探し</t>
  </si>
  <si>
    <t>放蕩紅蓮術士</t>
  </si>
  <si>
    <t>熱血漢の聖戦士</t>
  </si>
  <si>
    <t>尖塔横の潜入者</t>
  </si>
  <si>
    <t>竜魂の騎士</t>
  </si>
  <si>
    <t>アカデミーの略奪者</t>
  </si>
  <si>
    <t>ヴァラクートの発動者</t>
  </si>
  <si>
    <t>バルデュヴィアの蛮族</t>
  </si>
  <si>
    <t>意気がった海賊</t>
  </si>
  <si>
    <t>ヴィティアのとげ刺し</t>
  </si>
  <si>
    <t>暴動の首謀者</t>
  </si>
  <si>
    <t>最前線の反逆者</t>
  </si>
  <si>
    <t>躁の蛮人</t>
  </si>
  <si>
    <t>ヴァルショクの魔術師</t>
  </si>
  <si>
    <t>流動石の媒介者</t>
  </si>
  <si>
    <t>鍛えられた狂戦士</t>
  </si>
  <si>
    <t>エンブロールの歯車砕き</t>
  </si>
  <si>
    <t>跳ね散らす凶漢</t>
  </si>
  <si>
    <t>ギラプールの歯車造り</t>
  </si>
  <si>
    <t>炎の刃のアスカーリ</t>
  </si>
  <si>
    <t>コスの急使</t>
  </si>
  <si>
    <t>既決殺人犯</t>
  </si>
  <si>
    <t>焼き印の咆哮者</t>
  </si>
  <si>
    <t>突撃隊</t>
  </si>
  <si>
    <t>気ままな芸術家</t>
  </si>
  <si>
    <t>鉄面連合の海賊</t>
  </si>
  <si>
    <t>砂岩の戦士</t>
  </si>
  <si>
    <t>霜投げ</t>
  </si>
  <si>
    <t>剣歯虎の先導隊</t>
  </si>
  <si>
    <t>搾取工区の喧嘩屋</t>
  </si>
  <si>
    <t>刃族の狂戦士</t>
  </si>
  <si>
    <t>溶解区の門番</t>
  </si>
  <si>
    <t>鉄面連合の掠め取り</t>
  </si>
  <si>
    <t>狂気の預言者</t>
  </si>
  <si>
    <t>苛まれし最下層民</t>
  </si>
  <si>
    <t>猛り狂う狼男</t>
  </si>
  <si>
    <t>ヴァルショクの狂戦士</t>
  </si>
  <si>
    <t>血の峠の狂戦士</t>
  </si>
  <si>
    <t>峡谷に潜むもの</t>
  </si>
  <si>
    <t>ケルドの矛槍兵</t>
  </si>
  <si>
    <t>蛮族の裂け目切り</t>
  </si>
  <si>
    <t>ガツタフの放火魔</t>
  </si>
  <si>
    <t>ガツタフの荒廃者</t>
  </si>
  <si>
    <t>ギャサンの略奪者</t>
  </si>
  <si>
    <t>風雲艦隊の紅蓮術士</t>
  </si>
  <si>
    <t>浪人の洞守り</t>
  </si>
  <si>
    <t>村の伝書士</t>
  </si>
  <si>
    <t>月の出の侵入者</t>
  </si>
  <si>
    <t>石大工</t>
  </si>
  <si>
    <t>無謀な浮浪者</t>
  </si>
  <si>
    <t>無慈悲な捕食者</t>
  </si>
  <si>
    <t>僧院の速槍</t>
  </si>
  <si>
    <t>発明者の見習い</t>
  </si>
  <si>
    <t>稲妻の狂戦士</t>
  </si>
  <si>
    <t>伍堂の不正規軍</t>
  </si>
  <si>
    <t>勇敢な海賊</t>
  </si>
  <si>
    <t>謙虚な離反者</t>
  </si>
  <si>
    <t>燃えさし鍛冶</t>
  </si>
  <si>
    <t>火拳の打撃者</t>
  </si>
  <si>
    <t>オテペクの猟匠</t>
  </si>
  <si>
    <t>嵐血の狂戦士</t>
  </si>
  <si>
    <t>ケッシグの鍛冶場主</t>
  </si>
  <si>
    <t>炎心の人狼</t>
  </si>
  <si>
    <t>アルタクの求血者</t>
  </si>
  <si>
    <t>戦名を望む者</t>
  </si>
  <si>
    <t>闘技場の競技者</t>
  </si>
  <si>
    <t>風雲艦隊の剣客</t>
  </si>
  <si>
    <t>稲妻のやっかいもの</t>
  </si>
  <si>
    <t>アクームの石覚まし</t>
  </si>
  <si>
    <t>血騎士</t>
  </si>
  <si>
    <t>軍団の伏兵</t>
  </si>
  <si>
    <t>憤怒の織り手</t>
  </si>
  <si>
    <t>競走路の熱狂者</t>
  </si>
  <si>
    <t>若き紅蓮術士</t>
  </si>
  <si>
    <t>真紅の魔道士</t>
  </si>
  <si>
    <t>改革派の炬火</t>
  </si>
  <si>
    <t>狡猾な山賊</t>
  </si>
  <si>
    <t>背信の化身、痣矛奇</t>
  </si>
  <si>
    <t>飛行機械技師</t>
  </si>
  <si>
    <t>羽虫小路の忍び寄る者</t>
  </si>
  <si>
    <t>あふれ出る火焚き</t>
  </si>
  <si>
    <t>天才速製職人</t>
  </si>
  <si>
    <t>硫黄石の魔道士</t>
  </si>
  <si>
    <t>業火の侍祭</t>
  </si>
  <si>
    <t>熱烈の苦悶術師</t>
  </si>
  <si>
    <t>ヴァルショクの難民</t>
  </si>
  <si>
    <t>攻撃の元型</t>
  </si>
  <si>
    <t>ジャンドの戦闘魔道士</t>
  </si>
  <si>
    <t>山崎兄弟</t>
  </si>
  <si>
    <t>狡猾な火花魔道士</t>
  </si>
  <si>
    <t>石揺すりのシャーマン</t>
  </si>
  <si>
    <t>ウラブラスクの僧侶</t>
  </si>
  <si>
    <t>首折れ路の乗り手</t>
  </si>
  <si>
    <t>首折り</t>
  </si>
  <si>
    <t>鞭打ち兵長</t>
  </si>
  <si>
    <t>無謀なレーサー</t>
  </si>
  <si>
    <t>炎語りの達人</t>
  </si>
  <si>
    <t>ハンウィアーの砦守り</t>
  </si>
  <si>
    <t>ハンウィアーの災い</t>
  </si>
  <si>
    <t>アクロスの戦線砕き</t>
  </si>
  <si>
    <t>改革派の霊気砲手</t>
  </si>
  <si>
    <t>ケッシグの不満分子</t>
  </si>
  <si>
    <t>コラガンの先陣</t>
  </si>
  <si>
    <t>炎套の魔道士</t>
  </si>
  <si>
    <t>ケラノスの嵐呼び</t>
  </si>
  <si>
    <t>稲妻織り</t>
  </si>
  <si>
    <t>激しい抵抗の模範</t>
  </si>
  <si>
    <t>スカースダグの信者</t>
  </si>
  <si>
    <t>沸血の処罰者</t>
  </si>
  <si>
    <t>ウォジェクの燃えさし魔道士</t>
  </si>
  <si>
    <t>襲拳会の扉破り</t>
  </si>
  <si>
    <t>心酔させる勝者</t>
  </si>
  <si>
    <t>屑鉄会の勇者</t>
  </si>
  <si>
    <t>落とし子の守り手</t>
  </si>
  <si>
    <t>堕ちたる鉄術士</t>
  </si>
  <si>
    <t>帝国の先駆け</t>
  </si>
  <si>
    <t>らせんの決闘者</t>
  </si>
  <si>
    <t>バルデュヴィアの大将軍</t>
  </si>
  <si>
    <t>マルドゥの心臓貫き</t>
  </si>
  <si>
    <t>苦悩の脱走者</t>
  </si>
  <si>
    <t>狼男の荒らし屋</t>
  </si>
  <si>
    <t>アクロスの徴兵人</t>
  </si>
  <si>
    <t>熊野の学徒</t>
  </si>
  <si>
    <t>浪人の崖乗り</t>
  </si>
  <si>
    <t>無政府主義者</t>
  </si>
  <si>
    <t>憤怒を投げる者</t>
  </si>
  <si>
    <t>ムラーサの紅蓮術士</t>
  </si>
  <si>
    <t>二の足踏みのノリン</t>
  </si>
  <si>
    <t>巻物の大魔術師</t>
  </si>
  <si>
    <t>渋面の溶岩使い</t>
  </si>
  <si>
    <t>損魂魔道士</t>
  </si>
  <si>
    <t>過酷な指導者</t>
  </si>
  <si>
    <t>航空船を強襲する者、カーリ・ゼヴ</t>
  </si>
  <si>
    <t>灰の盲信者</t>
  </si>
  <si>
    <t>ケラル砦の修道院長</t>
  </si>
  <si>
    <t>ティロナーリの召喚士</t>
  </si>
  <si>
    <t>凶兆艦隊の向こう見ず</t>
  </si>
  <si>
    <t>ガイアー岬の山賊</t>
  </si>
  <si>
    <t>ヴィルディン群れの頭目</t>
  </si>
  <si>
    <t>クルーインの無法者</t>
  </si>
  <si>
    <t>クルーイン峡の恐怖</t>
  </si>
  <si>
    <t>ティロナーリの肌変わり</t>
  </si>
  <si>
    <t>瘡蓋族の狂戦士</t>
  </si>
  <si>
    <t>特務魔道士ヤヤ・バラード</t>
  </si>
  <si>
    <t>月の大魔術師</t>
  </si>
  <si>
    <t>ピア・ナラー</t>
  </si>
  <si>
    <t>風雲船長ラネリー</t>
  </si>
  <si>
    <t>死に微笑むもの、アリーシャ</t>
  </si>
  <si>
    <t>ハンウィアー守備隊</t>
  </si>
  <si>
    <t>のたうつ居住区、ハンウィアー</t>
  </si>
  <si>
    <t>扇動する集団</t>
  </si>
  <si>
    <t>野生の血の群れ</t>
  </si>
  <si>
    <t>速製職人の反逆者</t>
  </si>
  <si>
    <t>卑血の芙巳子</t>
  </si>
  <si>
    <t>迷宮の勇者</t>
  </si>
  <si>
    <t>ピア・ナラーとキラン・ナラー</t>
  </si>
  <si>
    <t>ラッカ・マー</t>
  </si>
  <si>
    <t>蠱惑的な船員</t>
  </si>
  <si>
    <t>モンドロネンのシャーマン</t>
  </si>
  <si>
    <t>トヴォラーの魔道士狩り</t>
  </si>
  <si>
    <t>非情なる飯塚</t>
  </si>
  <si>
    <t>龍流派の双子</t>
  </si>
  <si>
    <t>運命の盗人</t>
  </si>
  <si>
    <t>山伏の長、熊野</t>
  </si>
  <si>
    <t>士気溢れる徴集兵</t>
  </si>
  <si>
    <t>冷眼のロヴィサ</t>
  </si>
  <si>
    <t>ヴァルショクの戦場の達人</t>
  </si>
  <si>
    <t>炎駆の乗り手</t>
  </si>
  <si>
    <t>ピット・ファイター、カマール</t>
  </si>
  <si>
    <t>山賊の頭、伍堂</t>
  </si>
  <si>
    <t>闘技場の大魔術師</t>
  </si>
  <si>
    <t>上位の人間、焔村</t>
  </si>
  <si>
    <t>焔村の本質</t>
  </si>
  <si>
    <t>アングラスの匪賊</t>
  </si>
  <si>
    <t>竜使いののけ者</t>
  </si>
  <si>
    <t>龍を操る者</t>
  </si>
  <si>
    <t>カルガの竜王</t>
  </si>
  <si>
    <t>予言の炎語り</t>
  </si>
  <si>
    <t>戦闘の祝賀者</t>
  </si>
  <si>
    <t>カラデシュの火、チャンドラ</t>
  </si>
  <si>
    <t>燃え盛る炎、チャンドラ</t>
  </si>
  <si>
    <t>荒くれ船員</t>
  </si>
  <si>
    <t>オキシド峠の英雄</t>
  </si>
  <si>
    <t>稲妻駆け</t>
  </si>
  <si>
    <t>アヴァシンの巡礼者</t>
  </si>
  <si>
    <t>族樹の管理人</t>
  </si>
  <si>
    <t>オアシュラの耕作者</t>
  </si>
  <si>
    <t>戦墓の随員</t>
  </si>
  <si>
    <t>鱗の召使い</t>
  </si>
  <si>
    <t>樹海の伝書士</t>
  </si>
  <si>
    <t>名高い織り手</t>
  </si>
  <si>
    <t>スカルガンの穴潜み</t>
  </si>
  <si>
    <t>胞子の殉教者</t>
  </si>
  <si>
    <t>岐路の聖別者</t>
  </si>
  <si>
    <t>確約の神主</t>
  </si>
  <si>
    <t>シミックの信徒</t>
  </si>
  <si>
    <t>軽蔑された村人</t>
  </si>
  <si>
    <t>月傷の狼男</t>
  </si>
  <si>
    <t>盾を持つ守護者</t>
  </si>
  <si>
    <t>屈強な古参兵</t>
  </si>
  <si>
    <t>ファーディヤーの予見者</t>
  </si>
  <si>
    <t>謙虚な武道家</t>
  </si>
  <si>
    <t>原初のドルイド</t>
  </si>
  <si>
    <t>アタルカの獣壊し</t>
  </si>
  <si>
    <t>イクサーリの守り手</t>
  </si>
  <si>
    <t>森林地の先達</t>
  </si>
  <si>
    <t>内陸の木こり</t>
  </si>
  <si>
    <t>森林を切り裂くもの</t>
  </si>
  <si>
    <t>シルヴォクの開拓者</t>
  </si>
  <si>
    <t>オラン＝リーフの生き残り</t>
  </si>
  <si>
    <t>荒野の囁く者</t>
  </si>
  <si>
    <t>イクサーリの卜占師</t>
  </si>
  <si>
    <t>ベラドンナの行商人</t>
  </si>
  <si>
    <t>煙の語り部</t>
  </si>
  <si>
    <t>ロナスの重鎮</t>
  </si>
  <si>
    <t>オラン＝リーフの発動者</t>
  </si>
  <si>
    <t>旧き道の信奉者</t>
  </si>
  <si>
    <t>宮廷の射手</t>
  </si>
  <si>
    <t>斧折りの守護者</t>
  </si>
  <si>
    <t>森林の巡回者</t>
  </si>
  <si>
    <t>信頼厚き腕力魔道士</t>
  </si>
  <si>
    <t>シタヌールの樹木読み</t>
  </si>
  <si>
    <t>エストワルドの村人</t>
  </si>
  <si>
    <t>エストワルドの吠え群れ</t>
  </si>
  <si>
    <t>裏道の急使</t>
  </si>
  <si>
    <t>国境地帯のレインジャー</t>
  </si>
  <si>
    <t>彼方の工作員</t>
  </si>
  <si>
    <t>マトカの暴動者</t>
  </si>
  <si>
    <t>冷静な建築家</t>
  </si>
  <si>
    <t>聖鐘の僧団</t>
  </si>
  <si>
    <t>グルールの潰し屋</t>
  </si>
  <si>
    <t>暴走の騎士</t>
  </si>
  <si>
    <t>孤独な狩人</t>
  </si>
  <si>
    <t>群れの一員</t>
  </si>
  <si>
    <t>剛胆な補給兵</t>
  </si>
  <si>
    <t>灰色革の狩人</t>
  </si>
  <si>
    <t>セテッサの星砕き</t>
  </si>
  <si>
    <t>石蒔きの秘儀司祭</t>
  </si>
  <si>
    <t>森林の捜索者</t>
  </si>
  <si>
    <t>信条の戦士</t>
  </si>
  <si>
    <t>辺境林の生存者</t>
  </si>
  <si>
    <t>翁神社の夜警</t>
  </si>
  <si>
    <t>灰毛ののけ者</t>
  </si>
  <si>
    <t>爪の群れののけ者</t>
  </si>
  <si>
    <t>霊の罠師</t>
  </si>
  <si>
    <t>大槌の接合者</t>
  </si>
  <si>
    <t>実験体</t>
  </si>
  <si>
    <t>土地守</t>
  </si>
  <si>
    <t>小村の隊長</t>
  </si>
  <si>
    <t>ラムホルトの平和主義者</t>
  </si>
  <si>
    <t>ラムホルトの解体者</t>
  </si>
  <si>
    <t>バーラ・ゲドの獣壊し</t>
  </si>
  <si>
    <t>ガツタフの羊飼い</t>
  </si>
  <si>
    <t>ガツタフの咆哮者</t>
  </si>
  <si>
    <t>優雅の集積者</t>
  </si>
  <si>
    <t>荒野の後継者</t>
  </si>
  <si>
    <t>隠れた薬草医</t>
  </si>
  <si>
    <t>翡翠の魔道士</t>
  </si>
  <si>
    <t>鱗衛兵の歩哨</t>
  </si>
  <si>
    <t>大物群れの操り手</t>
  </si>
  <si>
    <t>力の織り手</t>
  </si>
  <si>
    <t>希望守り</t>
  </si>
  <si>
    <t>バサーラ塔の弓兵</t>
  </si>
  <si>
    <t>古参の聖戦士</t>
  </si>
  <si>
    <t>薄暮見の徴募兵</t>
  </si>
  <si>
    <t>爪の群れの咆哮者</t>
  </si>
  <si>
    <t>偏執的な皮剥ぎ人</t>
  </si>
  <si>
    <t>生命鍛冶</t>
  </si>
  <si>
    <t>活力の模範</t>
  </si>
  <si>
    <t>永遠の証人</t>
  </si>
  <si>
    <t>アナの戦闘魔道士</t>
  </si>
  <si>
    <t>牙守りの隊長</t>
  </si>
  <si>
    <t>襲拳会の革命家</t>
  </si>
  <si>
    <t>草原のドルイド僧</t>
  </si>
  <si>
    <t>ヴァレロンの管理人</t>
  </si>
  <si>
    <t>アゾカンの射手</t>
  </si>
  <si>
    <t>ムウォンヴーリーの獣記し</t>
  </si>
  <si>
    <t>ナッターノールズの隠遁者</t>
  </si>
  <si>
    <t>ナッターノールズの一匹狼</t>
  </si>
  <si>
    <t>覚醒のドルイド</t>
  </si>
  <si>
    <t>ヤヴィマヤの女魔術師</t>
  </si>
  <si>
    <t>戦利品狩り</t>
  </si>
  <si>
    <t>トーパの苦行者</t>
  </si>
  <si>
    <t>邪悪の使者</t>
  </si>
  <si>
    <t>塩路補給部隊</t>
  </si>
  <si>
    <t>増麻呂の末裔</t>
  </si>
  <si>
    <t>ラムホルトの古老</t>
  </si>
  <si>
    <t>銀皮の狼男</t>
  </si>
  <si>
    <t>熱心な回収者</t>
  </si>
  <si>
    <t>武道家の学徒</t>
  </si>
  <si>
    <t>樫倒しの伊馳我</t>
  </si>
  <si>
    <t>ナヤの戦闘魔道士</t>
  </si>
  <si>
    <t>フェメレフの射手</t>
  </si>
  <si>
    <t>ムラーサのレインジャー</t>
  </si>
  <si>
    <t>茨橋の巡回兵</t>
  </si>
  <si>
    <t>永遠の荒野の模範</t>
  </si>
  <si>
    <t>生命の接合者</t>
  </si>
  <si>
    <t>鼓声狩人</t>
  </si>
  <si>
    <t>長老たちの車座</t>
  </si>
  <si>
    <t>ウルヴェンワルドの神秘家</t>
  </si>
  <si>
    <t>ウルヴェンワルドの根源</t>
  </si>
  <si>
    <t>ケイラメトラの侍祭</t>
  </si>
  <si>
    <t>アブザンの族護衛</t>
  </si>
  <si>
    <t>村の生き残り</t>
  </si>
  <si>
    <t>上弦の月の教団</t>
  </si>
  <si>
    <t>メリーラの守り手</t>
  </si>
  <si>
    <t>名誉ある教主</t>
  </si>
  <si>
    <t>ぶどう園の大魔術師</t>
  </si>
  <si>
    <t>ウルヴェンワルドの足跡追い</t>
  </si>
  <si>
    <t>造命の賢者、オビア・パースリー</t>
  </si>
  <si>
    <t>レイナ塔の英雄</t>
  </si>
  <si>
    <t>燭台の大魔術師</t>
  </si>
  <si>
    <t>狼に噛まれた囚人</t>
  </si>
  <si>
    <t>爪の群れの殺人者</t>
  </si>
  <si>
    <t>貴族の教主</t>
  </si>
  <si>
    <t>シルヴォクののけ者、メリーラ</t>
  </si>
  <si>
    <t>爪鳴らしの神秘家</t>
  </si>
  <si>
    <t>アヴァブルックの町長</t>
  </si>
  <si>
    <t>吠え群れの頭目</t>
  </si>
  <si>
    <t>カザンドゥの牙呼び</t>
  </si>
  <si>
    <t>図書館の大魔術師</t>
  </si>
  <si>
    <t>武道家の庭師</t>
  </si>
  <si>
    <t>生命の織り手、土塊</t>
  </si>
  <si>
    <t>棲み家の防御者</t>
  </si>
  <si>
    <t>ヘイラバズのドルイド</t>
  </si>
  <si>
    <t>肌変わり</t>
  </si>
  <si>
    <t>錯乱したのけ者</t>
  </si>
  <si>
    <t>死天狗茸の栽培者</t>
  </si>
  <si>
    <t>媒介者の修練者</t>
  </si>
  <si>
    <t>放浪の吟遊詩人、イーサーン</t>
  </si>
  <si>
    <t>落葉の道三</t>
  </si>
  <si>
    <t>ソンバーワルドの賢者</t>
  </si>
  <si>
    <t>エムラクールの福音者</t>
  </si>
  <si>
    <t>月桂樹の古老</t>
  </si>
  <si>
    <t>ラムホルトの勇者</t>
  </si>
  <si>
    <t>不屈の追跡者</t>
  </si>
  <si>
    <t>恭しき狩人</t>
  </si>
  <si>
    <t>迷える探求者、梓</t>
  </si>
  <si>
    <t>夜明けのレインジャー</t>
  </si>
  <si>
    <t>黄昏の捕食者</t>
  </si>
  <si>
    <t>龍爪のヤソヴァ</t>
  </si>
  <si>
    <t>神河の歴史、暦記</t>
  </si>
  <si>
    <t>新緑の女魔術師</t>
  </si>
  <si>
    <t>悟りの武士、勲雄</t>
  </si>
  <si>
    <t>野生の獣使い</t>
  </si>
  <si>
    <t>素拳の岩守</t>
  </si>
  <si>
    <t>狩猟の統率者、スーラク</t>
  </si>
  <si>
    <t>皇帝の先兵</t>
  </si>
  <si>
    <t>ケッシグの檻破り</t>
  </si>
  <si>
    <t>古き知恵の賢者</t>
  </si>
  <si>
    <t>古き飢えの人狼</t>
  </si>
  <si>
    <t>セテッサの英雄、アンソーザ</t>
  </si>
  <si>
    <t>クローサの拳バルー</t>
  </si>
  <si>
    <t>ティムールの戦巫師</t>
  </si>
  <si>
    <t>巨術士</t>
  </si>
  <si>
    <t>始まりの木の管理人</t>
  </si>
  <si>
    <t>失われた業の巫師</t>
  </si>
  <si>
    <t>野生の狩りの達人</t>
  </si>
  <si>
    <t>返済代理人</t>
  </si>
  <si>
    <t>エーテル階級の騎士</t>
  </si>
  <si>
    <t>器用な決闘者</t>
  </si>
  <si>
    <t>妨害の公使</t>
  </si>
  <si>
    <t>軽騎兵の巡視部隊</t>
  </si>
  <si>
    <t>隠れ潜む密通者</t>
  </si>
  <si>
    <t>死教団のならず者</t>
  </si>
  <si>
    <t>意思切る者</t>
  </si>
  <si>
    <t>ヴェクティスの工作員</t>
  </si>
  <si>
    <t>ラクドスの切り刻み教徒</t>
  </si>
  <si>
    <t>野生の朗詠者</t>
  </si>
  <si>
    <t>ザル＝ターのドルイド</t>
  </si>
  <si>
    <t>炎樹族の使者</t>
  </si>
  <si>
    <t>切り裂き隊の壊し屋</t>
  </si>
  <si>
    <t>瘡蓋族のやっかい者</t>
  </si>
  <si>
    <t>ヴァレロンの異国者</t>
  </si>
  <si>
    <t>ヴァレロンに仕える者</t>
  </si>
  <si>
    <t>ヴェクティスの威圧者</t>
  </si>
  <si>
    <t>イゼットの時術師</t>
  </si>
  <si>
    <t>雷楽のラッパ吹き</t>
  </si>
  <si>
    <t>ウォジェクの矛槍兵</t>
  </si>
  <si>
    <t>空騎士の軍団兵</t>
  </si>
  <si>
    <t>甲虫体の魔道士</t>
  </si>
  <si>
    <t>風生みの魔道士</t>
  </si>
  <si>
    <t>バントの信刃</t>
  </si>
  <si>
    <t>バントの滞留者</t>
  </si>
  <si>
    <t>雪角の乗り手</t>
  </si>
  <si>
    <t>アブザンの先達</t>
  </si>
  <si>
    <t>戦識の重装歩兵</t>
  </si>
  <si>
    <t>新プラーフのギルド魔道士</t>
  </si>
  <si>
    <t>ジェスの軟膏使い</t>
  </si>
  <si>
    <t>反射魔道士</t>
  </si>
  <si>
    <t>アゾリウスの霊気魔道士</t>
  </si>
  <si>
    <t>リーヴの空騎士</t>
  </si>
  <si>
    <t>尖塔の巡回員</t>
  </si>
  <si>
    <t>空の軽騎兵</t>
  </si>
  <si>
    <t>雲先案内人</t>
  </si>
  <si>
    <t>ディミーアのギルド魔道士</t>
  </si>
  <si>
    <t>影嵐の侍臣</t>
  </si>
  <si>
    <t>欺瞞の信奉者</t>
  </si>
  <si>
    <t>ダスクマントルのギルド魔道士</t>
  </si>
  <si>
    <t>思考切りの工作員</t>
  </si>
  <si>
    <t>破滅小径の仲介人</t>
  </si>
  <si>
    <t>巧射艦隊の喧嘩屋</t>
  </si>
  <si>
    <t>巧射艦隊の略取者</t>
  </si>
  <si>
    <t>リックス・マーディのギルド魔道士</t>
  </si>
  <si>
    <t>血の信者</t>
  </si>
  <si>
    <t>速接会の技師</t>
  </si>
  <si>
    <t>グルールのギルド魔道士</t>
  </si>
  <si>
    <t>通電の喧嘩屋</t>
  </si>
  <si>
    <t>スカルグのギルド魔道士</t>
  </si>
  <si>
    <t>ヴィティアの背教者</t>
  </si>
  <si>
    <t>執拗な狩人</t>
  </si>
  <si>
    <t>城塞の主</t>
  </si>
  <si>
    <t>アゾカンの予見者</t>
  </si>
  <si>
    <t>改革派の結集者</t>
  </si>
  <si>
    <t>アン一門の勇者</t>
  </si>
  <si>
    <t>柏槙教団のレインジャー</t>
  </si>
  <si>
    <t>刃の隊長</t>
  </si>
  <si>
    <t>カルテルの貴種</t>
  </si>
  <si>
    <t>鱗の隊長</t>
  </si>
  <si>
    <t>オルゾフのギルド魔道士</t>
  </si>
  <si>
    <t>死の国の造幣工</t>
  </si>
  <si>
    <t>ヴィズコーパのギルド魔道士</t>
  </si>
  <si>
    <t>罪の収集者</t>
  </si>
  <si>
    <t>機械修復職人</t>
  </si>
  <si>
    <t>ヴィズコーパの聴罪司祭</t>
  </si>
  <si>
    <t>仮面の工作員</t>
  </si>
  <si>
    <t>嵐追いの魔道士</t>
  </si>
  <si>
    <t>ニヴィックスのギルド魔道士</t>
  </si>
  <si>
    <t>イゼットのギルド魔道士</t>
  </si>
  <si>
    <t>風雲艦隊の疾走者</t>
  </si>
  <si>
    <t>イゼットの静電術師</t>
  </si>
  <si>
    <t>隠棲した工匠</t>
  </si>
  <si>
    <t>無法の物あさり</t>
  </si>
  <si>
    <t>異端の飛行機械職人</t>
  </si>
  <si>
    <t>気絶の狙撃者</t>
  </si>
  <si>
    <t>ボロスのギルド魔道士</t>
  </si>
  <si>
    <t>アクロスの重装歩兵</t>
  </si>
  <si>
    <t>ボロスの速太刀</t>
  </si>
  <si>
    <t>真火の聖騎士</t>
  </si>
  <si>
    <t>名誉ある門長</t>
  </si>
  <si>
    <t>サンホームのギルド魔道士</t>
  </si>
  <si>
    <t>武器の教練者</t>
  </si>
  <si>
    <t>イロアスの勇者</t>
  </si>
  <si>
    <t>毅然たる生き残り</t>
  </si>
  <si>
    <t>毅然たる刃の達人</t>
  </si>
  <si>
    <t>ジェスの浸透者</t>
  </si>
  <si>
    <t>ならず者の精製屋</t>
  </si>
  <si>
    <t>天望の預言者</t>
  </si>
  <si>
    <t>熊の仲間</t>
  </si>
  <si>
    <t>軍備部隊</t>
  </si>
  <si>
    <t>ナクタムンの侍臣、テムメト</t>
  </si>
  <si>
    <t>翻弄する魔道士</t>
  </si>
  <si>
    <t>成金、グヮファ・ハジード</t>
  </si>
  <si>
    <t>メレティスのダクソス</t>
  </si>
  <si>
    <t>アウグスティン四世大判事</t>
  </si>
  <si>
    <t>第10管区のラヴィニア</t>
  </si>
  <si>
    <t>アゾールの雄弁家</t>
  </si>
  <si>
    <t>高位の秘儀術師、イス</t>
  </si>
  <si>
    <t>影魔道士の浸透者</t>
  </si>
  <si>
    <t>人質取り</t>
  </si>
  <si>
    <t>概念泥棒</t>
  </si>
  <si>
    <t>ディミーアの脳外科医、シアクー</t>
  </si>
  <si>
    <t>血の魔女リゾルダ</t>
  </si>
  <si>
    <t>ラクドスの穴開け魔道士</t>
  </si>
  <si>
    <t>ラクドスの血魔女、イクサヴァ</t>
  </si>
  <si>
    <t>無慈悲なる者ケアヴェク</t>
  </si>
  <si>
    <t>瓦礫帯の略奪者</t>
  </si>
  <si>
    <t>サッフィー・エリクスドッター</t>
  </si>
  <si>
    <t>結び蔦の聖騎士</t>
  </si>
  <si>
    <t>聖遺の騎士</t>
  </si>
  <si>
    <t>古参の戦導者</t>
  </si>
  <si>
    <t>優雅な鷺の勇者</t>
  </si>
  <si>
    <t>新たなアラーラの騎士</t>
  </si>
  <si>
    <t>贖罪の高僧</t>
  </si>
  <si>
    <t>オルゾフの司教</t>
  </si>
  <si>
    <t>オルゾフの御曹子、テイサ</t>
  </si>
  <si>
    <t>配分の領事、カンバール</t>
  </si>
  <si>
    <t>運命の三人組</t>
  </si>
  <si>
    <t>幽霊の特使、テイサ</t>
  </si>
  <si>
    <t>ギトゥのジョイラ</t>
  </si>
  <si>
    <t>ティボーとルミア</t>
  </si>
  <si>
    <t>気紛れな薬術師</t>
  </si>
  <si>
    <t>毒物の侍臣、ハパチラ</t>
  </si>
  <si>
    <t>アナックスとサイミーディ</t>
  </si>
  <si>
    <t>軍勢の刃、タージク</t>
  </si>
  <si>
    <t>ウォジェクの古参兵、アグルス・コス</t>
  </si>
  <si>
    <t>覇者、ジョー・カディーン</t>
  </si>
  <si>
    <t>育殻組のヴォレル</t>
  </si>
  <si>
    <t>先端生物学者</t>
  </si>
  <si>
    <t>水深の魔道士</t>
  </si>
  <si>
    <t>クルフィックスの預言者</t>
  </si>
  <si>
    <t>結界師ズアー</t>
  </si>
  <si>
    <t>工匠の神童、ミシュラ</t>
  </si>
  <si>
    <t>黄金塔の報復者</t>
  </si>
  <si>
    <t>カマキリの乗り手</t>
  </si>
  <si>
    <t>不可侵議員</t>
  </si>
  <si>
    <t>ギサとゲラルフ</t>
  </si>
  <si>
    <t>高原の狩りの達人</t>
  </si>
  <si>
    <t>高原の荒廃者</t>
  </si>
  <si>
    <t>造反の代弁者、サムト</t>
  </si>
  <si>
    <t>爪の群れのウルリッチ</t>
  </si>
  <si>
    <t>揺るぎない頭目、ウルリッチ</t>
  </si>
  <si>
    <t>残忍な剥ぎ取り</t>
  </si>
  <si>
    <t>センの三つ子</t>
  </si>
  <si>
    <t>鉄面提督ベケット</t>
  </si>
  <si>
    <t>血編み髪のクレシュ</t>
  </si>
  <si>
    <t>数多のラフィーク</t>
  </si>
  <si>
    <t>悟った達人、ナーセット</t>
  </si>
  <si>
    <t>龍爪のスーラク</t>
  </si>
  <si>
    <t>先頭に立つもの、アナフェンザ</t>
  </si>
  <si>
    <t>スカウト(Scout)</t>
  </si>
  <si>
    <t>兵士(Soldier)</t>
  </si>
  <si>
    <t>ウィザード(Wizard)</t>
  </si>
  <si>
    <t>レベル(Rebel)</t>
  </si>
  <si>
    <t>クレリック(Cleric)</t>
  </si>
  <si>
    <t>騎士(Knight)</t>
  </si>
  <si>
    <t>戦士(Warrior)</t>
  </si>
  <si>
    <t>侍(Samurai)</t>
  </si>
  <si>
    <t>狂戦士(Berserker)</t>
  </si>
  <si>
    <t>モンク(Monk)</t>
  </si>
  <si>
    <t>アドバイザー(Advisor)</t>
  </si>
  <si>
    <t>同盟者(Ally)</t>
  </si>
  <si>
    <t>射手(Archer)</t>
  </si>
  <si>
    <t>スペルシェイパー(Spellshaper)</t>
  </si>
  <si>
    <t>工匠(Artificer)</t>
  </si>
  <si>
    <t>ホラー(Horror)</t>
  </si>
  <si>
    <t>ミュータント(Mutant)</t>
  </si>
  <si>
    <t>ドルイド(Druid)</t>
  </si>
  <si>
    <t>操縦士(Pilot)</t>
  </si>
  <si>
    <t>ノーマッド(Nomad)</t>
  </si>
  <si>
    <t>アバター(Avatar)</t>
  </si>
  <si>
    <t>海賊(Pirate)</t>
  </si>
  <si>
    <t>ならず者(Rogue)</t>
  </si>
  <si>
    <t>忍者(Ninja)</t>
  </si>
  <si>
    <t>魚(Fish)</t>
  </si>
  <si>
    <t>昆虫(Insect)</t>
  </si>
  <si>
    <t>シャーマン(Shaman)</t>
  </si>
  <si>
    <t>暗殺者(Assassin)</t>
  </si>
  <si>
    <t>傭兵(Mercenary)</t>
  </si>
  <si>
    <t>装具工(Rigger)</t>
  </si>
  <si>
    <t>狼男(Werewolf)</t>
  </si>
  <si>
    <t>バーバリアン(Barbarian)</t>
  </si>
  <si>
    <t>ウーズ(Ooze)</t>
  </si>
  <si>
    <t>マーフォーク(Merfolk)</t>
  </si>
  <si>
    <t>クリーチャー</t>
  </si>
  <si>
    <t>人間(Human)</t>
  </si>
  <si>
    <t>アーティファクト・クリーチャー</t>
  </si>
  <si>
    <t>クリーチャー・エンチャント</t>
  </si>
  <si>
    <t>伝説のクリーチャー</t>
  </si>
  <si>
    <t>伝説のアーティファクト・クリーチャー</t>
  </si>
  <si>
    <t>スピリット(Spirit)</t>
  </si>
  <si>
    <t>エルドラージ(Eldrazi)</t>
  </si>
  <si>
    <t>なくたむんのじしんてむめと</t>
  </si>
  <si>
    <t>ほんろうするまどうし</t>
  </si>
  <si>
    <t>なりきんぐゎふぁはじーど</t>
  </si>
  <si>
    <t>めれてぃすのだくそす</t>
  </si>
  <si>
    <t>あうぐすてぃんよんせいだいはんじ</t>
  </si>
  <si>
    <t>だいじゅうかんくのらう゛ぃにあ</t>
  </si>
  <si>
    <t>あぞーるのゆうべんか</t>
  </si>
  <si>
    <t>こういのひぎじゅつしいす</t>
  </si>
  <si>
    <t>かげまどうしのしんとうしゃ</t>
  </si>
  <si>
    <t>ひとじちとり</t>
  </si>
  <si>
    <t>がいねんどろぼう</t>
  </si>
  <si>
    <t>でぃみーあののうげかいしあくー</t>
  </si>
  <si>
    <t>ちのまじょりぞるだ</t>
  </si>
  <si>
    <t>らくどすのあなあけまどうし</t>
  </si>
  <si>
    <t>らくどすのちまじょいくさう゛ぁ</t>
  </si>
  <si>
    <t>むじひなるものけあう゛ぇく</t>
  </si>
  <si>
    <t>がれきたいのりゃくだつしゃ</t>
  </si>
  <si>
    <t>さっふぃーえりくすどったー</t>
  </si>
  <si>
    <t>むすびづたのせいきし</t>
  </si>
  <si>
    <t>せいいのきし</t>
  </si>
  <si>
    <t>こさんのせんどうしゃ</t>
  </si>
  <si>
    <t>ゆうがなさぎのゆうしゃ</t>
  </si>
  <si>
    <t>あらたなあらーらのきし</t>
  </si>
  <si>
    <t>しょくざいのこうそう</t>
  </si>
  <si>
    <t>おるぞふのしきょう</t>
  </si>
  <si>
    <t>おるぞふのおんぞうしていさ</t>
  </si>
  <si>
    <t>はいぶんのりょうじかんばーる</t>
  </si>
  <si>
    <t>うんめいのさんにんぐみ</t>
  </si>
  <si>
    <t>ゆうれいのとくしていさ</t>
  </si>
  <si>
    <t>ぎとぅのじょいら</t>
  </si>
  <si>
    <t>てぃぼーとるみあ</t>
  </si>
  <si>
    <t>きまぐれなやくじゅつし</t>
  </si>
  <si>
    <t>どくぶつのじしんはぱちら</t>
  </si>
  <si>
    <t>あなっくすとさいみーでぃ</t>
  </si>
  <si>
    <t>ぐんぜいのはたーじく</t>
  </si>
  <si>
    <t>うぉじぇくのこさんへいあぐるすこす</t>
  </si>
  <si>
    <t>はしゃじょーかでぃーん</t>
  </si>
  <si>
    <t>いくかくぐみのう゛ぉれる</t>
  </si>
  <si>
    <t>せんたんせいぶつがくしゃ</t>
  </si>
  <si>
    <t>すいしんのまどうし</t>
  </si>
  <si>
    <t>くるふぃっくすのよげんしゃ</t>
  </si>
  <si>
    <t>けっかいしずあー</t>
  </si>
  <si>
    <t>こうしょうのしんどうみしゅら</t>
  </si>
  <si>
    <t>おうごんとうのほうふくしゃ</t>
  </si>
  <si>
    <t>かまきりののりて</t>
  </si>
  <si>
    <t>ふかしんぎいん</t>
  </si>
  <si>
    <t>ぎさとげらるふ</t>
  </si>
  <si>
    <t>こうげんのかりのたつじん</t>
  </si>
  <si>
    <t>こうげんのこうはいしゃ</t>
  </si>
  <si>
    <t>ぞうはんのだいべんしゃさむと</t>
  </si>
  <si>
    <t>つめのむれのうるりっち</t>
  </si>
  <si>
    <t>ゆるぎないとうもくうるりっち</t>
  </si>
  <si>
    <t>ざんにんなはぎとり</t>
  </si>
  <si>
    <t>せんのみつご</t>
  </si>
  <si>
    <t>てつめんていとくべけっと</t>
  </si>
  <si>
    <t>ちあみがみのくれしゅ</t>
  </si>
  <si>
    <t>あまたのらふぃーく</t>
  </si>
  <si>
    <t>さとったたつじんなーせっと</t>
  </si>
  <si>
    <t>りゅうそうのすーらく</t>
  </si>
  <si>
    <t>せんとうにたつものあなふぇんざ</t>
  </si>
  <si>
    <t>〔黒〕</t>
  </si>
  <si>
    <t>〔黒〕</t>
    <phoneticPr fontId="2"/>
  </si>
  <si>
    <t>クリーチャー</t>
    <phoneticPr fontId="2"/>
  </si>
  <si>
    <t>〔白〕</t>
    <phoneticPr fontId="2"/>
  </si>
  <si>
    <t xml:space="preserve">クリーチャー </t>
  </si>
  <si>
    <r>
      <t>兵士</t>
    </r>
    <r>
      <rPr>
        <sz val="10"/>
        <color rgb="FF000000"/>
        <rFont val="Arial Unicode MS"/>
        <family val="2"/>
      </rPr>
      <t>(Soldier)</t>
    </r>
  </si>
  <si>
    <r>
      <rPr>
        <sz val="10"/>
        <color rgb="FF000000"/>
        <rFont val="ＭＳ Ｐゴシック"/>
        <family val="3"/>
        <charset val="128"/>
      </rPr>
      <t>人間</t>
    </r>
    <r>
      <rPr>
        <sz val="10"/>
        <color rgb="FF000000"/>
        <rFont val="Arial Unicode MS"/>
        <family val="2"/>
      </rPr>
      <t>(Human)</t>
    </r>
    <phoneticPr fontId="2"/>
  </si>
  <si>
    <t>ゾンビ(Zombie)</t>
    <phoneticPr fontId="2"/>
  </si>
  <si>
    <t>〔赤〕</t>
  </si>
  <si>
    <t>〔赤〕</t>
    <phoneticPr fontId="2"/>
  </si>
  <si>
    <t xml:space="preserve"> 人間(Human)</t>
  </si>
  <si>
    <t xml:space="preserve">伝説のプレインズウォーカー </t>
  </si>
  <si>
    <r>
      <rPr>
        <sz val="10"/>
        <color rgb="FF000000"/>
        <rFont val="ＭＳ Ｐゴシック"/>
        <family val="3"/>
        <charset val="128"/>
      </rPr>
      <t>ギデオン</t>
    </r>
    <r>
      <rPr>
        <sz val="10"/>
        <color rgb="FF000000"/>
        <rFont val="Arial Unicode MS"/>
        <family val="2"/>
      </rPr>
      <t>(Gideon)</t>
    </r>
    <phoneticPr fontId="2"/>
  </si>
  <si>
    <t>〔青〕</t>
    <phoneticPr fontId="2"/>
  </si>
  <si>
    <t>ジェイス(Jace)</t>
    <phoneticPr fontId="2"/>
  </si>
  <si>
    <t xml:space="preserve">エンチャント </t>
  </si>
  <si>
    <t>呪い(Curse)</t>
  </si>
  <si>
    <t>オーラ(Aura)</t>
    <phoneticPr fontId="2"/>
  </si>
  <si>
    <t>リリアナ(Liliana)</t>
    <phoneticPr fontId="2"/>
  </si>
  <si>
    <t>チャンドラ(Chandra)</t>
    <phoneticPr fontId="2"/>
  </si>
  <si>
    <t>〔緑〕</t>
  </si>
  <si>
    <r>
      <t>〔赤</t>
    </r>
    <r>
      <rPr>
        <sz val="11"/>
        <color rgb="FF000000"/>
        <rFont val="Arial Unicode MS"/>
      </rPr>
      <t>/</t>
    </r>
    <r>
      <rPr>
        <sz val="11"/>
        <color rgb="FF000000"/>
        <rFont val="ＭＳ Ｐゴシック"/>
        <family val="3"/>
        <charset val="128"/>
      </rPr>
      <t>緑〕</t>
    </r>
  </si>
  <si>
    <r>
      <t>〔赤</t>
    </r>
    <r>
      <rPr>
        <sz val="11"/>
        <color theme="1"/>
        <rFont val="Arial Unicode MS"/>
        <family val="2"/>
      </rPr>
      <t>/</t>
    </r>
    <r>
      <rPr>
        <sz val="11"/>
        <color theme="1"/>
        <rFont val="ＭＳ Ｐゴシック"/>
        <family val="3"/>
        <charset val="128"/>
      </rPr>
      <t>緑〕</t>
    </r>
  </si>
  <si>
    <t>ベナリアの司令官</t>
    <phoneticPr fontId="2"/>
  </si>
  <si>
    <t>兵士(Soldier)</t>
    <phoneticPr fontId="2"/>
  </si>
  <si>
    <t>白</t>
    <rPh sb="0" eb="1">
      <t>シロ</t>
    </rPh>
    <phoneticPr fontId="2"/>
  </si>
  <si>
    <t>青</t>
    <rPh sb="0" eb="1">
      <t>アオ</t>
    </rPh>
    <phoneticPr fontId="2"/>
  </si>
  <si>
    <t>黒</t>
    <rPh sb="0" eb="1">
      <t>クロ</t>
    </rPh>
    <phoneticPr fontId="2"/>
  </si>
  <si>
    <t>赤</t>
    <rPh sb="0" eb="1">
      <t>アカ</t>
    </rPh>
    <phoneticPr fontId="2"/>
  </si>
  <si>
    <t>緑</t>
    <rPh sb="0" eb="1">
      <t>ミドリ</t>
    </rPh>
    <phoneticPr fontId="2"/>
  </si>
  <si>
    <t>多</t>
    <rPh sb="0" eb="1">
      <t>タ</t>
    </rPh>
    <phoneticPr fontId="2"/>
  </si>
  <si>
    <t>無</t>
    <rPh sb="0" eb="1">
      <t>ム</t>
    </rPh>
    <phoneticPr fontId="2"/>
  </si>
  <si>
    <t>地</t>
    <rPh sb="0" eb="1">
      <t>チ</t>
    </rPh>
    <phoneticPr fontId="2"/>
  </si>
  <si>
    <t>クリーチャー数</t>
    <rPh sb="6" eb="7">
      <t>スウ</t>
    </rPh>
    <phoneticPr fontId="2"/>
  </si>
  <si>
    <t>賛美</t>
    <phoneticPr fontId="2"/>
  </si>
  <si>
    <t>リーヴの空騎士が戦場に出たとき、対戦相手１人がコントロールする土地でないパーマネント１つを対象とし、それを留置する。</t>
    <phoneticPr fontId="2"/>
  </si>
  <si>
    <t>昇殿</t>
    <phoneticPr fontId="2"/>
  </si>
  <si>
    <t>警戒</t>
    <phoneticPr fontId="2"/>
  </si>
  <si>
    <t>高名２</t>
    <phoneticPr fontId="2"/>
  </si>
  <si>
    <t>アン一門の勇者が攻撃するに際し、あなたはこれを督励してもよい。そうしたとき、あなたがコントロールする他のクリーチャーをすべてアンタップする。</t>
    <phoneticPr fontId="2"/>
  </si>
  <si>
    <t>強請</t>
    <phoneticPr fontId="2"/>
  </si>
  <si>
    <t>果敢</t>
    <phoneticPr fontId="2"/>
  </si>
  <si>
    <t>瞬速</t>
    <phoneticPr fontId="2"/>
  </si>
  <si>
    <t>速攻</t>
    <phoneticPr fontId="2"/>
  </si>
  <si>
    <t>即席</t>
    <phoneticPr fontId="2"/>
  </si>
  <si>
    <t>二段攻撃</t>
    <phoneticPr fontId="2"/>
  </si>
  <si>
    <t>毅然たる生き残りが攻撃するに際し、あなたはこれを督励してもよい。</t>
    <phoneticPr fontId="2"/>
  </si>
  <si>
    <r>
      <t>(</t>
    </r>
    <r>
      <rPr>
        <sz val="10"/>
        <color theme="1"/>
        <rFont val="ＭＳ Ｐゴシック"/>
        <family val="3"/>
        <charset val="128"/>
      </rPr>
      <t>３</t>
    </r>
    <r>
      <rPr>
        <sz val="10"/>
        <color theme="1"/>
        <rFont val="Arial Unicode MS"/>
        <family val="2"/>
      </rPr>
      <t>)(W)(U)</t>
    </r>
    <r>
      <rPr>
        <sz val="10"/>
        <color theme="1"/>
        <rFont val="ＭＳ Ｐゴシック"/>
        <family val="3"/>
        <charset val="128"/>
      </rPr>
      <t>：対戦相手１人がコントロールする土地でないパーマネント１つを対象とし、それを留置する。</t>
    </r>
    <phoneticPr fontId="2"/>
  </si>
  <si>
    <t>Cloak and Dagger</t>
    <phoneticPr fontId="2"/>
  </si>
  <si>
    <t>外套と短剣（がいとうとたんけん）</t>
  </si>
  <si>
    <t>_(2)</t>
    <phoneticPr fontId="2"/>
  </si>
  <si>
    <t>部族アーティファクト --- ならず者(Rogue)・装備品(Equipment)</t>
  </si>
  <si>
    <t>ならず者(Rogue)クリーチャーが１体戦場に出るたび、あなたは外套と短剣をそれにつけてもよい。</t>
  </si>
  <si>
    <t>装備(３)</t>
  </si>
  <si>
    <t>Morningtide</t>
  </si>
  <si>
    <t>Thieves' Fortune</t>
  </si>
  <si>
    <t>盗人の運命（ぬすびとのうんめい）</t>
  </si>
  <si>
    <t>部族インスタント --- ならず者(Rogue)</t>
  </si>
  <si>
    <t>徘徊(U)（このターン、あなたがならず者(Rogue)によってプレイヤー１人に戦闘ダメージを与えている場合、あなたはこれをその徘徊コストで唱えてもよい。）</t>
  </si>
  <si>
    <t>あなたのライブラリーのカードを上から４枚見る。それらの１枚をあなたの手札に加え、残りをあなたのライブラリーの一番下に望む順番で置く。</t>
  </si>
  <si>
    <t>Notorious Throng</t>
  </si>
  <si>
    <t>悪名高き群れ（あくみょうたかきむれ）</t>
  </si>
  <si>
    <t>部族ソーサリー --- ならず者(Rogue)</t>
  </si>
  <si>
    <t>徘徊(５)(U)（このターン、あなたがならず者(Rogue)によってプレイヤー１人に戦闘ダメージを与えている場合、あなたはこれをその徘徊コストで唱えてもよい。）</t>
  </si>
  <si>
    <t>飛行を持つ黒の1/1のフェアリー(Faerie)・ならず者クリーチャー・トークンをＸ体生成する。Ｘは、このターンにあなたの対戦相手に与えられたダメージの点数である。悪名高き群れの徘徊コストが支払われていた場合、このターンの後に追加の１ターンを行う。</t>
  </si>
  <si>
    <t>Noggin Whack</t>
  </si>
  <si>
    <t>頭殴り（あたまなぐり）</t>
  </si>
  <si>
    <t>徘徊(１)(B)（このターン、あなたがならず者(Rogue)によってプレイヤー１人に戦闘ダメージを与えている場合、あなたはこれをその徘徊コストで唱えてもよい。）</t>
  </si>
  <si>
    <t>プレイヤー１人を対象とする。そのプレイヤーは、自分の手札のカードを３枚公開する。あなたはそれらの２枚を選ぶ。そのプレイヤーはそれらのカードを捨てる。</t>
  </si>
  <si>
    <t>Morsel Theft</t>
  </si>
  <si>
    <t>欠片盗み（かけらぬすみ）</t>
  </si>
  <si>
    <t>プレイヤー１人を対象とする。そのプレイヤーは３点のライフを失い、あなたは３点のライフを得る。欠片盗みの徘徊コストが支払われていた場合、カードを１枚引く。</t>
  </si>
  <si>
    <t>Knowledge Exploitation</t>
  </si>
  <si>
    <t>知識の搾取（ちしきのさくしゅ）</t>
  </si>
  <si>
    <t>(５)(U)(U)</t>
  </si>
  <si>
    <t>徘徊(３)(U)（このターン、あなたがならず者(Rogue)によってプレイヤー１人に戦闘ダメージを与えている場合、あなたはこれをその徘徊コストで唱えてもよい。）</t>
  </si>
  <si>
    <t>対戦相手１人を対象とする。そのプレイヤーのライブラリーからインスタント・カード１枚かソーサリー・カード１枚を探す。あなたはそのカードを、そのマナ・コストを支払うことなく唱えてもよい。その後そのプレイヤーは自分のライブラリーを切り直す。</t>
  </si>
  <si>
    <t>装備しているクリーチャーは+2/+0の修整を受けるとともに被覆を持つ。</t>
    <phoneticPr fontId="2"/>
  </si>
  <si>
    <t>戦士(Warrior)</t>
    <phoneticPr fontId="2"/>
  </si>
  <si>
    <t>シャーマン(Shaman)</t>
    <phoneticPr fontId="2"/>
  </si>
  <si>
    <t>狂戦士(Berserker)</t>
    <phoneticPr fontId="2"/>
  </si>
  <si>
    <t>騎士(Knight)</t>
    <phoneticPr fontId="2"/>
  </si>
  <si>
    <t>海賊(Pirate)</t>
    <phoneticPr fontId="2"/>
  </si>
  <si>
    <t>兵士(Soldier)</t>
    <phoneticPr fontId="2"/>
  </si>
  <si>
    <t>授与(２)(W)</t>
  </si>
  <si>
    <t>製造１</t>
  </si>
  <si>
    <t>[CIP]</t>
  </si>
  <si>
    <t>名前</t>
    <rPh sb="0" eb="2">
      <t>ナマエ</t>
    </rPh>
    <phoneticPr fontId="2"/>
  </si>
  <si>
    <t>マナ</t>
  </si>
  <si>
    <t>マナ</t>
    <phoneticPr fontId="2"/>
  </si>
  <si>
    <t>タイプ</t>
  </si>
  <si>
    <t>タイプ</t>
    <phoneticPr fontId="2"/>
  </si>
  <si>
    <t>サブT1</t>
  </si>
  <si>
    <t>サブT1</t>
    <phoneticPr fontId="2"/>
  </si>
  <si>
    <t>サブT2</t>
  </si>
  <si>
    <t>サブT3</t>
  </si>
  <si>
    <t>能力</t>
    <rPh sb="0" eb="2">
      <t>ノウリョク</t>
    </rPh>
    <phoneticPr fontId="2"/>
  </si>
  <si>
    <t>PT</t>
  </si>
  <si>
    <t>PT</t>
    <phoneticPr fontId="2"/>
  </si>
  <si>
    <t>セット</t>
  </si>
  <si>
    <t>セット</t>
    <phoneticPr fontId="2"/>
  </si>
  <si>
    <t>枠</t>
    <rPh sb="0" eb="1">
      <t>ワク</t>
    </rPh>
    <phoneticPr fontId="2"/>
  </si>
  <si>
    <t>CMC</t>
  </si>
  <si>
    <t>CMC</t>
    <phoneticPr fontId="2"/>
  </si>
  <si>
    <t>WC02</t>
  </si>
  <si>
    <t>WC03</t>
  </si>
  <si>
    <t>WC04</t>
  </si>
  <si>
    <t>WC05</t>
  </si>
  <si>
    <t>WC06</t>
  </si>
  <si>
    <t>WC07</t>
  </si>
  <si>
    <t>WC08</t>
  </si>
  <si>
    <t>WC09</t>
  </si>
  <si>
    <t>WC10</t>
  </si>
  <si>
    <t>WC11</t>
  </si>
  <si>
    <t>WC12</t>
  </si>
  <si>
    <t>WC13</t>
  </si>
  <si>
    <t>WC14</t>
  </si>
  <si>
    <t>WC15</t>
  </si>
  <si>
    <t>WC16</t>
  </si>
  <si>
    <t>WC17</t>
  </si>
  <si>
    <t>UC01</t>
  </si>
  <si>
    <t>UC02</t>
  </si>
  <si>
    <t>UC03</t>
  </si>
  <si>
    <t>UC04</t>
  </si>
  <si>
    <t>UC05</t>
  </si>
  <si>
    <t>UC06</t>
  </si>
  <si>
    <t>UC07</t>
  </si>
  <si>
    <t>UC08</t>
  </si>
  <si>
    <t>UC09</t>
  </si>
  <si>
    <t>UC10</t>
  </si>
  <si>
    <t>UC11</t>
  </si>
  <si>
    <t>UC12</t>
  </si>
  <si>
    <t>UC13</t>
  </si>
  <si>
    <t>UC14</t>
  </si>
  <si>
    <t>UC15</t>
  </si>
  <si>
    <t>UC16</t>
  </si>
  <si>
    <t>UC17</t>
  </si>
  <si>
    <t>BC01</t>
  </si>
  <si>
    <t>BC02</t>
  </si>
  <si>
    <t>BC03</t>
  </si>
  <si>
    <t>BC04</t>
  </si>
  <si>
    <t>BC05</t>
  </si>
  <si>
    <t>BC06</t>
  </si>
  <si>
    <t>BC07</t>
  </si>
  <si>
    <t>BC08</t>
  </si>
  <si>
    <t>BC09</t>
  </si>
  <si>
    <t>BC10</t>
  </si>
  <si>
    <t>BC11</t>
  </si>
  <si>
    <t>BC12</t>
  </si>
  <si>
    <t>BC13</t>
  </si>
  <si>
    <t>BC14</t>
  </si>
  <si>
    <t>BC15</t>
  </si>
  <si>
    <t>BC16</t>
  </si>
  <si>
    <t>BC17</t>
  </si>
  <si>
    <t>RC01</t>
  </si>
  <si>
    <t>RC02</t>
  </si>
  <si>
    <t>RC03</t>
  </si>
  <si>
    <t>RC04</t>
  </si>
  <si>
    <t>RC05</t>
  </si>
  <si>
    <t>RC06</t>
  </si>
  <si>
    <t>RC07</t>
  </si>
  <si>
    <t>RC08</t>
  </si>
  <si>
    <t>RC09</t>
  </si>
  <si>
    <t>RC10</t>
  </si>
  <si>
    <t>RC11</t>
  </si>
  <si>
    <t>RC12</t>
  </si>
  <si>
    <t>RC13</t>
  </si>
  <si>
    <t>RC14</t>
  </si>
  <si>
    <t>RC15</t>
  </si>
  <si>
    <t>RC16</t>
  </si>
  <si>
    <t>RC17</t>
  </si>
  <si>
    <t>GC01</t>
  </si>
  <si>
    <t>GC02</t>
  </si>
  <si>
    <t>GC03</t>
  </si>
  <si>
    <t>GC04</t>
  </si>
  <si>
    <t>GC05</t>
  </si>
  <si>
    <t>GC06</t>
  </si>
  <si>
    <t>GC07</t>
  </si>
  <si>
    <t>GC08</t>
  </si>
  <si>
    <t>GC09</t>
  </si>
  <si>
    <t>GC10</t>
  </si>
  <si>
    <t>GC13</t>
  </si>
  <si>
    <t>GC14</t>
  </si>
  <si>
    <t>GC15</t>
  </si>
  <si>
    <t>GC16</t>
  </si>
  <si>
    <t>GC17</t>
  </si>
  <si>
    <t>NC01</t>
  </si>
  <si>
    <t>NC02</t>
  </si>
  <si>
    <t>NC03</t>
  </si>
  <si>
    <t>NC04</t>
  </si>
  <si>
    <t>NC05</t>
  </si>
  <si>
    <t>WU01</t>
  </si>
  <si>
    <t>WU02</t>
  </si>
  <si>
    <t>WU03</t>
  </si>
  <si>
    <t>WU04</t>
  </si>
  <si>
    <t>WU05</t>
  </si>
  <si>
    <t>WU06</t>
  </si>
  <si>
    <t>WU07</t>
  </si>
  <si>
    <t>WU08</t>
  </si>
  <si>
    <t>WU09</t>
  </si>
  <si>
    <t>WU10</t>
  </si>
  <si>
    <t>WU11</t>
  </si>
  <si>
    <t>UU01</t>
  </si>
  <si>
    <t>UU02</t>
  </si>
  <si>
    <t>UU03</t>
  </si>
  <si>
    <t>UU04</t>
  </si>
  <si>
    <t>UU05</t>
  </si>
  <si>
    <t>UU06</t>
  </si>
  <si>
    <t>UU07</t>
  </si>
  <si>
    <t>UU08</t>
  </si>
  <si>
    <t>UU09</t>
  </si>
  <si>
    <t>UU10</t>
  </si>
  <si>
    <t>UU11</t>
  </si>
  <si>
    <t>BU01</t>
  </si>
  <si>
    <t>BU02</t>
  </si>
  <si>
    <t>BU03</t>
  </si>
  <si>
    <t>BU04</t>
  </si>
  <si>
    <t>BU05</t>
  </si>
  <si>
    <t>BU06</t>
  </si>
  <si>
    <t>BU07</t>
  </si>
  <si>
    <t>BU08</t>
  </si>
  <si>
    <t>BU09</t>
  </si>
  <si>
    <t>BU10</t>
  </si>
  <si>
    <t>BU11</t>
  </si>
  <si>
    <t>RU01</t>
  </si>
  <si>
    <t>RU02</t>
  </si>
  <si>
    <t>RU03</t>
  </si>
  <si>
    <t>RU04</t>
  </si>
  <si>
    <t>RU05</t>
  </si>
  <si>
    <t>RU06</t>
  </si>
  <si>
    <t>RU07</t>
  </si>
  <si>
    <t>RU08</t>
  </si>
  <si>
    <t>RU09</t>
  </si>
  <si>
    <t>RU10</t>
  </si>
  <si>
    <t>RU11</t>
  </si>
  <si>
    <t>GU01</t>
  </si>
  <si>
    <t>GU02</t>
  </si>
  <si>
    <t>GU03</t>
  </si>
  <si>
    <t>GU04</t>
  </si>
  <si>
    <t>GU05</t>
  </si>
  <si>
    <t>GU06</t>
  </si>
  <si>
    <t>GU07</t>
  </si>
  <si>
    <t>GU08</t>
  </si>
  <si>
    <t>GU09</t>
  </si>
  <si>
    <t>GU10</t>
  </si>
  <si>
    <t>GU11</t>
  </si>
  <si>
    <t>MU01</t>
  </si>
  <si>
    <t>MU02</t>
  </si>
  <si>
    <t>MU03</t>
  </si>
  <si>
    <t>MU04</t>
  </si>
  <si>
    <t>MU05</t>
  </si>
  <si>
    <t>MU06</t>
  </si>
  <si>
    <t>MU07</t>
  </si>
  <si>
    <t>MU08</t>
  </si>
  <si>
    <t>MU09</t>
  </si>
  <si>
    <t>MU10</t>
  </si>
  <si>
    <t>NU01</t>
  </si>
  <si>
    <t>NU02</t>
  </si>
  <si>
    <t>NU03</t>
  </si>
  <si>
    <t>NU04</t>
  </si>
  <si>
    <t>NU05</t>
  </si>
  <si>
    <t>LU01</t>
  </si>
  <si>
    <t>LU02</t>
  </si>
  <si>
    <t>LU03</t>
  </si>
  <si>
    <t>LU04</t>
  </si>
  <si>
    <t>LU05</t>
  </si>
  <si>
    <t>WR01</t>
  </si>
  <si>
    <t>WR02</t>
  </si>
  <si>
    <t>WR03</t>
  </si>
  <si>
    <t>WR04</t>
  </si>
  <si>
    <t>WR05</t>
  </si>
  <si>
    <t>WR06</t>
  </si>
  <si>
    <t>WR07</t>
  </si>
  <si>
    <t>WR08</t>
  </si>
  <si>
    <t>UR01</t>
  </si>
  <si>
    <t>UR02</t>
  </si>
  <si>
    <t>UR03</t>
  </si>
  <si>
    <t>UR04</t>
  </si>
  <si>
    <t>UR05</t>
  </si>
  <si>
    <t>UR06</t>
  </si>
  <si>
    <t>UR07</t>
  </si>
  <si>
    <t>UR08</t>
  </si>
  <si>
    <t>BR01</t>
  </si>
  <si>
    <t>BR02</t>
  </si>
  <si>
    <t>BR03</t>
  </si>
  <si>
    <t>BR04</t>
  </si>
  <si>
    <t>BR05</t>
  </si>
  <si>
    <t>BR06</t>
  </si>
  <si>
    <t>BR07</t>
  </si>
  <si>
    <t>BR08</t>
  </si>
  <si>
    <t>RR01</t>
  </si>
  <si>
    <t>RR02</t>
  </si>
  <si>
    <t>RR03</t>
  </si>
  <si>
    <t>RR04</t>
  </si>
  <si>
    <t>RR05</t>
  </si>
  <si>
    <t>RR06</t>
  </si>
  <si>
    <t>RR07</t>
  </si>
  <si>
    <t>RR08</t>
  </si>
  <si>
    <t>GR01</t>
  </si>
  <si>
    <t>GR02</t>
  </si>
  <si>
    <t>GR03</t>
  </si>
  <si>
    <t>GR04</t>
  </si>
  <si>
    <t>GR05</t>
  </si>
  <si>
    <t>GR06</t>
  </si>
  <si>
    <t>GR07</t>
  </si>
  <si>
    <t>GR08</t>
  </si>
  <si>
    <t>GR09</t>
  </si>
  <si>
    <t>RR09</t>
  </si>
  <si>
    <t>BR09</t>
  </si>
  <si>
    <t>UR09</t>
  </si>
  <si>
    <t>WR09</t>
  </si>
  <si>
    <t>MR01</t>
  </si>
  <si>
    <t>MR02</t>
  </si>
  <si>
    <t>MR03</t>
  </si>
  <si>
    <t>MR04</t>
  </si>
  <si>
    <t>MR05</t>
  </si>
  <si>
    <t>MR06</t>
  </si>
  <si>
    <t>MR07</t>
  </si>
  <si>
    <t>MR08</t>
  </si>
  <si>
    <t>MR09</t>
  </si>
  <si>
    <t>MR10</t>
  </si>
  <si>
    <t>NR01</t>
  </si>
  <si>
    <t>NR02</t>
  </si>
  <si>
    <t>NR03</t>
  </si>
  <si>
    <t>NR04</t>
  </si>
  <si>
    <t>NR05</t>
  </si>
  <si>
    <t>WM01</t>
  </si>
  <si>
    <t>WM02</t>
  </si>
  <si>
    <t>UM01</t>
  </si>
  <si>
    <t>UM02</t>
  </si>
  <si>
    <t>BM01</t>
  </si>
  <si>
    <t>BM02</t>
  </si>
  <si>
    <t>RM01</t>
  </si>
  <si>
    <t>RM02</t>
  </si>
  <si>
    <t>GM01</t>
  </si>
  <si>
    <t>GM02</t>
  </si>
  <si>
    <t>MM01</t>
  </si>
  <si>
    <t>MM02</t>
  </si>
  <si>
    <t>MM03</t>
  </si>
  <si>
    <t>MM04</t>
  </si>
  <si>
    <t>MM05</t>
  </si>
  <si>
    <t>リリアナ(Liliana)</t>
  </si>
  <si>
    <t>〔白〕</t>
  </si>
  <si>
    <t>ギデオン(Gideon)</t>
  </si>
  <si>
    <t>〔青〕</t>
  </si>
  <si>
    <t>ジェイス(Jace)</t>
  </si>
  <si>
    <t>チャンドラ(Chandra)</t>
  </si>
  <si>
    <t>ソーサリー</t>
  </si>
  <si>
    <r>
      <rPr>
        <sz val="11"/>
        <color theme="1"/>
        <rFont val="ＭＳ Ｐゴシック"/>
        <family val="3"/>
        <charset val="128"/>
      </rPr>
      <t>狂戦士</t>
    </r>
    <r>
      <rPr>
        <sz val="11"/>
        <color theme="1"/>
        <rFont val="Arial Unicode MS"/>
        <family val="2"/>
      </rPr>
      <t>(Berserker)</t>
    </r>
    <phoneticPr fontId="2"/>
  </si>
  <si>
    <t>瞬速</t>
    <phoneticPr fontId="2"/>
  </si>
  <si>
    <t>エンチャント（クリーチャー）</t>
  </si>
  <si>
    <t>オーラ(Aura)</t>
  </si>
  <si>
    <t>インスタント</t>
  </si>
  <si>
    <t>LC01</t>
    <phoneticPr fontId="2"/>
  </si>
  <si>
    <t>LC02</t>
    <phoneticPr fontId="2"/>
  </si>
  <si>
    <t>変異(２)(U)（あなたはこのカードを、(３)で2/2クリーチャーとして裏向きに唱えてもよい。これの変異コストで、これをいつでも表向きにしてもよい。）</t>
    <phoneticPr fontId="2"/>
  </si>
  <si>
    <t>ならず者(Rogue)</t>
    <phoneticPr fontId="2"/>
  </si>
  <si>
    <t>装備しているクリーチャーは+1/+1の修整を受ける。</t>
  </si>
  <si>
    <t>装備(２)</t>
  </si>
  <si>
    <t>装備しているクリーチャーは+2/+2の修整を受ける。</t>
  </si>
  <si>
    <t>装備(４)</t>
  </si>
  <si>
    <t>皮剥ぎの鞘</t>
    <phoneticPr fontId="2"/>
  </si>
  <si>
    <t>鎌切り</t>
  </si>
  <si>
    <t>装備品(Equipment)</t>
  </si>
  <si>
    <t>アーティファクト</t>
  </si>
  <si>
    <t>アーティファクト</t>
    <phoneticPr fontId="2"/>
  </si>
  <si>
    <t>WC01</t>
  </si>
  <si>
    <t>N</t>
    <phoneticPr fontId="2"/>
  </si>
  <si>
    <t>NC06</t>
  </si>
  <si>
    <t>NC07</t>
  </si>
  <si>
    <t>生体武器</t>
  </si>
  <si>
    <t>生体武器</t>
    <phoneticPr fontId="2"/>
  </si>
  <si>
    <t>信条の香炉（しんじょうのこうろ）</t>
  </si>
  <si>
    <t>装備しているクリーチャーは+1/+1の修整を受けるとともに警戒を持つ。</t>
  </si>
  <si>
    <t>装備しているクリーチャーが人間(Human)であるかぎり、それは追加で+1/+0の修整を受ける。</t>
  </si>
  <si>
    <t>とがった三つ叉（とがったみつまた）</t>
  </si>
  <si>
    <t>装備しているクリーチャーは先制攻撃を持つ。</t>
  </si>
  <si>
    <t>装備しているクリーチャーが人間(Human)であるかぎり、それは+1/+1の修整を受ける。</t>
  </si>
  <si>
    <t>装備(１)</t>
  </si>
  <si>
    <t>処刑者の板金鎧（しょけいしゃのばんきんよろい）</t>
  </si>
  <si>
    <t>装備しているクリーチャーは+4/+2の修整を受ける。</t>
  </si>
  <si>
    <t>装備しているクリーチャーが死亡するたび、それが人間(Human)だった場合、飛行を持つ白の1/1のスピリット(Spirit)・クリーチャー・トークンを１体生成する。</t>
  </si>
  <si>
    <t>月霧</t>
  </si>
  <si>
    <t>すべての人間(Human)を変身させる。このターン、狼男(Werewolf)でも狼(Wolf)でもないクリーチャーから与えられるすべての戦闘ダメージを軽減する。（両面カードのみが変身できる。）</t>
  </si>
  <si>
    <t>人間の脆さ</t>
  </si>
  <si>
    <t>人間(Human)クリーチャー１体を対象とし、それを破壊する。</t>
  </si>
  <si>
    <t>大衆への呼びかけ</t>
  </si>
  <si>
    <t>あなたがコントロールする人間(Human)１体につきカードを１枚引く。</t>
  </si>
  <si>
    <t>自警団の正義</t>
  </si>
  <si>
    <t>エンチャント</t>
  </si>
  <si>
    <t>いずれかの人間(Human)があなたのコントロール下で戦場に出るたび、クリーチャー１体かプレイヤー１人を対象とする。自警団の正義はそれに１点のダメージを与える。</t>
  </si>
  <si>
    <t>死中に活</t>
  </si>
  <si>
    <t>エンチャントされているクリーチャーは、あなたがコントロールするクリーチャー１体につき+1/+1の修整を受ける。</t>
  </si>
  <si>
    <t>エンチャントされているクリーチャーが人間(Human)であるかぎり、それは先制攻撃を持つ。</t>
  </si>
  <si>
    <t>乗馬術</t>
  </si>
  <si>
    <t>エンチャントされているクリーチャーは+3/+3の修整を受ける。</t>
  </si>
  <si>
    <t>エンチャントされているクリーチャーが人間(Human)であるかぎり、それはトランプルを持つ。</t>
  </si>
  <si>
    <t>部族アーティファクト</t>
  </si>
  <si>
    <t>装備しているクリーチャーは+2/+0の修整を受けるとともに被覆を持つ。（それは呪文や能力の対象にならない。）</t>
  </si>
  <si>
    <t>盗人の運命</t>
  </si>
  <si>
    <t>部族インスタント</t>
  </si>
  <si>
    <t>頭殴り</t>
  </si>
  <si>
    <t>部族ソーサリー</t>
  </si>
  <si>
    <r>
      <rPr>
        <sz val="10"/>
        <color rgb="FF000000"/>
        <rFont val="ＭＳ Ｐゴシック"/>
        <family val="3"/>
        <charset val="128"/>
      </rPr>
      <t>英雄的</t>
    </r>
    <r>
      <rPr>
        <sz val="10"/>
        <color rgb="FF000000"/>
        <rFont val="Arial Unicode MS"/>
        <family val="3"/>
        <charset val="128"/>
      </rPr>
      <t xml:space="preserve"> ― </t>
    </r>
    <r>
      <rPr>
        <sz val="10"/>
        <color rgb="FF000000"/>
        <rFont val="ＭＳ Ｐゴシック"/>
        <family val="3"/>
        <charset val="128"/>
      </rPr>
      <t>あなたが戦識の重装歩兵を対象とする呪文を１つ唱えるたび、戦識の重装歩兵の上に</t>
    </r>
    <r>
      <rPr>
        <sz val="10"/>
        <color rgb="FF000000"/>
        <rFont val="Arial Unicode MS"/>
        <family val="3"/>
        <charset val="128"/>
      </rPr>
      <t>+1/+1</t>
    </r>
    <r>
      <rPr>
        <sz val="10"/>
        <color rgb="FF000000"/>
        <rFont val="ＭＳ Ｐゴシック"/>
        <family val="3"/>
        <charset val="128"/>
      </rPr>
      <t>カウンターを１個置き、その後占術１を行う。</t>
    </r>
    <phoneticPr fontId="2"/>
  </si>
  <si>
    <t>NU06</t>
  </si>
  <si>
    <t>NU07</t>
  </si>
  <si>
    <t>NU08</t>
  </si>
  <si>
    <t>NU09</t>
  </si>
  <si>
    <t>NU10</t>
  </si>
  <si>
    <t>柏槙教団のレインジャー</t>
    <phoneticPr fontId="2"/>
  </si>
  <si>
    <t>エピティアの賢者が戦場に出たとき、あなたのライブラリーのカードを上から４枚見る。その後それらを望む順番で戻す。</t>
    <phoneticPr fontId="2"/>
  </si>
  <si>
    <t>結魂</t>
    <phoneticPr fontId="2"/>
  </si>
  <si>
    <t>前兆語りが戦場に出たとき、占術２を行う。</t>
  </si>
  <si>
    <t>前兆語りが戦場に出たとき、占術２を行う。</t>
    <phoneticPr fontId="2"/>
  </si>
  <si>
    <t>溺墓の探検者が戦場に出たとき、調査を行う。</t>
    <phoneticPr fontId="2"/>
  </si>
  <si>
    <t>飛行</t>
    <phoneticPr fontId="2"/>
  </si>
  <si>
    <t>エルゴードの盾の仲間が他のクリーチャーと組になっているかぎり、両方のクリーチャーは呪禁を持つ。</t>
    <phoneticPr fontId="2"/>
  </si>
  <si>
    <t>第四橋をうろつく者が戦場に出たとき、クリーチャー１体を対象とする。あなたは「ターン終了時まで、それは-1/-1の修整を受ける。」を選んでもよい。</t>
    <phoneticPr fontId="2"/>
  </si>
  <si>
    <t/>
  </si>
  <si>
    <t>消失２</t>
    <phoneticPr fontId="2"/>
  </si>
  <si>
    <t>[CIP]</t>
    <phoneticPr fontId="2"/>
  </si>
  <si>
    <t>翼の接合者が戦場に出たとき、無色の3/3のゴーレム(Golem)・アーティファクト・クリーチャー・トークンを１体生成する。</t>
    <phoneticPr fontId="2"/>
  </si>
  <si>
    <t>[CIP]</t>
    <phoneticPr fontId="2"/>
  </si>
  <si>
    <t>[CIP][CIP]</t>
  </si>
  <si>
    <t>生命の接合者が戦場に出たとき、無色の3/3のゴーレム(Golem)・アーティファクト・クリーチャー・トークンを１体生成する。</t>
    <phoneticPr fontId="2"/>
  </si>
  <si>
    <t>(Ｔ),あなたがコントロールするアンタップ状態の吸血鬼(Vampire)１体をタップする：マルコフに選ばれし者を変身させる。</t>
    <phoneticPr fontId="2"/>
  </si>
  <si>
    <t>第四橋をうろつく者が戦場に出たとき、クリーチャー１体を対象とする。あなたは「ターン終了時まで、それは-1/-1の修整を受ける。」を選んでもよい。</t>
  </si>
  <si>
    <t>消失２</t>
  </si>
  <si>
    <t>A単C</t>
    <rPh sb="1" eb="2">
      <t>タン</t>
    </rPh>
    <phoneticPr fontId="2"/>
  </si>
  <si>
    <t>B単C</t>
    <rPh sb="1" eb="2">
      <t>タン</t>
    </rPh>
    <phoneticPr fontId="2"/>
  </si>
  <si>
    <t>C単C</t>
    <rPh sb="1" eb="2">
      <t>タン</t>
    </rPh>
    <phoneticPr fontId="2"/>
  </si>
  <si>
    <t>ISD</t>
    <phoneticPr fontId="2"/>
  </si>
  <si>
    <t>WB</t>
    <phoneticPr fontId="2"/>
  </si>
  <si>
    <t>スピリット</t>
    <phoneticPr fontId="2"/>
  </si>
  <si>
    <t>LRW</t>
    <phoneticPr fontId="2"/>
  </si>
  <si>
    <t>UR</t>
    <phoneticPr fontId="2"/>
  </si>
  <si>
    <t>エレメンタル</t>
    <phoneticPr fontId="2"/>
  </si>
  <si>
    <t>MIR</t>
    <phoneticPr fontId="2"/>
  </si>
  <si>
    <t>BG</t>
    <phoneticPr fontId="2"/>
  </si>
  <si>
    <t>感染</t>
    <rPh sb="0" eb="2">
      <t>カンセン</t>
    </rPh>
    <phoneticPr fontId="2"/>
  </si>
  <si>
    <t>CHK</t>
    <phoneticPr fontId="2"/>
  </si>
  <si>
    <t>RW</t>
    <phoneticPr fontId="2"/>
  </si>
  <si>
    <t>侍</t>
    <rPh sb="0" eb="1">
      <t>サムライ</t>
    </rPh>
    <phoneticPr fontId="2"/>
  </si>
  <si>
    <t>RAV</t>
    <phoneticPr fontId="2"/>
  </si>
  <si>
    <t>GU</t>
    <phoneticPr fontId="2"/>
  </si>
  <si>
    <t>ランプ</t>
    <phoneticPr fontId="2"/>
  </si>
  <si>
    <t>MR</t>
    <phoneticPr fontId="2"/>
  </si>
  <si>
    <t>コモン除去</t>
    <rPh sb="3" eb="5">
      <t>ジョキョ</t>
    </rPh>
    <phoneticPr fontId="2"/>
  </si>
  <si>
    <t>生物</t>
    <rPh sb="0" eb="2">
      <t>セイブツ</t>
    </rPh>
    <phoneticPr fontId="2"/>
  </si>
  <si>
    <t>W</t>
    <phoneticPr fontId="2"/>
  </si>
  <si>
    <t>なべ</t>
    <phoneticPr fontId="2"/>
  </si>
  <si>
    <t>レンスト除去</t>
    <rPh sb="4" eb="6">
      <t>ジョキョ</t>
    </rPh>
    <phoneticPr fontId="2"/>
  </si>
  <si>
    <t>エンチャ破壊</t>
    <rPh sb="4" eb="6">
      <t>ハカイ</t>
    </rPh>
    <phoneticPr fontId="2"/>
  </si>
  <si>
    <t>A単</t>
    <rPh sb="1" eb="2">
      <t>タン</t>
    </rPh>
    <phoneticPr fontId="2"/>
  </si>
  <si>
    <t>U</t>
    <phoneticPr fontId="2"/>
  </si>
  <si>
    <t>排撃</t>
    <rPh sb="0" eb="2">
      <t>ハイゲキ</t>
    </rPh>
    <phoneticPr fontId="2"/>
  </si>
  <si>
    <t>P-X</t>
    <phoneticPr fontId="2"/>
  </si>
  <si>
    <t>B単</t>
    <rPh sb="1" eb="2">
      <t>タン</t>
    </rPh>
    <phoneticPr fontId="2"/>
  </si>
  <si>
    <t>除去</t>
    <rPh sb="0" eb="2">
      <t>ジョキョ</t>
    </rPh>
    <phoneticPr fontId="2"/>
  </si>
  <si>
    <t>B</t>
    <phoneticPr fontId="2"/>
  </si>
  <si>
    <t>闇追放</t>
    <rPh sb="0" eb="1">
      <t>ヤミ</t>
    </rPh>
    <rPh sb="1" eb="3">
      <t>ツイホウ</t>
    </rPh>
    <phoneticPr fontId="2"/>
  </si>
  <si>
    <t>.-X</t>
    <phoneticPr fontId="2"/>
  </si>
  <si>
    <t>+</t>
    <phoneticPr fontId="2"/>
  </si>
  <si>
    <t>slv</t>
    <phoneticPr fontId="2"/>
  </si>
  <si>
    <t>強制攻撃</t>
    <rPh sb="0" eb="2">
      <t>キョウセイ</t>
    </rPh>
    <rPh sb="2" eb="4">
      <t>コウゲキ</t>
    </rPh>
    <phoneticPr fontId="2"/>
  </si>
  <si>
    <t>防御不可</t>
    <rPh sb="0" eb="2">
      <t>ボウギョ</t>
    </rPh>
    <rPh sb="2" eb="4">
      <t>フカ</t>
    </rPh>
    <phoneticPr fontId="2"/>
  </si>
  <si>
    <t>ファクト破壊</t>
    <rPh sb="4" eb="6">
      <t>ハカイ</t>
    </rPh>
    <phoneticPr fontId="2"/>
  </si>
  <si>
    <t>他</t>
    <rPh sb="0" eb="1">
      <t>タ</t>
    </rPh>
    <phoneticPr fontId="2"/>
  </si>
  <si>
    <t>G</t>
    <phoneticPr fontId="2"/>
  </si>
  <si>
    <t>格闘</t>
    <rPh sb="0" eb="2">
      <t>カクトウ</t>
    </rPh>
    <phoneticPr fontId="2"/>
  </si>
  <si>
    <t>ルアー</t>
    <phoneticPr fontId="2"/>
  </si>
  <si>
    <t>帰化</t>
    <rPh sb="0" eb="2">
      <t>キカ</t>
    </rPh>
    <phoneticPr fontId="2"/>
  </si>
  <si>
    <t>単色カウンター</t>
    <rPh sb="0" eb="2">
      <t>タンショク</t>
    </rPh>
    <phoneticPr fontId="2"/>
  </si>
  <si>
    <t>MC</t>
    <phoneticPr fontId="2"/>
  </si>
  <si>
    <t>L</t>
    <phoneticPr fontId="2"/>
  </si>
  <si>
    <t>総数</t>
    <rPh sb="0" eb="2">
      <t>ソウスウ</t>
    </rPh>
    <phoneticPr fontId="2"/>
  </si>
  <si>
    <t>排出率</t>
    <rPh sb="0" eb="2">
      <t>ハイシュツ</t>
    </rPh>
    <rPh sb="2" eb="3">
      <t>リツ</t>
    </rPh>
    <phoneticPr fontId="2"/>
  </si>
  <si>
    <t>コモン2</t>
    <phoneticPr fontId="2"/>
  </si>
  <si>
    <t>否認</t>
    <rPh sb="0" eb="2">
      <t>ヒニン</t>
    </rPh>
    <phoneticPr fontId="2"/>
  </si>
  <si>
    <t>本質の錯乱</t>
    <rPh sb="0" eb="2">
      <t>ホンシツ</t>
    </rPh>
    <rPh sb="3" eb="5">
      <t>サクラン</t>
    </rPh>
    <phoneticPr fontId="2"/>
  </si>
  <si>
    <t>アンコ1</t>
    <phoneticPr fontId="2"/>
  </si>
  <si>
    <t>対抗呪文</t>
    <rPh sb="0" eb="2">
      <t>タイコウ</t>
    </rPh>
    <rPh sb="2" eb="4">
      <t>ジュモン</t>
    </rPh>
    <phoneticPr fontId="2"/>
  </si>
  <si>
    <t>レア1</t>
    <phoneticPr fontId="2"/>
  </si>
  <si>
    <t>追加効果カウンター</t>
    <rPh sb="0" eb="2">
      <t>ツイカ</t>
    </rPh>
    <rPh sb="2" eb="4">
      <t>コウカ</t>
    </rPh>
    <phoneticPr fontId="2"/>
  </si>
  <si>
    <t>W</t>
  </si>
  <si>
    <t>U</t>
  </si>
  <si>
    <t>B</t>
  </si>
  <si>
    <t>R</t>
  </si>
  <si>
    <t>G</t>
  </si>
  <si>
    <t>WU</t>
  </si>
  <si>
    <t>UB</t>
  </si>
  <si>
    <t>BR</t>
  </si>
  <si>
    <t>RG</t>
  </si>
  <si>
    <t>GW</t>
  </si>
  <si>
    <t>WB</t>
  </si>
  <si>
    <t>UR</t>
  </si>
  <si>
    <t>BG</t>
  </si>
  <si>
    <t>RW</t>
  </si>
  <si>
    <t>GU</t>
  </si>
  <si>
    <t>WUB</t>
    <phoneticPr fontId="2"/>
  </si>
  <si>
    <t>UBR</t>
    <phoneticPr fontId="2"/>
  </si>
  <si>
    <t>BRG</t>
    <phoneticPr fontId="2"/>
  </si>
  <si>
    <t>RGW</t>
    <phoneticPr fontId="2"/>
  </si>
  <si>
    <t>GWU</t>
    <phoneticPr fontId="2"/>
  </si>
  <si>
    <t>URW</t>
    <phoneticPr fontId="2"/>
  </si>
  <si>
    <t>BGU</t>
    <phoneticPr fontId="2"/>
  </si>
  <si>
    <t>RWB</t>
    <phoneticPr fontId="2"/>
  </si>
  <si>
    <t>GUR</t>
    <phoneticPr fontId="2"/>
  </si>
  <si>
    <t>WBG</t>
    <phoneticPr fontId="2"/>
  </si>
  <si>
    <t>5C</t>
    <phoneticPr fontId="2"/>
  </si>
  <si>
    <t>計</t>
    <rPh sb="0" eb="1">
      <t>ケイ</t>
    </rPh>
    <phoneticPr fontId="2"/>
  </si>
  <si>
    <t>1単</t>
    <rPh sb="1" eb="2">
      <t>タン</t>
    </rPh>
    <phoneticPr fontId="2"/>
  </si>
  <si>
    <t>2単</t>
    <rPh sb="1" eb="2">
      <t>タン</t>
    </rPh>
    <phoneticPr fontId="2"/>
  </si>
  <si>
    <t>3単</t>
    <rPh sb="1" eb="2">
      <t>タン</t>
    </rPh>
    <phoneticPr fontId="2"/>
  </si>
  <si>
    <t>4単</t>
    <rPh sb="1" eb="2">
      <t>タン</t>
    </rPh>
    <phoneticPr fontId="2"/>
  </si>
  <si>
    <t>5単</t>
    <rPh sb="1" eb="2">
      <t>タン</t>
    </rPh>
    <phoneticPr fontId="2"/>
  </si>
  <si>
    <t>6単</t>
    <rPh sb="1" eb="2">
      <t>タン</t>
    </rPh>
    <phoneticPr fontId="2"/>
  </si>
  <si>
    <t>7単</t>
    <rPh sb="1" eb="2">
      <t>タン</t>
    </rPh>
    <phoneticPr fontId="2"/>
  </si>
  <si>
    <t>8単</t>
    <rPh sb="1" eb="2">
      <t>タン</t>
    </rPh>
    <phoneticPr fontId="2"/>
  </si>
  <si>
    <t>9単</t>
    <rPh sb="1" eb="2">
      <t>タン</t>
    </rPh>
    <phoneticPr fontId="2"/>
  </si>
  <si>
    <t>10単</t>
    <rPh sb="2" eb="3">
      <t>タン</t>
    </rPh>
    <phoneticPr fontId="2"/>
  </si>
  <si>
    <t>1多</t>
    <rPh sb="1" eb="2">
      <t>タ</t>
    </rPh>
    <phoneticPr fontId="2"/>
  </si>
  <si>
    <t>2多</t>
    <rPh sb="1" eb="2">
      <t>タ</t>
    </rPh>
    <phoneticPr fontId="2"/>
  </si>
  <si>
    <t>3多</t>
    <rPh sb="1" eb="2">
      <t>タ</t>
    </rPh>
    <phoneticPr fontId="2"/>
  </si>
  <si>
    <t>4多</t>
    <rPh sb="1" eb="2">
      <t>タ</t>
    </rPh>
    <phoneticPr fontId="2"/>
  </si>
  <si>
    <t>5多</t>
    <rPh sb="1" eb="2">
      <t>タ</t>
    </rPh>
    <phoneticPr fontId="2"/>
  </si>
  <si>
    <t>6多</t>
    <rPh sb="1" eb="2">
      <t>タ</t>
    </rPh>
    <phoneticPr fontId="2"/>
  </si>
  <si>
    <t>7多</t>
    <rPh sb="1" eb="2">
      <t>タ</t>
    </rPh>
    <phoneticPr fontId="2"/>
  </si>
  <si>
    <t>8多</t>
    <rPh sb="1" eb="2">
      <t>タ</t>
    </rPh>
    <phoneticPr fontId="2"/>
  </si>
  <si>
    <t>9多</t>
    <rPh sb="1" eb="2">
      <t>タ</t>
    </rPh>
    <phoneticPr fontId="2"/>
  </si>
  <si>
    <t>10多</t>
    <rPh sb="2" eb="3">
      <t>タ</t>
    </rPh>
    <phoneticPr fontId="2"/>
  </si>
  <si>
    <t>1FL</t>
    <phoneticPr fontId="2"/>
  </si>
  <si>
    <t>2FL</t>
  </si>
  <si>
    <t>3FL</t>
  </si>
  <si>
    <t>F&gt;L</t>
    <phoneticPr fontId="2"/>
  </si>
  <si>
    <t>F=L</t>
    <phoneticPr fontId="2"/>
  </si>
  <si>
    <t>F&lt;L</t>
    <phoneticPr fontId="2"/>
  </si>
  <si>
    <t>N</t>
  </si>
  <si>
    <t>L</t>
  </si>
  <si>
    <t>M1</t>
    <phoneticPr fontId="2"/>
  </si>
  <si>
    <t>Pe</t>
    <phoneticPr fontId="2"/>
  </si>
  <si>
    <t>Je</t>
    <phoneticPr fontId="2"/>
  </si>
  <si>
    <t>Ri</t>
    <phoneticPr fontId="2"/>
  </si>
  <si>
    <t>Ch</t>
    <phoneticPr fontId="2"/>
  </si>
  <si>
    <t>Ga</t>
    <phoneticPr fontId="2"/>
  </si>
  <si>
    <t>M2</t>
    <phoneticPr fontId="2"/>
  </si>
  <si>
    <t>Gi</t>
    <phoneticPr fontId="2"/>
  </si>
  <si>
    <t>Ta</t>
    <phoneticPr fontId="2"/>
  </si>
  <si>
    <t>Ob</t>
    <phoneticPr fontId="2"/>
  </si>
  <si>
    <t>Co</t>
    <phoneticPr fontId="2"/>
  </si>
  <si>
    <t>Ni</t>
    <phoneticPr fontId="2"/>
  </si>
  <si>
    <t>M3</t>
  </si>
  <si>
    <t>Ve</t>
    <phoneticPr fontId="2"/>
  </si>
  <si>
    <t>As</t>
    <phoneticPr fontId="2"/>
  </si>
  <si>
    <t>Sa</t>
    <phoneticPr fontId="2"/>
  </si>
  <si>
    <t>Ar</t>
    <phoneticPr fontId="2"/>
  </si>
  <si>
    <t>Aj</t>
    <phoneticPr fontId="2"/>
  </si>
  <si>
    <t>M4</t>
  </si>
  <si>
    <t>So</t>
    <phoneticPr fontId="2"/>
  </si>
  <si>
    <t>M5</t>
  </si>
  <si>
    <t>CN2</t>
    <phoneticPr fontId="2"/>
  </si>
  <si>
    <t>2W</t>
  </si>
  <si>
    <t>C</t>
  </si>
  <si>
    <t>人間</t>
  </si>
  <si>
    <t>ｸﾚﾘｯｸ</t>
  </si>
  <si>
    <t>.2/3</t>
  </si>
  <si>
    <t>公開ﾋﾟｯｸ</t>
    <rPh sb="0" eb="2">
      <t>コウカイ</t>
    </rPh>
    <phoneticPr fontId="2"/>
  </si>
  <si>
    <t>記録：現ﾗｳﾝﾄﾞﾄﾞﾗﾌﾄ数</t>
    <rPh sb="0" eb="2">
      <t>キロク</t>
    </rPh>
    <rPh sb="3" eb="4">
      <t>ゲン</t>
    </rPh>
    <rPh sb="14" eb="15">
      <t>スウ</t>
    </rPh>
    <phoneticPr fontId="2"/>
  </si>
  <si>
    <t>W,T:記録&gt;=P生物タップ</t>
    <rPh sb="4" eb="6">
      <t>キロク</t>
    </rPh>
    <rPh sb="9" eb="11">
      <t>セイブツ</t>
    </rPh>
    <phoneticPr fontId="2"/>
  </si>
  <si>
    <t>1U</t>
  </si>
  <si>
    <t>鳥</t>
  </si>
  <si>
    <t>ｲﾘｭｰｼﾞｮﾝ</t>
  </si>
  <si>
    <t xml:space="preserve">1/3 </t>
    <phoneticPr fontId="2"/>
  </si>
  <si>
    <t>非公開：選択ﾌﾟﾚｲﾔｰの次ﾄﾞﾗﾌﾄするｶｰﾄﾞを見る。</t>
    <rPh sb="0" eb="3">
      <t>ヒコウカイ</t>
    </rPh>
    <rPh sb="4" eb="6">
      <t>センタク</t>
    </rPh>
    <rPh sb="26" eb="27">
      <t>ミ</t>
    </rPh>
    <phoneticPr fontId="2"/>
  </si>
  <si>
    <t>I</t>
    <phoneticPr fontId="2"/>
  </si>
  <si>
    <t>公開時：上家色選択、自身別色選択、下家別色選択</t>
    <rPh sb="0" eb="2">
      <t>コウカイ</t>
    </rPh>
    <rPh sb="2" eb="3">
      <t>ジ</t>
    </rPh>
    <rPh sb="4" eb="5">
      <t>ウエ</t>
    </rPh>
    <rPh sb="5" eb="6">
      <t>イエ</t>
    </rPh>
    <rPh sb="6" eb="7">
      <t>イロ</t>
    </rPh>
    <rPh sb="7" eb="9">
      <t>センタク</t>
    </rPh>
    <rPh sb="10" eb="12">
      <t>ジシン</t>
    </rPh>
    <rPh sb="12" eb="13">
      <t>ベツ</t>
    </rPh>
    <rPh sb="13" eb="14">
      <t>ショク</t>
    </rPh>
    <rPh sb="14" eb="16">
      <t>センタク</t>
    </rPh>
    <rPh sb="17" eb="18">
      <t>シモ</t>
    </rPh>
    <rPh sb="18" eb="19">
      <t>イエ</t>
    </rPh>
    <rPh sb="19" eb="20">
      <t>ベツ</t>
    </rPh>
    <rPh sb="20" eb="21">
      <t>ショク</t>
    </rPh>
    <rPh sb="21" eb="23">
      <t>センタク</t>
    </rPh>
    <phoneticPr fontId="2"/>
  </si>
  <si>
    <t>選択色保有生物除去</t>
    <rPh sb="0" eb="2">
      <t>センタク</t>
    </rPh>
    <rPh sb="2" eb="3">
      <t>ショク</t>
    </rPh>
    <rPh sb="3" eb="5">
      <t>ホユウ</t>
    </rPh>
    <rPh sb="5" eb="7">
      <t>セイブツ</t>
    </rPh>
    <rPh sb="7" eb="9">
      <t>ジョキョ</t>
    </rPh>
    <phoneticPr fontId="2"/>
  </si>
  <si>
    <t>2R</t>
  </si>
  <si>
    <t>記録/非公開：現ﾗｳﾝﾄﾞﾄﾞﾗﾌﾄ数</t>
    <rPh sb="0" eb="2">
      <t>キロク</t>
    </rPh>
    <rPh sb="7" eb="8">
      <t>ゲン</t>
    </rPh>
    <rPh sb="18" eb="19">
      <t>スウ</t>
    </rPh>
    <phoneticPr fontId="2"/>
  </si>
  <si>
    <t>生物限定記録数火力</t>
    <rPh sb="0" eb="2">
      <t>セイブツ</t>
    </rPh>
    <rPh sb="2" eb="4">
      <t>ゲンテイ</t>
    </rPh>
    <rPh sb="4" eb="6">
      <t>キロク</t>
    </rPh>
    <rPh sb="6" eb="7">
      <t>スウ</t>
    </rPh>
    <rPh sb="7" eb="9">
      <t>カリョク</t>
    </rPh>
    <phoneticPr fontId="2"/>
  </si>
  <si>
    <t>2G</t>
  </si>
  <si>
    <t>ｴﾙﾌ</t>
  </si>
  <si>
    <t>ならず者</t>
  </si>
  <si>
    <t>3/2</t>
    <phoneticPr fontId="2"/>
  </si>
  <si>
    <t>非公開：追加ﾄﾞﾗﾌﾄ。次順ﾊﾟｯｸはﾋﾟｯｸ不可。</t>
    <rPh sb="0" eb="3">
      <t>ヒコウカイ</t>
    </rPh>
    <rPh sb="4" eb="6">
      <t>ツイカ</t>
    </rPh>
    <rPh sb="12" eb="13">
      <t>ジ</t>
    </rPh>
    <rPh sb="13" eb="14">
      <t>ジュン</t>
    </rPh>
    <rPh sb="23" eb="25">
      <t>フカ</t>
    </rPh>
    <phoneticPr fontId="2"/>
  </si>
  <si>
    <t>CNS</t>
    <phoneticPr fontId="2"/>
  </si>
  <si>
    <t>4</t>
  </si>
  <si>
    <t>AC</t>
    <phoneticPr fontId="2"/>
  </si>
  <si>
    <t>構築物</t>
  </si>
  <si>
    <t>3/3</t>
    <phoneticPr fontId="2"/>
  </si>
  <si>
    <t>ﾊﾟｯｸに戻す：追加ﾋﾟｯｸ</t>
    <rPh sb="5" eb="6">
      <t>モド</t>
    </rPh>
    <rPh sb="8" eb="10">
      <t>ツイカ</t>
    </rPh>
    <phoneticPr fontId="2"/>
  </si>
  <si>
    <t>3</t>
  </si>
  <si>
    <t>2/1</t>
    <phoneticPr fontId="2"/>
  </si>
  <si>
    <t>公開時：下家の次ﾋﾟｯｸを見る</t>
    <rPh sb="0" eb="2">
      <t>コウカイ</t>
    </rPh>
    <rPh sb="2" eb="3">
      <t>ジ</t>
    </rPh>
    <rPh sb="4" eb="5">
      <t>シタ</t>
    </rPh>
    <rPh sb="5" eb="6">
      <t>イエ</t>
    </rPh>
    <rPh sb="7" eb="8">
      <t>ジ</t>
    </rPh>
    <rPh sb="13" eb="14">
      <t>ミ</t>
    </rPh>
    <phoneticPr fontId="2"/>
  </si>
  <si>
    <t>5</t>
  </si>
  <si>
    <t>0/0</t>
    <phoneticPr fontId="2"/>
  </si>
  <si>
    <t>記録数+1/+1Co</t>
    <rPh sb="0" eb="2">
      <t>キロク</t>
    </rPh>
    <rPh sb="2" eb="3">
      <t>スウ</t>
    </rPh>
    <phoneticPr fontId="2"/>
  </si>
  <si>
    <t>1</t>
  </si>
  <si>
    <t>1/1</t>
    <phoneticPr fontId="2"/>
  </si>
  <si>
    <t>非公開：非開封ﾊﾟｯｸかﾄﾞﾗﾌﾄﾊﾟｯｸを見る</t>
    <rPh sb="0" eb="3">
      <t>ヒコウカイ</t>
    </rPh>
    <rPh sb="4" eb="5">
      <t>ヒ</t>
    </rPh>
    <rPh sb="5" eb="7">
      <t>カイフウ</t>
    </rPh>
    <rPh sb="22" eb="23">
      <t>ミ</t>
    </rPh>
    <phoneticPr fontId="2"/>
  </si>
  <si>
    <t>策略</t>
  </si>
  <si>
    <t>秘策(生物)：速攻</t>
    <rPh sb="0" eb="2">
      <t>ヒサク</t>
    </rPh>
    <rPh sb="3" eb="5">
      <t>セイブツ</t>
    </rPh>
    <rPh sb="7" eb="9">
      <t>ソッコウ</t>
    </rPh>
    <phoneticPr fontId="2"/>
  </si>
  <si>
    <t>秘策(生物)：+1/+1C</t>
    <rPh sb="0" eb="2">
      <t>ヒサク</t>
    </rPh>
    <rPh sb="3" eb="5">
      <t>セイブツ</t>
    </rPh>
    <phoneticPr fontId="2"/>
  </si>
  <si>
    <t>秘策(生物)：ﾏﾅｸﾘ化</t>
    <rPh sb="0" eb="2">
      <t>ヒサク</t>
    </rPh>
    <rPh sb="3" eb="5">
      <t>セイブツ</t>
    </rPh>
    <rPh sb="11" eb="12">
      <t>カ</t>
    </rPh>
    <phoneticPr fontId="2"/>
  </si>
  <si>
    <t>秘策(ｶｰﾄﾞ名)：MC-1</t>
    <rPh sb="0" eb="2">
      <t>ヒサク</t>
    </rPh>
    <rPh sb="7" eb="8">
      <t>メイ</t>
    </rPh>
    <phoneticPr fontId="2"/>
  </si>
  <si>
    <t>最初の自ﾀｰﾝに1/1防衛</t>
    <rPh sb="0" eb="2">
      <t>サイショ</t>
    </rPh>
    <rPh sb="3" eb="4">
      <t>ジ</t>
    </rPh>
    <rPh sb="11" eb="13">
      <t>ボウエイ</t>
    </rPh>
    <phoneticPr fontId="2"/>
  </si>
  <si>
    <t>秘策(生物)：攻撃時PayW：破壊不能</t>
    <rPh sb="0" eb="2">
      <t>ヒサク</t>
    </rPh>
    <rPh sb="3" eb="5">
      <t>セイブツ</t>
    </rPh>
    <rPh sb="7" eb="9">
      <t>コウゲキ</t>
    </rPh>
    <rPh sb="9" eb="10">
      <t>ジ</t>
    </rPh>
    <rPh sb="15" eb="17">
      <t>ハカイ</t>
    </rPh>
    <rPh sb="17" eb="19">
      <t>フノウ</t>
    </rPh>
    <phoneticPr fontId="2"/>
  </si>
  <si>
    <t>秘策(生物)：攻D時PayU：泥</t>
    <rPh sb="0" eb="2">
      <t>ヒサク</t>
    </rPh>
    <rPh sb="3" eb="5">
      <t>セイブツ</t>
    </rPh>
    <rPh sb="7" eb="8">
      <t>オサム</t>
    </rPh>
    <rPh sb="9" eb="10">
      <t>ジ</t>
    </rPh>
    <rPh sb="15" eb="16">
      <t>ドロ</t>
    </rPh>
    <phoneticPr fontId="2"/>
  </si>
  <si>
    <t>秘策(生物)：死亡誘発PayB：ｿﾞﾝﾋﾞ</t>
    <rPh sb="0" eb="2">
      <t>ヒサク</t>
    </rPh>
    <rPh sb="3" eb="5">
      <t>セイブツ</t>
    </rPh>
    <rPh sb="7" eb="9">
      <t>シボウ</t>
    </rPh>
    <rPh sb="9" eb="11">
      <t>ユウハツ</t>
    </rPh>
    <phoneticPr fontId="2"/>
  </si>
  <si>
    <t>秘策(生物)：ﾌﾞﾚｽ</t>
    <rPh sb="0" eb="2">
      <t>ヒサク</t>
    </rPh>
    <rPh sb="3" eb="5">
      <t>セイブツ</t>
    </rPh>
    <phoneticPr fontId="2"/>
  </si>
  <si>
    <t>秘策(生物)：自戦闘開始時PayG：+1/+1C</t>
    <rPh sb="0" eb="2">
      <t>ヒサク</t>
    </rPh>
    <rPh sb="3" eb="5">
      <t>セイブツ</t>
    </rPh>
    <rPh sb="7" eb="8">
      <t>ジ</t>
    </rPh>
    <rPh sb="8" eb="10">
      <t>セントウ</t>
    </rPh>
    <rPh sb="10" eb="12">
      <t>カイシ</t>
    </rPh>
    <rPh sb="12" eb="13">
      <t>ジ</t>
    </rPh>
    <phoneticPr fontId="2"/>
  </si>
  <si>
    <t>2WW</t>
  </si>
  <si>
    <t>騎士</t>
  </si>
  <si>
    <t>記録/非公開：任意の後続生物1枚名称</t>
    <rPh sb="0" eb="2">
      <t>キロク</t>
    </rPh>
    <rPh sb="7" eb="9">
      <t>ニンイ</t>
    </rPh>
    <rPh sb="10" eb="12">
      <t>コウゾク</t>
    </rPh>
    <rPh sb="12" eb="14">
      <t>セイブツ</t>
    </rPh>
    <rPh sb="15" eb="16">
      <t>マイ</t>
    </rPh>
    <rPh sb="16" eb="18">
      <t>メイショウ</t>
    </rPh>
    <phoneticPr fontId="2"/>
  </si>
  <si>
    <t>記録生物CTR時両者+1/+1絆魂</t>
    <rPh sb="0" eb="2">
      <t>キロク</t>
    </rPh>
    <rPh sb="2" eb="4">
      <t>セイブツ</t>
    </rPh>
    <rPh sb="7" eb="8">
      <t>ジ</t>
    </rPh>
    <rPh sb="8" eb="10">
      <t>リョウシャ</t>
    </rPh>
    <rPh sb="15" eb="16">
      <t>キズナ</t>
    </rPh>
    <rPh sb="16" eb="17">
      <t>タマシイ</t>
    </rPh>
    <phoneticPr fontId="2"/>
  </si>
  <si>
    <t>2UU</t>
  </si>
  <si>
    <t>ｶﾞｰｺﾞｲﾙ</t>
  </si>
  <si>
    <t>公開時：下家の次ﾋﾟｯｸを推測。下家は強制公開。</t>
    <rPh sb="0" eb="2">
      <t>コウカイ</t>
    </rPh>
    <rPh sb="2" eb="3">
      <t>ジ</t>
    </rPh>
    <rPh sb="4" eb="5">
      <t>シモ</t>
    </rPh>
    <rPh sb="5" eb="6">
      <t>イエ</t>
    </rPh>
    <rPh sb="7" eb="8">
      <t>ジ</t>
    </rPh>
    <rPh sb="13" eb="15">
      <t>スイソク</t>
    </rPh>
    <rPh sb="16" eb="17">
      <t>シモ</t>
    </rPh>
    <rPh sb="17" eb="18">
      <t>イエ</t>
    </rPh>
    <rPh sb="19" eb="21">
      <t>キョウセイ</t>
    </rPh>
    <rPh sb="21" eb="23">
      <t>コウカイ</t>
    </rPh>
    <phoneticPr fontId="2"/>
  </si>
  <si>
    <t>飛行　推測判定正ならキャントリ付与</t>
    <rPh sb="3" eb="5">
      <t>スイソク</t>
    </rPh>
    <rPh sb="5" eb="7">
      <t>ハンテイ</t>
    </rPh>
    <rPh sb="7" eb="8">
      <t>セイ</t>
    </rPh>
    <rPh sb="15" eb="17">
      <t>フヨ</t>
    </rPh>
    <phoneticPr fontId="2"/>
  </si>
  <si>
    <t>3B</t>
  </si>
  <si>
    <t>海賊</t>
  </si>
  <si>
    <t>2/2</t>
    <phoneticPr fontId="2"/>
  </si>
  <si>
    <t>記録/非公開：任意の後続ｶｰﾄﾞ1枚</t>
    <rPh sb="0" eb="2">
      <t>キロク</t>
    </rPh>
    <rPh sb="7" eb="9">
      <t>ニンイ</t>
    </rPh>
    <rPh sb="10" eb="12">
      <t>コウゾク</t>
    </rPh>
    <rPh sb="17" eb="18">
      <t>マイ</t>
    </rPh>
    <phoneticPr fontId="2"/>
  </si>
  <si>
    <t>CIP：記録名カードサーチ</t>
    <rPh sb="4" eb="6">
      <t>キロク</t>
    </rPh>
    <rPh sb="6" eb="7">
      <t>メイ</t>
    </rPh>
    <phoneticPr fontId="2"/>
  </si>
  <si>
    <t>4R</t>
  </si>
  <si>
    <t>ｴﾚﾒﾝﾀﾙ</t>
  </si>
  <si>
    <t>猫</t>
  </si>
  <si>
    <t>威迫　記録数+1/+1Co</t>
    <rPh sb="3" eb="5">
      <t>キロク</t>
    </rPh>
    <rPh sb="5" eb="6">
      <t>スウ</t>
    </rPh>
    <phoneticPr fontId="2"/>
  </si>
  <si>
    <t>4G</t>
  </si>
  <si>
    <t>ｱﾊﾞﾀｰ</t>
  </si>
  <si>
    <t>4/4</t>
    <phoneticPr fontId="2"/>
  </si>
  <si>
    <t>刻印：任意の後続ｶｰﾄﾞ</t>
    <rPh sb="0" eb="2">
      <t>コクイン</t>
    </rPh>
    <rPh sb="3" eb="5">
      <t>ニンイ</t>
    </rPh>
    <rPh sb="6" eb="8">
      <t>コウゾク</t>
    </rPh>
    <phoneticPr fontId="2"/>
  </si>
  <si>
    <t>刻印生物キーワード付与</t>
    <rPh sb="0" eb="2">
      <t>コクイン</t>
    </rPh>
    <rPh sb="2" eb="4">
      <t>セイブツ</t>
    </rPh>
    <rPh sb="9" eb="11">
      <t>フヨ</t>
    </rPh>
    <phoneticPr fontId="2"/>
  </si>
  <si>
    <t>2</t>
  </si>
  <si>
    <t>非公開：現ﾊﾟｯｸ総取り。現ﾗｳﾝﾄﾞ全ﾊﾟｽ。</t>
    <rPh sb="4" eb="5">
      <t>ゲン</t>
    </rPh>
    <rPh sb="9" eb="10">
      <t>ソウ</t>
    </rPh>
    <rPh sb="10" eb="11">
      <t>ド</t>
    </rPh>
    <rPh sb="13" eb="14">
      <t>ゲン</t>
    </rPh>
    <rPh sb="19" eb="20">
      <t>ゼン</t>
    </rPh>
    <phoneticPr fontId="2"/>
  </si>
  <si>
    <t>猟犬</t>
  </si>
  <si>
    <t>記録：上家の名称</t>
    <rPh sb="0" eb="2">
      <t>キロク</t>
    </rPh>
    <rPh sb="3" eb="4">
      <t>ウエ</t>
    </rPh>
    <rPh sb="4" eb="5">
      <t>イエ</t>
    </rPh>
    <rPh sb="6" eb="8">
      <t>メイショウ</t>
    </rPh>
    <phoneticPr fontId="2"/>
  </si>
  <si>
    <t>強制攻撃/記録PL強制攻撃</t>
    <rPh sb="5" eb="7">
      <t>キロク</t>
    </rPh>
    <rPh sb="9" eb="11">
      <t>キョウセイ</t>
    </rPh>
    <rPh sb="11" eb="13">
      <t>コウゲキ</t>
    </rPh>
    <phoneticPr fontId="2"/>
  </si>
  <si>
    <t>秘策(生物)：詠唱誘発同名探索</t>
    <rPh sb="0" eb="2">
      <t>ヒサク</t>
    </rPh>
    <rPh sb="3" eb="5">
      <t>セイブツ</t>
    </rPh>
    <rPh sb="7" eb="9">
      <t>エイショウ</t>
    </rPh>
    <rPh sb="9" eb="11">
      <t>ユウハツ</t>
    </rPh>
    <rPh sb="11" eb="13">
      <t>ドウメイ</t>
    </rPh>
    <rPh sb="13" eb="15">
      <t>タンサク</t>
    </rPh>
    <phoneticPr fontId="2"/>
  </si>
  <si>
    <t>秘策(生物)：任意色で詠唱可</t>
    <rPh sb="0" eb="2">
      <t>ヒサク</t>
    </rPh>
    <rPh sb="3" eb="5">
      <t>セイブツ</t>
    </rPh>
    <rPh sb="7" eb="9">
      <t>ニンイ</t>
    </rPh>
    <rPh sb="9" eb="10">
      <t>イロ</t>
    </rPh>
    <rPh sb="11" eb="13">
      <t>エイショウ</t>
    </rPh>
    <rPh sb="13" eb="14">
      <t>カ</t>
    </rPh>
    <phoneticPr fontId="2"/>
  </si>
  <si>
    <t>秘策(I/S)：ｺﾋﾟｰ</t>
    <rPh sb="0" eb="2">
      <t>ヒサク</t>
    </rPh>
    <phoneticPr fontId="2"/>
  </si>
  <si>
    <t>秘策(I/S)：ｷｬﾝﾄﾘｯﾌﾟ</t>
    <rPh sb="0" eb="2">
      <t>ヒサク</t>
    </rPh>
    <phoneticPr fontId="2"/>
  </si>
  <si>
    <t>ﾃﾞｯｷ総数-5</t>
    <rPh sb="4" eb="6">
      <t>ソウスウ</t>
    </rPh>
    <phoneticPr fontId="2"/>
  </si>
  <si>
    <t>開始ﾌﾟﾚｲﾔｰ</t>
    <rPh sb="0" eb="2">
      <t>カイシ</t>
    </rPh>
    <phoneticPr fontId="2"/>
  </si>
  <si>
    <t>秘策(生物)：呪文対象誘発ｺﾋﾟｰ</t>
    <rPh sb="0" eb="2">
      <t>ヒサク</t>
    </rPh>
    <rPh sb="3" eb="5">
      <t>セイブツ</t>
    </rPh>
    <rPh sb="7" eb="9">
      <t>ジュモン</t>
    </rPh>
    <rPh sb="9" eb="11">
      <t>タイショウ</t>
    </rPh>
    <rPh sb="11" eb="13">
      <t>ユウハツ</t>
    </rPh>
    <phoneticPr fontId="2"/>
  </si>
  <si>
    <t>両策(生物)：片方詠唱時、片方探索</t>
    <rPh sb="0" eb="1">
      <t>リョウ</t>
    </rPh>
    <rPh sb="1" eb="2">
      <t>サク</t>
    </rPh>
    <rPh sb="3" eb="5">
      <t>セイブツ</t>
    </rPh>
    <rPh sb="7" eb="9">
      <t>カタホウ</t>
    </rPh>
    <rPh sb="9" eb="11">
      <t>エイショウ</t>
    </rPh>
    <rPh sb="11" eb="12">
      <t>ジ</t>
    </rPh>
    <rPh sb="13" eb="15">
      <t>カタホウ</t>
    </rPh>
    <rPh sb="15" eb="17">
      <t>タンサク</t>
    </rPh>
    <phoneticPr fontId="2"/>
  </si>
  <si>
    <t>1W</t>
  </si>
  <si>
    <t>兵士</t>
  </si>
  <si>
    <t>記録/非公開：任意の後続生物部族名</t>
    <rPh sb="0" eb="2">
      <t>キロク</t>
    </rPh>
    <rPh sb="7" eb="9">
      <t>ニンイ</t>
    </rPh>
    <rPh sb="10" eb="12">
      <t>コウゾク</t>
    </rPh>
    <rPh sb="12" eb="14">
      <t>セイブツ</t>
    </rPh>
    <rPh sb="14" eb="16">
      <t>ブゾク</t>
    </rPh>
    <rPh sb="16" eb="17">
      <t>メイ</t>
    </rPh>
    <phoneticPr fontId="2"/>
  </si>
  <si>
    <t>記録部族ロード</t>
    <rPh sb="0" eb="2">
      <t>キロク</t>
    </rPh>
    <rPh sb="2" eb="4">
      <t>ブゾク</t>
    </rPh>
    <phoneticPr fontId="2"/>
  </si>
  <si>
    <t>3UU</t>
  </si>
  <si>
    <t>ｳｨｻﾞｰﾄﾞ</t>
  </si>
  <si>
    <t>.3/3</t>
  </si>
  <si>
    <t>G開始前/刻印：残ﾌﾟｰﾙからI/S1枚</t>
    <rPh sb="1" eb="4">
      <t>カイシマエ</t>
    </rPh>
    <rPh sb="5" eb="7">
      <t>コクイン</t>
    </rPh>
    <rPh sb="8" eb="9">
      <t>ザン</t>
    </rPh>
    <phoneticPr fontId="2"/>
  </si>
  <si>
    <t>CIP：刻印呪文唱</t>
    <rPh sb="4" eb="6">
      <t>コクイン</t>
    </rPh>
    <rPh sb="6" eb="8">
      <t>ジュモン</t>
    </rPh>
    <rPh sb="8" eb="9">
      <t>トナ</t>
    </rPh>
    <phoneticPr fontId="2"/>
  </si>
  <si>
    <t>2BB</t>
  </si>
  <si>
    <t>ﾃﾞｰﾓﾝ</t>
  </si>
  <si>
    <t>5/4</t>
    <phoneticPr fontId="2"/>
  </si>
  <si>
    <t>公開時：次3ﾋﾟｯｸは内容見ずに無作為ﾋﾟｯｸ</t>
    <rPh sb="0" eb="2">
      <t>コウカイ</t>
    </rPh>
    <rPh sb="2" eb="3">
      <t>ジ</t>
    </rPh>
    <rPh sb="4" eb="5">
      <t>ジ</t>
    </rPh>
    <rPh sb="11" eb="13">
      <t>ナイヨウ</t>
    </rPh>
    <rPh sb="13" eb="14">
      <t>ミ</t>
    </rPh>
    <rPh sb="16" eb="19">
      <t>ムサクイ</t>
    </rPh>
    <phoneticPr fontId="2"/>
  </si>
  <si>
    <t>ｷﾏｲﾗ</t>
  </si>
  <si>
    <t>.3/2</t>
  </si>
  <si>
    <t>G開始前/刻印：残ﾌﾟｰﾙから生物を3枚以上</t>
    <rPh sb="1" eb="4">
      <t>カイシマエ</t>
    </rPh>
    <rPh sb="5" eb="7">
      <t>コクイン</t>
    </rPh>
    <rPh sb="8" eb="9">
      <t>ザン</t>
    </rPh>
    <rPh sb="15" eb="17">
      <t>セイブツ</t>
    </rPh>
    <rPh sb="19" eb="22">
      <t>マイイジョウ</t>
    </rPh>
    <phoneticPr fontId="2"/>
  </si>
  <si>
    <t>1R:無作為に刻印生物化</t>
    <rPh sb="3" eb="6">
      <t>ムサクイ</t>
    </rPh>
    <rPh sb="7" eb="9">
      <t>コクイン</t>
    </rPh>
    <rPh sb="9" eb="11">
      <t>セイブツ</t>
    </rPh>
    <rPh sb="11" eb="12">
      <t>カ</t>
    </rPh>
    <phoneticPr fontId="2"/>
  </si>
  <si>
    <t>3G</t>
  </si>
  <si>
    <t>ｼｬｰﾏﾝ</t>
  </si>
  <si>
    <t>.2/4</t>
  </si>
  <si>
    <t>G開始前/刻印：残ﾌﾟｰﾙから生物1枚</t>
    <rPh sb="1" eb="4">
      <t>カイシマエ</t>
    </rPh>
    <rPh sb="5" eb="7">
      <t>コクイン</t>
    </rPh>
    <rPh sb="8" eb="9">
      <t>ザン</t>
    </rPh>
    <rPh sb="15" eb="17">
      <t>セイブツ</t>
    </rPh>
    <rPh sb="18" eb="19">
      <t>マイ</t>
    </rPh>
    <phoneticPr fontId="2"/>
  </si>
  <si>
    <t>XT:刻印生物召喚</t>
    <rPh sb="3" eb="5">
      <t>コクイン</t>
    </rPh>
    <rPh sb="5" eb="7">
      <t>セイブツ</t>
    </rPh>
    <rPh sb="7" eb="9">
      <t>ショウカン</t>
    </rPh>
    <phoneticPr fontId="2"/>
  </si>
  <si>
    <t>7</t>
  </si>
  <si>
    <t>6/4</t>
    <phoneticPr fontId="2"/>
  </si>
  <si>
    <t>記録：次ﾋﾟｯｸｶｰﾄﾞ</t>
    <rPh sb="0" eb="2">
      <t>キロク</t>
    </rPh>
    <rPh sb="3" eb="4">
      <t>ジ</t>
    </rPh>
    <phoneticPr fontId="2"/>
  </si>
  <si>
    <t>記録カード続唱</t>
    <rPh sb="0" eb="2">
      <t>キロク</t>
    </rPh>
    <rPh sb="5" eb="6">
      <t>ゾク</t>
    </rPh>
    <rPh sb="6" eb="7">
      <t>ショウ</t>
    </rPh>
    <phoneticPr fontId="2"/>
  </si>
  <si>
    <t>1/5</t>
    <phoneticPr fontId="2"/>
  </si>
  <si>
    <t>ﾗｳﾝﾄﾞ終了時：各ﾊﾟｯｸの最終ｶｰﾄﾞを取得</t>
    <rPh sb="5" eb="7">
      <t>シュウリョウ</t>
    </rPh>
    <rPh sb="7" eb="8">
      <t>ジ</t>
    </rPh>
    <rPh sb="9" eb="10">
      <t>カク</t>
    </rPh>
    <rPh sb="15" eb="17">
      <t>サイシュウ</t>
    </rPh>
    <rPh sb="22" eb="24">
      <t>シュトク</t>
    </rPh>
    <phoneticPr fontId="2"/>
  </si>
  <si>
    <t>T:任意墓地カード1→Liv下</t>
    <rPh sb="2" eb="4">
      <t>ニンイ</t>
    </rPh>
    <rPh sb="4" eb="6">
      <t>ボチ</t>
    </rPh>
    <rPh sb="14" eb="15">
      <t>シタ</t>
    </rPh>
    <phoneticPr fontId="2"/>
  </si>
  <si>
    <t>6</t>
  </si>
  <si>
    <t>刻印数+1/+1Co</t>
    <rPh sb="0" eb="2">
      <t>コクイン</t>
    </rPh>
    <rPh sb="2" eb="3">
      <t>スウ</t>
    </rPh>
    <phoneticPr fontId="2"/>
  </si>
  <si>
    <t>2/3</t>
    <phoneticPr fontId="2"/>
  </si>
  <si>
    <t>全ﾗｳﾝﾄﾞ終了時：他ﾌﾟﾚｲﾔｰと1枚ｶｰﾄﾞ交換可能</t>
    <rPh sb="0" eb="1">
      <t>ゼン</t>
    </rPh>
    <rPh sb="6" eb="9">
      <t>シュウリョウジ</t>
    </rPh>
    <rPh sb="10" eb="11">
      <t>タ</t>
    </rPh>
    <rPh sb="19" eb="20">
      <t>マイ</t>
    </rPh>
    <rPh sb="24" eb="26">
      <t>コウカン</t>
    </rPh>
    <rPh sb="26" eb="28">
      <t>カノウ</t>
    </rPh>
    <phoneticPr fontId="2"/>
  </si>
  <si>
    <t>T:ルーター</t>
    <phoneticPr fontId="2"/>
  </si>
  <si>
    <t>公開時：ﾊﾟｯｸ追加</t>
    <rPh sb="0" eb="2">
      <t>コウカイ</t>
    </rPh>
    <rPh sb="2" eb="3">
      <t>ジ</t>
    </rPh>
    <rPh sb="8" eb="10">
      <t>ツイカ</t>
    </rPh>
    <phoneticPr fontId="2"/>
  </si>
  <si>
    <t>伝説の土地</t>
  </si>
  <si>
    <t>T:選択色のいずれか発生</t>
    <rPh sb="2" eb="4">
      <t>センタク</t>
    </rPh>
    <rPh sb="4" eb="5">
      <t>ショク</t>
    </rPh>
    <rPh sb="10" eb="12">
      <t>ハッセイ</t>
    </rPh>
    <phoneticPr fontId="2"/>
  </si>
  <si>
    <t>G開始時B手札作成。AorB選択。非選択をデッキへ。</t>
    <rPh sb="1" eb="3">
      <t>カイシ</t>
    </rPh>
    <rPh sb="3" eb="4">
      <t>ジ</t>
    </rPh>
    <rPh sb="5" eb="7">
      <t>テフダ</t>
    </rPh>
    <rPh sb="7" eb="9">
      <t>サクセイ</t>
    </rPh>
    <rPh sb="14" eb="16">
      <t>センタク</t>
    </rPh>
    <rPh sb="17" eb="18">
      <t>ヒ</t>
    </rPh>
    <rPh sb="18" eb="20">
      <t>センタク</t>
    </rPh>
    <phoneticPr fontId="2"/>
  </si>
  <si>
    <t xml:space="preserve">策略 </t>
  </si>
  <si>
    <t>全ﾌﾟｰﾙ採用時：土地は全色土地</t>
    <rPh sb="0" eb="1">
      <t>ゼン</t>
    </rPh>
    <rPh sb="5" eb="7">
      <t>サイヨウ</t>
    </rPh>
    <rPh sb="7" eb="8">
      <t>ジ</t>
    </rPh>
    <rPh sb="9" eb="11">
      <t>トチ</t>
    </rPh>
    <rPh sb="12" eb="14">
      <t>ゼンショク</t>
    </rPh>
    <rPh sb="14" eb="16">
      <t>トチ</t>
    </rPh>
    <phoneticPr fontId="2"/>
  </si>
  <si>
    <t>G開始時1.2.3選択。選択CMC生物ｶｰﾄﾞ任意色詠唱可</t>
    <rPh sb="1" eb="3">
      <t>カイシ</t>
    </rPh>
    <rPh sb="3" eb="4">
      <t>ジ</t>
    </rPh>
    <rPh sb="9" eb="11">
      <t>センタク</t>
    </rPh>
    <rPh sb="12" eb="14">
      <t>センタク</t>
    </rPh>
    <rPh sb="17" eb="19">
      <t>セイブツ</t>
    </rPh>
    <rPh sb="23" eb="25">
      <t>ニンイ</t>
    </rPh>
    <rPh sb="25" eb="26">
      <t>ショク</t>
    </rPh>
    <rPh sb="26" eb="28">
      <t>エイショウ</t>
    </rPh>
    <rPh sb="28" eb="29">
      <t>カ</t>
    </rPh>
    <phoneticPr fontId="2"/>
  </si>
  <si>
    <t>最初の自ﾀｰﾝに1/2防衛。他ﾌﾟﾚｲﾔｰは1/1</t>
    <rPh sb="0" eb="2">
      <t>サイショ</t>
    </rPh>
    <rPh sb="3" eb="4">
      <t>ジ</t>
    </rPh>
    <rPh sb="11" eb="13">
      <t>ボウエイ</t>
    </rPh>
    <rPh sb="14" eb="15">
      <t>タ</t>
    </rPh>
    <phoneticPr fontId="2"/>
  </si>
  <si>
    <t>自軍生物、戦闘時Tﾀﾞﾒｰｼﾞ</t>
    <rPh sb="0" eb="1">
      <t>ジ</t>
    </rPh>
    <rPh sb="1" eb="2">
      <t>グン</t>
    </rPh>
    <rPh sb="2" eb="4">
      <t>セイブツ</t>
    </rPh>
    <rPh sb="5" eb="7">
      <t>セントウ</t>
    </rPh>
    <rPh sb="7" eb="8">
      <t>ジ</t>
    </rPh>
    <phoneticPr fontId="2"/>
  </si>
  <si>
    <t>M</t>
  </si>
  <si>
    <t>各ﾀｰﾝ詠唱生物MC-1　I/S詠唱不可</t>
    <rPh sb="0" eb="1">
      <t>カク</t>
    </rPh>
    <rPh sb="4" eb="6">
      <t>エイショウ</t>
    </rPh>
    <rPh sb="6" eb="8">
      <t>セイブツ</t>
    </rPh>
    <rPh sb="16" eb="18">
      <t>エイショウ</t>
    </rPh>
    <rPh sb="18" eb="20">
      <t>フカ</t>
    </rPh>
    <phoneticPr fontId="2"/>
  </si>
  <si>
    <t>自ﾃﾞｯｷ基本土地不可。手札5枚。手札1追放：基本土地ﾌﾟﾚｲ可。基本土地：全色土地</t>
    <rPh sb="0" eb="1">
      <t>ジ</t>
    </rPh>
    <rPh sb="5" eb="7">
      <t>キホン</t>
    </rPh>
    <rPh sb="7" eb="9">
      <t>トチ</t>
    </rPh>
    <rPh sb="9" eb="11">
      <t>フカ</t>
    </rPh>
    <rPh sb="12" eb="14">
      <t>テフダ</t>
    </rPh>
    <rPh sb="15" eb="16">
      <t>マイ</t>
    </rPh>
    <rPh sb="17" eb="19">
      <t>テフダ</t>
    </rPh>
    <rPh sb="20" eb="22">
      <t>ツイホウ</t>
    </rPh>
    <rPh sb="24" eb="25">
      <t>キホン</t>
    </rPh>
    <rPh sb="25" eb="27">
      <t>トチ</t>
    </rPh>
    <rPh sb="33" eb="35">
      <t>キホン</t>
    </rPh>
    <rPh sb="35" eb="37">
      <t>トチ</t>
    </rPh>
    <rPh sb="38" eb="40">
      <t>ゼンショク</t>
    </rPh>
    <rPh sb="40" eb="42">
      <t>トチ</t>
    </rPh>
    <phoneticPr fontId="2"/>
  </si>
  <si>
    <t>ｶｽﾄﾃﾞｨの平和の番人</t>
  </si>
  <si>
    <t>Custodi Peacekeeper</t>
  </si>
  <si>
    <t>幻影の密通者</t>
  </si>
  <si>
    <t>Illusionary Informant</t>
  </si>
  <si>
    <t>大逆</t>
  </si>
  <si>
    <t>Regicide</t>
  </si>
  <si>
    <t>ｺﾞﾐ焼却</t>
  </si>
  <si>
    <t>Garbage Fire</t>
  </si>
  <si>
    <t>ﾚｵヴｫﾙﾄﾞの調査員</t>
  </si>
  <si>
    <t>Leovold's Operative</t>
  </si>
  <si>
    <t>歯車式司書</t>
  </si>
  <si>
    <t>Cogwork Librarian</t>
  </si>
  <si>
    <t>歯車式ｽﾊﾟｲ</t>
  </si>
  <si>
    <t>Cogwork Spy</t>
  </si>
  <si>
    <t>隠れ潜む自動機械</t>
  </si>
  <si>
    <t>Lurking Automaton</t>
  </si>
  <si>
    <t>囁く歯車の隠密</t>
  </si>
  <si>
    <t>Whispergear Sneak</t>
  </si>
  <si>
    <t>即応行動</t>
  </si>
  <si>
    <t>Immediate Action</t>
  </si>
  <si>
    <t>ﾑｯﾂｨｵの準備</t>
  </si>
  <si>
    <t>Muzzio's Preparations</t>
  </si>
  <si>
    <t>楽園の秘密</t>
  </si>
  <si>
    <t>Secrets of Paradise</t>
  </si>
  <si>
    <t>ﾌﾞﾚｲｺﾞの好意</t>
  </si>
  <si>
    <t>Brago's Favor</t>
  </si>
  <si>
    <t>歩哨の出勤</t>
  </si>
  <si>
    <t>Sentinel Dispatch</t>
  </si>
  <si>
    <t>ｱﾄﾞﾘｱﾅの武勇</t>
  </si>
  <si>
    <t>Adriana's Valor</t>
  </si>
  <si>
    <t>雇われ夜盗</t>
  </si>
  <si>
    <t>Hired Heist</t>
  </si>
  <si>
    <t>雑兵の召集</t>
  </si>
  <si>
    <t>Assemble the Rank and Vile</t>
  </si>
  <si>
    <t>煽動的な異論</t>
  </si>
  <si>
    <t>Incendiary Dissent</t>
  </si>
  <si>
    <t>自然な団結</t>
  </si>
  <si>
    <t>Natural Unity</t>
  </si>
  <si>
    <t>高潔な旗騎士</t>
  </si>
  <si>
    <t>Noble Banneret</t>
  </si>
  <si>
    <t>尖塔の幻影獣</t>
  </si>
  <si>
    <t>Spire Phantasm</t>
  </si>
  <si>
    <t>密輸人の隊長</t>
  </si>
  <si>
    <t>Smuggler Captain</t>
  </si>
  <si>
    <t>紅蓮の狩り手</t>
  </si>
  <si>
    <t>Pyretic Hunter</t>
  </si>
  <si>
    <t>捕食の欲動</t>
  </si>
  <si>
    <t>Animus of Predation</t>
  </si>
  <si>
    <t>獲得の工作員</t>
  </si>
  <si>
    <t>Agent of Acquisitions</t>
  </si>
  <si>
    <t>歯車式足跡追い</t>
  </si>
  <si>
    <t>Cogwork Tracker</t>
  </si>
  <si>
    <t>秘密の召喚</t>
  </si>
  <si>
    <t>Secret Summoning</t>
  </si>
  <si>
    <t>予想外の潜在力</t>
  </si>
  <si>
    <t>Unexpected Potential</t>
  </si>
  <si>
    <t>一石二鳥</t>
  </si>
  <si>
    <t>Double Stroke</t>
  </si>
  <si>
    <t>反復分析</t>
  </si>
  <si>
    <t>Iterative Analysis</t>
  </si>
  <si>
    <t>好都合な宣言</t>
  </si>
  <si>
    <t>Advantageous Proclamation</t>
  </si>
  <si>
    <t>権力行使</t>
  </si>
  <si>
    <t>Power Play</t>
  </si>
  <si>
    <t>残響する加護</t>
  </si>
  <si>
    <t>Echoing Boon</t>
  </si>
  <si>
    <t>召喚者の絆</t>
  </si>
  <si>
    <t>Summoner's Bond</t>
  </si>
  <si>
    <t>ﾊﾟﾘｱﾉの先兵</t>
  </si>
  <si>
    <t>Paliano Vanguard</t>
  </si>
  <si>
    <t>秘儀の学者</t>
  </si>
  <si>
    <t>Arcane Savant</t>
  </si>
  <si>
    <t>ﾊﾟﾘｱﾉの大悪魔</t>
  </si>
  <si>
    <t>Archdemon of Paliano</t>
  </si>
  <si>
    <t>移り気なｷﾏｲﾗ</t>
  </si>
  <si>
    <t>Volatile Chimera</t>
  </si>
  <si>
    <t>獣性を呼ぶ者</t>
  </si>
  <si>
    <t>Caller of the Untamed</t>
  </si>
  <si>
    <t>霊気探知機</t>
  </si>
  <si>
    <t>Aether Searcher</t>
  </si>
  <si>
    <t>運河浚渫機</t>
  </si>
  <si>
    <t>Canal Dredger</t>
  </si>
  <si>
    <t>歯車式掘削者</t>
  </si>
  <si>
    <t>Cogwork Grinder</t>
  </si>
  <si>
    <t>取引仲介機</t>
  </si>
  <si>
    <t>Deal Broker</t>
  </si>
  <si>
    <t>知識の探求者</t>
  </si>
  <si>
    <t>Lore Seeker</t>
  </si>
  <si>
    <t>高層都市ﾊﾟﾘｱﾉ</t>
  </si>
  <si>
    <t>Paliano, the High City</t>
  </si>
  <si>
    <t>代替案</t>
  </si>
  <si>
    <t>Backup Plan</t>
  </si>
  <si>
    <t>世界編み</t>
  </si>
  <si>
    <t>Worldnit</t>
  </si>
  <si>
    <t>使者の策謀</t>
  </si>
  <si>
    <t>Emissary's Ploy</t>
  </si>
  <si>
    <t>防衛線の維持</t>
  </si>
  <si>
    <t>Hold the Permeter</t>
  </si>
  <si>
    <t>重量的優位</t>
  </si>
  <si>
    <t>Weight Advantage</t>
  </si>
  <si>
    <t>野生の讃歌</t>
  </si>
  <si>
    <t>Hymn of the Wilds</t>
  </si>
  <si>
    <t>君主の領域</t>
  </si>
  <si>
    <t>Sovereign's Realm</t>
  </si>
  <si>
    <t>CNS</t>
  </si>
  <si>
    <t>CN2</t>
  </si>
  <si>
    <t>スレイベンの検査官が戦場に出たとき、調査を行う。</t>
  </si>
  <si>
    <t>ゾンビ(Zombie)</t>
  </si>
  <si>
    <t>賛美</t>
  </si>
  <si>
    <t>召集</t>
  </si>
  <si>
    <t>CIP</t>
    <phoneticPr fontId="2"/>
  </si>
  <si>
    <t>進化する未開地</t>
  </si>
  <si>
    <t>土地</t>
  </si>
  <si>
    <t>(Ｔ),進化する未開地を生け贄に捧げる：あなたのライブラリーから基本土地カードを１枚探し、それをタップ状態で戦場に出す。その後、あなたのライブラリーを切り直す。</t>
  </si>
  <si>
    <t>断ち割る尖塔</t>
  </si>
  <si>
    <t>断ち割る尖塔はタップ状態で戦場に出る。</t>
  </si>
  <si>
    <t>断ち割る尖塔が戦場に出たとき、あなたが(１)を支払わないかぎり、これを生け贄に捧げる。</t>
  </si>
  <si>
    <t>(Ｔ)：あなたのマナ・プールに好きな色のマナ１点を加える。</t>
  </si>
  <si>
    <t>天球儀</t>
  </si>
  <si>
    <t>(２),(Ｔ),天球儀を生け贄に捧げる：あなたのライブラリーから基本土地カードを最大２枚まで探し、それらを公開してあなたの手札に加える。その後、あなたのライブラリーを切り直す。</t>
  </si>
  <si>
    <t>マナリス</t>
  </si>
  <si>
    <t>(Ｔ)：あなたのマナ・プールに、好きな色１色のマナ１点を加える。</t>
  </si>
  <si>
    <t>検査器具</t>
  </si>
  <si>
    <t>(U),検査器具を生け贄に捧げる：カードを１枚引く。</t>
  </si>
  <si>
    <t>検査器具が戦場から墓地に置かれたとき、カードを１枚引く。</t>
  </si>
  <si>
    <t>蜘蛛糸の網</t>
  </si>
  <si>
    <t>装備しているクリーチャーは+0/+2の修整を受けるとともに到達を持つ。</t>
  </si>
  <si>
    <t>DTK</t>
  </si>
  <si>
    <t>LC03</t>
    <phoneticPr fontId="2"/>
  </si>
  <si>
    <t>光輝の泉</t>
  </si>
  <si>
    <t>光輝の泉が戦場に出たとき、あなたは２点のライフを得る。</t>
  </si>
  <si>
    <t>CIP</t>
  </si>
  <si>
    <t>変身</t>
    <rPh sb="0" eb="2">
      <t>ヘンシン</t>
    </rPh>
    <phoneticPr fontId="2"/>
  </si>
  <si>
    <t>CIP/除去</t>
    <rPh sb="4" eb="6">
      <t>ジョキョ</t>
    </rPh>
    <phoneticPr fontId="2"/>
  </si>
  <si>
    <t>CIP/回収</t>
    <rPh sb="4" eb="6">
      <t>カイシュウ</t>
    </rPh>
    <phoneticPr fontId="2"/>
  </si>
  <si>
    <t>I/除去</t>
    <rPh sb="2" eb="4">
      <t>ジョキョ</t>
    </rPh>
    <phoneticPr fontId="2"/>
  </si>
  <si>
    <t>C</t>
    <phoneticPr fontId="2"/>
  </si>
  <si>
    <t>DF</t>
    <phoneticPr fontId="2"/>
  </si>
  <si>
    <t>I</t>
    <phoneticPr fontId="2"/>
  </si>
  <si>
    <t>S/除去</t>
    <rPh sb="2" eb="4">
      <t>ジョキョ</t>
    </rPh>
    <phoneticPr fontId="2"/>
  </si>
  <si>
    <t>S</t>
    <phoneticPr fontId="2"/>
  </si>
  <si>
    <t>爆炎の稲妻</t>
  </si>
  <si>
    <t>クリーチャー１体を対象とする。爆炎の稲妻はそれに５点のダメージを与える。そのクリーチャーにつけられているすべての装備品(Equipment)を破壊する。</t>
  </si>
  <si>
    <t>剥ぎ取り</t>
  </si>
  <si>
    <t>クリーチャー１体を対象とする。それにつけられている、すべてのオーラ(Aura)とすべての装備品(Equipment)を破壊する。</t>
  </si>
  <si>
    <t>Shadowmoor</t>
  </si>
  <si>
    <t>破砕</t>
  </si>
  <si>
    <t>アーティファクト１つか土地１つを対象とし、それを破壊する。</t>
  </si>
  <si>
    <t>大地への回帰</t>
  </si>
  <si>
    <t>アーティファクト１つかエンチャント１つか飛行を持つクリーチャー１体を対象とし、それを破壊する。</t>
  </si>
  <si>
    <t>ショック</t>
  </si>
  <si>
    <t>2点</t>
    <rPh sb="1" eb="2">
      <t>テン</t>
    </rPh>
    <phoneticPr fontId="2"/>
  </si>
  <si>
    <t>蜘蛛の掌握</t>
  </si>
  <si>
    <t>(２)(緑)</t>
  </si>
  <si>
    <t>クリーチャー１体を対象とし、それをアンタップする。ターン終了時まで、それは+2/+4の修整を受けるとともに到達を得る。</t>
  </si>
  <si>
    <t>イニストラード</t>
  </si>
  <si>
    <t>弱者狩り</t>
  </si>
  <si>
    <t>(３)(緑)</t>
  </si>
  <si>
    <t>あなたがコントロールしているクリーチャー１体と、あなたがコントロールしていないクリーチャー１体を対象とする。その前者の上に+1/+1カウンターを１個置く。その後、その前者はその後者と格闘を行う。</t>
  </si>
  <si>
    <t>運命再編</t>
  </si>
  <si>
    <t>S</t>
  </si>
  <si>
    <t>C/B</t>
    <phoneticPr fontId="2"/>
  </si>
  <si>
    <t>I</t>
  </si>
  <si>
    <t>I</t>
    <phoneticPr fontId="2"/>
  </si>
  <si>
    <t>GC11</t>
    <phoneticPr fontId="2"/>
  </si>
  <si>
    <t>GC12</t>
    <phoneticPr fontId="2"/>
  </si>
  <si>
    <t>無効化</t>
  </si>
  <si>
    <t>(青)(青)</t>
  </si>
  <si>
    <t>クリーチャー呪文１つかオーラ(Aura)呪文１つを対象とし、それを打ち消す。</t>
  </si>
  <si>
    <t>取り消し</t>
  </si>
  <si>
    <t>(１)(青)(青)</t>
  </si>
  <si>
    <t>呪文１つを対象とし、それを打ち消す。</t>
  </si>
  <si>
    <t>送還</t>
  </si>
  <si>
    <t>(青)</t>
  </si>
  <si>
    <t>クリーチャー１体を対象とし、それをオーナーの手札に戻す。</t>
  </si>
  <si>
    <t>引きずり込み</t>
  </si>
  <si>
    <t>(２)(青)</t>
  </si>
  <si>
    <t>カードを１枚引く。</t>
  </si>
  <si>
    <t>EMN</t>
  </si>
  <si>
    <t>MC01</t>
    <phoneticPr fontId="2"/>
  </si>
  <si>
    <t>MC02</t>
    <phoneticPr fontId="2"/>
  </si>
  <si>
    <t>MC03</t>
  </si>
  <si>
    <t>MC04</t>
  </si>
  <si>
    <t>MC05</t>
  </si>
  <si>
    <t>MC06</t>
  </si>
  <si>
    <t>MC07</t>
  </si>
  <si>
    <t>MC08</t>
  </si>
  <si>
    <t>MC09</t>
  </si>
  <si>
    <t>MC10</t>
  </si>
  <si>
    <t>NC08</t>
  </si>
  <si>
    <t>NC09</t>
  </si>
  <si>
    <t>NC10</t>
  </si>
  <si>
    <t>LC04</t>
  </si>
  <si>
    <t>LC05</t>
  </si>
  <si>
    <t>吸血鬼(Vampire)</t>
    <phoneticPr fontId="2"/>
  </si>
  <si>
    <t>アラダラ急行</t>
  </si>
  <si>
    <t>機体</t>
    <rPh sb="0" eb="2">
      <t>キタイ</t>
    </rPh>
    <phoneticPr fontId="2"/>
  </si>
  <si>
    <t>威迫</t>
    <rPh sb="0" eb="2">
      <t>イハク</t>
    </rPh>
    <phoneticPr fontId="2"/>
  </si>
  <si>
    <t>搭乗4</t>
    <rPh sb="0" eb="2">
      <t>トウジョウ</t>
    </rPh>
    <phoneticPr fontId="2"/>
  </si>
  <si>
    <t>カラデシュ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</si>
</sst>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6">
    <font>
      <sz val="11"/>
      <color theme="1"/>
      <name val="游ゴシック"/>
      <family val="2"/>
      <charset val="128"/>
      <scheme val="minor"/>
    </font>
    <font>
      <sz val="10"/>
      <color rgb="FF000000"/>
      <name val="Arial Unicode MS"/>
      <family val="2"/>
    </font>
    <font>
      <sz val="6"/>
      <name val="游ゴシック"/>
      <family val="2"/>
      <charset val="128"/>
      <scheme val="minor"/>
    </font>
    <font>
      <sz val="10"/>
      <color rgb="FF000000"/>
      <name val="ＭＳ Ｐゴシック"/>
      <family val="3"/>
      <charset val="128"/>
    </font>
    <font>
      <sz val="11"/>
      <color theme="1"/>
      <name val="Arial Unicode MS"/>
      <family val="2"/>
    </font>
    <font>
      <sz val="11"/>
      <color rgb="FF000000"/>
      <name val="Arial Unicode MS"/>
    </font>
    <font>
      <sz val="10"/>
      <color rgb="FF000000"/>
      <name val="Arial Unicode MS"/>
      <family val="3"/>
      <charset val="128"/>
    </font>
    <font>
      <sz val="11"/>
      <color rgb="FF000000"/>
      <name val="ＭＳ Ｐゴシック"/>
      <family val="3"/>
      <charset val="128"/>
    </font>
    <font>
      <sz val="11"/>
      <color theme="1"/>
      <name val="ＭＳ Ｐゴシック"/>
      <family val="3"/>
      <charset val="128"/>
    </font>
    <font>
      <sz val="10"/>
      <color rgb="FF000000"/>
      <name val="Arial Unicode MS"/>
    </font>
    <font>
      <sz val="10"/>
      <color theme="1"/>
      <name val="Arial Unicode MS"/>
      <family val="2"/>
    </font>
    <font>
      <sz val="10"/>
      <color theme="1"/>
      <name val="游ゴシック"/>
      <family val="2"/>
      <charset val="128"/>
    </font>
    <font>
      <sz val="10"/>
      <color theme="1"/>
      <name val="ＭＳ Ｐゴシック"/>
      <family val="3"/>
      <charset val="128"/>
    </font>
    <font>
      <sz val="10"/>
      <color theme="1"/>
      <name val="Arial Unicode MS"/>
      <family val="3"/>
      <charset val="128"/>
    </font>
    <font>
      <sz val="11"/>
      <color theme="1"/>
      <name val="Arial Unicode MS"/>
      <family val="3"/>
      <charset val="128"/>
    </font>
    <font>
      <sz val="11"/>
      <color theme="1"/>
      <name val="游ゴシック"/>
      <family val="2"/>
      <charset val="128"/>
      <scheme val="minor"/>
    </font>
  </fonts>
  <fills count="8">
    <fill>
      <patternFill patternType="none"/>
    </fill>
    <fill>
      <patternFill patternType="gray125"/>
    </fill>
    <fill>
      <patternFill patternType="solid">
        <fgColor rgb="FFFFFF00"/>
        <bgColor indexed="64"/>
      </patternFill>
    </fill>
    <fill>
      <patternFill patternType="mediumGray"/>
    </fill>
    <fill>
      <patternFill patternType="solid">
        <fgColor theme="7"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7" tint="0.39997558519241921"/>
        <bgColor indexed="64"/>
      </patternFill>
    </fill>
  </fills>
  <borders count="3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s>
  <cellStyleXfs count="2">
    <xf numFmtId="0" fontId="0" fillId="0" borderId="0">
      <alignment vertical="center"/>
    </xf>
    <xf numFmtId="9" fontId="15" fillId="0" borderId="0" applyFont="0" applyFill="0" applyBorder="0" applyAlignment="0" applyProtection="0">
      <alignment vertical="center"/>
    </xf>
  </cellStyleXfs>
  <cellXfs count="85">
    <xf numFmtId="0" fontId="0" fillId="0" borderId="0" xfId="0">
      <alignment vertical="center"/>
    </xf>
    <xf numFmtId="0" fontId="1"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2" borderId="0" xfId="0" applyFill="1">
      <alignment vertical="center"/>
    </xf>
    <xf numFmtId="0" fontId="6" fillId="0" borderId="0" xfId="0" applyFont="1">
      <alignment vertical="center"/>
    </xf>
    <xf numFmtId="0" fontId="7" fillId="0" borderId="0" xfId="0" applyFont="1">
      <alignment vertical="center"/>
    </xf>
    <xf numFmtId="0" fontId="0" fillId="0" borderId="0" xfId="0" applyFill="1">
      <alignment vertical="center"/>
    </xf>
    <xf numFmtId="0" fontId="0" fillId="3" borderId="0" xfId="0" applyFill="1">
      <alignment vertical="center"/>
    </xf>
    <xf numFmtId="0" fontId="9" fillId="0" borderId="0" xfId="0" applyFont="1">
      <alignment vertical="center"/>
    </xf>
    <xf numFmtId="0" fontId="10" fillId="0" borderId="0" xfId="0" applyFont="1">
      <alignment vertical="center"/>
    </xf>
    <xf numFmtId="0" fontId="1" fillId="3" borderId="0" xfId="0" applyFont="1" applyFill="1">
      <alignment vertical="center"/>
    </xf>
    <xf numFmtId="0" fontId="3" fillId="3" borderId="0" xfId="0" applyFont="1" applyFill="1">
      <alignment vertical="center"/>
    </xf>
    <xf numFmtId="0" fontId="0" fillId="4" borderId="0" xfId="0" applyFill="1">
      <alignment vertical="center"/>
    </xf>
    <xf numFmtId="0" fontId="11" fillId="0" borderId="0" xfId="0" applyFont="1">
      <alignment vertical="center"/>
    </xf>
    <xf numFmtId="0" fontId="12" fillId="0" borderId="0" xfId="0" applyFont="1">
      <alignment vertical="center"/>
    </xf>
    <xf numFmtId="0" fontId="9" fillId="3" borderId="0" xfId="0" applyFont="1" applyFill="1">
      <alignment vertical="center"/>
    </xf>
    <xf numFmtId="0" fontId="10" fillId="3" borderId="0" xfId="0" applyFont="1" applyFill="1">
      <alignment vertical="center"/>
    </xf>
    <xf numFmtId="0" fontId="13" fillId="0" borderId="0" xfId="0" applyFont="1">
      <alignment vertical="center"/>
    </xf>
    <xf numFmtId="0" fontId="10" fillId="0" borderId="0" xfId="0" applyFont="1" applyFill="1">
      <alignment vertical="center"/>
    </xf>
    <xf numFmtId="0" fontId="4" fillId="2" borderId="0" xfId="0" applyFont="1" applyFill="1">
      <alignment vertical="center"/>
    </xf>
    <xf numFmtId="0" fontId="8" fillId="2" borderId="0" xfId="0" applyFont="1" applyFill="1">
      <alignment vertical="center"/>
    </xf>
    <xf numFmtId="0" fontId="1" fillId="2" borderId="0" xfId="0" applyFont="1" applyFill="1">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0"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1" xfId="0" applyFill="1" applyBorder="1">
      <alignment vertical="center"/>
    </xf>
    <xf numFmtId="0" fontId="0" fillId="0" borderId="6" xfId="0" applyFill="1" applyBorder="1">
      <alignment vertical="center"/>
    </xf>
    <xf numFmtId="0" fontId="1" fillId="0" borderId="0" xfId="0" applyFont="1" applyFill="1">
      <alignment vertical="center"/>
    </xf>
    <xf numFmtId="0" fontId="4" fillId="0" borderId="0" xfId="0" applyFont="1" applyFill="1">
      <alignment vertical="center"/>
    </xf>
    <xf numFmtId="0" fontId="14" fillId="0" borderId="0" xfId="0" applyFont="1" applyFill="1">
      <alignment vertical="center"/>
    </xf>
    <xf numFmtId="0" fontId="10" fillId="2" borderId="0" xfId="0" applyFont="1" applyFill="1">
      <alignment vertical="center"/>
    </xf>
    <xf numFmtId="0" fontId="9" fillId="2" borderId="0" xfId="0" applyFont="1" applyFill="1">
      <alignment vertical="center"/>
    </xf>
    <xf numFmtId="0" fontId="12" fillId="2" borderId="0" xfId="0" applyFont="1" applyFill="1">
      <alignment vertical="center"/>
    </xf>
    <xf numFmtId="0" fontId="0" fillId="5" borderId="0" xfId="0" applyFill="1">
      <alignment vertical="center"/>
    </xf>
    <xf numFmtId="0" fontId="3" fillId="0" borderId="0" xfId="0" applyFont="1" applyFill="1">
      <alignment vertical="center"/>
    </xf>
    <xf numFmtId="0" fontId="0" fillId="6" borderId="0" xfId="0" applyFill="1">
      <alignment vertical="center"/>
    </xf>
    <xf numFmtId="56" fontId="3" fillId="0" borderId="0" xfId="0" applyNumberFormat="1" applyFont="1" applyFill="1">
      <alignment vertical="center"/>
    </xf>
    <xf numFmtId="56" fontId="6" fillId="0" borderId="0" xfId="0" applyNumberFormat="1" applyFont="1" applyFill="1">
      <alignment vertical="center"/>
    </xf>
    <xf numFmtId="56" fontId="1" fillId="0" borderId="0" xfId="0" applyNumberFormat="1" applyFont="1" applyFill="1">
      <alignment vertical="center"/>
    </xf>
    <xf numFmtId="0" fontId="5" fillId="3" borderId="0" xfId="0" applyFont="1" applyFill="1">
      <alignment vertical="center"/>
    </xf>
    <xf numFmtId="0" fontId="4" fillId="3" borderId="0" xfId="0" applyFont="1" applyFill="1">
      <alignment vertical="center"/>
    </xf>
    <xf numFmtId="0" fontId="0" fillId="0" borderId="0" xfId="0" applyFill="1" applyBorder="1">
      <alignment vertical="center"/>
    </xf>
    <xf numFmtId="0" fontId="0" fillId="0" borderId="9" xfId="0" applyFill="1" applyBorder="1">
      <alignment vertical="center"/>
    </xf>
    <xf numFmtId="0" fontId="0" fillId="0" borderId="10" xfId="0" applyFill="1" applyBorder="1">
      <alignment vertical="center"/>
    </xf>
    <xf numFmtId="0" fontId="0" fillId="0" borderId="11" xfId="0" applyFill="1" applyBorder="1">
      <alignment vertical="center"/>
    </xf>
    <xf numFmtId="0" fontId="0" fillId="0" borderId="12" xfId="0" applyFill="1" applyBorder="1">
      <alignment vertical="center"/>
    </xf>
    <xf numFmtId="0" fontId="0" fillId="0" borderId="13" xfId="0" applyFill="1" applyBorder="1">
      <alignment vertical="center"/>
    </xf>
    <xf numFmtId="0" fontId="0" fillId="0" borderId="14" xfId="0" applyFill="1" applyBorder="1">
      <alignment vertical="center"/>
    </xf>
    <xf numFmtId="0" fontId="0" fillId="0" borderId="15" xfId="0" applyFill="1" applyBorder="1">
      <alignment vertical="center"/>
    </xf>
    <xf numFmtId="0" fontId="0" fillId="0" borderId="16" xfId="0" applyFill="1" applyBorder="1">
      <alignment vertical="center"/>
    </xf>
    <xf numFmtId="0" fontId="0" fillId="0" borderId="17" xfId="0" applyFill="1" applyBorder="1">
      <alignment vertical="center"/>
    </xf>
    <xf numFmtId="0" fontId="0" fillId="0" borderId="18" xfId="0" applyFill="1" applyBorder="1">
      <alignment vertical="center"/>
    </xf>
    <xf numFmtId="0" fontId="0" fillId="0" borderId="19" xfId="0" applyFill="1" applyBorder="1">
      <alignment vertical="center"/>
    </xf>
    <xf numFmtId="0" fontId="0" fillId="0" borderId="20" xfId="0" applyFill="1" applyBorder="1">
      <alignment vertical="center"/>
    </xf>
    <xf numFmtId="0" fontId="0" fillId="0" borderId="21" xfId="0" applyFill="1" applyBorder="1">
      <alignment vertical="center"/>
    </xf>
    <xf numFmtId="0" fontId="0" fillId="0" borderId="22" xfId="0" applyFill="1" applyBorder="1">
      <alignment vertical="center"/>
    </xf>
    <xf numFmtId="0" fontId="0" fillId="0" borderId="23" xfId="0" applyFill="1" applyBorder="1">
      <alignment vertical="center"/>
    </xf>
    <xf numFmtId="0" fontId="0" fillId="0" borderId="24" xfId="0" applyFill="1" applyBorder="1">
      <alignment vertical="center"/>
    </xf>
    <xf numFmtId="0" fontId="0" fillId="0" borderId="25" xfId="0" applyFill="1" applyBorder="1">
      <alignment vertical="center"/>
    </xf>
    <xf numFmtId="0" fontId="0" fillId="0" borderId="26" xfId="0" applyFill="1" applyBorder="1">
      <alignment vertical="center"/>
    </xf>
    <xf numFmtId="0" fontId="0" fillId="0" borderId="27" xfId="0" applyFill="1" applyBorder="1">
      <alignment vertical="center"/>
    </xf>
    <xf numFmtId="0" fontId="0" fillId="0" borderId="28" xfId="0" applyFill="1" applyBorder="1">
      <alignment vertical="center"/>
    </xf>
    <xf numFmtId="0" fontId="0" fillId="0" borderId="29" xfId="0" applyFill="1" applyBorder="1">
      <alignment vertical="center"/>
    </xf>
    <xf numFmtId="0" fontId="0" fillId="0" borderId="30" xfId="0" applyFill="1" applyBorder="1">
      <alignment vertical="center"/>
    </xf>
    <xf numFmtId="0" fontId="0" fillId="0" borderId="31" xfId="0" applyFill="1" applyBorder="1">
      <alignment vertical="center"/>
    </xf>
    <xf numFmtId="0" fontId="0" fillId="0" borderId="32" xfId="0" applyFill="1" applyBorder="1">
      <alignment vertical="center"/>
    </xf>
    <xf numFmtId="0" fontId="0" fillId="0" borderId="33" xfId="0" applyFill="1" applyBorder="1">
      <alignment vertical="center"/>
    </xf>
    <xf numFmtId="9" fontId="0" fillId="0" borderId="0" xfId="1" applyFont="1" applyFill="1">
      <alignment vertical="center"/>
    </xf>
    <xf numFmtId="49" fontId="0" fillId="0" borderId="0" xfId="0" applyNumberFormat="1">
      <alignment vertical="center"/>
    </xf>
    <xf numFmtId="56" fontId="0" fillId="0" borderId="0" xfId="0" applyNumberFormat="1">
      <alignment vertical="center"/>
    </xf>
    <xf numFmtId="49" fontId="0" fillId="2" borderId="0" xfId="0" applyNumberFormat="1" applyFill="1">
      <alignment vertical="center"/>
    </xf>
    <xf numFmtId="49" fontId="0" fillId="3" borderId="0" xfId="0" applyNumberFormat="1" applyFill="1">
      <alignment vertical="center"/>
    </xf>
    <xf numFmtId="0" fontId="0" fillId="7" borderId="0" xfId="0" applyFill="1">
      <alignment vertical="center"/>
    </xf>
    <xf numFmtId="176" fontId="0" fillId="0" borderId="0" xfId="0" applyNumberFormat="1">
      <alignment vertical="center"/>
    </xf>
    <xf numFmtId="0" fontId="0" fillId="0" borderId="2" xfId="0" applyFill="1" applyBorder="1">
      <alignment vertical="center"/>
    </xf>
    <xf numFmtId="0" fontId="0" fillId="0" borderId="4" xfId="0" applyFill="1" applyBorder="1">
      <alignment vertical="center"/>
    </xf>
    <xf numFmtId="0" fontId="5" fillId="2" borderId="0" xfId="0" applyFont="1" applyFill="1">
      <alignment vertical="center"/>
    </xf>
  </cellXfs>
  <cellStyles count="2">
    <cellStyle name="パーセント" xfId="1" builtinId="5"/>
    <cellStyle name="標準" xfId="0" builtinId="0"/>
  </cellStyles>
  <dxfs count="1">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komamura/Documents/MTGPQ/MM/MM/MTG/OMA/MTGORM2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TGORM2n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ット枚数"/>
      <sheetName val="キーワード"/>
      <sheetName val="コモン"/>
      <sheetName val="アンコモン"/>
      <sheetName val="R MR"/>
      <sheetName val="H式CS+ORM"/>
      <sheetName val="ORM"/>
      <sheetName val="対抗C"/>
      <sheetName val="Sheet3"/>
      <sheetName val="CNS"/>
      <sheetName val="CNS (2)"/>
      <sheetName val="Sheet8"/>
      <sheetName val="Sheet1"/>
    </sheetNames>
    <sheetDataSet>
      <sheetData sheetId="0" refreshError="1"/>
      <sheetData sheetId="1" refreshError="1"/>
      <sheetData sheetId="2">
        <row r="2">
          <cell r="G2">
            <v>1</v>
          </cell>
          <cell r="I2" t="str">
            <v>C</v>
          </cell>
        </row>
        <row r="3">
          <cell r="G3">
            <v>2</v>
          </cell>
          <cell r="I3" t="str">
            <v>C</v>
          </cell>
        </row>
        <row r="4">
          <cell r="G4">
            <v>2</v>
          </cell>
          <cell r="I4" t="str">
            <v>C</v>
          </cell>
        </row>
        <row r="5">
          <cell r="G5">
            <v>2</v>
          </cell>
          <cell r="I5" t="str">
            <v>I</v>
          </cell>
        </row>
        <row r="6">
          <cell r="G6">
            <v>2</v>
          </cell>
          <cell r="I6" t="str">
            <v>E</v>
          </cell>
        </row>
        <row r="7">
          <cell r="G7">
            <v>3</v>
          </cell>
          <cell r="I7" t="str">
            <v>C</v>
          </cell>
        </row>
        <row r="8">
          <cell r="G8">
            <v>3</v>
          </cell>
          <cell r="I8" t="str">
            <v>I</v>
          </cell>
        </row>
        <row r="9">
          <cell r="G9">
            <v>3</v>
          </cell>
          <cell r="I9" t="str">
            <v>I</v>
          </cell>
        </row>
        <row r="10">
          <cell r="G10">
            <v>3</v>
          </cell>
          <cell r="I10" t="str">
            <v>C</v>
          </cell>
        </row>
        <row r="11">
          <cell r="G11">
            <v>4</v>
          </cell>
          <cell r="I11" t="str">
            <v>C</v>
          </cell>
        </row>
        <row r="12">
          <cell r="G12">
            <v>4</v>
          </cell>
          <cell r="I12" t="str">
            <v>C</v>
          </cell>
        </row>
        <row r="13">
          <cell r="G13">
            <v>4</v>
          </cell>
          <cell r="I13" t="str">
            <v>S</v>
          </cell>
        </row>
        <row r="14">
          <cell r="G14">
            <v>4</v>
          </cell>
          <cell r="I14" t="str">
            <v>E</v>
          </cell>
        </row>
        <row r="15">
          <cell r="G15">
            <v>5</v>
          </cell>
          <cell r="I15" t="str">
            <v>C</v>
          </cell>
        </row>
        <row r="16">
          <cell r="G16">
            <v>5</v>
          </cell>
          <cell r="I16" t="str">
            <v>C</v>
          </cell>
        </row>
        <row r="17">
          <cell r="G17">
            <v>5</v>
          </cell>
          <cell r="I17" t="str">
            <v>C</v>
          </cell>
        </row>
        <row r="18">
          <cell r="G18">
            <v>6</v>
          </cell>
          <cell r="I18" t="str">
            <v>S</v>
          </cell>
        </row>
        <row r="19">
          <cell r="G19">
            <v>1</v>
          </cell>
          <cell r="I19" t="str">
            <v>S</v>
          </cell>
        </row>
        <row r="20">
          <cell r="G20">
            <v>2</v>
          </cell>
          <cell r="I20" t="str">
            <v>C</v>
          </cell>
        </row>
        <row r="21">
          <cell r="G21">
            <v>2</v>
          </cell>
          <cell r="I21" t="str">
            <v>I</v>
          </cell>
        </row>
        <row r="22">
          <cell r="G22">
            <v>2</v>
          </cell>
          <cell r="I22" t="str">
            <v>S</v>
          </cell>
        </row>
        <row r="23">
          <cell r="G23">
            <v>3</v>
          </cell>
          <cell r="I23" t="str">
            <v>C</v>
          </cell>
        </row>
        <row r="24">
          <cell r="G24">
            <v>3</v>
          </cell>
          <cell r="I24" t="str">
            <v>C</v>
          </cell>
        </row>
        <row r="25">
          <cell r="G25">
            <v>3</v>
          </cell>
          <cell r="I25" t="str">
            <v>I</v>
          </cell>
        </row>
        <row r="26">
          <cell r="G26">
            <v>3</v>
          </cell>
          <cell r="I26" t="str">
            <v>E</v>
          </cell>
        </row>
        <row r="27">
          <cell r="G27">
            <v>4</v>
          </cell>
          <cell r="I27" t="str">
            <v>C</v>
          </cell>
        </row>
        <row r="28">
          <cell r="G28">
            <v>4</v>
          </cell>
          <cell r="I28" t="str">
            <v>C</v>
          </cell>
        </row>
        <row r="29">
          <cell r="G29">
            <v>4</v>
          </cell>
          <cell r="I29" t="str">
            <v>C</v>
          </cell>
        </row>
        <row r="30">
          <cell r="G30">
            <v>4</v>
          </cell>
          <cell r="I30" t="str">
            <v>S</v>
          </cell>
        </row>
        <row r="31">
          <cell r="G31">
            <v>5</v>
          </cell>
          <cell r="I31" t="str">
            <v>C</v>
          </cell>
        </row>
        <row r="32">
          <cell r="G32">
            <v>5</v>
          </cell>
          <cell r="I32" t="str">
            <v>C</v>
          </cell>
        </row>
        <row r="33">
          <cell r="G33">
            <v>5</v>
          </cell>
          <cell r="I33" t="str">
            <v>C</v>
          </cell>
        </row>
        <row r="34">
          <cell r="G34">
            <v>6</v>
          </cell>
          <cell r="I34" t="str">
            <v>C</v>
          </cell>
        </row>
        <row r="35">
          <cell r="G35">
            <v>5</v>
          </cell>
          <cell r="I35" t="str">
            <v>C</v>
          </cell>
        </row>
        <row r="36">
          <cell r="G36">
            <v>1</v>
          </cell>
          <cell r="I36" t="str">
            <v>E</v>
          </cell>
        </row>
        <row r="37">
          <cell r="G37">
            <v>2</v>
          </cell>
          <cell r="I37" t="str">
            <v>C</v>
          </cell>
        </row>
        <row r="38">
          <cell r="G38">
            <v>2</v>
          </cell>
          <cell r="I38" t="str">
            <v>C</v>
          </cell>
        </row>
        <row r="39">
          <cell r="G39">
            <v>2</v>
          </cell>
          <cell r="I39" t="str">
            <v>E</v>
          </cell>
        </row>
        <row r="40">
          <cell r="G40">
            <v>3</v>
          </cell>
          <cell r="I40" t="str">
            <v>C</v>
          </cell>
        </row>
        <row r="41">
          <cell r="G41">
            <v>3</v>
          </cell>
          <cell r="I41" t="str">
            <v>C</v>
          </cell>
        </row>
        <row r="42">
          <cell r="G42">
            <v>3</v>
          </cell>
          <cell r="I42" t="str">
            <v>I</v>
          </cell>
        </row>
        <row r="43">
          <cell r="G43">
            <v>3</v>
          </cell>
          <cell r="I43" t="str">
            <v>S</v>
          </cell>
        </row>
        <row r="44">
          <cell r="G44">
            <v>4</v>
          </cell>
          <cell r="I44" t="str">
            <v>C</v>
          </cell>
        </row>
        <row r="45">
          <cell r="G45">
            <v>4</v>
          </cell>
          <cell r="I45" t="str">
            <v>C</v>
          </cell>
        </row>
        <row r="46">
          <cell r="G46">
            <v>4</v>
          </cell>
          <cell r="I46" t="str">
            <v>C</v>
          </cell>
        </row>
        <row r="47">
          <cell r="G47">
            <v>5</v>
          </cell>
          <cell r="I47" t="str">
            <v>S</v>
          </cell>
        </row>
        <row r="48">
          <cell r="G48">
            <v>5</v>
          </cell>
          <cell r="I48" t="str">
            <v>C</v>
          </cell>
        </row>
        <row r="49">
          <cell r="G49">
            <v>5</v>
          </cell>
          <cell r="I49" t="str">
            <v>C</v>
          </cell>
        </row>
        <row r="50">
          <cell r="G50">
            <v>5</v>
          </cell>
          <cell r="I50" t="str">
            <v>S</v>
          </cell>
        </row>
        <row r="51">
          <cell r="G51">
            <v>5</v>
          </cell>
          <cell r="I51" t="str">
            <v>I</v>
          </cell>
        </row>
        <row r="52">
          <cell r="G52">
            <v>6</v>
          </cell>
          <cell r="I52" t="str">
            <v>C</v>
          </cell>
        </row>
        <row r="53">
          <cell r="G53">
            <v>1</v>
          </cell>
          <cell r="I53" t="str">
            <v>S</v>
          </cell>
        </row>
        <row r="54">
          <cell r="G54">
            <v>2</v>
          </cell>
          <cell r="I54" t="str">
            <v>C</v>
          </cell>
        </row>
        <row r="55">
          <cell r="G55">
            <v>2</v>
          </cell>
          <cell r="I55" t="str">
            <v>C</v>
          </cell>
        </row>
        <row r="56">
          <cell r="G56">
            <v>2</v>
          </cell>
          <cell r="I56" t="str">
            <v>S</v>
          </cell>
        </row>
        <row r="57">
          <cell r="G57">
            <v>2</v>
          </cell>
          <cell r="I57" t="str">
            <v>C</v>
          </cell>
        </row>
        <row r="58">
          <cell r="G58">
            <v>2</v>
          </cell>
          <cell r="I58" t="str">
            <v>I</v>
          </cell>
        </row>
        <row r="59">
          <cell r="G59">
            <v>3</v>
          </cell>
          <cell r="I59" t="str">
            <v>C</v>
          </cell>
        </row>
        <row r="60">
          <cell r="G60">
            <v>3</v>
          </cell>
          <cell r="I60" t="str">
            <v>C</v>
          </cell>
        </row>
        <row r="61">
          <cell r="G61">
            <v>3</v>
          </cell>
          <cell r="I61" t="str">
            <v>I</v>
          </cell>
        </row>
        <row r="62">
          <cell r="G62">
            <v>3</v>
          </cell>
          <cell r="I62" t="str">
            <v>E</v>
          </cell>
        </row>
        <row r="63">
          <cell r="G63">
            <v>4</v>
          </cell>
          <cell r="I63" t="str">
            <v>S</v>
          </cell>
        </row>
        <row r="64">
          <cell r="G64">
            <v>4</v>
          </cell>
          <cell r="I64" t="str">
            <v>S</v>
          </cell>
        </row>
        <row r="65">
          <cell r="G65">
            <v>5</v>
          </cell>
          <cell r="I65" t="str">
            <v>C</v>
          </cell>
        </row>
        <row r="66">
          <cell r="G66">
            <v>5</v>
          </cell>
          <cell r="I66" t="str">
            <v>C</v>
          </cell>
        </row>
        <row r="67">
          <cell r="G67">
            <v>6</v>
          </cell>
          <cell r="I67" t="str">
            <v>C</v>
          </cell>
        </row>
        <row r="68">
          <cell r="G68">
            <v>6</v>
          </cell>
          <cell r="I68" t="str">
            <v>C</v>
          </cell>
        </row>
        <row r="69">
          <cell r="G69">
            <v>6</v>
          </cell>
          <cell r="I69" t="str">
            <v>C</v>
          </cell>
        </row>
        <row r="70">
          <cell r="G70">
            <v>1</v>
          </cell>
          <cell r="I70" t="str">
            <v>C</v>
          </cell>
        </row>
        <row r="71">
          <cell r="G71">
            <v>2</v>
          </cell>
          <cell r="I71" t="str">
            <v>C</v>
          </cell>
        </row>
        <row r="72">
          <cell r="G72">
            <v>2</v>
          </cell>
          <cell r="I72" t="str">
            <v>C</v>
          </cell>
        </row>
        <row r="73">
          <cell r="G73">
            <v>2</v>
          </cell>
          <cell r="I73" t="str">
            <v>S</v>
          </cell>
        </row>
        <row r="74">
          <cell r="G74">
            <v>2</v>
          </cell>
          <cell r="I74" t="str">
            <v>I</v>
          </cell>
        </row>
        <row r="75">
          <cell r="G75">
            <v>2</v>
          </cell>
          <cell r="I75" t="str">
            <v>I</v>
          </cell>
        </row>
        <row r="76">
          <cell r="G76">
            <v>3</v>
          </cell>
          <cell r="I76" t="str">
            <v>C</v>
          </cell>
        </row>
        <row r="77">
          <cell r="G77">
            <v>3</v>
          </cell>
          <cell r="I77" t="str">
            <v>C</v>
          </cell>
        </row>
        <row r="78">
          <cell r="G78">
            <v>3</v>
          </cell>
          <cell r="I78" t="str">
            <v>S</v>
          </cell>
        </row>
        <row r="79">
          <cell r="G79">
            <v>3</v>
          </cell>
          <cell r="I79" t="str">
            <v>E</v>
          </cell>
        </row>
        <row r="80">
          <cell r="G80">
            <v>3</v>
          </cell>
          <cell r="I80" t="str">
            <v>I</v>
          </cell>
        </row>
        <row r="81">
          <cell r="G81">
            <v>4</v>
          </cell>
          <cell r="I81" t="str">
            <v>C</v>
          </cell>
        </row>
        <row r="82">
          <cell r="G82">
            <v>4</v>
          </cell>
          <cell r="I82" t="str">
            <v>C</v>
          </cell>
        </row>
        <row r="83">
          <cell r="G83">
            <v>4</v>
          </cell>
          <cell r="I83" t="str">
            <v>S</v>
          </cell>
        </row>
        <row r="84">
          <cell r="G84">
            <v>5</v>
          </cell>
          <cell r="I84" t="str">
            <v>C</v>
          </cell>
        </row>
        <row r="85">
          <cell r="G85">
            <v>5</v>
          </cell>
          <cell r="I85" t="str">
            <v>C</v>
          </cell>
        </row>
        <row r="86">
          <cell r="G86">
            <v>6</v>
          </cell>
          <cell r="I86" t="str">
            <v>C</v>
          </cell>
        </row>
        <row r="87">
          <cell r="G87">
            <v>1</v>
          </cell>
          <cell r="I87" t="str">
            <v>I</v>
          </cell>
        </row>
        <row r="88">
          <cell r="G88">
            <v>2</v>
          </cell>
          <cell r="I88" t="str">
            <v>C</v>
          </cell>
        </row>
        <row r="89">
          <cell r="G89">
            <v>2</v>
          </cell>
          <cell r="I89" t="str">
            <v>S</v>
          </cell>
        </row>
        <row r="90">
          <cell r="G90">
            <v>4</v>
          </cell>
          <cell r="I90" t="str">
            <v>C</v>
          </cell>
        </row>
        <row r="91">
          <cell r="G91">
            <v>2</v>
          </cell>
          <cell r="I91" t="str">
            <v>C</v>
          </cell>
        </row>
        <row r="92">
          <cell r="G92">
            <v>2</v>
          </cell>
          <cell r="I92" t="str">
            <v>I</v>
          </cell>
        </row>
        <row r="93">
          <cell r="G93">
            <v>4</v>
          </cell>
          <cell r="I93" t="str">
            <v>I</v>
          </cell>
        </row>
        <row r="94">
          <cell r="G94">
            <v>5</v>
          </cell>
          <cell r="I94" t="str">
            <v>C</v>
          </cell>
        </row>
        <row r="95">
          <cell r="G95">
            <v>2</v>
          </cell>
          <cell r="I95" t="str">
            <v>I</v>
          </cell>
        </row>
        <row r="96">
          <cell r="G96">
            <v>3</v>
          </cell>
          <cell r="I96" t="str">
            <v>C</v>
          </cell>
        </row>
        <row r="97">
          <cell r="G97">
            <v>4</v>
          </cell>
          <cell r="I97" t="str">
            <v>C</v>
          </cell>
        </row>
        <row r="98">
          <cell r="G98">
            <v>4</v>
          </cell>
          <cell r="I98" t="str">
            <v>I</v>
          </cell>
        </row>
        <row r="99">
          <cell r="G99">
            <v>1</v>
          </cell>
          <cell r="I99" t="str">
            <v>C</v>
          </cell>
        </row>
        <row r="100">
          <cell r="G100">
            <v>2</v>
          </cell>
          <cell r="I100" t="str">
            <v>I</v>
          </cell>
        </row>
        <row r="101">
          <cell r="G101">
            <v>3</v>
          </cell>
          <cell r="I101" t="str">
            <v>C</v>
          </cell>
        </row>
        <row r="102">
          <cell r="G102">
            <v>4</v>
          </cell>
          <cell r="I102" t="str">
            <v>I</v>
          </cell>
        </row>
        <row r="103">
          <cell r="G103">
            <v>1</v>
          </cell>
          <cell r="I103" t="str">
            <v>I</v>
          </cell>
        </row>
        <row r="104">
          <cell r="G104">
            <v>3</v>
          </cell>
          <cell r="I104" t="str">
            <v>C</v>
          </cell>
        </row>
        <row r="105">
          <cell r="G105">
            <v>5</v>
          </cell>
          <cell r="I105" t="str">
            <v>I</v>
          </cell>
        </row>
        <row r="106">
          <cell r="G106">
            <v>6</v>
          </cell>
          <cell r="I106" t="str">
            <v>C</v>
          </cell>
        </row>
        <row r="107">
          <cell r="G107">
            <v>2</v>
          </cell>
          <cell r="I107" t="str">
            <v>F</v>
          </cell>
        </row>
        <row r="108">
          <cell r="G108">
            <v>2</v>
          </cell>
          <cell r="I108" t="str">
            <v>F</v>
          </cell>
        </row>
        <row r="109">
          <cell r="G109">
            <v>2</v>
          </cell>
          <cell r="I109" t="str">
            <v>F</v>
          </cell>
        </row>
        <row r="110">
          <cell r="G110">
            <v>2</v>
          </cell>
          <cell r="I110" t="str">
            <v>F</v>
          </cell>
        </row>
        <row r="111">
          <cell r="G111">
            <v>2</v>
          </cell>
          <cell r="I111" t="str">
            <v>F</v>
          </cell>
        </row>
        <row r="112">
          <cell r="G112">
            <v>5</v>
          </cell>
          <cell r="I112" t="str">
            <v>FC</v>
          </cell>
        </row>
        <row r="113">
          <cell r="G113">
            <v>6</v>
          </cell>
          <cell r="I113" t="str">
            <v>FC</v>
          </cell>
        </row>
        <row r="121">
          <cell r="G121">
            <v>1</v>
          </cell>
          <cell r="I121" t="str">
            <v>I</v>
          </cell>
        </row>
        <row r="122">
          <cell r="G122">
            <v>2</v>
          </cell>
          <cell r="I122" t="str">
            <v>C</v>
          </cell>
        </row>
        <row r="123">
          <cell r="G123">
            <v>2</v>
          </cell>
          <cell r="I123" t="str">
            <v>C</v>
          </cell>
        </row>
        <row r="124">
          <cell r="G124">
            <v>2</v>
          </cell>
          <cell r="I124" t="str">
            <v>I</v>
          </cell>
        </row>
        <row r="125">
          <cell r="G125">
            <v>3</v>
          </cell>
          <cell r="I125" t="str">
            <v>S</v>
          </cell>
        </row>
        <row r="126">
          <cell r="G126">
            <v>3</v>
          </cell>
          <cell r="I126" t="str">
            <v>E</v>
          </cell>
        </row>
        <row r="127">
          <cell r="G127">
            <v>4</v>
          </cell>
          <cell r="I127" t="str">
            <v>C</v>
          </cell>
        </row>
        <row r="128">
          <cell r="G128">
            <v>5</v>
          </cell>
          <cell r="I128" t="str">
            <v>C</v>
          </cell>
        </row>
        <row r="129">
          <cell r="G129">
            <v>5</v>
          </cell>
          <cell r="I129" t="str">
            <v>C</v>
          </cell>
        </row>
        <row r="130">
          <cell r="G130">
            <v>6</v>
          </cell>
          <cell r="I130" t="str">
            <v>C</v>
          </cell>
        </row>
        <row r="131">
          <cell r="G131">
            <v>2</v>
          </cell>
          <cell r="I131" t="str">
            <v>I</v>
          </cell>
        </row>
        <row r="132">
          <cell r="G132">
            <v>1</v>
          </cell>
          <cell r="I132" t="str">
            <v>I</v>
          </cell>
        </row>
        <row r="133">
          <cell r="G133">
            <v>2</v>
          </cell>
          <cell r="I133" t="str">
            <v>C</v>
          </cell>
        </row>
        <row r="134">
          <cell r="G134">
            <v>3</v>
          </cell>
          <cell r="I134" t="str">
            <v>C</v>
          </cell>
        </row>
        <row r="135">
          <cell r="G135">
            <v>3</v>
          </cell>
          <cell r="I135" t="str">
            <v>C</v>
          </cell>
        </row>
        <row r="136">
          <cell r="G136">
            <v>3</v>
          </cell>
          <cell r="I136" t="str">
            <v>I</v>
          </cell>
        </row>
        <row r="137">
          <cell r="G137">
            <v>3</v>
          </cell>
          <cell r="I137" t="str">
            <v>E</v>
          </cell>
        </row>
        <row r="138">
          <cell r="G138">
            <v>4</v>
          </cell>
          <cell r="I138" t="str">
            <v>C</v>
          </cell>
        </row>
        <row r="139">
          <cell r="G139">
            <v>4</v>
          </cell>
          <cell r="I139" t="str">
            <v>S</v>
          </cell>
        </row>
        <row r="140">
          <cell r="G140">
            <v>6</v>
          </cell>
          <cell r="I140" t="str">
            <v>C</v>
          </cell>
        </row>
        <row r="141">
          <cell r="G141">
            <v>1</v>
          </cell>
          <cell r="I141" t="str">
            <v>S</v>
          </cell>
        </row>
        <row r="142">
          <cell r="G142">
            <v>2</v>
          </cell>
          <cell r="I142" t="str">
            <v>I</v>
          </cell>
        </row>
        <row r="143">
          <cell r="G143">
            <v>3</v>
          </cell>
          <cell r="I143" t="str">
            <v>C</v>
          </cell>
        </row>
        <row r="144">
          <cell r="G144">
            <v>3</v>
          </cell>
          <cell r="I144" t="str">
            <v>C</v>
          </cell>
        </row>
        <row r="145">
          <cell r="G145">
            <v>4</v>
          </cell>
          <cell r="I145" t="str">
            <v>S</v>
          </cell>
        </row>
        <row r="146">
          <cell r="G146">
            <v>4</v>
          </cell>
          <cell r="I146" t="str">
            <v>C</v>
          </cell>
        </row>
        <row r="147">
          <cell r="G147">
            <v>4</v>
          </cell>
          <cell r="I147" t="str">
            <v>I</v>
          </cell>
        </row>
        <row r="148">
          <cell r="G148">
            <v>5</v>
          </cell>
          <cell r="I148" t="str">
            <v>S</v>
          </cell>
        </row>
        <row r="149">
          <cell r="G149">
            <v>6</v>
          </cell>
          <cell r="I149" t="str">
            <v>E</v>
          </cell>
        </row>
        <row r="150">
          <cell r="G150">
            <v>7</v>
          </cell>
          <cell r="I150" t="str">
            <v>C</v>
          </cell>
        </row>
        <row r="151">
          <cell r="G151">
            <v>2</v>
          </cell>
          <cell r="I151" t="str">
            <v>S</v>
          </cell>
        </row>
        <row r="152">
          <cell r="G152">
            <v>2</v>
          </cell>
          <cell r="I152" t="str">
            <v>I</v>
          </cell>
        </row>
        <row r="153">
          <cell r="G153">
            <v>3</v>
          </cell>
          <cell r="I153" t="str">
            <v>EC</v>
          </cell>
        </row>
        <row r="154">
          <cell r="G154">
            <v>3</v>
          </cell>
          <cell r="I154" t="str">
            <v>C</v>
          </cell>
        </row>
        <row r="155">
          <cell r="G155">
            <v>3</v>
          </cell>
          <cell r="I155" t="str">
            <v>C</v>
          </cell>
        </row>
        <row r="156">
          <cell r="G156">
            <v>4</v>
          </cell>
          <cell r="I156" t="str">
            <v>C</v>
          </cell>
        </row>
        <row r="157">
          <cell r="G157">
            <v>4</v>
          </cell>
          <cell r="I157" t="str">
            <v>C</v>
          </cell>
        </row>
        <row r="158">
          <cell r="G158">
            <v>4</v>
          </cell>
          <cell r="I158" t="str">
            <v>I</v>
          </cell>
        </row>
        <row r="159">
          <cell r="G159">
            <v>6</v>
          </cell>
          <cell r="I159" t="str">
            <v>C</v>
          </cell>
        </row>
        <row r="160">
          <cell r="G160">
            <v>6</v>
          </cell>
          <cell r="I160" t="str">
            <v>S</v>
          </cell>
        </row>
        <row r="161">
          <cell r="G161">
            <v>1</v>
          </cell>
          <cell r="I161" t="str">
            <v>C</v>
          </cell>
        </row>
        <row r="162">
          <cell r="G162">
            <v>2</v>
          </cell>
          <cell r="I162" t="str">
            <v>E</v>
          </cell>
        </row>
        <row r="163">
          <cell r="G163">
            <v>2</v>
          </cell>
          <cell r="I163" t="str">
            <v>I</v>
          </cell>
        </row>
        <row r="164">
          <cell r="G164">
            <v>3</v>
          </cell>
          <cell r="I164" t="str">
            <v>C</v>
          </cell>
        </row>
        <row r="165">
          <cell r="G165">
            <v>4</v>
          </cell>
          <cell r="I165" t="str">
            <v>S</v>
          </cell>
        </row>
        <row r="166">
          <cell r="G166">
            <v>4</v>
          </cell>
          <cell r="I166" t="str">
            <v>S</v>
          </cell>
        </row>
        <row r="167">
          <cell r="G167">
            <v>5</v>
          </cell>
          <cell r="I167" t="str">
            <v>C</v>
          </cell>
        </row>
        <row r="168">
          <cell r="G168">
            <v>5</v>
          </cell>
          <cell r="I168" t="str">
            <v>C</v>
          </cell>
        </row>
        <row r="169">
          <cell r="G169">
            <v>5</v>
          </cell>
          <cell r="I169" t="str">
            <v>I</v>
          </cell>
        </row>
        <row r="170">
          <cell r="G170">
            <v>6</v>
          </cell>
          <cell r="I170" t="str">
            <v>C</v>
          </cell>
        </row>
        <row r="171">
          <cell r="G171">
            <v>3</v>
          </cell>
          <cell r="I171" t="str">
            <v>C</v>
          </cell>
        </row>
        <row r="172">
          <cell r="G172">
            <v>3</v>
          </cell>
          <cell r="I172" t="str">
            <v>I</v>
          </cell>
        </row>
        <row r="173">
          <cell r="G173">
            <v>3</v>
          </cell>
          <cell r="I173" t="str">
            <v>C</v>
          </cell>
        </row>
        <row r="174">
          <cell r="G174">
            <v>2</v>
          </cell>
          <cell r="I174" t="str">
            <v>I</v>
          </cell>
        </row>
        <row r="175">
          <cell r="G175">
            <v>2</v>
          </cell>
          <cell r="I175" t="str">
            <v>C</v>
          </cell>
        </row>
        <row r="176">
          <cell r="G176">
            <v>5</v>
          </cell>
          <cell r="I176" t="str">
            <v>S</v>
          </cell>
        </row>
        <row r="177">
          <cell r="G177">
            <v>2</v>
          </cell>
          <cell r="I177" t="str">
            <v>C</v>
          </cell>
        </row>
        <row r="178">
          <cell r="G178">
            <v>4</v>
          </cell>
          <cell r="I178" t="str">
            <v>I</v>
          </cell>
        </row>
        <row r="179">
          <cell r="G179">
            <v>2</v>
          </cell>
          <cell r="I179" t="str">
            <v>C</v>
          </cell>
        </row>
        <row r="180">
          <cell r="G180">
            <v>2</v>
          </cell>
          <cell r="I180" t="str">
            <v>C</v>
          </cell>
        </row>
        <row r="181">
          <cell r="G181">
            <v>0</v>
          </cell>
          <cell r="I181" t="str">
            <v>F</v>
          </cell>
        </row>
        <row r="182">
          <cell r="G182">
            <v>1</v>
          </cell>
          <cell r="I182" t="str">
            <v>FC</v>
          </cell>
        </row>
        <row r="183">
          <cell r="G183">
            <v>4</v>
          </cell>
          <cell r="I183" t="str">
            <v>F</v>
          </cell>
        </row>
        <row r="184">
          <cell r="G184">
            <v>4</v>
          </cell>
          <cell r="I184" t="str">
            <v>F</v>
          </cell>
        </row>
        <row r="185">
          <cell r="G185">
            <v>5</v>
          </cell>
          <cell r="I185" t="str">
            <v>F</v>
          </cell>
        </row>
        <row r="186">
          <cell r="I186" t="str">
            <v>L</v>
          </cell>
        </row>
        <row r="187">
          <cell r="I187" t="str">
            <v>L</v>
          </cell>
        </row>
        <row r="188">
          <cell r="I188" t="str">
            <v>L</v>
          </cell>
        </row>
        <row r="189">
          <cell r="I189" t="str">
            <v>L</v>
          </cell>
        </row>
        <row r="190">
          <cell r="I190" t="str">
            <v>L</v>
          </cell>
        </row>
        <row r="195">
          <cell r="G195">
            <v>1</v>
          </cell>
          <cell r="I195" t="str">
            <v>I</v>
          </cell>
        </row>
        <row r="196">
          <cell r="G196">
            <v>2</v>
          </cell>
          <cell r="I196" t="str">
            <v>C</v>
          </cell>
        </row>
        <row r="197">
          <cell r="G197">
            <v>2</v>
          </cell>
          <cell r="I197" t="str">
            <v>C</v>
          </cell>
        </row>
        <row r="198">
          <cell r="G198">
            <v>3</v>
          </cell>
          <cell r="I198" t="str">
            <v>E</v>
          </cell>
        </row>
        <row r="199">
          <cell r="G199">
            <v>4</v>
          </cell>
          <cell r="I199" t="str">
            <v>C</v>
          </cell>
        </row>
        <row r="200">
          <cell r="G200">
            <v>4</v>
          </cell>
          <cell r="I200" t="str">
            <v>S</v>
          </cell>
        </row>
        <row r="201">
          <cell r="G201">
            <v>5</v>
          </cell>
          <cell r="I201" t="str">
            <v>C</v>
          </cell>
        </row>
        <row r="202">
          <cell r="G202">
            <v>6</v>
          </cell>
          <cell r="I202" t="str">
            <v>C</v>
          </cell>
        </row>
        <row r="203">
          <cell r="G203">
            <v>1</v>
          </cell>
          <cell r="I203" t="str">
            <v>EC</v>
          </cell>
        </row>
        <row r="204">
          <cell r="G204">
            <v>2</v>
          </cell>
          <cell r="I204" t="str">
            <v>C</v>
          </cell>
        </row>
        <row r="205">
          <cell r="G205">
            <v>2</v>
          </cell>
          <cell r="I205" t="str">
            <v>S</v>
          </cell>
        </row>
        <row r="206">
          <cell r="G206">
            <v>3</v>
          </cell>
          <cell r="I206" t="str">
            <v>I</v>
          </cell>
        </row>
        <row r="207">
          <cell r="G207">
            <v>3</v>
          </cell>
          <cell r="I207" t="str">
            <v>I</v>
          </cell>
        </row>
        <row r="208">
          <cell r="G208">
            <v>4</v>
          </cell>
          <cell r="I208" t="str">
            <v>S</v>
          </cell>
        </row>
        <row r="209">
          <cell r="G209">
            <v>5</v>
          </cell>
          <cell r="I209" t="str">
            <v>C</v>
          </cell>
        </row>
        <row r="210">
          <cell r="G210">
            <v>5</v>
          </cell>
          <cell r="I210" t="str">
            <v>C</v>
          </cell>
        </row>
        <row r="211">
          <cell r="G211">
            <v>2</v>
          </cell>
          <cell r="I211" t="str">
            <v>C</v>
          </cell>
        </row>
        <row r="212">
          <cell r="G212">
            <v>3</v>
          </cell>
          <cell r="I212" t="str">
            <v>I</v>
          </cell>
        </row>
        <row r="213">
          <cell r="G213">
            <v>4</v>
          </cell>
          <cell r="I213" t="str">
            <v>C</v>
          </cell>
        </row>
        <row r="214">
          <cell r="G214">
            <v>4</v>
          </cell>
          <cell r="I214" t="str">
            <v>C</v>
          </cell>
        </row>
        <row r="215">
          <cell r="G215">
            <v>4</v>
          </cell>
          <cell r="I215" t="str">
            <v>I</v>
          </cell>
        </row>
        <row r="216">
          <cell r="G216">
            <v>5</v>
          </cell>
          <cell r="I216" t="str">
            <v>C</v>
          </cell>
        </row>
        <row r="217">
          <cell r="G217">
            <v>5</v>
          </cell>
          <cell r="I217" t="str">
            <v>E</v>
          </cell>
        </row>
        <row r="218">
          <cell r="G218">
            <v>8</v>
          </cell>
          <cell r="I218" t="str">
            <v>C</v>
          </cell>
        </row>
        <row r="219">
          <cell r="G219">
            <v>1</v>
          </cell>
          <cell r="I219" t="str">
            <v>S</v>
          </cell>
        </row>
        <row r="220">
          <cell r="G220">
            <v>2</v>
          </cell>
          <cell r="I220" t="str">
            <v>S</v>
          </cell>
        </row>
        <row r="221">
          <cell r="G221">
            <v>3</v>
          </cell>
          <cell r="I221" t="str">
            <v>C</v>
          </cell>
        </row>
        <row r="222">
          <cell r="G222">
            <v>3</v>
          </cell>
          <cell r="I222" t="str">
            <v>C</v>
          </cell>
        </row>
        <row r="223">
          <cell r="G223">
            <v>4</v>
          </cell>
          <cell r="I223" t="str">
            <v>C</v>
          </cell>
        </row>
        <row r="224">
          <cell r="G224">
            <v>5</v>
          </cell>
          <cell r="I224" t="str">
            <v>C</v>
          </cell>
        </row>
        <row r="225">
          <cell r="G225">
            <v>6</v>
          </cell>
          <cell r="I225" t="str">
            <v>C</v>
          </cell>
        </row>
        <row r="226">
          <cell r="G226">
            <v>6</v>
          </cell>
          <cell r="I226" t="str">
            <v>E</v>
          </cell>
        </row>
        <row r="227">
          <cell r="G227">
            <v>1</v>
          </cell>
          <cell r="I227" t="str">
            <v>C</v>
          </cell>
        </row>
        <row r="228">
          <cell r="G228">
            <v>1</v>
          </cell>
          <cell r="I228" t="str">
            <v>E</v>
          </cell>
        </row>
        <row r="229">
          <cell r="G229">
            <v>2</v>
          </cell>
          <cell r="I229" t="str">
            <v>I</v>
          </cell>
        </row>
        <row r="230">
          <cell r="G230">
            <v>3</v>
          </cell>
          <cell r="I230" t="str">
            <v>S</v>
          </cell>
        </row>
        <row r="231">
          <cell r="G231">
            <v>4</v>
          </cell>
          <cell r="I231" t="str">
            <v>C</v>
          </cell>
        </row>
        <row r="232">
          <cell r="G232">
            <v>4</v>
          </cell>
          <cell r="I232" t="str">
            <v>C</v>
          </cell>
        </row>
        <row r="233">
          <cell r="G233">
            <v>5</v>
          </cell>
          <cell r="I233" t="str">
            <v>C</v>
          </cell>
        </row>
        <row r="234">
          <cell r="G234">
            <v>6</v>
          </cell>
          <cell r="I234" t="str">
            <v>C</v>
          </cell>
        </row>
        <row r="235">
          <cell r="G235">
            <v>3</v>
          </cell>
          <cell r="I235" t="str">
            <v>C</v>
          </cell>
        </row>
        <row r="236">
          <cell r="G236">
            <v>5</v>
          </cell>
          <cell r="I236" t="str">
            <v>S</v>
          </cell>
        </row>
        <row r="237">
          <cell r="G237">
            <v>7</v>
          </cell>
          <cell r="I237" t="str">
            <v>S</v>
          </cell>
        </row>
        <row r="238">
          <cell r="G238">
            <v>3</v>
          </cell>
          <cell r="I238" t="str">
            <v>I</v>
          </cell>
        </row>
        <row r="239">
          <cell r="G239">
            <v>3</v>
          </cell>
          <cell r="I239" t="str">
            <v>S</v>
          </cell>
        </row>
        <row r="240">
          <cell r="G240">
            <v>4</v>
          </cell>
          <cell r="I240" t="str">
            <v>S</v>
          </cell>
        </row>
        <row r="241">
          <cell r="G241">
            <v>4</v>
          </cell>
          <cell r="I241" t="str">
            <v>C</v>
          </cell>
        </row>
        <row r="242">
          <cell r="G242">
            <v>5</v>
          </cell>
          <cell r="I242" t="str">
            <v>E</v>
          </cell>
        </row>
        <row r="243">
          <cell r="G243">
            <v>4</v>
          </cell>
          <cell r="I243" t="str">
            <v>C</v>
          </cell>
        </row>
        <row r="244">
          <cell r="G244">
            <v>5</v>
          </cell>
          <cell r="I244" t="str">
            <v>S</v>
          </cell>
        </row>
        <row r="245">
          <cell r="G245">
            <v>5</v>
          </cell>
          <cell r="I245" t="str">
            <v>C</v>
          </cell>
        </row>
        <row r="246">
          <cell r="G246">
            <v>2</v>
          </cell>
          <cell r="I246" t="str">
            <v>F</v>
          </cell>
        </row>
        <row r="247">
          <cell r="G247">
            <v>2</v>
          </cell>
          <cell r="I247" t="str">
            <v>F</v>
          </cell>
        </row>
        <row r="248">
          <cell r="G248">
            <v>4</v>
          </cell>
          <cell r="I248" t="str">
            <v>FC</v>
          </cell>
        </row>
        <row r="249">
          <cell r="G249">
            <v>5</v>
          </cell>
          <cell r="I249" t="str">
            <v>F</v>
          </cell>
        </row>
        <row r="250">
          <cell r="I250" t="str">
            <v>L</v>
          </cell>
        </row>
        <row r="251">
          <cell r="I251" t="str">
            <v>L</v>
          </cell>
        </row>
        <row r="252">
          <cell r="I252" t="str">
            <v>L</v>
          </cell>
        </row>
        <row r="253">
          <cell r="I253" t="str">
            <v>L</v>
          </cell>
        </row>
        <row r="254">
          <cell r="I254" t="str">
            <v>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ット枚数"/>
      <sheetName val="キーワード"/>
      <sheetName val="スリヴァ"/>
      <sheetName val="samurai"/>
      <sheetName val="SoulShift"/>
      <sheetName val="Infect"/>
      <sheetName val="コモン"/>
      <sheetName val="アンコモン"/>
      <sheetName val="R MR"/>
      <sheetName val="H式CS+ORM"/>
      <sheetName val="ORM"/>
      <sheetName val="対抗C"/>
      <sheetName val="Sheet5"/>
      <sheetName val="Arcane"/>
      <sheetName val="Sheet3"/>
      <sheetName val="Sheet1"/>
      <sheetName val="CNS"/>
      <sheetName val="Sheet2"/>
      <sheetName val="Sheet4"/>
      <sheetName val="Sheet6"/>
    </sheetNames>
    <sheetDataSet>
      <sheetData sheetId="0" refreshError="1"/>
      <sheetData sheetId="1" refreshError="1"/>
      <sheetData sheetId="2" refreshError="1"/>
      <sheetData sheetId="3" refreshError="1"/>
      <sheetData sheetId="4" refreshError="1"/>
      <sheetData sheetId="5" refreshError="1"/>
      <sheetData sheetId="6">
        <row r="2">
          <cell r="G2">
            <v>1</v>
          </cell>
          <cell r="I2" t="str">
            <v>C</v>
          </cell>
        </row>
        <row r="3">
          <cell r="G3">
            <v>2</v>
          </cell>
          <cell r="I3" t="str">
            <v>C</v>
          </cell>
        </row>
        <row r="4">
          <cell r="G4">
            <v>2</v>
          </cell>
          <cell r="I4" t="str">
            <v>C</v>
          </cell>
        </row>
        <row r="5">
          <cell r="G5">
            <v>2</v>
          </cell>
          <cell r="I5" t="str">
            <v>I</v>
          </cell>
        </row>
        <row r="6">
          <cell r="G6">
            <v>2</v>
          </cell>
          <cell r="I6" t="str">
            <v>E</v>
          </cell>
        </row>
        <row r="7">
          <cell r="G7">
            <v>3</v>
          </cell>
          <cell r="I7" t="str">
            <v>C</v>
          </cell>
        </row>
        <row r="8">
          <cell r="G8">
            <v>3</v>
          </cell>
          <cell r="I8" t="str">
            <v>I</v>
          </cell>
        </row>
        <row r="9">
          <cell r="G9">
            <v>3</v>
          </cell>
          <cell r="I9" t="str">
            <v>I</v>
          </cell>
        </row>
        <row r="10">
          <cell r="G10">
            <v>3</v>
          </cell>
          <cell r="I10" t="str">
            <v>C</v>
          </cell>
        </row>
        <row r="11">
          <cell r="G11">
            <v>4</v>
          </cell>
          <cell r="I11" t="str">
            <v>C</v>
          </cell>
        </row>
        <row r="12">
          <cell r="G12">
            <v>4</v>
          </cell>
          <cell r="I12" t="str">
            <v>C</v>
          </cell>
        </row>
        <row r="13">
          <cell r="G13">
            <v>4</v>
          </cell>
          <cell r="I13" t="str">
            <v>S</v>
          </cell>
        </row>
        <row r="14">
          <cell r="G14">
            <v>4</v>
          </cell>
          <cell r="I14" t="str">
            <v>E</v>
          </cell>
        </row>
        <row r="15">
          <cell r="G15">
            <v>5</v>
          </cell>
          <cell r="I15" t="str">
            <v>C</v>
          </cell>
        </row>
        <row r="16">
          <cell r="G16">
            <v>5</v>
          </cell>
          <cell r="I16" t="str">
            <v>C</v>
          </cell>
        </row>
        <row r="17">
          <cell r="G17">
            <v>5</v>
          </cell>
          <cell r="I17" t="str">
            <v>C</v>
          </cell>
        </row>
        <row r="18">
          <cell r="G18">
            <v>6</v>
          </cell>
          <cell r="I18" t="str">
            <v>S</v>
          </cell>
        </row>
        <row r="19">
          <cell r="G19">
            <v>1</v>
          </cell>
          <cell r="I19" t="str">
            <v>S</v>
          </cell>
        </row>
        <row r="20">
          <cell r="G20">
            <v>2</v>
          </cell>
          <cell r="I20" t="str">
            <v>C</v>
          </cell>
        </row>
        <row r="21">
          <cell r="G21">
            <v>2</v>
          </cell>
          <cell r="I21" t="str">
            <v>I</v>
          </cell>
        </row>
        <row r="22">
          <cell r="G22">
            <v>2</v>
          </cell>
          <cell r="I22" t="str">
            <v>S</v>
          </cell>
        </row>
        <row r="23">
          <cell r="G23">
            <v>3</v>
          </cell>
          <cell r="I23" t="str">
            <v>C</v>
          </cell>
        </row>
        <row r="24">
          <cell r="G24">
            <v>3</v>
          </cell>
          <cell r="I24" t="str">
            <v>C</v>
          </cell>
        </row>
        <row r="25">
          <cell r="G25">
            <v>3</v>
          </cell>
          <cell r="I25" t="str">
            <v>I</v>
          </cell>
        </row>
        <row r="26">
          <cell r="G26">
            <v>3</v>
          </cell>
          <cell r="I26" t="str">
            <v>E</v>
          </cell>
        </row>
        <row r="27">
          <cell r="G27">
            <v>4</v>
          </cell>
          <cell r="I27" t="str">
            <v>C</v>
          </cell>
        </row>
        <row r="28">
          <cell r="G28">
            <v>4</v>
          </cell>
          <cell r="I28" t="str">
            <v>C</v>
          </cell>
        </row>
        <row r="29">
          <cell r="G29">
            <v>4</v>
          </cell>
          <cell r="I29" t="str">
            <v>C</v>
          </cell>
        </row>
        <row r="30">
          <cell r="G30">
            <v>4</v>
          </cell>
          <cell r="I30" t="str">
            <v>S</v>
          </cell>
        </row>
        <row r="31">
          <cell r="G31">
            <v>5</v>
          </cell>
          <cell r="I31" t="str">
            <v>C</v>
          </cell>
        </row>
        <row r="32">
          <cell r="G32">
            <v>5</v>
          </cell>
          <cell r="I32" t="str">
            <v>C</v>
          </cell>
        </row>
        <row r="33">
          <cell r="G33">
            <v>5</v>
          </cell>
          <cell r="I33" t="str">
            <v>C</v>
          </cell>
        </row>
        <row r="34">
          <cell r="G34">
            <v>6</v>
          </cell>
          <cell r="I34" t="str">
            <v>C</v>
          </cell>
        </row>
        <row r="35">
          <cell r="G35">
            <v>5</v>
          </cell>
          <cell r="I35" t="str">
            <v>C</v>
          </cell>
        </row>
        <row r="36">
          <cell r="G36">
            <v>1</v>
          </cell>
          <cell r="I36" t="str">
            <v>E</v>
          </cell>
        </row>
        <row r="37">
          <cell r="G37">
            <v>2</v>
          </cell>
          <cell r="I37" t="str">
            <v>C</v>
          </cell>
        </row>
        <row r="38">
          <cell r="G38">
            <v>2</v>
          </cell>
          <cell r="I38" t="str">
            <v>C</v>
          </cell>
        </row>
        <row r="39">
          <cell r="G39">
            <v>2</v>
          </cell>
          <cell r="I39" t="str">
            <v>E</v>
          </cell>
        </row>
        <row r="40">
          <cell r="G40">
            <v>3</v>
          </cell>
          <cell r="I40" t="str">
            <v>C</v>
          </cell>
        </row>
        <row r="41">
          <cell r="G41">
            <v>3</v>
          </cell>
          <cell r="I41" t="str">
            <v>C</v>
          </cell>
        </row>
        <row r="42">
          <cell r="G42">
            <v>3</v>
          </cell>
          <cell r="I42" t="str">
            <v>I</v>
          </cell>
        </row>
        <row r="43">
          <cell r="G43">
            <v>3</v>
          </cell>
          <cell r="I43" t="str">
            <v>S</v>
          </cell>
        </row>
        <row r="44">
          <cell r="G44">
            <v>4</v>
          </cell>
          <cell r="I44" t="str">
            <v>C</v>
          </cell>
        </row>
        <row r="45">
          <cell r="G45">
            <v>4</v>
          </cell>
          <cell r="I45" t="str">
            <v>C</v>
          </cell>
        </row>
        <row r="46">
          <cell r="G46">
            <v>4</v>
          </cell>
          <cell r="I46" t="str">
            <v>C</v>
          </cell>
        </row>
        <row r="47">
          <cell r="G47">
            <v>5</v>
          </cell>
          <cell r="I47" t="str">
            <v>S</v>
          </cell>
        </row>
        <row r="48">
          <cell r="G48">
            <v>5</v>
          </cell>
          <cell r="I48" t="str">
            <v>C</v>
          </cell>
        </row>
        <row r="49">
          <cell r="G49">
            <v>5</v>
          </cell>
          <cell r="I49" t="str">
            <v>C</v>
          </cell>
        </row>
        <row r="50">
          <cell r="G50">
            <v>5</v>
          </cell>
          <cell r="I50" t="str">
            <v>S</v>
          </cell>
        </row>
        <row r="51">
          <cell r="G51">
            <v>5</v>
          </cell>
          <cell r="I51" t="str">
            <v>I</v>
          </cell>
        </row>
        <row r="52">
          <cell r="G52">
            <v>6</v>
          </cell>
          <cell r="I52" t="str">
            <v>C</v>
          </cell>
        </row>
        <row r="53">
          <cell r="G53">
            <v>1</v>
          </cell>
          <cell r="I53" t="str">
            <v>S</v>
          </cell>
        </row>
        <row r="54">
          <cell r="G54">
            <v>2</v>
          </cell>
          <cell r="I54" t="str">
            <v>C</v>
          </cell>
        </row>
        <row r="55">
          <cell r="G55">
            <v>2</v>
          </cell>
          <cell r="I55" t="str">
            <v>C</v>
          </cell>
        </row>
        <row r="56">
          <cell r="G56">
            <v>2</v>
          </cell>
          <cell r="I56" t="str">
            <v>S</v>
          </cell>
        </row>
        <row r="57">
          <cell r="G57">
            <v>2</v>
          </cell>
          <cell r="I57" t="str">
            <v>C</v>
          </cell>
        </row>
        <row r="58">
          <cell r="G58">
            <v>2</v>
          </cell>
          <cell r="I58" t="str">
            <v>I</v>
          </cell>
        </row>
        <row r="59">
          <cell r="G59">
            <v>3</v>
          </cell>
          <cell r="I59" t="str">
            <v>C</v>
          </cell>
        </row>
        <row r="60">
          <cell r="G60">
            <v>3</v>
          </cell>
          <cell r="I60" t="str">
            <v>C</v>
          </cell>
        </row>
        <row r="61">
          <cell r="G61">
            <v>3</v>
          </cell>
          <cell r="I61" t="str">
            <v>I</v>
          </cell>
        </row>
        <row r="62">
          <cell r="G62">
            <v>3</v>
          </cell>
          <cell r="I62" t="str">
            <v>E</v>
          </cell>
        </row>
        <row r="63">
          <cell r="G63">
            <v>4</v>
          </cell>
          <cell r="I63" t="str">
            <v>S</v>
          </cell>
        </row>
        <row r="64">
          <cell r="G64">
            <v>4</v>
          </cell>
          <cell r="I64" t="str">
            <v>S</v>
          </cell>
        </row>
        <row r="65">
          <cell r="G65">
            <v>5</v>
          </cell>
          <cell r="I65" t="str">
            <v>C</v>
          </cell>
        </row>
        <row r="66">
          <cell r="G66">
            <v>5</v>
          </cell>
          <cell r="I66" t="str">
            <v>C</v>
          </cell>
        </row>
        <row r="67">
          <cell r="G67">
            <v>6</v>
          </cell>
          <cell r="I67" t="str">
            <v>C</v>
          </cell>
        </row>
        <row r="68">
          <cell r="G68">
            <v>6</v>
          </cell>
          <cell r="I68" t="str">
            <v>C</v>
          </cell>
        </row>
        <row r="69">
          <cell r="G69">
            <v>6</v>
          </cell>
          <cell r="I69" t="str">
            <v>C</v>
          </cell>
        </row>
        <row r="70">
          <cell r="G70">
            <v>1</v>
          </cell>
          <cell r="I70" t="str">
            <v>C</v>
          </cell>
        </row>
        <row r="71">
          <cell r="G71">
            <v>2</v>
          </cell>
          <cell r="I71" t="str">
            <v>C</v>
          </cell>
        </row>
        <row r="72">
          <cell r="G72">
            <v>2</v>
          </cell>
          <cell r="I72" t="str">
            <v>C</v>
          </cell>
        </row>
        <row r="73">
          <cell r="G73">
            <v>2</v>
          </cell>
          <cell r="I73" t="str">
            <v>S</v>
          </cell>
        </row>
        <row r="74">
          <cell r="G74">
            <v>2</v>
          </cell>
          <cell r="I74" t="str">
            <v>I</v>
          </cell>
        </row>
        <row r="75">
          <cell r="G75">
            <v>2</v>
          </cell>
          <cell r="I75" t="str">
            <v>I</v>
          </cell>
        </row>
        <row r="76">
          <cell r="G76">
            <v>3</v>
          </cell>
          <cell r="I76" t="str">
            <v>C</v>
          </cell>
        </row>
        <row r="77">
          <cell r="G77">
            <v>3</v>
          </cell>
          <cell r="I77" t="str">
            <v>C</v>
          </cell>
        </row>
        <row r="78">
          <cell r="G78">
            <v>3</v>
          </cell>
          <cell r="I78" t="str">
            <v>S</v>
          </cell>
        </row>
        <row r="79">
          <cell r="G79">
            <v>3</v>
          </cell>
          <cell r="I79" t="str">
            <v>E</v>
          </cell>
        </row>
        <row r="80">
          <cell r="G80">
            <v>3</v>
          </cell>
          <cell r="I80" t="str">
            <v>I</v>
          </cell>
        </row>
        <row r="81">
          <cell r="G81">
            <v>4</v>
          </cell>
          <cell r="I81" t="str">
            <v>C</v>
          </cell>
        </row>
        <row r="82">
          <cell r="G82">
            <v>4</v>
          </cell>
          <cell r="I82" t="str">
            <v>C</v>
          </cell>
        </row>
        <row r="83">
          <cell r="G83">
            <v>4</v>
          </cell>
          <cell r="I83" t="str">
            <v>S</v>
          </cell>
        </row>
        <row r="84">
          <cell r="G84">
            <v>5</v>
          </cell>
          <cell r="I84" t="str">
            <v>C</v>
          </cell>
        </row>
        <row r="85">
          <cell r="G85">
            <v>5</v>
          </cell>
          <cell r="I85" t="str">
            <v>C</v>
          </cell>
        </row>
        <row r="86">
          <cell r="G86">
            <v>6</v>
          </cell>
          <cell r="I86" t="str">
            <v>C</v>
          </cell>
        </row>
        <row r="87">
          <cell r="G87">
            <v>1</v>
          </cell>
          <cell r="I87" t="str">
            <v>I</v>
          </cell>
        </row>
        <row r="88">
          <cell r="G88">
            <v>2</v>
          </cell>
          <cell r="I88" t="str">
            <v>C</v>
          </cell>
        </row>
        <row r="89">
          <cell r="G89">
            <v>2</v>
          </cell>
          <cell r="I89" t="str">
            <v>S</v>
          </cell>
        </row>
        <row r="90">
          <cell r="G90">
            <v>4</v>
          </cell>
          <cell r="I90" t="str">
            <v>C</v>
          </cell>
        </row>
        <row r="91">
          <cell r="G91">
            <v>2</v>
          </cell>
          <cell r="I91" t="str">
            <v>C</v>
          </cell>
        </row>
        <row r="92">
          <cell r="G92">
            <v>2</v>
          </cell>
          <cell r="I92" t="str">
            <v>I</v>
          </cell>
        </row>
        <row r="93">
          <cell r="G93">
            <v>4</v>
          </cell>
          <cell r="I93" t="str">
            <v>I</v>
          </cell>
        </row>
        <row r="94">
          <cell r="G94">
            <v>5</v>
          </cell>
          <cell r="I94" t="str">
            <v>C</v>
          </cell>
        </row>
        <row r="95">
          <cell r="G95">
            <v>2</v>
          </cell>
          <cell r="I95" t="str">
            <v>I</v>
          </cell>
        </row>
        <row r="96">
          <cell r="G96">
            <v>3</v>
          </cell>
          <cell r="I96" t="str">
            <v>C</v>
          </cell>
        </row>
        <row r="97">
          <cell r="G97">
            <v>4</v>
          </cell>
          <cell r="I97" t="str">
            <v>C</v>
          </cell>
        </row>
        <row r="98">
          <cell r="G98">
            <v>4</v>
          </cell>
          <cell r="I98" t="str">
            <v>I</v>
          </cell>
        </row>
        <row r="99">
          <cell r="G99">
            <v>1</v>
          </cell>
          <cell r="I99" t="str">
            <v>C</v>
          </cell>
        </row>
        <row r="100">
          <cell r="G100">
            <v>2</v>
          </cell>
          <cell r="I100" t="str">
            <v>I</v>
          </cell>
        </row>
        <row r="101">
          <cell r="G101">
            <v>3</v>
          </cell>
          <cell r="I101" t="str">
            <v>C</v>
          </cell>
        </row>
        <row r="102">
          <cell r="G102">
            <v>4</v>
          </cell>
          <cell r="I102" t="str">
            <v>I</v>
          </cell>
        </row>
        <row r="103">
          <cell r="G103">
            <v>1</v>
          </cell>
          <cell r="I103" t="str">
            <v>I</v>
          </cell>
        </row>
        <row r="104">
          <cell r="G104">
            <v>3</v>
          </cell>
          <cell r="I104" t="str">
            <v>C</v>
          </cell>
        </row>
        <row r="105">
          <cell r="G105">
            <v>5</v>
          </cell>
          <cell r="I105" t="str">
            <v>I</v>
          </cell>
        </row>
        <row r="106">
          <cell r="G106">
            <v>6</v>
          </cell>
          <cell r="I106" t="str">
            <v>C</v>
          </cell>
        </row>
        <row r="107">
          <cell r="G107">
            <v>2</v>
          </cell>
          <cell r="I107" t="str">
            <v>F</v>
          </cell>
        </row>
        <row r="108">
          <cell r="G108">
            <v>2</v>
          </cell>
          <cell r="I108" t="str">
            <v>F</v>
          </cell>
        </row>
        <row r="109">
          <cell r="G109">
            <v>2</v>
          </cell>
          <cell r="I109" t="str">
            <v>F</v>
          </cell>
        </row>
        <row r="110">
          <cell r="G110">
            <v>2</v>
          </cell>
          <cell r="I110" t="str">
            <v>F</v>
          </cell>
        </row>
        <row r="111">
          <cell r="G111">
            <v>2</v>
          </cell>
          <cell r="I111" t="str">
            <v>F</v>
          </cell>
        </row>
        <row r="112">
          <cell r="G112">
            <v>5</v>
          </cell>
          <cell r="I112" t="str">
            <v>FC</v>
          </cell>
        </row>
        <row r="113">
          <cell r="G113">
            <v>6</v>
          </cell>
          <cell r="I113" t="str">
            <v>FC</v>
          </cell>
        </row>
        <row r="121">
          <cell r="G121">
            <v>1</v>
          </cell>
          <cell r="I121" t="str">
            <v>I</v>
          </cell>
        </row>
        <row r="122">
          <cell r="G122">
            <v>2</v>
          </cell>
          <cell r="I122" t="str">
            <v>C</v>
          </cell>
        </row>
        <row r="123">
          <cell r="G123">
            <v>2</v>
          </cell>
          <cell r="I123" t="str">
            <v>C</v>
          </cell>
        </row>
        <row r="124">
          <cell r="G124">
            <v>2</v>
          </cell>
          <cell r="I124" t="str">
            <v>I</v>
          </cell>
        </row>
        <row r="125">
          <cell r="G125">
            <v>3</v>
          </cell>
          <cell r="I125" t="str">
            <v>S</v>
          </cell>
        </row>
        <row r="126">
          <cell r="G126">
            <v>3</v>
          </cell>
          <cell r="I126" t="str">
            <v>E</v>
          </cell>
        </row>
        <row r="127">
          <cell r="G127">
            <v>3</v>
          </cell>
          <cell r="I127" t="str">
            <v>I</v>
          </cell>
        </row>
        <row r="128">
          <cell r="G128">
            <v>4</v>
          </cell>
          <cell r="I128" t="str">
            <v>C</v>
          </cell>
        </row>
        <row r="129">
          <cell r="G129">
            <v>5</v>
          </cell>
          <cell r="I129" t="str">
            <v>C</v>
          </cell>
        </row>
        <row r="130">
          <cell r="G130">
            <v>5</v>
          </cell>
          <cell r="I130" t="str">
            <v>C</v>
          </cell>
        </row>
        <row r="131">
          <cell r="G131">
            <v>6</v>
          </cell>
          <cell r="I131" t="str">
            <v>C</v>
          </cell>
        </row>
        <row r="132">
          <cell r="G132">
            <v>2</v>
          </cell>
          <cell r="I132" t="str">
            <v>I</v>
          </cell>
        </row>
        <row r="133">
          <cell r="G133">
            <v>1</v>
          </cell>
          <cell r="I133" t="str">
            <v>I</v>
          </cell>
        </row>
        <row r="134">
          <cell r="G134">
            <v>2</v>
          </cell>
          <cell r="I134" t="str">
            <v>C</v>
          </cell>
        </row>
        <row r="135">
          <cell r="G135">
            <v>3</v>
          </cell>
          <cell r="I135" t="str">
            <v>C</v>
          </cell>
        </row>
        <row r="136">
          <cell r="G136">
            <v>3</v>
          </cell>
          <cell r="I136" t="str">
            <v>C</v>
          </cell>
        </row>
        <row r="137">
          <cell r="G137">
            <v>3</v>
          </cell>
          <cell r="I137" t="str">
            <v>I</v>
          </cell>
        </row>
        <row r="138">
          <cell r="G138">
            <v>3</v>
          </cell>
          <cell r="I138" t="str">
            <v>E</v>
          </cell>
        </row>
        <row r="139">
          <cell r="G139">
            <v>4</v>
          </cell>
          <cell r="I139" t="str">
            <v>S</v>
          </cell>
        </row>
        <row r="140">
          <cell r="G140">
            <v>4</v>
          </cell>
          <cell r="I140" t="str">
            <v>C</v>
          </cell>
        </row>
        <row r="141">
          <cell r="G141">
            <v>4</v>
          </cell>
          <cell r="I141" t="str">
            <v>S</v>
          </cell>
        </row>
        <row r="142">
          <cell r="G142">
            <v>6</v>
          </cell>
          <cell r="I142" t="str">
            <v>C</v>
          </cell>
        </row>
        <row r="143">
          <cell r="G143">
            <v>1</v>
          </cell>
          <cell r="I143" t="str">
            <v>S</v>
          </cell>
        </row>
        <row r="144">
          <cell r="G144">
            <v>2</v>
          </cell>
          <cell r="I144" t="str">
            <v>C</v>
          </cell>
        </row>
        <row r="145">
          <cell r="G145">
            <v>2</v>
          </cell>
          <cell r="I145" t="str">
            <v>I</v>
          </cell>
        </row>
        <row r="146">
          <cell r="G146">
            <v>3</v>
          </cell>
          <cell r="I146" t="str">
            <v>C</v>
          </cell>
        </row>
        <row r="147">
          <cell r="G147">
            <v>3</v>
          </cell>
          <cell r="I147" t="str">
            <v>C</v>
          </cell>
        </row>
        <row r="148">
          <cell r="G148">
            <v>4</v>
          </cell>
          <cell r="I148" t="str">
            <v>S</v>
          </cell>
        </row>
        <row r="149">
          <cell r="G149">
            <v>4</v>
          </cell>
          <cell r="I149" t="str">
            <v>C</v>
          </cell>
        </row>
        <row r="150">
          <cell r="G150">
            <v>4</v>
          </cell>
          <cell r="I150" t="str">
            <v>I</v>
          </cell>
        </row>
        <row r="151">
          <cell r="G151">
            <v>5</v>
          </cell>
          <cell r="I151" t="str">
            <v>S</v>
          </cell>
        </row>
        <row r="152">
          <cell r="G152">
            <v>6</v>
          </cell>
          <cell r="I152" t="str">
            <v>E</v>
          </cell>
        </row>
        <row r="153">
          <cell r="G153">
            <v>7</v>
          </cell>
          <cell r="I153" t="str">
            <v>C</v>
          </cell>
        </row>
        <row r="154">
          <cell r="G154">
            <v>2</v>
          </cell>
          <cell r="I154" t="str">
            <v>C</v>
          </cell>
        </row>
        <row r="155">
          <cell r="G155">
            <v>2</v>
          </cell>
          <cell r="I155" t="str">
            <v>S</v>
          </cell>
        </row>
        <row r="156">
          <cell r="G156">
            <v>2</v>
          </cell>
          <cell r="I156" t="str">
            <v>I</v>
          </cell>
        </row>
        <row r="157">
          <cell r="G157">
            <v>3</v>
          </cell>
          <cell r="I157" t="str">
            <v>EC</v>
          </cell>
        </row>
        <row r="158">
          <cell r="G158">
            <v>3</v>
          </cell>
          <cell r="I158" t="str">
            <v>C</v>
          </cell>
        </row>
        <row r="159">
          <cell r="G159">
            <v>3</v>
          </cell>
          <cell r="I159" t="str">
            <v>C</v>
          </cell>
        </row>
        <row r="160">
          <cell r="G160">
            <v>4</v>
          </cell>
          <cell r="I160" t="str">
            <v>C</v>
          </cell>
        </row>
        <row r="161">
          <cell r="G161">
            <v>4</v>
          </cell>
          <cell r="I161" t="str">
            <v>C</v>
          </cell>
        </row>
        <row r="162">
          <cell r="G162">
            <v>4</v>
          </cell>
          <cell r="I162" t="str">
            <v>I</v>
          </cell>
        </row>
        <row r="163">
          <cell r="G163">
            <v>6</v>
          </cell>
          <cell r="I163" t="str">
            <v>C</v>
          </cell>
        </row>
        <row r="164">
          <cell r="G164">
            <v>6</v>
          </cell>
          <cell r="I164" t="str">
            <v>S</v>
          </cell>
        </row>
        <row r="165">
          <cell r="G165">
            <v>1</v>
          </cell>
          <cell r="I165" t="str">
            <v>C</v>
          </cell>
        </row>
        <row r="166">
          <cell r="G166">
            <v>2</v>
          </cell>
          <cell r="I166" t="str">
            <v>E</v>
          </cell>
        </row>
        <row r="167">
          <cell r="G167">
            <v>2</v>
          </cell>
          <cell r="I167" t="str">
            <v>I</v>
          </cell>
        </row>
        <row r="168">
          <cell r="G168">
            <v>3</v>
          </cell>
          <cell r="I168" t="str">
            <v>C</v>
          </cell>
        </row>
        <row r="169">
          <cell r="G169">
            <v>4</v>
          </cell>
          <cell r="I169" t="str">
            <v>S</v>
          </cell>
        </row>
        <row r="170">
          <cell r="G170">
            <v>4</v>
          </cell>
          <cell r="I170" t="str">
            <v>S</v>
          </cell>
        </row>
        <row r="171">
          <cell r="G171">
            <v>5</v>
          </cell>
          <cell r="I171" t="str">
            <v>C</v>
          </cell>
        </row>
        <row r="172">
          <cell r="G172">
            <v>5</v>
          </cell>
          <cell r="I172" t="str">
            <v>C</v>
          </cell>
        </row>
        <row r="173">
          <cell r="G173">
            <v>5</v>
          </cell>
          <cell r="I173" t="str">
            <v>I</v>
          </cell>
        </row>
        <row r="174">
          <cell r="G174">
            <v>6</v>
          </cell>
          <cell r="I174" t="str">
            <v>C</v>
          </cell>
        </row>
        <row r="175">
          <cell r="G175">
            <v>9</v>
          </cell>
          <cell r="I175" t="str">
            <v>C</v>
          </cell>
        </row>
        <row r="176">
          <cell r="G176">
            <v>3</v>
          </cell>
          <cell r="I176" t="str">
            <v>C</v>
          </cell>
        </row>
        <row r="177">
          <cell r="G177">
            <v>5</v>
          </cell>
          <cell r="I177" t="str">
            <v>C</v>
          </cell>
        </row>
        <row r="178">
          <cell r="G178">
            <v>2</v>
          </cell>
          <cell r="I178" t="str">
            <v>C</v>
          </cell>
        </row>
        <row r="179">
          <cell r="G179">
            <v>3</v>
          </cell>
          <cell r="I179" t="str">
            <v>C</v>
          </cell>
        </row>
        <row r="180">
          <cell r="G180">
            <v>3</v>
          </cell>
          <cell r="I180" t="str">
            <v>C</v>
          </cell>
        </row>
        <row r="181">
          <cell r="G181">
            <v>3</v>
          </cell>
          <cell r="I181" t="str">
            <v>C</v>
          </cell>
        </row>
        <row r="182">
          <cell r="G182">
            <v>4</v>
          </cell>
          <cell r="I182" t="str">
            <v>C</v>
          </cell>
        </row>
        <row r="183">
          <cell r="G183">
            <v>2</v>
          </cell>
          <cell r="I183" t="str">
            <v>I</v>
          </cell>
        </row>
        <row r="184">
          <cell r="G184">
            <v>3</v>
          </cell>
          <cell r="I184" t="str">
            <v>I</v>
          </cell>
        </row>
        <row r="185">
          <cell r="G185">
            <v>3</v>
          </cell>
          <cell r="I185" t="str">
            <v>C</v>
          </cell>
        </row>
        <row r="186">
          <cell r="G186">
            <v>4</v>
          </cell>
          <cell r="I186" t="str">
            <v>C</v>
          </cell>
        </row>
        <row r="187">
          <cell r="G187">
            <v>3</v>
          </cell>
          <cell r="I187" t="str">
            <v>I</v>
          </cell>
        </row>
        <row r="188">
          <cell r="G188">
            <v>2</v>
          </cell>
          <cell r="I188" t="str">
            <v>I</v>
          </cell>
        </row>
        <row r="189">
          <cell r="G189">
            <v>2</v>
          </cell>
          <cell r="I189" t="str">
            <v>C</v>
          </cell>
        </row>
        <row r="190">
          <cell r="G190">
            <v>4</v>
          </cell>
          <cell r="I190" t="str">
            <v>C</v>
          </cell>
        </row>
        <row r="191">
          <cell r="G191">
            <v>4</v>
          </cell>
          <cell r="I191" t="str">
            <v>S</v>
          </cell>
        </row>
        <row r="192">
          <cell r="G192">
            <v>5</v>
          </cell>
          <cell r="I192" t="str">
            <v>S</v>
          </cell>
        </row>
        <row r="193">
          <cell r="G193">
            <v>2</v>
          </cell>
          <cell r="I193" t="str">
            <v>C</v>
          </cell>
        </row>
        <row r="194">
          <cell r="G194">
            <v>4</v>
          </cell>
          <cell r="I194" t="str">
            <v>C</v>
          </cell>
        </row>
        <row r="195">
          <cell r="G195">
            <v>2</v>
          </cell>
          <cell r="I195" t="str">
            <v>I</v>
          </cell>
        </row>
        <row r="196">
          <cell r="G196">
            <v>4</v>
          </cell>
          <cell r="I196" t="str">
            <v>I</v>
          </cell>
        </row>
        <row r="197">
          <cell r="G197">
            <v>2</v>
          </cell>
          <cell r="I197" t="str">
            <v>C</v>
          </cell>
        </row>
        <row r="198">
          <cell r="G198">
            <v>3</v>
          </cell>
          <cell r="I198" t="str">
            <v>S</v>
          </cell>
        </row>
        <row r="199">
          <cell r="G199">
            <v>4</v>
          </cell>
          <cell r="I199" t="str">
            <v>C</v>
          </cell>
        </row>
        <row r="200">
          <cell r="G200">
            <v>2</v>
          </cell>
          <cell r="I200" t="str">
            <v>C</v>
          </cell>
        </row>
        <row r="201">
          <cell r="G201">
            <v>0</v>
          </cell>
          <cell r="I201" t="str">
            <v>F</v>
          </cell>
        </row>
        <row r="202">
          <cell r="G202">
            <v>1</v>
          </cell>
          <cell r="I202" t="str">
            <v>FC</v>
          </cell>
        </row>
        <row r="203">
          <cell r="G203">
            <v>4</v>
          </cell>
          <cell r="I203" t="str">
            <v>F</v>
          </cell>
        </row>
        <row r="204">
          <cell r="G204">
            <v>4</v>
          </cell>
          <cell r="I204" t="str">
            <v>F</v>
          </cell>
        </row>
        <row r="205">
          <cell r="G205">
            <v>5</v>
          </cell>
          <cell r="I205" t="str">
            <v>F</v>
          </cell>
        </row>
        <row r="206">
          <cell r="I206" t="str">
            <v>L</v>
          </cell>
        </row>
        <row r="207">
          <cell r="I207" t="str">
            <v>L</v>
          </cell>
        </row>
        <row r="208">
          <cell r="I208" t="str">
            <v>L</v>
          </cell>
        </row>
        <row r="209">
          <cell r="I209" t="str">
            <v>L</v>
          </cell>
        </row>
        <row r="210">
          <cell r="I210" t="str">
            <v>L</v>
          </cell>
        </row>
        <row r="215">
          <cell r="G215">
            <v>1</v>
          </cell>
          <cell r="I215" t="str">
            <v>I</v>
          </cell>
        </row>
        <row r="216">
          <cell r="G216">
            <v>2</v>
          </cell>
          <cell r="I216" t="str">
            <v>C</v>
          </cell>
        </row>
        <row r="217">
          <cell r="G217">
            <v>2</v>
          </cell>
          <cell r="I217" t="str">
            <v>C</v>
          </cell>
        </row>
        <row r="218">
          <cell r="G218">
            <v>2</v>
          </cell>
          <cell r="I218" t="str">
            <v>E</v>
          </cell>
        </row>
        <row r="219">
          <cell r="G219">
            <v>3</v>
          </cell>
          <cell r="I219" t="str">
            <v>E</v>
          </cell>
        </row>
        <row r="220">
          <cell r="G220">
            <v>4</v>
          </cell>
          <cell r="I220" t="str">
            <v>C</v>
          </cell>
        </row>
        <row r="221">
          <cell r="G221">
            <v>4</v>
          </cell>
          <cell r="I221" t="str">
            <v>S</v>
          </cell>
        </row>
        <row r="222">
          <cell r="G222">
            <v>5</v>
          </cell>
          <cell r="I222" t="str">
            <v>C</v>
          </cell>
        </row>
        <row r="223">
          <cell r="G223">
            <v>6</v>
          </cell>
          <cell r="I223" t="str">
            <v>C</v>
          </cell>
        </row>
        <row r="224">
          <cell r="G224">
            <v>1</v>
          </cell>
          <cell r="I224" t="str">
            <v>EC</v>
          </cell>
        </row>
        <row r="225">
          <cell r="G225">
            <v>2</v>
          </cell>
          <cell r="I225" t="str">
            <v>C</v>
          </cell>
        </row>
        <row r="226">
          <cell r="G226">
            <v>2</v>
          </cell>
          <cell r="I226" t="str">
            <v>S</v>
          </cell>
        </row>
        <row r="227">
          <cell r="G227">
            <v>3</v>
          </cell>
          <cell r="I227" t="str">
            <v>I</v>
          </cell>
        </row>
        <row r="228">
          <cell r="G228">
            <v>3</v>
          </cell>
          <cell r="I228" t="str">
            <v>I</v>
          </cell>
        </row>
        <row r="229">
          <cell r="G229">
            <v>4</v>
          </cell>
          <cell r="I229" t="str">
            <v>S</v>
          </cell>
        </row>
        <row r="230">
          <cell r="G230">
            <v>5</v>
          </cell>
          <cell r="I230" t="str">
            <v>C</v>
          </cell>
        </row>
        <row r="231">
          <cell r="G231">
            <v>5</v>
          </cell>
          <cell r="I231" t="str">
            <v>C</v>
          </cell>
        </row>
        <row r="232">
          <cell r="G232">
            <v>8</v>
          </cell>
          <cell r="I232" t="str">
            <v>C</v>
          </cell>
        </row>
        <row r="233">
          <cell r="G233">
            <v>2</v>
          </cell>
          <cell r="I233" t="str">
            <v>C</v>
          </cell>
        </row>
        <row r="234">
          <cell r="G234">
            <v>2</v>
          </cell>
          <cell r="I234" t="str">
            <v>S</v>
          </cell>
        </row>
        <row r="235">
          <cell r="G235">
            <v>3</v>
          </cell>
          <cell r="I235" t="str">
            <v>I</v>
          </cell>
        </row>
        <row r="236">
          <cell r="G236">
            <v>4</v>
          </cell>
          <cell r="I236" t="str">
            <v>C</v>
          </cell>
        </row>
        <row r="237">
          <cell r="G237">
            <v>4</v>
          </cell>
          <cell r="I237" t="str">
            <v>C</v>
          </cell>
        </row>
        <row r="238">
          <cell r="G238">
            <v>4</v>
          </cell>
          <cell r="I238" t="str">
            <v>I</v>
          </cell>
        </row>
        <row r="239">
          <cell r="G239">
            <v>5</v>
          </cell>
          <cell r="I239" t="str">
            <v>C</v>
          </cell>
        </row>
        <row r="240">
          <cell r="G240">
            <v>5</v>
          </cell>
          <cell r="I240" t="str">
            <v>E</v>
          </cell>
        </row>
        <row r="241">
          <cell r="G241">
            <v>8</v>
          </cell>
          <cell r="I241" t="str">
            <v>C</v>
          </cell>
        </row>
        <row r="242">
          <cell r="G242">
            <v>1</v>
          </cell>
          <cell r="I242" t="str">
            <v>S</v>
          </cell>
        </row>
        <row r="243">
          <cell r="G243">
            <v>2</v>
          </cell>
          <cell r="I243" t="str">
            <v>S</v>
          </cell>
        </row>
        <row r="244">
          <cell r="G244">
            <v>3</v>
          </cell>
          <cell r="I244" t="str">
            <v>C</v>
          </cell>
        </row>
        <row r="245">
          <cell r="G245">
            <v>3</v>
          </cell>
          <cell r="I245" t="str">
            <v>C</v>
          </cell>
        </row>
        <row r="246">
          <cell r="G246">
            <v>4</v>
          </cell>
          <cell r="I246" t="str">
            <v>C</v>
          </cell>
        </row>
        <row r="247">
          <cell r="G247">
            <v>5</v>
          </cell>
          <cell r="I247" t="str">
            <v>C</v>
          </cell>
        </row>
        <row r="248">
          <cell r="G248">
            <v>6</v>
          </cell>
          <cell r="I248" t="str">
            <v>C</v>
          </cell>
        </row>
        <row r="249">
          <cell r="G249">
            <v>6</v>
          </cell>
          <cell r="I249" t="str">
            <v>E</v>
          </cell>
        </row>
        <row r="250">
          <cell r="G250">
            <v>6</v>
          </cell>
          <cell r="I250" t="str">
            <v>I</v>
          </cell>
        </row>
        <row r="251">
          <cell r="G251">
            <v>1</v>
          </cell>
          <cell r="I251" t="str">
            <v>C</v>
          </cell>
        </row>
        <row r="252">
          <cell r="G252">
            <v>1</v>
          </cell>
          <cell r="I252" t="str">
            <v>E</v>
          </cell>
        </row>
        <row r="253">
          <cell r="G253">
            <v>2</v>
          </cell>
          <cell r="I253" t="str">
            <v>I</v>
          </cell>
        </row>
        <row r="254">
          <cell r="G254">
            <v>3</v>
          </cell>
          <cell r="I254" t="str">
            <v>S</v>
          </cell>
        </row>
        <row r="255">
          <cell r="G255">
            <v>4</v>
          </cell>
          <cell r="I255" t="str">
            <v>C</v>
          </cell>
        </row>
        <row r="256">
          <cell r="G256">
            <v>4</v>
          </cell>
          <cell r="I256" t="str">
            <v>C</v>
          </cell>
        </row>
        <row r="257">
          <cell r="G257">
            <v>5</v>
          </cell>
          <cell r="I257" t="str">
            <v>C</v>
          </cell>
        </row>
        <row r="258">
          <cell r="G258">
            <v>6</v>
          </cell>
          <cell r="I258" t="str">
            <v>C</v>
          </cell>
        </row>
        <row r="259">
          <cell r="G259">
            <v>6</v>
          </cell>
          <cell r="I259" t="str">
            <v>S</v>
          </cell>
        </row>
        <row r="260">
          <cell r="G260">
            <v>3</v>
          </cell>
          <cell r="I260" t="str">
            <v>C</v>
          </cell>
        </row>
        <row r="261">
          <cell r="G261">
            <v>5</v>
          </cell>
          <cell r="I261" t="str">
            <v>S</v>
          </cell>
        </row>
        <row r="262">
          <cell r="G262">
            <v>7</v>
          </cell>
          <cell r="I262" t="str">
            <v>S</v>
          </cell>
        </row>
        <row r="263">
          <cell r="G263">
            <v>3</v>
          </cell>
          <cell r="I263" t="str">
            <v>I</v>
          </cell>
        </row>
        <row r="264">
          <cell r="G264">
            <v>3</v>
          </cell>
          <cell r="I264" t="str">
            <v>S</v>
          </cell>
        </row>
        <row r="265">
          <cell r="G265">
            <v>4</v>
          </cell>
          <cell r="I265" t="str">
            <v>S</v>
          </cell>
        </row>
        <row r="266">
          <cell r="G266">
            <v>4</v>
          </cell>
          <cell r="I266" t="str">
            <v>C</v>
          </cell>
        </row>
        <row r="267">
          <cell r="G267">
            <v>5</v>
          </cell>
          <cell r="I267" t="str">
            <v>E</v>
          </cell>
        </row>
        <row r="268">
          <cell r="G268">
            <v>4</v>
          </cell>
          <cell r="I268" t="str">
            <v>C</v>
          </cell>
        </row>
        <row r="269">
          <cell r="G269">
            <v>5</v>
          </cell>
          <cell r="I269" t="str">
            <v>S</v>
          </cell>
        </row>
        <row r="270">
          <cell r="G270">
            <v>6</v>
          </cell>
          <cell r="I270" t="str">
            <v>C</v>
          </cell>
        </row>
        <row r="271">
          <cell r="G271">
            <v>6</v>
          </cell>
          <cell r="I271" t="str">
            <v>C</v>
          </cell>
        </row>
        <row r="272">
          <cell r="G272">
            <v>6</v>
          </cell>
          <cell r="I272" t="str">
            <v>C</v>
          </cell>
        </row>
        <row r="273">
          <cell r="G273">
            <v>6</v>
          </cell>
          <cell r="I273" t="str">
            <v>C</v>
          </cell>
        </row>
        <row r="274">
          <cell r="G274">
            <v>6</v>
          </cell>
          <cell r="I274" t="str">
            <v>C</v>
          </cell>
        </row>
        <row r="275">
          <cell r="G275">
            <v>5</v>
          </cell>
          <cell r="I275" t="str">
            <v>C</v>
          </cell>
        </row>
        <row r="276">
          <cell r="G276">
            <v>2</v>
          </cell>
          <cell r="I276" t="str">
            <v>F</v>
          </cell>
        </row>
        <row r="277">
          <cell r="G277">
            <v>2</v>
          </cell>
          <cell r="I277" t="str">
            <v>F</v>
          </cell>
        </row>
        <row r="278">
          <cell r="G278">
            <v>4</v>
          </cell>
          <cell r="I278" t="str">
            <v>FC</v>
          </cell>
        </row>
        <row r="279">
          <cell r="G279">
            <v>5</v>
          </cell>
          <cell r="I279" t="str">
            <v>F</v>
          </cell>
        </row>
        <row r="280">
          <cell r="I280" t="str">
            <v>L</v>
          </cell>
        </row>
        <row r="281">
          <cell r="I281" t="str">
            <v>L</v>
          </cell>
        </row>
        <row r="282">
          <cell r="I282" t="str">
            <v>L</v>
          </cell>
        </row>
        <row r="283">
          <cell r="I283" t="str">
            <v>L</v>
          </cell>
        </row>
        <row r="284">
          <cell r="I284" t="str">
            <v>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62"/>
  <sheetViews>
    <sheetView workbookViewId="0">
      <selection activeCell="E7" sqref="E7"/>
    </sheetView>
  </sheetViews>
  <sheetFormatPr defaultRowHeight="18.75"/>
  <cols>
    <col min="5" max="8" width="5.625" customWidth="1"/>
    <col min="9" max="9" width="11.375" customWidth="1"/>
  </cols>
  <sheetData>
    <row r="1" spans="1:21">
      <c r="B1" t="s">
        <v>3474</v>
      </c>
      <c r="C1" t="s">
        <v>3475</v>
      </c>
      <c r="D1" t="s">
        <v>3489</v>
      </c>
      <c r="E1" t="s">
        <v>3477</v>
      </c>
      <c r="F1" t="s">
        <v>3479</v>
      </c>
      <c r="G1" t="s">
        <v>3481</v>
      </c>
      <c r="H1" t="s">
        <v>3482</v>
      </c>
      <c r="I1" t="s">
        <v>3483</v>
      </c>
      <c r="O1" t="s">
        <v>3484</v>
      </c>
      <c r="P1" t="s">
        <v>3486</v>
      </c>
      <c r="Q1" s="1" t="str">
        <f t="shared" ref="Q1:R1" si="0">IF(ISERR(SEARCH("戦場に出",K1,1)),"","[CIP]")</f>
        <v/>
      </c>
      <c r="R1" s="1" t="str">
        <f t="shared" si="0"/>
        <v/>
      </c>
    </row>
    <row r="2" spans="1:21">
      <c r="B2" s="8" t="s">
        <v>334</v>
      </c>
      <c r="C2" s="8" t="s">
        <v>191</v>
      </c>
      <c r="D2" s="8">
        <v>1</v>
      </c>
      <c r="E2" s="8" t="s">
        <v>3319</v>
      </c>
      <c r="F2" s="8" t="s">
        <v>3320</v>
      </c>
      <c r="G2" s="8" t="s">
        <v>3285</v>
      </c>
      <c r="H2" s="8"/>
      <c r="I2" s="8" t="s">
        <v>194</v>
      </c>
      <c r="J2" s="8"/>
      <c r="K2" s="8"/>
      <c r="L2" s="8"/>
      <c r="M2" s="8"/>
      <c r="N2" s="8"/>
      <c r="O2" s="8" t="s">
        <v>156</v>
      </c>
      <c r="P2" s="8" t="s">
        <v>50</v>
      </c>
      <c r="Q2" s="8" t="s">
        <v>4</v>
      </c>
      <c r="S2">
        <f t="shared" ref="S2:S16" si="1">COUNTIF(F:H,T2)</f>
        <v>7</v>
      </c>
      <c r="T2" t="s">
        <v>3285</v>
      </c>
    </row>
    <row r="3" spans="1:21">
      <c r="B3" t="s">
        <v>335</v>
      </c>
      <c r="C3" t="s">
        <v>191</v>
      </c>
      <c r="D3" s="8">
        <v>1</v>
      </c>
      <c r="E3" t="s">
        <v>3319</v>
      </c>
      <c r="F3" t="s">
        <v>3320</v>
      </c>
      <c r="G3" t="s">
        <v>3285</v>
      </c>
      <c r="I3" t="s">
        <v>195</v>
      </c>
      <c r="O3" t="s">
        <v>156</v>
      </c>
      <c r="P3" t="s">
        <v>173</v>
      </c>
      <c r="Q3" t="s">
        <v>4</v>
      </c>
      <c r="S3">
        <f t="shared" si="1"/>
        <v>63</v>
      </c>
      <c r="T3" t="s">
        <v>3286</v>
      </c>
    </row>
    <row r="4" spans="1:21">
      <c r="B4" t="s">
        <v>336</v>
      </c>
      <c r="C4" t="s">
        <v>191</v>
      </c>
      <c r="D4" s="8">
        <v>1</v>
      </c>
      <c r="E4" t="s">
        <v>3319</v>
      </c>
      <c r="F4" t="s">
        <v>3320</v>
      </c>
      <c r="G4" t="s">
        <v>3286</v>
      </c>
      <c r="I4" t="s">
        <v>196</v>
      </c>
      <c r="O4" t="s">
        <v>156</v>
      </c>
      <c r="P4" t="s">
        <v>39</v>
      </c>
      <c r="Q4" t="s">
        <v>4</v>
      </c>
      <c r="S4">
        <f t="shared" si="1"/>
        <v>11</v>
      </c>
      <c r="T4" t="s">
        <v>3287</v>
      </c>
    </row>
    <row r="5" spans="1:21">
      <c r="B5" t="s">
        <v>337</v>
      </c>
      <c r="C5" t="s">
        <v>191</v>
      </c>
      <c r="D5" s="8">
        <v>1</v>
      </c>
      <c r="E5" t="s">
        <v>3319</v>
      </c>
      <c r="F5" t="s">
        <v>3320</v>
      </c>
      <c r="G5" t="s">
        <v>3286</v>
      </c>
      <c r="I5" t="s">
        <v>1288</v>
      </c>
      <c r="J5" t="s">
        <v>55</v>
      </c>
      <c r="O5" t="s">
        <v>157</v>
      </c>
      <c r="P5" t="s">
        <v>49</v>
      </c>
      <c r="Q5" t="s">
        <v>4</v>
      </c>
      <c r="S5">
        <f t="shared" si="1"/>
        <v>6</v>
      </c>
      <c r="T5" t="s">
        <v>3288</v>
      </c>
    </row>
    <row r="6" spans="1:21">
      <c r="B6" t="s">
        <v>338</v>
      </c>
      <c r="C6" t="s">
        <v>191</v>
      </c>
      <c r="D6" s="8">
        <v>1</v>
      </c>
      <c r="E6" t="s">
        <v>3319</v>
      </c>
      <c r="F6" t="s">
        <v>3320</v>
      </c>
      <c r="G6" t="s">
        <v>3286</v>
      </c>
      <c r="I6" t="s">
        <v>1297</v>
      </c>
      <c r="O6" t="s">
        <v>156</v>
      </c>
      <c r="P6" t="s">
        <v>15</v>
      </c>
      <c r="Q6" t="s">
        <v>4</v>
      </c>
      <c r="S6">
        <f t="shared" si="1"/>
        <v>31</v>
      </c>
      <c r="T6" s="8" t="s">
        <v>3289</v>
      </c>
    </row>
    <row r="7" spans="1:21">
      <c r="B7" t="s">
        <v>339</v>
      </c>
      <c r="C7" t="s">
        <v>191</v>
      </c>
      <c r="D7" s="8">
        <v>1</v>
      </c>
      <c r="E7" t="s">
        <v>3319</v>
      </c>
      <c r="F7" t="s">
        <v>3320</v>
      </c>
      <c r="G7" t="s">
        <v>3287</v>
      </c>
      <c r="I7" t="s">
        <v>197</v>
      </c>
      <c r="O7" t="s">
        <v>158</v>
      </c>
      <c r="P7" t="s">
        <v>32</v>
      </c>
      <c r="Q7" t="s">
        <v>4</v>
      </c>
      <c r="S7">
        <f t="shared" si="1"/>
        <v>20</v>
      </c>
      <c r="T7" t="s">
        <v>3290</v>
      </c>
    </row>
    <row r="8" spans="1:21">
      <c r="B8" t="s">
        <v>340</v>
      </c>
      <c r="C8" t="s">
        <v>191</v>
      </c>
      <c r="D8" s="8">
        <v>1</v>
      </c>
      <c r="E8" t="s">
        <v>3319</v>
      </c>
      <c r="F8" t="s">
        <v>3320</v>
      </c>
      <c r="G8" t="s">
        <v>3286</v>
      </c>
      <c r="I8" t="s">
        <v>198</v>
      </c>
      <c r="O8" t="s">
        <v>156</v>
      </c>
      <c r="P8" t="s">
        <v>174</v>
      </c>
      <c r="Q8" t="s">
        <v>4</v>
      </c>
      <c r="S8">
        <f t="shared" si="1"/>
        <v>10</v>
      </c>
      <c r="T8" t="s">
        <v>3291</v>
      </c>
    </row>
    <row r="9" spans="1:21">
      <c r="B9" t="s">
        <v>341</v>
      </c>
      <c r="C9" t="s">
        <v>191</v>
      </c>
      <c r="D9" s="8">
        <v>1</v>
      </c>
      <c r="E9" t="s">
        <v>3319</v>
      </c>
      <c r="F9" t="s">
        <v>3320</v>
      </c>
      <c r="G9" t="s">
        <v>3288</v>
      </c>
      <c r="H9" t="s">
        <v>3289</v>
      </c>
      <c r="I9" t="s">
        <v>1312</v>
      </c>
      <c r="O9" t="s">
        <v>156</v>
      </c>
      <c r="P9" t="s">
        <v>31</v>
      </c>
      <c r="Q9" t="s">
        <v>4</v>
      </c>
      <c r="S9">
        <f t="shared" si="1"/>
        <v>4</v>
      </c>
      <c r="T9" t="s">
        <v>3292</v>
      </c>
    </row>
    <row r="10" spans="1:21" s="8" customFormat="1">
      <c r="B10" s="9" t="s">
        <v>342</v>
      </c>
      <c r="C10" s="9" t="s">
        <v>191</v>
      </c>
      <c r="D10" s="8">
        <v>1</v>
      </c>
      <c r="E10" s="9" t="s">
        <v>3319</v>
      </c>
      <c r="F10" s="9" t="s">
        <v>3320</v>
      </c>
      <c r="G10" s="9" t="s">
        <v>3289</v>
      </c>
      <c r="H10" s="9"/>
      <c r="I10" s="9" t="s">
        <v>56</v>
      </c>
      <c r="J10" s="9"/>
      <c r="K10" s="9"/>
      <c r="L10" s="9"/>
      <c r="M10" s="9"/>
      <c r="N10" s="9"/>
      <c r="O10" s="9" t="s">
        <v>159</v>
      </c>
      <c r="P10" s="9" t="s">
        <v>30</v>
      </c>
      <c r="Q10" s="9" t="s">
        <v>4</v>
      </c>
      <c r="S10">
        <f t="shared" si="1"/>
        <v>1</v>
      </c>
      <c r="T10" t="s">
        <v>3293</v>
      </c>
      <c r="U10"/>
    </row>
    <row r="11" spans="1:21">
      <c r="B11" t="s">
        <v>343</v>
      </c>
      <c r="C11" t="s">
        <v>191</v>
      </c>
      <c r="D11" s="8">
        <v>1</v>
      </c>
      <c r="E11" t="s">
        <v>3319</v>
      </c>
      <c r="F11" t="s">
        <v>3320</v>
      </c>
      <c r="G11" t="s">
        <v>3289</v>
      </c>
      <c r="I11" t="s">
        <v>199</v>
      </c>
      <c r="O11" t="s">
        <v>156</v>
      </c>
      <c r="P11" t="s">
        <v>8</v>
      </c>
      <c r="Q11" t="s">
        <v>4</v>
      </c>
      <c r="S11">
        <f t="shared" si="1"/>
        <v>5</v>
      </c>
      <c r="T11" t="s">
        <v>3294</v>
      </c>
    </row>
    <row r="12" spans="1:21">
      <c r="A12" s="8"/>
      <c r="B12" s="8" t="s">
        <v>344</v>
      </c>
      <c r="C12" s="8" t="s">
        <v>191</v>
      </c>
      <c r="D12" s="8">
        <v>1</v>
      </c>
      <c r="E12" s="8" t="s">
        <v>3319</v>
      </c>
      <c r="F12" s="8" t="s">
        <v>3320</v>
      </c>
      <c r="G12" s="8" t="s">
        <v>3289</v>
      </c>
      <c r="H12" s="8"/>
      <c r="I12" s="8" t="s">
        <v>57</v>
      </c>
      <c r="J12" s="8"/>
      <c r="K12" s="8"/>
      <c r="L12" s="8"/>
      <c r="M12" s="8"/>
      <c r="N12" s="8" t="s">
        <v>495</v>
      </c>
      <c r="O12" s="8" t="s">
        <v>156</v>
      </c>
      <c r="P12" s="8" t="s">
        <v>52</v>
      </c>
      <c r="Q12" s="8" t="s">
        <v>4</v>
      </c>
      <c r="R12" s="8"/>
      <c r="S12">
        <f t="shared" si="1"/>
        <v>1</v>
      </c>
      <c r="T12" t="s">
        <v>3295</v>
      </c>
    </row>
    <row r="13" spans="1:21">
      <c r="B13" t="s">
        <v>345</v>
      </c>
      <c r="C13" t="s">
        <v>191</v>
      </c>
      <c r="D13" s="8">
        <v>1</v>
      </c>
      <c r="E13" t="s">
        <v>3319</v>
      </c>
      <c r="F13" t="s">
        <v>3320</v>
      </c>
      <c r="G13" t="s">
        <v>3289</v>
      </c>
      <c r="I13" t="s">
        <v>58</v>
      </c>
      <c r="O13" t="s">
        <v>156</v>
      </c>
      <c r="P13" t="s">
        <v>10</v>
      </c>
      <c r="Q13" t="s">
        <v>4</v>
      </c>
      <c r="S13">
        <f t="shared" si="1"/>
        <v>1</v>
      </c>
      <c r="T13" t="s">
        <v>3298</v>
      </c>
    </row>
    <row r="14" spans="1:21">
      <c r="B14" t="s">
        <v>346</v>
      </c>
      <c r="C14" t="s">
        <v>191</v>
      </c>
      <c r="D14" s="8">
        <v>1</v>
      </c>
      <c r="E14" t="s">
        <v>3319</v>
      </c>
      <c r="F14" t="s">
        <v>3320</v>
      </c>
      <c r="G14" t="s">
        <v>3286</v>
      </c>
      <c r="O14" t="s">
        <v>159</v>
      </c>
      <c r="P14" t="s">
        <v>18</v>
      </c>
      <c r="Q14" t="s">
        <v>4</v>
      </c>
      <c r="S14">
        <f t="shared" si="1"/>
        <v>4</v>
      </c>
      <c r="T14" t="s">
        <v>3297</v>
      </c>
    </row>
    <row r="15" spans="1:21">
      <c r="A15" s="8"/>
      <c r="B15" s="8" t="s">
        <v>347</v>
      </c>
      <c r="C15" s="8" t="s">
        <v>191</v>
      </c>
      <c r="D15" s="8">
        <v>1</v>
      </c>
      <c r="E15" s="8" t="s">
        <v>3319</v>
      </c>
      <c r="F15" s="8" t="s">
        <v>3320</v>
      </c>
      <c r="G15" s="8" t="s">
        <v>3290</v>
      </c>
      <c r="H15" s="8"/>
      <c r="I15" s="8" t="s">
        <v>1290</v>
      </c>
      <c r="J15" s="8" t="s">
        <v>149</v>
      </c>
      <c r="K15" s="8" t="s">
        <v>150</v>
      </c>
      <c r="L15" s="8"/>
      <c r="M15" s="8"/>
      <c r="N15" s="8"/>
      <c r="O15" s="8" t="s">
        <v>156</v>
      </c>
      <c r="P15" s="8" t="s">
        <v>175</v>
      </c>
      <c r="Q15" s="8" t="s">
        <v>4</v>
      </c>
      <c r="R15" s="43"/>
      <c r="S15">
        <f t="shared" si="1"/>
        <v>1</v>
      </c>
      <c r="T15" t="s">
        <v>3299</v>
      </c>
    </row>
    <row r="16" spans="1:21">
      <c r="A16" s="5"/>
      <c r="B16" s="5" t="s">
        <v>348</v>
      </c>
      <c r="C16" s="5" t="s">
        <v>191</v>
      </c>
      <c r="D16" s="5">
        <v>1</v>
      </c>
      <c r="E16" s="5" t="s">
        <v>3322</v>
      </c>
      <c r="F16" s="5" t="s">
        <v>3320</v>
      </c>
      <c r="G16" s="5" t="s">
        <v>3286</v>
      </c>
      <c r="H16" s="5"/>
      <c r="I16" s="5" t="s">
        <v>1289</v>
      </c>
      <c r="J16" s="5" t="s">
        <v>59</v>
      </c>
      <c r="K16" s="5"/>
      <c r="L16" s="5"/>
      <c r="M16" s="5"/>
      <c r="N16" s="5"/>
      <c r="O16" s="5" t="s">
        <v>157</v>
      </c>
      <c r="P16" s="5" t="s">
        <v>40</v>
      </c>
      <c r="Q16" s="5" t="s">
        <v>4</v>
      </c>
      <c r="R16" s="43"/>
      <c r="S16">
        <f t="shared" si="1"/>
        <v>4</v>
      </c>
      <c r="T16" t="s">
        <v>3296</v>
      </c>
    </row>
    <row r="17" spans="1:21">
      <c r="A17" s="5"/>
      <c r="B17" s="5" t="s">
        <v>349</v>
      </c>
      <c r="C17" s="5" t="s">
        <v>191</v>
      </c>
      <c r="D17" s="5">
        <v>1</v>
      </c>
      <c r="E17" s="5" t="s">
        <v>3319</v>
      </c>
      <c r="F17" s="5" t="s">
        <v>3320</v>
      </c>
      <c r="G17" s="5" t="s">
        <v>3286</v>
      </c>
      <c r="H17" s="5"/>
      <c r="I17" s="5" t="s">
        <v>1291</v>
      </c>
      <c r="J17" s="5"/>
      <c r="K17" s="5"/>
      <c r="L17" s="5"/>
      <c r="M17" s="5"/>
      <c r="N17" s="5" t="s">
        <v>495</v>
      </c>
      <c r="O17" s="5" t="s">
        <v>157</v>
      </c>
      <c r="P17" s="5" t="s">
        <v>46</v>
      </c>
      <c r="Q17" s="5" t="s">
        <v>4</v>
      </c>
    </row>
    <row r="18" spans="1:21">
      <c r="B18" t="s">
        <v>350</v>
      </c>
      <c r="C18" t="s">
        <v>191</v>
      </c>
      <c r="D18" s="8">
        <v>1</v>
      </c>
      <c r="E18" t="s">
        <v>3319</v>
      </c>
      <c r="F18" t="s">
        <v>3320</v>
      </c>
      <c r="G18" t="s">
        <v>3291</v>
      </c>
      <c r="I18" t="s">
        <v>1292</v>
      </c>
      <c r="O18" t="s">
        <v>156</v>
      </c>
      <c r="P18" t="s">
        <v>38</v>
      </c>
      <c r="Q18" t="s">
        <v>4</v>
      </c>
    </row>
    <row r="19" spans="1:21">
      <c r="B19" t="s">
        <v>351</v>
      </c>
      <c r="C19" t="s">
        <v>191</v>
      </c>
      <c r="D19" s="8">
        <v>1</v>
      </c>
      <c r="E19" t="s">
        <v>3319</v>
      </c>
      <c r="F19" t="s">
        <v>3320</v>
      </c>
      <c r="G19" t="s">
        <v>3286</v>
      </c>
      <c r="O19" t="s">
        <v>156</v>
      </c>
      <c r="P19" t="s">
        <v>176</v>
      </c>
      <c r="Q19" t="s">
        <v>4</v>
      </c>
    </row>
    <row r="20" spans="1:21">
      <c r="B20" t="s">
        <v>352</v>
      </c>
      <c r="C20" t="s">
        <v>191</v>
      </c>
      <c r="D20" s="8">
        <v>1</v>
      </c>
      <c r="E20" t="s">
        <v>3319</v>
      </c>
      <c r="F20" t="s">
        <v>3320</v>
      </c>
      <c r="G20" t="s">
        <v>3288</v>
      </c>
      <c r="H20" t="s">
        <v>3289</v>
      </c>
      <c r="I20" t="s">
        <v>200</v>
      </c>
      <c r="O20" t="s">
        <v>156</v>
      </c>
      <c r="P20" t="s">
        <v>34</v>
      </c>
      <c r="Q20" t="s">
        <v>4</v>
      </c>
    </row>
    <row r="21" spans="1:21">
      <c r="B21" t="s">
        <v>353</v>
      </c>
      <c r="C21" t="s">
        <v>191</v>
      </c>
      <c r="D21" s="8">
        <v>1</v>
      </c>
      <c r="E21" t="s">
        <v>3319</v>
      </c>
      <c r="F21" t="s">
        <v>3320</v>
      </c>
      <c r="G21" t="s">
        <v>3289</v>
      </c>
      <c r="I21" t="s">
        <v>201</v>
      </c>
      <c r="O21" t="s">
        <v>156</v>
      </c>
      <c r="P21" t="s">
        <v>177</v>
      </c>
      <c r="Q21" t="s">
        <v>4</v>
      </c>
    </row>
    <row r="22" spans="1:21">
      <c r="B22" t="s">
        <v>354</v>
      </c>
      <c r="C22" t="s">
        <v>191</v>
      </c>
      <c r="D22" s="8">
        <v>1</v>
      </c>
      <c r="E22" t="s">
        <v>3319</v>
      </c>
      <c r="F22" t="s">
        <v>3320</v>
      </c>
      <c r="G22" t="s">
        <v>3286</v>
      </c>
      <c r="I22" t="s">
        <v>60</v>
      </c>
      <c r="O22" t="s">
        <v>156</v>
      </c>
      <c r="P22" t="s">
        <v>46</v>
      </c>
      <c r="Q22" t="s">
        <v>4</v>
      </c>
    </row>
    <row r="23" spans="1:21">
      <c r="B23" t="s">
        <v>355</v>
      </c>
      <c r="C23" t="s">
        <v>191</v>
      </c>
      <c r="D23" s="8">
        <v>1</v>
      </c>
      <c r="E23" t="s">
        <v>3319</v>
      </c>
      <c r="F23" t="s">
        <v>3320</v>
      </c>
      <c r="G23" t="s">
        <v>3289</v>
      </c>
      <c r="I23" t="s">
        <v>61</v>
      </c>
      <c r="O23" t="s">
        <v>156</v>
      </c>
      <c r="P23" t="s">
        <v>178</v>
      </c>
      <c r="Q23" t="s">
        <v>4</v>
      </c>
    </row>
    <row r="24" spans="1:21">
      <c r="B24" t="s">
        <v>356</v>
      </c>
      <c r="C24" t="s">
        <v>191</v>
      </c>
      <c r="D24" s="8">
        <v>1</v>
      </c>
      <c r="E24" t="s">
        <v>3319</v>
      </c>
      <c r="F24" t="s">
        <v>3320</v>
      </c>
      <c r="G24" t="s">
        <v>3286</v>
      </c>
      <c r="I24" t="s">
        <v>220</v>
      </c>
      <c r="O24" t="s">
        <v>156</v>
      </c>
      <c r="P24" t="s">
        <v>8</v>
      </c>
      <c r="Q24" t="s">
        <v>4</v>
      </c>
    </row>
    <row r="25" spans="1:21">
      <c r="B25" t="s">
        <v>357</v>
      </c>
      <c r="C25" t="s">
        <v>191</v>
      </c>
      <c r="D25" s="8">
        <v>1</v>
      </c>
      <c r="E25" t="s">
        <v>3319</v>
      </c>
      <c r="F25" t="s">
        <v>3320</v>
      </c>
      <c r="G25" t="s">
        <v>3286</v>
      </c>
      <c r="I25" t="s">
        <v>202</v>
      </c>
      <c r="O25" t="s">
        <v>156</v>
      </c>
      <c r="P25" t="s">
        <v>48</v>
      </c>
      <c r="Q25" t="s">
        <v>4</v>
      </c>
    </row>
    <row r="26" spans="1:21">
      <c r="B26" t="s">
        <v>358</v>
      </c>
      <c r="C26" t="s">
        <v>191</v>
      </c>
      <c r="D26" s="8">
        <v>1</v>
      </c>
      <c r="E26" t="s">
        <v>3319</v>
      </c>
      <c r="F26" t="s">
        <v>3320</v>
      </c>
      <c r="G26" t="s">
        <v>3286</v>
      </c>
      <c r="I26" t="s">
        <v>203</v>
      </c>
      <c r="O26" t="s">
        <v>156</v>
      </c>
      <c r="P26" t="s">
        <v>179</v>
      </c>
      <c r="Q26" t="s">
        <v>4</v>
      </c>
    </row>
    <row r="27" spans="1:21">
      <c r="B27" t="s">
        <v>359</v>
      </c>
      <c r="C27" t="s">
        <v>191</v>
      </c>
      <c r="D27" s="8">
        <v>1</v>
      </c>
      <c r="E27" t="s">
        <v>3319</v>
      </c>
      <c r="F27" t="s">
        <v>3320</v>
      </c>
      <c r="G27" t="s">
        <v>3292</v>
      </c>
      <c r="I27" t="s">
        <v>1293</v>
      </c>
      <c r="O27" t="s">
        <v>156</v>
      </c>
      <c r="P27" t="s">
        <v>180</v>
      </c>
      <c r="Q27" t="s">
        <v>4</v>
      </c>
    </row>
    <row r="28" spans="1:21">
      <c r="B28" t="s">
        <v>360</v>
      </c>
      <c r="C28" t="s">
        <v>191</v>
      </c>
      <c r="D28" s="8">
        <v>1</v>
      </c>
      <c r="E28" t="s">
        <v>3319</v>
      </c>
      <c r="F28" t="s">
        <v>3320</v>
      </c>
      <c r="G28" t="s">
        <v>3289</v>
      </c>
      <c r="I28" t="s">
        <v>63</v>
      </c>
      <c r="O28" t="s">
        <v>156</v>
      </c>
      <c r="P28" t="s">
        <v>49</v>
      </c>
      <c r="Q28" t="s">
        <v>4</v>
      </c>
    </row>
    <row r="29" spans="1:21" s="8" customFormat="1">
      <c r="B29" s="9" t="s">
        <v>361</v>
      </c>
      <c r="C29" s="9" t="s">
        <v>191</v>
      </c>
      <c r="D29" s="8">
        <v>1</v>
      </c>
      <c r="E29" s="9" t="s">
        <v>3319</v>
      </c>
      <c r="F29" s="9" t="s">
        <v>3320</v>
      </c>
      <c r="G29" s="9" t="s">
        <v>3287</v>
      </c>
      <c r="H29" s="9"/>
      <c r="I29" s="9" t="s">
        <v>64</v>
      </c>
      <c r="J29" s="9"/>
      <c r="K29" s="9"/>
      <c r="L29" s="9"/>
      <c r="M29" s="9"/>
      <c r="N29" s="9"/>
      <c r="O29" s="9" t="s">
        <v>160</v>
      </c>
      <c r="P29" s="9" t="s">
        <v>29</v>
      </c>
      <c r="Q29" s="9" t="s">
        <v>4</v>
      </c>
      <c r="T29"/>
      <c r="U29"/>
    </row>
    <row r="30" spans="1:21">
      <c r="B30" t="s">
        <v>362</v>
      </c>
      <c r="C30" t="s">
        <v>191</v>
      </c>
      <c r="D30" s="8">
        <v>1</v>
      </c>
      <c r="E30" t="s">
        <v>3319</v>
      </c>
      <c r="F30" t="s">
        <v>3320</v>
      </c>
      <c r="G30" t="s">
        <v>3293</v>
      </c>
      <c r="I30" t="s">
        <v>219</v>
      </c>
      <c r="O30" t="s">
        <v>156</v>
      </c>
      <c r="P30" t="s">
        <v>38</v>
      </c>
      <c r="Q30" t="s">
        <v>4</v>
      </c>
    </row>
    <row r="31" spans="1:21">
      <c r="B31" t="s">
        <v>363</v>
      </c>
      <c r="C31" t="s">
        <v>191</v>
      </c>
      <c r="D31" s="8">
        <v>1</v>
      </c>
      <c r="E31" t="s">
        <v>3319</v>
      </c>
      <c r="F31" t="s">
        <v>3320</v>
      </c>
      <c r="G31" t="s">
        <v>3290</v>
      </c>
      <c r="I31" t="s">
        <v>23</v>
      </c>
      <c r="J31" t="s">
        <v>206</v>
      </c>
      <c r="O31" t="s">
        <v>156</v>
      </c>
      <c r="P31" t="s">
        <v>11</v>
      </c>
      <c r="Q31" t="s">
        <v>4</v>
      </c>
    </row>
    <row r="32" spans="1:21">
      <c r="B32" t="s">
        <v>364</v>
      </c>
      <c r="C32" t="s">
        <v>191</v>
      </c>
      <c r="D32" s="8">
        <v>1</v>
      </c>
      <c r="E32" t="s">
        <v>3319</v>
      </c>
      <c r="F32" t="s">
        <v>3320</v>
      </c>
      <c r="G32" t="s">
        <v>3286</v>
      </c>
      <c r="I32" t="s">
        <v>65</v>
      </c>
      <c r="O32" t="s">
        <v>156</v>
      </c>
      <c r="P32" t="s">
        <v>181</v>
      </c>
      <c r="Q32" t="s">
        <v>4</v>
      </c>
    </row>
    <row r="33" spans="1:21" s="8" customFormat="1">
      <c r="B33" s="9" t="s">
        <v>365</v>
      </c>
      <c r="C33" s="9" t="s">
        <v>191</v>
      </c>
      <c r="D33" s="8">
        <v>1</v>
      </c>
      <c r="E33" s="9" t="s">
        <v>3319</v>
      </c>
      <c r="F33" s="9" t="s">
        <v>3320</v>
      </c>
      <c r="G33" s="9" t="s">
        <v>3286</v>
      </c>
      <c r="H33" s="9"/>
      <c r="I33" s="9" t="s">
        <v>66</v>
      </c>
      <c r="J33" s="9"/>
      <c r="K33" s="9"/>
      <c r="L33" s="9"/>
      <c r="M33" s="9"/>
      <c r="N33" s="9"/>
      <c r="O33" s="9" t="s">
        <v>157</v>
      </c>
      <c r="P33" s="9" t="s">
        <v>52</v>
      </c>
      <c r="Q33" s="9" t="s">
        <v>4</v>
      </c>
      <c r="T33"/>
      <c r="U33"/>
    </row>
    <row r="34" spans="1:21">
      <c r="B34" t="s">
        <v>366</v>
      </c>
      <c r="C34" t="s">
        <v>191</v>
      </c>
      <c r="D34" s="8">
        <v>1</v>
      </c>
      <c r="E34" t="s">
        <v>3319</v>
      </c>
      <c r="F34" t="s">
        <v>3320</v>
      </c>
      <c r="G34" t="s">
        <v>3289</v>
      </c>
      <c r="I34" t="s">
        <v>67</v>
      </c>
      <c r="O34" t="s">
        <v>156</v>
      </c>
      <c r="P34" t="s">
        <v>177</v>
      </c>
      <c r="Q34" t="s">
        <v>4</v>
      </c>
    </row>
    <row r="35" spans="1:21">
      <c r="B35" t="s">
        <v>367</v>
      </c>
      <c r="C35" t="s">
        <v>191</v>
      </c>
      <c r="D35" s="8">
        <v>1</v>
      </c>
      <c r="E35" t="s">
        <v>3319</v>
      </c>
      <c r="F35" t="s">
        <v>3320</v>
      </c>
      <c r="G35" t="s">
        <v>3286</v>
      </c>
      <c r="I35" t="s">
        <v>68</v>
      </c>
      <c r="O35" t="s">
        <v>156</v>
      </c>
      <c r="P35" t="s">
        <v>182</v>
      </c>
      <c r="Q35" t="s">
        <v>4</v>
      </c>
    </row>
    <row r="36" spans="1:21">
      <c r="B36" s="41" t="s">
        <v>368</v>
      </c>
      <c r="C36" s="41" t="s">
        <v>191</v>
      </c>
      <c r="D36" s="8">
        <v>1</v>
      </c>
      <c r="E36" s="41" t="s">
        <v>3319</v>
      </c>
      <c r="F36" s="41" t="s">
        <v>3320</v>
      </c>
      <c r="G36" s="41" t="s">
        <v>3286</v>
      </c>
      <c r="H36" s="41"/>
      <c r="I36" s="41" t="s">
        <v>69</v>
      </c>
      <c r="J36" s="41"/>
      <c r="K36" s="41"/>
      <c r="L36" s="41"/>
      <c r="M36" s="41"/>
      <c r="N36" s="41"/>
      <c r="O36" s="41" t="s">
        <v>156</v>
      </c>
      <c r="P36" s="41" t="s">
        <v>45</v>
      </c>
      <c r="Q36" s="41" t="s">
        <v>4</v>
      </c>
    </row>
    <row r="37" spans="1:21">
      <c r="B37" t="s">
        <v>369</v>
      </c>
      <c r="C37" t="s">
        <v>191</v>
      </c>
      <c r="D37" s="8">
        <v>1</v>
      </c>
      <c r="E37" t="s">
        <v>3319</v>
      </c>
      <c r="F37" t="s">
        <v>3320</v>
      </c>
      <c r="G37" t="s">
        <v>3294</v>
      </c>
      <c r="I37" t="s">
        <v>70</v>
      </c>
      <c r="O37" t="s">
        <v>161</v>
      </c>
      <c r="P37" t="s">
        <v>32</v>
      </c>
      <c r="Q37" t="s">
        <v>4</v>
      </c>
    </row>
    <row r="38" spans="1:21">
      <c r="B38" t="s">
        <v>370</v>
      </c>
      <c r="C38" t="s">
        <v>191</v>
      </c>
      <c r="D38" s="8">
        <v>1</v>
      </c>
      <c r="E38" t="s">
        <v>3319</v>
      </c>
      <c r="F38" t="s">
        <v>3320</v>
      </c>
      <c r="G38" t="s">
        <v>3286</v>
      </c>
      <c r="I38" t="s">
        <v>71</v>
      </c>
      <c r="O38" t="s">
        <v>156</v>
      </c>
      <c r="P38" t="s">
        <v>183</v>
      </c>
      <c r="Q38" t="s">
        <v>4</v>
      </c>
    </row>
    <row r="39" spans="1:21">
      <c r="B39" t="s">
        <v>371</v>
      </c>
      <c r="C39" t="s">
        <v>191</v>
      </c>
      <c r="D39" s="8">
        <v>1</v>
      </c>
      <c r="E39" t="s">
        <v>3319</v>
      </c>
      <c r="F39" t="s">
        <v>3320</v>
      </c>
      <c r="G39" t="s">
        <v>3289</v>
      </c>
      <c r="I39" t="s">
        <v>72</v>
      </c>
      <c r="O39" t="s">
        <v>156</v>
      </c>
      <c r="P39" t="s">
        <v>175</v>
      </c>
      <c r="Q39" t="s">
        <v>4</v>
      </c>
    </row>
    <row r="40" spans="1:21">
      <c r="B40" s="41" t="s">
        <v>372</v>
      </c>
      <c r="C40" s="41" t="s">
        <v>192</v>
      </c>
      <c r="D40" s="41">
        <v>2</v>
      </c>
      <c r="E40" s="41" t="s">
        <v>3319</v>
      </c>
      <c r="F40" s="41" t="s">
        <v>3320</v>
      </c>
      <c r="G40" s="41" t="s">
        <v>3286</v>
      </c>
      <c r="H40" s="41"/>
      <c r="I40" s="41" t="s">
        <v>1294</v>
      </c>
      <c r="J40" s="41" t="s">
        <v>1307</v>
      </c>
      <c r="K40" s="41"/>
      <c r="L40" s="41"/>
      <c r="M40" s="41"/>
      <c r="N40" s="41"/>
      <c r="O40" s="41" t="s">
        <v>154</v>
      </c>
      <c r="P40" s="41" t="s">
        <v>48</v>
      </c>
      <c r="Q40" s="41" t="s">
        <v>4</v>
      </c>
    </row>
    <row r="41" spans="1:21">
      <c r="B41" t="s">
        <v>373</v>
      </c>
      <c r="C41" t="s">
        <v>193</v>
      </c>
      <c r="D41" s="41">
        <v>2</v>
      </c>
      <c r="E41" t="s">
        <v>3319</v>
      </c>
      <c r="F41" t="s">
        <v>3320</v>
      </c>
      <c r="G41" t="s">
        <v>3290</v>
      </c>
      <c r="I41" t="s">
        <v>23</v>
      </c>
      <c r="O41" t="s">
        <v>154</v>
      </c>
      <c r="P41" t="s">
        <v>176</v>
      </c>
      <c r="Q41" t="s">
        <v>4</v>
      </c>
    </row>
    <row r="42" spans="1:21">
      <c r="B42" t="s">
        <v>374</v>
      </c>
      <c r="C42" t="s">
        <v>192</v>
      </c>
      <c r="D42" s="41">
        <v>2</v>
      </c>
      <c r="E42" t="s">
        <v>3319</v>
      </c>
      <c r="F42" t="s">
        <v>3320</v>
      </c>
      <c r="G42" t="s">
        <v>3287</v>
      </c>
      <c r="I42" t="s">
        <v>203</v>
      </c>
      <c r="O42" t="s">
        <v>157</v>
      </c>
      <c r="P42" t="s">
        <v>183</v>
      </c>
      <c r="Q42" t="s">
        <v>4</v>
      </c>
    </row>
    <row r="43" spans="1:21">
      <c r="B43" t="s">
        <v>375</v>
      </c>
      <c r="C43" t="s">
        <v>192</v>
      </c>
      <c r="D43" s="41">
        <v>2</v>
      </c>
      <c r="E43" t="s">
        <v>3319</v>
      </c>
      <c r="F43" t="s">
        <v>3320</v>
      </c>
      <c r="G43" t="s">
        <v>3289</v>
      </c>
      <c r="I43" t="s">
        <v>74</v>
      </c>
      <c r="O43" t="s">
        <v>157</v>
      </c>
      <c r="P43" t="s">
        <v>45</v>
      </c>
      <c r="Q43" t="s">
        <v>4</v>
      </c>
    </row>
    <row r="44" spans="1:21">
      <c r="B44" t="s">
        <v>376</v>
      </c>
      <c r="C44" t="s">
        <v>192</v>
      </c>
      <c r="D44" s="41">
        <v>2</v>
      </c>
      <c r="E44" t="s">
        <v>3319</v>
      </c>
      <c r="F44" t="s">
        <v>3320</v>
      </c>
      <c r="G44" t="s">
        <v>3295</v>
      </c>
      <c r="O44" t="s">
        <v>154</v>
      </c>
      <c r="P44" t="s">
        <v>14</v>
      </c>
      <c r="Q44" t="s">
        <v>4</v>
      </c>
    </row>
    <row r="45" spans="1:21">
      <c r="B45" t="s">
        <v>377</v>
      </c>
      <c r="C45" t="s">
        <v>192</v>
      </c>
      <c r="D45" s="41">
        <v>2</v>
      </c>
      <c r="E45" t="s">
        <v>3319</v>
      </c>
      <c r="F45" t="s">
        <v>3320</v>
      </c>
      <c r="G45" t="s">
        <v>3292</v>
      </c>
      <c r="I45" t="s">
        <v>1</v>
      </c>
      <c r="J45" t="s">
        <v>1293</v>
      </c>
      <c r="O45" t="s">
        <v>156</v>
      </c>
      <c r="P45" t="s">
        <v>184</v>
      </c>
      <c r="Q45" t="s">
        <v>4</v>
      </c>
    </row>
    <row r="46" spans="1:21">
      <c r="A46" s="8"/>
      <c r="B46" s="8" t="s">
        <v>378</v>
      </c>
      <c r="C46" s="8" t="s">
        <v>192</v>
      </c>
      <c r="D46" s="8">
        <v>2</v>
      </c>
      <c r="E46" s="8" t="s">
        <v>3319</v>
      </c>
      <c r="F46" s="8" t="s">
        <v>3320</v>
      </c>
      <c r="G46" s="8" t="s">
        <v>3286</v>
      </c>
      <c r="H46" s="8"/>
      <c r="I46" s="8" t="s">
        <v>1295</v>
      </c>
      <c r="J46" s="8" t="s">
        <v>151</v>
      </c>
      <c r="K46" s="8" t="s">
        <v>152</v>
      </c>
      <c r="L46" s="8"/>
      <c r="M46" s="8"/>
      <c r="N46" s="8"/>
      <c r="O46" s="8" t="s">
        <v>157</v>
      </c>
      <c r="P46" s="8" t="s">
        <v>175</v>
      </c>
      <c r="Q46" s="8" t="s">
        <v>4</v>
      </c>
      <c r="R46" s="8"/>
    </row>
    <row r="47" spans="1:21">
      <c r="B47" t="s">
        <v>379</v>
      </c>
      <c r="C47" t="s">
        <v>192</v>
      </c>
      <c r="D47" s="41">
        <v>2</v>
      </c>
      <c r="E47" t="s">
        <v>3319</v>
      </c>
      <c r="F47" t="s">
        <v>3320</v>
      </c>
      <c r="I47" t="s">
        <v>76</v>
      </c>
      <c r="O47" t="s">
        <v>156</v>
      </c>
      <c r="P47" t="s">
        <v>46</v>
      </c>
      <c r="Q47" t="s">
        <v>4</v>
      </c>
    </row>
    <row r="48" spans="1:21">
      <c r="B48" t="s">
        <v>380</v>
      </c>
      <c r="C48" t="s">
        <v>192</v>
      </c>
      <c r="D48" s="41">
        <v>2</v>
      </c>
      <c r="E48" t="s">
        <v>3319</v>
      </c>
      <c r="F48" t="s">
        <v>3320</v>
      </c>
      <c r="G48" t="s">
        <v>3287</v>
      </c>
      <c r="I48" t="s">
        <v>204</v>
      </c>
      <c r="O48" t="s">
        <v>154</v>
      </c>
      <c r="P48" t="s">
        <v>27</v>
      </c>
      <c r="Q48" t="s">
        <v>4</v>
      </c>
    </row>
    <row r="49" spans="2:21">
      <c r="B49" t="s">
        <v>381</v>
      </c>
      <c r="C49" t="s">
        <v>193</v>
      </c>
      <c r="D49" s="41">
        <v>2</v>
      </c>
      <c r="E49" t="s">
        <v>3319</v>
      </c>
      <c r="F49" t="s">
        <v>3320</v>
      </c>
      <c r="G49" t="s">
        <v>3288</v>
      </c>
      <c r="I49" t="s">
        <v>1294</v>
      </c>
      <c r="O49" t="s">
        <v>154</v>
      </c>
      <c r="P49" t="s">
        <v>174</v>
      </c>
      <c r="Q49" t="s">
        <v>4</v>
      </c>
    </row>
    <row r="50" spans="2:21">
      <c r="B50" t="s">
        <v>382</v>
      </c>
      <c r="C50" t="s">
        <v>192</v>
      </c>
      <c r="D50" s="41">
        <v>2</v>
      </c>
      <c r="E50" t="s">
        <v>3319</v>
      </c>
      <c r="F50" t="s">
        <v>3320</v>
      </c>
      <c r="G50" t="s">
        <v>3286</v>
      </c>
      <c r="I50" t="s">
        <v>77</v>
      </c>
      <c r="O50" t="s">
        <v>156</v>
      </c>
      <c r="P50" t="s">
        <v>50</v>
      </c>
      <c r="Q50" t="s">
        <v>4</v>
      </c>
    </row>
    <row r="51" spans="2:21">
      <c r="B51" t="s">
        <v>383</v>
      </c>
      <c r="C51" t="s">
        <v>192</v>
      </c>
      <c r="D51" s="41">
        <v>2</v>
      </c>
      <c r="E51" t="s">
        <v>3319</v>
      </c>
      <c r="F51" t="s">
        <v>3320</v>
      </c>
      <c r="G51" t="s">
        <v>3286</v>
      </c>
      <c r="I51" t="s">
        <v>78</v>
      </c>
      <c r="O51" t="s">
        <v>162</v>
      </c>
      <c r="P51" t="s">
        <v>39</v>
      </c>
      <c r="Q51" t="s">
        <v>4</v>
      </c>
    </row>
    <row r="52" spans="2:21">
      <c r="B52" t="s">
        <v>384</v>
      </c>
      <c r="C52" t="s">
        <v>192</v>
      </c>
      <c r="D52" s="41">
        <v>2</v>
      </c>
      <c r="E52" t="s">
        <v>3319</v>
      </c>
      <c r="F52" t="s">
        <v>3320</v>
      </c>
      <c r="G52" t="s">
        <v>3286</v>
      </c>
      <c r="I52" t="s">
        <v>23</v>
      </c>
      <c r="O52" t="s">
        <v>162</v>
      </c>
      <c r="P52" t="s">
        <v>52</v>
      </c>
      <c r="Q52" t="s">
        <v>4</v>
      </c>
    </row>
    <row r="53" spans="2:21">
      <c r="B53" t="s">
        <v>385</v>
      </c>
      <c r="C53" t="s">
        <v>192</v>
      </c>
      <c r="D53" s="41">
        <v>2</v>
      </c>
      <c r="E53" t="s">
        <v>3319</v>
      </c>
      <c r="F53" t="s">
        <v>3320</v>
      </c>
      <c r="G53" t="s">
        <v>3289</v>
      </c>
      <c r="I53" t="s">
        <v>79</v>
      </c>
      <c r="O53" t="s">
        <v>161</v>
      </c>
      <c r="P53" t="s">
        <v>14</v>
      </c>
      <c r="Q53" t="s">
        <v>4</v>
      </c>
    </row>
    <row r="54" spans="2:21">
      <c r="B54" s="41" t="s">
        <v>386</v>
      </c>
      <c r="C54" s="41" t="s">
        <v>192</v>
      </c>
      <c r="D54" s="41">
        <v>2</v>
      </c>
      <c r="E54" s="41" t="s">
        <v>3319</v>
      </c>
      <c r="F54" s="41" t="s">
        <v>3320</v>
      </c>
      <c r="G54" s="41" t="s">
        <v>3291</v>
      </c>
      <c r="H54" s="41"/>
      <c r="I54" s="41"/>
      <c r="J54" s="41"/>
      <c r="K54" s="41"/>
      <c r="L54" s="41"/>
      <c r="M54" s="41"/>
      <c r="N54" s="41"/>
      <c r="O54" s="41" t="s">
        <v>163</v>
      </c>
      <c r="P54" s="41" t="s">
        <v>32</v>
      </c>
      <c r="Q54" s="41" t="s">
        <v>4</v>
      </c>
    </row>
    <row r="55" spans="2:21">
      <c r="B55" t="s">
        <v>387</v>
      </c>
      <c r="C55" t="s">
        <v>192</v>
      </c>
      <c r="D55" s="41">
        <v>2</v>
      </c>
      <c r="E55" t="s">
        <v>3319</v>
      </c>
      <c r="F55" t="s">
        <v>3320</v>
      </c>
      <c r="G55" t="s">
        <v>3286</v>
      </c>
      <c r="O55" t="s">
        <v>154</v>
      </c>
      <c r="P55" t="s">
        <v>175</v>
      </c>
      <c r="Q55" t="s">
        <v>4</v>
      </c>
    </row>
    <row r="56" spans="2:21">
      <c r="B56" t="s">
        <v>388</v>
      </c>
      <c r="C56" t="s">
        <v>192</v>
      </c>
      <c r="D56" s="41">
        <v>2</v>
      </c>
      <c r="E56" t="s">
        <v>3319</v>
      </c>
      <c r="F56" t="s">
        <v>3320</v>
      </c>
      <c r="G56" t="s">
        <v>3287</v>
      </c>
      <c r="I56" t="s">
        <v>1313</v>
      </c>
      <c r="O56" t="s">
        <v>154</v>
      </c>
      <c r="P56" t="s">
        <v>17</v>
      </c>
      <c r="Q56" t="s">
        <v>4</v>
      </c>
    </row>
    <row r="57" spans="2:21">
      <c r="B57" t="s">
        <v>389</v>
      </c>
      <c r="C57" t="s">
        <v>192</v>
      </c>
      <c r="D57" s="41">
        <v>2</v>
      </c>
      <c r="E57" t="s">
        <v>3319</v>
      </c>
      <c r="F57" t="s">
        <v>3320</v>
      </c>
      <c r="G57" t="s">
        <v>3290</v>
      </c>
      <c r="I57" t="s">
        <v>1296</v>
      </c>
      <c r="O57" t="s">
        <v>154</v>
      </c>
      <c r="P57" t="s">
        <v>31</v>
      </c>
      <c r="Q57" t="s">
        <v>4</v>
      </c>
    </row>
    <row r="58" spans="2:21">
      <c r="B58" t="s">
        <v>390</v>
      </c>
      <c r="C58" t="s">
        <v>192</v>
      </c>
      <c r="D58" s="41">
        <v>2</v>
      </c>
      <c r="E58" t="s">
        <v>3319</v>
      </c>
      <c r="F58" t="s">
        <v>3320</v>
      </c>
      <c r="G58" t="s">
        <v>3290</v>
      </c>
      <c r="I58" t="s">
        <v>81</v>
      </c>
      <c r="O58" t="s">
        <v>163</v>
      </c>
      <c r="P58" t="s">
        <v>5</v>
      </c>
      <c r="Q58" t="s">
        <v>4</v>
      </c>
    </row>
    <row r="59" spans="2:21">
      <c r="B59" t="s">
        <v>391</v>
      </c>
      <c r="C59" t="s">
        <v>192</v>
      </c>
      <c r="D59" s="41">
        <v>2</v>
      </c>
      <c r="E59" t="s">
        <v>3319</v>
      </c>
      <c r="F59" t="s">
        <v>3320</v>
      </c>
      <c r="G59" t="s">
        <v>3289</v>
      </c>
      <c r="I59" t="s">
        <v>74</v>
      </c>
      <c r="O59" t="s">
        <v>157</v>
      </c>
      <c r="P59" t="s">
        <v>39</v>
      </c>
      <c r="Q59" t="s">
        <v>4</v>
      </c>
    </row>
    <row r="60" spans="2:21" s="8" customFormat="1">
      <c r="B60" s="9" t="s">
        <v>392</v>
      </c>
      <c r="C60" s="9" t="s">
        <v>192</v>
      </c>
      <c r="D60" s="41">
        <v>2</v>
      </c>
      <c r="E60" s="9" t="s">
        <v>3319</v>
      </c>
      <c r="F60" s="9" t="s">
        <v>3320</v>
      </c>
      <c r="G60" s="9" t="s">
        <v>3290</v>
      </c>
      <c r="H60" s="9"/>
      <c r="I60" s="9" t="s">
        <v>82</v>
      </c>
      <c r="J60" s="9"/>
      <c r="K60" s="9"/>
      <c r="L60" s="9"/>
      <c r="M60" s="9"/>
      <c r="N60" s="9"/>
      <c r="O60" s="9" t="s">
        <v>156</v>
      </c>
      <c r="P60" s="9" t="s">
        <v>179</v>
      </c>
      <c r="Q60" s="9" t="s">
        <v>4</v>
      </c>
      <c r="T60"/>
      <c r="U60"/>
    </row>
    <row r="61" spans="2:21">
      <c r="B61" t="s">
        <v>393</v>
      </c>
      <c r="C61" t="s">
        <v>192</v>
      </c>
      <c r="D61" s="41">
        <v>2</v>
      </c>
      <c r="E61" t="s">
        <v>3319</v>
      </c>
      <c r="F61" t="s">
        <v>3320</v>
      </c>
      <c r="G61" t="s">
        <v>3286</v>
      </c>
      <c r="I61" t="s">
        <v>205</v>
      </c>
      <c r="O61" t="s">
        <v>154</v>
      </c>
      <c r="P61" t="s">
        <v>52</v>
      </c>
      <c r="Q61" t="s">
        <v>4</v>
      </c>
    </row>
    <row r="62" spans="2:21">
      <c r="B62" s="9" t="s">
        <v>394</v>
      </c>
      <c r="C62" s="9" t="s">
        <v>192</v>
      </c>
      <c r="D62" s="41">
        <v>2</v>
      </c>
      <c r="E62" s="9" t="s">
        <v>3319</v>
      </c>
      <c r="F62" s="9" t="s">
        <v>3320</v>
      </c>
      <c r="G62" s="9" t="s">
        <v>3289</v>
      </c>
      <c r="H62" s="9" t="s">
        <v>3296</v>
      </c>
      <c r="I62" s="9" t="s">
        <v>83</v>
      </c>
      <c r="J62" s="9"/>
      <c r="K62" s="9"/>
      <c r="L62" s="9"/>
      <c r="M62" s="9"/>
      <c r="N62" s="9"/>
      <c r="O62" s="9" t="s">
        <v>154</v>
      </c>
      <c r="P62" s="9" t="s">
        <v>37</v>
      </c>
      <c r="Q62" s="9" t="s">
        <v>4</v>
      </c>
    </row>
    <row r="63" spans="2:21">
      <c r="B63" t="s">
        <v>395</v>
      </c>
      <c r="C63" t="s">
        <v>192</v>
      </c>
      <c r="D63" s="41">
        <v>2</v>
      </c>
      <c r="E63" t="s">
        <v>3319</v>
      </c>
      <c r="F63" t="s">
        <v>3320</v>
      </c>
      <c r="G63" t="s">
        <v>3286</v>
      </c>
      <c r="H63" t="s">
        <v>3297</v>
      </c>
      <c r="I63" t="s">
        <v>84</v>
      </c>
      <c r="O63" t="s">
        <v>156</v>
      </c>
      <c r="P63" t="s">
        <v>176</v>
      </c>
      <c r="Q63" t="s">
        <v>4</v>
      </c>
    </row>
    <row r="64" spans="2:21">
      <c r="B64" t="s">
        <v>396</v>
      </c>
      <c r="C64" t="s">
        <v>192</v>
      </c>
      <c r="D64" s="41">
        <v>2</v>
      </c>
      <c r="E64" t="s">
        <v>3319</v>
      </c>
      <c r="F64" t="s">
        <v>3320</v>
      </c>
      <c r="G64" t="s">
        <v>3289</v>
      </c>
      <c r="I64" t="s">
        <v>85</v>
      </c>
      <c r="J64" t="s">
        <v>1314</v>
      </c>
      <c r="O64" t="s">
        <v>161</v>
      </c>
      <c r="P64" t="s">
        <v>17</v>
      </c>
      <c r="Q64" t="s">
        <v>4</v>
      </c>
    </row>
    <row r="65" spans="1:17">
      <c r="B65" t="s">
        <v>397</v>
      </c>
      <c r="C65" t="s">
        <v>192</v>
      </c>
      <c r="D65" s="41">
        <v>2</v>
      </c>
      <c r="E65" t="s">
        <v>3319</v>
      </c>
      <c r="F65" t="s">
        <v>3320</v>
      </c>
      <c r="G65" t="s">
        <v>3287</v>
      </c>
      <c r="I65" t="s">
        <v>1297</v>
      </c>
      <c r="J65" t="s">
        <v>1315</v>
      </c>
      <c r="O65" t="s">
        <v>156</v>
      </c>
      <c r="P65" t="s">
        <v>15</v>
      </c>
      <c r="Q65" t="s">
        <v>4</v>
      </c>
    </row>
    <row r="66" spans="1:17">
      <c r="B66" t="s">
        <v>398</v>
      </c>
      <c r="C66" t="s">
        <v>192</v>
      </c>
      <c r="D66" s="41">
        <v>2</v>
      </c>
      <c r="E66" t="s">
        <v>3319</v>
      </c>
      <c r="F66" t="s">
        <v>3320</v>
      </c>
      <c r="G66" t="s">
        <v>3286</v>
      </c>
      <c r="I66" t="s">
        <v>1</v>
      </c>
      <c r="J66" t="s">
        <v>86</v>
      </c>
      <c r="O66" t="s">
        <v>156</v>
      </c>
      <c r="P66" t="s">
        <v>40</v>
      </c>
      <c r="Q66" t="s">
        <v>4</v>
      </c>
    </row>
    <row r="67" spans="1:17">
      <c r="B67" t="s">
        <v>399</v>
      </c>
      <c r="C67" t="s">
        <v>192</v>
      </c>
      <c r="D67" s="41">
        <v>2</v>
      </c>
      <c r="E67" t="s">
        <v>3319</v>
      </c>
      <c r="F67" t="s">
        <v>3320</v>
      </c>
      <c r="G67" t="s">
        <v>3291</v>
      </c>
      <c r="I67" t="s">
        <v>87</v>
      </c>
      <c r="O67" t="s">
        <v>162</v>
      </c>
      <c r="P67" t="s">
        <v>32</v>
      </c>
      <c r="Q67" t="s">
        <v>4</v>
      </c>
    </row>
    <row r="68" spans="1:17">
      <c r="B68" s="8" t="s">
        <v>400</v>
      </c>
      <c r="C68" s="8" t="s">
        <v>192</v>
      </c>
      <c r="D68" s="8">
        <v>2</v>
      </c>
      <c r="E68" s="8" t="s">
        <v>3319</v>
      </c>
      <c r="F68" s="8" t="s">
        <v>3320</v>
      </c>
      <c r="G68" s="8" t="s">
        <v>3291</v>
      </c>
      <c r="H68" s="8"/>
      <c r="I68" s="8" t="s">
        <v>1300</v>
      </c>
      <c r="J68" s="8"/>
      <c r="K68" s="8"/>
      <c r="L68" s="8"/>
      <c r="M68" s="8"/>
      <c r="N68" s="8"/>
      <c r="O68" s="8" t="s">
        <v>163</v>
      </c>
      <c r="P68" s="8" t="s">
        <v>29</v>
      </c>
      <c r="Q68" s="8" t="s">
        <v>4</v>
      </c>
    </row>
    <row r="69" spans="1:17" s="41" customFormat="1">
      <c r="A69" s="5"/>
      <c r="B69" s="5" t="s">
        <v>401</v>
      </c>
      <c r="C69" s="5" t="s">
        <v>193</v>
      </c>
      <c r="D69" s="5">
        <v>2</v>
      </c>
      <c r="E69" s="5" t="s">
        <v>3319</v>
      </c>
      <c r="F69" s="5" t="s">
        <v>3320</v>
      </c>
      <c r="G69" s="5" t="s">
        <v>3286</v>
      </c>
      <c r="H69" s="5"/>
      <c r="I69" s="5" t="s">
        <v>23</v>
      </c>
      <c r="J69" s="5" t="s">
        <v>88</v>
      </c>
      <c r="K69" s="5"/>
      <c r="L69" s="5"/>
      <c r="M69" s="5" t="s">
        <v>153</v>
      </c>
      <c r="N69" s="5"/>
      <c r="O69" s="5" t="s">
        <v>154</v>
      </c>
      <c r="P69" s="5"/>
      <c r="Q69" s="5"/>
    </row>
    <row r="70" spans="1:17" s="41" customFormat="1">
      <c r="A70" s="5"/>
      <c r="B70" s="5" t="s">
        <v>402</v>
      </c>
      <c r="C70" s="5" t="s">
        <v>3388</v>
      </c>
      <c r="D70" s="5">
        <v>2</v>
      </c>
      <c r="E70" s="5" t="s">
        <v>3391</v>
      </c>
      <c r="F70" s="5" t="s">
        <v>3394</v>
      </c>
      <c r="G70" s="5" t="s">
        <v>3286</v>
      </c>
      <c r="H70" s="5"/>
      <c r="I70" s="5" t="s">
        <v>89</v>
      </c>
      <c r="J70" s="5"/>
      <c r="K70" s="5"/>
      <c r="L70" s="5"/>
      <c r="M70" s="5" t="s">
        <v>153</v>
      </c>
      <c r="N70" s="5"/>
      <c r="O70" s="5" t="s">
        <v>162</v>
      </c>
      <c r="P70" s="5" t="s">
        <v>44</v>
      </c>
      <c r="Q70" s="5" t="s">
        <v>4</v>
      </c>
    </row>
    <row r="71" spans="1:17">
      <c r="B71" t="s">
        <v>403</v>
      </c>
      <c r="C71" t="s">
        <v>192</v>
      </c>
      <c r="D71" s="41">
        <v>2</v>
      </c>
      <c r="E71" t="s">
        <v>3319</v>
      </c>
      <c r="F71" t="s">
        <v>3320</v>
      </c>
      <c r="G71" t="s">
        <v>3294</v>
      </c>
      <c r="I71" t="s">
        <v>1299</v>
      </c>
      <c r="O71" t="s">
        <v>161</v>
      </c>
      <c r="P71" t="s">
        <v>38</v>
      </c>
      <c r="Q71" t="s">
        <v>4</v>
      </c>
    </row>
    <row r="72" spans="1:17">
      <c r="B72" t="s">
        <v>404</v>
      </c>
      <c r="C72" t="s">
        <v>192</v>
      </c>
      <c r="D72" s="41">
        <v>2</v>
      </c>
      <c r="E72" t="s">
        <v>3319</v>
      </c>
      <c r="F72" t="s">
        <v>3320</v>
      </c>
      <c r="G72" t="s">
        <v>3289</v>
      </c>
      <c r="I72" t="s">
        <v>43</v>
      </c>
      <c r="O72" t="s">
        <v>156</v>
      </c>
      <c r="P72" t="s">
        <v>174</v>
      </c>
      <c r="Q72" t="s">
        <v>4</v>
      </c>
    </row>
    <row r="73" spans="1:17">
      <c r="B73" t="s">
        <v>405</v>
      </c>
      <c r="C73" t="s">
        <v>192</v>
      </c>
      <c r="D73" s="41">
        <v>2</v>
      </c>
      <c r="E73" t="s">
        <v>3319</v>
      </c>
      <c r="F73" t="s">
        <v>3320</v>
      </c>
      <c r="G73" t="s">
        <v>3286</v>
      </c>
      <c r="I73" t="s">
        <v>23</v>
      </c>
      <c r="O73" t="s">
        <v>154</v>
      </c>
      <c r="P73" t="s">
        <v>36</v>
      </c>
      <c r="Q73" t="s">
        <v>4</v>
      </c>
    </row>
    <row r="74" spans="1:17">
      <c r="B74" t="s">
        <v>406</v>
      </c>
      <c r="C74" t="s">
        <v>192</v>
      </c>
      <c r="D74" s="41">
        <v>2</v>
      </c>
      <c r="E74" t="s">
        <v>3319</v>
      </c>
      <c r="F74" t="s">
        <v>3320</v>
      </c>
      <c r="G74" t="s">
        <v>3289</v>
      </c>
      <c r="I74" t="s">
        <v>90</v>
      </c>
      <c r="N74" t="s">
        <v>495</v>
      </c>
      <c r="O74" t="s">
        <v>161</v>
      </c>
      <c r="P74" t="s">
        <v>53</v>
      </c>
      <c r="Q74" t="s">
        <v>4</v>
      </c>
    </row>
    <row r="75" spans="1:17">
      <c r="B75" t="s">
        <v>407</v>
      </c>
      <c r="C75" t="s">
        <v>192</v>
      </c>
      <c r="D75" s="41">
        <v>2</v>
      </c>
      <c r="E75" t="s">
        <v>3319</v>
      </c>
      <c r="F75" t="s">
        <v>3320</v>
      </c>
      <c r="G75" t="s">
        <v>3290</v>
      </c>
      <c r="I75" t="s">
        <v>1301</v>
      </c>
      <c r="J75" t="s">
        <v>207</v>
      </c>
      <c r="O75" t="s">
        <v>156</v>
      </c>
      <c r="P75" t="s">
        <v>185</v>
      </c>
      <c r="Q75" t="s">
        <v>4</v>
      </c>
    </row>
    <row r="76" spans="1:17">
      <c r="B76" t="s">
        <v>408</v>
      </c>
      <c r="C76" t="s">
        <v>192</v>
      </c>
      <c r="D76" s="41">
        <v>2</v>
      </c>
      <c r="E76" t="s">
        <v>3319</v>
      </c>
      <c r="F76" t="s">
        <v>3320</v>
      </c>
      <c r="G76" t="s">
        <v>3290</v>
      </c>
      <c r="I76" t="s">
        <v>221</v>
      </c>
      <c r="O76" t="s">
        <v>154</v>
      </c>
      <c r="P76" t="s">
        <v>15</v>
      </c>
      <c r="Q76" t="s">
        <v>4</v>
      </c>
    </row>
    <row r="77" spans="1:17">
      <c r="B77" t="s">
        <v>409</v>
      </c>
      <c r="C77" t="s">
        <v>193</v>
      </c>
      <c r="D77" s="41">
        <v>2</v>
      </c>
      <c r="E77" t="s">
        <v>3319</v>
      </c>
      <c r="F77" t="s">
        <v>3320</v>
      </c>
      <c r="G77" t="s">
        <v>3286</v>
      </c>
      <c r="I77" t="s">
        <v>92</v>
      </c>
      <c r="O77" t="s">
        <v>164</v>
      </c>
      <c r="P77" t="s">
        <v>178</v>
      </c>
      <c r="Q77" t="s">
        <v>4</v>
      </c>
    </row>
    <row r="78" spans="1:17">
      <c r="B78" t="s">
        <v>410</v>
      </c>
      <c r="C78" t="s">
        <v>192</v>
      </c>
      <c r="D78" s="41">
        <v>2</v>
      </c>
      <c r="E78" t="s">
        <v>3319</v>
      </c>
      <c r="F78" t="s">
        <v>3320</v>
      </c>
      <c r="G78" t="s">
        <v>3291</v>
      </c>
      <c r="I78" t="s">
        <v>23</v>
      </c>
      <c r="J78" t="s">
        <v>93</v>
      </c>
      <c r="O78" t="s">
        <v>154</v>
      </c>
      <c r="P78" t="s">
        <v>32</v>
      </c>
      <c r="Q78" t="s">
        <v>4</v>
      </c>
    </row>
    <row r="79" spans="1:17">
      <c r="B79" t="s">
        <v>411</v>
      </c>
      <c r="C79" t="s">
        <v>192</v>
      </c>
      <c r="D79" s="41">
        <v>2</v>
      </c>
      <c r="E79" t="s">
        <v>3319</v>
      </c>
      <c r="F79" t="s">
        <v>3320</v>
      </c>
      <c r="G79" t="s">
        <v>3286</v>
      </c>
      <c r="I79" t="s">
        <v>203</v>
      </c>
      <c r="O79" t="s">
        <v>157</v>
      </c>
      <c r="P79" t="s">
        <v>176</v>
      </c>
      <c r="Q79" t="s">
        <v>4</v>
      </c>
    </row>
    <row r="80" spans="1:17">
      <c r="B80" t="s">
        <v>412</v>
      </c>
      <c r="C80" t="s">
        <v>192</v>
      </c>
      <c r="D80" s="41">
        <v>2</v>
      </c>
      <c r="E80" t="s">
        <v>3319</v>
      </c>
      <c r="F80" t="s">
        <v>3320</v>
      </c>
      <c r="G80" t="s">
        <v>3288</v>
      </c>
      <c r="I80" t="s">
        <v>94</v>
      </c>
      <c r="O80" t="s">
        <v>156</v>
      </c>
      <c r="P80" t="s">
        <v>31</v>
      </c>
      <c r="Q80" t="s">
        <v>4</v>
      </c>
    </row>
    <row r="81" spans="1:18">
      <c r="B81" t="s">
        <v>413</v>
      </c>
      <c r="C81" t="s">
        <v>192</v>
      </c>
      <c r="D81" s="41">
        <v>2</v>
      </c>
      <c r="E81" t="s">
        <v>3319</v>
      </c>
      <c r="F81" t="s">
        <v>3320</v>
      </c>
      <c r="G81" t="s">
        <v>3286</v>
      </c>
      <c r="I81" t="s">
        <v>51</v>
      </c>
      <c r="J81" t="s">
        <v>95</v>
      </c>
      <c r="O81" t="s">
        <v>159</v>
      </c>
      <c r="P81" t="s">
        <v>175</v>
      </c>
      <c r="Q81" t="s">
        <v>4</v>
      </c>
    </row>
    <row r="82" spans="1:18">
      <c r="B82" t="s">
        <v>414</v>
      </c>
      <c r="C82" t="s">
        <v>192</v>
      </c>
      <c r="D82" s="41">
        <v>2</v>
      </c>
      <c r="E82" t="s">
        <v>3319</v>
      </c>
      <c r="F82" t="s">
        <v>3320</v>
      </c>
      <c r="G82" t="s">
        <v>3289</v>
      </c>
      <c r="I82" t="s">
        <v>1302</v>
      </c>
      <c r="O82" t="s">
        <v>154</v>
      </c>
      <c r="P82" t="s">
        <v>5</v>
      </c>
      <c r="Q82" t="s">
        <v>4</v>
      </c>
    </row>
    <row r="83" spans="1:18">
      <c r="A83" s="8"/>
      <c r="B83" s="8" t="s">
        <v>415</v>
      </c>
      <c r="C83" s="8" t="s">
        <v>192</v>
      </c>
      <c r="D83" s="8">
        <v>2</v>
      </c>
      <c r="E83" s="8" t="s">
        <v>3319</v>
      </c>
      <c r="F83" s="8" t="s">
        <v>3320</v>
      </c>
      <c r="G83" s="8" t="s">
        <v>3290</v>
      </c>
      <c r="H83" s="8"/>
      <c r="I83" s="8" t="s">
        <v>0</v>
      </c>
      <c r="J83" s="8"/>
      <c r="K83" s="8"/>
      <c r="L83" s="8"/>
      <c r="M83" s="8"/>
      <c r="N83" s="8"/>
      <c r="O83" s="8" t="s">
        <v>162</v>
      </c>
      <c r="P83" s="8" t="s">
        <v>174</v>
      </c>
      <c r="Q83" s="8" t="s">
        <v>4</v>
      </c>
      <c r="R83" s="43"/>
    </row>
    <row r="84" spans="1:18">
      <c r="A84" s="9"/>
      <c r="B84" s="9" t="s">
        <v>416</v>
      </c>
      <c r="C84" s="9" t="s">
        <v>192</v>
      </c>
      <c r="D84" s="9">
        <v>2</v>
      </c>
      <c r="E84" s="9" t="s">
        <v>3319</v>
      </c>
      <c r="F84" s="9" t="s">
        <v>3320</v>
      </c>
      <c r="G84" s="9" t="s">
        <v>3289</v>
      </c>
      <c r="H84" s="9"/>
      <c r="I84" s="9" t="s">
        <v>1303</v>
      </c>
      <c r="J84" s="9" t="s">
        <v>97</v>
      </c>
      <c r="K84" s="9"/>
      <c r="L84" s="9"/>
      <c r="M84" s="9"/>
      <c r="N84" s="9"/>
      <c r="O84" s="9" t="s">
        <v>161</v>
      </c>
      <c r="P84" s="9" t="s">
        <v>34</v>
      </c>
      <c r="Q84" s="9" t="s">
        <v>4</v>
      </c>
    </row>
    <row r="85" spans="1:18">
      <c r="B85" t="s">
        <v>417</v>
      </c>
      <c r="C85" t="s">
        <v>192</v>
      </c>
      <c r="D85" s="41">
        <v>2</v>
      </c>
      <c r="E85" t="s">
        <v>3319</v>
      </c>
      <c r="F85" t="s">
        <v>3320</v>
      </c>
      <c r="G85" t="s">
        <v>3286</v>
      </c>
      <c r="I85" t="s">
        <v>208</v>
      </c>
      <c r="O85" t="s">
        <v>154</v>
      </c>
      <c r="P85" t="s">
        <v>49</v>
      </c>
      <c r="Q85" t="s">
        <v>4</v>
      </c>
    </row>
    <row r="86" spans="1:18">
      <c r="A86" s="8"/>
      <c r="B86" s="8" t="s">
        <v>418</v>
      </c>
      <c r="C86" s="8" t="s">
        <v>192</v>
      </c>
      <c r="D86" s="8">
        <v>2</v>
      </c>
      <c r="E86" s="8" t="s">
        <v>3319</v>
      </c>
      <c r="F86" s="8" t="s">
        <v>3320</v>
      </c>
      <c r="G86" s="8" t="s">
        <v>3286</v>
      </c>
      <c r="H86" s="8"/>
      <c r="I86" s="8" t="s">
        <v>1304</v>
      </c>
      <c r="J86" s="8"/>
      <c r="K86" s="8"/>
      <c r="L86" s="8"/>
      <c r="M86" s="8"/>
      <c r="N86" s="8" t="s">
        <v>495</v>
      </c>
      <c r="O86" s="8" t="s">
        <v>162</v>
      </c>
      <c r="P86" s="8" t="s">
        <v>6</v>
      </c>
      <c r="Q86" s="8" t="s">
        <v>4</v>
      </c>
      <c r="R86" s="43"/>
    </row>
    <row r="87" spans="1:18">
      <c r="A87" s="5"/>
      <c r="B87" s="5" t="s">
        <v>419</v>
      </c>
      <c r="C87" s="5" t="s">
        <v>192</v>
      </c>
      <c r="D87" s="5">
        <v>2</v>
      </c>
      <c r="E87" s="5" t="s">
        <v>3319</v>
      </c>
      <c r="F87" s="5" t="s">
        <v>3320</v>
      </c>
      <c r="G87" s="5" t="s">
        <v>3289</v>
      </c>
      <c r="H87" s="5"/>
      <c r="I87" s="5" t="s">
        <v>98</v>
      </c>
      <c r="J87" s="5"/>
      <c r="K87" s="5"/>
      <c r="L87" s="5"/>
      <c r="M87" s="5"/>
      <c r="N87" s="5" t="s">
        <v>495</v>
      </c>
      <c r="O87" s="5" t="s">
        <v>154</v>
      </c>
      <c r="P87" s="5" t="s">
        <v>48</v>
      </c>
      <c r="Q87" s="5" t="s">
        <v>4</v>
      </c>
    </row>
    <row r="88" spans="1:18">
      <c r="B88" t="s">
        <v>420</v>
      </c>
      <c r="C88" t="s">
        <v>192</v>
      </c>
      <c r="D88" s="41">
        <v>2</v>
      </c>
      <c r="E88" t="s">
        <v>3319</v>
      </c>
      <c r="F88" t="s">
        <v>3320</v>
      </c>
      <c r="G88" t="s">
        <v>3286</v>
      </c>
      <c r="I88" t="s">
        <v>99</v>
      </c>
      <c r="O88" t="s">
        <v>154</v>
      </c>
      <c r="P88" t="s">
        <v>8</v>
      </c>
      <c r="Q88" t="s">
        <v>4</v>
      </c>
    </row>
    <row r="89" spans="1:18">
      <c r="B89" t="s">
        <v>421</v>
      </c>
      <c r="C89" t="s">
        <v>209</v>
      </c>
      <c r="D89" s="41">
        <v>3</v>
      </c>
      <c r="E89" t="s">
        <v>3319</v>
      </c>
      <c r="F89" t="s">
        <v>3320</v>
      </c>
      <c r="G89" t="s">
        <v>3285</v>
      </c>
      <c r="I89" t="s">
        <v>1305</v>
      </c>
      <c r="O89" t="s">
        <v>164</v>
      </c>
      <c r="P89" t="s">
        <v>52</v>
      </c>
      <c r="Q89" t="s">
        <v>4</v>
      </c>
    </row>
    <row r="90" spans="1:18">
      <c r="B90" t="s">
        <v>422</v>
      </c>
      <c r="C90" t="s">
        <v>209</v>
      </c>
      <c r="D90" s="41">
        <v>3</v>
      </c>
      <c r="E90" t="s">
        <v>3319</v>
      </c>
      <c r="F90" t="s">
        <v>3320</v>
      </c>
      <c r="G90" t="s">
        <v>3285</v>
      </c>
      <c r="I90" t="s">
        <v>100</v>
      </c>
      <c r="O90" t="s">
        <v>154</v>
      </c>
      <c r="P90" t="s">
        <v>185</v>
      </c>
      <c r="Q90" t="s">
        <v>4</v>
      </c>
    </row>
    <row r="91" spans="1:18">
      <c r="B91" t="s">
        <v>423</v>
      </c>
      <c r="C91" t="s">
        <v>209</v>
      </c>
      <c r="D91" s="41">
        <v>3</v>
      </c>
      <c r="E91" t="s">
        <v>3319</v>
      </c>
      <c r="F91" t="s">
        <v>3320</v>
      </c>
      <c r="G91" t="s">
        <v>3290</v>
      </c>
      <c r="I91" t="s">
        <v>0</v>
      </c>
      <c r="J91" t="s">
        <v>101</v>
      </c>
      <c r="N91" s="8" t="s">
        <v>495</v>
      </c>
      <c r="O91" t="s">
        <v>154</v>
      </c>
      <c r="P91" t="s">
        <v>186</v>
      </c>
      <c r="Q91" t="s">
        <v>4</v>
      </c>
    </row>
    <row r="92" spans="1:18">
      <c r="B92" t="s">
        <v>424</v>
      </c>
      <c r="C92" t="s">
        <v>209</v>
      </c>
      <c r="D92" s="41">
        <v>3</v>
      </c>
      <c r="E92" t="s">
        <v>3319</v>
      </c>
      <c r="F92" t="s">
        <v>3320</v>
      </c>
      <c r="G92" t="s">
        <v>3286</v>
      </c>
      <c r="I92" t="s">
        <v>210</v>
      </c>
      <c r="O92" t="s">
        <v>165</v>
      </c>
      <c r="P92" t="s">
        <v>46</v>
      </c>
      <c r="Q92" t="s">
        <v>4</v>
      </c>
    </row>
    <row r="93" spans="1:18">
      <c r="B93" t="s">
        <v>425</v>
      </c>
      <c r="C93" t="s">
        <v>209</v>
      </c>
      <c r="D93" s="41">
        <v>3</v>
      </c>
      <c r="E93" t="s">
        <v>3319</v>
      </c>
      <c r="F93" t="s">
        <v>3320</v>
      </c>
      <c r="G93" t="s">
        <v>3291</v>
      </c>
      <c r="I93" t="s">
        <v>1306</v>
      </c>
      <c r="O93" t="s">
        <v>163</v>
      </c>
      <c r="P93" t="s">
        <v>17</v>
      </c>
      <c r="Q93" t="s">
        <v>4</v>
      </c>
    </row>
    <row r="94" spans="1:18">
      <c r="B94" t="s">
        <v>426</v>
      </c>
      <c r="C94" t="s">
        <v>209</v>
      </c>
      <c r="D94" s="41">
        <v>3</v>
      </c>
      <c r="E94" t="s">
        <v>3319</v>
      </c>
      <c r="F94" t="s">
        <v>3320</v>
      </c>
      <c r="G94" t="s">
        <v>3286</v>
      </c>
      <c r="I94" t="s">
        <v>102</v>
      </c>
      <c r="O94" t="s">
        <v>154</v>
      </c>
      <c r="P94" t="s">
        <v>5</v>
      </c>
      <c r="Q94" t="s">
        <v>4</v>
      </c>
    </row>
    <row r="95" spans="1:18">
      <c r="B95" t="s">
        <v>427</v>
      </c>
      <c r="C95" t="s">
        <v>209</v>
      </c>
      <c r="D95" s="41">
        <v>3</v>
      </c>
      <c r="E95" t="s">
        <v>3319</v>
      </c>
      <c r="F95" t="s">
        <v>3320</v>
      </c>
      <c r="G95" t="s">
        <v>3286</v>
      </c>
      <c r="I95" t="s">
        <v>103</v>
      </c>
      <c r="J95" t="s">
        <v>104</v>
      </c>
      <c r="O95" t="s">
        <v>157</v>
      </c>
      <c r="P95" t="s">
        <v>39</v>
      </c>
      <c r="Q95" t="s">
        <v>4</v>
      </c>
    </row>
    <row r="96" spans="1:18">
      <c r="B96" t="s">
        <v>428</v>
      </c>
      <c r="C96" t="s">
        <v>209</v>
      </c>
      <c r="D96" s="41">
        <v>3</v>
      </c>
      <c r="E96" t="s">
        <v>3319</v>
      </c>
      <c r="F96" t="s">
        <v>3320</v>
      </c>
      <c r="G96" t="s">
        <v>3288</v>
      </c>
      <c r="I96" t="s">
        <v>1303</v>
      </c>
      <c r="J96" t="s">
        <v>105</v>
      </c>
      <c r="O96" t="s">
        <v>156</v>
      </c>
      <c r="P96" t="s">
        <v>31</v>
      </c>
      <c r="Q96" t="s">
        <v>4</v>
      </c>
    </row>
    <row r="97" spans="2:17">
      <c r="B97" s="8" t="s">
        <v>429</v>
      </c>
      <c r="C97" s="8" t="s">
        <v>209</v>
      </c>
      <c r="D97" s="8">
        <v>3</v>
      </c>
      <c r="E97" s="8" t="s">
        <v>3319</v>
      </c>
      <c r="F97" s="8" t="s">
        <v>3320</v>
      </c>
      <c r="G97" s="8" t="s">
        <v>3291</v>
      </c>
      <c r="H97" s="8"/>
      <c r="I97" s="8" t="s">
        <v>106</v>
      </c>
      <c r="J97" s="8"/>
      <c r="K97" s="8"/>
      <c r="L97" s="8"/>
      <c r="M97" s="8"/>
      <c r="N97" s="8" t="s">
        <v>495</v>
      </c>
      <c r="O97" s="8" t="s">
        <v>164</v>
      </c>
      <c r="P97" s="8" t="s">
        <v>38</v>
      </c>
      <c r="Q97" s="8" t="s">
        <v>4</v>
      </c>
    </row>
    <row r="98" spans="2:17">
      <c r="B98" t="s">
        <v>430</v>
      </c>
      <c r="C98" t="s">
        <v>209</v>
      </c>
      <c r="D98" s="41">
        <v>3</v>
      </c>
      <c r="E98" t="s">
        <v>3319</v>
      </c>
      <c r="F98" t="s">
        <v>3320</v>
      </c>
      <c r="G98" t="s">
        <v>3290</v>
      </c>
      <c r="I98" t="s">
        <v>1307</v>
      </c>
      <c r="O98" t="s">
        <v>165</v>
      </c>
      <c r="P98" t="s">
        <v>48</v>
      </c>
      <c r="Q98" t="s">
        <v>4</v>
      </c>
    </row>
    <row r="99" spans="2:17">
      <c r="B99" t="s">
        <v>431</v>
      </c>
      <c r="C99" t="s">
        <v>209</v>
      </c>
      <c r="D99" s="41">
        <v>3</v>
      </c>
      <c r="E99" t="s">
        <v>3319</v>
      </c>
      <c r="F99" t="s">
        <v>3320</v>
      </c>
      <c r="G99" t="s">
        <v>3287</v>
      </c>
      <c r="I99" t="s">
        <v>107</v>
      </c>
      <c r="N99" t="s">
        <v>495</v>
      </c>
      <c r="O99" t="s">
        <v>154</v>
      </c>
      <c r="P99" t="s">
        <v>48</v>
      </c>
      <c r="Q99" t="s">
        <v>4</v>
      </c>
    </row>
    <row r="100" spans="2:17">
      <c r="B100" t="s">
        <v>432</v>
      </c>
      <c r="C100" t="s">
        <v>209</v>
      </c>
      <c r="D100" s="41">
        <v>3</v>
      </c>
      <c r="E100" t="s">
        <v>3319</v>
      </c>
      <c r="F100" t="s">
        <v>3320</v>
      </c>
      <c r="G100" t="s">
        <v>3287</v>
      </c>
      <c r="I100" t="s">
        <v>1</v>
      </c>
      <c r="J100" t="s">
        <v>108</v>
      </c>
      <c r="O100" t="s">
        <v>157</v>
      </c>
      <c r="P100" t="s">
        <v>15</v>
      </c>
      <c r="Q100" t="s">
        <v>4</v>
      </c>
    </row>
    <row r="101" spans="2:17">
      <c r="B101" t="s">
        <v>433</v>
      </c>
      <c r="C101" t="s">
        <v>209</v>
      </c>
      <c r="D101" s="41">
        <v>3</v>
      </c>
      <c r="E101" t="s">
        <v>3319</v>
      </c>
      <c r="F101" t="s">
        <v>3320</v>
      </c>
      <c r="G101" t="s">
        <v>3286</v>
      </c>
      <c r="I101" t="s">
        <v>109</v>
      </c>
      <c r="O101" t="s">
        <v>154</v>
      </c>
      <c r="P101" t="s">
        <v>179</v>
      </c>
      <c r="Q101" t="s">
        <v>4</v>
      </c>
    </row>
    <row r="102" spans="2:17">
      <c r="B102" t="s">
        <v>434</v>
      </c>
      <c r="C102" t="s">
        <v>209</v>
      </c>
      <c r="D102" s="41">
        <v>3</v>
      </c>
      <c r="E102" t="s">
        <v>3319</v>
      </c>
      <c r="F102" t="s">
        <v>3320</v>
      </c>
      <c r="G102" t="s">
        <v>3287</v>
      </c>
      <c r="I102" t="s">
        <v>1308</v>
      </c>
      <c r="N102" t="s">
        <v>495</v>
      </c>
      <c r="O102" t="s">
        <v>154</v>
      </c>
      <c r="P102" t="s">
        <v>32</v>
      </c>
      <c r="Q102" t="s">
        <v>4</v>
      </c>
    </row>
    <row r="103" spans="2:17">
      <c r="B103" t="s">
        <v>435</v>
      </c>
      <c r="C103" t="s">
        <v>209</v>
      </c>
      <c r="D103" s="41">
        <v>3</v>
      </c>
      <c r="E103" t="s">
        <v>3319</v>
      </c>
      <c r="F103" t="s">
        <v>3320</v>
      </c>
      <c r="G103" t="s">
        <v>3286</v>
      </c>
      <c r="I103" t="s">
        <v>23</v>
      </c>
      <c r="O103" t="s">
        <v>166</v>
      </c>
      <c r="P103" t="s">
        <v>187</v>
      </c>
      <c r="Q103" t="s">
        <v>4</v>
      </c>
    </row>
    <row r="104" spans="2:17">
      <c r="B104" t="s">
        <v>436</v>
      </c>
      <c r="C104" t="s">
        <v>209</v>
      </c>
      <c r="D104" s="41">
        <v>3</v>
      </c>
      <c r="E104" t="s">
        <v>3319</v>
      </c>
      <c r="F104" t="s">
        <v>3320</v>
      </c>
      <c r="G104" t="s">
        <v>3286</v>
      </c>
      <c r="I104" t="s">
        <v>25</v>
      </c>
      <c r="O104" t="s">
        <v>162</v>
      </c>
      <c r="P104" t="s">
        <v>8</v>
      </c>
      <c r="Q104" t="s">
        <v>4</v>
      </c>
    </row>
    <row r="105" spans="2:17">
      <c r="B105" t="s">
        <v>437</v>
      </c>
      <c r="C105" t="s">
        <v>209</v>
      </c>
      <c r="D105" s="41">
        <v>3</v>
      </c>
      <c r="E105" t="s">
        <v>3319</v>
      </c>
      <c r="F105" t="s">
        <v>3320</v>
      </c>
      <c r="G105" t="s">
        <v>3298</v>
      </c>
      <c r="I105" t="s">
        <v>211</v>
      </c>
      <c r="O105" t="s">
        <v>156</v>
      </c>
      <c r="P105" t="s">
        <v>31</v>
      </c>
      <c r="Q105" t="s">
        <v>4</v>
      </c>
    </row>
    <row r="106" spans="2:17">
      <c r="B106" t="s">
        <v>438</v>
      </c>
      <c r="C106" t="s">
        <v>209</v>
      </c>
      <c r="D106" s="41">
        <v>3</v>
      </c>
      <c r="E106" t="s">
        <v>3319</v>
      </c>
      <c r="F106" t="s">
        <v>3320</v>
      </c>
      <c r="G106" t="s">
        <v>3286</v>
      </c>
      <c r="I106" t="s">
        <v>110</v>
      </c>
      <c r="O106" t="s">
        <v>164</v>
      </c>
      <c r="P106" t="s">
        <v>177</v>
      </c>
      <c r="Q106" t="s">
        <v>4</v>
      </c>
    </row>
    <row r="107" spans="2:17">
      <c r="B107" t="s">
        <v>439</v>
      </c>
      <c r="C107" t="s">
        <v>209</v>
      </c>
      <c r="D107" s="41">
        <v>3</v>
      </c>
      <c r="E107" t="s">
        <v>3319</v>
      </c>
      <c r="F107" t="s">
        <v>3320</v>
      </c>
      <c r="G107" t="s">
        <v>3297</v>
      </c>
      <c r="I107" t="s">
        <v>1</v>
      </c>
      <c r="J107" t="s">
        <v>111</v>
      </c>
      <c r="O107" t="s">
        <v>154</v>
      </c>
      <c r="P107" t="s">
        <v>10</v>
      </c>
      <c r="Q107" t="s">
        <v>4</v>
      </c>
    </row>
    <row r="108" spans="2:17">
      <c r="B108" t="s">
        <v>440</v>
      </c>
      <c r="C108" t="s">
        <v>209</v>
      </c>
      <c r="D108" s="41">
        <v>3</v>
      </c>
      <c r="E108" t="s">
        <v>3319</v>
      </c>
      <c r="F108" t="s">
        <v>3320</v>
      </c>
      <c r="G108" t="s">
        <v>3289</v>
      </c>
      <c r="I108" t="s">
        <v>218</v>
      </c>
      <c r="O108" t="s">
        <v>166</v>
      </c>
      <c r="P108" t="s">
        <v>14</v>
      </c>
      <c r="Q108" t="s">
        <v>4</v>
      </c>
    </row>
    <row r="109" spans="2:17">
      <c r="B109" t="s">
        <v>441</v>
      </c>
      <c r="C109" t="s">
        <v>209</v>
      </c>
      <c r="D109" s="41">
        <v>3</v>
      </c>
      <c r="E109" t="s">
        <v>3319</v>
      </c>
      <c r="F109" t="s">
        <v>3320</v>
      </c>
      <c r="G109" t="s">
        <v>3291</v>
      </c>
      <c r="I109" t="s">
        <v>112</v>
      </c>
      <c r="J109" t="s">
        <v>113</v>
      </c>
      <c r="K109" t="s">
        <v>114</v>
      </c>
      <c r="O109" t="s">
        <v>162</v>
      </c>
      <c r="P109" t="s">
        <v>53</v>
      </c>
      <c r="Q109" t="s">
        <v>4</v>
      </c>
    </row>
    <row r="110" spans="2:17">
      <c r="B110" t="s">
        <v>442</v>
      </c>
      <c r="C110" t="s">
        <v>209</v>
      </c>
      <c r="D110" s="41">
        <v>3</v>
      </c>
      <c r="E110" t="s">
        <v>3319</v>
      </c>
      <c r="F110" t="s">
        <v>3320</v>
      </c>
      <c r="G110" t="s">
        <v>3286</v>
      </c>
      <c r="I110" t="s">
        <v>0</v>
      </c>
      <c r="J110" t="s">
        <v>1316</v>
      </c>
      <c r="O110" t="s">
        <v>162</v>
      </c>
      <c r="P110" t="s">
        <v>49</v>
      </c>
      <c r="Q110" t="s">
        <v>4</v>
      </c>
    </row>
    <row r="111" spans="2:17">
      <c r="B111" t="s">
        <v>443</v>
      </c>
      <c r="C111" t="s">
        <v>209</v>
      </c>
      <c r="D111" s="41">
        <v>3</v>
      </c>
      <c r="E111" t="s">
        <v>3319</v>
      </c>
      <c r="F111" t="s">
        <v>3320</v>
      </c>
      <c r="G111" t="s">
        <v>3286</v>
      </c>
      <c r="I111" t="s">
        <v>115</v>
      </c>
      <c r="O111" t="s">
        <v>165</v>
      </c>
      <c r="P111" t="s">
        <v>178</v>
      </c>
      <c r="Q111" t="s">
        <v>4</v>
      </c>
    </row>
    <row r="112" spans="2:17">
      <c r="B112" t="s">
        <v>444</v>
      </c>
      <c r="C112" t="s">
        <v>209</v>
      </c>
      <c r="D112" s="41">
        <v>3</v>
      </c>
      <c r="E112" t="s">
        <v>3319</v>
      </c>
      <c r="F112" t="s">
        <v>3320</v>
      </c>
      <c r="G112" t="s">
        <v>3286</v>
      </c>
      <c r="I112" t="s">
        <v>212</v>
      </c>
      <c r="O112" t="s">
        <v>166</v>
      </c>
      <c r="P112" t="s">
        <v>16</v>
      </c>
      <c r="Q112" t="s">
        <v>4</v>
      </c>
    </row>
    <row r="113" spans="1:18">
      <c r="A113" s="5"/>
      <c r="B113" s="5" t="s">
        <v>445</v>
      </c>
      <c r="C113" s="5" t="s">
        <v>209</v>
      </c>
      <c r="D113" s="5">
        <v>3</v>
      </c>
      <c r="E113" s="5" t="s">
        <v>3319</v>
      </c>
      <c r="F113" s="5" t="s">
        <v>3320</v>
      </c>
      <c r="G113" s="5" t="s">
        <v>3291</v>
      </c>
      <c r="H113" s="5"/>
      <c r="I113" s="5" t="s">
        <v>116</v>
      </c>
      <c r="J113" s="5"/>
      <c r="K113" s="5"/>
      <c r="L113" s="5"/>
      <c r="M113" s="5"/>
      <c r="N113" s="5" t="s">
        <v>3473</v>
      </c>
      <c r="O113" s="5" t="s">
        <v>165</v>
      </c>
      <c r="P113" s="5" t="s">
        <v>39</v>
      </c>
      <c r="Q113" s="5" t="s">
        <v>4</v>
      </c>
      <c r="R113" s="43"/>
    </row>
    <row r="114" spans="1:18">
      <c r="B114" t="s">
        <v>446</v>
      </c>
      <c r="C114" t="s">
        <v>209</v>
      </c>
      <c r="D114" s="41">
        <v>3</v>
      </c>
      <c r="E114" t="s">
        <v>3319</v>
      </c>
      <c r="F114" t="s">
        <v>3320</v>
      </c>
      <c r="G114" t="s">
        <v>3286</v>
      </c>
      <c r="H114" t="s">
        <v>3296</v>
      </c>
      <c r="I114" t="s">
        <v>23</v>
      </c>
      <c r="O114" t="s">
        <v>166</v>
      </c>
      <c r="P114" t="s">
        <v>37</v>
      </c>
      <c r="Q114" t="s">
        <v>4</v>
      </c>
    </row>
    <row r="115" spans="1:18">
      <c r="B115" t="s">
        <v>447</v>
      </c>
      <c r="C115" t="s">
        <v>209</v>
      </c>
      <c r="D115" s="41">
        <v>3</v>
      </c>
      <c r="E115" t="s">
        <v>3319</v>
      </c>
      <c r="F115" t="s">
        <v>3320</v>
      </c>
      <c r="G115" t="s">
        <v>3286</v>
      </c>
      <c r="I115" t="s">
        <v>117</v>
      </c>
      <c r="O115" t="s">
        <v>154</v>
      </c>
      <c r="P115" t="s">
        <v>45</v>
      </c>
      <c r="Q115" t="s">
        <v>4</v>
      </c>
    </row>
    <row r="116" spans="1:18">
      <c r="B116" t="s">
        <v>448</v>
      </c>
      <c r="C116" t="s">
        <v>209</v>
      </c>
      <c r="D116" s="41">
        <v>3</v>
      </c>
      <c r="E116" t="s">
        <v>3319</v>
      </c>
      <c r="F116" t="s">
        <v>3320</v>
      </c>
      <c r="I116" t="s">
        <v>118</v>
      </c>
      <c r="N116" t="s">
        <v>495</v>
      </c>
      <c r="O116" t="s">
        <v>157</v>
      </c>
      <c r="P116" t="s">
        <v>6</v>
      </c>
      <c r="Q116" t="s">
        <v>4</v>
      </c>
    </row>
    <row r="117" spans="1:18">
      <c r="B117" t="s">
        <v>449</v>
      </c>
      <c r="C117" t="s">
        <v>209</v>
      </c>
      <c r="D117" s="41">
        <v>3</v>
      </c>
      <c r="E117" t="s">
        <v>3319</v>
      </c>
      <c r="F117" t="s">
        <v>3320</v>
      </c>
      <c r="G117" t="s">
        <v>3286</v>
      </c>
      <c r="I117" t="s">
        <v>119</v>
      </c>
      <c r="O117" t="s">
        <v>163</v>
      </c>
      <c r="P117" t="s">
        <v>40</v>
      </c>
      <c r="Q117" t="s">
        <v>4</v>
      </c>
    </row>
    <row r="118" spans="1:18">
      <c r="B118" t="s">
        <v>450</v>
      </c>
      <c r="C118" t="s">
        <v>209</v>
      </c>
      <c r="D118" s="41">
        <v>3</v>
      </c>
      <c r="E118" t="s">
        <v>3319</v>
      </c>
      <c r="F118" t="s">
        <v>3320</v>
      </c>
      <c r="G118" t="s">
        <v>3289</v>
      </c>
      <c r="I118" t="s">
        <v>120</v>
      </c>
      <c r="O118" t="s">
        <v>164</v>
      </c>
      <c r="P118" t="s">
        <v>46</v>
      </c>
      <c r="Q118" t="s">
        <v>4</v>
      </c>
    </row>
    <row r="119" spans="1:18">
      <c r="A119" s="8"/>
      <c r="B119" s="8" t="s">
        <v>451</v>
      </c>
      <c r="C119" s="8" t="s">
        <v>209</v>
      </c>
      <c r="D119" s="8">
        <v>3</v>
      </c>
      <c r="E119" s="8" t="s">
        <v>3319</v>
      </c>
      <c r="F119" s="8" t="s">
        <v>3320</v>
      </c>
      <c r="G119" s="8" t="s">
        <v>3294</v>
      </c>
      <c r="H119" s="8"/>
      <c r="I119" s="8" t="s">
        <v>23</v>
      </c>
      <c r="J119" s="8" t="s">
        <v>1299</v>
      </c>
      <c r="K119" s="8"/>
      <c r="L119" s="8"/>
      <c r="M119" s="8"/>
      <c r="N119" s="8"/>
      <c r="O119" s="8" t="s">
        <v>154</v>
      </c>
      <c r="P119" s="8" t="s">
        <v>53</v>
      </c>
      <c r="Q119" s="8" t="s">
        <v>4</v>
      </c>
      <c r="R119" s="43"/>
    </row>
    <row r="120" spans="1:18">
      <c r="B120" t="s">
        <v>452</v>
      </c>
      <c r="C120" t="s">
        <v>209</v>
      </c>
      <c r="D120" s="41">
        <v>3</v>
      </c>
      <c r="E120" t="s">
        <v>3319</v>
      </c>
      <c r="F120" t="s">
        <v>3320</v>
      </c>
      <c r="G120" t="s">
        <v>3290</v>
      </c>
      <c r="H120" t="s">
        <v>3296</v>
      </c>
      <c r="I120" t="s">
        <v>121</v>
      </c>
      <c r="N120" t="s">
        <v>495</v>
      </c>
      <c r="O120" t="s">
        <v>164</v>
      </c>
      <c r="P120" t="s">
        <v>28</v>
      </c>
      <c r="Q120" t="s">
        <v>4</v>
      </c>
    </row>
    <row r="121" spans="1:18">
      <c r="B121" t="s">
        <v>453</v>
      </c>
      <c r="C121" t="s">
        <v>209</v>
      </c>
      <c r="D121" s="41">
        <v>3</v>
      </c>
      <c r="E121" t="s">
        <v>3319</v>
      </c>
      <c r="F121" t="s">
        <v>3320</v>
      </c>
      <c r="G121" t="s">
        <v>3290</v>
      </c>
      <c r="I121" t="s">
        <v>1309</v>
      </c>
      <c r="J121" t="s">
        <v>1301</v>
      </c>
      <c r="O121" t="s">
        <v>154</v>
      </c>
      <c r="P121" t="s">
        <v>174</v>
      </c>
      <c r="Q121" t="s">
        <v>4</v>
      </c>
    </row>
    <row r="122" spans="1:18">
      <c r="B122" t="s">
        <v>454</v>
      </c>
      <c r="C122" t="s">
        <v>209</v>
      </c>
      <c r="D122" s="41">
        <v>3</v>
      </c>
      <c r="E122" t="s">
        <v>3319</v>
      </c>
      <c r="F122" t="s">
        <v>3320</v>
      </c>
      <c r="I122" t="s">
        <v>122</v>
      </c>
      <c r="N122" t="s">
        <v>495</v>
      </c>
      <c r="O122" t="s">
        <v>165</v>
      </c>
      <c r="P122" t="s">
        <v>26</v>
      </c>
      <c r="Q122" t="s">
        <v>4</v>
      </c>
    </row>
    <row r="123" spans="1:18">
      <c r="A123" s="5"/>
      <c r="B123" s="5" t="s">
        <v>455</v>
      </c>
      <c r="C123" s="5" t="s">
        <v>209</v>
      </c>
      <c r="D123" s="5">
        <v>3</v>
      </c>
      <c r="E123" s="5" t="s">
        <v>3319</v>
      </c>
      <c r="F123" s="5" t="s">
        <v>3320</v>
      </c>
      <c r="G123" s="5" t="s">
        <v>3286</v>
      </c>
      <c r="H123" s="5"/>
      <c r="I123" s="5" t="s">
        <v>1310</v>
      </c>
      <c r="J123" s="5" t="s">
        <v>1297</v>
      </c>
      <c r="K123" s="5"/>
      <c r="L123" s="5"/>
      <c r="M123" s="5"/>
      <c r="N123" s="5"/>
      <c r="O123" s="5" t="s">
        <v>160</v>
      </c>
      <c r="P123" s="5" t="s">
        <v>186</v>
      </c>
      <c r="Q123" s="5" t="s">
        <v>4</v>
      </c>
    </row>
    <row r="124" spans="1:18">
      <c r="B124" t="s">
        <v>456</v>
      </c>
      <c r="C124" t="s">
        <v>209</v>
      </c>
      <c r="D124" s="41">
        <v>3</v>
      </c>
      <c r="E124" t="s">
        <v>3319</v>
      </c>
      <c r="F124" t="s">
        <v>3320</v>
      </c>
      <c r="G124" t="s">
        <v>3286</v>
      </c>
      <c r="I124" t="s">
        <v>123</v>
      </c>
      <c r="O124" t="s">
        <v>166</v>
      </c>
      <c r="P124" t="s">
        <v>183</v>
      </c>
      <c r="Q124" t="s">
        <v>4</v>
      </c>
    </row>
    <row r="125" spans="1:18">
      <c r="B125" t="s">
        <v>457</v>
      </c>
      <c r="C125" t="s">
        <v>213</v>
      </c>
      <c r="D125" s="41">
        <v>3</v>
      </c>
      <c r="E125" t="s">
        <v>3319</v>
      </c>
      <c r="F125" t="s">
        <v>3320</v>
      </c>
      <c r="G125" t="s">
        <v>3290</v>
      </c>
      <c r="I125" t="s">
        <v>1</v>
      </c>
      <c r="J125" t="s">
        <v>124</v>
      </c>
      <c r="O125" t="s">
        <v>154</v>
      </c>
      <c r="P125" t="s">
        <v>14</v>
      </c>
      <c r="Q125" t="s">
        <v>4</v>
      </c>
    </row>
    <row r="126" spans="1:18">
      <c r="B126" t="s">
        <v>458</v>
      </c>
      <c r="C126" t="s">
        <v>209</v>
      </c>
      <c r="D126" s="41">
        <v>3</v>
      </c>
      <c r="E126" t="s">
        <v>3319</v>
      </c>
      <c r="F126" t="s">
        <v>3320</v>
      </c>
      <c r="G126" t="s">
        <v>3291</v>
      </c>
      <c r="I126" t="s">
        <v>23</v>
      </c>
      <c r="J126" t="s">
        <v>1317</v>
      </c>
      <c r="O126" t="s">
        <v>165</v>
      </c>
      <c r="P126" t="s">
        <v>17</v>
      </c>
      <c r="Q126" t="s">
        <v>4</v>
      </c>
    </row>
    <row r="127" spans="1:18">
      <c r="B127" t="s">
        <v>459</v>
      </c>
      <c r="C127" t="s">
        <v>213</v>
      </c>
      <c r="D127" s="41">
        <v>3</v>
      </c>
      <c r="E127" t="s">
        <v>3319</v>
      </c>
      <c r="F127" t="s">
        <v>3320</v>
      </c>
      <c r="G127" t="s">
        <v>3289</v>
      </c>
      <c r="H127" t="s">
        <v>3297</v>
      </c>
      <c r="I127" t="s">
        <v>125</v>
      </c>
      <c r="J127" t="s">
        <v>43</v>
      </c>
      <c r="O127" t="s">
        <v>157</v>
      </c>
      <c r="P127" t="s">
        <v>31</v>
      </c>
      <c r="Q127" t="s">
        <v>4</v>
      </c>
    </row>
    <row r="128" spans="1:18">
      <c r="B128" t="s">
        <v>460</v>
      </c>
      <c r="C128" t="s">
        <v>209</v>
      </c>
      <c r="D128" s="41">
        <v>3</v>
      </c>
      <c r="E128" t="s">
        <v>3319</v>
      </c>
      <c r="F128" t="s">
        <v>3320</v>
      </c>
      <c r="G128" t="s">
        <v>3285</v>
      </c>
      <c r="I128" t="s">
        <v>1309</v>
      </c>
      <c r="J128" t="s">
        <v>126</v>
      </c>
      <c r="N128" t="s">
        <v>495</v>
      </c>
      <c r="O128" t="s">
        <v>166</v>
      </c>
      <c r="P128" t="s">
        <v>45</v>
      </c>
      <c r="Q128" t="s">
        <v>4</v>
      </c>
    </row>
    <row r="129" spans="1:18">
      <c r="B129" s="41" t="s">
        <v>461</v>
      </c>
      <c r="C129" s="41" t="s">
        <v>209</v>
      </c>
      <c r="D129" s="41">
        <v>3</v>
      </c>
      <c r="E129" s="41" t="s">
        <v>3319</v>
      </c>
      <c r="F129" s="41" t="s">
        <v>3320</v>
      </c>
      <c r="G129" s="41" t="s">
        <v>3286</v>
      </c>
      <c r="H129" s="41"/>
      <c r="I129" s="41" t="s">
        <v>51</v>
      </c>
      <c r="J129" s="41" t="s">
        <v>1302</v>
      </c>
      <c r="K129" s="41"/>
      <c r="L129" s="41"/>
      <c r="M129" s="41"/>
      <c r="N129" s="41"/>
      <c r="O129" s="41" t="s">
        <v>166</v>
      </c>
      <c r="P129" s="41" t="s">
        <v>5</v>
      </c>
      <c r="Q129" s="41" t="s">
        <v>4</v>
      </c>
    </row>
    <row r="130" spans="1:18">
      <c r="B130" t="s">
        <v>462</v>
      </c>
      <c r="C130" t="s">
        <v>209</v>
      </c>
      <c r="D130" s="41">
        <v>3</v>
      </c>
      <c r="E130" t="s">
        <v>3319</v>
      </c>
      <c r="F130" t="s">
        <v>3320</v>
      </c>
      <c r="G130" t="s">
        <v>3289</v>
      </c>
      <c r="I130" t="s">
        <v>127</v>
      </c>
      <c r="N130" t="s">
        <v>495</v>
      </c>
      <c r="O130" t="s">
        <v>157</v>
      </c>
      <c r="P130" t="s">
        <v>177</v>
      </c>
      <c r="Q130" t="s">
        <v>4</v>
      </c>
    </row>
    <row r="131" spans="1:18">
      <c r="B131" t="s">
        <v>463</v>
      </c>
      <c r="C131" t="s">
        <v>209</v>
      </c>
      <c r="D131" s="41">
        <v>3</v>
      </c>
      <c r="E131" t="s">
        <v>3319</v>
      </c>
      <c r="F131" t="s">
        <v>3320</v>
      </c>
      <c r="G131" t="s">
        <v>3294</v>
      </c>
      <c r="H131" t="s">
        <v>3289</v>
      </c>
      <c r="I131" t="s">
        <v>128</v>
      </c>
      <c r="N131" t="s">
        <v>495</v>
      </c>
      <c r="O131" t="s">
        <v>154</v>
      </c>
      <c r="P131" t="s">
        <v>174</v>
      </c>
      <c r="Q131" t="s">
        <v>4</v>
      </c>
    </row>
    <row r="132" spans="1:18">
      <c r="B132" s="8" t="s">
        <v>464</v>
      </c>
      <c r="C132" s="8" t="s">
        <v>209</v>
      </c>
      <c r="D132" s="41">
        <v>3</v>
      </c>
      <c r="E132" s="8" t="s">
        <v>3319</v>
      </c>
      <c r="F132" s="8" t="s">
        <v>3320</v>
      </c>
      <c r="G132" s="8" t="s">
        <v>3288</v>
      </c>
      <c r="H132" s="8" t="s">
        <v>3289</v>
      </c>
      <c r="I132" s="8" t="s">
        <v>129</v>
      </c>
      <c r="J132" s="8"/>
      <c r="K132" s="8"/>
      <c r="L132" s="8"/>
      <c r="M132" s="8"/>
      <c r="N132" s="8"/>
      <c r="O132" s="8" t="s">
        <v>157</v>
      </c>
      <c r="P132" s="8" t="s">
        <v>33</v>
      </c>
      <c r="Q132" s="8" t="s">
        <v>4</v>
      </c>
    </row>
    <row r="133" spans="1:18">
      <c r="B133" t="s">
        <v>465</v>
      </c>
      <c r="C133" t="s">
        <v>190</v>
      </c>
      <c r="D133" s="41">
        <v>4</v>
      </c>
      <c r="E133" t="s">
        <v>3319</v>
      </c>
      <c r="F133" t="s">
        <v>3320</v>
      </c>
      <c r="G133" t="s">
        <v>3285</v>
      </c>
      <c r="I133" t="s">
        <v>1311</v>
      </c>
      <c r="O133" t="s">
        <v>167</v>
      </c>
      <c r="P133" t="s">
        <v>38</v>
      </c>
      <c r="Q133" t="s">
        <v>4</v>
      </c>
    </row>
    <row r="134" spans="1:18">
      <c r="B134" t="s">
        <v>466</v>
      </c>
      <c r="C134" t="s">
        <v>190</v>
      </c>
      <c r="D134">
        <v>4</v>
      </c>
      <c r="E134" t="s">
        <v>3319</v>
      </c>
      <c r="F134" t="s">
        <v>3320</v>
      </c>
      <c r="G134" t="s">
        <v>3294</v>
      </c>
      <c r="I134" t="s">
        <v>130</v>
      </c>
      <c r="O134" t="s">
        <v>168</v>
      </c>
      <c r="P134" t="s">
        <v>32</v>
      </c>
      <c r="Q134" t="s">
        <v>4</v>
      </c>
    </row>
    <row r="135" spans="1:18">
      <c r="A135" s="5"/>
      <c r="B135" s="5" t="s">
        <v>467</v>
      </c>
      <c r="C135" s="5" t="s">
        <v>190</v>
      </c>
      <c r="D135" s="5">
        <v>4</v>
      </c>
      <c r="E135" s="5" t="s">
        <v>3319</v>
      </c>
      <c r="F135" s="5" t="s">
        <v>3320</v>
      </c>
      <c r="G135" s="5" t="s">
        <v>3286</v>
      </c>
      <c r="H135" s="5"/>
      <c r="I135" s="5"/>
      <c r="J135" s="5"/>
      <c r="K135" s="5"/>
      <c r="L135" s="5"/>
      <c r="M135" s="5"/>
      <c r="N135" s="5"/>
      <c r="O135" s="5" t="s">
        <v>168</v>
      </c>
      <c r="P135" s="5" t="s">
        <v>176</v>
      </c>
      <c r="Q135" s="5" t="s">
        <v>4</v>
      </c>
      <c r="R135" s="43"/>
    </row>
    <row r="136" spans="1:18">
      <c r="B136" t="s">
        <v>468</v>
      </c>
      <c r="C136" t="s">
        <v>190</v>
      </c>
      <c r="D136">
        <v>4</v>
      </c>
      <c r="E136" t="s">
        <v>3319</v>
      </c>
      <c r="F136" t="s">
        <v>3320</v>
      </c>
      <c r="G136" t="s">
        <v>3287</v>
      </c>
      <c r="H136" t="s">
        <v>3296</v>
      </c>
      <c r="I136" t="s">
        <v>131</v>
      </c>
      <c r="O136" t="s">
        <v>168</v>
      </c>
      <c r="P136" t="s">
        <v>37</v>
      </c>
      <c r="Q136" t="s">
        <v>4</v>
      </c>
    </row>
    <row r="137" spans="1:18">
      <c r="B137" t="s">
        <v>469</v>
      </c>
      <c r="C137" t="s">
        <v>190</v>
      </c>
      <c r="D137">
        <v>4</v>
      </c>
      <c r="E137" t="s">
        <v>3319</v>
      </c>
      <c r="F137" t="s">
        <v>3320</v>
      </c>
      <c r="G137" t="s">
        <v>3292</v>
      </c>
      <c r="H137" t="s">
        <v>3297</v>
      </c>
      <c r="I137" t="s">
        <v>1293</v>
      </c>
      <c r="J137" t="s">
        <v>132</v>
      </c>
      <c r="O137" t="s">
        <v>156</v>
      </c>
      <c r="P137" t="s">
        <v>188</v>
      </c>
      <c r="Q137" t="s">
        <v>4</v>
      </c>
    </row>
    <row r="138" spans="1:18">
      <c r="A138" s="8"/>
      <c r="B138" s="35" t="s">
        <v>470</v>
      </c>
      <c r="C138" s="35" t="s">
        <v>190</v>
      </c>
      <c r="D138" s="35">
        <v>4</v>
      </c>
      <c r="E138" s="35" t="s">
        <v>3319</v>
      </c>
      <c r="F138" s="35" t="s">
        <v>3320</v>
      </c>
      <c r="G138" s="35" t="s">
        <v>3286</v>
      </c>
      <c r="H138" s="35"/>
      <c r="I138" s="35" t="s">
        <v>23</v>
      </c>
      <c r="J138" s="35" t="s">
        <v>54</v>
      </c>
      <c r="K138" s="35"/>
      <c r="L138" s="35"/>
      <c r="M138" s="8" t="s">
        <v>153</v>
      </c>
      <c r="N138" s="8"/>
      <c r="O138" s="35" t="s">
        <v>154</v>
      </c>
      <c r="P138" s="8"/>
      <c r="Q138" s="8"/>
      <c r="R138" s="43"/>
    </row>
    <row r="139" spans="1:18">
      <c r="A139" s="8"/>
      <c r="B139" s="35" t="s">
        <v>471</v>
      </c>
      <c r="C139" s="44" t="s">
        <v>3390</v>
      </c>
      <c r="D139" s="44"/>
      <c r="E139" s="35" t="s">
        <v>3391</v>
      </c>
      <c r="F139" s="45" t="s">
        <v>3393</v>
      </c>
      <c r="G139" s="44" t="s">
        <v>3392</v>
      </c>
      <c r="H139" s="46"/>
      <c r="I139" s="8" t="s">
        <v>20</v>
      </c>
      <c r="J139" s="35"/>
      <c r="K139" s="35"/>
      <c r="L139" s="35"/>
      <c r="M139" s="8" t="s">
        <v>153</v>
      </c>
      <c r="N139" s="8"/>
      <c r="O139" s="46" t="s">
        <v>155</v>
      </c>
      <c r="P139" s="8" t="s">
        <v>45</v>
      </c>
      <c r="Q139" s="8" t="s">
        <v>4</v>
      </c>
      <c r="R139" s="43"/>
    </row>
    <row r="140" spans="1:18">
      <c r="B140" t="s">
        <v>472</v>
      </c>
      <c r="C140" t="s">
        <v>190</v>
      </c>
      <c r="D140">
        <v>4</v>
      </c>
      <c r="E140" t="s">
        <v>3319</v>
      </c>
      <c r="F140" t="s">
        <v>3320</v>
      </c>
      <c r="G140" t="s">
        <v>3289</v>
      </c>
      <c r="I140" t="s">
        <v>23</v>
      </c>
      <c r="J140" t="s">
        <v>1318</v>
      </c>
      <c r="O140" t="s">
        <v>164</v>
      </c>
      <c r="P140" t="s">
        <v>29</v>
      </c>
      <c r="Q140" t="s">
        <v>4</v>
      </c>
    </row>
    <row r="141" spans="1:18">
      <c r="B141" t="s">
        <v>473</v>
      </c>
      <c r="C141" t="s">
        <v>190</v>
      </c>
      <c r="D141">
        <v>4</v>
      </c>
      <c r="E141" t="s">
        <v>3319</v>
      </c>
      <c r="F141" t="s">
        <v>3320</v>
      </c>
      <c r="G141" t="s">
        <v>3286</v>
      </c>
      <c r="I141" t="s">
        <v>133</v>
      </c>
      <c r="N141" t="s">
        <v>495</v>
      </c>
      <c r="O141" t="s">
        <v>168</v>
      </c>
      <c r="P141" t="s">
        <v>16</v>
      </c>
      <c r="Q141" t="s">
        <v>4</v>
      </c>
    </row>
    <row r="142" spans="1:18">
      <c r="B142" t="s">
        <v>474</v>
      </c>
      <c r="C142" t="s">
        <v>190</v>
      </c>
      <c r="D142">
        <v>4</v>
      </c>
      <c r="E142" t="s">
        <v>3319</v>
      </c>
      <c r="F142" t="s">
        <v>3320</v>
      </c>
      <c r="G142" t="s">
        <v>3292</v>
      </c>
      <c r="I142" t="s">
        <v>1</v>
      </c>
      <c r="J142" t="s">
        <v>1293</v>
      </c>
      <c r="O142" t="s">
        <v>154</v>
      </c>
      <c r="P142" t="s">
        <v>180</v>
      </c>
      <c r="Q142" t="s">
        <v>4</v>
      </c>
    </row>
    <row r="143" spans="1:18">
      <c r="B143" t="s">
        <v>475</v>
      </c>
      <c r="C143" t="s">
        <v>190</v>
      </c>
      <c r="D143">
        <v>4</v>
      </c>
      <c r="E143" t="s">
        <v>3319</v>
      </c>
      <c r="F143" t="s">
        <v>3320</v>
      </c>
      <c r="G143" t="s">
        <v>3286</v>
      </c>
      <c r="I143" t="s">
        <v>1309</v>
      </c>
      <c r="J143" t="s">
        <v>51</v>
      </c>
      <c r="K143" t="s">
        <v>134</v>
      </c>
      <c r="O143" t="s">
        <v>169</v>
      </c>
      <c r="P143" t="s">
        <v>31</v>
      </c>
      <c r="Q143" t="s">
        <v>4</v>
      </c>
    </row>
    <row r="144" spans="1:18">
      <c r="B144" s="8" t="s">
        <v>476</v>
      </c>
      <c r="C144" s="8" t="s">
        <v>214</v>
      </c>
      <c r="D144" s="8">
        <v>4</v>
      </c>
      <c r="E144" s="8" t="s">
        <v>3319</v>
      </c>
      <c r="F144" s="8" t="s">
        <v>3320</v>
      </c>
      <c r="G144" s="8" t="s">
        <v>3290</v>
      </c>
      <c r="H144" s="8"/>
      <c r="I144" s="8" t="s">
        <v>1</v>
      </c>
      <c r="J144" s="8" t="s">
        <v>1301</v>
      </c>
      <c r="K144" s="8"/>
      <c r="L144" s="8"/>
      <c r="M144" s="8"/>
      <c r="N144" s="8"/>
      <c r="O144" s="8" t="s">
        <v>164</v>
      </c>
      <c r="P144" s="8" t="s">
        <v>183</v>
      </c>
      <c r="Q144" s="8" t="s">
        <v>4</v>
      </c>
    </row>
    <row r="145" spans="1:21">
      <c r="B145" t="s">
        <v>477</v>
      </c>
      <c r="C145" t="s">
        <v>190</v>
      </c>
      <c r="D145">
        <v>4</v>
      </c>
      <c r="E145" t="s">
        <v>3319</v>
      </c>
      <c r="F145" t="s">
        <v>3320</v>
      </c>
      <c r="G145" t="s">
        <v>3290</v>
      </c>
      <c r="I145" t="s">
        <v>1319</v>
      </c>
      <c r="J145" t="s">
        <v>1320</v>
      </c>
      <c r="O145" t="s">
        <v>154</v>
      </c>
      <c r="P145" t="s">
        <v>34</v>
      </c>
      <c r="Q145" t="s">
        <v>4</v>
      </c>
    </row>
    <row r="146" spans="1:21">
      <c r="B146" t="s">
        <v>478</v>
      </c>
      <c r="C146" t="s">
        <v>190</v>
      </c>
      <c r="D146">
        <v>4</v>
      </c>
      <c r="E146" t="s">
        <v>3319</v>
      </c>
      <c r="F146" t="s">
        <v>3320</v>
      </c>
      <c r="G146" t="s">
        <v>3287</v>
      </c>
      <c r="I146" t="s">
        <v>135</v>
      </c>
      <c r="N146" t="s">
        <v>495</v>
      </c>
      <c r="O146" t="s">
        <v>164</v>
      </c>
      <c r="P146" t="s">
        <v>52</v>
      </c>
      <c r="Q146" t="s">
        <v>4</v>
      </c>
    </row>
    <row r="147" spans="1:21">
      <c r="B147" t="s">
        <v>479</v>
      </c>
      <c r="C147" t="s">
        <v>190</v>
      </c>
      <c r="D147">
        <v>4</v>
      </c>
      <c r="E147" t="s">
        <v>3319</v>
      </c>
      <c r="F147" t="s">
        <v>3320</v>
      </c>
      <c r="G147" t="s">
        <v>3289</v>
      </c>
      <c r="I147" t="s">
        <v>136</v>
      </c>
      <c r="O147" t="s">
        <v>157</v>
      </c>
      <c r="P147" t="s">
        <v>14</v>
      </c>
      <c r="Q147" t="s">
        <v>4</v>
      </c>
    </row>
    <row r="148" spans="1:21">
      <c r="A148" s="5"/>
      <c r="B148" s="5" t="s">
        <v>480</v>
      </c>
      <c r="C148" s="5" t="s">
        <v>190</v>
      </c>
      <c r="D148" s="5">
        <v>4</v>
      </c>
      <c r="E148" s="5" t="s">
        <v>3319</v>
      </c>
      <c r="F148" s="5" t="s">
        <v>3320</v>
      </c>
      <c r="G148" s="5" t="s">
        <v>3299</v>
      </c>
      <c r="H148" s="5"/>
      <c r="I148" s="5" t="s">
        <v>1</v>
      </c>
      <c r="J148" s="5" t="s">
        <v>1321</v>
      </c>
      <c r="K148" s="5"/>
      <c r="L148" s="5"/>
      <c r="M148" s="5"/>
      <c r="N148" s="5" t="s">
        <v>495</v>
      </c>
      <c r="O148" s="5" t="s">
        <v>162</v>
      </c>
      <c r="P148" s="5" t="s">
        <v>26</v>
      </c>
      <c r="Q148" s="5" t="s">
        <v>4</v>
      </c>
      <c r="R148" s="43"/>
    </row>
    <row r="149" spans="1:21">
      <c r="B149" t="s">
        <v>481</v>
      </c>
      <c r="C149" t="s">
        <v>190</v>
      </c>
      <c r="D149">
        <v>4</v>
      </c>
      <c r="E149" t="s">
        <v>3319</v>
      </c>
      <c r="F149" t="s">
        <v>3320</v>
      </c>
      <c r="G149" t="s">
        <v>3289</v>
      </c>
      <c r="I149" t="s">
        <v>1322</v>
      </c>
      <c r="J149" t="s">
        <v>138</v>
      </c>
      <c r="O149" t="s">
        <v>154</v>
      </c>
      <c r="P149" t="s">
        <v>44</v>
      </c>
      <c r="Q149" t="s">
        <v>4</v>
      </c>
    </row>
    <row r="150" spans="1:21">
      <c r="B150" t="s">
        <v>482</v>
      </c>
      <c r="C150" t="s">
        <v>214</v>
      </c>
      <c r="D150">
        <v>4</v>
      </c>
      <c r="E150" t="s">
        <v>3319</v>
      </c>
      <c r="F150" t="s">
        <v>3320</v>
      </c>
      <c r="G150" t="s">
        <v>3286</v>
      </c>
      <c r="I150" t="s">
        <v>139</v>
      </c>
      <c r="N150" t="s">
        <v>495</v>
      </c>
      <c r="O150" t="s">
        <v>170</v>
      </c>
      <c r="P150" t="s">
        <v>48</v>
      </c>
      <c r="Q150" t="s">
        <v>4</v>
      </c>
    </row>
    <row r="151" spans="1:21">
      <c r="B151" t="s">
        <v>483</v>
      </c>
      <c r="C151" t="s">
        <v>190</v>
      </c>
      <c r="D151">
        <v>4</v>
      </c>
      <c r="E151" t="s">
        <v>3319</v>
      </c>
      <c r="F151" t="s">
        <v>3320</v>
      </c>
      <c r="G151" t="s">
        <v>3286</v>
      </c>
      <c r="I151" t="s">
        <v>140</v>
      </c>
      <c r="O151" t="s">
        <v>165</v>
      </c>
      <c r="P151" t="s">
        <v>39</v>
      </c>
      <c r="Q151" t="s">
        <v>4</v>
      </c>
    </row>
    <row r="152" spans="1:21">
      <c r="B152" t="s">
        <v>484</v>
      </c>
      <c r="C152" t="s">
        <v>190</v>
      </c>
      <c r="D152">
        <v>4</v>
      </c>
      <c r="E152" t="s">
        <v>3319</v>
      </c>
      <c r="F152" t="s">
        <v>3320</v>
      </c>
      <c r="G152" t="s">
        <v>3290</v>
      </c>
      <c r="I152" t="s">
        <v>141</v>
      </c>
      <c r="N152" t="s">
        <v>495</v>
      </c>
      <c r="O152" t="s">
        <v>170</v>
      </c>
      <c r="P152" t="s">
        <v>46</v>
      </c>
      <c r="Q152" t="s">
        <v>4</v>
      </c>
    </row>
    <row r="153" spans="1:21" s="8" customFormat="1">
      <c r="B153" s="9" t="s">
        <v>485</v>
      </c>
      <c r="C153" s="9" t="s">
        <v>190</v>
      </c>
      <c r="D153" s="9">
        <v>4</v>
      </c>
      <c r="E153" s="9" t="s">
        <v>3319</v>
      </c>
      <c r="F153" s="9" t="s">
        <v>3320</v>
      </c>
      <c r="G153" s="9" t="s">
        <v>3290</v>
      </c>
      <c r="H153" s="9"/>
      <c r="I153" s="9" t="s">
        <v>142</v>
      </c>
      <c r="J153" s="9"/>
      <c r="K153" s="9"/>
      <c r="L153" s="9"/>
      <c r="M153" s="9"/>
      <c r="N153" s="9"/>
      <c r="O153" s="9" t="s">
        <v>170</v>
      </c>
      <c r="P153" s="9" t="s">
        <v>30</v>
      </c>
      <c r="Q153" s="9" t="s">
        <v>4</v>
      </c>
      <c r="T153"/>
      <c r="U153"/>
    </row>
    <row r="154" spans="1:21">
      <c r="B154" t="s">
        <v>486</v>
      </c>
      <c r="C154" t="s">
        <v>215</v>
      </c>
      <c r="D154">
        <v>5</v>
      </c>
      <c r="E154" t="s">
        <v>3319</v>
      </c>
      <c r="F154" t="s">
        <v>3320</v>
      </c>
      <c r="G154" t="s">
        <v>3290</v>
      </c>
      <c r="I154" t="s">
        <v>1294</v>
      </c>
      <c r="J154" t="s">
        <v>1322</v>
      </c>
      <c r="O154" t="s">
        <v>168</v>
      </c>
      <c r="P154" t="s">
        <v>185</v>
      </c>
      <c r="Q154" t="s">
        <v>4</v>
      </c>
    </row>
    <row r="155" spans="1:21">
      <c r="B155" t="s">
        <v>487</v>
      </c>
      <c r="C155" t="s">
        <v>216</v>
      </c>
      <c r="D155">
        <v>5</v>
      </c>
      <c r="E155" t="s">
        <v>3319</v>
      </c>
      <c r="F155" t="s">
        <v>3320</v>
      </c>
      <c r="G155" t="s">
        <v>3289</v>
      </c>
      <c r="I155" t="s">
        <v>143</v>
      </c>
      <c r="N155" t="s">
        <v>495</v>
      </c>
      <c r="O155" t="s">
        <v>164</v>
      </c>
      <c r="P155" t="s">
        <v>177</v>
      </c>
      <c r="Q155" t="s">
        <v>4</v>
      </c>
    </row>
    <row r="156" spans="1:21">
      <c r="A156" s="5"/>
      <c r="B156" s="5" t="s">
        <v>488</v>
      </c>
      <c r="C156" s="5" t="s">
        <v>216</v>
      </c>
      <c r="D156" s="5">
        <v>5</v>
      </c>
      <c r="E156" s="5" t="s">
        <v>3319</v>
      </c>
      <c r="F156" s="5" t="s">
        <v>3320</v>
      </c>
      <c r="G156" s="5" t="s">
        <v>3286</v>
      </c>
      <c r="H156" s="5"/>
      <c r="I156" s="5" t="s">
        <v>144</v>
      </c>
      <c r="J156" s="5"/>
      <c r="K156" s="5"/>
      <c r="L156" s="5"/>
      <c r="M156" s="5"/>
      <c r="N156" s="5" t="s">
        <v>495</v>
      </c>
      <c r="O156" s="5" t="s">
        <v>171</v>
      </c>
      <c r="P156" s="5" t="s">
        <v>48</v>
      </c>
      <c r="Q156" s="5" t="s">
        <v>4</v>
      </c>
      <c r="R156" s="43"/>
    </row>
    <row r="157" spans="1:21">
      <c r="B157" t="s">
        <v>489</v>
      </c>
      <c r="C157" t="s">
        <v>216</v>
      </c>
      <c r="D157">
        <v>5</v>
      </c>
      <c r="E157" t="s">
        <v>3319</v>
      </c>
      <c r="F157" t="s">
        <v>3320</v>
      </c>
      <c r="G157" t="s">
        <v>3286</v>
      </c>
      <c r="I157" t="s">
        <v>145</v>
      </c>
      <c r="O157" t="s">
        <v>172</v>
      </c>
      <c r="P157" t="s">
        <v>5</v>
      </c>
      <c r="Q157" t="s">
        <v>4</v>
      </c>
    </row>
    <row r="158" spans="1:21" s="41" customFormat="1">
      <c r="B158" s="41" t="s">
        <v>490</v>
      </c>
      <c r="C158" s="41" t="s">
        <v>216</v>
      </c>
      <c r="D158" s="41">
        <v>5</v>
      </c>
      <c r="E158" s="41" t="s">
        <v>3319</v>
      </c>
      <c r="F158" s="41" t="s">
        <v>3320</v>
      </c>
      <c r="G158" s="41" t="s">
        <v>3286</v>
      </c>
      <c r="I158" s="41" t="s">
        <v>146</v>
      </c>
      <c r="O158" s="41" t="s">
        <v>170</v>
      </c>
      <c r="P158" s="41" t="s">
        <v>11</v>
      </c>
      <c r="Q158" s="41" t="s">
        <v>4</v>
      </c>
    </row>
    <row r="159" spans="1:21">
      <c r="B159" t="s">
        <v>491</v>
      </c>
      <c r="C159" t="s">
        <v>216</v>
      </c>
      <c r="D159">
        <v>5</v>
      </c>
      <c r="E159" t="s">
        <v>3319</v>
      </c>
      <c r="F159" t="s">
        <v>3320</v>
      </c>
      <c r="G159" t="s">
        <v>3286</v>
      </c>
      <c r="I159" t="s">
        <v>1323</v>
      </c>
      <c r="J159" t="s">
        <v>147</v>
      </c>
      <c r="N159" t="s">
        <v>495</v>
      </c>
      <c r="O159" t="s">
        <v>168</v>
      </c>
      <c r="P159" t="s">
        <v>189</v>
      </c>
      <c r="Q159" t="s">
        <v>4</v>
      </c>
    </row>
    <row r="160" spans="1:21">
      <c r="B160" t="s">
        <v>492</v>
      </c>
      <c r="C160" t="s">
        <v>216</v>
      </c>
      <c r="D160">
        <v>5</v>
      </c>
      <c r="E160" t="s">
        <v>3319</v>
      </c>
      <c r="F160" t="s">
        <v>3320</v>
      </c>
      <c r="G160" t="s">
        <v>3285</v>
      </c>
      <c r="I160" t="s">
        <v>23</v>
      </c>
      <c r="J160" t="s">
        <v>1324</v>
      </c>
      <c r="N160" t="s">
        <v>495</v>
      </c>
      <c r="O160" t="s">
        <v>170</v>
      </c>
      <c r="P160" t="s">
        <v>30</v>
      </c>
      <c r="Q160" t="s">
        <v>4</v>
      </c>
    </row>
    <row r="161" spans="1:17">
      <c r="A161" s="5"/>
      <c r="B161" s="5" t="s">
        <v>493</v>
      </c>
      <c r="C161" s="5" t="s">
        <v>216</v>
      </c>
      <c r="D161" s="5">
        <v>5</v>
      </c>
      <c r="E161" s="5" t="s">
        <v>3319</v>
      </c>
      <c r="F161" s="5" t="s">
        <v>3320</v>
      </c>
      <c r="G161" s="5" t="s">
        <v>3290</v>
      </c>
      <c r="H161" s="5"/>
      <c r="I161" s="5" t="s">
        <v>1322</v>
      </c>
      <c r="J161" s="5"/>
      <c r="K161" s="5"/>
      <c r="L161" s="5"/>
      <c r="M161" s="5"/>
      <c r="N161" s="5"/>
      <c r="O161" s="5" t="s">
        <v>171</v>
      </c>
      <c r="P161" s="5" t="s">
        <v>39</v>
      </c>
      <c r="Q161" s="5" t="s">
        <v>4</v>
      </c>
    </row>
    <row r="162" spans="1:17">
      <c r="A162" s="5"/>
      <c r="B162" s="5" t="s">
        <v>494</v>
      </c>
      <c r="C162" s="5" t="s">
        <v>217</v>
      </c>
      <c r="D162" s="5">
        <v>6</v>
      </c>
      <c r="E162" s="5" t="s">
        <v>3319</v>
      </c>
      <c r="F162" s="5" t="s">
        <v>3320</v>
      </c>
      <c r="G162" s="5" t="s">
        <v>3286</v>
      </c>
      <c r="H162" s="5"/>
      <c r="I162" s="5" t="s">
        <v>1323</v>
      </c>
      <c r="J162" s="5" t="s">
        <v>1</v>
      </c>
      <c r="K162" s="5"/>
      <c r="L162" s="5"/>
      <c r="M162" s="5"/>
      <c r="N162" s="5"/>
      <c r="O162" s="5" t="s">
        <v>170</v>
      </c>
      <c r="P162" s="5" t="s">
        <v>8</v>
      </c>
      <c r="Q162" s="5" t="s">
        <v>4</v>
      </c>
    </row>
  </sheetData>
  <autoFilter ref="B2:R162"/>
  <phoneticPr fontId="2"/>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38"/>
  <sheetViews>
    <sheetView topLeftCell="A111" zoomScale="85" zoomScaleNormal="85" workbookViewId="0">
      <selection activeCell="I123" sqref="I123"/>
    </sheetView>
  </sheetViews>
  <sheetFormatPr defaultRowHeight="18.75"/>
  <cols>
    <col min="4" max="4" width="5.875" customWidth="1"/>
    <col min="5" max="5" width="22.375" customWidth="1"/>
  </cols>
  <sheetData>
    <row r="1" spans="1:18">
      <c r="B1" t="s">
        <v>3474</v>
      </c>
      <c r="C1" t="s">
        <v>3475</v>
      </c>
      <c r="D1" t="s">
        <v>3489</v>
      </c>
      <c r="E1" t="s">
        <v>3477</v>
      </c>
      <c r="F1" t="s">
        <v>3479</v>
      </c>
      <c r="G1" t="s">
        <v>3481</v>
      </c>
      <c r="H1" t="s">
        <v>3482</v>
      </c>
      <c r="I1" t="s">
        <v>3483</v>
      </c>
      <c r="O1" t="s">
        <v>3484</v>
      </c>
      <c r="P1" t="s">
        <v>3486</v>
      </c>
      <c r="Q1" s="1" t="str">
        <f>IF(ISERR(SEARCH("戦場に出",L1,1)),"","[CIP]")</f>
        <v/>
      </c>
      <c r="R1" s="1" t="str">
        <f>IF(ISERR(SEARCH("戦場に出",#REF!,1)),"","[CIP]")</f>
        <v/>
      </c>
    </row>
    <row r="2" spans="1:18">
      <c r="A2" s="12"/>
      <c r="B2" s="13" t="s">
        <v>643</v>
      </c>
      <c r="C2" s="12" t="s">
        <v>191</v>
      </c>
      <c r="D2" s="12"/>
      <c r="E2" s="12" t="s">
        <v>3319</v>
      </c>
      <c r="F2" s="12" t="s">
        <v>3320</v>
      </c>
      <c r="G2" s="12" t="s">
        <v>3286</v>
      </c>
      <c r="H2" s="12" t="s">
        <v>3296</v>
      </c>
      <c r="I2" s="12" t="s">
        <v>222</v>
      </c>
      <c r="J2" s="12"/>
      <c r="K2" s="12"/>
      <c r="L2" s="12"/>
      <c r="M2" s="9"/>
      <c r="N2" s="1" t="s">
        <v>3473</v>
      </c>
      <c r="O2" s="12" t="s">
        <v>615</v>
      </c>
      <c r="P2" s="12" t="s">
        <v>609</v>
      </c>
      <c r="Q2" s="9" t="s">
        <v>7</v>
      </c>
    </row>
    <row r="3" spans="1:18">
      <c r="B3" t="s">
        <v>644</v>
      </c>
      <c r="C3" t="s">
        <v>191</v>
      </c>
      <c r="E3" t="s">
        <v>3319</v>
      </c>
      <c r="F3" t="s">
        <v>3320</v>
      </c>
      <c r="G3" t="s">
        <v>3289</v>
      </c>
      <c r="I3" t="s">
        <v>223</v>
      </c>
      <c r="N3" s="1" t="s">
        <v>3805</v>
      </c>
      <c r="O3" t="s">
        <v>156</v>
      </c>
      <c r="P3" t="s">
        <v>48</v>
      </c>
      <c r="Q3" t="s">
        <v>7</v>
      </c>
    </row>
    <row r="4" spans="1:18">
      <c r="A4" s="9"/>
      <c r="B4" s="9" t="s">
        <v>645</v>
      </c>
      <c r="C4" s="9" t="s">
        <v>191</v>
      </c>
      <c r="D4" s="9"/>
      <c r="E4" s="9" t="s">
        <v>3319</v>
      </c>
      <c r="F4" s="9" t="s">
        <v>3320</v>
      </c>
      <c r="G4" s="9" t="s">
        <v>3290</v>
      </c>
      <c r="H4" s="9"/>
      <c r="I4" s="9" t="s">
        <v>224</v>
      </c>
      <c r="J4" s="9"/>
      <c r="K4" s="9"/>
      <c r="L4" s="9"/>
      <c r="M4" s="9"/>
      <c r="N4" s="1" t="s">
        <v>3805</v>
      </c>
      <c r="O4" s="9" t="s">
        <v>156</v>
      </c>
      <c r="P4" s="9" t="s">
        <v>30</v>
      </c>
      <c r="Q4" s="9" t="s">
        <v>7</v>
      </c>
    </row>
    <row r="5" spans="1:18">
      <c r="B5" t="s">
        <v>646</v>
      </c>
      <c r="C5" t="s">
        <v>191</v>
      </c>
      <c r="E5" t="s">
        <v>3319</v>
      </c>
      <c r="F5" t="s">
        <v>3320</v>
      </c>
      <c r="G5" t="s">
        <v>3286</v>
      </c>
      <c r="I5" t="s">
        <v>225</v>
      </c>
      <c r="N5" s="1" t="s">
        <v>3805</v>
      </c>
      <c r="O5" t="s">
        <v>156</v>
      </c>
      <c r="P5" t="s">
        <v>5</v>
      </c>
      <c r="Q5" t="s">
        <v>7</v>
      </c>
    </row>
    <row r="6" spans="1:18">
      <c r="B6" t="s">
        <v>647</v>
      </c>
      <c r="C6" t="s">
        <v>191</v>
      </c>
      <c r="E6" t="s">
        <v>3319</v>
      </c>
      <c r="F6" t="s">
        <v>3320</v>
      </c>
      <c r="G6" t="s">
        <v>3286</v>
      </c>
      <c r="I6" t="s">
        <v>226</v>
      </c>
      <c r="M6" t="s">
        <v>496</v>
      </c>
      <c r="N6" s="1" t="s">
        <v>3805</v>
      </c>
      <c r="O6" t="s">
        <v>156</v>
      </c>
    </row>
    <row r="7" spans="1:18">
      <c r="B7" t="s">
        <v>648</v>
      </c>
      <c r="C7" t="s">
        <v>191</v>
      </c>
      <c r="E7" t="s">
        <v>3323</v>
      </c>
      <c r="F7" t="s">
        <v>3320</v>
      </c>
      <c r="G7" t="s">
        <v>3292</v>
      </c>
      <c r="I7" t="s">
        <v>1350</v>
      </c>
      <c r="M7" t="s">
        <v>496</v>
      </c>
      <c r="N7" s="1" t="s">
        <v>3805</v>
      </c>
      <c r="O7" t="s">
        <v>171</v>
      </c>
      <c r="P7" t="s">
        <v>180</v>
      </c>
      <c r="Q7" t="s">
        <v>7</v>
      </c>
    </row>
    <row r="8" spans="1:18">
      <c r="B8" t="s">
        <v>649</v>
      </c>
      <c r="C8" t="s">
        <v>191</v>
      </c>
      <c r="E8" t="s">
        <v>3319</v>
      </c>
      <c r="F8" t="s">
        <v>3320</v>
      </c>
      <c r="G8" t="s">
        <v>3291</v>
      </c>
      <c r="I8" t="s">
        <v>227</v>
      </c>
      <c r="N8" s="1" t="s">
        <v>3473</v>
      </c>
      <c r="O8" t="s">
        <v>162</v>
      </c>
      <c r="P8" t="s">
        <v>53</v>
      </c>
      <c r="Q8" t="s">
        <v>7</v>
      </c>
    </row>
    <row r="9" spans="1:18">
      <c r="B9" t="s">
        <v>355</v>
      </c>
      <c r="C9" t="s">
        <v>191</v>
      </c>
      <c r="E9" t="s">
        <v>3319</v>
      </c>
      <c r="F9" t="s">
        <v>3320</v>
      </c>
      <c r="G9" t="s">
        <v>3289</v>
      </c>
      <c r="I9" t="s">
        <v>61</v>
      </c>
      <c r="N9" s="1" t="s">
        <v>3473</v>
      </c>
      <c r="O9" t="s">
        <v>156</v>
      </c>
      <c r="P9" t="s">
        <v>174</v>
      </c>
      <c r="Q9" t="s">
        <v>7</v>
      </c>
    </row>
    <row r="10" spans="1:18">
      <c r="A10" s="9"/>
      <c r="B10" s="9" t="s">
        <v>650</v>
      </c>
      <c r="C10" s="9" t="s">
        <v>191</v>
      </c>
      <c r="D10" s="9"/>
      <c r="E10" s="9" t="s">
        <v>3319</v>
      </c>
      <c r="F10" s="9" t="s">
        <v>3320</v>
      </c>
      <c r="G10" s="9" t="s">
        <v>3289</v>
      </c>
      <c r="H10" s="9"/>
      <c r="I10" s="9" t="s">
        <v>622</v>
      </c>
      <c r="J10" s="9"/>
      <c r="K10" s="9"/>
      <c r="L10" s="9"/>
      <c r="M10" s="9"/>
      <c r="N10" s="1" t="s">
        <v>3473</v>
      </c>
      <c r="O10" s="9" t="s">
        <v>156</v>
      </c>
      <c r="P10" s="9" t="s">
        <v>15</v>
      </c>
      <c r="Q10" s="9" t="s">
        <v>7</v>
      </c>
    </row>
    <row r="11" spans="1:18">
      <c r="B11" t="s">
        <v>651</v>
      </c>
      <c r="C11" t="s">
        <v>191</v>
      </c>
      <c r="E11" t="s">
        <v>3319</v>
      </c>
      <c r="F11" t="s">
        <v>3320</v>
      </c>
      <c r="G11" t="s">
        <v>3286</v>
      </c>
      <c r="N11" s="1" t="s">
        <v>3805</v>
      </c>
      <c r="O11" t="s">
        <v>162</v>
      </c>
      <c r="P11" t="s">
        <v>179</v>
      </c>
      <c r="Q11" t="s">
        <v>7</v>
      </c>
    </row>
    <row r="12" spans="1:18">
      <c r="A12" s="5"/>
      <c r="B12" s="5" t="s">
        <v>652</v>
      </c>
      <c r="C12" s="5" t="s">
        <v>191</v>
      </c>
      <c r="D12" s="5"/>
      <c r="E12" s="5" t="s">
        <v>3319</v>
      </c>
      <c r="F12" s="5" t="s">
        <v>3320</v>
      </c>
      <c r="G12" s="5" t="s">
        <v>3286</v>
      </c>
      <c r="H12" s="5"/>
      <c r="I12" s="5" t="s">
        <v>228</v>
      </c>
      <c r="J12" s="5"/>
      <c r="K12" s="5"/>
      <c r="L12" s="5"/>
      <c r="M12" s="5"/>
      <c r="N12" s="1" t="s">
        <v>3805</v>
      </c>
      <c r="O12" s="5" t="s">
        <v>157</v>
      </c>
      <c r="P12" s="5" t="s">
        <v>14</v>
      </c>
      <c r="Q12" s="5" t="s">
        <v>7</v>
      </c>
    </row>
    <row r="13" spans="1:18">
      <c r="B13" t="s">
        <v>653</v>
      </c>
      <c r="C13" t="s">
        <v>191</v>
      </c>
      <c r="E13" t="s">
        <v>3319</v>
      </c>
      <c r="F13" t="s">
        <v>3320</v>
      </c>
      <c r="I13" t="s">
        <v>229</v>
      </c>
      <c r="M13" t="s">
        <v>153</v>
      </c>
      <c r="N13" s="1" t="s">
        <v>3805</v>
      </c>
      <c r="O13" t="s">
        <v>156</v>
      </c>
    </row>
    <row r="14" spans="1:18">
      <c r="B14" t="s">
        <v>654</v>
      </c>
      <c r="C14" t="s">
        <v>3396</v>
      </c>
      <c r="E14" t="s">
        <v>3391</v>
      </c>
      <c r="F14" t="s">
        <v>3397</v>
      </c>
      <c r="I14" t="s">
        <v>230</v>
      </c>
      <c r="J14" t="s">
        <v>231</v>
      </c>
      <c r="M14" t="s">
        <v>153</v>
      </c>
      <c r="N14" s="1" t="s">
        <v>3805</v>
      </c>
      <c r="O14" t="s">
        <v>164</v>
      </c>
      <c r="P14" t="s">
        <v>46</v>
      </c>
      <c r="Q14" t="s">
        <v>7</v>
      </c>
    </row>
    <row r="15" spans="1:18">
      <c r="B15" t="s">
        <v>655</v>
      </c>
      <c r="C15" t="s">
        <v>191</v>
      </c>
      <c r="E15" t="s">
        <v>3319</v>
      </c>
      <c r="F15" t="s">
        <v>3320</v>
      </c>
      <c r="G15" t="s">
        <v>3289</v>
      </c>
      <c r="I15" t="s">
        <v>232</v>
      </c>
      <c r="N15" s="1" t="s">
        <v>3805</v>
      </c>
      <c r="O15" t="s">
        <v>156</v>
      </c>
      <c r="P15" t="s">
        <v>188</v>
      </c>
      <c r="Q15" t="s">
        <v>7</v>
      </c>
    </row>
    <row r="16" spans="1:18">
      <c r="B16" t="s">
        <v>656</v>
      </c>
      <c r="C16" t="s">
        <v>191</v>
      </c>
      <c r="E16" t="s">
        <v>3319</v>
      </c>
      <c r="F16" t="s">
        <v>3320</v>
      </c>
      <c r="G16" t="s">
        <v>3285</v>
      </c>
      <c r="H16" t="s">
        <v>3296</v>
      </c>
      <c r="N16" s="1" t="s">
        <v>3805</v>
      </c>
      <c r="O16" t="s">
        <v>162</v>
      </c>
      <c r="P16" t="s">
        <v>28</v>
      </c>
      <c r="Q16" t="s">
        <v>7</v>
      </c>
    </row>
    <row r="17" spans="1:17">
      <c r="B17" t="s">
        <v>657</v>
      </c>
      <c r="C17" t="s">
        <v>191</v>
      </c>
      <c r="E17" t="s">
        <v>3319</v>
      </c>
      <c r="F17" t="s">
        <v>3320</v>
      </c>
      <c r="G17" t="s">
        <v>3289</v>
      </c>
      <c r="I17" t="s">
        <v>1310</v>
      </c>
      <c r="J17" t="s">
        <v>233</v>
      </c>
      <c r="K17" t="s">
        <v>234</v>
      </c>
      <c r="N17" s="1" t="s">
        <v>3473</v>
      </c>
      <c r="O17" t="s">
        <v>615</v>
      </c>
      <c r="P17" t="s">
        <v>11</v>
      </c>
      <c r="Q17" t="s">
        <v>7</v>
      </c>
    </row>
    <row r="18" spans="1:17">
      <c r="B18" t="s">
        <v>658</v>
      </c>
      <c r="C18" t="s">
        <v>191</v>
      </c>
      <c r="E18" t="s">
        <v>3319</v>
      </c>
      <c r="F18" t="s">
        <v>3320</v>
      </c>
      <c r="G18" t="s">
        <v>3286</v>
      </c>
      <c r="I18" t="s">
        <v>51</v>
      </c>
      <c r="J18" t="s">
        <v>235</v>
      </c>
      <c r="N18" s="1" t="s">
        <v>3805</v>
      </c>
      <c r="O18" t="s">
        <v>160</v>
      </c>
      <c r="P18" t="s">
        <v>609</v>
      </c>
      <c r="Q18" t="s">
        <v>7</v>
      </c>
    </row>
    <row r="19" spans="1:17">
      <c r="A19" s="9"/>
      <c r="B19" s="9" t="s">
        <v>659</v>
      </c>
      <c r="C19" s="9" t="s">
        <v>191</v>
      </c>
      <c r="D19" s="9"/>
      <c r="E19" s="9" t="s">
        <v>3319</v>
      </c>
      <c r="F19" s="9" t="s">
        <v>3320</v>
      </c>
      <c r="G19" s="9" t="s">
        <v>3291</v>
      </c>
      <c r="H19" s="9"/>
      <c r="I19" s="9" t="s">
        <v>236</v>
      </c>
      <c r="J19" s="9" t="s">
        <v>237</v>
      </c>
      <c r="K19" s="9"/>
      <c r="L19" s="9"/>
      <c r="M19" s="9"/>
      <c r="N19" s="1" t="s">
        <v>3805</v>
      </c>
      <c r="O19" s="9" t="s">
        <v>162</v>
      </c>
      <c r="P19" s="9" t="s">
        <v>32</v>
      </c>
      <c r="Q19" s="9" t="s">
        <v>7</v>
      </c>
    </row>
    <row r="20" spans="1:17">
      <c r="B20" t="s">
        <v>660</v>
      </c>
      <c r="C20" t="s">
        <v>191</v>
      </c>
      <c r="E20" t="s">
        <v>3319</v>
      </c>
      <c r="F20" t="s">
        <v>3320</v>
      </c>
      <c r="G20" t="s">
        <v>3289</v>
      </c>
      <c r="I20" t="s">
        <v>623</v>
      </c>
      <c r="N20" s="1" t="s">
        <v>3805</v>
      </c>
      <c r="O20" t="s">
        <v>156</v>
      </c>
      <c r="P20" t="s">
        <v>174</v>
      </c>
      <c r="Q20" t="s">
        <v>7</v>
      </c>
    </row>
    <row r="21" spans="1:17">
      <c r="B21" t="s">
        <v>661</v>
      </c>
      <c r="C21" t="s">
        <v>192</v>
      </c>
      <c r="E21" t="s">
        <v>3319</v>
      </c>
      <c r="F21" t="s">
        <v>3320</v>
      </c>
      <c r="G21" t="s">
        <v>3287</v>
      </c>
      <c r="I21" t="s">
        <v>238</v>
      </c>
      <c r="N21" s="1" t="s">
        <v>3805</v>
      </c>
      <c r="O21" t="s">
        <v>154</v>
      </c>
      <c r="P21" t="s">
        <v>44</v>
      </c>
      <c r="Q21" t="s">
        <v>7</v>
      </c>
    </row>
    <row r="22" spans="1:17">
      <c r="B22" t="s">
        <v>662</v>
      </c>
      <c r="C22" t="s">
        <v>192</v>
      </c>
      <c r="E22" t="s">
        <v>3319</v>
      </c>
      <c r="F22" t="s">
        <v>3320</v>
      </c>
      <c r="G22" t="s">
        <v>3290</v>
      </c>
      <c r="I22" t="s">
        <v>239</v>
      </c>
      <c r="J22" t="s">
        <v>240</v>
      </c>
      <c r="M22" t="s">
        <v>153</v>
      </c>
      <c r="N22" s="1" t="s">
        <v>3805</v>
      </c>
      <c r="O22" t="s">
        <v>156</v>
      </c>
    </row>
    <row r="23" spans="1:17">
      <c r="B23" t="s">
        <v>663</v>
      </c>
      <c r="E23" t="s">
        <v>3319</v>
      </c>
      <c r="F23" t="s">
        <v>3326</v>
      </c>
      <c r="G23" t="s">
        <v>3300</v>
      </c>
      <c r="I23" t="s">
        <v>241</v>
      </c>
      <c r="M23" t="s">
        <v>153</v>
      </c>
      <c r="N23" s="1" t="s">
        <v>3805</v>
      </c>
      <c r="O23" t="s">
        <v>616</v>
      </c>
      <c r="P23" t="s">
        <v>39</v>
      </c>
      <c r="Q23" t="s">
        <v>7</v>
      </c>
    </row>
    <row r="24" spans="1:17">
      <c r="B24" t="s">
        <v>664</v>
      </c>
      <c r="C24" t="s">
        <v>192</v>
      </c>
      <c r="E24" t="s">
        <v>3319</v>
      </c>
      <c r="F24" t="s">
        <v>3320</v>
      </c>
      <c r="G24" t="s">
        <v>3289</v>
      </c>
      <c r="I24" t="s">
        <v>242</v>
      </c>
      <c r="N24" s="1" t="s">
        <v>3805</v>
      </c>
      <c r="O24" t="s">
        <v>162</v>
      </c>
      <c r="P24" t="s">
        <v>17</v>
      </c>
      <c r="Q24" t="s">
        <v>7</v>
      </c>
    </row>
    <row r="25" spans="1:17">
      <c r="B25" t="s">
        <v>665</v>
      </c>
      <c r="C25" t="s">
        <v>192</v>
      </c>
      <c r="E25" t="s">
        <v>3319</v>
      </c>
      <c r="F25" t="s">
        <v>3320</v>
      </c>
      <c r="G25" t="s">
        <v>3289</v>
      </c>
      <c r="H25" t="s">
        <v>3301</v>
      </c>
      <c r="I25" t="s">
        <v>624</v>
      </c>
      <c r="N25" s="1" t="s">
        <v>3805</v>
      </c>
      <c r="O25" t="s">
        <v>161</v>
      </c>
      <c r="P25" t="s">
        <v>174</v>
      </c>
      <c r="Q25" t="s">
        <v>7</v>
      </c>
    </row>
    <row r="26" spans="1:17">
      <c r="B26" t="s">
        <v>666</v>
      </c>
      <c r="C26" t="s">
        <v>192</v>
      </c>
      <c r="E26" t="s">
        <v>3319</v>
      </c>
      <c r="F26" t="s">
        <v>3320</v>
      </c>
      <c r="G26" t="s">
        <v>3299</v>
      </c>
      <c r="I26" t="s">
        <v>243</v>
      </c>
      <c r="N26" s="1" t="s">
        <v>3805</v>
      </c>
      <c r="O26" t="s">
        <v>162</v>
      </c>
      <c r="P26" t="s">
        <v>50</v>
      </c>
      <c r="Q26" t="s">
        <v>7</v>
      </c>
    </row>
    <row r="27" spans="1:17">
      <c r="B27" t="s">
        <v>667</v>
      </c>
      <c r="C27" t="s">
        <v>192</v>
      </c>
      <c r="E27" t="s">
        <v>3319</v>
      </c>
      <c r="F27" t="s">
        <v>3320</v>
      </c>
      <c r="G27" t="s">
        <v>3286</v>
      </c>
      <c r="I27" t="s">
        <v>244</v>
      </c>
      <c r="J27" t="s">
        <v>638</v>
      </c>
      <c r="N27" s="1" t="s">
        <v>3805</v>
      </c>
      <c r="O27" t="s">
        <v>162</v>
      </c>
      <c r="P27" t="s">
        <v>177</v>
      </c>
      <c r="Q27" t="s">
        <v>7</v>
      </c>
    </row>
    <row r="28" spans="1:17">
      <c r="B28" t="s">
        <v>668</v>
      </c>
      <c r="C28" t="s">
        <v>192</v>
      </c>
      <c r="E28" t="s">
        <v>3321</v>
      </c>
      <c r="F28" t="s">
        <v>3320</v>
      </c>
      <c r="G28" t="s">
        <v>3299</v>
      </c>
      <c r="I28" t="s">
        <v>625</v>
      </c>
      <c r="N28" s="1" t="s">
        <v>3805</v>
      </c>
      <c r="O28" t="s">
        <v>157</v>
      </c>
      <c r="P28" t="s">
        <v>15</v>
      </c>
      <c r="Q28" t="s">
        <v>7</v>
      </c>
    </row>
    <row r="29" spans="1:17">
      <c r="A29" s="5"/>
      <c r="B29" s="5" t="s">
        <v>669</v>
      </c>
      <c r="C29" s="5" t="s">
        <v>192</v>
      </c>
      <c r="D29" s="5"/>
      <c r="E29" s="5" t="s">
        <v>3319</v>
      </c>
      <c r="F29" s="5" t="s">
        <v>3320</v>
      </c>
      <c r="G29" s="5" t="s">
        <v>3291</v>
      </c>
      <c r="H29" s="5"/>
      <c r="I29" s="5" t="s">
        <v>1299</v>
      </c>
      <c r="J29" s="5" t="s">
        <v>245</v>
      </c>
      <c r="K29" s="5"/>
      <c r="L29" s="5"/>
      <c r="M29" s="5"/>
      <c r="N29" s="1" t="s">
        <v>3805</v>
      </c>
      <c r="O29" s="5" t="s">
        <v>154</v>
      </c>
      <c r="P29" s="5" t="s">
        <v>38</v>
      </c>
      <c r="Q29" s="5" t="s">
        <v>7</v>
      </c>
    </row>
    <row r="30" spans="1:17">
      <c r="B30" t="s">
        <v>670</v>
      </c>
      <c r="C30" t="s">
        <v>193</v>
      </c>
      <c r="E30" t="s">
        <v>3319</v>
      </c>
      <c r="F30" t="s">
        <v>3320</v>
      </c>
      <c r="G30" t="s">
        <v>3286</v>
      </c>
      <c r="H30" t="s">
        <v>3296</v>
      </c>
      <c r="I30" t="s">
        <v>25</v>
      </c>
      <c r="J30" t="s">
        <v>246</v>
      </c>
      <c r="N30" s="1" t="s">
        <v>3473</v>
      </c>
      <c r="O30" t="s">
        <v>156</v>
      </c>
      <c r="P30" t="s">
        <v>612</v>
      </c>
      <c r="Q30" t="s">
        <v>7</v>
      </c>
    </row>
    <row r="31" spans="1:17">
      <c r="B31" t="s">
        <v>671</v>
      </c>
      <c r="C31" t="s">
        <v>193</v>
      </c>
      <c r="E31" t="s">
        <v>3319</v>
      </c>
      <c r="F31" t="s">
        <v>3320</v>
      </c>
      <c r="G31" t="s">
        <v>3286</v>
      </c>
      <c r="I31" t="s">
        <v>247</v>
      </c>
      <c r="N31" s="1" t="s">
        <v>3805</v>
      </c>
      <c r="O31" t="s">
        <v>156</v>
      </c>
      <c r="P31" t="s">
        <v>14</v>
      </c>
      <c r="Q31" t="s">
        <v>7</v>
      </c>
    </row>
    <row r="32" spans="1:17">
      <c r="B32" t="s">
        <v>672</v>
      </c>
      <c r="C32" t="s">
        <v>192</v>
      </c>
      <c r="E32" t="s">
        <v>3319</v>
      </c>
      <c r="F32" t="s">
        <v>3320</v>
      </c>
      <c r="G32" t="s">
        <v>3294</v>
      </c>
      <c r="I32" t="s">
        <v>248</v>
      </c>
      <c r="N32" s="1" t="s">
        <v>3805</v>
      </c>
      <c r="O32" t="s">
        <v>163</v>
      </c>
      <c r="P32" t="s">
        <v>53</v>
      </c>
      <c r="Q32" t="s">
        <v>7</v>
      </c>
    </row>
    <row r="33" spans="1:17">
      <c r="B33" t="s">
        <v>673</v>
      </c>
      <c r="C33" t="s">
        <v>192</v>
      </c>
      <c r="E33" t="s">
        <v>3319</v>
      </c>
      <c r="F33" t="s">
        <v>3320</v>
      </c>
      <c r="G33" t="s">
        <v>3287</v>
      </c>
      <c r="I33" t="s">
        <v>249</v>
      </c>
      <c r="N33" s="1" t="s">
        <v>3805</v>
      </c>
      <c r="O33" t="s">
        <v>162</v>
      </c>
      <c r="P33" t="s">
        <v>174</v>
      </c>
      <c r="Q33" t="s">
        <v>7</v>
      </c>
    </row>
    <row r="34" spans="1:17">
      <c r="B34" t="s">
        <v>674</v>
      </c>
      <c r="C34" t="s">
        <v>192</v>
      </c>
      <c r="E34" t="s">
        <v>3319</v>
      </c>
      <c r="F34" t="s">
        <v>3320</v>
      </c>
      <c r="G34" t="s">
        <v>3302</v>
      </c>
      <c r="I34" t="s">
        <v>250</v>
      </c>
      <c r="J34" t="s">
        <v>251</v>
      </c>
      <c r="K34" t="s">
        <v>252</v>
      </c>
      <c r="N34" s="1" t="s">
        <v>3805</v>
      </c>
      <c r="O34" t="s">
        <v>158</v>
      </c>
      <c r="P34" t="s">
        <v>33</v>
      </c>
      <c r="Q34" t="s">
        <v>7</v>
      </c>
    </row>
    <row r="35" spans="1:17">
      <c r="B35" t="s">
        <v>675</v>
      </c>
      <c r="C35" t="s">
        <v>193</v>
      </c>
      <c r="E35" t="s">
        <v>3319</v>
      </c>
      <c r="F35" t="s">
        <v>3320</v>
      </c>
      <c r="G35" t="s">
        <v>3286</v>
      </c>
      <c r="I35" t="s">
        <v>253</v>
      </c>
      <c r="N35" s="1" t="s">
        <v>3805</v>
      </c>
      <c r="O35" t="s">
        <v>154</v>
      </c>
      <c r="P35" t="s">
        <v>50</v>
      </c>
      <c r="Q35" t="s">
        <v>7</v>
      </c>
    </row>
    <row r="36" spans="1:17">
      <c r="B36" t="s">
        <v>676</v>
      </c>
      <c r="C36" t="s">
        <v>192</v>
      </c>
      <c r="E36" t="s">
        <v>3319</v>
      </c>
      <c r="F36" t="s">
        <v>3320</v>
      </c>
      <c r="G36" t="s">
        <v>3289</v>
      </c>
      <c r="I36" t="s">
        <v>1325</v>
      </c>
      <c r="J36" t="s">
        <v>255</v>
      </c>
      <c r="N36" s="1" t="s">
        <v>3805</v>
      </c>
      <c r="O36" t="s">
        <v>162</v>
      </c>
      <c r="P36" t="s">
        <v>52</v>
      </c>
      <c r="Q36" t="s">
        <v>7</v>
      </c>
    </row>
    <row r="37" spans="1:17">
      <c r="B37" t="s">
        <v>677</v>
      </c>
      <c r="C37" t="s">
        <v>193</v>
      </c>
      <c r="E37" t="s">
        <v>3319</v>
      </c>
      <c r="F37" t="s">
        <v>3320</v>
      </c>
      <c r="G37" t="s">
        <v>3286</v>
      </c>
      <c r="I37" t="s">
        <v>0</v>
      </c>
      <c r="J37" t="s">
        <v>1307</v>
      </c>
      <c r="K37" t="s">
        <v>256</v>
      </c>
      <c r="N37" s="1" t="s">
        <v>3805</v>
      </c>
      <c r="O37" t="s">
        <v>162</v>
      </c>
      <c r="P37" t="s">
        <v>48</v>
      </c>
      <c r="Q37" t="s">
        <v>7</v>
      </c>
    </row>
    <row r="38" spans="1:17">
      <c r="B38" t="s">
        <v>678</v>
      </c>
      <c r="C38" t="s">
        <v>193</v>
      </c>
      <c r="E38" t="s">
        <v>3319</v>
      </c>
      <c r="F38" t="s">
        <v>3320</v>
      </c>
      <c r="G38" t="s">
        <v>3290</v>
      </c>
      <c r="I38" t="s">
        <v>1301</v>
      </c>
      <c r="J38" t="s">
        <v>1326</v>
      </c>
      <c r="N38" s="1" t="s">
        <v>3805</v>
      </c>
      <c r="O38" t="s">
        <v>154</v>
      </c>
      <c r="P38" t="s">
        <v>183</v>
      </c>
      <c r="Q38" t="s">
        <v>7</v>
      </c>
    </row>
    <row r="39" spans="1:17">
      <c r="B39" t="s">
        <v>679</v>
      </c>
      <c r="C39" t="s">
        <v>192</v>
      </c>
      <c r="E39" t="s">
        <v>3319</v>
      </c>
      <c r="F39" t="s">
        <v>3320</v>
      </c>
      <c r="G39" t="s">
        <v>3287</v>
      </c>
      <c r="I39" t="s">
        <v>1327</v>
      </c>
      <c r="N39" s="1" t="s">
        <v>3805</v>
      </c>
      <c r="O39" t="s">
        <v>162</v>
      </c>
      <c r="P39" t="s">
        <v>179</v>
      </c>
      <c r="Q39" t="s">
        <v>7</v>
      </c>
    </row>
    <row r="40" spans="1:17">
      <c r="B40" t="s">
        <v>680</v>
      </c>
      <c r="C40" t="s">
        <v>192</v>
      </c>
      <c r="E40" t="s">
        <v>3319</v>
      </c>
      <c r="F40" t="s">
        <v>3320</v>
      </c>
      <c r="G40" t="s">
        <v>3292</v>
      </c>
      <c r="I40" t="s">
        <v>1293</v>
      </c>
      <c r="J40" t="s">
        <v>257</v>
      </c>
      <c r="N40" s="1" t="s">
        <v>3805</v>
      </c>
      <c r="O40" t="s">
        <v>157</v>
      </c>
      <c r="P40" t="s">
        <v>180</v>
      </c>
      <c r="Q40" t="s">
        <v>7</v>
      </c>
    </row>
    <row r="41" spans="1:17">
      <c r="B41" t="s">
        <v>681</v>
      </c>
      <c r="C41" t="s">
        <v>193</v>
      </c>
      <c r="E41" t="s">
        <v>3319</v>
      </c>
      <c r="F41" t="s">
        <v>3320</v>
      </c>
      <c r="G41" t="s">
        <v>3290</v>
      </c>
      <c r="I41" t="s">
        <v>22</v>
      </c>
      <c r="J41" t="s">
        <v>635</v>
      </c>
      <c r="K41" t="s">
        <v>637</v>
      </c>
      <c r="N41" s="1" t="s">
        <v>3805</v>
      </c>
      <c r="O41" t="s">
        <v>162</v>
      </c>
      <c r="P41" t="s">
        <v>49</v>
      </c>
      <c r="Q41" t="s">
        <v>7</v>
      </c>
    </row>
    <row r="42" spans="1:17">
      <c r="A42" s="5"/>
      <c r="B42" s="5" t="s">
        <v>682</v>
      </c>
      <c r="C42" s="5" t="s">
        <v>192</v>
      </c>
      <c r="D42" s="5"/>
      <c r="E42" s="5" t="s">
        <v>3319</v>
      </c>
      <c r="F42" s="5" t="s">
        <v>3320</v>
      </c>
      <c r="G42" s="5" t="s">
        <v>3289</v>
      </c>
      <c r="H42" s="5"/>
      <c r="I42" s="5" t="s">
        <v>258</v>
      </c>
      <c r="J42" s="5"/>
      <c r="K42" s="5"/>
      <c r="L42" s="5"/>
      <c r="M42" s="5"/>
      <c r="N42" s="23" t="s">
        <v>3473</v>
      </c>
      <c r="O42" s="5" t="s">
        <v>154</v>
      </c>
      <c r="P42" s="5" t="s">
        <v>186</v>
      </c>
      <c r="Q42" s="5" t="s">
        <v>7</v>
      </c>
    </row>
    <row r="43" spans="1:17">
      <c r="B43" t="s">
        <v>683</v>
      </c>
      <c r="C43" t="s">
        <v>192</v>
      </c>
      <c r="E43" t="s">
        <v>3322</v>
      </c>
      <c r="F43" t="s">
        <v>3320</v>
      </c>
      <c r="G43" t="s">
        <v>3291</v>
      </c>
      <c r="I43" t="s">
        <v>1328</v>
      </c>
      <c r="J43" t="s">
        <v>259</v>
      </c>
      <c r="K43" t="s">
        <v>260</v>
      </c>
      <c r="N43" s="1" t="s">
        <v>3805</v>
      </c>
      <c r="O43" t="s">
        <v>165</v>
      </c>
      <c r="P43" t="s">
        <v>27</v>
      </c>
      <c r="Q43" t="s">
        <v>7</v>
      </c>
    </row>
    <row r="44" spans="1:17">
      <c r="B44" t="s">
        <v>684</v>
      </c>
      <c r="C44" t="s">
        <v>192</v>
      </c>
      <c r="E44" t="s">
        <v>3319</v>
      </c>
      <c r="F44" t="s">
        <v>3320</v>
      </c>
      <c r="G44" t="s">
        <v>3291</v>
      </c>
      <c r="I44" t="s">
        <v>261</v>
      </c>
      <c r="J44" t="s">
        <v>1351</v>
      </c>
      <c r="N44" s="1" t="s">
        <v>3805</v>
      </c>
      <c r="O44" t="s">
        <v>154</v>
      </c>
      <c r="P44" t="s">
        <v>17</v>
      </c>
      <c r="Q44" t="s">
        <v>7</v>
      </c>
    </row>
    <row r="45" spans="1:17">
      <c r="B45" t="s">
        <v>685</v>
      </c>
      <c r="C45" t="s">
        <v>192</v>
      </c>
      <c r="E45" t="s">
        <v>3319</v>
      </c>
      <c r="F45" t="s">
        <v>3320</v>
      </c>
      <c r="G45" t="s">
        <v>3286</v>
      </c>
      <c r="I45" t="s">
        <v>1329</v>
      </c>
      <c r="N45" s="1" t="s">
        <v>3805</v>
      </c>
      <c r="O45" t="s">
        <v>156</v>
      </c>
      <c r="P45" t="s">
        <v>6</v>
      </c>
      <c r="Q45" t="s">
        <v>7</v>
      </c>
    </row>
    <row r="46" spans="1:17">
      <c r="B46" t="s">
        <v>686</v>
      </c>
      <c r="C46" t="s">
        <v>192</v>
      </c>
      <c r="E46" t="s">
        <v>3319</v>
      </c>
      <c r="F46" t="s">
        <v>3320</v>
      </c>
      <c r="G46" t="s">
        <v>3289</v>
      </c>
      <c r="H46" t="s">
        <v>3296</v>
      </c>
      <c r="I46" t="s">
        <v>626</v>
      </c>
      <c r="N46" s="1" t="s">
        <v>3805</v>
      </c>
      <c r="O46" t="s">
        <v>154</v>
      </c>
      <c r="P46" t="s">
        <v>28</v>
      </c>
      <c r="Q46" t="s">
        <v>7</v>
      </c>
    </row>
    <row r="47" spans="1:17">
      <c r="B47" t="s">
        <v>687</v>
      </c>
      <c r="C47" t="s">
        <v>192</v>
      </c>
      <c r="E47" t="s">
        <v>3319</v>
      </c>
      <c r="F47" t="s">
        <v>3320</v>
      </c>
      <c r="G47" t="s">
        <v>3286</v>
      </c>
      <c r="I47" t="s">
        <v>263</v>
      </c>
      <c r="N47" s="1" t="s">
        <v>3805</v>
      </c>
      <c r="O47" t="s">
        <v>156</v>
      </c>
      <c r="P47" t="s">
        <v>173</v>
      </c>
      <c r="Q47" t="s">
        <v>7</v>
      </c>
    </row>
    <row r="48" spans="1:17">
      <c r="B48" t="s">
        <v>688</v>
      </c>
      <c r="C48" t="s">
        <v>192</v>
      </c>
      <c r="E48" t="s">
        <v>3319</v>
      </c>
      <c r="F48" t="s">
        <v>3320</v>
      </c>
      <c r="G48" t="s">
        <v>3286</v>
      </c>
      <c r="I48" t="s">
        <v>627</v>
      </c>
      <c r="N48" s="1" t="s">
        <v>3805</v>
      </c>
      <c r="O48" t="s">
        <v>156</v>
      </c>
      <c r="P48" t="s">
        <v>40</v>
      </c>
      <c r="Q48" t="s">
        <v>7</v>
      </c>
    </row>
    <row r="49" spans="2:17">
      <c r="B49" t="s">
        <v>689</v>
      </c>
      <c r="C49" t="s">
        <v>192</v>
      </c>
      <c r="E49" t="s">
        <v>3319</v>
      </c>
      <c r="F49" t="s">
        <v>3320</v>
      </c>
      <c r="G49" t="s">
        <v>3288</v>
      </c>
      <c r="I49" t="s">
        <v>628</v>
      </c>
      <c r="N49" s="1" t="s">
        <v>3805</v>
      </c>
      <c r="O49" t="s">
        <v>157</v>
      </c>
      <c r="P49" t="s">
        <v>187</v>
      </c>
      <c r="Q49" t="s">
        <v>7</v>
      </c>
    </row>
    <row r="50" spans="2:17">
      <c r="B50" t="s">
        <v>690</v>
      </c>
      <c r="C50" t="s">
        <v>192</v>
      </c>
      <c r="E50" t="s">
        <v>3319</v>
      </c>
      <c r="F50" t="s">
        <v>3320</v>
      </c>
      <c r="G50" t="s">
        <v>3292</v>
      </c>
      <c r="I50" t="s">
        <v>1330</v>
      </c>
      <c r="N50" s="1" t="s">
        <v>3805</v>
      </c>
      <c r="O50" t="s">
        <v>158</v>
      </c>
      <c r="P50" t="s">
        <v>184</v>
      </c>
      <c r="Q50" t="s">
        <v>7</v>
      </c>
    </row>
    <row r="51" spans="2:17">
      <c r="B51" t="s">
        <v>691</v>
      </c>
      <c r="C51" t="s">
        <v>193</v>
      </c>
      <c r="E51" t="s">
        <v>3319</v>
      </c>
      <c r="F51" t="s">
        <v>3320</v>
      </c>
      <c r="G51" t="s">
        <v>3290</v>
      </c>
      <c r="I51" t="s">
        <v>0</v>
      </c>
      <c r="J51" t="s">
        <v>1297</v>
      </c>
      <c r="N51" s="1" t="s">
        <v>3805</v>
      </c>
      <c r="O51" t="s">
        <v>154</v>
      </c>
      <c r="P51" t="s">
        <v>15</v>
      </c>
      <c r="Q51" t="s">
        <v>7</v>
      </c>
    </row>
    <row r="52" spans="2:17">
      <c r="B52" t="s">
        <v>692</v>
      </c>
      <c r="C52" t="s">
        <v>193</v>
      </c>
      <c r="E52" t="s">
        <v>3319</v>
      </c>
      <c r="F52" t="s">
        <v>3320</v>
      </c>
      <c r="G52" t="s">
        <v>3288</v>
      </c>
      <c r="H52" t="s">
        <v>3290</v>
      </c>
      <c r="I52" t="s">
        <v>1296</v>
      </c>
      <c r="J52" t="s">
        <v>264</v>
      </c>
      <c r="K52" t="s">
        <v>265</v>
      </c>
      <c r="N52" s="1" t="s">
        <v>3805</v>
      </c>
      <c r="O52" t="s">
        <v>154</v>
      </c>
      <c r="P52" t="s">
        <v>31</v>
      </c>
      <c r="Q52" t="s">
        <v>7</v>
      </c>
    </row>
    <row r="53" spans="2:17">
      <c r="B53" t="s">
        <v>693</v>
      </c>
      <c r="C53" t="s">
        <v>192</v>
      </c>
      <c r="E53" t="s">
        <v>3319</v>
      </c>
      <c r="F53" t="s">
        <v>3320</v>
      </c>
      <c r="G53" t="s">
        <v>3291</v>
      </c>
      <c r="I53" t="s">
        <v>1331</v>
      </c>
      <c r="N53" s="1" t="s">
        <v>3805</v>
      </c>
      <c r="O53" t="s">
        <v>154</v>
      </c>
      <c r="P53" t="s">
        <v>29</v>
      </c>
      <c r="Q53" t="s">
        <v>7</v>
      </c>
    </row>
    <row r="54" spans="2:17">
      <c r="B54" t="s">
        <v>694</v>
      </c>
      <c r="C54" t="s">
        <v>193</v>
      </c>
      <c r="E54" t="s">
        <v>3319</v>
      </c>
      <c r="F54" t="s">
        <v>3320</v>
      </c>
      <c r="G54" t="s">
        <v>3292</v>
      </c>
      <c r="I54" t="s">
        <v>22</v>
      </c>
      <c r="J54" t="s">
        <v>1293</v>
      </c>
      <c r="N54" s="1" t="s">
        <v>3805</v>
      </c>
      <c r="O54" t="s">
        <v>154</v>
      </c>
      <c r="P54" t="s">
        <v>184</v>
      </c>
      <c r="Q54" t="s">
        <v>7</v>
      </c>
    </row>
    <row r="55" spans="2:17">
      <c r="B55" t="s">
        <v>695</v>
      </c>
      <c r="C55" t="s">
        <v>192</v>
      </c>
      <c r="E55" t="s">
        <v>3319</v>
      </c>
      <c r="F55" t="s">
        <v>3320</v>
      </c>
      <c r="G55" t="s">
        <v>3290</v>
      </c>
      <c r="I55" t="s">
        <v>1332</v>
      </c>
      <c r="N55" s="1" t="s">
        <v>3805</v>
      </c>
      <c r="O55" t="s">
        <v>163</v>
      </c>
      <c r="P55" t="s">
        <v>181</v>
      </c>
      <c r="Q55" t="s">
        <v>7</v>
      </c>
    </row>
    <row r="56" spans="2:17">
      <c r="B56" t="s">
        <v>696</v>
      </c>
      <c r="C56" t="s">
        <v>192</v>
      </c>
      <c r="E56" t="s">
        <v>3319</v>
      </c>
      <c r="F56" t="s">
        <v>3320</v>
      </c>
      <c r="G56" t="s">
        <v>3290</v>
      </c>
      <c r="I56" t="s">
        <v>1326</v>
      </c>
      <c r="J56" t="s">
        <v>1297</v>
      </c>
      <c r="N56" s="1" t="s">
        <v>3805</v>
      </c>
      <c r="O56" t="s">
        <v>162</v>
      </c>
      <c r="P56" t="s">
        <v>186</v>
      </c>
      <c r="Q56" t="s">
        <v>7</v>
      </c>
    </row>
    <row r="57" spans="2:17">
      <c r="B57" t="s">
        <v>697</v>
      </c>
      <c r="C57" t="s">
        <v>192</v>
      </c>
      <c r="E57" t="s">
        <v>3319</v>
      </c>
      <c r="F57" t="s">
        <v>3320</v>
      </c>
      <c r="I57" t="s">
        <v>267</v>
      </c>
      <c r="M57" t="s">
        <v>153</v>
      </c>
      <c r="N57" s="1" t="s">
        <v>3805</v>
      </c>
      <c r="O57" t="s">
        <v>156</v>
      </c>
    </row>
    <row r="58" spans="2:17">
      <c r="B58" t="s">
        <v>698</v>
      </c>
      <c r="C58" t="s">
        <v>3388</v>
      </c>
      <c r="E58" t="s">
        <v>3389</v>
      </c>
      <c r="F58" t="s">
        <v>3300</v>
      </c>
      <c r="I58" t="s">
        <v>268</v>
      </c>
      <c r="M58" t="s">
        <v>153</v>
      </c>
      <c r="N58" s="1" t="s">
        <v>3805</v>
      </c>
      <c r="O58" t="s">
        <v>170</v>
      </c>
      <c r="P58" t="s">
        <v>45</v>
      </c>
      <c r="Q58" t="s">
        <v>7</v>
      </c>
    </row>
    <row r="59" spans="2:17">
      <c r="B59" t="s">
        <v>699</v>
      </c>
      <c r="C59" t="s">
        <v>209</v>
      </c>
      <c r="E59" t="s">
        <v>3319</v>
      </c>
      <c r="F59" t="s">
        <v>3320</v>
      </c>
      <c r="G59" t="s">
        <v>3286</v>
      </c>
      <c r="I59" t="s">
        <v>269</v>
      </c>
      <c r="N59" s="1" t="s">
        <v>3805</v>
      </c>
      <c r="O59" t="s">
        <v>154</v>
      </c>
      <c r="P59" t="s">
        <v>187</v>
      </c>
      <c r="Q59" t="s">
        <v>7</v>
      </c>
    </row>
    <row r="60" spans="2:17">
      <c r="B60" t="s">
        <v>700</v>
      </c>
      <c r="C60" t="s">
        <v>213</v>
      </c>
      <c r="E60" t="s">
        <v>3322</v>
      </c>
      <c r="F60" t="s">
        <v>3320</v>
      </c>
      <c r="G60" t="s">
        <v>3286</v>
      </c>
      <c r="I60" t="s">
        <v>270</v>
      </c>
      <c r="J60" t="s">
        <v>271</v>
      </c>
      <c r="N60" s="1" t="s">
        <v>3805</v>
      </c>
      <c r="O60" t="s">
        <v>154</v>
      </c>
      <c r="P60" t="s">
        <v>40</v>
      </c>
      <c r="Q60" t="s">
        <v>7</v>
      </c>
    </row>
    <row r="61" spans="2:17">
      <c r="B61" t="s">
        <v>701</v>
      </c>
      <c r="C61" t="s">
        <v>209</v>
      </c>
      <c r="E61" t="s">
        <v>3319</v>
      </c>
      <c r="F61" t="s">
        <v>3320</v>
      </c>
      <c r="G61" t="s">
        <v>3286</v>
      </c>
      <c r="I61" t="s">
        <v>0</v>
      </c>
      <c r="J61" t="s">
        <v>1333</v>
      </c>
      <c r="N61" s="1" t="s">
        <v>3805</v>
      </c>
      <c r="O61" t="s">
        <v>156</v>
      </c>
      <c r="P61" t="s">
        <v>32</v>
      </c>
      <c r="Q61" t="s">
        <v>7</v>
      </c>
    </row>
    <row r="62" spans="2:17">
      <c r="B62" t="s">
        <v>702</v>
      </c>
      <c r="C62" t="s">
        <v>209</v>
      </c>
      <c r="E62" t="s">
        <v>3319</v>
      </c>
      <c r="F62" t="s">
        <v>3320</v>
      </c>
      <c r="G62" t="s">
        <v>3286</v>
      </c>
      <c r="I62" t="s">
        <v>272</v>
      </c>
      <c r="N62" s="1" t="s">
        <v>3805</v>
      </c>
      <c r="O62" t="s">
        <v>617</v>
      </c>
      <c r="P62" t="s">
        <v>186</v>
      </c>
      <c r="Q62" t="s">
        <v>7</v>
      </c>
    </row>
    <row r="63" spans="2:17">
      <c r="B63" t="s">
        <v>703</v>
      </c>
      <c r="C63" t="s">
        <v>209</v>
      </c>
      <c r="E63" t="s">
        <v>3319</v>
      </c>
      <c r="F63" t="s">
        <v>3320</v>
      </c>
      <c r="G63" t="s">
        <v>3289</v>
      </c>
      <c r="I63" t="s">
        <v>629</v>
      </c>
      <c r="N63" s="1" t="s">
        <v>3805</v>
      </c>
      <c r="O63" t="s">
        <v>154</v>
      </c>
      <c r="P63" t="s">
        <v>176</v>
      </c>
      <c r="Q63" t="s">
        <v>7</v>
      </c>
    </row>
    <row r="64" spans="2:17">
      <c r="B64" t="s">
        <v>704</v>
      </c>
      <c r="C64" t="s">
        <v>209</v>
      </c>
      <c r="E64" t="s">
        <v>3319</v>
      </c>
      <c r="F64" t="s">
        <v>3320</v>
      </c>
      <c r="G64" t="s">
        <v>3286</v>
      </c>
      <c r="I64" t="s">
        <v>273</v>
      </c>
      <c r="N64" s="1" t="s">
        <v>3805</v>
      </c>
      <c r="O64" t="s">
        <v>166</v>
      </c>
      <c r="P64" t="s">
        <v>44</v>
      </c>
      <c r="Q64" t="s">
        <v>7</v>
      </c>
    </row>
    <row r="65" spans="1:17">
      <c r="A65" s="5"/>
      <c r="B65" s="5" t="s">
        <v>705</v>
      </c>
      <c r="C65" s="5" t="s">
        <v>209</v>
      </c>
      <c r="D65" s="5"/>
      <c r="E65" s="5" t="s">
        <v>3319</v>
      </c>
      <c r="F65" s="5" t="s">
        <v>3320</v>
      </c>
      <c r="G65" s="5" t="s">
        <v>3289</v>
      </c>
      <c r="H65" s="5"/>
      <c r="I65" s="5" t="s">
        <v>274</v>
      </c>
      <c r="J65" s="5" t="s">
        <v>275</v>
      </c>
      <c r="K65" s="5"/>
      <c r="L65" s="5"/>
      <c r="M65" s="5" t="s">
        <v>153</v>
      </c>
      <c r="N65" s="1" t="s">
        <v>3473</v>
      </c>
      <c r="O65" s="5" t="s">
        <v>159</v>
      </c>
      <c r="P65" s="5"/>
      <c r="Q65" s="5"/>
    </row>
    <row r="66" spans="1:17">
      <c r="A66" s="5"/>
      <c r="B66" s="5" t="s">
        <v>706</v>
      </c>
      <c r="C66" s="5"/>
      <c r="D66" s="5"/>
      <c r="E66" s="5" t="s">
        <v>3319</v>
      </c>
      <c r="F66" s="5" t="s">
        <v>3326</v>
      </c>
      <c r="G66" s="5" t="s">
        <v>3300</v>
      </c>
      <c r="H66" s="5"/>
      <c r="I66" s="5" t="s">
        <v>276</v>
      </c>
      <c r="J66" s="5" t="s">
        <v>277</v>
      </c>
      <c r="K66" s="5"/>
      <c r="L66" s="5"/>
      <c r="M66" s="5" t="s">
        <v>153</v>
      </c>
      <c r="N66" s="1" t="s">
        <v>3805</v>
      </c>
      <c r="O66" s="5" t="s">
        <v>172</v>
      </c>
      <c r="P66" s="5" t="s">
        <v>39</v>
      </c>
      <c r="Q66" s="5" t="s">
        <v>7</v>
      </c>
    </row>
    <row r="67" spans="1:17">
      <c r="B67" t="s">
        <v>707</v>
      </c>
      <c r="C67" t="s">
        <v>213</v>
      </c>
      <c r="E67" t="s">
        <v>3319</v>
      </c>
      <c r="F67" t="s">
        <v>3320</v>
      </c>
      <c r="G67" t="s">
        <v>3286</v>
      </c>
      <c r="I67" t="s">
        <v>278</v>
      </c>
      <c r="N67" s="1" t="s">
        <v>3805</v>
      </c>
      <c r="O67" t="s">
        <v>164</v>
      </c>
      <c r="P67" t="s">
        <v>184</v>
      </c>
      <c r="Q67" t="s">
        <v>7</v>
      </c>
    </row>
    <row r="68" spans="1:17">
      <c r="B68" t="s">
        <v>708</v>
      </c>
      <c r="C68" t="s">
        <v>209</v>
      </c>
      <c r="E68" t="s">
        <v>3319</v>
      </c>
      <c r="F68" t="s">
        <v>3320</v>
      </c>
      <c r="G68" t="s">
        <v>3289</v>
      </c>
      <c r="I68" t="s">
        <v>3</v>
      </c>
      <c r="J68" t="s">
        <v>279</v>
      </c>
      <c r="N68" s="1" t="s">
        <v>3473</v>
      </c>
      <c r="O68" t="s">
        <v>154</v>
      </c>
      <c r="P68" t="s">
        <v>17</v>
      </c>
      <c r="Q68" t="s">
        <v>7</v>
      </c>
    </row>
    <row r="69" spans="1:17">
      <c r="B69" t="s">
        <v>709</v>
      </c>
      <c r="C69" t="s">
        <v>209</v>
      </c>
      <c r="E69" t="s">
        <v>3319</v>
      </c>
      <c r="F69" t="s">
        <v>3320</v>
      </c>
      <c r="G69" t="s">
        <v>3289</v>
      </c>
      <c r="I69" t="s">
        <v>0</v>
      </c>
      <c r="J69" t="s">
        <v>1334</v>
      </c>
      <c r="N69" s="1" t="s">
        <v>3473</v>
      </c>
      <c r="O69" t="s">
        <v>162</v>
      </c>
      <c r="P69" t="s">
        <v>30</v>
      </c>
      <c r="Q69" t="s">
        <v>7</v>
      </c>
    </row>
    <row r="70" spans="1:17">
      <c r="B70" t="s">
        <v>710</v>
      </c>
      <c r="C70" t="s">
        <v>209</v>
      </c>
      <c r="E70" t="s">
        <v>3319</v>
      </c>
      <c r="F70" t="s">
        <v>3320</v>
      </c>
      <c r="G70" t="s">
        <v>3287</v>
      </c>
      <c r="I70" t="s">
        <v>641</v>
      </c>
      <c r="J70" t="s">
        <v>639</v>
      </c>
      <c r="N70" s="1" t="s">
        <v>3805</v>
      </c>
      <c r="O70" t="s">
        <v>154</v>
      </c>
      <c r="P70" t="s">
        <v>15</v>
      </c>
      <c r="Q70" t="s">
        <v>7</v>
      </c>
    </row>
    <row r="71" spans="1:17">
      <c r="B71" t="s">
        <v>711</v>
      </c>
      <c r="C71" t="s">
        <v>209</v>
      </c>
      <c r="E71" t="s">
        <v>3319</v>
      </c>
      <c r="F71" t="s">
        <v>3320</v>
      </c>
      <c r="G71" t="s">
        <v>3289</v>
      </c>
      <c r="I71" t="s">
        <v>630</v>
      </c>
      <c r="N71" s="1" t="s">
        <v>3805</v>
      </c>
      <c r="O71" t="s">
        <v>154</v>
      </c>
      <c r="P71" t="s">
        <v>178</v>
      </c>
      <c r="Q71" t="s">
        <v>7</v>
      </c>
    </row>
    <row r="72" spans="1:17">
      <c r="B72" t="s">
        <v>712</v>
      </c>
      <c r="C72" t="s">
        <v>209</v>
      </c>
      <c r="E72" t="s">
        <v>3319</v>
      </c>
      <c r="F72" t="s">
        <v>3320</v>
      </c>
      <c r="I72" t="s">
        <v>280</v>
      </c>
      <c r="N72" s="1" t="s">
        <v>3473</v>
      </c>
      <c r="O72" t="s">
        <v>154</v>
      </c>
      <c r="P72" t="s">
        <v>174</v>
      </c>
      <c r="Q72" t="s">
        <v>7</v>
      </c>
    </row>
    <row r="73" spans="1:17">
      <c r="B73" t="s">
        <v>713</v>
      </c>
      <c r="C73" t="s">
        <v>209</v>
      </c>
      <c r="E73" t="s">
        <v>3319</v>
      </c>
      <c r="F73" t="s">
        <v>3320</v>
      </c>
      <c r="G73" t="s">
        <v>3286</v>
      </c>
      <c r="I73" t="s">
        <v>1335</v>
      </c>
      <c r="J73" t="s">
        <v>281</v>
      </c>
      <c r="N73" s="1" t="s">
        <v>3805</v>
      </c>
      <c r="O73" t="s">
        <v>164</v>
      </c>
      <c r="P73" t="s">
        <v>38</v>
      </c>
      <c r="Q73" t="s">
        <v>7</v>
      </c>
    </row>
    <row r="74" spans="1:17">
      <c r="B74" t="s">
        <v>714</v>
      </c>
      <c r="C74" t="s">
        <v>213</v>
      </c>
      <c r="E74" t="s">
        <v>3319</v>
      </c>
      <c r="F74" t="s">
        <v>3320</v>
      </c>
      <c r="G74" t="s">
        <v>3288</v>
      </c>
      <c r="H74" t="s">
        <v>3290</v>
      </c>
      <c r="I74" t="s">
        <v>1336</v>
      </c>
      <c r="J74" t="s">
        <v>1337</v>
      </c>
      <c r="K74" t="s">
        <v>282</v>
      </c>
      <c r="N74" s="1" t="s">
        <v>3805</v>
      </c>
      <c r="O74" t="s">
        <v>154</v>
      </c>
      <c r="P74" t="s">
        <v>33</v>
      </c>
      <c r="Q74" t="s">
        <v>7</v>
      </c>
    </row>
    <row r="75" spans="1:17">
      <c r="B75" t="s">
        <v>715</v>
      </c>
      <c r="C75" t="s">
        <v>209</v>
      </c>
      <c r="E75" t="s">
        <v>3319</v>
      </c>
      <c r="F75" t="s">
        <v>3320</v>
      </c>
      <c r="G75" t="s">
        <v>3294</v>
      </c>
      <c r="I75" t="s">
        <v>283</v>
      </c>
      <c r="N75" s="1" t="s">
        <v>3805</v>
      </c>
      <c r="O75" t="s">
        <v>164</v>
      </c>
      <c r="P75" t="s">
        <v>32</v>
      </c>
      <c r="Q75" t="s">
        <v>7</v>
      </c>
    </row>
    <row r="76" spans="1:17">
      <c r="B76" t="s">
        <v>716</v>
      </c>
      <c r="C76" t="s">
        <v>209</v>
      </c>
      <c r="E76" t="s">
        <v>3319</v>
      </c>
      <c r="F76" t="s">
        <v>3320</v>
      </c>
      <c r="G76" t="s">
        <v>3291</v>
      </c>
      <c r="I76" t="s">
        <v>1338</v>
      </c>
      <c r="N76" s="1" t="s">
        <v>3805</v>
      </c>
      <c r="O76" t="s">
        <v>165</v>
      </c>
      <c r="P76" t="s">
        <v>17</v>
      </c>
      <c r="Q76" t="s">
        <v>7</v>
      </c>
    </row>
    <row r="77" spans="1:17">
      <c r="B77" t="s">
        <v>717</v>
      </c>
      <c r="C77" t="s">
        <v>209</v>
      </c>
      <c r="E77" t="s">
        <v>3319</v>
      </c>
      <c r="F77" t="s">
        <v>3320</v>
      </c>
      <c r="G77" t="s">
        <v>3287</v>
      </c>
      <c r="I77" t="s">
        <v>284</v>
      </c>
      <c r="J77" t="s">
        <v>1339</v>
      </c>
      <c r="N77" s="1" t="s">
        <v>3473</v>
      </c>
      <c r="O77" t="s">
        <v>164</v>
      </c>
      <c r="P77" t="s">
        <v>29</v>
      </c>
      <c r="Q77" t="s">
        <v>7</v>
      </c>
    </row>
    <row r="78" spans="1:17">
      <c r="B78" t="s">
        <v>718</v>
      </c>
      <c r="C78" t="s">
        <v>209</v>
      </c>
      <c r="E78" t="s">
        <v>3319</v>
      </c>
      <c r="F78" t="s">
        <v>3320</v>
      </c>
      <c r="G78" t="s">
        <v>3287</v>
      </c>
      <c r="I78" t="s">
        <v>1294</v>
      </c>
      <c r="J78" t="s">
        <v>285</v>
      </c>
      <c r="N78" s="1" t="s">
        <v>3805</v>
      </c>
      <c r="O78" t="s">
        <v>154</v>
      </c>
      <c r="P78" t="s">
        <v>177</v>
      </c>
      <c r="Q78" t="s">
        <v>7</v>
      </c>
    </row>
    <row r="79" spans="1:17">
      <c r="B79" t="s">
        <v>719</v>
      </c>
      <c r="C79" t="s">
        <v>209</v>
      </c>
      <c r="E79" t="s">
        <v>3319</v>
      </c>
      <c r="F79" t="s">
        <v>3320</v>
      </c>
      <c r="G79" t="s">
        <v>3290</v>
      </c>
      <c r="I79" t="s">
        <v>0</v>
      </c>
      <c r="J79" t="s">
        <v>642</v>
      </c>
      <c r="N79" s="1" t="s">
        <v>3805</v>
      </c>
      <c r="O79" t="s">
        <v>154</v>
      </c>
      <c r="P79" t="s">
        <v>18</v>
      </c>
      <c r="Q79" t="s">
        <v>7</v>
      </c>
    </row>
    <row r="80" spans="1:17">
      <c r="B80" t="s">
        <v>720</v>
      </c>
      <c r="C80" t="s">
        <v>213</v>
      </c>
      <c r="E80" t="s">
        <v>3319</v>
      </c>
      <c r="F80" t="s">
        <v>3320</v>
      </c>
      <c r="G80" t="s">
        <v>3289</v>
      </c>
      <c r="I80" t="s">
        <v>286</v>
      </c>
      <c r="J80" t="s">
        <v>287</v>
      </c>
      <c r="N80" s="1" t="s">
        <v>3473</v>
      </c>
      <c r="O80" t="s">
        <v>161</v>
      </c>
      <c r="P80" t="s">
        <v>45</v>
      </c>
      <c r="Q80" t="s">
        <v>7</v>
      </c>
    </row>
    <row r="81" spans="2:17">
      <c r="B81" t="s">
        <v>721</v>
      </c>
      <c r="C81" t="s">
        <v>213</v>
      </c>
      <c r="E81" t="s">
        <v>3319</v>
      </c>
      <c r="F81" t="s">
        <v>3320</v>
      </c>
      <c r="G81" t="s">
        <v>3289</v>
      </c>
      <c r="I81" t="s">
        <v>1340</v>
      </c>
      <c r="N81" s="1" t="s">
        <v>3473</v>
      </c>
      <c r="O81" t="s">
        <v>154</v>
      </c>
      <c r="P81" t="s">
        <v>185</v>
      </c>
      <c r="Q81" t="s">
        <v>7</v>
      </c>
    </row>
    <row r="82" spans="2:17">
      <c r="B82" t="s">
        <v>722</v>
      </c>
      <c r="C82" t="s">
        <v>209</v>
      </c>
      <c r="E82" t="s">
        <v>3319</v>
      </c>
      <c r="F82" t="s">
        <v>3320</v>
      </c>
      <c r="G82" t="s">
        <v>3289</v>
      </c>
      <c r="I82" t="s">
        <v>288</v>
      </c>
      <c r="J82" t="s">
        <v>289</v>
      </c>
      <c r="M82" t="s">
        <v>153</v>
      </c>
      <c r="N82" s="1" t="s">
        <v>3473</v>
      </c>
      <c r="O82" t="s">
        <v>154</v>
      </c>
    </row>
    <row r="83" spans="2:17">
      <c r="B83" t="s">
        <v>723</v>
      </c>
      <c r="C83" t="s">
        <v>3388</v>
      </c>
      <c r="E83" t="s">
        <v>3391</v>
      </c>
      <c r="F83" t="s">
        <v>3320</v>
      </c>
      <c r="G83" t="s">
        <v>3289</v>
      </c>
      <c r="I83" t="s">
        <v>290</v>
      </c>
      <c r="M83" t="s">
        <v>153</v>
      </c>
      <c r="N83" s="1" t="s">
        <v>3805</v>
      </c>
      <c r="O83" t="s">
        <v>168</v>
      </c>
      <c r="P83" t="s">
        <v>46</v>
      </c>
      <c r="Q83" t="s">
        <v>7</v>
      </c>
    </row>
    <row r="84" spans="2:17">
      <c r="B84" t="s">
        <v>724</v>
      </c>
      <c r="C84" t="s">
        <v>213</v>
      </c>
      <c r="E84" t="s">
        <v>3319</v>
      </c>
      <c r="F84" t="s">
        <v>3320</v>
      </c>
      <c r="G84" t="s">
        <v>3289</v>
      </c>
      <c r="I84" t="s">
        <v>291</v>
      </c>
      <c r="N84" s="1" t="s">
        <v>3805</v>
      </c>
      <c r="O84" t="s">
        <v>166</v>
      </c>
      <c r="P84" t="s">
        <v>176</v>
      </c>
      <c r="Q84" t="s">
        <v>7</v>
      </c>
    </row>
    <row r="85" spans="2:17">
      <c r="B85" t="s">
        <v>725</v>
      </c>
      <c r="C85" t="s">
        <v>213</v>
      </c>
      <c r="E85" t="s">
        <v>3319</v>
      </c>
      <c r="F85" t="s">
        <v>3320</v>
      </c>
      <c r="G85" t="s">
        <v>3286</v>
      </c>
      <c r="I85" t="s">
        <v>292</v>
      </c>
      <c r="J85" t="s">
        <v>293</v>
      </c>
      <c r="M85" t="s">
        <v>496</v>
      </c>
      <c r="N85" s="1" t="s">
        <v>3805</v>
      </c>
      <c r="O85" t="s">
        <v>154</v>
      </c>
    </row>
    <row r="86" spans="2:17">
      <c r="B86" t="s">
        <v>726</v>
      </c>
      <c r="C86" t="s">
        <v>213</v>
      </c>
      <c r="E86" t="s">
        <v>3323</v>
      </c>
      <c r="F86" t="s">
        <v>3325</v>
      </c>
      <c r="I86" t="s">
        <v>1</v>
      </c>
      <c r="J86" t="s">
        <v>294</v>
      </c>
      <c r="M86" t="s">
        <v>496</v>
      </c>
      <c r="N86" s="1" t="s">
        <v>3805</v>
      </c>
      <c r="O86" t="s">
        <v>171</v>
      </c>
      <c r="P86" t="s">
        <v>188</v>
      </c>
      <c r="Q86" t="s">
        <v>7</v>
      </c>
    </row>
    <row r="87" spans="2:17">
      <c r="B87" t="s">
        <v>727</v>
      </c>
      <c r="C87" t="s">
        <v>209</v>
      </c>
      <c r="E87" t="s">
        <v>3319</v>
      </c>
      <c r="F87" t="s">
        <v>3320</v>
      </c>
      <c r="G87" t="s">
        <v>3289</v>
      </c>
      <c r="I87" t="s">
        <v>295</v>
      </c>
      <c r="N87" s="1" t="s">
        <v>3805</v>
      </c>
      <c r="O87" t="s">
        <v>154</v>
      </c>
      <c r="P87" t="s">
        <v>52</v>
      </c>
      <c r="Q87" t="s">
        <v>7</v>
      </c>
    </row>
    <row r="88" spans="2:17">
      <c r="B88" t="s">
        <v>728</v>
      </c>
      <c r="C88" t="s">
        <v>213</v>
      </c>
      <c r="E88" t="s">
        <v>3319</v>
      </c>
      <c r="F88" t="s">
        <v>3320</v>
      </c>
      <c r="G88" t="s">
        <v>3286</v>
      </c>
      <c r="I88" t="s">
        <v>296</v>
      </c>
      <c r="N88" s="1" t="s">
        <v>3805</v>
      </c>
      <c r="O88" t="s">
        <v>154</v>
      </c>
      <c r="P88" t="s">
        <v>36</v>
      </c>
      <c r="Q88" t="s">
        <v>7</v>
      </c>
    </row>
    <row r="89" spans="2:17">
      <c r="B89" t="s">
        <v>729</v>
      </c>
      <c r="C89" t="s">
        <v>209</v>
      </c>
      <c r="E89" t="s">
        <v>3319</v>
      </c>
      <c r="F89" t="s">
        <v>3320</v>
      </c>
      <c r="G89" t="s">
        <v>3302</v>
      </c>
      <c r="H89" t="s">
        <v>3287</v>
      </c>
      <c r="I89" t="s">
        <v>297</v>
      </c>
      <c r="J89" t="s">
        <v>298</v>
      </c>
      <c r="N89" s="1" t="s">
        <v>3805</v>
      </c>
      <c r="O89" t="s">
        <v>156</v>
      </c>
      <c r="P89" t="s">
        <v>15</v>
      </c>
      <c r="Q89" t="s">
        <v>7</v>
      </c>
    </row>
    <row r="90" spans="2:17">
      <c r="B90" t="s">
        <v>730</v>
      </c>
      <c r="C90" t="s">
        <v>209</v>
      </c>
      <c r="E90" t="s">
        <v>3319</v>
      </c>
      <c r="F90" t="s">
        <v>3320</v>
      </c>
      <c r="G90" t="s">
        <v>3286</v>
      </c>
      <c r="I90" t="s">
        <v>299</v>
      </c>
      <c r="N90" s="1" t="s">
        <v>3805</v>
      </c>
      <c r="O90" t="s">
        <v>165</v>
      </c>
      <c r="P90" t="s">
        <v>46</v>
      </c>
      <c r="Q90" t="s">
        <v>7</v>
      </c>
    </row>
    <row r="91" spans="2:17">
      <c r="B91" t="s">
        <v>731</v>
      </c>
      <c r="C91" t="s">
        <v>190</v>
      </c>
      <c r="E91" t="s">
        <v>3319</v>
      </c>
      <c r="F91" t="s">
        <v>3320</v>
      </c>
      <c r="G91" t="s">
        <v>3286</v>
      </c>
      <c r="I91" t="s">
        <v>1</v>
      </c>
      <c r="J91" t="s">
        <v>300</v>
      </c>
      <c r="N91" s="1" t="s">
        <v>3805</v>
      </c>
      <c r="O91" t="s">
        <v>171</v>
      </c>
      <c r="P91" t="s">
        <v>184</v>
      </c>
      <c r="Q91" t="s">
        <v>7</v>
      </c>
    </row>
    <row r="92" spans="2:17">
      <c r="B92" t="s">
        <v>732</v>
      </c>
      <c r="C92" t="s">
        <v>214</v>
      </c>
      <c r="E92" t="s">
        <v>3319</v>
      </c>
      <c r="F92" t="s">
        <v>3320</v>
      </c>
      <c r="G92" t="s">
        <v>3287</v>
      </c>
      <c r="I92" t="s">
        <v>1341</v>
      </c>
      <c r="J92" t="s">
        <v>301</v>
      </c>
      <c r="N92" s="1"/>
      <c r="O92" t="s">
        <v>170</v>
      </c>
      <c r="P92" t="s">
        <v>34</v>
      </c>
      <c r="Q92" t="s">
        <v>7</v>
      </c>
    </row>
    <row r="93" spans="2:17">
      <c r="B93" t="s">
        <v>733</v>
      </c>
      <c r="C93" t="s">
        <v>214</v>
      </c>
      <c r="E93" t="s">
        <v>3319</v>
      </c>
      <c r="F93" t="s">
        <v>3320</v>
      </c>
      <c r="G93" t="s">
        <v>3289</v>
      </c>
      <c r="I93" t="s">
        <v>302</v>
      </c>
      <c r="N93" s="1" t="s">
        <v>3805</v>
      </c>
      <c r="O93" t="s">
        <v>156</v>
      </c>
      <c r="P93" t="s">
        <v>8</v>
      </c>
      <c r="Q93" t="s">
        <v>7</v>
      </c>
    </row>
    <row r="94" spans="2:17">
      <c r="B94" t="s">
        <v>734</v>
      </c>
      <c r="C94" t="s">
        <v>214</v>
      </c>
      <c r="E94" t="s">
        <v>3319</v>
      </c>
      <c r="F94" t="s">
        <v>3320</v>
      </c>
      <c r="G94" t="s">
        <v>3297</v>
      </c>
      <c r="I94" t="s">
        <v>631</v>
      </c>
      <c r="N94" s="1" t="s">
        <v>3805</v>
      </c>
      <c r="O94" t="s">
        <v>164</v>
      </c>
      <c r="P94" t="s">
        <v>179</v>
      </c>
      <c r="Q94" t="s">
        <v>7</v>
      </c>
    </row>
    <row r="95" spans="2:17">
      <c r="B95" t="s">
        <v>735</v>
      </c>
      <c r="C95" t="s">
        <v>190</v>
      </c>
      <c r="E95" t="s">
        <v>3319</v>
      </c>
      <c r="F95" t="s">
        <v>3320</v>
      </c>
      <c r="G95" t="s">
        <v>3289</v>
      </c>
      <c r="I95" t="s">
        <v>19</v>
      </c>
      <c r="J95" t="s">
        <v>636</v>
      </c>
      <c r="N95" s="1" t="s">
        <v>3805</v>
      </c>
      <c r="O95" t="s">
        <v>163</v>
      </c>
      <c r="P95" t="s">
        <v>46</v>
      </c>
      <c r="Q95" t="s">
        <v>7</v>
      </c>
    </row>
    <row r="96" spans="2:17">
      <c r="B96" t="s">
        <v>736</v>
      </c>
      <c r="C96" t="s">
        <v>190</v>
      </c>
      <c r="E96" t="s">
        <v>3319</v>
      </c>
      <c r="F96" t="s">
        <v>3320</v>
      </c>
      <c r="G96" t="s">
        <v>3289</v>
      </c>
      <c r="I96" t="s">
        <v>99</v>
      </c>
      <c r="N96" s="1" t="s">
        <v>3805</v>
      </c>
      <c r="O96" t="s">
        <v>166</v>
      </c>
      <c r="P96" t="s">
        <v>176</v>
      </c>
      <c r="Q96" t="s">
        <v>7</v>
      </c>
    </row>
    <row r="97" spans="1:17">
      <c r="B97" t="s">
        <v>737</v>
      </c>
      <c r="C97" t="s">
        <v>214</v>
      </c>
      <c r="E97" t="s">
        <v>3319</v>
      </c>
      <c r="F97" t="s">
        <v>3320</v>
      </c>
      <c r="G97" t="s">
        <v>3290</v>
      </c>
      <c r="I97" t="s">
        <v>1296</v>
      </c>
      <c r="J97" t="s">
        <v>1342</v>
      </c>
      <c r="N97" s="1" t="s">
        <v>3805</v>
      </c>
      <c r="O97" t="s">
        <v>170</v>
      </c>
      <c r="P97" t="s">
        <v>31</v>
      </c>
      <c r="Q97" t="s">
        <v>7</v>
      </c>
    </row>
    <row r="98" spans="1:17">
      <c r="B98" t="s">
        <v>738</v>
      </c>
      <c r="C98" t="s">
        <v>190</v>
      </c>
      <c r="E98" t="s">
        <v>3319</v>
      </c>
      <c r="F98" t="s">
        <v>3320</v>
      </c>
      <c r="G98" t="s">
        <v>3290</v>
      </c>
      <c r="I98" t="s">
        <v>23</v>
      </c>
      <c r="J98" t="s">
        <v>1302</v>
      </c>
      <c r="N98" s="1" t="s">
        <v>3805</v>
      </c>
      <c r="O98" t="s">
        <v>168</v>
      </c>
      <c r="P98" t="s">
        <v>5</v>
      </c>
      <c r="Q98" t="s">
        <v>7</v>
      </c>
    </row>
    <row r="99" spans="1:17">
      <c r="B99" t="s">
        <v>739</v>
      </c>
      <c r="C99" t="s">
        <v>190</v>
      </c>
      <c r="E99" t="s">
        <v>3319</v>
      </c>
      <c r="F99" t="s">
        <v>3320</v>
      </c>
      <c r="G99" t="s">
        <v>3289</v>
      </c>
      <c r="I99" t="s">
        <v>1335</v>
      </c>
      <c r="J99" t="s">
        <v>303</v>
      </c>
      <c r="N99" s="1" t="s">
        <v>3805</v>
      </c>
      <c r="O99" t="s">
        <v>165</v>
      </c>
      <c r="P99" t="s">
        <v>38</v>
      </c>
      <c r="Q99" t="s">
        <v>7</v>
      </c>
    </row>
    <row r="100" spans="1:17">
      <c r="A100" s="5"/>
      <c r="B100" s="5" t="s">
        <v>740</v>
      </c>
      <c r="C100" s="5" t="s">
        <v>190</v>
      </c>
      <c r="D100" s="5"/>
      <c r="E100" s="5" t="s">
        <v>3319</v>
      </c>
      <c r="F100" s="5" t="s">
        <v>3320</v>
      </c>
      <c r="G100" s="5" t="s">
        <v>3289</v>
      </c>
      <c r="H100" s="5"/>
      <c r="I100" s="5" t="s">
        <v>304</v>
      </c>
      <c r="J100" s="5"/>
      <c r="K100" s="5"/>
      <c r="L100" s="5"/>
      <c r="M100" s="5" t="s">
        <v>153</v>
      </c>
      <c r="N100" s="1" t="s">
        <v>3805</v>
      </c>
      <c r="O100" s="5" t="s">
        <v>170</v>
      </c>
      <c r="P100" s="5"/>
      <c r="Q100" s="5"/>
    </row>
    <row r="101" spans="1:17">
      <c r="A101" s="5"/>
      <c r="B101" s="5" t="s">
        <v>741</v>
      </c>
      <c r="C101" s="5" t="s">
        <v>3390</v>
      </c>
      <c r="D101" s="5"/>
      <c r="E101" s="5" t="s">
        <v>3319</v>
      </c>
      <c r="F101" s="5" t="s">
        <v>3320</v>
      </c>
      <c r="G101" s="5" t="s">
        <v>3289</v>
      </c>
      <c r="H101" s="5"/>
      <c r="I101" s="5" t="s">
        <v>305</v>
      </c>
      <c r="J101" s="5"/>
      <c r="K101" s="5"/>
      <c r="L101" s="5"/>
      <c r="M101" s="5" t="s">
        <v>153</v>
      </c>
      <c r="N101" s="1" t="s">
        <v>3805</v>
      </c>
      <c r="O101" s="5" t="s">
        <v>616</v>
      </c>
      <c r="P101" s="5" t="s">
        <v>46</v>
      </c>
      <c r="Q101" s="5" t="s">
        <v>7</v>
      </c>
    </row>
    <row r="102" spans="1:17">
      <c r="B102" t="s">
        <v>742</v>
      </c>
      <c r="C102" t="s">
        <v>190</v>
      </c>
      <c r="E102" t="s">
        <v>3319</v>
      </c>
      <c r="F102" t="s">
        <v>3320</v>
      </c>
      <c r="G102" t="s">
        <v>3288</v>
      </c>
      <c r="I102" t="s">
        <v>632</v>
      </c>
      <c r="N102" s="1" t="s">
        <v>3805</v>
      </c>
      <c r="O102" t="s">
        <v>154</v>
      </c>
      <c r="P102" t="s">
        <v>174</v>
      </c>
      <c r="Q102" t="s">
        <v>7</v>
      </c>
    </row>
    <row r="103" spans="1:17">
      <c r="B103" t="s">
        <v>743</v>
      </c>
      <c r="C103" t="s">
        <v>190</v>
      </c>
      <c r="E103" t="s">
        <v>3319</v>
      </c>
      <c r="F103" t="s">
        <v>3320</v>
      </c>
      <c r="G103" t="s">
        <v>3286</v>
      </c>
      <c r="I103" t="s">
        <v>306</v>
      </c>
      <c r="N103" s="1" t="s">
        <v>3473</v>
      </c>
      <c r="O103" t="s">
        <v>165</v>
      </c>
      <c r="P103" t="s">
        <v>45</v>
      </c>
      <c r="Q103" t="s">
        <v>7</v>
      </c>
    </row>
    <row r="104" spans="1:17">
      <c r="A104" s="8"/>
      <c r="B104" s="8" t="s">
        <v>744</v>
      </c>
      <c r="C104" s="8" t="s">
        <v>190</v>
      </c>
      <c r="D104" s="8"/>
      <c r="E104" s="8" t="s">
        <v>3319</v>
      </c>
      <c r="F104" s="8" t="s">
        <v>3320</v>
      </c>
      <c r="G104" s="8" t="s">
        <v>3285</v>
      </c>
      <c r="H104" s="8"/>
      <c r="I104" s="8" t="s">
        <v>307</v>
      </c>
      <c r="J104" s="8"/>
      <c r="K104" s="8"/>
      <c r="L104" s="8"/>
      <c r="M104" s="8"/>
      <c r="N104" s="35" t="s">
        <v>3473</v>
      </c>
      <c r="O104" s="8" t="s">
        <v>171</v>
      </c>
      <c r="P104" s="8" t="s">
        <v>39</v>
      </c>
      <c r="Q104" s="8" t="s">
        <v>7</v>
      </c>
    </row>
    <row r="105" spans="1:17">
      <c r="B105" t="s">
        <v>745</v>
      </c>
      <c r="C105" t="s">
        <v>190</v>
      </c>
      <c r="E105" t="s">
        <v>3319</v>
      </c>
      <c r="F105" t="s">
        <v>3320</v>
      </c>
      <c r="G105" t="s">
        <v>3292</v>
      </c>
      <c r="I105" t="s">
        <v>1293</v>
      </c>
      <c r="J105" t="s">
        <v>308</v>
      </c>
      <c r="N105" s="1" t="s">
        <v>3805</v>
      </c>
      <c r="O105" t="s">
        <v>164</v>
      </c>
      <c r="P105" t="s">
        <v>188</v>
      </c>
      <c r="Q105" t="s">
        <v>7</v>
      </c>
    </row>
    <row r="106" spans="1:17">
      <c r="B106" t="s">
        <v>746</v>
      </c>
      <c r="C106" t="s">
        <v>190</v>
      </c>
      <c r="E106" t="s">
        <v>3319</v>
      </c>
      <c r="F106" t="s">
        <v>3320</v>
      </c>
      <c r="G106" t="s">
        <v>3289</v>
      </c>
      <c r="I106" t="s">
        <v>633</v>
      </c>
      <c r="N106" s="1" t="s">
        <v>3805</v>
      </c>
      <c r="O106" t="s">
        <v>162</v>
      </c>
      <c r="P106" t="s">
        <v>52</v>
      </c>
      <c r="Q106" t="s">
        <v>7</v>
      </c>
    </row>
    <row r="107" spans="1:17">
      <c r="B107" t="s">
        <v>747</v>
      </c>
      <c r="C107" t="s">
        <v>190</v>
      </c>
      <c r="E107" t="s">
        <v>3319</v>
      </c>
      <c r="F107" t="s">
        <v>3320</v>
      </c>
      <c r="G107" t="s">
        <v>3289</v>
      </c>
      <c r="I107" t="s">
        <v>1343</v>
      </c>
      <c r="J107" t="s">
        <v>309</v>
      </c>
      <c r="N107" s="1" t="s">
        <v>3805</v>
      </c>
      <c r="O107" t="s">
        <v>165</v>
      </c>
      <c r="P107" t="s">
        <v>29</v>
      </c>
      <c r="Q107" t="s">
        <v>7</v>
      </c>
    </row>
    <row r="108" spans="1:17">
      <c r="A108" s="5"/>
      <c r="B108" s="5" t="s">
        <v>748</v>
      </c>
      <c r="C108" s="5" t="s">
        <v>190</v>
      </c>
      <c r="D108" s="5"/>
      <c r="E108" s="5" t="s">
        <v>3319</v>
      </c>
      <c r="F108" s="5" t="s">
        <v>3320</v>
      </c>
      <c r="G108" s="5" t="s">
        <v>3299</v>
      </c>
      <c r="H108" s="5"/>
      <c r="I108" s="5" t="s">
        <v>310</v>
      </c>
      <c r="J108" s="5" t="s">
        <v>311</v>
      </c>
      <c r="K108" s="5"/>
      <c r="L108" s="5"/>
      <c r="M108" s="5"/>
      <c r="N108" s="23" t="s">
        <v>3473</v>
      </c>
      <c r="O108" s="5" t="s">
        <v>156</v>
      </c>
      <c r="P108" s="5" t="s">
        <v>611</v>
      </c>
      <c r="Q108" t="s">
        <v>7</v>
      </c>
    </row>
    <row r="109" spans="1:17">
      <c r="B109" t="s">
        <v>749</v>
      </c>
      <c r="C109" t="s">
        <v>190</v>
      </c>
      <c r="E109" t="s">
        <v>3323</v>
      </c>
      <c r="F109" t="s">
        <v>3320</v>
      </c>
      <c r="G109" t="s">
        <v>3292</v>
      </c>
      <c r="I109" t="s">
        <v>1293</v>
      </c>
      <c r="J109" t="s">
        <v>312</v>
      </c>
      <c r="N109" s="1" t="s">
        <v>3805</v>
      </c>
      <c r="O109" t="s">
        <v>170</v>
      </c>
      <c r="P109" t="s">
        <v>180</v>
      </c>
      <c r="Q109" t="s">
        <v>7</v>
      </c>
    </row>
    <row r="110" spans="1:17">
      <c r="B110" t="s">
        <v>750</v>
      </c>
      <c r="C110" t="s">
        <v>190</v>
      </c>
      <c r="E110" t="s">
        <v>3319</v>
      </c>
      <c r="F110" t="s">
        <v>3320</v>
      </c>
      <c r="G110" t="s">
        <v>3285</v>
      </c>
      <c r="I110" t="s">
        <v>313</v>
      </c>
      <c r="N110" s="1" t="s">
        <v>3805</v>
      </c>
      <c r="O110" t="s">
        <v>154</v>
      </c>
      <c r="P110" t="s">
        <v>45</v>
      </c>
      <c r="Q110" t="s">
        <v>7</v>
      </c>
    </row>
    <row r="111" spans="1:17">
      <c r="B111" t="s">
        <v>751</v>
      </c>
      <c r="C111" t="s">
        <v>190</v>
      </c>
      <c r="E111" t="s">
        <v>3319</v>
      </c>
      <c r="F111" t="s">
        <v>3320</v>
      </c>
      <c r="G111" t="s">
        <v>3294</v>
      </c>
      <c r="I111" t="s">
        <v>1299</v>
      </c>
      <c r="J111" t="s">
        <v>314</v>
      </c>
      <c r="N111" s="1" t="s">
        <v>3473</v>
      </c>
      <c r="O111" t="s">
        <v>165</v>
      </c>
      <c r="P111" t="s">
        <v>53</v>
      </c>
      <c r="Q111" t="s">
        <v>7</v>
      </c>
    </row>
    <row r="112" spans="1:17">
      <c r="B112" t="s">
        <v>752</v>
      </c>
      <c r="C112" t="s">
        <v>214</v>
      </c>
      <c r="E112" t="s">
        <v>3319</v>
      </c>
      <c r="F112" t="s">
        <v>3320</v>
      </c>
      <c r="G112" t="s">
        <v>3286</v>
      </c>
      <c r="I112" t="s">
        <v>315</v>
      </c>
      <c r="N112" s="1" t="s">
        <v>3805</v>
      </c>
      <c r="O112" t="s">
        <v>154</v>
      </c>
      <c r="P112" t="s">
        <v>176</v>
      </c>
      <c r="Q112" t="s">
        <v>7</v>
      </c>
    </row>
    <row r="113" spans="1:17">
      <c r="B113" t="s">
        <v>753</v>
      </c>
      <c r="C113" t="s">
        <v>190</v>
      </c>
      <c r="E113" t="s">
        <v>3319</v>
      </c>
      <c r="F113" t="s">
        <v>3320</v>
      </c>
      <c r="G113" t="s">
        <v>3290</v>
      </c>
      <c r="I113" t="s">
        <v>1344</v>
      </c>
      <c r="J113" t="s">
        <v>613</v>
      </c>
      <c r="K113" t="s">
        <v>614</v>
      </c>
      <c r="N113" s="1" t="s">
        <v>3805</v>
      </c>
      <c r="O113" t="s">
        <v>168</v>
      </c>
      <c r="P113" t="s">
        <v>175</v>
      </c>
      <c r="Q113" t="s">
        <v>7</v>
      </c>
    </row>
    <row r="114" spans="1:17">
      <c r="B114" t="s">
        <v>754</v>
      </c>
      <c r="C114" t="s">
        <v>190</v>
      </c>
      <c r="E114" t="s">
        <v>3319</v>
      </c>
      <c r="F114" t="s">
        <v>3320</v>
      </c>
      <c r="G114" t="s">
        <v>3289</v>
      </c>
      <c r="H114" t="s">
        <v>3286</v>
      </c>
      <c r="I114" t="s">
        <v>316</v>
      </c>
      <c r="N114" s="1" t="s">
        <v>3473</v>
      </c>
      <c r="O114" t="s">
        <v>154</v>
      </c>
      <c r="P114" t="s">
        <v>52</v>
      </c>
      <c r="Q114" t="s">
        <v>7</v>
      </c>
    </row>
    <row r="115" spans="1:17">
      <c r="B115" t="s">
        <v>755</v>
      </c>
      <c r="C115" t="s">
        <v>214</v>
      </c>
      <c r="E115" t="s">
        <v>3319</v>
      </c>
      <c r="F115" t="s">
        <v>3320</v>
      </c>
      <c r="G115" t="s">
        <v>3287</v>
      </c>
      <c r="I115" t="s">
        <v>1345</v>
      </c>
      <c r="N115" s="1" t="s">
        <v>3473</v>
      </c>
      <c r="O115" t="s">
        <v>154</v>
      </c>
      <c r="P115" t="s">
        <v>6</v>
      </c>
      <c r="Q115" t="s">
        <v>7</v>
      </c>
    </row>
    <row r="116" spans="1:17">
      <c r="B116" t="s">
        <v>756</v>
      </c>
      <c r="C116" t="s">
        <v>190</v>
      </c>
      <c r="E116" t="s">
        <v>3319</v>
      </c>
      <c r="F116" t="s">
        <v>3320</v>
      </c>
      <c r="G116" t="s">
        <v>3286</v>
      </c>
      <c r="I116" t="s">
        <v>634</v>
      </c>
      <c r="N116" s="1" t="s">
        <v>3805</v>
      </c>
      <c r="O116" t="s">
        <v>168</v>
      </c>
      <c r="P116" t="s">
        <v>610</v>
      </c>
      <c r="Q116" t="s">
        <v>7</v>
      </c>
    </row>
    <row r="117" spans="1:17">
      <c r="B117" t="s">
        <v>757</v>
      </c>
      <c r="C117" t="s">
        <v>190</v>
      </c>
      <c r="E117" t="s">
        <v>3319</v>
      </c>
      <c r="F117" t="s">
        <v>3320</v>
      </c>
      <c r="G117" t="s">
        <v>3286</v>
      </c>
      <c r="I117" t="s">
        <v>23</v>
      </c>
      <c r="J117" t="s">
        <v>640</v>
      </c>
      <c r="N117" s="1" t="s">
        <v>3805</v>
      </c>
      <c r="O117" t="s">
        <v>170</v>
      </c>
      <c r="P117" t="s">
        <v>40</v>
      </c>
      <c r="Q117" t="s">
        <v>7</v>
      </c>
    </row>
    <row r="118" spans="1:17">
      <c r="B118" t="s">
        <v>758</v>
      </c>
      <c r="C118" t="s">
        <v>190</v>
      </c>
      <c r="E118" t="s">
        <v>3319</v>
      </c>
      <c r="F118" t="s">
        <v>3320</v>
      </c>
      <c r="G118" t="s">
        <v>3303</v>
      </c>
      <c r="I118" t="s">
        <v>1</v>
      </c>
      <c r="J118" t="s">
        <v>317</v>
      </c>
      <c r="N118" s="1" t="s">
        <v>3805</v>
      </c>
      <c r="O118" t="s">
        <v>163</v>
      </c>
      <c r="P118" t="s">
        <v>35</v>
      </c>
      <c r="Q118" t="s">
        <v>7</v>
      </c>
    </row>
    <row r="119" spans="1:17">
      <c r="B119" t="s">
        <v>759</v>
      </c>
      <c r="C119" t="s">
        <v>190</v>
      </c>
      <c r="E119" t="s">
        <v>3319</v>
      </c>
      <c r="F119" t="s">
        <v>3320</v>
      </c>
      <c r="G119" t="s">
        <v>3288</v>
      </c>
      <c r="H119" t="s">
        <v>3289</v>
      </c>
      <c r="I119" t="s">
        <v>318</v>
      </c>
      <c r="N119" s="1" t="s">
        <v>3805</v>
      </c>
      <c r="O119" t="s">
        <v>154</v>
      </c>
      <c r="P119" t="s">
        <v>34</v>
      </c>
      <c r="Q119" t="s">
        <v>7</v>
      </c>
    </row>
    <row r="120" spans="1:17">
      <c r="B120" t="s">
        <v>760</v>
      </c>
      <c r="C120" t="s">
        <v>190</v>
      </c>
      <c r="E120" t="s">
        <v>3319</v>
      </c>
      <c r="F120" t="s">
        <v>3320</v>
      </c>
      <c r="G120" t="s">
        <v>3286</v>
      </c>
      <c r="I120" t="s">
        <v>47</v>
      </c>
      <c r="J120" t="s">
        <v>1346</v>
      </c>
      <c r="N120" s="1" t="s">
        <v>3805</v>
      </c>
      <c r="O120" t="s">
        <v>154</v>
      </c>
      <c r="P120" t="s">
        <v>177</v>
      </c>
      <c r="Q120" t="s">
        <v>7</v>
      </c>
    </row>
    <row r="121" spans="1:17">
      <c r="B121" t="s">
        <v>761</v>
      </c>
      <c r="C121" t="s">
        <v>214</v>
      </c>
      <c r="E121" t="s">
        <v>3319</v>
      </c>
      <c r="F121" t="s">
        <v>3320</v>
      </c>
      <c r="G121" t="s">
        <v>3289</v>
      </c>
      <c r="I121" t="s">
        <v>1322</v>
      </c>
      <c r="J121" t="s">
        <v>1307</v>
      </c>
      <c r="N121" s="1" t="s">
        <v>3805</v>
      </c>
      <c r="O121" t="s">
        <v>170</v>
      </c>
      <c r="P121" t="s">
        <v>48</v>
      </c>
      <c r="Q121" t="s">
        <v>7</v>
      </c>
    </row>
    <row r="122" spans="1:17">
      <c r="B122" t="s">
        <v>762</v>
      </c>
      <c r="C122" t="s">
        <v>190</v>
      </c>
      <c r="E122" t="s">
        <v>3319</v>
      </c>
      <c r="F122" t="s">
        <v>3320</v>
      </c>
      <c r="G122" t="s">
        <v>3295</v>
      </c>
      <c r="I122" t="s">
        <v>319</v>
      </c>
      <c r="N122" s="1" t="s">
        <v>3805</v>
      </c>
      <c r="O122" t="s">
        <v>166</v>
      </c>
      <c r="P122" t="s">
        <v>11</v>
      </c>
      <c r="Q122" t="s">
        <v>7</v>
      </c>
    </row>
    <row r="123" spans="1:17">
      <c r="B123" t="s">
        <v>763</v>
      </c>
      <c r="C123" t="s">
        <v>190</v>
      </c>
      <c r="E123" t="s">
        <v>3319</v>
      </c>
      <c r="F123" t="s">
        <v>3320</v>
      </c>
      <c r="G123" t="s">
        <v>3291</v>
      </c>
      <c r="I123" t="s">
        <v>320</v>
      </c>
      <c r="N123" s="1" t="s">
        <v>3473</v>
      </c>
      <c r="O123" t="s">
        <v>165</v>
      </c>
      <c r="P123" t="s">
        <v>38</v>
      </c>
      <c r="Q123" t="s">
        <v>7</v>
      </c>
    </row>
    <row r="124" spans="1:17">
      <c r="B124" t="s">
        <v>764</v>
      </c>
      <c r="C124" t="s">
        <v>215</v>
      </c>
      <c r="E124" t="s">
        <v>3319</v>
      </c>
      <c r="F124" t="s">
        <v>3320</v>
      </c>
      <c r="G124" t="s">
        <v>3290</v>
      </c>
      <c r="I124" t="s">
        <v>1296</v>
      </c>
      <c r="J124" t="s">
        <v>321</v>
      </c>
      <c r="K124" t="s">
        <v>322</v>
      </c>
      <c r="N124" s="1" t="s">
        <v>3805</v>
      </c>
      <c r="O124" t="s">
        <v>154</v>
      </c>
      <c r="P124" t="s">
        <v>31</v>
      </c>
      <c r="Q124" t="s">
        <v>7</v>
      </c>
    </row>
    <row r="125" spans="1:17">
      <c r="B125" t="s">
        <v>765</v>
      </c>
      <c r="C125" t="s">
        <v>215</v>
      </c>
      <c r="E125" t="s">
        <v>3319</v>
      </c>
      <c r="F125" t="s">
        <v>3320</v>
      </c>
      <c r="G125" t="s">
        <v>3286</v>
      </c>
      <c r="I125" t="s">
        <v>1</v>
      </c>
      <c r="J125" t="s">
        <v>1329</v>
      </c>
      <c r="N125" s="1" t="s">
        <v>3805</v>
      </c>
      <c r="O125" t="s">
        <v>154</v>
      </c>
      <c r="P125" t="s">
        <v>27</v>
      </c>
      <c r="Q125" t="s">
        <v>7</v>
      </c>
    </row>
    <row r="126" spans="1:17">
      <c r="A126" s="5"/>
      <c r="B126" s="5" t="s">
        <v>766</v>
      </c>
      <c r="C126" s="5" t="s">
        <v>216</v>
      </c>
      <c r="D126" s="5"/>
      <c r="E126" s="5" t="s">
        <v>3319</v>
      </c>
      <c r="F126" s="5" t="s">
        <v>3320</v>
      </c>
      <c r="G126" s="5" t="s">
        <v>3286</v>
      </c>
      <c r="H126" s="5"/>
      <c r="I126" s="5" t="s">
        <v>1</v>
      </c>
      <c r="J126" s="5" t="s">
        <v>323</v>
      </c>
      <c r="K126" s="5" t="s">
        <v>324</v>
      </c>
      <c r="L126" s="5"/>
      <c r="M126" s="5"/>
      <c r="N126" s="23" t="s">
        <v>3473</v>
      </c>
      <c r="O126" s="5" t="s">
        <v>618</v>
      </c>
      <c r="P126" s="5" t="s">
        <v>33</v>
      </c>
      <c r="Q126" s="5" t="s">
        <v>7</v>
      </c>
    </row>
    <row r="127" spans="1:17">
      <c r="B127" t="s">
        <v>767</v>
      </c>
      <c r="C127" t="s">
        <v>216</v>
      </c>
      <c r="E127" t="s">
        <v>3319</v>
      </c>
      <c r="F127" t="s">
        <v>3320</v>
      </c>
      <c r="G127" t="s">
        <v>3294</v>
      </c>
      <c r="I127" t="s">
        <v>325</v>
      </c>
      <c r="N127" s="1" t="s">
        <v>3805</v>
      </c>
      <c r="O127" t="s">
        <v>170</v>
      </c>
      <c r="P127" t="s">
        <v>32</v>
      </c>
      <c r="Q127" t="s">
        <v>7</v>
      </c>
    </row>
    <row r="128" spans="1:17">
      <c r="B128" t="s">
        <v>491</v>
      </c>
      <c r="C128" t="s">
        <v>216</v>
      </c>
      <c r="E128" t="s">
        <v>3319</v>
      </c>
      <c r="F128" t="s">
        <v>3320</v>
      </c>
      <c r="G128" t="s">
        <v>3286</v>
      </c>
      <c r="I128" t="s">
        <v>1323</v>
      </c>
      <c r="J128" t="s">
        <v>147</v>
      </c>
      <c r="N128" s="1" t="s">
        <v>3473</v>
      </c>
      <c r="O128" t="s">
        <v>168</v>
      </c>
      <c r="P128" t="s">
        <v>8</v>
      </c>
      <c r="Q128" t="s">
        <v>7</v>
      </c>
    </row>
    <row r="129" spans="1:17">
      <c r="B129" t="s">
        <v>768</v>
      </c>
      <c r="C129" t="s">
        <v>216</v>
      </c>
      <c r="E129" t="s">
        <v>3319</v>
      </c>
      <c r="F129" t="s">
        <v>3320</v>
      </c>
      <c r="G129" t="s">
        <v>3286</v>
      </c>
      <c r="I129" t="s">
        <v>23</v>
      </c>
      <c r="N129" s="1" t="s">
        <v>3805</v>
      </c>
      <c r="O129" t="s">
        <v>167</v>
      </c>
      <c r="P129" t="s">
        <v>187</v>
      </c>
      <c r="Q129" t="s">
        <v>7</v>
      </c>
    </row>
    <row r="130" spans="1:17">
      <c r="B130" t="s">
        <v>769</v>
      </c>
      <c r="C130" t="s">
        <v>216</v>
      </c>
      <c r="E130" t="s">
        <v>3319</v>
      </c>
      <c r="F130" t="s">
        <v>3320</v>
      </c>
      <c r="G130" t="s">
        <v>3286</v>
      </c>
      <c r="I130" t="s">
        <v>1347</v>
      </c>
      <c r="J130" t="s">
        <v>326</v>
      </c>
      <c r="N130" s="1" t="s">
        <v>3473</v>
      </c>
      <c r="O130" t="s">
        <v>164</v>
      </c>
      <c r="P130" t="s">
        <v>53</v>
      </c>
      <c r="Q130" t="s">
        <v>7</v>
      </c>
    </row>
    <row r="131" spans="1:17">
      <c r="B131" t="s">
        <v>770</v>
      </c>
      <c r="C131" t="s">
        <v>215</v>
      </c>
      <c r="E131" t="s">
        <v>3319</v>
      </c>
      <c r="F131" t="s">
        <v>3320</v>
      </c>
      <c r="G131" t="s">
        <v>3286</v>
      </c>
      <c r="I131" t="s">
        <v>327</v>
      </c>
      <c r="N131" s="1" t="s">
        <v>3473</v>
      </c>
      <c r="O131" t="s">
        <v>171</v>
      </c>
      <c r="P131" t="s">
        <v>187</v>
      </c>
      <c r="Q131" t="s">
        <v>7</v>
      </c>
    </row>
    <row r="132" spans="1:17">
      <c r="B132" t="s">
        <v>771</v>
      </c>
      <c r="C132" t="s">
        <v>217</v>
      </c>
      <c r="E132" t="s">
        <v>3319</v>
      </c>
      <c r="F132" t="s">
        <v>3320</v>
      </c>
      <c r="G132" t="s">
        <v>3292</v>
      </c>
      <c r="I132" t="s">
        <v>1330</v>
      </c>
      <c r="N132" s="1" t="s">
        <v>3805</v>
      </c>
      <c r="O132" t="s">
        <v>616</v>
      </c>
      <c r="P132" t="s">
        <v>180</v>
      </c>
      <c r="Q132" t="s">
        <v>7</v>
      </c>
    </row>
    <row r="133" spans="1:17">
      <c r="B133" t="s">
        <v>772</v>
      </c>
      <c r="C133" t="s">
        <v>620</v>
      </c>
      <c r="E133" t="s">
        <v>3319</v>
      </c>
      <c r="F133" t="s">
        <v>3320</v>
      </c>
      <c r="G133" t="s">
        <v>3287</v>
      </c>
      <c r="I133" t="s">
        <v>329</v>
      </c>
      <c r="N133" s="1" t="s">
        <v>3473</v>
      </c>
      <c r="O133" t="s">
        <v>170</v>
      </c>
      <c r="P133" t="s">
        <v>8</v>
      </c>
      <c r="Q133" t="s">
        <v>7</v>
      </c>
    </row>
    <row r="134" spans="1:17">
      <c r="B134" t="s">
        <v>773</v>
      </c>
      <c r="C134" t="s">
        <v>217</v>
      </c>
      <c r="E134" t="s">
        <v>3319</v>
      </c>
      <c r="F134" t="s">
        <v>3320</v>
      </c>
      <c r="G134" t="s">
        <v>3289</v>
      </c>
      <c r="I134" t="s">
        <v>1348</v>
      </c>
      <c r="N134" s="1" t="s">
        <v>3473</v>
      </c>
      <c r="O134" t="s">
        <v>161</v>
      </c>
      <c r="P134" t="s">
        <v>14</v>
      </c>
      <c r="Q134" t="s">
        <v>7</v>
      </c>
    </row>
    <row r="135" spans="1:17">
      <c r="B135" t="s">
        <v>774</v>
      </c>
      <c r="C135" t="s">
        <v>217</v>
      </c>
      <c r="E135" t="s">
        <v>3319</v>
      </c>
      <c r="F135" t="s">
        <v>3320</v>
      </c>
      <c r="G135" t="s">
        <v>3290</v>
      </c>
      <c r="I135" t="s">
        <v>330</v>
      </c>
      <c r="J135" t="s">
        <v>1349</v>
      </c>
      <c r="N135" s="1" t="s">
        <v>3805</v>
      </c>
      <c r="O135" t="s">
        <v>171</v>
      </c>
      <c r="P135" t="s">
        <v>10</v>
      </c>
      <c r="Q135" t="s">
        <v>7</v>
      </c>
    </row>
    <row r="136" spans="1:17">
      <c r="B136" t="s">
        <v>775</v>
      </c>
      <c r="C136" t="s">
        <v>620</v>
      </c>
      <c r="E136" t="s">
        <v>3319</v>
      </c>
      <c r="F136" t="s">
        <v>3320</v>
      </c>
      <c r="G136" t="s">
        <v>3286</v>
      </c>
      <c r="I136" t="s">
        <v>331</v>
      </c>
      <c r="N136" s="1" t="s">
        <v>3473</v>
      </c>
      <c r="O136" t="s">
        <v>619</v>
      </c>
      <c r="P136" t="s">
        <v>611</v>
      </c>
      <c r="Q136" t="s">
        <v>7</v>
      </c>
    </row>
    <row r="137" spans="1:17">
      <c r="A137" s="5"/>
      <c r="B137" s="5" t="s">
        <v>776</v>
      </c>
      <c r="C137" s="5" t="s">
        <v>217</v>
      </c>
      <c r="D137" s="5"/>
      <c r="E137" s="5" t="s">
        <v>3319</v>
      </c>
      <c r="F137" s="5" t="s">
        <v>3320</v>
      </c>
      <c r="G137" s="5" t="s">
        <v>3289</v>
      </c>
      <c r="H137" s="5"/>
      <c r="I137" s="5" t="s">
        <v>332</v>
      </c>
      <c r="J137" s="5"/>
      <c r="K137" s="5"/>
      <c r="L137" s="5"/>
      <c r="M137" s="5"/>
      <c r="N137" s="1" t="s">
        <v>3473</v>
      </c>
      <c r="O137" s="5" t="s">
        <v>156</v>
      </c>
      <c r="P137" s="5" t="s">
        <v>5</v>
      </c>
      <c r="Q137" s="5" t="s">
        <v>7</v>
      </c>
    </row>
    <row r="138" spans="1:17">
      <c r="B138" t="s">
        <v>777</v>
      </c>
      <c r="C138" t="s">
        <v>621</v>
      </c>
      <c r="E138" t="s">
        <v>3319</v>
      </c>
      <c r="F138" t="s">
        <v>3320</v>
      </c>
      <c r="G138" t="s">
        <v>3289</v>
      </c>
      <c r="I138" t="s">
        <v>1301</v>
      </c>
      <c r="J138" t="s">
        <v>333</v>
      </c>
      <c r="N138" s="1" t="s">
        <v>3473</v>
      </c>
      <c r="O138" t="s">
        <v>616</v>
      </c>
      <c r="P138" t="s">
        <v>174</v>
      </c>
      <c r="Q138" t="s">
        <v>7</v>
      </c>
    </row>
  </sheetData>
  <autoFilter ref="A1:R138"/>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38"/>
  <sheetViews>
    <sheetView topLeftCell="A76" workbookViewId="0">
      <selection activeCell="N91" sqref="N91"/>
    </sheetView>
  </sheetViews>
  <sheetFormatPr defaultRowHeight="18.75"/>
  <cols>
    <col min="9" max="9" width="9" customWidth="1"/>
  </cols>
  <sheetData>
    <row r="1" spans="1:18">
      <c r="B1" t="s">
        <v>3474</v>
      </c>
      <c r="C1" t="s">
        <v>3475</v>
      </c>
      <c r="D1" t="s">
        <v>3489</v>
      </c>
      <c r="E1" t="s">
        <v>3477</v>
      </c>
      <c r="F1" t="s">
        <v>3479</v>
      </c>
      <c r="G1" t="s">
        <v>3481</v>
      </c>
      <c r="H1" t="s">
        <v>3482</v>
      </c>
      <c r="I1" t="s">
        <v>3483</v>
      </c>
      <c r="O1" t="s">
        <v>3484</v>
      </c>
      <c r="P1" t="s">
        <v>3486</v>
      </c>
      <c r="Q1" s="1" t="str">
        <f t="shared" ref="Q1:R1" si="0">IF(ISERR(SEARCH("戦場に出",K1,1)),"","[CIP]")</f>
        <v/>
      </c>
      <c r="R1" s="1" t="str">
        <f t="shared" si="0"/>
        <v/>
      </c>
    </row>
    <row r="2" spans="1:18">
      <c r="A2" s="1"/>
      <c r="B2" s="1" t="s">
        <v>2282</v>
      </c>
      <c r="C2" s="1" t="s">
        <v>191</v>
      </c>
      <c r="D2" s="1"/>
      <c r="E2" s="1" t="s">
        <v>3319</v>
      </c>
      <c r="F2" s="1" t="s">
        <v>3320</v>
      </c>
      <c r="G2" s="1" t="s">
        <v>3286</v>
      </c>
      <c r="H2" s="1"/>
      <c r="I2" s="1" t="s">
        <v>507</v>
      </c>
      <c r="J2" s="1"/>
      <c r="K2" s="1"/>
      <c r="L2" s="1"/>
      <c r="M2" s="1"/>
      <c r="N2" s="1" t="s">
        <v>3805</v>
      </c>
      <c r="O2" s="1" t="s">
        <v>156</v>
      </c>
      <c r="P2" s="1" t="s">
        <v>174</v>
      </c>
      <c r="Q2" s="1" t="s">
        <v>9</v>
      </c>
    </row>
    <row r="3" spans="1:18">
      <c r="A3" s="1"/>
      <c r="B3" s="1" t="s">
        <v>2283</v>
      </c>
      <c r="C3" t="s">
        <v>191</v>
      </c>
      <c r="E3" t="s">
        <v>3319</v>
      </c>
      <c r="F3" t="s">
        <v>3320</v>
      </c>
      <c r="G3" t="s">
        <v>3286</v>
      </c>
      <c r="I3" t="s">
        <v>510</v>
      </c>
      <c r="N3" s="1" t="s">
        <v>3473</v>
      </c>
      <c r="O3" t="s">
        <v>156</v>
      </c>
      <c r="P3" t="s">
        <v>45</v>
      </c>
      <c r="Q3" t="s">
        <v>9</v>
      </c>
    </row>
    <row r="4" spans="1:18">
      <c r="B4" t="s">
        <v>2284</v>
      </c>
      <c r="C4" t="s">
        <v>191</v>
      </c>
      <c r="E4" t="s">
        <v>3319</v>
      </c>
      <c r="F4" t="s">
        <v>3320</v>
      </c>
      <c r="G4" t="s">
        <v>3304</v>
      </c>
      <c r="H4" t="s">
        <v>3289</v>
      </c>
      <c r="I4" t="s">
        <v>786</v>
      </c>
      <c r="N4" s="1" t="s">
        <v>3805</v>
      </c>
      <c r="O4" t="s">
        <v>156</v>
      </c>
      <c r="P4" t="s">
        <v>176</v>
      </c>
      <c r="Q4" t="s">
        <v>9</v>
      </c>
    </row>
    <row r="5" spans="1:18">
      <c r="A5" s="9"/>
      <c r="B5" s="9" t="s">
        <v>2285</v>
      </c>
      <c r="C5" s="9" t="s">
        <v>191</v>
      </c>
      <c r="D5" s="9"/>
      <c r="E5" s="9" t="s">
        <v>3319</v>
      </c>
      <c r="F5" s="9" t="s">
        <v>3320</v>
      </c>
      <c r="G5" s="9" t="s">
        <v>3289</v>
      </c>
      <c r="H5" s="9"/>
      <c r="I5" s="9" t="s">
        <v>506</v>
      </c>
      <c r="J5" s="9" t="s">
        <v>787</v>
      </c>
      <c r="K5" s="9"/>
      <c r="L5" s="9"/>
      <c r="M5" s="9"/>
      <c r="N5" s="1" t="s">
        <v>3805</v>
      </c>
      <c r="O5" s="9" t="s">
        <v>156</v>
      </c>
      <c r="P5" s="9" t="s">
        <v>30</v>
      </c>
      <c r="Q5" s="9" t="s">
        <v>9</v>
      </c>
      <c r="R5" s="9"/>
    </row>
    <row r="6" spans="1:18">
      <c r="B6" t="s">
        <v>2286</v>
      </c>
      <c r="C6" t="s">
        <v>191</v>
      </c>
      <c r="E6" t="s">
        <v>3319</v>
      </c>
      <c r="F6" t="s">
        <v>3320</v>
      </c>
      <c r="G6" t="s">
        <v>3294</v>
      </c>
      <c r="I6" t="s">
        <v>1322</v>
      </c>
      <c r="J6" t="s">
        <v>509</v>
      </c>
      <c r="N6" s="1" t="s">
        <v>3805</v>
      </c>
      <c r="O6" t="s">
        <v>156</v>
      </c>
      <c r="P6" t="s">
        <v>183</v>
      </c>
      <c r="Q6" t="s">
        <v>9</v>
      </c>
    </row>
    <row r="7" spans="1:18">
      <c r="B7" t="s">
        <v>2287</v>
      </c>
      <c r="C7" t="s">
        <v>191</v>
      </c>
      <c r="E7" t="s">
        <v>3319</v>
      </c>
      <c r="F7" t="s">
        <v>3320</v>
      </c>
      <c r="G7" t="s">
        <v>3286</v>
      </c>
      <c r="I7" t="s">
        <v>501</v>
      </c>
      <c r="J7" t="s">
        <v>502</v>
      </c>
      <c r="N7" s="1" t="s">
        <v>3805</v>
      </c>
      <c r="O7" t="s">
        <v>162</v>
      </c>
      <c r="P7" t="s">
        <v>14</v>
      </c>
      <c r="Q7" t="s">
        <v>9</v>
      </c>
    </row>
    <row r="8" spans="1:18">
      <c r="B8" t="s">
        <v>2288</v>
      </c>
      <c r="C8" t="s">
        <v>191</v>
      </c>
      <c r="E8" t="s">
        <v>3319</v>
      </c>
      <c r="F8" t="s">
        <v>3320</v>
      </c>
      <c r="G8" t="s">
        <v>3286</v>
      </c>
      <c r="I8" t="s">
        <v>1355</v>
      </c>
      <c r="J8" t="s">
        <v>508</v>
      </c>
      <c r="N8" s="1" t="s">
        <v>3805</v>
      </c>
      <c r="O8" t="s">
        <v>157</v>
      </c>
      <c r="P8" t="s">
        <v>38</v>
      </c>
      <c r="Q8" t="s">
        <v>9</v>
      </c>
    </row>
    <row r="9" spans="1:18">
      <c r="B9" t="s">
        <v>2289</v>
      </c>
      <c r="C9" t="s">
        <v>191</v>
      </c>
      <c r="E9" t="s">
        <v>3319</v>
      </c>
      <c r="F9" t="s">
        <v>3320</v>
      </c>
      <c r="G9" t="s">
        <v>3290</v>
      </c>
      <c r="I9" t="s">
        <v>1356</v>
      </c>
      <c r="J9" t="s">
        <v>778</v>
      </c>
      <c r="K9" t="s">
        <v>779</v>
      </c>
      <c r="N9" s="1" t="s">
        <v>3805</v>
      </c>
      <c r="O9" t="s">
        <v>156</v>
      </c>
      <c r="P9" t="s">
        <v>175</v>
      </c>
      <c r="Q9" t="s">
        <v>9</v>
      </c>
    </row>
    <row r="10" spans="1:18">
      <c r="B10" t="s">
        <v>2290</v>
      </c>
      <c r="C10" t="s">
        <v>192</v>
      </c>
      <c r="E10" t="s">
        <v>3319</v>
      </c>
      <c r="F10" t="s">
        <v>3320</v>
      </c>
      <c r="I10" t="s">
        <v>521</v>
      </c>
      <c r="N10" s="1"/>
      <c r="O10" t="s">
        <v>162</v>
      </c>
      <c r="P10" t="s">
        <v>185</v>
      </c>
      <c r="Q10" t="s">
        <v>9</v>
      </c>
    </row>
    <row r="11" spans="1:18">
      <c r="A11" s="9"/>
      <c r="B11" s="9" t="s">
        <v>2291</v>
      </c>
      <c r="C11" s="9" t="s">
        <v>193</v>
      </c>
      <c r="D11" s="9"/>
      <c r="E11" s="9" t="s">
        <v>3319</v>
      </c>
      <c r="F11" s="9" t="s">
        <v>3320</v>
      </c>
      <c r="G11" s="9" t="s">
        <v>3286</v>
      </c>
      <c r="H11" s="9"/>
      <c r="I11" s="9" t="s">
        <v>25</v>
      </c>
      <c r="J11" s="9" t="s">
        <v>513</v>
      </c>
      <c r="K11" s="9"/>
      <c r="L11" s="9"/>
      <c r="M11" s="9"/>
      <c r="N11" s="1" t="s">
        <v>3805</v>
      </c>
      <c r="O11" s="9" t="s">
        <v>154</v>
      </c>
      <c r="P11" s="9" t="s">
        <v>45</v>
      </c>
      <c r="Q11" s="9" t="s">
        <v>9</v>
      </c>
      <c r="R11" s="9"/>
    </row>
    <row r="12" spans="1:18">
      <c r="B12" t="s">
        <v>2292</v>
      </c>
      <c r="C12" t="s">
        <v>192</v>
      </c>
      <c r="E12" t="s">
        <v>3322</v>
      </c>
      <c r="F12" t="s">
        <v>3320</v>
      </c>
      <c r="G12" t="s">
        <v>3286</v>
      </c>
      <c r="I12" t="s">
        <v>1357</v>
      </c>
      <c r="N12" s="1" t="s">
        <v>3805</v>
      </c>
      <c r="O12" t="s">
        <v>162</v>
      </c>
      <c r="P12" t="s">
        <v>27</v>
      </c>
      <c r="Q12" t="s">
        <v>9</v>
      </c>
    </row>
    <row r="13" spans="1:18">
      <c r="B13" t="s">
        <v>2293</v>
      </c>
      <c r="C13" t="s">
        <v>192</v>
      </c>
      <c r="E13" t="s">
        <v>3319</v>
      </c>
      <c r="F13" t="s">
        <v>3320</v>
      </c>
      <c r="G13" t="s">
        <v>3286</v>
      </c>
      <c r="I13" t="s">
        <v>512</v>
      </c>
      <c r="N13" s="1"/>
      <c r="O13" t="s">
        <v>161</v>
      </c>
      <c r="P13" t="s">
        <v>30</v>
      </c>
      <c r="Q13" t="s">
        <v>9</v>
      </c>
    </row>
    <row r="14" spans="1:18">
      <c r="B14" t="s">
        <v>2294</v>
      </c>
      <c r="C14" t="s">
        <v>192</v>
      </c>
      <c r="E14" t="s">
        <v>3319</v>
      </c>
      <c r="F14" t="s">
        <v>3320</v>
      </c>
      <c r="G14" t="s">
        <v>3286</v>
      </c>
      <c r="I14" t="s">
        <v>529</v>
      </c>
      <c r="J14" t="s">
        <v>530</v>
      </c>
      <c r="N14" s="1" t="s">
        <v>3805</v>
      </c>
      <c r="O14" t="s">
        <v>156</v>
      </c>
      <c r="P14" t="s">
        <v>173</v>
      </c>
      <c r="Q14" t="s">
        <v>9</v>
      </c>
    </row>
    <row r="15" spans="1:18">
      <c r="B15" t="s">
        <v>2295</v>
      </c>
      <c r="C15" t="s">
        <v>192</v>
      </c>
      <c r="E15" t="s">
        <v>3319</v>
      </c>
      <c r="F15" t="s">
        <v>3320</v>
      </c>
      <c r="G15" t="s">
        <v>3286</v>
      </c>
      <c r="I15" t="s">
        <v>1307</v>
      </c>
      <c r="J15" t="s">
        <v>527</v>
      </c>
      <c r="N15" s="1" t="s">
        <v>3805</v>
      </c>
      <c r="O15" t="s">
        <v>154</v>
      </c>
      <c r="P15" t="s">
        <v>48</v>
      </c>
      <c r="Q15" t="s">
        <v>9</v>
      </c>
    </row>
    <row r="16" spans="1:18">
      <c r="B16" t="s">
        <v>2296</v>
      </c>
      <c r="C16" t="s">
        <v>193</v>
      </c>
      <c r="E16" t="s">
        <v>3319</v>
      </c>
      <c r="F16" t="s">
        <v>3320</v>
      </c>
      <c r="G16" t="s">
        <v>3290</v>
      </c>
      <c r="I16" t="s">
        <v>0</v>
      </c>
      <c r="J16" t="s">
        <v>528</v>
      </c>
      <c r="N16" s="1" t="s">
        <v>3473</v>
      </c>
      <c r="O16" t="s">
        <v>154</v>
      </c>
      <c r="P16" t="s">
        <v>48</v>
      </c>
      <c r="Q16" t="s">
        <v>9</v>
      </c>
    </row>
    <row r="17" spans="1:18">
      <c r="B17" t="s">
        <v>2297</v>
      </c>
      <c r="C17" t="s">
        <v>192</v>
      </c>
      <c r="E17" t="s">
        <v>3319</v>
      </c>
      <c r="F17" t="s">
        <v>3320</v>
      </c>
      <c r="G17" t="s">
        <v>3286</v>
      </c>
      <c r="I17" t="s">
        <v>515</v>
      </c>
      <c r="J17" t="s">
        <v>516</v>
      </c>
      <c r="N17" s="1" t="s">
        <v>3805</v>
      </c>
      <c r="O17" t="s">
        <v>154</v>
      </c>
      <c r="P17" t="s">
        <v>40</v>
      </c>
      <c r="Q17" t="s">
        <v>9</v>
      </c>
    </row>
    <row r="18" spans="1:18">
      <c r="B18" t="s">
        <v>2298</v>
      </c>
      <c r="C18" t="s">
        <v>192</v>
      </c>
      <c r="E18" t="s">
        <v>3319</v>
      </c>
      <c r="F18" t="s">
        <v>3320</v>
      </c>
      <c r="G18" t="s">
        <v>3286</v>
      </c>
      <c r="I18" t="s">
        <v>522</v>
      </c>
      <c r="J18" t="s">
        <v>523</v>
      </c>
      <c r="N18" s="1" t="s">
        <v>3807</v>
      </c>
      <c r="O18" t="s">
        <v>156</v>
      </c>
      <c r="P18" t="s">
        <v>46</v>
      </c>
      <c r="Q18" t="s">
        <v>9</v>
      </c>
    </row>
    <row r="19" spans="1:18">
      <c r="B19" t="s">
        <v>2299</v>
      </c>
      <c r="C19" t="s">
        <v>193</v>
      </c>
      <c r="E19" t="s">
        <v>3319</v>
      </c>
      <c r="F19" t="s">
        <v>3320</v>
      </c>
      <c r="G19" t="s">
        <v>3289</v>
      </c>
      <c r="I19" t="s">
        <v>1358</v>
      </c>
      <c r="N19" s="1" t="s">
        <v>3805</v>
      </c>
      <c r="O19" t="s">
        <v>154</v>
      </c>
      <c r="P19" t="s">
        <v>174</v>
      </c>
      <c r="Q19" t="s">
        <v>9</v>
      </c>
    </row>
    <row r="20" spans="1:18">
      <c r="B20" t="s">
        <v>2300</v>
      </c>
      <c r="C20" t="s">
        <v>192</v>
      </c>
      <c r="E20" t="s">
        <v>3323</v>
      </c>
      <c r="F20" t="s">
        <v>3320</v>
      </c>
      <c r="G20" t="s">
        <v>3286</v>
      </c>
      <c r="I20" t="s">
        <v>0</v>
      </c>
      <c r="J20" t="s">
        <v>525</v>
      </c>
      <c r="N20" s="1" t="s">
        <v>3805</v>
      </c>
      <c r="O20" t="s">
        <v>162</v>
      </c>
      <c r="P20" t="s">
        <v>44</v>
      </c>
      <c r="Q20" t="s">
        <v>9</v>
      </c>
    </row>
    <row r="21" spans="1:18">
      <c r="B21" t="s">
        <v>2301</v>
      </c>
      <c r="C21" t="s">
        <v>193</v>
      </c>
      <c r="E21" t="s">
        <v>3319</v>
      </c>
      <c r="F21" t="s">
        <v>3320</v>
      </c>
      <c r="G21" t="s">
        <v>3286</v>
      </c>
      <c r="I21" t="s">
        <v>0</v>
      </c>
      <c r="J21" t="s">
        <v>532</v>
      </c>
      <c r="N21" s="1" t="s">
        <v>3805</v>
      </c>
      <c r="O21" t="s">
        <v>154</v>
      </c>
      <c r="P21" t="s">
        <v>6</v>
      </c>
      <c r="Q21" t="s">
        <v>9</v>
      </c>
    </row>
    <row r="22" spans="1:18">
      <c r="A22" s="9"/>
      <c r="B22" s="9" t="s">
        <v>2302</v>
      </c>
      <c r="C22" s="9" t="s">
        <v>192</v>
      </c>
      <c r="D22" s="9"/>
      <c r="E22" s="9" t="s">
        <v>3323</v>
      </c>
      <c r="F22" s="9" t="s">
        <v>3320</v>
      </c>
      <c r="G22" s="9" t="s">
        <v>3292</v>
      </c>
      <c r="H22" s="9"/>
      <c r="I22" s="9" t="s">
        <v>1293</v>
      </c>
      <c r="J22" s="9" t="s">
        <v>520</v>
      </c>
      <c r="K22" s="9"/>
      <c r="L22" s="9"/>
      <c r="M22" s="9"/>
      <c r="N22" s="1" t="s">
        <v>3805</v>
      </c>
      <c r="O22" s="9" t="s">
        <v>162</v>
      </c>
      <c r="P22" s="9" t="s">
        <v>188</v>
      </c>
      <c r="Q22" s="9" t="s">
        <v>9</v>
      </c>
      <c r="R22" s="9"/>
    </row>
    <row r="23" spans="1:18">
      <c r="B23" t="s">
        <v>2303</v>
      </c>
      <c r="C23" t="s">
        <v>192</v>
      </c>
      <c r="E23" t="s">
        <v>3321</v>
      </c>
      <c r="F23" t="s">
        <v>3320</v>
      </c>
      <c r="G23" t="s">
        <v>3289</v>
      </c>
      <c r="I23" t="s">
        <v>531</v>
      </c>
      <c r="N23" s="1" t="s">
        <v>3805</v>
      </c>
      <c r="O23" t="s">
        <v>154</v>
      </c>
      <c r="P23" t="s">
        <v>15</v>
      </c>
      <c r="Q23" t="s">
        <v>9</v>
      </c>
    </row>
    <row r="24" spans="1:18">
      <c r="B24" t="s">
        <v>2304</v>
      </c>
      <c r="C24" t="s">
        <v>193</v>
      </c>
      <c r="E24" t="s">
        <v>3319</v>
      </c>
      <c r="F24" t="s">
        <v>3320</v>
      </c>
      <c r="G24" t="s">
        <v>3289</v>
      </c>
      <c r="I24" t="s">
        <v>511</v>
      </c>
      <c r="N24" s="1" t="s">
        <v>3805</v>
      </c>
      <c r="O24" t="s">
        <v>154</v>
      </c>
      <c r="P24" t="s">
        <v>179</v>
      </c>
      <c r="Q24" t="s">
        <v>9</v>
      </c>
    </row>
    <row r="25" spans="1:18">
      <c r="B25" t="s">
        <v>2305</v>
      </c>
      <c r="C25" t="s">
        <v>192</v>
      </c>
      <c r="E25" t="s">
        <v>3319</v>
      </c>
      <c r="F25" t="s">
        <v>3320</v>
      </c>
      <c r="G25" t="s">
        <v>3294</v>
      </c>
      <c r="I25" t="s">
        <v>1359</v>
      </c>
      <c r="J25" t="s">
        <v>524</v>
      </c>
      <c r="N25" s="1" t="s">
        <v>3805</v>
      </c>
      <c r="O25" t="s">
        <v>154</v>
      </c>
      <c r="P25" t="s">
        <v>38</v>
      </c>
      <c r="Q25" t="s">
        <v>9</v>
      </c>
    </row>
    <row r="26" spans="1:18">
      <c r="B26" t="s">
        <v>2306</v>
      </c>
      <c r="C26" t="s">
        <v>192</v>
      </c>
      <c r="E26" t="s">
        <v>3319</v>
      </c>
      <c r="F26" t="s">
        <v>3320</v>
      </c>
      <c r="G26" t="s">
        <v>3291</v>
      </c>
      <c r="I26" t="s">
        <v>1360</v>
      </c>
      <c r="N26" s="1" t="s">
        <v>3805</v>
      </c>
      <c r="O26" t="s">
        <v>163</v>
      </c>
      <c r="P26" t="s">
        <v>17</v>
      </c>
      <c r="Q26" t="s">
        <v>9</v>
      </c>
    </row>
    <row r="27" spans="1:18">
      <c r="B27" t="s">
        <v>2307</v>
      </c>
      <c r="C27" t="s">
        <v>193</v>
      </c>
      <c r="E27" t="s">
        <v>3319</v>
      </c>
      <c r="F27" t="s">
        <v>3320</v>
      </c>
      <c r="G27" t="s">
        <v>3289</v>
      </c>
      <c r="I27" t="s">
        <v>519</v>
      </c>
      <c r="J27" t="s">
        <v>72</v>
      </c>
      <c r="N27" s="1" t="s">
        <v>3473</v>
      </c>
      <c r="O27" t="s">
        <v>156</v>
      </c>
      <c r="P27" t="s">
        <v>610</v>
      </c>
      <c r="Q27" t="s">
        <v>9</v>
      </c>
    </row>
    <row r="28" spans="1:18">
      <c r="B28" t="s">
        <v>2308</v>
      </c>
      <c r="C28" t="s">
        <v>193</v>
      </c>
      <c r="E28" t="s">
        <v>3319</v>
      </c>
      <c r="F28" t="s">
        <v>3320</v>
      </c>
      <c r="G28" t="s">
        <v>3290</v>
      </c>
      <c r="I28" t="s">
        <v>517</v>
      </c>
      <c r="J28" t="s">
        <v>518</v>
      </c>
      <c r="N28" s="1"/>
      <c r="O28" t="s">
        <v>154</v>
      </c>
      <c r="P28" t="s">
        <v>611</v>
      </c>
      <c r="Q28" t="s">
        <v>9</v>
      </c>
    </row>
    <row r="29" spans="1:18">
      <c r="B29" t="s">
        <v>2309</v>
      </c>
      <c r="C29" t="s">
        <v>192</v>
      </c>
      <c r="E29" t="s">
        <v>3319</v>
      </c>
      <c r="F29" t="s">
        <v>3320</v>
      </c>
      <c r="G29" t="s">
        <v>3286</v>
      </c>
      <c r="I29" t="s">
        <v>533</v>
      </c>
      <c r="M29" t="s">
        <v>153</v>
      </c>
      <c r="N29" s="1" t="s">
        <v>3805</v>
      </c>
      <c r="O29" t="s">
        <v>154</v>
      </c>
    </row>
    <row r="30" spans="1:18">
      <c r="B30" t="s">
        <v>2310</v>
      </c>
      <c r="C30" t="s">
        <v>3390</v>
      </c>
      <c r="E30" t="s">
        <v>3391</v>
      </c>
      <c r="F30" t="s">
        <v>3320</v>
      </c>
      <c r="G30" t="s">
        <v>3289</v>
      </c>
      <c r="I30" t="s">
        <v>534</v>
      </c>
      <c r="J30" t="s">
        <v>535</v>
      </c>
      <c r="M30" t="s">
        <v>153</v>
      </c>
      <c r="N30" s="1" t="s">
        <v>3805</v>
      </c>
      <c r="O30" t="s">
        <v>617</v>
      </c>
      <c r="P30" t="s">
        <v>46</v>
      </c>
      <c r="Q30" t="s">
        <v>9</v>
      </c>
    </row>
    <row r="31" spans="1:18">
      <c r="B31" t="s">
        <v>2311</v>
      </c>
      <c r="C31" t="s">
        <v>192</v>
      </c>
      <c r="E31" t="s">
        <v>3319</v>
      </c>
      <c r="F31" t="s">
        <v>3320</v>
      </c>
      <c r="G31" t="s">
        <v>3291</v>
      </c>
      <c r="I31" t="s">
        <v>19</v>
      </c>
      <c r="J31" t="s">
        <v>1361</v>
      </c>
      <c r="K31" t="s">
        <v>526</v>
      </c>
      <c r="N31" s="1" t="s">
        <v>3805</v>
      </c>
      <c r="O31" t="s">
        <v>162</v>
      </c>
      <c r="P31" t="s">
        <v>32</v>
      </c>
      <c r="Q31" t="s">
        <v>9</v>
      </c>
    </row>
    <row r="32" spans="1:18">
      <c r="A32" s="5"/>
      <c r="B32" s="5" t="s">
        <v>2312</v>
      </c>
      <c r="C32" s="5" t="s">
        <v>209</v>
      </c>
      <c r="D32" s="5"/>
      <c r="E32" s="5" t="s">
        <v>3319</v>
      </c>
      <c r="F32" s="5" t="s">
        <v>3320</v>
      </c>
      <c r="G32" s="5" t="s">
        <v>3299</v>
      </c>
      <c r="H32" s="5"/>
      <c r="I32" s="5" t="s">
        <v>560</v>
      </c>
      <c r="J32" s="5" t="s">
        <v>561</v>
      </c>
      <c r="K32" s="5"/>
      <c r="L32" s="5"/>
      <c r="M32" s="5"/>
      <c r="N32" s="23" t="s">
        <v>3473</v>
      </c>
      <c r="O32" s="5" t="s">
        <v>156</v>
      </c>
      <c r="P32" s="5" t="s">
        <v>611</v>
      </c>
      <c r="Q32" s="5" t="s">
        <v>9</v>
      </c>
    </row>
    <row r="33" spans="1:18">
      <c r="A33" s="9"/>
      <c r="B33" s="9" t="s">
        <v>2313</v>
      </c>
      <c r="C33" s="9" t="s">
        <v>209</v>
      </c>
      <c r="D33" s="9"/>
      <c r="E33" s="9" t="s">
        <v>3319</v>
      </c>
      <c r="F33" s="9" t="s">
        <v>3320</v>
      </c>
      <c r="G33" s="9" t="s">
        <v>3285</v>
      </c>
      <c r="H33" s="9" t="s">
        <v>3296</v>
      </c>
      <c r="I33" s="9" t="s">
        <v>556</v>
      </c>
      <c r="J33" s="9"/>
      <c r="K33" s="9"/>
      <c r="L33" s="9"/>
      <c r="M33" s="9"/>
      <c r="N33" s="12" t="s">
        <v>3473</v>
      </c>
      <c r="O33" s="9" t="s">
        <v>165</v>
      </c>
      <c r="P33" s="9" t="s">
        <v>28</v>
      </c>
      <c r="Q33" s="9" t="s">
        <v>9</v>
      </c>
    </row>
    <row r="34" spans="1:18">
      <c r="B34" t="s">
        <v>2314</v>
      </c>
      <c r="C34" t="s">
        <v>209</v>
      </c>
      <c r="E34" t="s">
        <v>3319</v>
      </c>
      <c r="F34" t="s">
        <v>3320</v>
      </c>
      <c r="G34" t="s">
        <v>3304</v>
      </c>
      <c r="H34" t="s">
        <v>3289</v>
      </c>
      <c r="I34" t="s">
        <v>788</v>
      </c>
      <c r="N34" s="1"/>
      <c r="O34" t="s">
        <v>154</v>
      </c>
      <c r="P34" t="s">
        <v>174</v>
      </c>
      <c r="Q34" t="s">
        <v>9</v>
      </c>
    </row>
    <row r="35" spans="1:18">
      <c r="B35" t="s">
        <v>2315</v>
      </c>
      <c r="C35" t="s">
        <v>209</v>
      </c>
      <c r="E35" t="s">
        <v>3323</v>
      </c>
      <c r="F35" t="s">
        <v>3320</v>
      </c>
      <c r="G35" t="s">
        <v>3286</v>
      </c>
      <c r="I35" t="s">
        <v>0</v>
      </c>
      <c r="J35" t="s">
        <v>553</v>
      </c>
      <c r="N35" s="1"/>
      <c r="O35" t="s">
        <v>165</v>
      </c>
      <c r="P35" t="s">
        <v>39</v>
      </c>
      <c r="Q35" t="s">
        <v>9</v>
      </c>
    </row>
    <row r="36" spans="1:18">
      <c r="B36" t="s">
        <v>2316</v>
      </c>
      <c r="C36" t="s">
        <v>213</v>
      </c>
      <c r="E36" t="s">
        <v>3323</v>
      </c>
      <c r="F36" t="s">
        <v>3320</v>
      </c>
      <c r="G36" t="s">
        <v>3287</v>
      </c>
      <c r="I36" t="s">
        <v>548</v>
      </c>
      <c r="N36" s="1" t="s">
        <v>3805</v>
      </c>
      <c r="O36" t="s">
        <v>156</v>
      </c>
      <c r="P36" t="s">
        <v>31</v>
      </c>
      <c r="Q36" t="s">
        <v>9</v>
      </c>
    </row>
    <row r="37" spans="1:18">
      <c r="B37" t="s">
        <v>2317</v>
      </c>
      <c r="C37" t="s">
        <v>209</v>
      </c>
      <c r="E37" t="s">
        <v>3319</v>
      </c>
      <c r="F37" t="s">
        <v>3320</v>
      </c>
      <c r="G37" t="s">
        <v>3289</v>
      </c>
      <c r="I37" t="s">
        <v>1344</v>
      </c>
      <c r="J37" t="s">
        <v>780</v>
      </c>
      <c r="L37" t="s">
        <v>781</v>
      </c>
      <c r="N37" s="1" t="s">
        <v>3805</v>
      </c>
      <c r="O37" t="s">
        <v>159</v>
      </c>
      <c r="P37" t="s">
        <v>175</v>
      </c>
      <c r="Q37" t="s">
        <v>9</v>
      </c>
    </row>
    <row r="38" spans="1:18">
      <c r="B38" t="s">
        <v>2318</v>
      </c>
      <c r="C38" t="s">
        <v>213</v>
      </c>
      <c r="E38" t="s">
        <v>3319</v>
      </c>
      <c r="F38" t="s">
        <v>3320</v>
      </c>
      <c r="G38" t="s">
        <v>3291</v>
      </c>
      <c r="I38" t="s">
        <v>21</v>
      </c>
      <c r="J38" t="s">
        <v>559</v>
      </c>
      <c r="N38" s="1" t="s">
        <v>3473</v>
      </c>
      <c r="O38" t="s">
        <v>154</v>
      </c>
      <c r="P38" t="s">
        <v>32</v>
      </c>
      <c r="Q38" t="s">
        <v>9</v>
      </c>
    </row>
    <row r="39" spans="1:18">
      <c r="B39" t="s">
        <v>2319</v>
      </c>
      <c r="C39" t="s">
        <v>213</v>
      </c>
      <c r="E39" t="s">
        <v>3319</v>
      </c>
      <c r="F39" t="s">
        <v>3320</v>
      </c>
      <c r="G39" t="s">
        <v>3302</v>
      </c>
      <c r="I39" t="s">
        <v>540</v>
      </c>
      <c r="N39" s="1" t="s">
        <v>3805</v>
      </c>
      <c r="O39" t="s">
        <v>158</v>
      </c>
      <c r="P39" t="s">
        <v>179</v>
      </c>
      <c r="Q39" t="s">
        <v>9</v>
      </c>
    </row>
    <row r="40" spans="1:18">
      <c r="B40" t="s">
        <v>2320</v>
      </c>
      <c r="C40" t="s">
        <v>213</v>
      </c>
      <c r="E40" t="s">
        <v>3319</v>
      </c>
      <c r="F40" t="s">
        <v>3320</v>
      </c>
      <c r="G40" t="s">
        <v>3290</v>
      </c>
      <c r="I40" t="s">
        <v>558</v>
      </c>
      <c r="N40" s="1" t="s">
        <v>3805</v>
      </c>
      <c r="O40" t="s">
        <v>154</v>
      </c>
      <c r="P40" t="s">
        <v>181</v>
      </c>
      <c r="Q40" t="s">
        <v>9</v>
      </c>
    </row>
    <row r="41" spans="1:18">
      <c r="B41" t="s">
        <v>2321</v>
      </c>
      <c r="C41" t="s">
        <v>213</v>
      </c>
      <c r="E41" t="s">
        <v>3319</v>
      </c>
      <c r="F41" t="s">
        <v>3320</v>
      </c>
      <c r="G41" t="s">
        <v>3290</v>
      </c>
      <c r="I41" t="s">
        <v>1301</v>
      </c>
      <c r="J41" t="s">
        <v>1322</v>
      </c>
      <c r="K41" t="s">
        <v>557</v>
      </c>
      <c r="N41" s="1" t="s">
        <v>3805</v>
      </c>
      <c r="O41" t="s">
        <v>154</v>
      </c>
      <c r="P41" t="s">
        <v>185</v>
      </c>
      <c r="Q41" t="s">
        <v>9</v>
      </c>
    </row>
    <row r="42" spans="1:18">
      <c r="B42" t="s">
        <v>2322</v>
      </c>
      <c r="C42" t="s">
        <v>209</v>
      </c>
      <c r="E42" t="s">
        <v>3319</v>
      </c>
      <c r="F42" t="s">
        <v>3320</v>
      </c>
      <c r="G42" t="s">
        <v>3286</v>
      </c>
      <c r="I42" t="s">
        <v>789</v>
      </c>
      <c r="J42" t="s">
        <v>790</v>
      </c>
      <c r="N42" s="1" t="s">
        <v>3805</v>
      </c>
      <c r="O42" t="s">
        <v>156</v>
      </c>
      <c r="P42" t="s">
        <v>10</v>
      </c>
      <c r="Q42" t="s">
        <v>9</v>
      </c>
    </row>
    <row r="43" spans="1:18">
      <c r="A43" s="9"/>
      <c r="B43" s="9" t="s">
        <v>2323</v>
      </c>
      <c r="C43" s="9" t="s">
        <v>213</v>
      </c>
      <c r="D43" s="9"/>
      <c r="E43" s="9" t="s">
        <v>3323</v>
      </c>
      <c r="F43" s="9" t="s">
        <v>3320</v>
      </c>
      <c r="G43" s="9" t="s">
        <v>3290</v>
      </c>
      <c r="H43" s="9"/>
      <c r="I43" s="9" t="s">
        <v>543</v>
      </c>
      <c r="J43" s="9" t="s">
        <v>544</v>
      </c>
      <c r="K43" s="9"/>
      <c r="L43" s="9"/>
      <c r="M43" s="9"/>
      <c r="N43" s="12" t="s">
        <v>3473</v>
      </c>
      <c r="O43" s="9" t="s">
        <v>154</v>
      </c>
      <c r="P43" s="9" t="s">
        <v>31</v>
      </c>
      <c r="Q43" s="9" t="s">
        <v>9</v>
      </c>
    </row>
    <row r="44" spans="1:18">
      <c r="B44" t="s">
        <v>2324</v>
      </c>
      <c r="C44" t="s">
        <v>213</v>
      </c>
      <c r="E44" t="s">
        <v>3319</v>
      </c>
      <c r="F44" t="s">
        <v>3320</v>
      </c>
      <c r="G44" t="s">
        <v>3289</v>
      </c>
      <c r="I44" t="s">
        <v>537</v>
      </c>
      <c r="J44" t="s">
        <v>538</v>
      </c>
      <c r="N44" s="1" t="s">
        <v>3805</v>
      </c>
      <c r="O44" t="s">
        <v>154</v>
      </c>
      <c r="P44" t="s">
        <v>44</v>
      </c>
      <c r="Q44" t="s">
        <v>9</v>
      </c>
    </row>
    <row r="45" spans="1:18">
      <c r="B45" t="s">
        <v>2325</v>
      </c>
      <c r="C45" t="s">
        <v>209</v>
      </c>
      <c r="E45" t="s">
        <v>3319</v>
      </c>
      <c r="F45" t="s">
        <v>3320</v>
      </c>
      <c r="G45" t="s">
        <v>3289</v>
      </c>
      <c r="I45" t="s">
        <v>541</v>
      </c>
      <c r="J45" t="s">
        <v>542</v>
      </c>
      <c r="N45" s="1" t="s">
        <v>3805</v>
      </c>
      <c r="O45" t="s">
        <v>170</v>
      </c>
      <c r="P45" t="s">
        <v>5</v>
      </c>
      <c r="Q45" t="s">
        <v>9</v>
      </c>
    </row>
    <row r="46" spans="1:18">
      <c r="B46" t="s">
        <v>2326</v>
      </c>
      <c r="C46" t="s">
        <v>213</v>
      </c>
      <c r="E46" t="s">
        <v>3319</v>
      </c>
      <c r="F46" t="s">
        <v>3320</v>
      </c>
      <c r="G46" t="s">
        <v>3286</v>
      </c>
      <c r="I46" t="s">
        <v>554</v>
      </c>
      <c r="N46" s="1" t="s">
        <v>3805</v>
      </c>
      <c r="O46" t="s">
        <v>154</v>
      </c>
      <c r="P46" t="s">
        <v>179</v>
      </c>
      <c r="Q46" t="s">
        <v>9</v>
      </c>
    </row>
    <row r="47" spans="1:18">
      <c r="A47" s="9"/>
      <c r="B47" s="9" t="s">
        <v>2327</v>
      </c>
      <c r="C47" s="9" t="s">
        <v>209</v>
      </c>
      <c r="D47" s="9"/>
      <c r="E47" s="9" t="s">
        <v>3319</v>
      </c>
      <c r="F47" s="9" t="s">
        <v>3320</v>
      </c>
      <c r="G47" s="9" t="s">
        <v>3289</v>
      </c>
      <c r="H47" s="9" t="s">
        <v>3296</v>
      </c>
      <c r="I47" s="9" t="s">
        <v>551</v>
      </c>
      <c r="J47" s="9"/>
      <c r="K47" s="9"/>
      <c r="L47" s="9"/>
      <c r="M47" s="9" t="s">
        <v>495</v>
      </c>
      <c r="N47" s="1" t="s">
        <v>3805</v>
      </c>
      <c r="O47" s="9" t="s">
        <v>164</v>
      </c>
      <c r="P47" s="9" t="s">
        <v>612</v>
      </c>
      <c r="Q47" s="9" t="s">
        <v>9</v>
      </c>
      <c r="R47" s="9"/>
    </row>
    <row r="48" spans="1:18">
      <c r="B48" t="s">
        <v>2328</v>
      </c>
      <c r="C48" t="s">
        <v>213</v>
      </c>
      <c r="E48" t="s">
        <v>3319</v>
      </c>
      <c r="F48" t="s">
        <v>3320</v>
      </c>
      <c r="G48" t="s">
        <v>3290</v>
      </c>
      <c r="I48" t="s">
        <v>1301</v>
      </c>
      <c r="J48" t="s">
        <v>1362</v>
      </c>
      <c r="N48" s="1" t="s">
        <v>3805</v>
      </c>
      <c r="O48" t="s">
        <v>154</v>
      </c>
      <c r="P48" t="s">
        <v>183</v>
      </c>
      <c r="Q48" t="s">
        <v>9</v>
      </c>
    </row>
    <row r="49" spans="1:18">
      <c r="B49" t="s">
        <v>2329</v>
      </c>
      <c r="C49" t="s">
        <v>209</v>
      </c>
      <c r="E49" t="s">
        <v>3319</v>
      </c>
      <c r="F49" t="s">
        <v>3320</v>
      </c>
      <c r="G49" t="s">
        <v>3286</v>
      </c>
      <c r="I49" t="s">
        <v>555</v>
      </c>
      <c r="N49" s="1" t="s">
        <v>3805</v>
      </c>
      <c r="O49" t="s">
        <v>156</v>
      </c>
      <c r="P49" t="s">
        <v>186</v>
      </c>
      <c r="Q49" t="s">
        <v>9</v>
      </c>
    </row>
    <row r="50" spans="1:18">
      <c r="B50" t="s">
        <v>2330</v>
      </c>
      <c r="C50" t="s">
        <v>213</v>
      </c>
      <c r="E50" t="s">
        <v>3319</v>
      </c>
      <c r="F50" t="s">
        <v>3320</v>
      </c>
      <c r="G50" t="s">
        <v>3290</v>
      </c>
      <c r="I50" t="s">
        <v>1363</v>
      </c>
      <c r="N50" s="1" t="s">
        <v>3805</v>
      </c>
      <c r="O50" t="s">
        <v>154</v>
      </c>
      <c r="P50" t="s">
        <v>174</v>
      </c>
      <c r="Q50" t="s">
        <v>9</v>
      </c>
    </row>
    <row r="51" spans="1:18">
      <c r="B51" t="s">
        <v>2331</v>
      </c>
      <c r="C51" t="s">
        <v>209</v>
      </c>
      <c r="E51" t="s">
        <v>3319</v>
      </c>
      <c r="F51" t="s">
        <v>3320</v>
      </c>
      <c r="G51" t="s">
        <v>3286</v>
      </c>
      <c r="I51" t="s">
        <v>549</v>
      </c>
      <c r="N51" s="1" t="s">
        <v>3473</v>
      </c>
      <c r="O51" t="s">
        <v>154</v>
      </c>
      <c r="P51" t="s">
        <v>45</v>
      </c>
      <c r="Q51" t="s">
        <v>9</v>
      </c>
    </row>
    <row r="52" spans="1:18">
      <c r="B52" t="s">
        <v>2332</v>
      </c>
      <c r="C52" t="s">
        <v>209</v>
      </c>
      <c r="E52" t="s">
        <v>3319</v>
      </c>
      <c r="F52" t="s">
        <v>3320</v>
      </c>
      <c r="G52" t="s">
        <v>3287</v>
      </c>
      <c r="I52" t="s">
        <v>1364</v>
      </c>
      <c r="N52" s="1" t="s">
        <v>3805</v>
      </c>
      <c r="O52" t="s">
        <v>154</v>
      </c>
      <c r="P52" t="s">
        <v>175</v>
      </c>
      <c r="Q52" t="s">
        <v>9</v>
      </c>
    </row>
    <row r="53" spans="1:18">
      <c r="B53" t="s">
        <v>2333</v>
      </c>
      <c r="C53" t="s">
        <v>209</v>
      </c>
      <c r="E53" t="s">
        <v>3323</v>
      </c>
      <c r="F53" t="s">
        <v>3320</v>
      </c>
      <c r="G53" t="s">
        <v>3295</v>
      </c>
      <c r="I53" t="s">
        <v>3</v>
      </c>
      <c r="J53" t="s">
        <v>550</v>
      </c>
      <c r="N53" s="1" t="s">
        <v>3805</v>
      </c>
      <c r="O53" t="s">
        <v>162</v>
      </c>
      <c r="P53" t="s">
        <v>180</v>
      </c>
      <c r="Q53" t="s">
        <v>9</v>
      </c>
    </row>
    <row r="54" spans="1:18">
      <c r="A54" s="9"/>
      <c r="B54" s="9" t="s">
        <v>2334</v>
      </c>
      <c r="C54" s="9" t="s">
        <v>213</v>
      </c>
      <c r="D54" s="9"/>
      <c r="E54" s="9" t="s">
        <v>3323</v>
      </c>
      <c r="F54" s="9" t="s">
        <v>3320</v>
      </c>
      <c r="G54" s="9" t="s">
        <v>3289</v>
      </c>
      <c r="H54" s="9"/>
      <c r="I54" s="9" t="s">
        <v>545</v>
      </c>
      <c r="J54" s="9" t="s">
        <v>546</v>
      </c>
      <c r="K54" s="9"/>
      <c r="L54" s="9"/>
      <c r="M54" s="9"/>
      <c r="N54" s="1" t="s">
        <v>3805</v>
      </c>
      <c r="O54" s="9" t="s">
        <v>161</v>
      </c>
      <c r="P54" s="9" t="s">
        <v>34</v>
      </c>
      <c r="Q54" s="9" t="s">
        <v>9</v>
      </c>
      <c r="R54" s="9"/>
    </row>
    <row r="55" spans="1:18">
      <c r="B55" t="s">
        <v>2335</v>
      </c>
      <c r="C55" t="s">
        <v>213</v>
      </c>
      <c r="E55" t="s">
        <v>3319</v>
      </c>
      <c r="F55" t="s">
        <v>3320</v>
      </c>
      <c r="G55" t="s">
        <v>3286</v>
      </c>
      <c r="I55" t="s">
        <v>21</v>
      </c>
      <c r="J55" t="s">
        <v>547</v>
      </c>
      <c r="N55" s="1" t="s">
        <v>3805</v>
      </c>
      <c r="O55" t="s">
        <v>154</v>
      </c>
      <c r="P55" t="s">
        <v>14</v>
      </c>
      <c r="Q55" t="s">
        <v>9</v>
      </c>
    </row>
    <row r="56" spans="1:18">
      <c r="B56" t="s">
        <v>2336</v>
      </c>
      <c r="C56" t="s">
        <v>213</v>
      </c>
      <c r="E56" t="s">
        <v>3319</v>
      </c>
      <c r="F56" t="s">
        <v>3320</v>
      </c>
      <c r="G56" t="s">
        <v>3286</v>
      </c>
      <c r="I56" t="s">
        <v>1365</v>
      </c>
      <c r="N56" s="1" t="s">
        <v>3805</v>
      </c>
      <c r="O56" t="s">
        <v>154</v>
      </c>
      <c r="P56" t="s">
        <v>174</v>
      </c>
      <c r="Q56" t="s">
        <v>9</v>
      </c>
    </row>
    <row r="57" spans="1:18">
      <c r="B57" t="s">
        <v>2337</v>
      </c>
      <c r="C57" t="s">
        <v>213</v>
      </c>
      <c r="E57" t="s">
        <v>3319</v>
      </c>
      <c r="F57" t="s">
        <v>3320</v>
      </c>
      <c r="G57" t="s">
        <v>3290</v>
      </c>
      <c r="I57" t="s">
        <v>1325</v>
      </c>
      <c r="J57" t="s">
        <v>552</v>
      </c>
      <c r="M57" t="s">
        <v>495</v>
      </c>
      <c r="N57" s="1" t="s">
        <v>3805</v>
      </c>
      <c r="O57" t="s">
        <v>154</v>
      </c>
      <c r="P57" t="s">
        <v>52</v>
      </c>
      <c r="Q57" t="s">
        <v>9</v>
      </c>
    </row>
    <row r="58" spans="1:18">
      <c r="B58" t="s">
        <v>2338</v>
      </c>
      <c r="C58" t="s">
        <v>214</v>
      </c>
      <c r="E58" t="s">
        <v>3319</v>
      </c>
      <c r="F58" t="s">
        <v>3320</v>
      </c>
      <c r="G58" t="s">
        <v>3287</v>
      </c>
      <c r="I58" t="s">
        <v>578</v>
      </c>
      <c r="N58" s="1" t="s">
        <v>3805</v>
      </c>
      <c r="O58" t="s">
        <v>159</v>
      </c>
      <c r="P58" t="s">
        <v>34</v>
      </c>
      <c r="Q58" t="s">
        <v>9</v>
      </c>
    </row>
    <row r="59" spans="1:18">
      <c r="B59" t="s">
        <v>2339</v>
      </c>
      <c r="C59" t="s">
        <v>214</v>
      </c>
      <c r="E59" t="s">
        <v>3323</v>
      </c>
      <c r="F59" t="s">
        <v>3320</v>
      </c>
      <c r="G59" t="s">
        <v>3288</v>
      </c>
      <c r="I59" t="s">
        <v>568</v>
      </c>
      <c r="N59" s="1" t="s">
        <v>3805</v>
      </c>
      <c r="O59" t="s">
        <v>154</v>
      </c>
      <c r="P59" t="s">
        <v>174</v>
      </c>
      <c r="Q59" t="s">
        <v>9</v>
      </c>
    </row>
    <row r="60" spans="1:18">
      <c r="B60" t="s">
        <v>2340</v>
      </c>
      <c r="C60" t="s">
        <v>190</v>
      </c>
      <c r="E60" t="s">
        <v>3319</v>
      </c>
      <c r="F60" t="s">
        <v>3320</v>
      </c>
      <c r="G60" t="s">
        <v>3286</v>
      </c>
      <c r="I60" t="s">
        <v>579</v>
      </c>
      <c r="N60" s="1" t="s">
        <v>3473</v>
      </c>
      <c r="O60" t="s">
        <v>165</v>
      </c>
      <c r="P60" t="s">
        <v>15</v>
      </c>
      <c r="Q60" t="s">
        <v>9</v>
      </c>
    </row>
    <row r="61" spans="1:18">
      <c r="A61" s="9"/>
      <c r="B61" s="9" t="s">
        <v>2341</v>
      </c>
      <c r="C61" s="9" t="s">
        <v>214</v>
      </c>
      <c r="D61" s="9"/>
      <c r="E61" s="9" t="s">
        <v>3319</v>
      </c>
      <c r="F61" s="9" t="s">
        <v>3320</v>
      </c>
      <c r="G61" s="9" t="s">
        <v>3290</v>
      </c>
      <c r="H61" s="9"/>
      <c r="I61" s="9" t="s">
        <v>23</v>
      </c>
      <c r="J61" s="9" t="s">
        <v>563</v>
      </c>
      <c r="K61" s="9" t="s">
        <v>564</v>
      </c>
      <c r="L61" s="9"/>
      <c r="M61" s="9"/>
      <c r="N61" s="1" t="s">
        <v>3473</v>
      </c>
      <c r="O61" s="9" t="s">
        <v>170</v>
      </c>
      <c r="P61" s="9" t="s">
        <v>52</v>
      </c>
      <c r="Q61" s="9" t="s">
        <v>9</v>
      </c>
      <c r="R61" s="9"/>
    </row>
    <row r="62" spans="1:18">
      <c r="B62" t="s">
        <v>2342</v>
      </c>
      <c r="C62" t="s">
        <v>214</v>
      </c>
      <c r="E62" t="s">
        <v>3319</v>
      </c>
      <c r="F62" t="s">
        <v>3320</v>
      </c>
      <c r="G62" t="s">
        <v>3286</v>
      </c>
      <c r="I62" t="s">
        <v>565</v>
      </c>
      <c r="J62" t="s">
        <v>566</v>
      </c>
      <c r="N62" s="1" t="s">
        <v>3805</v>
      </c>
      <c r="O62" t="s">
        <v>168</v>
      </c>
      <c r="P62" t="s">
        <v>27</v>
      </c>
      <c r="Q62" t="s">
        <v>9</v>
      </c>
    </row>
    <row r="63" spans="1:18">
      <c r="B63" t="s">
        <v>2343</v>
      </c>
      <c r="C63" t="s">
        <v>190</v>
      </c>
      <c r="E63" t="s">
        <v>3319</v>
      </c>
      <c r="F63" t="s">
        <v>3320</v>
      </c>
      <c r="G63" t="s">
        <v>3289</v>
      </c>
      <c r="I63" t="s">
        <v>571</v>
      </c>
      <c r="J63" t="s">
        <v>791</v>
      </c>
      <c r="N63" s="1" t="s">
        <v>3473</v>
      </c>
      <c r="O63" t="s">
        <v>164</v>
      </c>
      <c r="P63" t="s">
        <v>39</v>
      </c>
      <c r="Q63" t="s">
        <v>9</v>
      </c>
    </row>
    <row r="64" spans="1:18">
      <c r="A64" s="9"/>
      <c r="B64" s="9" t="s">
        <v>2344</v>
      </c>
      <c r="C64" s="9" t="s">
        <v>190</v>
      </c>
      <c r="D64" s="9"/>
      <c r="E64" s="9" t="s">
        <v>3319</v>
      </c>
      <c r="F64" s="9" t="s">
        <v>3320</v>
      </c>
      <c r="G64" s="9" t="s">
        <v>3290</v>
      </c>
      <c r="H64" s="9" t="s">
        <v>3296</v>
      </c>
      <c r="I64" s="9" t="s">
        <v>567</v>
      </c>
      <c r="J64" s="9"/>
      <c r="K64" s="9"/>
      <c r="L64" s="9"/>
      <c r="M64" s="9"/>
      <c r="N64" s="12" t="s">
        <v>3473</v>
      </c>
      <c r="O64" s="9" t="s">
        <v>164</v>
      </c>
      <c r="P64" s="9" t="s">
        <v>609</v>
      </c>
      <c r="Q64" s="9" t="s">
        <v>9</v>
      </c>
    </row>
    <row r="65" spans="1:18">
      <c r="B65" t="s">
        <v>2345</v>
      </c>
      <c r="C65" t="s">
        <v>190</v>
      </c>
      <c r="E65" t="s">
        <v>3323</v>
      </c>
      <c r="F65" t="s">
        <v>3320</v>
      </c>
      <c r="G65" t="s">
        <v>3291</v>
      </c>
      <c r="I65" t="s">
        <v>23</v>
      </c>
      <c r="J65" t="s">
        <v>580</v>
      </c>
      <c r="K65" t="s">
        <v>798</v>
      </c>
      <c r="N65" s="1"/>
      <c r="O65" t="s">
        <v>782</v>
      </c>
      <c r="P65" t="s">
        <v>53</v>
      </c>
      <c r="Q65" t="s">
        <v>9</v>
      </c>
    </row>
    <row r="66" spans="1:18">
      <c r="B66" t="s">
        <v>2346</v>
      </c>
      <c r="C66" t="s">
        <v>190</v>
      </c>
      <c r="E66" t="s">
        <v>3319</v>
      </c>
      <c r="F66" t="s">
        <v>3320</v>
      </c>
      <c r="G66" t="s">
        <v>3287</v>
      </c>
      <c r="I66" t="s">
        <v>1</v>
      </c>
      <c r="J66" t="s">
        <v>569</v>
      </c>
      <c r="N66" s="1" t="s">
        <v>3805</v>
      </c>
      <c r="O66" t="s">
        <v>164</v>
      </c>
      <c r="P66" t="s">
        <v>610</v>
      </c>
      <c r="Q66" t="s">
        <v>9</v>
      </c>
    </row>
    <row r="67" spans="1:18">
      <c r="B67" t="s">
        <v>2347</v>
      </c>
      <c r="C67" t="s">
        <v>190</v>
      </c>
      <c r="E67" t="s">
        <v>3319</v>
      </c>
      <c r="F67" t="s">
        <v>3320</v>
      </c>
      <c r="G67" t="s">
        <v>3287</v>
      </c>
      <c r="I67" t="s">
        <v>570</v>
      </c>
      <c r="N67" s="1" t="s">
        <v>3805</v>
      </c>
      <c r="O67" t="s">
        <v>783</v>
      </c>
      <c r="P67" t="s">
        <v>33</v>
      </c>
      <c r="Q67" t="s">
        <v>9</v>
      </c>
    </row>
    <row r="68" spans="1:18">
      <c r="B68" t="s">
        <v>2348</v>
      </c>
      <c r="C68" t="s">
        <v>190</v>
      </c>
      <c r="E68" t="s">
        <v>3323</v>
      </c>
      <c r="F68" t="s">
        <v>3320</v>
      </c>
      <c r="G68" t="s">
        <v>3295</v>
      </c>
      <c r="I68" t="s">
        <v>562</v>
      </c>
      <c r="N68" s="1" t="s">
        <v>3805</v>
      </c>
      <c r="O68" t="s">
        <v>154</v>
      </c>
      <c r="P68" t="s">
        <v>184</v>
      </c>
      <c r="Q68" t="s">
        <v>9</v>
      </c>
    </row>
    <row r="69" spans="1:18">
      <c r="B69" t="s">
        <v>2349</v>
      </c>
      <c r="C69" t="s">
        <v>190</v>
      </c>
      <c r="E69" t="s">
        <v>3319</v>
      </c>
      <c r="F69" t="s">
        <v>3320</v>
      </c>
      <c r="G69" t="s">
        <v>3291</v>
      </c>
      <c r="I69" t="s">
        <v>1366</v>
      </c>
      <c r="N69" s="1" t="s">
        <v>3805</v>
      </c>
      <c r="O69" t="s">
        <v>164</v>
      </c>
      <c r="P69" t="s">
        <v>53</v>
      </c>
      <c r="Q69" t="s">
        <v>9</v>
      </c>
    </row>
    <row r="70" spans="1:18">
      <c r="B70" t="s">
        <v>756</v>
      </c>
      <c r="C70" t="s">
        <v>190</v>
      </c>
      <c r="E70" t="s">
        <v>3319</v>
      </c>
      <c r="F70" t="s">
        <v>3320</v>
      </c>
      <c r="G70" t="s">
        <v>3286</v>
      </c>
      <c r="I70" t="s">
        <v>634</v>
      </c>
      <c r="N70" s="1" t="s">
        <v>3805</v>
      </c>
      <c r="O70" t="s">
        <v>168</v>
      </c>
      <c r="P70" t="s">
        <v>785</v>
      </c>
      <c r="Q70" t="s">
        <v>9</v>
      </c>
    </row>
    <row r="71" spans="1:18">
      <c r="B71" t="s">
        <v>2350</v>
      </c>
      <c r="C71" t="s">
        <v>214</v>
      </c>
      <c r="E71" t="s">
        <v>3319</v>
      </c>
      <c r="F71" t="s">
        <v>3320</v>
      </c>
      <c r="G71" t="s">
        <v>3286</v>
      </c>
      <c r="I71" t="s">
        <v>1307</v>
      </c>
      <c r="J71" t="s">
        <v>792</v>
      </c>
      <c r="N71" s="1" t="s">
        <v>3805</v>
      </c>
      <c r="O71" t="s">
        <v>618</v>
      </c>
      <c r="P71" t="s">
        <v>48</v>
      </c>
      <c r="Q71" t="s">
        <v>9</v>
      </c>
    </row>
    <row r="72" spans="1:18">
      <c r="B72" t="s">
        <v>2351</v>
      </c>
      <c r="C72" t="s">
        <v>190</v>
      </c>
      <c r="E72" t="s">
        <v>3323</v>
      </c>
      <c r="F72" t="s">
        <v>3320</v>
      </c>
      <c r="G72" t="s">
        <v>3286</v>
      </c>
      <c r="I72" t="s">
        <v>574</v>
      </c>
      <c r="N72" s="1" t="s">
        <v>3805</v>
      </c>
      <c r="O72" t="s">
        <v>170</v>
      </c>
      <c r="P72" t="s">
        <v>46</v>
      </c>
      <c r="Q72" t="s">
        <v>9</v>
      </c>
    </row>
    <row r="73" spans="1:18">
      <c r="B73" t="s">
        <v>2352</v>
      </c>
      <c r="C73" t="s">
        <v>214</v>
      </c>
      <c r="E73" t="s">
        <v>3319</v>
      </c>
      <c r="F73" t="s">
        <v>3320</v>
      </c>
      <c r="G73" t="s">
        <v>3287</v>
      </c>
      <c r="I73" t="s">
        <v>576</v>
      </c>
      <c r="J73" t="s">
        <v>577</v>
      </c>
      <c r="N73" s="1"/>
      <c r="O73" t="s">
        <v>168</v>
      </c>
      <c r="P73" t="s">
        <v>31</v>
      </c>
      <c r="Q73" t="s">
        <v>9</v>
      </c>
    </row>
    <row r="74" spans="1:18">
      <c r="B74" t="s">
        <v>3410</v>
      </c>
      <c r="C74" t="s">
        <v>190</v>
      </c>
      <c r="E74" t="s">
        <v>3319</v>
      </c>
      <c r="F74" t="s">
        <v>3320</v>
      </c>
      <c r="G74" t="s">
        <v>3286</v>
      </c>
      <c r="I74" t="s">
        <v>581</v>
      </c>
      <c r="J74" t="s">
        <v>793</v>
      </c>
      <c r="K74" t="s">
        <v>582</v>
      </c>
      <c r="N74" s="1" t="s">
        <v>3805</v>
      </c>
      <c r="O74" t="s">
        <v>617</v>
      </c>
      <c r="P74" t="s">
        <v>33</v>
      </c>
      <c r="Q74" t="s">
        <v>9</v>
      </c>
    </row>
    <row r="75" spans="1:18">
      <c r="B75" t="s">
        <v>2353</v>
      </c>
      <c r="C75" t="s">
        <v>214</v>
      </c>
      <c r="E75" t="s">
        <v>3323</v>
      </c>
      <c r="F75" t="s">
        <v>3320</v>
      </c>
      <c r="G75" t="s">
        <v>3286</v>
      </c>
      <c r="I75" t="s">
        <v>1301</v>
      </c>
      <c r="J75" t="s">
        <v>575</v>
      </c>
      <c r="N75" s="1" t="s">
        <v>3805</v>
      </c>
      <c r="O75" t="s">
        <v>171</v>
      </c>
      <c r="P75" t="s">
        <v>186</v>
      </c>
      <c r="Q75" t="s">
        <v>9</v>
      </c>
    </row>
    <row r="76" spans="1:18">
      <c r="B76" t="s">
        <v>2354</v>
      </c>
      <c r="C76" t="s">
        <v>190</v>
      </c>
      <c r="E76" t="s">
        <v>3319</v>
      </c>
      <c r="F76" t="s">
        <v>3320</v>
      </c>
      <c r="G76" t="s">
        <v>3286</v>
      </c>
      <c r="I76" t="s">
        <v>572</v>
      </c>
      <c r="N76" s="1" t="s">
        <v>3805</v>
      </c>
      <c r="O76" t="s">
        <v>784</v>
      </c>
      <c r="P76" t="s">
        <v>176</v>
      </c>
      <c r="Q76" t="s">
        <v>9</v>
      </c>
    </row>
    <row r="77" spans="1:18">
      <c r="B77" t="s">
        <v>2355</v>
      </c>
      <c r="C77" t="s">
        <v>214</v>
      </c>
      <c r="E77" t="s">
        <v>3319</v>
      </c>
      <c r="F77" t="s">
        <v>3320</v>
      </c>
      <c r="G77" t="s">
        <v>3286</v>
      </c>
      <c r="I77" t="s">
        <v>794</v>
      </c>
      <c r="N77" s="1" t="s">
        <v>3805</v>
      </c>
      <c r="O77" t="s">
        <v>161</v>
      </c>
      <c r="P77" t="s">
        <v>182</v>
      </c>
      <c r="Q77" t="s">
        <v>9</v>
      </c>
    </row>
    <row r="78" spans="1:18">
      <c r="A78" s="9"/>
      <c r="B78" s="9" t="s">
        <v>2356</v>
      </c>
      <c r="C78" s="9" t="s">
        <v>216</v>
      </c>
      <c r="D78" s="9"/>
      <c r="E78" s="9" t="s">
        <v>3319</v>
      </c>
      <c r="F78" s="9" t="s">
        <v>3320</v>
      </c>
      <c r="G78" s="9" t="s">
        <v>3290</v>
      </c>
      <c r="H78" s="9" t="s">
        <v>3296</v>
      </c>
      <c r="I78" s="9" t="s">
        <v>588</v>
      </c>
      <c r="J78" s="9"/>
      <c r="K78" s="9"/>
      <c r="L78" s="9"/>
      <c r="M78" s="9"/>
      <c r="N78" s="1" t="s">
        <v>3473</v>
      </c>
      <c r="O78" s="9" t="s">
        <v>618</v>
      </c>
      <c r="P78" s="9" t="s">
        <v>28</v>
      </c>
      <c r="Q78" s="9" t="s">
        <v>9</v>
      </c>
      <c r="R78" s="9"/>
    </row>
    <row r="79" spans="1:18">
      <c r="B79" t="s">
        <v>2357</v>
      </c>
      <c r="C79" t="s">
        <v>216</v>
      </c>
      <c r="E79" t="s">
        <v>3319</v>
      </c>
      <c r="F79" t="s">
        <v>3320</v>
      </c>
      <c r="G79" t="s">
        <v>3289</v>
      </c>
      <c r="I79" t="s">
        <v>592</v>
      </c>
      <c r="N79" s="1" t="s">
        <v>3805</v>
      </c>
      <c r="O79" t="s">
        <v>166</v>
      </c>
      <c r="P79" t="s">
        <v>176</v>
      </c>
      <c r="Q79" t="s">
        <v>9</v>
      </c>
    </row>
    <row r="80" spans="1:18">
      <c r="B80" t="s">
        <v>2358</v>
      </c>
      <c r="C80" t="s">
        <v>216</v>
      </c>
      <c r="E80" t="s">
        <v>3319</v>
      </c>
      <c r="F80" t="s">
        <v>3320</v>
      </c>
      <c r="G80" t="s">
        <v>3290</v>
      </c>
      <c r="I80" t="s">
        <v>590</v>
      </c>
      <c r="J80" t="s">
        <v>795</v>
      </c>
      <c r="N80" s="1" t="s">
        <v>3473</v>
      </c>
      <c r="O80" t="s">
        <v>154</v>
      </c>
      <c r="P80" t="s">
        <v>15</v>
      </c>
      <c r="Q80" t="s">
        <v>9</v>
      </c>
    </row>
    <row r="81" spans="1:18">
      <c r="B81" t="s">
        <v>2359</v>
      </c>
      <c r="C81" t="s">
        <v>215</v>
      </c>
      <c r="E81" t="s">
        <v>3319</v>
      </c>
      <c r="F81" t="s">
        <v>3320</v>
      </c>
      <c r="G81" t="s">
        <v>3286</v>
      </c>
      <c r="I81" t="s">
        <v>591</v>
      </c>
      <c r="N81" s="1" t="s">
        <v>3805</v>
      </c>
      <c r="O81" t="s">
        <v>167</v>
      </c>
      <c r="P81" t="s">
        <v>174</v>
      </c>
      <c r="Q81" t="s">
        <v>9</v>
      </c>
    </row>
    <row r="82" spans="1:18">
      <c r="B82" t="s">
        <v>2360</v>
      </c>
      <c r="C82" t="s">
        <v>796</v>
      </c>
      <c r="E82" t="s">
        <v>3319</v>
      </c>
      <c r="F82" t="s">
        <v>3320</v>
      </c>
      <c r="G82" t="s">
        <v>3290</v>
      </c>
      <c r="I82" t="s">
        <v>539</v>
      </c>
      <c r="J82" t="s">
        <v>594</v>
      </c>
      <c r="K82" t="s">
        <v>797</v>
      </c>
      <c r="N82" s="1" t="s">
        <v>3473</v>
      </c>
      <c r="O82" t="s">
        <v>170</v>
      </c>
      <c r="P82" t="s">
        <v>31</v>
      </c>
      <c r="Q82" t="s">
        <v>9</v>
      </c>
    </row>
    <row r="83" spans="1:18">
      <c r="A83" s="9"/>
      <c r="B83" s="9" t="s">
        <v>2361</v>
      </c>
      <c r="C83" s="9" t="s">
        <v>215</v>
      </c>
      <c r="D83" s="9"/>
      <c r="E83" s="9" t="s">
        <v>3323</v>
      </c>
      <c r="F83" s="9" t="s">
        <v>3320</v>
      </c>
      <c r="G83" s="9" t="s">
        <v>3291</v>
      </c>
      <c r="H83" s="9"/>
      <c r="I83" s="9" t="s">
        <v>23</v>
      </c>
      <c r="J83" s="9" t="s">
        <v>597</v>
      </c>
      <c r="K83" s="9" t="s">
        <v>598</v>
      </c>
      <c r="L83" s="9"/>
      <c r="M83" s="9"/>
      <c r="N83" s="1" t="s">
        <v>3473</v>
      </c>
      <c r="O83" s="9" t="s">
        <v>618</v>
      </c>
      <c r="P83" s="9" t="s">
        <v>29</v>
      </c>
      <c r="Q83" s="9" t="s">
        <v>9</v>
      </c>
      <c r="R83" s="9"/>
    </row>
    <row r="84" spans="1:18">
      <c r="B84" t="s">
        <v>2362</v>
      </c>
      <c r="C84" t="s">
        <v>215</v>
      </c>
      <c r="E84" t="s">
        <v>3319</v>
      </c>
      <c r="F84" t="s">
        <v>3320</v>
      </c>
      <c r="G84" t="s">
        <v>3290</v>
      </c>
      <c r="I84" t="s">
        <v>1301</v>
      </c>
      <c r="J84" t="s">
        <v>589</v>
      </c>
      <c r="N84" s="1" t="s">
        <v>3805</v>
      </c>
      <c r="O84" t="s">
        <v>616</v>
      </c>
      <c r="P84" t="s">
        <v>178</v>
      </c>
      <c r="Q84" t="s">
        <v>9</v>
      </c>
    </row>
    <row r="85" spans="1:18">
      <c r="B85" t="s">
        <v>2363</v>
      </c>
      <c r="C85" t="s">
        <v>215</v>
      </c>
      <c r="E85" t="s">
        <v>3323</v>
      </c>
      <c r="F85" t="s">
        <v>3320</v>
      </c>
      <c r="G85" t="s">
        <v>3286</v>
      </c>
      <c r="I85" t="s">
        <v>1309</v>
      </c>
      <c r="J85" t="s">
        <v>1367</v>
      </c>
      <c r="N85" s="1" t="s">
        <v>3473</v>
      </c>
      <c r="O85" t="s">
        <v>616</v>
      </c>
      <c r="P85" t="s">
        <v>48</v>
      </c>
      <c r="Q85" t="s">
        <v>9</v>
      </c>
    </row>
    <row r="86" spans="1:18">
      <c r="B86" t="s">
        <v>2364</v>
      </c>
      <c r="C86" t="s">
        <v>215</v>
      </c>
      <c r="E86" t="s">
        <v>3319</v>
      </c>
      <c r="F86" t="s">
        <v>3320</v>
      </c>
      <c r="G86" t="s">
        <v>3294</v>
      </c>
      <c r="I86" t="s">
        <v>23</v>
      </c>
      <c r="J86" t="s">
        <v>595</v>
      </c>
      <c r="K86" t="s">
        <v>596</v>
      </c>
      <c r="N86" s="1" t="s">
        <v>3473</v>
      </c>
      <c r="O86" t="s">
        <v>617</v>
      </c>
      <c r="P86" t="s">
        <v>45</v>
      </c>
      <c r="Q86" t="s">
        <v>9</v>
      </c>
    </row>
    <row r="87" spans="1:18">
      <c r="B87" t="s">
        <v>2365</v>
      </c>
      <c r="C87" t="s">
        <v>215</v>
      </c>
      <c r="E87" t="s">
        <v>3319</v>
      </c>
      <c r="F87" t="s">
        <v>3320</v>
      </c>
      <c r="G87" t="s">
        <v>3290</v>
      </c>
      <c r="I87" t="s">
        <v>0</v>
      </c>
      <c r="J87" t="s">
        <v>593</v>
      </c>
      <c r="N87" s="1" t="s">
        <v>3473</v>
      </c>
      <c r="O87" t="s">
        <v>616</v>
      </c>
      <c r="P87" t="s">
        <v>39</v>
      </c>
      <c r="Q87" t="s">
        <v>9</v>
      </c>
    </row>
    <row r="88" spans="1:18">
      <c r="B88" t="s">
        <v>2366</v>
      </c>
      <c r="C88" t="s">
        <v>217</v>
      </c>
      <c r="E88" t="s">
        <v>3323</v>
      </c>
      <c r="F88" t="s">
        <v>3320</v>
      </c>
      <c r="G88" t="s">
        <v>3411</v>
      </c>
      <c r="I88" t="s">
        <v>600</v>
      </c>
      <c r="N88" s="1" t="s">
        <v>3805</v>
      </c>
      <c r="O88" t="s">
        <v>170</v>
      </c>
      <c r="P88" t="s">
        <v>49</v>
      </c>
      <c r="Q88" t="s">
        <v>9</v>
      </c>
    </row>
    <row r="89" spans="1:18">
      <c r="B89" t="s">
        <v>2367</v>
      </c>
      <c r="C89" t="s">
        <v>620</v>
      </c>
      <c r="E89" t="s">
        <v>3323</v>
      </c>
      <c r="F89" t="s">
        <v>3320</v>
      </c>
      <c r="G89" t="s">
        <v>3292</v>
      </c>
      <c r="I89" t="s">
        <v>1330</v>
      </c>
      <c r="J89" t="s">
        <v>602</v>
      </c>
      <c r="N89" s="1" t="s">
        <v>3805</v>
      </c>
      <c r="O89" t="s">
        <v>170</v>
      </c>
      <c r="P89" t="s">
        <v>180</v>
      </c>
      <c r="Q89" t="s">
        <v>9</v>
      </c>
    </row>
    <row r="90" spans="1:18">
      <c r="B90" t="s">
        <v>2368</v>
      </c>
      <c r="C90" t="s">
        <v>217</v>
      </c>
      <c r="E90" t="s">
        <v>3323</v>
      </c>
      <c r="F90" t="s">
        <v>3320</v>
      </c>
      <c r="I90" t="s">
        <v>603</v>
      </c>
      <c r="J90" t="s">
        <v>604</v>
      </c>
      <c r="K90" t="s">
        <v>605</v>
      </c>
      <c r="N90" s="1" t="s">
        <v>3805</v>
      </c>
      <c r="O90" t="s">
        <v>616</v>
      </c>
      <c r="P90" t="s">
        <v>33</v>
      </c>
      <c r="Q90" t="s">
        <v>9</v>
      </c>
    </row>
    <row r="91" spans="1:18">
      <c r="B91" t="s">
        <v>2369</v>
      </c>
      <c r="C91" t="s">
        <v>620</v>
      </c>
      <c r="E91" t="s">
        <v>3319</v>
      </c>
      <c r="F91" t="s">
        <v>3320</v>
      </c>
      <c r="G91" t="s">
        <v>3286</v>
      </c>
      <c r="H91" t="s">
        <v>3297</v>
      </c>
      <c r="I91" t="s">
        <v>599</v>
      </c>
      <c r="N91" s="1" t="s">
        <v>3805</v>
      </c>
      <c r="O91" t="s">
        <v>170</v>
      </c>
      <c r="P91" t="s">
        <v>187</v>
      </c>
      <c r="Q91" t="s">
        <v>9</v>
      </c>
    </row>
    <row r="92" spans="1:18">
      <c r="B92" t="s">
        <v>2370</v>
      </c>
      <c r="C92" t="s">
        <v>217</v>
      </c>
      <c r="E92" t="s">
        <v>3319</v>
      </c>
      <c r="F92" t="s">
        <v>3320</v>
      </c>
      <c r="G92" t="s">
        <v>3286</v>
      </c>
      <c r="I92" t="s">
        <v>1294</v>
      </c>
      <c r="J92" t="s">
        <v>606</v>
      </c>
      <c r="K92" t="s">
        <v>607</v>
      </c>
      <c r="N92" s="1" t="s">
        <v>3473</v>
      </c>
      <c r="O92" t="s">
        <v>170</v>
      </c>
      <c r="P92" t="s">
        <v>186</v>
      </c>
      <c r="Q92" t="s">
        <v>9</v>
      </c>
    </row>
    <row r="93" spans="1:18">
      <c r="B93" t="s">
        <v>2371</v>
      </c>
      <c r="C93" t="s">
        <v>620</v>
      </c>
      <c r="E93" t="s">
        <v>3319</v>
      </c>
      <c r="F93" t="s">
        <v>3320</v>
      </c>
      <c r="G93" t="s">
        <v>3286</v>
      </c>
      <c r="I93" t="s">
        <v>601</v>
      </c>
      <c r="J93" t="s">
        <v>1352</v>
      </c>
      <c r="N93" s="1" t="s">
        <v>3805</v>
      </c>
      <c r="O93" t="s">
        <v>167</v>
      </c>
      <c r="P93" t="s">
        <v>31</v>
      </c>
      <c r="Q93" t="s">
        <v>9</v>
      </c>
    </row>
    <row r="94" spans="1:18">
      <c r="B94" t="s">
        <v>2372</v>
      </c>
      <c r="C94" t="s">
        <v>621</v>
      </c>
      <c r="E94" t="s">
        <v>3323</v>
      </c>
      <c r="F94" t="s">
        <v>3320</v>
      </c>
      <c r="G94" t="s">
        <v>3292</v>
      </c>
      <c r="I94" t="s">
        <v>608</v>
      </c>
      <c r="J94" t="s">
        <v>1353</v>
      </c>
      <c r="N94" s="1" t="s">
        <v>3805</v>
      </c>
      <c r="O94" t="s">
        <v>170</v>
      </c>
      <c r="P94" t="s">
        <v>180</v>
      </c>
      <c r="Q94" t="s">
        <v>9</v>
      </c>
    </row>
    <row r="95" spans="1:18">
      <c r="N95" s="1" t="s">
        <v>3805</v>
      </c>
    </row>
    <row r="96" spans="1:18">
      <c r="A96" s="1"/>
      <c r="B96" s="1" t="s">
        <v>2373</v>
      </c>
      <c r="C96" s="1" t="s">
        <v>191</v>
      </c>
      <c r="D96" s="1"/>
      <c r="E96" s="1" t="s">
        <v>3323</v>
      </c>
      <c r="F96" s="1" t="s">
        <v>3320</v>
      </c>
      <c r="G96" s="1" t="s">
        <v>3286</v>
      </c>
      <c r="H96" s="1"/>
      <c r="I96" s="1" t="s">
        <v>497</v>
      </c>
      <c r="J96" s="1" t="s">
        <v>802</v>
      </c>
      <c r="K96" s="1"/>
      <c r="L96" s="1"/>
      <c r="M96" t="s">
        <v>153</v>
      </c>
      <c r="N96" s="1" t="s">
        <v>3805</v>
      </c>
      <c r="O96" s="1" t="s">
        <v>162</v>
      </c>
    </row>
    <row r="97" spans="1:18">
      <c r="A97" s="1"/>
      <c r="B97" s="1" t="s">
        <v>2374</v>
      </c>
      <c r="C97" s="2" t="s">
        <v>3390</v>
      </c>
      <c r="D97" s="2"/>
      <c r="E97" s="1" t="s">
        <v>3398</v>
      </c>
      <c r="F97" s="6" t="s">
        <v>3399</v>
      </c>
      <c r="G97" s="1"/>
      <c r="H97" s="1"/>
      <c r="I97" s="1" t="s">
        <v>498</v>
      </c>
      <c r="J97" t="s">
        <v>499</v>
      </c>
      <c r="K97" t="s">
        <v>500</v>
      </c>
      <c r="M97" t="s">
        <v>153</v>
      </c>
      <c r="N97" s="1" t="s">
        <v>3805</v>
      </c>
      <c r="O97">
        <v>3</v>
      </c>
      <c r="P97" t="s">
        <v>48</v>
      </c>
      <c r="Q97" t="s">
        <v>41</v>
      </c>
    </row>
    <row r="98" spans="1:18">
      <c r="B98" t="s">
        <v>2375</v>
      </c>
      <c r="C98" t="s">
        <v>801</v>
      </c>
      <c r="E98" t="s">
        <v>3323</v>
      </c>
      <c r="F98" t="s">
        <v>3320</v>
      </c>
      <c r="G98" t="s">
        <v>3289</v>
      </c>
      <c r="I98" t="s">
        <v>503</v>
      </c>
      <c r="J98" t="s">
        <v>504</v>
      </c>
      <c r="K98" t="s">
        <v>505</v>
      </c>
      <c r="N98" s="1"/>
      <c r="O98" t="s">
        <v>782</v>
      </c>
      <c r="P98" t="s">
        <v>45</v>
      </c>
      <c r="Q98" t="s">
        <v>41</v>
      </c>
    </row>
    <row r="99" spans="1:18">
      <c r="B99" t="s">
        <v>2376</v>
      </c>
      <c r="C99" t="s">
        <v>192</v>
      </c>
      <c r="E99" t="s">
        <v>3319</v>
      </c>
      <c r="F99" t="s">
        <v>3320</v>
      </c>
      <c r="G99" t="s">
        <v>3294</v>
      </c>
      <c r="I99" t="s">
        <v>19</v>
      </c>
      <c r="J99" t="s">
        <v>514</v>
      </c>
      <c r="K99" t="s">
        <v>804</v>
      </c>
      <c r="N99" s="1" t="s">
        <v>3805</v>
      </c>
      <c r="O99" t="s">
        <v>154</v>
      </c>
      <c r="P99" t="s">
        <v>53</v>
      </c>
      <c r="Q99" t="s">
        <v>41</v>
      </c>
    </row>
    <row r="100" spans="1:18">
      <c r="B100" t="s">
        <v>2377</v>
      </c>
      <c r="C100" t="s">
        <v>213</v>
      </c>
      <c r="E100" t="s">
        <v>3319</v>
      </c>
      <c r="F100" t="s">
        <v>3320</v>
      </c>
      <c r="G100" t="s">
        <v>3289</v>
      </c>
      <c r="H100" t="s">
        <v>3305</v>
      </c>
      <c r="I100" t="s">
        <v>1354</v>
      </c>
      <c r="J100" t="s">
        <v>799</v>
      </c>
      <c r="K100" t="s">
        <v>800</v>
      </c>
      <c r="N100" s="1" t="s">
        <v>3805</v>
      </c>
      <c r="O100" t="s">
        <v>170</v>
      </c>
      <c r="P100" t="s">
        <v>175</v>
      </c>
      <c r="Q100" t="s">
        <v>41</v>
      </c>
    </row>
    <row r="101" spans="1:18">
      <c r="B101" t="s">
        <v>2378</v>
      </c>
      <c r="C101" t="s">
        <v>209</v>
      </c>
      <c r="E101" t="s">
        <v>3319</v>
      </c>
      <c r="F101" t="s">
        <v>3320</v>
      </c>
      <c r="G101" t="s">
        <v>3294</v>
      </c>
      <c r="I101" t="s">
        <v>1299</v>
      </c>
      <c r="J101" t="s">
        <v>536</v>
      </c>
      <c r="N101" s="1" t="s">
        <v>3805</v>
      </c>
      <c r="O101" t="s">
        <v>154</v>
      </c>
      <c r="P101" t="s">
        <v>53</v>
      </c>
      <c r="Q101" t="s">
        <v>41</v>
      </c>
    </row>
    <row r="102" spans="1:18">
      <c r="B102" t="s">
        <v>2379</v>
      </c>
      <c r="C102" t="s">
        <v>214</v>
      </c>
      <c r="E102" t="s">
        <v>3319</v>
      </c>
      <c r="F102" t="s">
        <v>3320</v>
      </c>
      <c r="G102" t="s">
        <v>3290</v>
      </c>
      <c r="I102" t="s">
        <v>1332</v>
      </c>
      <c r="J102" t="s">
        <v>573</v>
      </c>
      <c r="N102" s="1" t="s">
        <v>3805</v>
      </c>
      <c r="O102" t="s">
        <v>171</v>
      </c>
      <c r="P102" t="s">
        <v>181</v>
      </c>
      <c r="Q102" t="s">
        <v>41</v>
      </c>
    </row>
    <row r="103" spans="1:18">
      <c r="B103" t="s">
        <v>2380</v>
      </c>
      <c r="C103" t="s">
        <v>214</v>
      </c>
      <c r="E103" t="s">
        <v>3319</v>
      </c>
      <c r="F103" t="s">
        <v>3320</v>
      </c>
      <c r="G103" t="s">
        <v>3294</v>
      </c>
      <c r="I103" t="s">
        <v>583</v>
      </c>
      <c r="J103" t="s">
        <v>584</v>
      </c>
      <c r="K103" t="s">
        <v>585</v>
      </c>
      <c r="L103" t="s">
        <v>586</v>
      </c>
      <c r="N103" s="1" t="s">
        <v>3805</v>
      </c>
      <c r="O103" t="s">
        <v>616</v>
      </c>
      <c r="P103" t="s">
        <v>32</v>
      </c>
      <c r="Q103" t="s">
        <v>41</v>
      </c>
    </row>
    <row r="104" spans="1:18">
      <c r="A104" s="9"/>
      <c r="B104" s="9" t="s">
        <v>2381</v>
      </c>
      <c r="C104" s="9" t="s">
        <v>216</v>
      </c>
      <c r="D104" s="9"/>
      <c r="E104" s="9" t="s">
        <v>3323</v>
      </c>
      <c r="F104" s="9" t="s">
        <v>3320</v>
      </c>
      <c r="G104" s="9" t="s">
        <v>3296</v>
      </c>
      <c r="H104" s="9"/>
      <c r="I104" s="9" t="s">
        <v>587</v>
      </c>
      <c r="J104" s="9" t="s">
        <v>803</v>
      </c>
      <c r="K104" s="9"/>
      <c r="L104" s="9"/>
      <c r="M104" s="9"/>
      <c r="N104" s="1" t="s">
        <v>3473</v>
      </c>
      <c r="O104" s="9" t="s">
        <v>171</v>
      </c>
      <c r="P104" s="9" t="s">
        <v>37</v>
      </c>
      <c r="Q104" s="9" t="s">
        <v>41</v>
      </c>
      <c r="R104" s="9"/>
    </row>
    <row r="105" spans="1:18">
      <c r="N105" s="1"/>
    </row>
    <row r="106" spans="1:18">
      <c r="B106" s="1"/>
      <c r="N106" s="1"/>
    </row>
    <row r="107" spans="1:18">
      <c r="N107" s="1"/>
    </row>
    <row r="108" spans="1:18">
      <c r="N108" s="1"/>
    </row>
    <row r="109" spans="1:18">
      <c r="N109" s="1"/>
    </row>
    <row r="110" spans="1:18">
      <c r="N110" s="1"/>
    </row>
    <row r="111" spans="1:18">
      <c r="N111" s="1"/>
    </row>
    <row r="112" spans="1:18">
      <c r="N112" s="1"/>
    </row>
    <row r="113" spans="14:14">
      <c r="N113" s="1"/>
    </row>
    <row r="114" spans="14:14">
      <c r="N114" s="1"/>
    </row>
    <row r="115" spans="14:14">
      <c r="N115" s="1"/>
    </row>
    <row r="116" spans="14:14">
      <c r="N116" s="1"/>
    </row>
    <row r="117" spans="14:14">
      <c r="N117" s="1"/>
    </row>
    <row r="118" spans="14:14">
      <c r="N118" s="1"/>
    </row>
    <row r="119" spans="14:14">
      <c r="N119" s="1"/>
    </row>
    <row r="120" spans="14:14">
      <c r="N120" s="1"/>
    </row>
    <row r="121" spans="14:14">
      <c r="N121" s="1"/>
    </row>
    <row r="122" spans="14:14">
      <c r="N122" s="1"/>
    </row>
    <row r="123" spans="14:14">
      <c r="N123" s="1"/>
    </row>
    <row r="124" spans="14:14">
      <c r="N124" s="1"/>
    </row>
    <row r="125" spans="14:14">
      <c r="N125" s="1"/>
    </row>
    <row r="126" spans="14:14">
      <c r="N126" s="1"/>
    </row>
    <row r="127" spans="14:14">
      <c r="N127" s="1"/>
    </row>
    <row r="128" spans="14:14">
      <c r="N128" s="1"/>
    </row>
    <row r="129" spans="14:14">
      <c r="N129" s="1"/>
    </row>
    <row r="130" spans="14:14">
      <c r="N130" s="1"/>
    </row>
    <row r="131" spans="14:14">
      <c r="N131" s="1"/>
    </row>
    <row r="132" spans="14:14">
      <c r="N132" s="1"/>
    </row>
    <row r="133" spans="14:14">
      <c r="N133" s="1"/>
    </row>
    <row r="134" spans="14:14">
      <c r="N134" s="1"/>
    </row>
    <row r="135" spans="14:14">
      <c r="N135" s="1"/>
    </row>
    <row r="136" spans="14:14">
      <c r="N136" s="1"/>
    </row>
    <row r="137" spans="14:14">
      <c r="N137" s="1"/>
    </row>
    <row r="138" spans="14:14">
      <c r="N138" s="1"/>
    </row>
  </sheetData>
  <autoFilter ref="A1:X138"/>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37"/>
  <sheetViews>
    <sheetView topLeftCell="A55" workbookViewId="0">
      <selection activeCell="B72" sqref="B72:Q72"/>
    </sheetView>
  </sheetViews>
  <sheetFormatPr defaultRowHeight="18.75"/>
  <sheetData>
    <row r="1" spans="1:20">
      <c r="B1" t="s">
        <v>3474</v>
      </c>
      <c r="C1" t="s">
        <v>3475</v>
      </c>
      <c r="D1" t="s">
        <v>3489</v>
      </c>
      <c r="E1" t="s">
        <v>3477</v>
      </c>
      <c r="F1" t="s">
        <v>3479</v>
      </c>
      <c r="G1" t="s">
        <v>3481</v>
      </c>
      <c r="H1" t="s">
        <v>3482</v>
      </c>
      <c r="I1" t="s">
        <v>3483</v>
      </c>
      <c r="N1" s="1" t="s">
        <v>3805</v>
      </c>
      <c r="O1" t="s">
        <v>3484</v>
      </c>
      <c r="P1" t="s">
        <v>3486</v>
      </c>
    </row>
    <row r="2" spans="1:20">
      <c r="A2" s="8"/>
      <c r="B2" s="35" t="s">
        <v>2382</v>
      </c>
      <c r="C2" s="35" t="s">
        <v>864</v>
      </c>
      <c r="D2" s="35">
        <v>1</v>
      </c>
      <c r="E2" s="35" t="s">
        <v>3319</v>
      </c>
      <c r="F2" s="35" t="s">
        <v>3320</v>
      </c>
      <c r="G2" s="35" t="s">
        <v>3287</v>
      </c>
      <c r="H2" s="35"/>
      <c r="I2" s="42" t="s">
        <v>3797</v>
      </c>
      <c r="J2" s="35"/>
      <c r="K2" s="35"/>
      <c r="L2" s="35"/>
      <c r="M2" s="35"/>
      <c r="N2" s="1" t="s">
        <v>3473</v>
      </c>
      <c r="O2" s="35" t="s">
        <v>156</v>
      </c>
      <c r="P2" s="35" t="s">
        <v>31</v>
      </c>
      <c r="Q2" s="8" t="s">
        <v>4</v>
      </c>
      <c r="R2" s="8"/>
      <c r="S2">
        <f t="shared" ref="S2:S16" si="0">COUNTIF(F:H,T2)</f>
        <v>39</v>
      </c>
      <c r="T2" t="s">
        <v>3287</v>
      </c>
    </row>
    <row r="3" spans="1:20">
      <c r="A3" s="5"/>
      <c r="B3" s="5" t="s">
        <v>2383</v>
      </c>
      <c r="C3" s="5" t="s">
        <v>864</v>
      </c>
      <c r="D3" s="23">
        <v>1</v>
      </c>
      <c r="E3" s="5" t="s">
        <v>3319</v>
      </c>
      <c r="F3" s="5" t="s">
        <v>3320</v>
      </c>
      <c r="G3" s="5" t="s">
        <v>3287</v>
      </c>
      <c r="H3" s="5"/>
      <c r="I3" s="5" t="s">
        <v>805</v>
      </c>
      <c r="J3" s="5"/>
      <c r="K3" s="5"/>
      <c r="L3" s="5"/>
      <c r="M3" s="5" t="s">
        <v>153</v>
      </c>
      <c r="N3" s="23" t="s">
        <v>3805</v>
      </c>
      <c r="O3" s="5" t="s">
        <v>156</v>
      </c>
      <c r="P3" s="5"/>
      <c r="Q3" s="5"/>
      <c r="R3" s="5"/>
      <c r="S3">
        <f t="shared" si="0"/>
        <v>2</v>
      </c>
      <c r="T3" t="s">
        <v>3289</v>
      </c>
    </row>
    <row r="4" spans="1:20">
      <c r="A4" s="5"/>
      <c r="B4" s="5" t="s">
        <v>2384</v>
      </c>
      <c r="C4" s="5" t="s">
        <v>3400</v>
      </c>
      <c r="D4" s="23"/>
      <c r="E4" s="5" t="s">
        <v>3319</v>
      </c>
      <c r="F4" s="5" t="s">
        <v>3320</v>
      </c>
      <c r="G4" s="5" t="s">
        <v>3310</v>
      </c>
      <c r="H4" s="5"/>
      <c r="I4" s="5" t="s">
        <v>1</v>
      </c>
      <c r="J4" s="5"/>
      <c r="K4" s="5"/>
      <c r="L4" s="5"/>
      <c r="M4" s="5" t="s">
        <v>153</v>
      </c>
      <c r="N4" s="23" t="s">
        <v>3805</v>
      </c>
      <c r="O4" s="5" t="s">
        <v>165</v>
      </c>
      <c r="P4" s="5" t="s">
        <v>45</v>
      </c>
      <c r="Q4" s="5" t="s">
        <v>4</v>
      </c>
      <c r="R4" s="5"/>
      <c r="S4">
        <f t="shared" si="0"/>
        <v>2</v>
      </c>
      <c r="T4" t="s">
        <v>3285</v>
      </c>
    </row>
    <row r="5" spans="1:20">
      <c r="B5" t="s">
        <v>2385</v>
      </c>
      <c r="C5" t="s">
        <v>864</v>
      </c>
      <c r="D5" s="1">
        <v>1</v>
      </c>
      <c r="E5" t="s">
        <v>3319</v>
      </c>
      <c r="F5" t="s">
        <v>3320</v>
      </c>
      <c r="G5" t="s">
        <v>3287</v>
      </c>
      <c r="N5" s="1" t="s">
        <v>3805</v>
      </c>
      <c r="O5" t="s">
        <v>156</v>
      </c>
      <c r="P5" t="s">
        <v>177</v>
      </c>
      <c r="Q5" t="s">
        <v>4</v>
      </c>
      <c r="S5">
        <f t="shared" si="0"/>
        <v>2</v>
      </c>
      <c r="T5" t="s">
        <v>3298</v>
      </c>
    </row>
    <row r="6" spans="1:20">
      <c r="B6" t="s">
        <v>2386</v>
      </c>
      <c r="C6" t="s">
        <v>864</v>
      </c>
      <c r="D6" s="1">
        <v>1</v>
      </c>
      <c r="E6" t="s">
        <v>3319</v>
      </c>
      <c r="F6" t="s">
        <v>3320</v>
      </c>
      <c r="G6" t="s">
        <v>3287</v>
      </c>
      <c r="I6" t="s">
        <v>96</v>
      </c>
      <c r="J6" t="s">
        <v>879</v>
      </c>
      <c r="N6" s="1" t="s">
        <v>3805</v>
      </c>
      <c r="O6" t="s">
        <v>162</v>
      </c>
      <c r="P6" t="s">
        <v>31</v>
      </c>
      <c r="Q6" t="s">
        <v>4</v>
      </c>
      <c r="S6">
        <f t="shared" si="0"/>
        <v>6</v>
      </c>
      <c r="T6" t="s">
        <v>3307</v>
      </c>
    </row>
    <row r="7" spans="1:20">
      <c r="B7" t="s">
        <v>2387</v>
      </c>
      <c r="C7" t="s">
        <v>864</v>
      </c>
      <c r="D7" s="1">
        <v>1</v>
      </c>
      <c r="E7" t="s">
        <v>3319</v>
      </c>
      <c r="F7" t="s">
        <v>3320</v>
      </c>
      <c r="G7" t="s">
        <v>3291</v>
      </c>
      <c r="I7" t="s">
        <v>872</v>
      </c>
      <c r="N7" s="1" t="s">
        <v>3805</v>
      </c>
      <c r="O7" t="s">
        <v>156</v>
      </c>
      <c r="P7" t="s">
        <v>29</v>
      </c>
      <c r="Q7" t="s">
        <v>4</v>
      </c>
      <c r="S7">
        <f t="shared" si="0"/>
        <v>4</v>
      </c>
      <c r="T7" t="s">
        <v>3294</v>
      </c>
    </row>
    <row r="8" spans="1:20">
      <c r="B8" t="s">
        <v>2388</v>
      </c>
      <c r="C8" t="s">
        <v>864</v>
      </c>
      <c r="D8" s="1">
        <v>1</v>
      </c>
      <c r="E8" t="s">
        <v>3319</v>
      </c>
      <c r="F8" t="s">
        <v>3320</v>
      </c>
      <c r="G8" t="s">
        <v>3287</v>
      </c>
      <c r="I8" t="s">
        <v>806</v>
      </c>
      <c r="N8" s="1" t="s">
        <v>3805</v>
      </c>
      <c r="O8" t="s">
        <v>156</v>
      </c>
      <c r="P8" t="s">
        <v>15</v>
      </c>
      <c r="Q8" t="s">
        <v>4</v>
      </c>
      <c r="S8">
        <f t="shared" si="0"/>
        <v>5</v>
      </c>
      <c r="T8" t="s">
        <v>3306</v>
      </c>
    </row>
    <row r="9" spans="1:20">
      <c r="B9" t="s">
        <v>2389</v>
      </c>
      <c r="C9" t="s">
        <v>864</v>
      </c>
      <c r="D9" s="1">
        <v>1</v>
      </c>
      <c r="E9" t="s">
        <v>3319</v>
      </c>
      <c r="F9" t="s">
        <v>3320</v>
      </c>
      <c r="G9" t="s">
        <v>3287</v>
      </c>
      <c r="I9" t="s">
        <v>807</v>
      </c>
      <c r="N9" s="1" t="s">
        <v>3805</v>
      </c>
      <c r="O9" t="s">
        <v>156</v>
      </c>
      <c r="P9" t="s">
        <v>18</v>
      </c>
      <c r="Q9" t="s">
        <v>4</v>
      </c>
      <c r="S9">
        <f t="shared" si="0"/>
        <v>2</v>
      </c>
      <c r="T9" t="s">
        <v>3290</v>
      </c>
    </row>
    <row r="10" spans="1:20">
      <c r="B10" t="s">
        <v>2390</v>
      </c>
      <c r="C10" t="s">
        <v>864</v>
      </c>
      <c r="D10" s="1">
        <v>1</v>
      </c>
      <c r="E10" t="s">
        <v>3319</v>
      </c>
      <c r="F10" t="s">
        <v>3320</v>
      </c>
      <c r="G10" t="s">
        <v>3287</v>
      </c>
      <c r="I10" t="s">
        <v>3798</v>
      </c>
      <c r="J10" t="s">
        <v>808</v>
      </c>
      <c r="N10" s="1" t="s">
        <v>3805</v>
      </c>
      <c r="O10" t="s">
        <v>156</v>
      </c>
      <c r="P10" t="s">
        <v>52</v>
      </c>
      <c r="Q10" t="s">
        <v>4</v>
      </c>
      <c r="S10">
        <f t="shared" si="0"/>
        <v>3</v>
      </c>
      <c r="T10" t="s">
        <v>3299</v>
      </c>
    </row>
    <row r="11" spans="1:20">
      <c r="B11" t="s">
        <v>2391</v>
      </c>
      <c r="C11" t="s">
        <v>864</v>
      </c>
      <c r="D11" s="1">
        <v>1</v>
      </c>
      <c r="E11" t="s">
        <v>3319</v>
      </c>
      <c r="F11" t="s">
        <v>3320</v>
      </c>
      <c r="G11" t="s">
        <v>3287</v>
      </c>
      <c r="I11" t="s">
        <v>809</v>
      </c>
      <c r="N11" s="1" t="s">
        <v>3805</v>
      </c>
      <c r="O11" t="s">
        <v>156</v>
      </c>
      <c r="P11" t="s">
        <v>49</v>
      </c>
      <c r="Q11" t="s">
        <v>4</v>
      </c>
      <c r="S11">
        <f t="shared" si="0"/>
        <v>1</v>
      </c>
      <c r="T11" t="s">
        <v>3310</v>
      </c>
    </row>
    <row r="12" spans="1:20">
      <c r="B12" t="s">
        <v>2392</v>
      </c>
      <c r="C12" t="s">
        <v>865</v>
      </c>
      <c r="D12" s="1">
        <v>2</v>
      </c>
      <c r="E12" t="s">
        <v>3319</v>
      </c>
      <c r="F12" t="s">
        <v>3320</v>
      </c>
      <c r="G12" t="s">
        <v>3298</v>
      </c>
      <c r="I12" t="s">
        <v>873</v>
      </c>
      <c r="N12" s="1"/>
      <c r="O12" t="s">
        <v>156</v>
      </c>
      <c r="P12" t="s">
        <v>33</v>
      </c>
      <c r="Q12" t="s">
        <v>4</v>
      </c>
      <c r="S12">
        <f t="shared" si="0"/>
        <v>72</v>
      </c>
      <c r="T12" t="s">
        <v>3320</v>
      </c>
    </row>
    <row r="13" spans="1:20">
      <c r="B13" t="s">
        <v>2393</v>
      </c>
      <c r="C13" t="s">
        <v>865</v>
      </c>
      <c r="D13" s="1">
        <v>2</v>
      </c>
      <c r="E13" t="s">
        <v>3319</v>
      </c>
      <c r="F13" t="s">
        <v>3320</v>
      </c>
      <c r="G13" t="s">
        <v>3294</v>
      </c>
      <c r="I13" t="s">
        <v>24</v>
      </c>
      <c r="J13" t="s">
        <v>810</v>
      </c>
      <c r="N13" s="1" t="s">
        <v>3805</v>
      </c>
      <c r="O13" t="s">
        <v>156</v>
      </c>
      <c r="P13" t="s">
        <v>53</v>
      </c>
      <c r="Q13" t="s">
        <v>4</v>
      </c>
      <c r="S13">
        <f t="shared" si="0"/>
        <v>2</v>
      </c>
      <c r="T13" t="s">
        <v>3291</v>
      </c>
    </row>
    <row r="14" spans="1:20">
      <c r="B14" t="s">
        <v>2394</v>
      </c>
      <c r="C14" t="s">
        <v>865</v>
      </c>
      <c r="D14" s="1">
        <v>2</v>
      </c>
      <c r="E14" t="s">
        <v>3319</v>
      </c>
      <c r="F14" t="s">
        <v>3320</v>
      </c>
      <c r="G14" t="s">
        <v>3306</v>
      </c>
      <c r="I14" t="s">
        <v>811</v>
      </c>
      <c r="N14" s="1" t="s">
        <v>3473</v>
      </c>
      <c r="O14" t="s">
        <v>162</v>
      </c>
      <c r="P14" t="s">
        <v>30</v>
      </c>
      <c r="Q14" t="s">
        <v>4</v>
      </c>
      <c r="S14">
        <f t="shared" si="0"/>
        <v>1</v>
      </c>
      <c r="T14" t="s">
        <v>3296</v>
      </c>
    </row>
    <row r="15" spans="1:20">
      <c r="B15" t="s">
        <v>2395</v>
      </c>
      <c r="C15" t="s">
        <v>865</v>
      </c>
      <c r="D15" s="1">
        <v>2</v>
      </c>
      <c r="E15" t="s">
        <v>3319</v>
      </c>
      <c r="F15" t="s">
        <v>3320</v>
      </c>
      <c r="G15" t="s">
        <v>3287</v>
      </c>
      <c r="I15" t="s">
        <v>812</v>
      </c>
      <c r="N15" s="1" t="s">
        <v>3805</v>
      </c>
      <c r="O15" t="s">
        <v>156</v>
      </c>
      <c r="P15" t="s">
        <v>45</v>
      </c>
      <c r="Q15" t="s">
        <v>4</v>
      </c>
      <c r="S15">
        <f t="shared" si="0"/>
        <v>2</v>
      </c>
      <c r="T15" t="s">
        <v>3308</v>
      </c>
    </row>
    <row r="16" spans="1:20">
      <c r="B16" t="s">
        <v>2396</v>
      </c>
      <c r="C16" t="s">
        <v>865</v>
      </c>
      <c r="D16" s="1">
        <v>2</v>
      </c>
      <c r="E16" t="s">
        <v>3319</v>
      </c>
      <c r="F16" t="s">
        <v>3320</v>
      </c>
      <c r="G16" t="s">
        <v>3287</v>
      </c>
      <c r="I16" t="s">
        <v>813</v>
      </c>
      <c r="J16" t="s">
        <v>880</v>
      </c>
      <c r="N16" s="1" t="s">
        <v>3805</v>
      </c>
      <c r="O16" t="s">
        <v>156</v>
      </c>
      <c r="P16" t="s">
        <v>180</v>
      </c>
      <c r="Q16" t="s">
        <v>4</v>
      </c>
      <c r="S16">
        <f t="shared" si="0"/>
        <v>1</v>
      </c>
      <c r="T16" t="s">
        <v>3286</v>
      </c>
    </row>
    <row r="17" spans="1:19">
      <c r="A17" s="5"/>
      <c r="B17" s="5" t="s">
        <v>2397</v>
      </c>
      <c r="C17" s="5" t="s">
        <v>865</v>
      </c>
      <c r="D17" s="23">
        <v>2</v>
      </c>
      <c r="E17" s="5" t="s">
        <v>3319</v>
      </c>
      <c r="F17" s="5" t="s">
        <v>3320</v>
      </c>
      <c r="G17" s="5" t="s">
        <v>3287</v>
      </c>
      <c r="H17" s="5"/>
      <c r="I17" s="5"/>
      <c r="J17" s="5"/>
      <c r="K17" s="5"/>
      <c r="L17" s="5"/>
      <c r="M17" s="5"/>
      <c r="N17" s="23" t="s">
        <v>3805</v>
      </c>
      <c r="O17" s="5" t="s">
        <v>161</v>
      </c>
      <c r="P17" s="5" t="s">
        <v>174</v>
      </c>
      <c r="Q17" s="5" t="s">
        <v>4</v>
      </c>
      <c r="R17" s="5"/>
      <c r="S17" s="5"/>
    </row>
    <row r="18" spans="1:19">
      <c r="B18" t="s">
        <v>2398</v>
      </c>
      <c r="C18" t="s">
        <v>865</v>
      </c>
      <c r="D18" s="1">
        <v>2</v>
      </c>
      <c r="E18" t="s">
        <v>3319</v>
      </c>
      <c r="F18" t="s">
        <v>3320</v>
      </c>
      <c r="G18" t="s">
        <v>3287</v>
      </c>
      <c r="I18" t="s">
        <v>874</v>
      </c>
      <c r="N18" s="1" t="s">
        <v>3805</v>
      </c>
      <c r="O18" t="s">
        <v>161</v>
      </c>
      <c r="P18" t="s">
        <v>177</v>
      </c>
      <c r="Q18" t="s">
        <v>4</v>
      </c>
    </row>
    <row r="19" spans="1:19">
      <c r="B19" t="s">
        <v>2399</v>
      </c>
      <c r="C19" t="s">
        <v>865</v>
      </c>
      <c r="D19" s="1">
        <v>2</v>
      </c>
      <c r="E19" t="s">
        <v>3319</v>
      </c>
      <c r="F19" t="s">
        <v>3320</v>
      </c>
      <c r="G19" t="s">
        <v>3287</v>
      </c>
      <c r="I19" t="s">
        <v>814</v>
      </c>
      <c r="N19" s="1" t="s">
        <v>3805</v>
      </c>
      <c r="O19" t="s">
        <v>156</v>
      </c>
      <c r="P19" t="s">
        <v>610</v>
      </c>
      <c r="Q19" t="s">
        <v>4</v>
      </c>
    </row>
    <row r="20" spans="1:19">
      <c r="B20" t="s">
        <v>2400</v>
      </c>
      <c r="C20" t="s">
        <v>865</v>
      </c>
      <c r="D20" s="1">
        <v>2</v>
      </c>
      <c r="E20" t="s">
        <v>3319</v>
      </c>
      <c r="F20" t="s">
        <v>3320</v>
      </c>
      <c r="G20" t="s">
        <v>3287</v>
      </c>
      <c r="I20" t="s">
        <v>51</v>
      </c>
      <c r="J20" t="s">
        <v>815</v>
      </c>
      <c r="N20" s="1" t="s">
        <v>3805</v>
      </c>
      <c r="O20" t="s">
        <v>164</v>
      </c>
      <c r="P20" t="s">
        <v>184</v>
      </c>
      <c r="Q20" t="s">
        <v>4</v>
      </c>
    </row>
    <row r="21" spans="1:19">
      <c r="A21" s="9"/>
      <c r="B21" s="9" t="s">
        <v>2401</v>
      </c>
      <c r="C21" s="9" t="s">
        <v>865</v>
      </c>
      <c r="D21" s="12">
        <v>2</v>
      </c>
      <c r="E21" s="9" t="s">
        <v>3319</v>
      </c>
      <c r="F21" s="9" t="s">
        <v>3320</v>
      </c>
      <c r="G21" s="9" t="s">
        <v>3287</v>
      </c>
      <c r="H21" s="9" t="s">
        <v>3296</v>
      </c>
      <c r="I21" s="9" t="s">
        <v>816</v>
      </c>
      <c r="J21" s="9"/>
      <c r="K21" s="9"/>
      <c r="L21" s="9"/>
      <c r="M21" s="9"/>
      <c r="N21" s="12" t="s">
        <v>3473</v>
      </c>
      <c r="O21" s="9" t="s">
        <v>161</v>
      </c>
      <c r="P21" s="9" t="s">
        <v>609</v>
      </c>
      <c r="Q21" s="9" t="s">
        <v>4</v>
      </c>
      <c r="R21" s="9"/>
    </row>
    <row r="22" spans="1:19">
      <c r="B22" t="s">
        <v>2402</v>
      </c>
      <c r="C22" t="s">
        <v>865</v>
      </c>
      <c r="D22" s="1">
        <v>2</v>
      </c>
      <c r="E22" t="s">
        <v>3319</v>
      </c>
      <c r="F22" t="s">
        <v>3320</v>
      </c>
      <c r="G22" t="s">
        <v>3307</v>
      </c>
      <c r="I22" t="s">
        <v>817</v>
      </c>
      <c r="J22" t="s">
        <v>818</v>
      </c>
      <c r="N22" s="1" t="s">
        <v>3805</v>
      </c>
      <c r="O22" t="s">
        <v>156</v>
      </c>
      <c r="P22" t="s">
        <v>611</v>
      </c>
      <c r="Q22" t="s">
        <v>4</v>
      </c>
    </row>
    <row r="23" spans="1:19">
      <c r="B23" t="s">
        <v>2403</v>
      </c>
      <c r="C23" t="s">
        <v>865</v>
      </c>
      <c r="D23" s="1">
        <v>2</v>
      </c>
      <c r="E23" t="s">
        <v>3319</v>
      </c>
      <c r="F23" t="s">
        <v>3320</v>
      </c>
      <c r="G23" t="s">
        <v>3285</v>
      </c>
      <c r="N23" s="1" t="s">
        <v>3805</v>
      </c>
      <c r="O23" t="s">
        <v>162</v>
      </c>
      <c r="P23" t="s">
        <v>15</v>
      </c>
      <c r="Q23" t="s">
        <v>4</v>
      </c>
    </row>
    <row r="24" spans="1:19">
      <c r="A24" s="5"/>
      <c r="B24" s="5" t="s">
        <v>2404</v>
      </c>
      <c r="C24" s="5" t="s">
        <v>865</v>
      </c>
      <c r="D24" s="23">
        <v>2</v>
      </c>
      <c r="E24" s="5" t="s">
        <v>3319</v>
      </c>
      <c r="F24" s="5" t="s">
        <v>3320</v>
      </c>
      <c r="G24" s="5" t="s">
        <v>3306</v>
      </c>
      <c r="H24" s="5"/>
      <c r="I24" s="5" t="s">
        <v>819</v>
      </c>
      <c r="J24" s="5"/>
      <c r="K24" s="5"/>
      <c r="L24" s="5"/>
      <c r="M24" s="5"/>
      <c r="N24" s="23" t="s">
        <v>3805</v>
      </c>
      <c r="O24" s="5" t="s">
        <v>162</v>
      </c>
      <c r="P24" s="5" t="s">
        <v>36</v>
      </c>
      <c r="Q24" s="5" t="s">
        <v>4</v>
      </c>
    </row>
    <row r="25" spans="1:19">
      <c r="B25" t="s">
        <v>2405</v>
      </c>
      <c r="C25" t="s">
        <v>865</v>
      </c>
      <c r="D25" s="1">
        <v>2</v>
      </c>
      <c r="E25" t="s">
        <v>3319</v>
      </c>
      <c r="F25" t="s">
        <v>3320</v>
      </c>
      <c r="G25" t="s">
        <v>3287</v>
      </c>
      <c r="I25" t="s">
        <v>820</v>
      </c>
      <c r="N25" s="1" t="s">
        <v>3805</v>
      </c>
      <c r="O25" t="s">
        <v>157</v>
      </c>
      <c r="P25" t="s">
        <v>49</v>
      </c>
      <c r="Q25" t="s">
        <v>4</v>
      </c>
    </row>
    <row r="26" spans="1:19">
      <c r="B26" t="s">
        <v>2406</v>
      </c>
      <c r="C26" t="s">
        <v>865</v>
      </c>
      <c r="D26" s="1">
        <v>2</v>
      </c>
      <c r="E26" t="s">
        <v>3319</v>
      </c>
      <c r="F26" t="s">
        <v>3320</v>
      </c>
      <c r="G26" t="s">
        <v>3291</v>
      </c>
      <c r="I26" t="s">
        <v>821</v>
      </c>
      <c r="N26" s="1" t="s">
        <v>3805</v>
      </c>
      <c r="O26" t="s">
        <v>161</v>
      </c>
      <c r="P26" t="s">
        <v>29</v>
      </c>
      <c r="Q26" t="s">
        <v>4</v>
      </c>
    </row>
    <row r="27" spans="1:19">
      <c r="B27" t="s">
        <v>2407</v>
      </c>
      <c r="C27" t="s">
        <v>865</v>
      </c>
      <c r="D27" s="1">
        <v>2</v>
      </c>
      <c r="E27" t="s">
        <v>3319</v>
      </c>
      <c r="F27" t="s">
        <v>3320</v>
      </c>
      <c r="G27" t="s">
        <v>3287</v>
      </c>
      <c r="I27" t="s">
        <v>822</v>
      </c>
      <c r="N27" s="1" t="s">
        <v>3805</v>
      </c>
      <c r="O27" t="s">
        <v>156</v>
      </c>
      <c r="P27" t="s">
        <v>52</v>
      </c>
      <c r="Q27" t="s">
        <v>4</v>
      </c>
    </row>
    <row r="28" spans="1:19">
      <c r="B28" t="s">
        <v>2408</v>
      </c>
      <c r="C28" t="s">
        <v>865</v>
      </c>
      <c r="D28" s="1">
        <v>2</v>
      </c>
      <c r="E28" t="s">
        <v>3319</v>
      </c>
      <c r="F28" t="s">
        <v>3320</v>
      </c>
      <c r="G28" t="s">
        <v>3294</v>
      </c>
      <c r="I28" t="s">
        <v>823</v>
      </c>
      <c r="N28" s="1" t="s">
        <v>3805</v>
      </c>
      <c r="O28" t="s">
        <v>161</v>
      </c>
      <c r="P28" t="s">
        <v>32</v>
      </c>
      <c r="Q28" t="s">
        <v>4</v>
      </c>
    </row>
    <row r="29" spans="1:19">
      <c r="A29" s="5"/>
      <c r="B29" s="5" t="s">
        <v>2409</v>
      </c>
      <c r="C29" s="5" t="s">
        <v>865</v>
      </c>
      <c r="D29" s="23">
        <v>2</v>
      </c>
      <c r="E29" s="5" t="s">
        <v>3319</v>
      </c>
      <c r="F29" s="5" t="s">
        <v>3320</v>
      </c>
      <c r="G29" s="5" t="s">
        <v>3287</v>
      </c>
      <c r="H29" s="5"/>
      <c r="I29" s="5" t="s">
        <v>3800</v>
      </c>
      <c r="J29" s="5"/>
      <c r="K29" s="5"/>
      <c r="L29" s="5"/>
      <c r="M29" s="5"/>
      <c r="N29" s="23" t="s">
        <v>3473</v>
      </c>
      <c r="O29" s="5" t="s">
        <v>161</v>
      </c>
      <c r="P29" s="5" t="s">
        <v>14</v>
      </c>
      <c r="Q29" s="5" t="s">
        <v>4</v>
      </c>
      <c r="R29" s="5"/>
      <c r="S29" s="5"/>
    </row>
    <row r="30" spans="1:19">
      <c r="B30" t="s">
        <v>2410</v>
      </c>
      <c r="C30" t="s">
        <v>865</v>
      </c>
      <c r="D30" s="1">
        <v>2</v>
      </c>
      <c r="E30" t="s">
        <v>3319</v>
      </c>
      <c r="F30" t="s">
        <v>3320</v>
      </c>
      <c r="G30" t="s">
        <v>3287</v>
      </c>
      <c r="I30" t="s">
        <v>824</v>
      </c>
      <c r="N30" s="1" t="s">
        <v>3805</v>
      </c>
      <c r="O30" t="s">
        <v>161</v>
      </c>
      <c r="P30" t="s">
        <v>17</v>
      </c>
      <c r="Q30" t="s">
        <v>4</v>
      </c>
    </row>
    <row r="31" spans="1:19">
      <c r="A31" s="8"/>
      <c r="B31" s="8" t="s">
        <v>2411</v>
      </c>
      <c r="C31" s="8" t="s">
        <v>866</v>
      </c>
      <c r="D31" s="35">
        <v>3</v>
      </c>
      <c r="E31" s="8" t="s">
        <v>3319</v>
      </c>
      <c r="F31" s="8" t="s">
        <v>3320</v>
      </c>
      <c r="G31" s="8" t="s">
        <v>3307</v>
      </c>
      <c r="H31" s="8"/>
      <c r="I31" s="8" t="s">
        <v>825</v>
      </c>
      <c r="J31" s="8"/>
      <c r="K31" s="8"/>
      <c r="L31" s="8"/>
      <c r="M31" s="8"/>
      <c r="N31" s="35" t="s">
        <v>3805</v>
      </c>
      <c r="O31" s="8" t="s">
        <v>154</v>
      </c>
      <c r="P31" s="8" t="s">
        <v>173</v>
      </c>
      <c r="Q31" s="8" t="s">
        <v>4</v>
      </c>
      <c r="R31" s="5"/>
    </row>
    <row r="32" spans="1:19">
      <c r="B32" t="s">
        <v>2412</v>
      </c>
      <c r="C32" t="s">
        <v>866</v>
      </c>
      <c r="D32" s="1">
        <v>3</v>
      </c>
      <c r="E32" t="s">
        <v>3319</v>
      </c>
      <c r="F32" t="s">
        <v>3320</v>
      </c>
      <c r="G32" t="s">
        <v>3307</v>
      </c>
      <c r="I32" t="s">
        <v>826</v>
      </c>
      <c r="N32" s="1" t="s">
        <v>3805</v>
      </c>
      <c r="O32" t="s">
        <v>164</v>
      </c>
      <c r="P32" t="s">
        <v>45</v>
      </c>
      <c r="Q32" t="s">
        <v>4</v>
      </c>
    </row>
    <row r="33" spans="1:18">
      <c r="A33" s="8"/>
      <c r="B33" s="8" t="s">
        <v>2413</v>
      </c>
      <c r="C33" s="8" t="s">
        <v>866</v>
      </c>
      <c r="D33" s="35">
        <v>3</v>
      </c>
      <c r="E33" s="8" t="s">
        <v>3319</v>
      </c>
      <c r="F33" s="8" t="s">
        <v>3320</v>
      </c>
      <c r="G33" s="8" t="s">
        <v>3287</v>
      </c>
      <c r="H33" s="8"/>
      <c r="I33" s="8" t="s">
        <v>13</v>
      </c>
      <c r="J33" s="8" t="s">
        <v>881</v>
      </c>
      <c r="K33" s="8"/>
      <c r="L33" s="8"/>
      <c r="M33" s="8"/>
      <c r="N33" s="35" t="s">
        <v>3805</v>
      </c>
      <c r="O33" s="8" t="s">
        <v>615</v>
      </c>
      <c r="P33" s="8" t="s">
        <v>18</v>
      </c>
      <c r="Q33" s="8" t="s">
        <v>4</v>
      </c>
    </row>
    <row r="34" spans="1:18">
      <c r="B34" t="s">
        <v>2414</v>
      </c>
      <c r="C34" t="s">
        <v>866</v>
      </c>
      <c r="D34" s="1">
        <v>3</v>
      </c>
      <c r="E34" t="s">
        <v>3319</v>
      </c>
      <c r="F34" t="s">
        <v>3320</v>
      </c>
      <c r="G34" t="s">
        <v>3285</v>
      </c>
      <c r="I34" t="s">
        <v>3798</v>
      </c>
      <c r="J34" t="s">
        <v>827</v>
      </c>
      <c r="N34" s="1" t="s">
        <v>3805</v>
      </c>
      <c r="O34" t="s">
        <v>162</v>
      </c>
      <c r="P34" t="s">
        <v>863</v>
      </c>
      <c r="Q34" t="s">
        <v>4</v>
      </c>
    </row>
    <row r="35" spans="1:18">
      <c r="B35" t="s">
        <v>2415</v>
      </c>
      <c r="C35" t="s">
        <v>866</v>
      </c>
      <c r="D35" s="1">
        <v>3</v>
      </c>
      <c r="E35" t="s">
        <v>3319</v>
      </c>
      <c r="F35" t="s">
        <v>3320</v>
      </c>
      <c r="G35" t="s">
        <v>3287</v>
      </c>
      <c r="I35" t="s">
        <v>828</v>
      </c>
      <c r="J35" t="s">
        <v>829</v>
      </c>
      <c r="N35" s="1" t="s">
        <v>3805</v>
      </c>
      <c r="O35" t="s">
        <v>162</v>
      </c>
      <c r="P35" t="s">
        <v>49</v>
      </c>
      <c r="Q35" t="s">
        <v>4</v>
      </c>
    </row>
    <row r="36" spans="1:18">
      <c r="A36" s="9"/>
      <c r="B36" s="9" t="s">
        <v>2416</v>
      </c>
      <c r="C36" s="9" t="s">
        <v>866</v>
      </c>
      <c r="D36" s="12">
        <v>3</v>
      </c>
      <c r="E36" s="9" t="s">
        <v>3319</v>
      </c>
      <c r="F36" s="9" t="s">
        <v>3320</v>
      </c>
      <c r="G36" s="9" t="s">
        <v>3287</v>
      </c>
      <c r="H36" s="9"/>
      <c r="I36" s="9" t="s">
        <v>830</v>
      </c>
      <c r="J36" s="9"/>
      <c r="K36" s="9"/>
      <c r="L36" s="9"/>
      <c r="M36" s="9"/>
      <c r="N36" s="12" t="s">
        <v>3473</v>
      </c>
      <c r="O36" s="9" t="s">
        <v>154</v>
      </c>
      <c r="P36" s="9" t="s">
        <v>175</v>
      </c>
      <c r="Q36" s="9" t="s">
        <v>4</v>
      </c>
      <c r="R36" s="9"/>
    </row>
    <row r="37" spans="1:18">
      <c r="B37" t="s">
        <v>2417</v>
      </c>
      <c r="C37" t="s">
        <v>866</v>
      </c>
      <c r="D37" s="1">
        <v>3</v>
      </c>
      <c r="E37" t="s">
        <v>3319</v>
      </c>
      <c r="F37" t="s">
        <v>3320</v>
      </c>
      <c r="G37" t="s">
        <v>3289</v>
      </c>
      <c r="I37" t="s">
        <v>831</v>
      </c>
      <c r="N37" s="1" t="s">
        <v>3805</v>
      </c>
      <c r="O37" t="s">
        <v>154</v>
      </c>
      <c r="P37" t="s">
        <v>17</v>
      </c>
      <c r="Q37" t="s">
        <v>4</v>
      </c>
    </row>
    <row r="38" spans="1:18">
      <c r="A38" s="5"/>
      <c r="B38" s="5" t="s">
        <v>2418</v>
      </c>
      <c r="C38" s="5" t="s">
        <v>866</v>
      </c>
      <c r="D38" s="23">
        <v>3</v>
      </c>
      <c r="E38" s="5" t="s">
        <v>3319</v>
      </c>
      <c r="F38" s="5" t="s">
        <v>3320</v>
      </c>
      <c r="G38" s="5" t="s">
        <v>3287</v>
      </c>
      <c r="H38" s="5"/>
      <c r="I38" s="5" t="s">
        <v>832</v>
      </c>
      <c r="J38" s="5"/>
      <c r="K38" s="5"/>
      <c r="L38" s="5"/>
      <c r="M38" s="5"/>
      <c r="N38" s="23" t="s">
        <v>3473</v>
      </c>
      <c r="O38" s="5" t="s">
        <v>156</v>
      </c>
      <c r="P38" s="5" t="s">
        <v>187</v>
      </c>
      <c r="Q38" s="5" t="s">
        <v>4</v>
      </c>
    </row>
    <row r="39" spans="1:18">
      <c r="B39" t="s">
        <v>2419</v>
      </c>
      <c r="C39" t="s">
        <v>866</v>
      </c>
      <c r="D39" s="1">
        <v>3</v>
      </c>
      <c r="E39" t="s">
        <v>3319</v>
      </c>
      <c r="F39" t="s">
        <v>3320</v>
      </c>
      <c r="G39" t="s">
        <v>3306</v>
      </c>
      <c r="I39" t="s">
        <v>833</v>
      </c>
      <c r="N39" s="1" t="s">
        <v>3473</v>
      </c>
      <c r="O39" t="s">
        <v>166</v>
      </c>
      <c r="P39" t="s">
        <v>36</v>
      </c>
      <c r="Q39" t="s">
        <v>4</v>
      </c>
    </row>
    <row r="40" spans="1:18">
      <c r="B40" t="s">
        <v>2420</v>
      </c>
      <c r="C40" t="s">
        <v>866</v>
      </c>
      <c r="D40" s="1">
        <v>3</v>
      </c>
      <c r="E40" t="s">
        <v>3321</v>
      </c>
      <c r="F40" t="s">
        <v>3320</v>
      </c>
      <c r="G40" t="s">
        <v>3743</v>
      </c>
      <c r="I40" t="s">
        <v>884</v>
      </c>
      <c r="N40" s="1" t="s">
        <v>3805</v>
      </c>
      <c r="O40" t="s">
        <v>157</v>
      </c>
      <c r="P40" t="s">
        <v>15</v>
      </c>
      <c r="Q40" t="s">
        <v>4</v>
      </c>
    </row>
    <row r="41" spans="1:18">
      <c r="B41" t="s">
        <v>2421</v>
      </c>
      <c r="C41" t="s">
        <v>866</v>
      </c>
      <c r="D41" s="1">
        <v>3</v>
      </c>
      <c r="E41" t="s">
        <v>3319</v>
      </c>
      <c r="F41" t="s">
        <v>3320</v>
      </c>
      <c r="G41" t="s">
        <v>3287</v>
      </c>
      <c r="I41" t="s">
        <v>834</v>
      </c>
      <c r="N41" s="1" t="s">
        <v>3805</v>
      </c>
      <c r="O41" t="s">
        <v>154</v>
      </c>
      <c r="P41" t="s">
        <v>8</v>
      </c>
      <c r="Q41" t="s">
        <v>4</v>
      </c>
    </row>
    <row r="42" spans="1:18">
      <c r="B42" t="s">
        <v>2422</v>
      </c>
      <c r="C42" t="s">
        <v>866</v>
      </c>
      <c r="D42" s="1">
        <v>3</v>
      </c>
      <c r="E42" t="s">
        <v>3319</v>
      </c>
      <c r="F42" t="s">
        <v>3320</v>
      </c>
      <c r="G42" t="s">
        <v>3287</v>
      </c>
      <c r="I42" t="s">
        <v>835</v>
      </c>
      <c r="N42" s="1" t="s">
        <v>3473</v>
      </c>
      <c r="O42" t="s">
        <v>161</v>
      </c>
      <c r="P42" t="s">
        <v>175</v>
      </c>
      <c r="Q42" t="s">
        <v>4</v>
      </c>
    </row>
    <row r="43" spans="1:18">
      <c r="B43" t="s">
        <v>2423</v>
      </c>
      <c r="C43" t="s">
        <v>866</v>
      </c>
      <c r="D43" s="1">
        <v>3</v>
      </c>
      <c r="E43" t="s">
        <v>3319</v>
      </c>
      <c r="F43" t="s">
        <v>3320</v>
      </c>
      <c r="G43" t="s">
        <v>3289</v>
      </c>
      <c r="I43" t="s">
        <v>836</v>
      </c>
      <c r="N43" s="1" t="s">
        <v>3805</v>
      </c>
      <c r="O43" t="s">
        <v>164</v>
      </c>
      <c r="P43" t="s">
        <v>17</v>
      </c>
      <c r="Q43" t="s">
        <v>4</v>
      </c>
    </row>
    <row r="44" spans="1:18">
      <c r="B44" t="s">
        <v>2424</v>
      </c>
      <c r="C44" t="s">
        <v>866</v>
      </c>
      <c r="D44" s="1">
        <v>3</v>
      </c>
      <c r="E44" t="s">
        <v>3319</v>
      </c>
      <c r="F44" t="s">
        <v>3320</v>
      </c>
      <c r="G44" t="s">
        <v>3287</v>
      </c>
      <c r="I44" t="s">
        <v>3798</v>
      </c>
      <c r="J44" t="s">
        <v>882</v>
      </c>
      <c r="N44" s="1" t="s">
        <v>3805</v>
      </c>
      <c r="O44" t="s">
        <v>166</v>
      </c>
      <c r="P44" t="s">
        <v>52</v>
      </c>
      <c r="Q44" t="s">
        <v>4</v>
      </c>
    </row>
    <row r="45" spans="1:18">
      <c r="A45" s="5"/>
      <c r="B45" s="5" t="s">
        <v>2425</v>
      </c>
      <c r="C45" s="5" t="s">
        <v>866</v>
      </c>
      <c r="D45" s="23">
        <v>3</v>
      </c>
      <c r="E45" s="5" t="s">
        <v>3319</v>
      </c>
      <c r="F45" s="5" t="s">
        <v>3320</v>
      </c>
      <c r="G45" s="5" t="s">
        <v>3307</v>
      </c>
      <c r="H45" s="5"/>
      <c r="I45" s="5" t="s">
        <v>837</v>
      </c>
      <c r="J45" s="5"/>
      <c r="K45" s="5"/>
      <c r="L45" s="5"/>
      <c r="M45" s="5"/>
      <c r="N45" s="23" t="s">
        <v>3805</v>
      </c>
      <c r="O45" s="5" t="s">
        <v>154</v>
      </c>
      <c r="P45" s="5" t="s">
        <v>6</v>
      </c>
      <c r="Q45" s="5" t="s">
        <v>4</v>
      </c>
      <c r="R45" s="5"/>
    </row>
    <row r="46" spans="1:18">
      <c r="B46" t="s">
        <v>2426</v>
      </c>
      <c r="C46" t="s">
        <v>866</v>
      </c>
      <c r="D46" s="1">
        <v>3</v>
      </c>
      <c r="E46" t="s">
        <v>3319</v>
      </c>
      <c r="F46" t="s">
        <v>3320</v>
      </c>
      <c r="G46" t="s">
        <v>3299</v>
      </c>
      <c r="I46" t="s">
        <v>838</v>
      </c>
      <c r="N46" s="1" t="s">
        <v>3805</v>
      </c>
      <c r="O46" t="s">
        <v>164</v>
      </c>
      <c r="P46" t="s">
        <v>177</v>
      </c>
      <c r="Q46" t="s">
        <v>4</v>
      </c>
    </row>
    <row r="47" spans="1:18">
      <c r="B47" t="s">
        <v>2427</v>
      </c>
      <c r="C47" t="s">
        <v>866</v>
      </c>
      <c r="D47" s="1">
        <v>3</v>
      </c>
      <c r="E47" t="s">
        <v>3319</v>
      </c>
      <c r="F47" t="s">
        <v>3320</v>
      </c>
      <c r="G47" t="s">
        <v>3287</v>
      </c>
      <c r="I47" t="s">
        <v>839</v>
      </c>
      <c r="N47" s="1" t="s">
        <v>3473</v>
      </c>
      <c r="O47" t="s">
        <v>154</v>
      </c>
      <c r="P47" t="s">
        <v>610</v>
      </c>
      <c r="Q47" t="s">
        <v>4</v>
      </c>
    </row>
    <row r="48" spans="1:18">
      <c r="B48" t="s">
        <v>2428</v>
      </c>
      <c r="C48" t="s">
        <v>866</v>
      </c>
      <c r="D48" s="1">
        <v>3</v>
      </c>
      <c r="E48" t="s">
        <v>3319</v>
      </c>
      <c r="F48" t="s">
        <v>3320</v>
      </c>
      <c r="G48" t="s">
        <v>3294</v>
      </c>
      <c r="I48" t="s">
        <v>875</v>
      </c>
      <c r="J48" t="s">
        <v>840</v>
      </c>
      <c r="N48" s="1" t="s">
        <v>3805</v>
      </c>
      <c r="O48" t="s">
        <v>162</v>
      </c>
      <c r="P48" t="s">
        <v>32</v>
      </c>
      <c r="Q48" t="s">
        <v>4</v>
      </c>
    </row>
    <row r="49" spans="1:18">
      <c r="B49" t="s">
        <v>2429</v>
      </c>
      <c r="C49" t="s">
        <v>866</v>
      </c>
      <c r="D49" s="1">
        <v>3</v>
      </c>
      <c r="E49" t="s">
        <v>3319</v>
      </c>
      <c r="F49" t="s">
        <v>3320</v>
      </c>
      <c r="G49" t="s">
        <v>3287</v>
      </c>
      <c r="I49" t="s">
        <v>841</v>
      </c>
      <c r="N49" s="1" t="s">
        <v>3805</v>
      </c>
      <c r="O49" t="s">
        <v>162</v>
      </c>
      <c r="P49" t="s">
        <v>612</v>
      </c>
      <c r="Q49" t="s">
        <v>4</v>
      </c>
    </row>
    <row r="50" spans="1:18">
      <c r="A50" s="8"/>
      <c r="B50" s="8" t="s">
        <v>2430</v>
      </c>
      <c r="C50" s="8" t="s">
        <v>866</v>
      </c>
      <c r="D50" s="35">
        <v>3</v>
      </c>
      <c r="E50" s="8" t="s">
        <v>3319</v>
      </c>
      <c r="F50" s="8" t="s">
        <v>3320</v>
      </c>
      <c r="G50" s="8" t="s">
        <v>3287</v>
      </c>
      <c r="H50" s="8"/>
      <c r="I50" s="8" t="s">
        <v>842</v>
      </c>
      <c r="J50" s="8"/>
      <c r="K50" s="8"/>
      <c r="L50" s="8"/>
      <c r="M50" s="8"/>
      <c r="N50" s="35" t="s">
        <v>3805</v>
      </c>
      <c r="O50" s="8" t="s">
        <v>154</v>
      </c>
      <c r="P50" s="8" t="s">
        <v>39</v>
      </c>
      <c r="Q50" s="8" t="s">
        <v>4</v>
      </c>
    </row>
    <row r="51" spans="1:18">
      <c r="B51" t="s">
        <v>2431</v>
      </c>
      <c r="C51" t="s">
        <v>866</v>
      </c>
      <c r="D51" s="1">
        <v>3</v>
      </c>
      <c r="E51" t="s">
        <v>3319</v>
      </c>
      <c r="F51" t="s">
        <v>3320</v>
      </c>
      <c r="G51" t="s">
        <v>3287</v>
      </c>
      <c r="I51" t="s">
        <v>843</v>
      </c>
      <c r="N51" s="1" t="s">
        <v>3805</v>
      </c>
      <c r="O51" t="s">
        <v>156</v>
      </c>
      <c r="P51" t="s">
        <v>174</v>
      </c>
      <c r="Q51" t="s">
        <v>4</v>
      </c>
    </row>
    <row r="52" spans="1:18">
      <c r="B52" t="s">
        <v>2432</v>
      </c>
      <c r="C52" t="s">
        <v>867</v>
      </c>
      <c r="D52" s="1">
        <v>3</v>
      </c>
      <c r="E52" t="s">
        <v>3319</v>
      </c>
      <c r="F52" t="s">
        <v>3320</v>
      </c>
      <c r="G52" t="s">
        <v>3287</v>
      </c>
      <c r="I52" t="s">
        <v>844</v>
      </c>
      <c r="J52" t="s">
        <v>845</v>
      </c>
      <c r="N52" s="1" t="s">
        <v>3473</v>
      </c>
      <c r="O52" t="s">
        <v>162</v>
      </c>
      <c r="P52" t="s">
        <v>50</v>
      </c>
      <c r="Q52" t="s">
        <v>4</v>
      </c>
    </row>
    <row r="53" spans="1:18">
      <c r="B53" t="s">
        <v>2433</v>
      </c>
      <c r="C53" t="s">
        <v>866</v>
      </c>
      <c r="D53" s="1">
        <v>3</v>
      </c>
      <c r="E53" t="s">
        <v>3319</v>
      </c>
      <c r="F53" t="s">
        <v>3320</v>
      </c>
      <c r="G53" t="s">
        <v>3287</v>
      </c>
      <c r="I53" t="s">
        <v>1</v>
      </c>
      <c r="J53" t="s">
        <v>846</v>
      </c>
      <c r="N53" s="1" t="s">
        <v>3805</v>
      </c>
      <c r="O53" t="s">
        <v>162</v>
      </c>
      <c r="P53" t="s">
        <v>182</v>
      </c>
      <c r="Q53" t="s">
        <v>4</v>
      </c>
    </row>
    <row r="54" spans="1:18">
      <c r="B54" t="s">
        <v>2434</v>
      </c>
      <c r="C54" t="s">
        <v>866</v>
      </c>
      <c r="D54" s="1">
        <v>3</v>
      </c>
      <c r="E54" t="s">
        <v>3319</v>
      </c>
      <c r="F54" t="s">
        <v>3320</v>
      </c>
      <c r="G54" t="s">
        <v>3308</v>
      </c>
      <c r="I54" t="s">
        <v>876</v>
      </c>
      <c r="J54" t="s">
        <v>847</v>
      </c>
      <c r="N54" s="1"/>
      <c r="O54" t="s">
        <v>156</v>
      </c>
      <c r="P54" t="s">
        <v>188</v>
      </c>
      <c r="Q54" t="s">
        <v>4</v>
      </c>
    </row>
    <row r="55" spans="1:18">
      <c r="A55" s="8"/>
      <c r="B55" s="8" t="s">
        <v>2435</v>
      </c>
      <c r="C55" s="8" t="s">
        <v>867</v>
      </c>
      <c r="D55" s="35">
        <v>3</v>
      </c>
      <c r="E55" s="8" t="s">
        <v>3319</v>
      </c>
      <c r="F55" s="8" t="s">
        <v>3320</v>
      </c>
      <c r="G55" s="8" t="s">
        <v>3287</v>
      </c>
      <c r="H55" s="8"/>
      <c r="I55" s="8" t="s">
        <v>848</v>
      </c>
      <c r="J55" s="8"/>
      <c r="K55" s="8"/>
      <c r="L55" s="8"/>
      <c r="M55" s="8"/>
      <c r="N55" s="35" t="s">
        <v>3473</v>
      </c>
      <c r="O55" s="8" t="s">
        <v>154</v>
      </c>
      <c r="P55" s="8" t="s">
        <v>179</v>
      </c>
      <c r="Q55" s="8" t="s">
        <v>4</v>
      </c>
      <c r="R55" s="5"/>
    </row>
    <row r="56" spans="1:18">
      <c r="A56" s="8"/>
      <c r="B56" s="8" t="s">
        <v>2436</v>
      </c>
      <c r="C56" s="8" t="s">
        <v>868</v>
      </c>
      <c r="D56" s="35">
        <v>4</v>
      </c>
      <c r="E56" s="8" t="s">
        <v>3319</v>
      </c>
      <c r="F56" s="8" t="s">
        <v>3320</v>
      </c>
      <c r="G56" s="8" t="s">
        <v>3308</v>
      </c>
      <c r="H56" s="8"/>
      <c r="I56" s="8" t="s">
        <v>877</v>
      </c>
      <c r="J56" s="8" t="s">
        <v>849</v>
      </c>
      <c r="K56" s="8"/>
      <c r="L56" s="8"/>
      <c r="M56" s="8"/>
      <c r="N56" s="35"/>
      <c r="O56" s="8" t="s">
        <v>154</v>
      </c>
      <c r="P56" s="8" t="s">
        <v>188</v>
      </c>
      <c r="Q56" s="8" t="s">
        <v>4</v>
      </c>
      <c r="R56" s="5"/>
    </row>
    <row r="57" spans="1:18">
      <c r="B57" t="s">
        <v>2437</v>
      </c>
      <c r="C57" t="s">
        <v>868</v>
      </c>
      <c r="D57" s="1">
        <v>4</v>
      </c>
      <c r="E57" t="s">
        <v>3319</v>
      </c>
      <c r="F57" t="s">
        <v>3320</v>
      </c>
      <c r="G57" t="s">
        <v>3287</v>
      </c>
      <c r="I57" t="s">
        <v>3801</v>
      </c>
      <c r="N57" s="1" t="s">
        <v>3473</v>
      </c>
      <c r="O57" t="s">
        <v>168</v>
      </c>
      <c r="P57" t="s">
        <v>46</v>
      </c>
      <c r="Q57" t="s">
        <v>4</v>
      </c>
    </row>
    <row r="58" spans="1:18">
      <c r="A58" s="5"/>
      <c r="B58" s="5" t="s">
        <v>2438</v>
      </c>
      <c r="C58" s="5" t="s">
        <v>868</v>
      </c>
      <c r="D58" s="23">
        <v>4</v>
      </c>
      <c r="E58" s="5" t="s">
        <v>3319</v>
      </c>
      <c r="F58" s="5" t="s">
        <v>3320</v>
      </c>
      <c r="G58" s="5" t="s">
        <v>3307</v>
      </c>
      <c r="H58" s="5"/>
      <c r="I58" s="5" t="s">
        <v>850</v>
      </c>
      <c r="J58" s="5" t="s">
        <v>851</v>
      </c>
      <c r="K58" s="5"/>
      <c r="L58" s="5"/>
      <c r="M58" s="5"/>
      <c r="N58" s="23" t="s">
        <v>3473</v>
      </c>
      <c r="O58" s="5" t="s">
        <v>165</v>
      </c>
      <c r="P58" s="5" t="s">
        <v>5</v>
      </c>
      <c r="Q58" s="5" t="s">
        <v>4</v>
      </c>
    </row>
    <row r="59" spans="1:18">
      <c r="B59" t="s">
        <v>2439</v>
      </c>
      <c r="C59" t="s">
        <v>868</v>
      </c>
      <c r="D59" s="1">
        <v>4</v>
      </c>
      <c r="E59" t="s">
        <v>3319</v>
      </c>
      <c r="F59" t="s">
        <v>3320</v>
      </c>
      <c r="G59" t="s">
        <v>3298</v>
      </c>
      <c r="I59" t="s">
        <v>1</v>
      </c>
      <c r="J59" t="s">
        <v>883</v>
      </c>
      <c r="N59" s="1" t="s">
        <v>3805</v>
      </c>
      <c r="O59" t="s">
        <v>161</v>
      </c>
      <c r="P59" t="s">
        <v>31</v>
      </c>
      <c r="Q59" t="s">
        <v>4</v>
      </c>
    </row>
    <row r="60" spans="1:18">
      <c r="A60" s="8"/>
      <c r="B60" s="8" t="s">
        <v>2440</v>
      </c>
      <c r="C60" s="8" t="s">
        <v>868</v>
      </c>
      <c r="D60" s="35">
        <v>4</v>
      </c>
      <c r="E60" s="8" t="s">
        <v>3319</v>
      </c>
      <c r="F60" s="8" t="s">
        <v>3320</v>
      </c>
      <c r="G60" s="8" t="s">
        <v>3287</v>
      </c>
      <c r="H60" s="8"/>
      <c r="I60" s="8" t="s">
        <v>852</v>
      </c>
      <c r="J60" s="8"/>
      <c r="K60" s="8"/>
      <c r="L60" s="8"/>
      <c r="M60" s="8"/>
      <c r="N60" s="35" t="s">
        <v>3473</v>
      </c>
      <c r="O60" s="8" t="s">
        <v>154</v>
      </c>
      <c r="P60" s="8" t="s">
        <v>48</v>
      </c>
      <c r="Q60" s="8" t="s">
        <v>4</v>
      </c>
    </row>
    <row r="61" spans="1:18">
      <c r="A61" s="5"/>
      <c r="B61" s="5" t="s">
        <v>2441</v>
      </c>
      <c r="C61" s="5" t="s">
        <v>868</v>
      </c>
      <c r="D61" s="23">
        <v>4</v>
      </c>
      <c r="E61" s="5" t="s">
        <v>3319</v>
      </c>
      <c r="F61" s="5" t="s">
        <v>3320</v>
      </c>
      <c r="G61" s="5" t="s">
        <v>3290</v>
      </c>
      <c r="H61" s="5"/>
      <c r="I61" s="5" t="s">
        <v>13</v>
      </c>
      <c r="J61" s="5"/>
      <c r="K61" s="5"/>
      <c r="L61" s="5"/>
      <c r="M61" s="5"/>
      <c r="N61" s="23" t="s">
        <v>3805</v>
      </c>
      <c r="O61" s="5" t="s">
        <v>154</v>
      </c>
      <c r="P61" s="5" t="s">
        <v>15</v>
      </c>
      <c r="Q61" s="5" t="s">
        <v>4</v>
      </c>
    </row>
    <row r="62" spans="1:18">
      <c r="A62" s="8"/>
      <c r="B62" s="8" t="s">
        <v>2442</v>
      </c>
      <c r="C62" s="8" t="s">
        <v>868</v>
      </c>
      <c r="D62" s="35">
        <v>4</v>
      </c>
      <c r="E62" s="8" t="s">
        <v>3319</v>
      </c>
      <c r="F62" s="8" t="s">
        <v>3320</v>
      </c>
      <c r="G62" s="8" t="s">
        <v>3299</v>
      </c>
      <c r="H62" s="8"/>
      <c r="I62" s="8" t="s">
        <v>3802</v>
      </c>
      <c r="J62" s="8" t="s">
        <v>853</v>
      </c>
      <c r="K62" s="8"/>
      <c r="L62" s="8"/>
      <c r="M62" s="8"/>
      <c r="N62" s="35" t="s">
        <v>3473</v>
      </c>
      <c r="O62" s="8" t="s">
        <v>157</v>
      </c>
      <c r="P62" s="8" t="s">
        <v>48</v>
      </c>
      <c r="Q62" s="8" t="s">
        <v>4</v>
      </c>
    </row>
    <row r="63" spans="1:18">
      <c r="B63" t="s">
        <v>2443</v>
      </c>
      <c r="C63" t="s">
        <v>868</v>
      </c>
      <c r="D63" s="1">
        <v>4</v>
      </c>
      <c r="E63" t="s">
        <v>3319</v>
      </c>
      <c r="F63" t="s">
        <v>3320</v>
      </c>
      <c r="G63" t="s">
        <v>3299</v>
      </c>
      <c r="I63" t="s">
        <v>854</v>
      </c>
      <c r="N63" s="1" t="s">
        <v>3473</v>
      </c>
      <c r="O63" t="s">
        <v>170</v>
      </c>
      <c r="P63" t="s">
        <v>26</v>
      </c>
      <c r="Q63" t="s">
        <v>4</v>
      </c>
    </row>
    <row r="64" spans="1:18">
      <c r="B64" t="s">
        <v>2444</v>
      </c>
      <c r="C64" t="s">
        <v>868</v>
      </c>
      <c r="D64" s="1">
        <v>4</v>
      </c>
      <c r="E64" t="s">
        <v>3319</v>
      </c>
      <c r="F64" t="s">
        <v>3320</v>
      </c>
      <c r="G64" t="s">
        <v>3286</v>
      </c>
      <c r="I64" t="s">
        <v>3798</v>
      </c>
      <c r="J64" t="s">
        <v>3803</v>
      </c>
      <c r="N64" s="1" t="s">
        <v>3805</v>
      </c>
      <c r="O64" t="s">
        <v>164</v>
      </c>
      <c r="P64" t="s">
        <v>52</v>
      </c>
      <c r="Q64" t="s">
        <v>4</v>
      </c>
    </row>
    <row r="65" spans="1:18">
      <c r="B65" t="s">
        <v>2445</v>
      </c>
      <c r="C65" t="s">
        <v>868</v>
      </c>
      <c r="D65" s="1">
        <v>4</v>
      </c>
      <c r="E65" t="s">
        <v>3319</v>
      </c>
      <c r="F65" t="s">
        <v>3320</v>
      </c>
      <c r="G65" t="s">
        <v>3287</v>
      </c>
      <c r="I65" t="s">
        <v>878</v>
      </c>
      <c r="N65" s="1" t="s">
        <v>3805</v>
      </c>
      <c r="O65" t="s">
        <v>164</v>
      </c>
      <c r="P65" t="s">
        <v>184</v>
      </c>
      <c r="Q65" t="s">
        <v>4</v>
      </c>
    </row>
    <row r="66" spans="1:18">
      <c r="A66" s="8"/>
      <c r="B66" s="8" t="s">
        <v>2446</v>
      </c>
      <c r="C66" s="8" t="s">
        <v>869</v>
      </c>
      <c r="D66" s="35">
        <v>4</v>
      </c>
      <c r="E66" s="8" t="s">
        <v>3319</v>
      </c>
      <c r="F66" s="8" t="s">
        <v>3320</v>
      </c>
      <c r="G66" s="8" t="s">
        <v>3287</v>
      </c>
      <c r="H66" s="8"/>
      <c r="I66" s="8" t="s">
        <v>855</v>
      </c>
      <c r="J66" s="8"/>
      <c r="K66" s="8"/>
      <c r="L66" s="8"/>
      <c r="M66" s="8"/>
      <c r="N66" s="1" t="s">
        <v>3473</v>
      </c>
      <c r="O66" s="8" t="s">
        <v>157</v>
      </c>
      <c r="P66" s="8" t="s">
        <v>185</v>
      </c>
      <c r="Q66" s="8" t="s">
        <v>4</v>
      </c>
      <c r="R66" s="8"/>
    </row>
    <row r="67" spans="1:18">
      <c r="B67" t="s">
        <v>2447</v>
      </c>
      <c r="C67" t="s">
        <v>868</v>
      </c>
      <c r="D67" s="1">
        <v>4</v>
      </c>
      <c r="E67" t="s">
        <v>3319</v>
      </c>
      <c r="F67" t="s">
        <v>3320</v>
      </c>
      <c r="G67" t="s">
        <v>3306</v>
      </c>
      <c r="I67" t="s">
        <v>856</v>
      </c>
      <c r="N67" s="1" t="s">
        <v>3473</v>
      </c>
      <c r="O67" t="s">
        <v>165</v>
      </c>
      <c r="P67" t="s">
        <v>36</v>
      </c>
      <c r="Q67" t="s">
        <v>4</v>
      </c>
    </row>
    <row r="68" spans="1:18">
      <c r="A68" s="8"/>
      <c r="B68" s="8" t="s">
        <v>2448</v>
      </c>
      <c r="C68" s="8" t="s">
        <v>868</v>
      </c>
      <c r="D68" s="35">
        <v>4</v>
      </c>
      <c r="E68" s="8" t="s">
        <v>3319</v>
      </c>
      <c r="F68" s="8" t="s">
        <v>3320</v>
      </c>
      <c r="G68" s="8"/>
      <c r="H68" s="8"/>
      <c r="I68" s="8" t="s">
        <v>857</v>
      </c>
      <c r="J68" s="8"/>
      <c r="K68" s="8"/>
      <c r="L68" s="8"/>
      <c r="M68" s="8"/>
      <c r="N68" s="35" t="s">
        <v>3473</v>
      </c>
      <c r="O68" s="8" t="s">
        <v>158</v>
      </c>
      <c r="P68" s="8" t="s">
        <v>39</v>
      </c>
      <c r="Q68" s="8" t="s">
        <v>4</v>
      </c>
      <c r="R68" s="5"/>
    </row>
    <row r="69" spans="1:18" s="8" customFormat="1">
      <c r="B69" s="8" t="s">
        <v>2449</v>
      </c>
      <c r="C69" s="8" t="s">
        <v>870</v>
      </c>
      <c r="D69" s="8">
        <v>5</v>
      </c>
      <c r="E69" s="8" t="s">
        <v>3319</v>
      </c>
      <c r="F69" s="8" t="s">
        <v>3320</v>
      </c>
      <c r="G69" s="8" t="s">
        <v>3294</v>
      </c>
      <c r="I69" s="8" t="s">
        <v>858</v>
      </c>
      <c r="J69" s="8" t="s">
        <v>3742</v>
      </c>
      <c r="N69" s="1" t="s">
        <v>3805</v>
      </c>
      <c r="O69" s="8" t="s">
        <v>165</v>
      </c>
      <c r="P69" s="8" t="s">
        <v>38</v>
      </c>
      <c r="Q69" s="8" t="s">
        <v>4</v>
      </c>
    </row>
    <row r="70" spans="1:18">
      <c r="A70" s="5"/>
      <c r="B70" s="5" t="s">
        <v>2450</v>
      </c>
      <c r="C70" s="5" t="s">
        <v>870</v>
      </c>
      <c r="D70" s="23">
        <v>5</v>
      </c>
      <c r="E70" s="5" t="s">
        <v>3319</v>
      </c>
      <c r="F70" s="5" t="s">
        <v>3320</v>
      </c>
      <c r="G70" s="5" t="s">
        <v>3290</v>
      </c>
      <c r="H70" s="5"/>
      <c r="I70" s="5" t="s">
        <v>1</v>
      </c>
      <c r="J70" s="5" t="s">
        <v>859</v>
      </c>
      <c r="K70" s="5"/>
      <c r="L70" s="5"/>
      <c r="M70" s="5"/>
      <c r="N70" s="23" t="s">
        <v>3473</v>
      </c>
      <c r="O70" s="5" t="s">
        <v>165</v>
      </c>
      <c r="P70" s="5" t="s">
        <v>52</v>
      </c>
      <c r="Q70" s="5" t="s">
        <v>4</v>
      </c>
      <c r="R70" s="5"/>
    </row>
    <row r="71" spans="1:18">
      <c r="B71" t="s">
        <v>2451</v>
      </c>
      <c r="C71" t="s">
        <v>870</v>
      </c>
      <c r="D71" s="1">
        <v>5</v>
      </c>
      <c r="E71" t="s">
        <v>3319</v>
      </c>
      <c r="F71" t="s">
        <v>3320</v>
      </c>
      <c r="G71" t="s">
        <v>3287</v>
      </c>
      <c r="I71" t="s">
        <v>860</v>
      </c>
      <c r="N71" s="1" t="s">
        <v>3473</v>
      </c>
      <c r="O71" t="s">
        <v>166</v>
      </c>
      <c r="P71" t="s">
        <v>6</v>
      </c>
      <c r="Q71" t="s">
        <v>4</v>
      </c>
    </row>
    <row r="72" spans="1:18">
      <c r="B72" s="5" t="s">
        <v>2452</v>
      </c>
      <c r="C72" s="5" t="s">
        <v>870</v>
      </c>
      <c r="D72" s="23">
        <v>5</v>
      </c>
      <c r="E72" s="5" t="s">
        <v>3319</v>
      </c>
      <c r="F72" s="5" t="s">
        <v>3320</v>
      </c>
      <c r="G72" s="5" t="s">
        <v>3306</v>
      </c>
      <c r="H72" s="5"/>
      <c r="I72" s="5" t="s">
        <v>861</v>
      </c>
      <c r="J72" s="5"/>
      <c r="K72" s="5"/>
      <c r="L72" s="5"/>
      <c r="M72" s="5"/>
      <c r="N72" s="23" t="s">
        <v>3473</v>
      </c>
      <c r="O72" s="5" t="s">
        <v>171</v>
      </c>
      <c r="P72" s="5" t="s">
        <v>30</v>
      </c>
      <c r="Q72" s="5" t="s">
        <v>4</v>
      </c>
    </row>
    <row r="73" spans="1:18">
      <c r="A73" s="5"/>
      <c r="B73" s="5" t="s">
        <v>2453</v>
      </c>
      <c r="C73" s="5" t="s">
        <v>871</v>
      </c>
      <c r="D73" s="23">
        <v>5</v>
      </c>
      <c r="E73" s="5" t="s">
        <v>3319</v>
      </c>
      <c r="F73" s="5" t="s">
        <v>3320</v>
      </c>
      <c r="G73" s="5" t="s">
        <v>3287</v>
      </c>
      <c r="H73" s="5"/>
      <c r="I73" s="5" t="s">
        <v>1</v>
      </c>
      <c r="J73" s="5" t="s">
        <v>862</v>
      </c>
      <c r="K73" s="5"/>
      <c r="L73" s="5"/>
      <c r="M73" s="5"/>
      <c r="N73" s="23" t="s">
        <v>3805</v>
      </c>
      <c r="O73" s="5" t="s">
        <v>154</v>
      </c>
      <c r="P73" s="5" t="s">
        <v>40</v>
      </c>
      <c r="Q73" s="5" t="s">
        <v>4</v>
      </c>
      <c r="R73" s="5"/>
    </row>
    <row r="74" spans="1:18">
      <c r="N74" s="1" t="s">
        <v>3805</v>
      </c>
    </row>
    <row r="75" spans="1:18">
      <c r="N75" s="1" t="s">
        <v>3805</v>
      </c>
    </row>
    <row r="76" spans="1:18">
      <c r="N76" s="1" t="s">
        <v>3805</v>
      </c>
    </row>
    <row r="77" spans="1:18">
      <c r="N77" s="1" t="s">
        <v>3805</v>
      </c>
    </row>
    <row r="78" spans="1:18">
      <c r="N78" s="1" t="s">
        <v>3805</v>
      </c>
    </row>
    <row r="79" spans="1:18">
      <c r="N79" s="1" t="s">
        <v>3805</v>
      </c>
    </row>
    <row r="80" spans="1:18">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row r="87" spans="14:14">
      <c r="N87" s="1" t="s">
        <v>3805</v>
      </c>
    </row>
    <row r="88" spans="14:14">
      <c r="N88" s="1" t="s">
        <v>3805</v>
      </c>
    </row>
    <row r="89" spans="14:14">
      <c r="N89" s="1" t="s">
        <v>3805</v>
      </c>
    </row>
    <row r="90" spans="14:14">
      <c r="N90" s="1" t="s">
        <v>3805</v>
      </c>
    </row>
    <row r="91" spans="14:14">
      <c r="N91" s="1" t="s">
        <v>3805</v>
      </c>
    </row>
    <row r="92" spans="14:14">
      <c r="N92" s="1" t="s">
        <v>3805</v>
      </c>
    </row>
    <row r="93" spans="14:14">
      <c r="N93" s="1" t="s">
        <v>3805</v>
      </c>
    </row>
    <row r="94" spans="14:14">
      <c r="N94" s="1" t="s">
        <v>3805</v>
      </c>
    </row>
    <row r="95" spans="14:14">
      <c r="N95" s="1" t="s">
        <v>3805</v>
      </c>
    </row>
    <row r="96" spans="14:14">
      <c r="N96" s="1" t="s">
        <v>3805</v>
      </c>
    </row>
    <row r="97" spans="14:14">
      <c r="N97" s="1" t="s">
        <v>3805</v>
      </c>
    </row>
    <row r="98" spans="14:14">
      <c r="N98" s="1" t="s">
        <v>3805</v>
      </c>
    </row>
    <row r="99" spans="14:14">
      <c r="N99" s="1" t="s">
        <v>3805</v>
      </c>
    </row>
    <row r="100" spans="14:14">
      <c r="N100" s="1" t="s">
        <v>3805</v>
      </c>
    </row>
    <row r="101" spans="14:14">
      <c r="N101" s="1" t="s">
        <v>3805</v>
      </c>
    </row>
    <row r="102" spans="14:14">
      <c r="N102" s="1" t="s">
        <v>3805</v>
      </c>
    </row>
    <row r="103" spans="14:14">
      <c r="N103" s="1" t="s">
        <v>3805</v>
      </c>
    </row>
    <row r="104" spans="14:14">
      <c r="N104" s="1"/>
    </row>
    <row r="105" spans="14:14">
      <c r="N105" s="1"/>
    </row>
    <row r="106" spans="14:14">
      <c r="N106" s="1"/>
    </row>
    <row r="107" spans="14:14">
      <c r="N107" s="1"/>
    </row>
    <row r="108" spans="14:14">
      <c r="N108" s="1"/>
    </row>
    <row r="109" spans="14:14">
      <c r="N109" s="1"/>
    </row>
    <row r="110" spans="14:14">
      <c r="N110" s="1"/>
    </row>
    <row r="111" spans="14:14">
      <c r="N111" s="1"/>
    </row>
    <row r="112" spans="14:14">
      <c r="N112" s="1"/>
    </row>
    <row r="113" spans="14:14">
      <c r="N113" s="1"/>
    </row>
    <row r="114" spans="14:14">
      <c r="N114" s="1"/>
    </row>
    <row r="115" spans="14:14">
      <c r="N115" s="1"/>
    </row>
    <row r="116" spans="14:14">
      <c r="N116" s="1"/>
    </row>
    <row r="117" spans="14:14">
      <c r="N117" s="1"/>
    </row>
    <row r="118" spans="14:14">
      <c r="N118" s="1"/>
    </row>
    <row r="119" spans="14:14">
      <c r="N119" s="1"/>
    </row>
    <row r="120" spans="14:14">
      <c r="N120" s="1"/>
    </row>
    <row r="121" spans="14:14">
      <c r="N121" s="1"/>
    </row>
    <row r="122" spans="14:14">
      <c r="N122" s="1"/>
    </row>
    <row r="123" spans="14:14">
      <c r="N123" s="1"/>
    </row>
    <row r="124" spans="14:14">
      <c r="N124" s="1"/>
    </row>
    <row r="125" spans="14:14">
      <c r="N125" s="1"/>
    </row>
    <row r="126" spans="14:14">
      <c r="N126" s="1"/>
    </row>
    <row r="127" spans="14:14">
      <c r="N127" s="1"/>
    </row>
    <row r="128" spans="14:14">
      <c r="N128" s="1"/>
    </row>
    <row r="129" spans="14:14">
      <c r="N129" s="1"/>
    </row>
    <row r="130" spans="14:14">
      <c r="N130" s="1"/>
    </row>
    <row r="131" spans="14:14">
      <c r="N131" s="1"/>
    </row>
    <row r="132" spans="14:14">
      <c r="N132" s="1"/>
    </row>
    <row r="133" spans="14:14">
      <c r="N133" s="1"/>
    </row>
    <row r="134" spans="14:14">
      <c r="N134" s="1"/>
    </row>
    <row r="135" spans="14:14">
      <c r="N135" s="1"/>
    </row>
    <row r="136" spans="14:14">
      <c r="N136" s="1"/>
    </row>
    <row r="137" spans="14:14">
      <c r="N137" s="1"/>
    </row>
  </sheetData>
  <autoFilter ref="B1:Q73"/>
  <sortState ref="T2:T73">
    <sortCondition ref="T2"/>
  </sortState>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87"/>
  <sheetViews>
    <sheetView topLeftCell="A61" workbookViewId="0">
      <selection activeCell="J63" sqref="J63"/>
    </sheetView>
  </sheetViews>
  <sheetFormatPr defaultRowHeight="18.75"/>
  <sheetData>
    <row r="1" spans="1:17">
      <c r="B1" t="s">
        <v>3474</v>
      </c>
      <c r="C1" t="s">
        <v>3475</v>
      </c>
      <c r="D1" t="s">
        <v>3489</v>
      </c>
      <c r="E1" t="s">
        <v>3477</v>
      </c>
      <c r="F1" t="s">
        <v>3479</v>
      </c>
      <c r="G1" t="s">
        <v>3481</v>
      </c>
      <c r="H1" t="s">
        <v>3482</v>
      </c>
      <c r="I1" t="s">
        <v>3483</v>
      </c>
      <c r="N1" s="1" t="s">
        <v>3805</v>
      </c>
      <c r="O1" t="s">
        <v>3484</v>
      </c>
      <c r="P1" t="s">
        <v>3486</v>
      </c>
    </row>
    <row r="2" spans="1:17">
      <c r="A2" s="1"/>
      <c r="B2" s="1" t="s">
        <v>2454</v>
      </c>
      <c r="C2" s="1" t="s">
        <v>864</v>
      </c>
      <c r="D2" s="1"/>
      <c r="E2" s="1" t="s">
        <v>3319</v>
      </c>
      <c r="F2" s="1" t="s">
        <v>3320</v>
      </c>
      <c r="G2" s="1" t="s">
        <v>3307</v>
      </c>
      <c r="H2" s="1"/>
      <c r="I2" s="1" t="s">
        <v>967</v>
      </c>
      <c r="J2" s="1"/>
      <c r="K2" s="1"/>
      <c r="L2" s="1"/>
      <c r="M2" s="1"/>
      <c r="N2" s="1" t="s">
        <v>3805</v>
      </c>
      <c r="O2" s="1" t="s">
        <v>156</v>
      </c>
      <c r="P2" s="1" t="s">
        <v>52</v>
      </c>
      <c r="Q2" s="1" t="s">
        <v>7</v>
      </c>
    </row>
    <row r="3" spans="1:17">
      <c r="A3" s="1"/>
      <c r="B3" t="s">
        <v>2455</v>
      </c>
      <c r="C3" s="1" t="s">
        <v>864</v>
      </c>
      <c r="D3" s="1"/>
      <c r="E3" s="1" t="s">
        <v>3319</v>
      </c>
      <c r="F3" s="1" t="s">
        <v>3320</v>
      </c>
      <c r="G3" s="1" t="s">
        <v>3287</v>
      </c>
      <c r="H3" s="1"/>
      <c r="I3" t="s">
        <v>968</v>
      </c>
      <c r="J3" t="s">
        <v>885</v>
      </c>
      <c r="K3" t="s">
        <v>886</v>
      </c>
      <c r="L3" t="s">
        <v>887</v>
      </c>
      <c r="N3" s="1" t="s">
        <v>3805</v>
      </c>
      <c r="O3" t="s">
        <v>156</v>
      </c>
      <c r="P3" t="s">
        <v>33</v>
      </c>
      <c r="Q3" t="s">
        <v>7</v>
      </c>
    </row>
    <row r="4" spans="1:17">
      <c r="B4" t="s">
        <v>2456</v>
      </c>
      <c r="C4" t="s">
        <v>864</v>
      </c>
      <c r="E4" t="s">
        <v>3319</v>
      </c>
      <c r="F4" t="s">
        <v>3320</v>
      </c>
      <c r="G4" t="s">
        <v>3295</v>
      </c>
      <c r="I4" t="s">
        <v>888</v>
      </c>
      <c r="J4" t="s">
        <v>889</v>
      </c>
      <c r="N4" s="1" t="s">
        <v>3805</v>
      </c>
      <c r="O4" t="s">
        <v>157</v>
      </c>
      <c r="P4" t="s">
        <v>184</v>
      </c>
      <c r="Q4" t="s">
        <v>7</v>
      </c>
    </row>
    <row r="5" spans="1:17">
      <c r="B5" t="s">
        <v>2399</v>
      </c>
      <c r="C5" t="s">
        <v>865</v>
      </c>
      <c r="E5" t="s">
        <v>3319</v>
      </c>
      <c r="F5" t="s">
        <v>3320</v>
      </c>
      <c r="G5" t="s">
        <v>3287</v>
      </c>
      <c r="I5" t="s">
        <v>814</v>
      </c>
      <c r="N5" s="1" t="s">
        <v>3805</v>
      </c>
      <c r="O5" t="s">
        <v>156</v>
      </c>
      <c r="P5" t="s">
        <v>176</v>
      </c>
      <c r="Q5" t="s">
        <v>7</v>
      </c>
    </row>
    <row r="6" spans="1:17">
      <c r="B6" t="s">
        <v>2457</v>
      </c>
      <c r="C6" t="s">
        <v>865</v>
      </c>
      <c r="E6" t="s">
        <v>3319</v>
      </c>
      <c r="F6" t="s">
        <v>3320</v>
      </c>
      <c r="G6" t="s">
        <v>3307</v>
      </c>
      <c r="I6" t="s">
        <v>969</v>
      </c>
      <c r="J6" t="s">
        <v>960</v>
      </c>
      <c r="K6" t="s">
        <v>959</v>
      </c>
      <c r="N6" s="1" t="s">
        <v>3805</v>
      </c>
      <c r="O6" t="s">
        <v>156</v>
      </c>
      <c r="P6" t="s">
        <v>175</v>
      </c>
      <c r="Q6" t="s">
        <v>7</v>
      </c>
    </row>
    <row r="7" spans="1:17">
      <c r="B7" t="s">
        <v>2458</v>
      </c>
      <c r="C7" t="s">
        <v>865</v>
      </c>
      <c r="E7" t="s">
        <v>3319</v>
      </c>
      <c r="F7" t="s">
        <v>3320</v>
      </c>
      <c r="G7" t="s">
        <v>3287</v>
      </c>
      <c r="I7" t="s">
        <v>891</v>
      </c>
      <c r="N7" s="1" t="s">
        <v>3805</v>
      </c>
      <c r="O7" t="s">
        <v>161</v>
      </c>
      <c r="P7" t="s">
        <v>40</v>
      </c>
      <c r="Q7" t="s">
        <v>7</v>
      </c>
    </row>
    <row r="8" spans="1:17">
      <c r="B8" t="s">
        <v>2459</v>
      </c>
      <c r="C8" t="s">
        <v>865</v>
      </c>
      <c r="E8" t="s">
        <v>3319</v>
      </c>
      <c r="F8" t="s">
        <v>3320</v>
      </c>
      <c r="G8" t="s">
        <v>3287</v>
      </c>
      <c r="I8" t="s">
        <v>892</v>
      </c>
      <c r="N8" s="1" t="s">
        <v>3805</v>
      </c>
      <c r="O8" t="s">
        <v>157</v>
      </c>
      <c r="P8" t="s">
        <v>188</v>
      </c>
      <c r="Q8" t="s">
        <v>7</v>
      </c>
    </row>
    <row r="9" spans="1:17">
      <c r="B9" t="s">
        <v>2460</v>
      </c>
      <c r="C9" t="s">
        <v>865</v>
      </c>
      <c r="E9" t="s">
        <v>3319</v>
      </c>
      <c r="F9" t="s">
        <v>3320</v>
      </c>
      <c r="G9" t="s">
        <v>3287</v>
      </c>
      <c r="I9" t="s">
        <v>893</v>
      </c>
      <c r="J9" t="s">
        <v>894</v>
      </c>
      <c r="N9" s="1" t="s">
        <v>3473</v>
      </c>
      <c r="O9" t="s">
        <v>159</v>
      </c>
      <c r="P9" t="s">
        <v>46</v>
      </c>
      <c r="Q9" t="s">
        <v>7</v>
      </c>
    </row>
    <row r="10" spans="1:17">
      <c r="B10" t="s">
        <v>2461</v>
      </c>
      <c r="C10" t="s">
        <v>865</v>
      </c>
      <c r="E10" t="s">
        <v>3319</v>
      </c>
      <c r="F10" t="s">
        <v>3320</v>
      </c>
      <c r="G10" t="s">
        <v>3287</v>
      </c>
      <c r="I10" t="s">
        <v>895</v>
      </c>
      <c r="J10" t="s">
        <v>896</v>
      </c>
      <c r="N10" s="1" t="s">
        <v>3805</v>
      </c>
      <c r="O10" t="s">
        <v>961</v>
      </c>
      <c r="P10" t="s">
        <v>38</v>
      </c>
      <c r="Q10" t="s">
        <v>7</v>
      </c>
    </row>
    <row r="11" spans="1:17">
      <c r="B11" t="s">
        <v>2462</v>
      </c>
      <c r="C11" t="s">
        <v>865</v>
      </c>
      <c r="E11" t="s">
        <v>3319</v>
      </c>
      <c r="F11" t="s">
        <v>3320</v>
      </c>
      <c r="G11" t="s">
        <v>3307</v>
      </c>
      <c r="I11" t="s">
        <v>897</v>
      </c>
      <c r="J11" t="s">
        <v>898</v>
      </c>
      <c r="N11" s="1" t="s">
        <v>3805</v>
      </c>
      <c r="O11" t="s">
        <v>156</v>
      </c>
      <c r="P11" t="s">
        <v>45</v>
      </c>
      <c r="Q11" t="s">
        <v>7</v>
      </c>
    </row>
    <row r="12" spans="1:17">
      <c r="B12" t="s">
        <v>2463</v>
      </c>
      <c r="C12" t="s">
        <v>865</v>
      </c>
      <c r="E12" t="s">
        <v>3319</v>
      </c>
      <c r="F12" t="s">
        <v>3320</v>
      </c>
      <c r="G12" t="s">
        <v>3287</v>
      </c>
      <c r="I12" t="s">
        <v>899</v>
      </c>
      <c r="N12" s="1" t="s">
        <v>3805</v>
      </c>
      <c r="O12" t="s">
        <v>161</v>
      </c>
      <c r="P12" t="s">
        <v>5</v>
      </c>
      <c r="Q12" t="s">
        <v>7</v>
      </c>
    </row>
    <row r="13" spans="1:17">
      <c r="B13" t="s">
        <v>2464</v>
      </c>
      <c r="C13" t="s">
        <v>865</v>
      </c>
      <c r="E13" t="s">
        <v>3319</v>
      </c>
      <c r="F13" t="s">
        <v>3320</v>
      </c>
      <c r="G13" t="s">
        <v>3294</v>
      </c>
      <c r="I13" t="s">
        <v>24</v>
      </c>
      <c r="J13" t="s">
        <v>900</v>
      </c>
      <c r="N13" s="1" t="s">
        <v>3805</v>
      </c>
      <c r="O13" t="s">
        <v>157</v>
      </c>
      <c r="P13" t="s">
        <v>38</v>
      </c>
      <c r="Q13" t="s">
        <v>7</v>
      </c>
    </row>
    <row r="14" spans="1:17">
      <c r="B14" t="s">
        <v>2465</v>
      </c>
      <c r="C14" t="s">
        <v>865</v>
      </c>
      <c r="E14" t="s">
        <v>3319</v>
      </c>
      <c r="F14" t="s">
        <v>3320</v>
      </c>
      <c r="G14" t="s">
        <v>3307</v>
      </c>
      <c r="I14" t="s">
        <v>901</v>
      </c>
      <c r="N14" s="1" t="s">
        <v>3805</v>
      </c>
      <c r="O14" t="s">
        <v>157</v>
      </c>
      <c r="P14" t="s">
        <v>8</v>
      </c>
      <c r="Q14" t="s">
        <v>7</v>
      </c>
    </row>
    <row r="15" spans="1:17">
      <c r="B15" t="s">
        <v>2466</v>
      </c>
      <c r="C15" t="s">
        <v>865</v>
      </c>
      <c r="E15" t="s">
        <v>3319</v>
      </c>
      <c r="F15" t="s">
        <v>3320</v>
      </c>
      <c r="G15" t="s">
        <v>3306</v>
      </c>
      <c r="I15" t="s">
        <v>1</v>
      </c>
      <c r="J15" t="s">
        <v>902</v>
      </c>
      <c r="N15" s="1" t="s">
        <v>3473</v>
      </c>
      <c r="O15" t="s">
        <v>157</v>
      </c>
      <c r="P15" t="s">
        <v>30</v>
      </c>
      <c r="Q15" t="s">
        <v>7</v>
      </c>
    </row>
    <row r="16" spans="1:17">
      <c r="B16" t="s">
        <v>2467</v>
      </c>
      <c r="C16" t="s">
        <v>865</v>
      </c>
      <c r="E16" t="s">
        <v>3319</v>
      </c>
      <c r="F16" t="s">
        <v>3320</v>
      </c>
      <c r="G16" t="s">
        <v>3307</v>
      </c>
      <c r="I16" t="s">
        <v>903</v>
      </c>
      <c r="M16" t="s">
        <v>153</v>
      </c>
      <c r="N16" s="1" t="s">
        <v>3805</v>
      </c>
      <c r="O16" t="s">
        <v>162</v>
      </c>
    </row>
    <row r="17" spans="2:17">
      <c r="B17" t="s">
        <v>2468</v>
      </c>
      <c r="C17" t="s">
        <v>3400</v>
      </c>
      <c r="E17" t="s">
        <v>3319</v>
      </c>
      <c r="F17" t="s">
        <v>3320</v>
      </c>
      <c r="G17" t="s">
        <v>3287</v>
      </c>
      <c r="I17" t="s">
        <v>24</v>
      </c>
      <c r="J17" t="s">
        <v>904</v>
      </c>
      <c r="M17" t="s">
        <v>153</v>
      </c>
      <c r="N17" s="1" t="s">
        <v>3805</v>
      </c>
      <c r="O17" t="s">
        <v>165</v>
      </c>
      <c r="P17" t="s">
        <v>46</v>
      </c>
      <c r="Q17" t="s">
        <v>7</v>
      </c>
    </row>
    <row r="18" spans="2:17">
      <c r="B18" t="s">
        <v>2469</v>
      </c>
      <c r="C18" t="s">
        <v>865</v>
      </c>
      <c r="E18" t="s">
        <v>3319</v>
      </c>
      <c r="F18" t="s">
        <v>3320</v>
      </c>
      <c r="G18" t="s">
        <v>3287</v>
      </c>
      <c r="I18" t="s">
        <v>905</v>
      </c>
      <c r="M18" t="s">
        <v>496</v>
      </c>
      <c r="N18" s="1" t="s">
        <v>3805</v>
      </c>
      <c r="O18" t="s">
        <v>156</v>
      </c>
    </row>
    <row r="19" spans="2:17">
      <c r="B19" t="s">
        <v>2470</v>
      </c>
      <c r="C19" t="s">
        <v>865</v>
      </c>
      <c r="E19" t="s">
        <v>3323</v>
      </c>
      <c r="F19" t="s">
        <v>3320</v>
      </c>
      <c r="G19" t="s">
        <v>3287</v>
      </c>
      <c r="I19" t="s">
        <v>906</v>
      </c>
      <c r="M19" t="s">
        <v>496</v>
      </c>
      <c r="N19" s="1" t="s">
        <v>3805</v>
      </c>
      <c r="O19" t="s">
        <v>170</v>
      </c>
      <c r="P19" t="s">
        <v>180</v>
      </c>
      <c r="Q19" t="s">
        <v>7</v>
      </c>
    </row>
    <row r="20" spans="2:17">
      <c r="B20" t="s">
        <v>2471</v>
      </c>
      <c r="C20" t="s">
        <v>865</v>
      </c>
      <c r="E20" t="s">
        <v>3319</v>
      </c>
      <c r="F20" t="s">
        <v>3320</v>
      </c>
      <c r="G20" t="s">
        <v>3299</v>
      </c>
      <c r="I20" t="s">
        <v>907</v>
      </c>
      <c r="N20" s="1" t="s">
        <v>3805</v>
      </c>
      <c r="O20" t="s">
        <v>162</v>
      </c>
      <c r="P20" t="s">
        <v>50</v>
      </c>
      <c r="Q20" t="s">
        <v>7</v>
      </c>
    </row>
    <row r="21" spans="2:17">
      <c r="B21" t="s">
        <v>2472</v>
      </c>
      <c r="C21" t="s">
        <v>865</v>
      </c>
      <c r="E21" t="s">
        <v>3319</v>
      </c>
      <c r="F21" t="s">
        <v>3320</v>
      </c>
      <c r="G21" t="s">
        <v>3306</v>
      </c>
      <c r="I21" t="s">
        <v>1</v>
      </c>
      <c r="J21" t="s">
        <v>908</v>
      </c>
      <c r="N21" s="1" t="s">
        <v>3805</v>
      </c>
      <c r="O21" t="s">
        <v>162</v>
      </c>
      <c r="P21" t="s">
        <v>35</v>
      </c>
      <c r="Q21" t="s">
        <v>7</v>
      </c>
    </row>
    <row r="22" spans="2:17">
      <c r="B22" t="s">
        <v>2473</v>
      </c>
      <c r="C22" t="s">
        <v>865</v>
      </c>
      <c r="E22" t="s">
        <v>3319</v>
      </c>
      <c r="F22" t="s">
        <v>3320</v>
      </c>
      <c r="G22" t="s">
        <v>3287</v>
      </c>
      <c r="I22" t="s">
        <v>970</v>
      </c>
      <c r="N22" s="1" t="s">
        <v>3805</v>
      </c>
      <c r="O22" t="s">
        <v>162</v>
      </c>
      <c r="P22" t="s">
        <v>179</v>
      </c>
      <c r="Q22" t="s">
        <v>7</v>
      </c>
    </row>
    <row r="23" spans="2:17">
      <c r="B23" t="s">
        <v>2474</v>
      </c>
      <c r="C23" t="s">
        <v>865</v>
      </c>
      <c r="E23" t="s">
        <v>3319</v>
      </c>
      <c r="F23" t="s">
        <v>3320</v>
      </c>
      <c r="G23" t="s">
        <v>3299</v>
      </c>
      <c r="I23" t="s">
        <v>909</v>
      </c>
      <c r="J23" t="s">
        <v>976</v>
      </c>
      <c r="N23" s="1" t="s">
        <v>3805</v>
      </c>
      <c r="O23" t="s">
        <v>161</v>
      </c>
      <c r="P23" t="s">
        <v>53</v>
      </c>
      <c r="Q23" t="s">
        <v>7</v>
      </c>
    </row>
    <row r="24" spans="2:17">
      <c r="B24" t="s">
        <v>2475</v>
      </c>
      <c r="C24" t="s">
        <v>867</v>
      </c>
      <c r="E24" t="s">
        <v>3319</v>
      </c>
      <c r="F24" t="s">
        <v>3320</v>
      </c>
      <c r="G24" t="s">
        <v>3287</v>
      </c>
      <c r="I24" t="s">
        <v>910</v>
      </c>
      <c r="N24" s="1" t="s">
        <v>3473</v>
      </c>
      <c r="O24" t="s">
        <v>154</v>
      </c>
      <c r="P24" t="s">
        <v>174</v>
      </c>
      <c r="Q24" t="s">
        <v>7</v>
      </c>
    </row>
    <row r="25" spans="2:17">
      <c r="B25" t="s">
        <v>2414</v>
      </c>
      <c r="C25" t="s">
        <v>866</v>
      </c>
      <c r="E25" t="s">
        <v>3319</v>
      </c>
      <c r="F25" t="s">
        <v>3320</v>
      </c>
      <c r="G25" t="s">
        <v>3285</v>
      </c>
      <c r="I25" t="s">
        <v>254</v>
      </c>
      <c r="J25" t="s">
        <v>827</v>
      </c>
      <c r="N25" s="1" t="s">
        <v>3473</v>
      </c>
      <c r="O25" t="s">
        <v>162</v>
      </c>
      <c r="P25" t="s">
        <v>52</v>
      </c>
      <c r="Q25" t="s">
        <v>7</v>
      </c>
    </row>
    <row r="26" spans="2:17">
      <c r="B26" t="s">
        <v>2476</v>
      </c>
      <c r="C26" t="s">
        <v>866</v>
      </c>
      <c r="E26" t="s">
        <v>3319</v>
      </c>
      <c r="F26" t="s">
        <v>3320</v>
      </c>
      <c r="G26" t="s">
        <v>3287</v>
      </c>
      <c r="H26" t="s">
        <v>3296</v>
      </c>
      <c r="I26" t="s">
        <v>911</v>
      </c>
      <c r="J26" t="s">
        <v>912</v>
      </c>
      <c r="N26" s="1" t="s">
        <v>3473</v>
      </c>
      <c r="O26" t="s">
        <v>164</v>
      </c>
      <c r="P26" t="s">
        <v>28</v>
      </c>
      <c r="Q26" t="s">
        <v>7</v>
      </c>
    </row>
    <row r="27" spans="2:17">
      <c r="B27" t="s">
        <v>2427</v>
      </c>
      <c r="C27" t="s">
        <v>866</v>
      </c>
      <c r="E27" t="s">
        <v>3319</v>
      </c>
      <c r="F27" t="s">
        <v>3320</v>
      </c>
      <c r="G27" t="s">
        <v>3287</v>
      </c>
      <c r="I27" t="s">
        <v>839</v>
      </c>
      <c r="N27" s="1" t="s">
        <v>3473</v>
      </c>
      <c r="O27" t="s">
        <v>154</v>
      </c>
      <c r="P27" t="s">
        <v>50</v>
      </c>
      <c r="Q27" t="s">
        <v>7</v>
      </c>
    </row>
    <row r="28" spans="2:17">
      <c r="B28" t="s">
        <v>2429</v>
      </c>
      <c r="C28" t="s">
        <v>866</v>
      </c>
      <c r="E28" t="s">
        <v>3319</v>
      </c>
      <c r="F28" t="s">
        <v>3320</v>
      </c>
      <c r="G28" t="s">
        <v>3287</v>
      </c>
      <c r="I28" t="s">
        <v>841</v>
      </c>
      <c r="N28" s="1" t="s">
        <v>3805</v>
      </c>
      <c r="O28" t="s">
        <v>162</v>
      </c>
      <c r="P28" t="s">
        <v>46</v>
      </c>
      <c r="Q28" t="s">
        <v>7</v>
      </c>
    </row>
    <row r="29" spans="2:17">
      <c r="B29" t="s">
        <v>2477</v>
      </c>
      <c r="C29" t="s">
        <v>866</v>
      </c>
      <c r="E29" t="s">
        <v>3319</v>
      </c>
      <c r="F29" t="s">
        <v>3320</v>
      </c>
      <c r="I29" t="s">
        <v>913</v>
      </c>
      <c r="M29" t="s">
        <v>153</v>
      </c>
      <c r="N29" s="1" t="s">
        <v>3805</v>
      </c>
      <c r="O29" t="s">
        <v>164</v>
      </c>
    </row>
    <row r="30" spans="2:17">
      <c r="B30" t="s">
        <v>2478</v>
      </c>
      <c r="E30" t="s">
        <v>3319</v>
      </c>
      <c r="F30" t="s">
        <v>3326</v>
      </c>
      <c r="G30" t="s">
        <v>3309</v>
      </c>
      <c r="I30" t="s">
        <v>914</v>
      </c>
      <c r="M30" t="s">
        <v>153</v>
      </c>
      <c r="N30" s="1" t="s">
        <v>3805</v>
      </c>
      <c r="O30" t="s">
        <v>962</v>
      </c>
      <c r="P30" t="s">
        <v>39</v>
      </c>
      <c r="Q30" t="s">
        <v>7</v>
      </c>
    </row>
    <row r="31" spans="2:17">
      <c r="B31" t="s">
        <v>2479</v>
      </c>
      <c r="C31" t="s">
        <v>866</v>
      </c>
      <c r="E31" t="s">
        <v>3319</v>
      </c>
      <c r="F31" t="s">
        <v>3320</v>
      </c>
      <c r="G31" t="s">
        <v>3308</v>
      </c>
      <c r="I31" t="s">
        <v>971</v>
      </c>
      <c r="J31" t="s">
        <v>915</v>
      </c>
      <c r="K31" t="s">
        <v>980</v>
      </c>
      <c r="N31" s="1"/>
      <c r="O31" t="s">
        <v>157</v>
      </c>
      <c r="P31" t="s">
        <v>188</v>
      </c>
      <c r="Q31" t="s">
        <v>7</v>
      </c>
    </row>
    <row r="32" spans="2:17">
      <c r="B32" t="s">
        <v>2480</v>
      </c>
      <c r="C32" t="s">
        <v>866</v>
      </c>
      <c r="E32" t="s">
        <v>3319</v>
      </c>
      <c r="F32" t="s">
        <v>3320</v>
      </c>
      <c r="G32" t="s">
        <v>3307</v>
      </c>
      <c r="I32" t="s">
        <v>916</v>
      </c>
      <c r="J32" t="s">
        <v>917</v>
      </c>
      <c r="N32" s="1" t="s">
        <v>3805</v>
      </c>
      <c r="O32" t="s">
        <v>162</v>
      </c>
      <c r="P32" t="s">
        <v>53</v>
      </c>
      <c r="Q32" t="s">
        <v>7</v>
      </c>
    </row>
    <row r="33" spans="2:17">
      <c r="B33" t="s">
        <v>2481</v>
      </c>
      <c r="C33" t="s">
        <v>866</v>
      </c>
      <c r="E33" t="s">
        <v>3319</v>
      </c>
      <c r="F33" t="s">
        <v>3320</v>
      </c>
      <c r="G33" t="s">
        <v>3289</v>
      </c>
      <c r="I33" t="s">
        <v>918</v>
      </c>
      <c r="J33" t="s">
        <v>977</v>
      </c>
      <c r="K33" t="s">
        <v>919</v>
      </c>
      <c r="N33" s="1" t="s">
        <v>3805</v>
      </c>
      <c r="O33" t="s">
        <v>161</v>
      </c>
      <c r="P33" t="s">
        <v>17</v>
      </c>
      <c r="Q33" t="s">
        <v>7</v>
      </c>
    </row>
    <row r="34" spans="2:17">
      <c r="B34" t="s">
        <v>2482</v>
      </c>
      <c r="C34" t="s">
        <v>866</v>
      </c>
      <c r="E34" t="s">
        <v>3319</v>
      </c>
      <c r="F34" t="s">
        <v>3320</v>
      </c>
      <c r="G34" t="s">
        <v>3287</v>
      </c>
      <c r="I34" t="s">
        <v>972</v>
      </c>
      <c r="N34" s="1" t="s">
        <v>3805</v>
      </c>
      <c r="O34" t="s">
        <v>156</v>
      </c>
      <c r="P34" t="s">
        <v>49</v>
      </c>
      <c r="Q34" t="s">
        <v>7</v>
      </c>
    </row>
    <row r="35" spans="2:17">
      <c r="B35" t="s">
        <v>2483</v>
      </c>
      <c r="C35" t="s">
        <v>866</v>
      </c>
      <c r="E35" t="s">
        <v>3319</v>
      </c>
      <c r="F35" t="s">
        <v>3320</v>
      </c>
      <c r="G35" t="s">
        <v>3307</v>
      </c>
      <c r="I35" t="s">
        <v>24</v>
      </c>
      <c r="J35" t="s">
        <v>920</v>
      </c>
      <c r="N35" s="1" t="s">
        <v>3805</v>
      </c>
      <c r="O35" t="s">
        <v>161</v>
      </c>
      <c r="P35" t="s">
        <v>48</v>
      </c>
      <c r="Q35" t="s">
        <v>7</v>
      </c>
    </row>
    <row r="36" spans="2:17">
      <c r="B36" t="s">
        <v>2484</v>
      </c>
      <c r="C36" t="s">
        <v>866</v>
      </c>
      <c r="E36" t="s">
        <v>3319</v>
      </c>
      <c r="F36" t="s">
        <v>3320</v>
      </c>
      <c r="G36" t="s">
        <v>3306</v>
      </c>
      <c r="I36" t="s">
        <v>921</v>
      </c>
      <c r="J36" t="s">
        <v>922</v>
      </c>
      <c r="N36" s="1" t="s">
        <v>3805</v>
      </c>
      <c r="O36" t="s">
        <v>154</v>
      </c>
      <c r="P36" t="s">
        <v>36</v>
      </c>
      <c r="Q36" t="s">
        <v>7</v>
      </c>
    </row>
    <row r="37" spans="2:17">
      <c r="B37" t="s">
        <v>2485</v>
      </c>
      <c r="C37" t="s">
        <v>866</v>
      </c>
      <c r="E37" t="s">
        <v>3319</v>
      </c>
      <c r="F37" t="s">
        <v>3320</v>
      </c>
      <c r="G37" t="s">
        <v>3287</v>
      </c>
      <c r="I37" t="s">
        <v>973</v>
      </c>
      <c r="J37" t="s">
        <v>978</v>
      </c>
      <c r="N37" s="1" t="s">
        <v>3805</v>
      </c>
      <c r="O37" t="s">
        <v>154</v>
      </c>
      <c r="P37" t="s">
        <v>182</v>
      </c>
      <c r="Q37" t="s">
        <v>7</v>
      </c>
    </row>
    <row r="38" spans="2:17">
      <c r="B38" t="s">
        <v>2486</v>
      </c>
      <c r="C38" t="s">
        <v>866</v>
      </c>
      <c r="E38" t="s">
        <v>3321</v>
      </c>
      <c r="F38" t="s">
        <v>3320</v>
      </c>
      <c r="G38" t="s">
        <v>3287</v>
      </c>
      <c r="I38" t="s">
        <v>964</v>
      </c>
      <c r="J38" t="s">
        <v>981</v>
      </c>
      <c r="N38" s="1" t="s">
        <v>3805</v>
      </c>
      <c r="O38" t="s">
        <v>154</v>
      </c>
      <c r="P38" t="s">
        <v>15</v>
      </c>
      <c r="Q38" t="s">
        <v>7</v>
      </c>
    </row>
    <row r="39" spans="2:17">
      <c r="B39" t="s">
        <v>2487</v>
      </c>
      <c r="C39" t="s">
        <v>867</v>
      </c>
      <c r="E39" t="s">
        <v>3319</v>
      </c>
      <c r="F39" t="s">
        <v>3320</v>
      </c>
      <c r="G39" t="s">
        <v>3287</v>
      </c>
      <c r="I39" t="s">
        <v>923</v>
      </c>
      <c r="J39" t="s">
        <v>924</v>
      </c>
      <c r="M39" t="s">
        <v>496</v>
      </c>
      <c r="N39" s="1" t="s">
        <v>3805</v>
      </c>
      <c r="O39" t="s">
        <v>154</v>
      </c>
    </row>
    <row r="40" spans="2:17">
      <c r="B40" t="s">
        <v>2488</v>
      </c>
      <c r="C40" t="s">
        <v>867</v>
      </c>
      <c r="E40" t="s">
        <v>3323</v>
      </c>
      <c r="F40" t="s">
        <v>3325</v>
      </c>
      <c r="I40" t="s">
        <v>925</v>
      </c>
      <c r="M40" t="s">
        <v>496</v>
      </c>
      <c r="N40" s="1" t="s">
        <v>3805</v>
      </c>
      <c r="O40" t="s">
        <v>171</v>
      </c>
      <c r="P40" t="s">
        <v>188</v>
      </c>
      <c r="Q40" t="s">
        <v>7</v>
      </c>
    </row>
    <row r="41" spans="2:17">
      <c r="B41" t="s">
        <v>2489</v>
      </c>
      <c r="C41" t="s">
        <v>866</v>
      </c>
      <c r="E41" t="s">
        <v>3319</v>
      </c>
      <c r="F41" t="s">
        <v>3320</v>
      </c>
      <c r="G41" t="s">
        <v>3287</v>
      </c>
      <c r="I41" t="s">
        <v>926</v>
      </c>
      <c r="N41" s="1" t="s">
        <v>3473</v>
      </c>
      <c r="O41" t="s">
        <v>154</v>
      </c>
      <c r="P41" t="s">
        <v>181</v>
      </c>
      <c r="Q41" t="s">
        <v>7</v>
      </c>
    </row>
    <row r="42" spans="2:17">
      <c r="B42" t="s">
        <v>2490</v>
      </c>
      <c r="C42" t="s">
        <v>866</v>
      </c>
      <c r="E42" t="s">
        <v>3319</v>
      </c>
      <c r="F42" t="s">
        <v>3320</v>
      </c>
      <c r="G42" t="s">
        <v>3306</v>
      </c>
      <c r="I42" t="s">
        <v>927</v>
      </c>
      <c r="N42" s="1" t="s">
        <v>3473</v>
      </c>
      <c r="O42" t="s">
        <v>154</v>
      </c>
      <c r="P42" t="s">
        <v>30</v>
      </c>
      <c r="Q42" t="s">
        <v>7</v>
      </c>
    </row>
    <row r="43" spans="2:17">
      <c r="B43" t="s">
        <v>2491</v>
      </c>
      <c r="C43" t="s">
        <v>866</v>
      </c>
      <c r="E43" t="s">
        <v>3319</v>
      </c>
      <c r="F43" t="s">
        <v>3320</v>
      </c>
      <c r="G43" t="s">
        <v>3287</v>
      </c>
      <c r="I43" t="s">
        <v>974</v>
      </c>
      <c r="N43" s="1" t="s">
        <v>3805</v>
      </c>
      <c r="O43" t="s">
        <v>157</v>
      </c>
      <c r="P43" t="s">
        <v>174</v>
      </c>
      <c r="Q43" t="s">
        <v>7</v>
      </c>
    </row>
    <row r="44" spans="2:17">
      <c r="B44" t="s">
        <v>2492</v>
      </c>
      <c r="C44" t="s">
        <v>866</v>
      </c>
      <c r="E44" t="s">
        <v>3319</v>
      </c>
      <c r="F44" t="s">
        <v>3320</v>
      </c>
      <c r="G44" t="s">
        <v>3297</v>
      </c>
      <c r="I44" t="s">
        <v>13</v>
      </c>
      <c r="J44" t="s">
        <v>965</v>
      </c>
      <c r="N44" s="1" t="s">
        <v>3805</v>
      </c>
      <c r="O44" t="s">
        <v>156</v>
      </c>
      <c r="P44" t="s">
        <v>15</v>
      </c>
      <c r="Q44" t="s">
        <v>7</v>
      </c>
    </row>
    <row r="45" spans="2:17">
      <c r="B45" t="s">
        <v>2493</v>
      </c>
      <c r="C45" t="s">
        <v>866</v>
      </c>
      <c r="E45" t="s">
        <v>3319</v>
      </c>
      <c r="F45" t="s">
        <v>3320</v>
      </c>
      <c r="G45" t="s">
        <v>3287</v>
      </c>
      <c r="I45" t="s">
        <v>928</v>
      </c>
      <c r="N45" s="1" t="s">
        <v>3805</v>
      </c>
      <c r="O45" t="s">
        <v>161</v>
      </c>
      <c r="P45" t="s">
        <v>180</v>
      </c>
      <c r="Q45" t="s">
        <v>7</v>
      </c>
    </row>
    <row r="46" spans="2:17">
      <c r="B46" t="s">
        <v>2494</v>
      </c>
      <c r="C46" t="s">
        <v>867</v>
      </c>
      <c r="E46" t="s">
        <v>3319</v>
      </c>
      <c r="F46" t="s">
        <v>3320</v>
      </c>
      <c r="G46" t="s">
        <v>3307</v>
      </c>
      <c r="I46" t="s">
        <v>890</v>
      </c>
      <c r="J46" t="s">
        <v>929</v>
      </c>
      <c r="N46" s="1" t="s">
        <v>3805</v>
      </c>
      <c r="O46" t="s">
        <v>162</v>
      </c>
      <c r="P46" t="s">
        <v>181</v>
      </c>
      <c r="Q46" t="s">
        <v>7</v>
      </c>
    </row>
    <row r="47" spans="2:17">
      <c r="B47" t="s">
        <v>2495</v>
      </c>
      <c r="C47" t="s">
        <v>866</v>
      </c>
      <c r="E47" t="s">
        <v>3319</v>
      </c>
      <c r="F47" t="s">
        <v>3320</v>
      </c>
      <c r="G47" t="s">
        <v>3287</v>
      </c>
      <c r="I47" t="s">
        <v>930</v>
      </c>
      <c r="N47" s="1" t="s">
        <v>3473</v>
      </c>
      <c r="O47" t="s">
        <v>154</v>
      </c>
      <c r="P47" t="s">
        <v>35</v>
      </c>
      <c r="Q47" t="s">
        <v>7</v>
      </c>
    </row>
    <row r="48" spans="2:17">
      <c r="B48" t="s">
        <v>2496</v>
      </c>
      <c r="C48" t="s">
        <v>866</v>
      </c>
      <c r="E48" t="s">
        <v>3319</v>
      </c>
      <c r="F48" t="s">
        <v>3320</v>
      </c>
      <c r="G48" t="s">
        <v>3295</v>
      </c>
      <c r="I48" t="s">
        <v>931</v>
      </c>
      <c r="M48" t="s">
        <v>153</v>
      </c>
      <c r="N48" s="1" t="s">
        <v>3805</v>
      </c>
      <c r="O48" t="s">
        <v>615</v>
      </c>
    </row>
    <row r="49" spans="1:17">
      <c r="B49" t="s">
        <v>2497</v>
      </c>
      <c r="C49" t="s">
        <v>3396</v>
      </c>
      <c r="E49" t="s">
        <v>3319</v>
      </c>
      <c r="F49" t="s">
        <v>3320</v>
      </c>
      <c r="G49" t="s">
        <v>3301</v>
      </c>
      <c r="I49" t="s">
        <v>932</v>
      </c>
      <c r="M49" t="s">
        <v>153</v>
      </c>
      <c r="N49" s="1" t="s">
        <v>3805</v>
      </c>
      <c r="O49" t="s">
        <v>963</v>
      </c>
      <c r="P49" t="s">
        <v>45</v>
      </c>
      <c r="Q49" t="s">
        <v>7</v>
      </c>
    </row>
    <row r="50" spans="1:17">
      <c r="B50" t="s">
        <v>2498</v>
      </c>
      <c r="C50" t="s">
        <v>867</v>
      </c>
      <c r="E50" t="s">
        <v>3319</v>
      </c>
      <c r="F50" t="s">
        <v>3320</v>
      </c>
      <c r="G50" t="s">
        <v>3287</v>
      </c>
      <c r="I50" t="s">
        <v>12</v>
      </c>
      <c r="J50" t="s">
        <v>1</v>
      </c>
      <c r="K50" t="s">
        <v>933</v>
      </c>
      <c r="L50" t="s">
        <v>934</v>
      </c>
      <c r="N50" s="1" t="s">
        <v>3473</v>
      </c>
      <c r="O50" t="s">
        <v>162</v>
      </c>
      <c r="P50" t="s">
        <v>32</v>
      </c>
      <c r="Q50" t="s">
        <v>7</v>
      </c>
    </row>
    <row r="51" spans="1:17">
      <c r="B51" t="s">
        <v>2499</v>
      </c>
      <c r="C51" t="s">
        <v>866</v>
      </c>
      <c r="E51" t="s">
        <v>3319</v>
      </c>
      <c r="F51" t="s">
        <v>3320</v>
      </c>
      <c r="G51" t="s">
        <v>3287</v>
      </c>
      <c r="I51" t="s">
        <v>1</v>
      </c>
      <c r="J51" t="s">
        <v>935</v>
      </c>
      <c r="N51" s="1" t="s">
        <v>3473</v>
      </c>
      <c r="O51" t="s">
        <v>157</v>
      </c>
      <c r="P51" t="s">
        <v>173</v>
      </c>
      <c r="Q51" t="s">
        <v>7</v>
      </c>
    </row>
    <row r="52" spans="1:17">
      <c r="B52" t="s">
        <v>2500</v>
      </c>
      <c r="C52" t="s">
        <v>866</v>
      </c>
      <c r="E52" t="s">
        <v>3319</v>
      </c>
      <c r="F52" t="s">
        <v>3320</v>
      </c>
      <c r="G52" t="s">
        <v>3287</v>
      </c>
      <c r="I52" t="s">
        <v>936</v>
      </c>
      <c r="J52" t="s">
        <v>937</v>
      </c>
      <c r="N52" s="1" t="s">
        <v>3805</v>
      </c>
      <c r="O52" t="s">
        <v>156</v>
      </c>
      <c r="P52" t="s">
        <v>186</v>
      </c>
      <c r="Q52" t="s">
        <v>7</v>
      </c>
    </row>
    <row r="53" spans="1:17">
      <c r="B53" t="s">
        <v>2501</v>
      </c>
      <c r="C53" t="s">
        <v>868</v>
      </c>
      <c r="E53" t="s">
        <v>3319</v>
      </c>
      <c r="F53" t="s">
        <v>3320</v>
      </c>
      <c r="G53" t="s">
        <v>3287</v>
      </c>
      <c r="I53" t="s">
        <v>938</v>
      </c>
      <c r="J53" t="s">
        <v>939</v>
      </c>
      <c r="K53" t="s">
        <v>940</v>
      </c>
      <c r="N53" s="1" t="s">
        <v>3473</v>
      </c>
      <c r="O53" t="s">
        <v>154</v>
      </c>
      <c r="P53" t="s">
        <v>31</v>
      </c>
      <c r="Q53" t="s">
        <v>7</v>
      </c>
    </row>
    <row r="54" spans="1:17">
      <c r="B54" t="s">
        <v>2502</v>
      </c>
      <c r="C54" t="s">
        <v>869</v>
      </c>
      <c r="E54" t="s">
        <v>3319</v>
      </c>
      <c r="F54" t="s">
        <v>3320</v>
      </c>
      <c r="G54" t="s">
        <v>3307</v>
      </c>
      <c r="I54" t="s">
        <v>941</v>
      </c>
      <c r="N54" s="1" t="s">
        <v>3473</v>
      </c>
      <c r="O54" t="s">
        <v>154</v>
      </c>
      <c r="P54" t="s">
        <v>179</v>
      </c>
      <c r="Q54" t="s">
        <v>7</v>
      </c>
    </row>
    <row r="55" spans="1:17">
      <c r="B55" t="s">
        <v>2503</v>
      </c>
      <c r="C55" t="s">
        <v>868</v>
      </c>
      <c r="E55" t="s">
        <v>3319</v>
      </c>
      <c r="F55" t="s">
        <v>3320</v>
      </c>
      <c r="G55" t="s">
        <v>3294</v>
      </c>
      <c r="I55" t="s">
        <v>24</v>
      </c>
      <c r="J55" t="s">
        <v>942</v>
      </c>
      <c r="N55" s="1" t="s">
        <v>3805</v>
      </c>
      <c r="O55" t="s">
        <v>170</v>
      </c>
      <c r="P55" t="s">
        <v>53</v>
      </c>
      <c r="Q55" t="s">
        <v>7</v>
      </c>
    </row>
    <row r="56" spans="1:17">
      <c r="A56" s="9"/>
      <c r="B56" s="9" t="s">
        <v>2504</v>
      </c>
      <c r="C56" s="9" t="s">
        <v>868</v>
      </c>
      <c r="D56" s="9"/>
      <c r="E56" s="9" t="s">
        <v>3319</v>
      </c>
      <c r="F56" s="9" t="s">
        <v>3320</v>
      </c>
      <c r="G56" s="9" t="s">
        <v>3289</v>
      </c>
      <c r="H56" s="9"/>
      <c r="I56" s="9" t="s">
        <v>943</v>
      </c>
      <c r="J56" s="9" t="s">
        <v>944</v>
      </c>
      <c r="K56" s="9"/>
      <c r="L56" s="9"/>
      <c r="M56" s="9"/>
      <c r="N56" s="12" t="s">
        <v>3473</v>
      </c>
      <c r="O56" s="9" t="s">
        <v>168</v>
      </c>
      <c r="P56" s="9" t="s">
        <v>29</v>
      </c>
      <c r="Q56" s="9" t="s">
        <v>7</v>
      </c>
    </row>
    <row r="57" spans="1:17">
      <c r="B57" t="s">
        <v>2505</v>
      </c>
      <c r="C57" t="s">
        <v>868</v>
      </c>
      <c r="E57" t="s">
        <v>3319</v>
      </c>
      <c r="F57" t="s">
        <v>3320</v>
      </c>
      <c r="G57" t="s">
        <v>3287</v>
      </c>
      <c r="I57" t="s">
        <v>945</v>
      </c>
      <c r="N57" s="1" t="s">
        <v>3805</v>
      </c>
      <c r="O57" t="s">
        <v>164</v>
      </c>
      <c r="P57" t="s">
        <v>49</v>
      </c>
      <c r="Q57" t="s">
        <v>7</v>
      </c>
    </row>
    <row r="58" spans="1:17">
      <c r="B58" t="s">
        <v>2506</v>
      </c>
      <c r="C58" t="s">
        <v>868</v>
      </c>
      <c r="E58" t="s">
        <v>3319</v>
      </c>
      <c r="F58" t="s">
        <v>3320</v>
      </c>
      <c r="G58" t="s">
        <v>3287</v>
      </c>
      <c r="I58" t="s">
        <v>254</v>
      </c>
      <c r="J58" t="s">
        <v>946</v>
      </c>
      <c r="N58" s="1" t="s">
        <v>3473</v>
      </c>
      <c r="O58" t="s">
        <v>154</v>
      </c>
      <c r="P58" t="s">
        <v>52</v>
      </c>
      <c r="Q58" t="s">
        <v>7</v>
      </c>
    </row>
    <row r="59" spans="1:17">
      <c r="B59" t="s">
        <v>2507</v>
      </c>
      <c r="C59" t="s">
        <v>869</v>
      </c>
      <c r="E59" t="s">
        <v>3319</v>
      </c>
      <c r="F59" t="s">
        <v>3320</v>
      </c>
      <c r="G59" t="s">
        <v>3307</v>
      </c>
      <c r="H59" t="s">
        <v>3299</v>
      </c>
      <c r="I59" t="s">
        <v>947</v>
      </c>
      <c r="J59" t="s">
        <v>948</v>
      </c>
      <c r="N59" s="1" t="s">
        <v>3473</v>
      </c>
      <c r="O59" t="s">
        <v>154</v>
      </c>
      <c r="P59" t="s">
        <v>48</v>
      </c>
      <c r="Q59" t="s">
        <v>7</v>
      </c>
    </row>
    <row r="60" spans="1:17">
      <c r="B60" t="s">
        <v>2508</v>
      </c>
      <c r="C60" t="s">
        <v>868</v>
      </c>
      <c r="E60" t="s">
        <v>3319</v>
      </c>
      <c r="F60" t="s">
        <v>3320</v>
      </c>
      <c r="G60" t="s">
        <v>3289</v>
      </c>
      <c r="I60" t="s">
        <v>975</v>
      </c>
      <c r="N60" s="1" t="s">
        <v>3805</v>
      </c>
      <c r="O60" t="s">
        <v>168</v>
      </c>
      <c r="P60" t="s">
        <v>40</v>
      </c>
      <c r="Q60" t="s">
        <v>7</v>
      </c>
    </row>
    <row r="61" spans="1:17">
      <c r="B61" t="s">
        <v>2509</v>
      </c>
      <c r="C61" t="s">
        <v>868</v>
      </c>
      <c r="E61" t="s">
        <v>3319</v>
      </c>
      <c r="F61" t="s">
        <v>3320</v>
      </c>
      <c r="G61" t="s">
        <v>3299</v>
      </c>
      <c r="I61" t="s">
        <v>3808</v>
      </c>
      <c r="J61" t="s">
        <v>949</v>
      </c>
      <c r="N61" s="1" t="s">
        <v>3473</v>
      </c>
      <c r="O61" t="s">
        <v>156</v>
      </c>
      <c r="P61" t="s">
        <v>611</v>
      </c>
      <c r="Q61" t="s">
        <v>7</v>
      </c>
    </row>
    <row r="62" spans="1:17">
      <c r="B62" t="s">
        <v>2510</v>
      </c>
      <c r="C62" t="s">
        <v>868</v>
      </c>
      <c r="E62" t="s">
        <v>3319</v>
      </c>
      <c r="F62" t="s">
        <v>3320</v>
      </c>
      <c r="G62" t="s">
        <v>3287</v>
      </c>
      <c r="I62" t="s">
        <v>950</v>
      </c>
      <c r="N62" s="1" t="s">
        <v>3805</v>
      </c>
      <c r="O62" t="s">
        <v>154</v>
      </c>
      <c r="P62" t="s">
        <v>32</v>
      </c>
      <c r="Q62" t="s">
        <v>7</v>
      </c>
    </row>
    <row r="63" spans="1:17">
      <c r="B63" t="s">
        <v>2511</v>
      </c>
      <c r="C63" t="s">
        <v>868</v>
      </c>
      <c r="E63" t="s">
        <v>3319</v>
      </c>
      <c r="F63" t="s">
        <v>3320</v>
      </c>
      <c r="G63" t="s">
        <v>3310</v>
      </c>
      <c r="I63" t="s">
        <v>1</v>
      </c>
      <c r="J63" t="s">
        <v>951</v>
      </c>
      <c r="M63" t="s">
        <v>153</v>
      </c>
      <c r="N63" s="1" t="s">
        <v>3805</v>
      </c>
      <c r="O63" t="s">
        <v>165</v>
      </c>
    </row>
    <row r="64" spans="1:17">
      <c r="B64" t="s">
        <v>2512</v>
      </c>
      <c r="C64" t="s">
        <v>3400</v>
      </c>
      <c r="E64" t="s">
        <v>3319</v>
      </c>
      <c r="F64" t="s">
        <v>3310</v>
      </c>
      <c r="G64" t="s">
        <v>3300</v>
      </c>
      <c r="I64" t="s">
        <v>1</v>
      </c>
      <c r="M64" t="s">
        <v>153</v>
      </c>
      <c r="N64" s="1" t="s">
        <v>3805</v>
      </c>
      <c r="O64" t="s">
        <v>155</v>
      </c>
      <c r="P64" t="s">
        <v>46</v>
      </c>
      <c r="Q64" t="s">
        <v>7</v>
      </c>
    </row>
    <row r="65" spans="2:17">
      <c r="B65" t="s">
        <v>2513</v>
      </c>
      <c r="C65" t="s">
        <v>868</v>
      </c>
      <c r="E65" t="s">
        <v>3319</v>
      </c>
      <c r="F65" t="s">
        <v>3320</v>
      </c>
      <c r="G65" t="s">
        <v>3287</v>
      </c>
      <c r="I65" t="s">
        <v>952</v>
      </c>
      <c r="J65" t="s">
        <v>979</v>
      </c>
      <c r="N65" s="1" t="s">
        <v>3805</v>
      </c>
      <c r="O65" t="s">
        <v>154</v>
      </c>
      <c r="P65" t="s">
        <v>177</v>
      </c>
      <c r="Q65" t="s">
        <v>7</v>
      </c>
    </row>
    <row r="66" spans="2:17">
      <c r="B66" t="s">
        <v>2514</v>
      </c>
      <c r="C66" t="s">
        <v>868</v>
      </c>
      <c r="E66" t="s">
        <v>3319</v>
      </c>
      <c r="F66" t="s">
        <v>3320</v>
      </c>
      <c r="G66" t="s">
        <v>3306</v>
      </c>
      <c r="I66" t="s">
        <v>953</v>
      </c>
      <c r="N66" s="1" t="s">
        <v>3473</v>
      </c>
      <c r="O66" t="s">
        <v>154</v>
      </c>
      <c r="P66" t="s">
        <v>30</v>
      </c>
      <c r="Q66" t="s">
        <v>7</v>
      </c>
    </row>
    <row r="67" spans="2:17">
      <c r="B67" t="s">
        <v>2515</v>
      </c>
      <c r="C67" t="s">
        <v>871</v>
      </c>
      <c r="E67" t="s">
        <v>3319</v>
      </c>
      <c r="F67" t="s">
        <v>3320</v>
      </c>
      <c r="G67" t="s">
        <v>3299</v>
      </c>
      <c r="I67" t="s">
        <v>1</v>
      </c>
      <c r="J67" t="s">
        <v>954</v>
      </c>
      <c r="N67" s="1" t="s">
        <v>3473</v>
      </c>
      <c r="O67" t="s">
        <v>159</v>
      </c>
      <c r="P67" t="s">
        <v>26</v>
      </c>
      <c r="Q67" t="s">
        <v>7</v>
      </c>
    </row>
    <row r="68" spans="2:17">
      <c r="B68" t="s">
        <v>2516</v>
      </c>
      <c r="C68" t="s">
        <v>966</v>
      </c>
      <c r="E68" t="s">
        <v>3322</v>
      </c>
      <c r="F68" t="s">
        <v>3320</v>
      </c>
      <c r="G68" t="s">
        <v>3287</v>
      </c>
      <c r="I68" t="s">
        <v>906</v>
      </c>
      <c r="J68" t="s">
        <v>955</v>
      </c>
      <c r="N68" s="1" t="s">
        <v>3805</v>
      </c>
      <c r="O68" t="s">
        <v>165</v>
      </c>
      <c r="P68" t="s">
        <v>40</v>
      </c>
      <c r="Q68" t="s">
        <v>7</v>
      </c>
    </row>
    <row r="69" spans="2:17">
      <c r="B69" t="s">
        <v>2517</v>
      </c>
      <c r="C69" t="s">
        <v>966</v>
      </c>
      <c r="E69" t="s">
        <v>3319</v>
      </c>
      <c r="F69" t="s">
        <v>3320</v>
      </c>
      <c r="G69" t="s">
        <v>3299</v>
      </c>
      <c r="I69" t="s">
        <v>956</v>
      </c>
      <c r="J69" t="s">
        <v>1</v>
      </c>
      <c r="N69" s="1" t="s">
        <v>3805</v>
      </c>
      <c r="O69" t="s">
        <v>618</v>
      </c>
      <c r="P69" t="s">
        <v>35</v>
      </c>
      <c r="Q69" t="s">
        <v>7</v>
      </c>
    </row>
    <row r="70" spans="2:17">
      <c r="B70" t="s">
        <v>2518</v>
      </c>
      <c r="C70" t="s">
        <v>966</v>
      </c>
      <c r="E70" t="s">
        <v>3319</v>
      </c>
      <c r="F70" t="s">
        <v>3320</v>
      </c>
      <c r="G70" t="s">
        <v>3295</v>
      </c>
      <c r="H70" t="s">
        <v>3301</v>
      </c>
      <c r="I70" t="s">
        <v>957</v>
      </c>
      <c r="J70" t="s">
        <v>958</v>
      </c>
      <c r="N70" s="1" t="s">
        <v>3473</v>
      </c>
      <c r="O70" t="s">
        <v>782</v>
      </c>
      <c r="P70" t="s">
        <v>189</v>
      </c>
      <c r="Q70" t="s">
        <v>7</v>
      </c>
    </row>
    <row r="71" spans="2:17">
      <c r="N71" s="1" t="s">
        <v>3805</v>
      </c>
    </row>
    <row r="72" spans="2:17">
      <c r="N72" s="1" t="s">
        <v>3805</v>
      </c>
    </row>
    <row r="73" spans="2:17">
      <c r="N73" s="1" t="s">
        <v>3805</v>
      </c>
    </row>
    <row r="74" spans="2:17">
      <c r="N74" s="1" t="s">
        <v>3805</v>
      </c>
    </row>
    <row r="75" spans="2:17">
      <c r="N75" s="1" t="s">
        <v>3805</v>
      </c>
    </row>
    <row r="76" spans="2:17">
      <c r="N76" s="1" t="s">
        <v>3805</v>
      </c>
    </row>
    <row r="77" spans="2:17">
      <c r="N77" s="1" t="s">
        <v>3805</v>
      </c>
    </row>
    <row r="78" spans="2:17">
      <c r="N78" s="1" t="s">
        <v>3805</v>
      </c>
    </row>
    <row r="79" spans="2:17">
      <c r="N79" s="1" t="s">
        <v>3805</v>
      </c>
    </row>
    <row r="80" spans="2:17">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row r="87" spans="14:14">
      <c r="N87" s="1" t="s">
        <v>3805</v>
      </c>
    </row>
  </sheetData>
  <autoFilter ref="A1:W87"/>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87"/>
  <sheetViews>
    <sheetView topLeftCell="A34" workbookViewId="0">
      <selection activeCell="I18" sqref="I18"/>
    </sheetView>
  </sheetViews>
  <sheetFormatPr defaultRowHeight="18.75"/>
  <sheetData>
    <row r="1" spans="1:17">
      <c r="B1" t="s">
        <v>3474</v>
      </c>
      <c r="C1" t="s">
        <v>3475</v>
      </c>
      <c r="D1" t="s">
        <v>3489</v>
      </c>
      <c r="E1" t="s">
        <v>3477</v>
      </c>
      <c r="F1" t="s">
        <v>3479</v>
      </c>
      <c r="G1" t="s">
        <v>3481</v>
      </c>
      <c r="H1" t="s">
        <v>3482</v>
      </c>
      <c r="I1" t="s">
        <v>3483</v>
      </c>
      <c r="N1" t="s">
        <v>3805</v>
      </c>
      <c r="O1" t="s">
        <v>3484</v>
      </c>
      <c r="P1" t="s">
        <v>3486</v>
      </c>
    </row>
    <row r="2" spans="1:17">
      <c r="A2" s="1"/>
      <c r="B2" s="1" t="s">
        <v>2519</v>
      </c>
      <c r="C2" s="1" t="s">
        <v>865</v>
      </c>
      <c r="D2" s="1"/>
      <c r="E2" s="1" t="s">
        <v>3319</v>
      </c>
      <c r="F2" s="1" t="s">
        <v>3320</v>
      </c>
      <c r="G2" s="1" t="s">
        <v>3287</v>
      </c>
      <c r="H2" s="1"/>
      <c r="I2" s="1" t="s">
        <v>982</v>
      </c>
      <c r="J2" s="1" t="s">
        <v>983</v>
      </c>
      <c r="K2" s="1"/>
      <c r="L2" s="1"/>
      <c r="M2" s="1"/>
      <c r="N2" s="1" t="s">
        <v>3805</v>
      </c>
      <c r="O2" s="1" t="s">
        <v>162</v>
      </c>
      <c r="P2" s="1" t="s">
        <v>27</v>
      </c>
      <c r="Q2" s="1" t="s">
        <v>9</v>
      </c>
    </row>
    <row r="3" spans="1:17">
      <c r="A3" s="1"/>
      <c r="B3" s="1" t="s">
        <v>2520</v>
      </c>
      <c r="C3" s="1" t="s">
        <v>1030</v>
      </c>
      <c r="D3" s="1"/>
      <c r="E3" t="s">
        <v>3319</v>
      </c>
      <c r="F3" t="s">
        <v>3320</v>
      </c>
      <c r="G3" t="s">
        <v>3287</v>
      </c>
      <c r="I3" t="s">
        <v>984</v>
      </c>
      <c r="N3" s="1" t="s">
        <v>3805</v>
      </c>
      <c r="O3" t="s">
        <v>154</v>
      </c>
      <c r="P3" t="s">
        <v>179</v>
      </c>
      <c r="Q3" t="s">
        <v>9</v>
      </c>
    </row>
    <row r="4" spans="1:17">
      <c r="B4" t="s">
        <v>2521</v>
      </c>
      <c r="C4" t="s">
        <v>865</v>
      </c>
      <c r="E4" t="s">
        <v>3319</v>
      </c>
      <c r="F4" t="s">
        <v>3320</v>
      </c>
      <c r="G4" t="s">
        <v>3300</v>
      </c>
      <c r="I4" t="s">
        <v>985</v>
      </c>
      <c r="J4" t="s">
        <v>986</v>
      </c>
      <c r="K4" t="s">
        <v>987</v>
      </c>
      <c r="N4" s="1" t="s">
        <v>3805</v>
      </c>
      <c r="O4" t="s">
        <v>156</v>
      </c>
      <c r="P4" t="s">
        <v>39</v>
      </c>
      <c r="Q4" t="s">
        <v>9</v>
      </c>
    </row>
    <row r="5" spans="1:17">
      <c r="B5" t="s">
        <v>2522</v>
      </c>
      <c r="C5" t="s">
        <v>865</v>
      </c>
      <c r="E5" t="s">
        <v>3319</v>
      </c>
      <c r="F5" t="s">
        <v>3320</v>
      </c>
      <c r="G5" t="s">
        <v>3306</v>
      </c>
      <c r="I5" t="s">
        <v>1</v>
      </c>
      <c r="J5" t="s">
        <v>988</v>
      </c>
      <c r="N5" s="1" t="s">
        <v>3805</v>
      </c>
      <c r="O5" t="s">
        <v>162</v>
      </c>
      <c r="P5" t="s">
        <v>36</v>
      </c>
      <c r="Q5" t="s">
        <v>9</v>
      </c>
    </row>
    <row r="6" spans="1:17">
      <c r="B6" t="s">
        <v>2523</v>
      </c>
      <c r="C6" t="s">
        <v>865</v>
      </c>
      <c r="E6" t="s">
        <v>3319</v>
      </c>
      <c r="F6" t="s">
        <v>3320</v>
      </c>
      <c r="G6" t="s">
        <v>3287</v>
      </c>
      <c r="I6" t="s">
        <v>1032</v>
      </c>
      <c r="M6" t="s">
        <v>496</v>
      </c>
      <c r="N6" s="1" t="s">
        <v>3805</v>
      </c>
      <c r="O6" t="s">
        <v>157</v>
      </c>
    </row>
    <row r="7" spans="1:17">
      <c r="B7" t="s">
        <v>2524</v>
      </c>
      <c r="C7" t="s">
        <v>865</v>
      </c>
      <c r="E7" t="s">
        <v>3323</v>
      </c>
      <c r="F7" t="s">
        <v>3320</v>
      </c>
      <c r="G7" t="s">
        <v>3287</v>
      </c>
      <c r="I7" t="s">
        <v>1033</v>
      </c>
      <c r="M7" t="s">
        <v>496</v>
      </c>
      <c r="N7" s="1" t="s">
        <v>3805</v>
      </c>
      <c r="O7" t="s">
        <v>164</v>
      </c>
      <c r="P7" t="s">
        <v>180</v>
      </c>
      <c r="Q7" t="s">
        <v>9</v>
      </c>
    </row>
    <row r="8" spans="1:17">
      <c r="B8" t="s">
        <v>2525</v>
      </c>
      <c r="C8" t="s">
        <v>865</v>
      </c>
      <c r="E8" t="s">
        <v>3319</v>
      </c>
      <c r="F8" t="s">
        <v>3320</v>
      </c>
      <c r="G8" t="s">
        <v>3299</v>
      </c>
      <c r="I8" t="s">
        <v>989</v>
      </c>
      <c r="N8" s="1" t="s">
        <v>3805</v>
      </c>
      <c r="O8" t="s">
        <v>157</v>
      </c>
      <c r="P8" t="s">
        <v>187</v>
      </c>
      <c r="Q8" t="s">
        <v>9</v>
      </c>
    </row>
    <row r="9" spans="1:17">
      <c r="B9" t="s">
        <v>2526</v>
      </c>
      <c r="C9" t="s">
        <v>1030</v>
      </c>
      <c r="E9" t="s">
        <v>3319</v>
      </c>
      <c r="F9" t="s">
        <v>3320</v>
      </c>
      <c r="G9" t="s">
        <v>3287</v>
      </c>
      <c r="I9" t="s">
        <v>990</v>
      </c>
      <c r="J9" t="s">
        <v>1045</v>
      </c>
      <c r="N9" s="1" t="s">
        <v>3805</v>
      </c>
      <c r="O9" t="s">
        <v>162</v>
      </c>
      <c r="P9" t="s">
        <v>40</v>
      </c>
      <c r="Q9" t="s">
        <v>9</v>
      </c>
    </row>
    <row r="10" spans="1:17">
      <c r="B10" t="s">
        <v>2527</v>
      </c>
      <c r="C10" t="s">
        <v>865</v>
      </c>
      <c r="E10" t="s">
        <v>3319</v>
      </c>
      <c r="F10" t="s">
        <v>3320</v>
      </c>
      <c r="G10" t="s">
        <v>3306</v>
      </c>
      <c r="I10" t="s">
        <v>1034</v>
      </c>
      <c r="J10" t="s">
        <v>991</v>
      </c>
      <c r="N10" s="1" t="s">
        <v>3805</v>
      </c>
      <c r="O10" t="s">
        <v>162</v>
      </c>
      <c r="P10" t="s">
        <v>30</v>
      </c>
      <c r="Q10" t="s">
        <v>9</v>
      </c>
    </row>
    <row r="11" spans="1:17">
      <c r="B11" t="s">
        <v>2528</v>
      </c>
      <c r="C11" t="s">
        <v>865</v>
      </c>
      <c r="E11" t="s">
        <v>3319</v>
      </c>
      <c r="F11" t="s">
        <v>3320</v>
      </c>
      <c r="G11" t="s">
        <v>3287</v>
      </c>
      <c r="I11" t="s">
        <v>992</v>
      </c>
      <c r="N11" s="1" t="s">
        <v>3805</v>
      </c>
      <c r="O11" t="s">
        <v>615</v>
      </c>
      <c r="P11" t="s">
        <v>33</v>
      </c>
      <c r="Q11" t="s">
        <v>9</v>
      </c>
    </row>
    <row r="12" spans="1:17">
      <c r="B12" t="s">
        <v>2529</v>
      </c>
      <c r="C12" t="s">
        <v>865</v>
      </c>
      <c r="E12" t="s">
        <v>3319</v>
      </c>
      <c r="F12" t="s">
        <v>3320</v>
      </c>
      <c r="G12" t="s">
        <v>3287</v>
      </c>
      <c r="I12" t="s">
        <v>3</v>
      </c>
      <c r="J12" t="s">
        <v>993</v>
      </c>
      <c r="N12" s="1" t="s">
        <v>3473</v>
      </c>
      <c r="O12" t="s">
        <v>162</v>
      </c>
      <c r="P12" t="s">
        <v>45</v>
      </c>
      <c r="Q12" t="s">
        <v>9</v>
      </c>
    </row>
    <row r="13" spans="1:17">
      <c r="B13" t="s">
        <v>2530</v>
      </c>
      <c r="C13" t="s">
        <v>865</v>
      </c>
      <c r="E13" t="s">
        <v>3319</v>
      </c>
      <c r="F13" t="s">
        <v>3320</v>
      </c>
      <c r="G13" t="s">
        <v>3287</v>
      </c>
      <c r="I13" t="s">
        <v>994</v>
      </c>
      <c r="N13" s="1" t="s">
        <v>3805</v>
      </c>
      <c r="O13" t="s">
        <v>156</v>
      </c>
      <c r="P13" t="s">
        <v>14</v>
      </c>
      <c r="Q13" t="s">
        <v>9</v>
      </c>
    </row>
    <row r="14" spans="1:17">
      <c r="B14" t="s">
        <v>2531</v>
      </c>
      <c r="C14" t="s">
        <v>865</v>
      </c>
      <c r="E14" t="s">
        <v>3323</v>
      </c>
      <c r="F14" t="s">
        <v>3320</v>
      </c>
      <c r="G14" t="s">
        <v>3287</v>
      </c>
      <c r="I14" t="s">
        <v>995</v>
      </c>
      <c r="J14" t="s">
        <v>996</v>
      </c>
      <c r="N14" s="1" t="s">
        <v>3805</v>
      </c>
      <c r="O14" t="s">
        <v>161</v>
      </c>
      <c r="P14" t="s">
        <v>35</v>
      </c>
      <c r="Q14" t="s">
        <v>9</v>
      </c>
    </row>
    <row r="15" spans="1:17">
      <c r="B15" t="s">
        <v>2532</v>
      </c>
      <c r="C15" t="s">
        <v>866</v>
      </c>
      <c r="E15" t="s">
        <v>3319</v>
      </c>
      <c r="F15" t="s">
        <v>3320</v>
      </c>
      <c r="G15" t="s">
        <v>3287</v>
      </c>
      <c r="I15" t="s">
        <v>997</v>
      </c>
      <c r="N15" s="1" t="s">
        <v>3473</v>
      </c>
      <c r="O15" t="s">
        <v>156</v>
      </c>
      <c r="P15" t="s">
        <v>8</v>
      </c>
      <c r="Q15" t="s">
        <v>9</v>
      </c>
    </row>
    <row r="16" spans="1:17">
      <c r="B16" t="s">
        <v>2533</v>
      </c>
      <c r="C16" t="s">
        <v>866</v>
      </c>
      <c r="E16" t="s">
        <v>3319</v>
      </c>
      <c r="F16" t="s">
        <v>3320</v>
      </c>
      <c r="G16" t="s">
        <v>3307</v>
      </c>
      <c r="I16" t="s">
        <v>998</v>
      </c>
      <c r="N16" s="1" t="s">
        <v>3805</v>
      </c>
      <c r="O16" t="s">
        <v>164</v>
      </c>
      <c r="P16" t="s">
        <v>27</v>
      </c>
      <c r="Q16" t="s">
        <v>9</v>
      </c>
    </row>
    <row r="17" spans="2:17">
      <c r="B17" t="s">
        <v>2534</v>
      </c>
      <c r="C17" t="s">
        <v>867</v>
      </c>
      <c r="E17" t="s">
        <v>3319</v>
      </c>
      <c r="F17" t="s">
        <v>3320</v>
      </c>
      <c r="G17" t="s">
        <v>3287</v>
      </c>
      <c r="I17" t="s">
        <v>1035</v>
      </c>
      <c r="J17" t="s">
        <v>1046</v>
      </c>
      <c r="K17" t="s">
        <v>1049</v>
      </c>
      <c r="N17" s="1" t="s">
        <v>3805</v>
      </c>
      <c r="O17" t="s">
        <v>164</v>
      </c>
      <c r="P17" t="s">
        <v>175</v>
      </c>
      <c r="Q17" t="s">
        <v>9</v>
      </c>
    </row>
    <row r="18" spans="2:17">
      <c r="B18" t="s">
        <v>2535</v>
      </c>
      <c r="C18" t="s">
        <v>866</v>
      </c>
      <c r="E18" t="s">
        <v>3319</v>
      </c>
      <c r="F18" t="s">
        <v>3320</v>
      </c>
      <c r="G18" t="s">
        <v>3287</v>
      </c>
      <c r="I18" t="s">
        <v>999</v>
      </c>
      <c r="J18" t="s">
        <v>1047</v>
      </c>
      <c r="N18" s="1" t="s">
        <v>3473</v>
      </c>
      <c r="O18" t="s">
        <v>164</v>
      </c>
      <c r="P18" t="s">
        <v>52</v>
      </c>
      <c r="Q18" t="s">
        <v>9</v>
      </c>
    </row>
    <row r="19" spans="2:17">
      <c r="B19" t="s">
        <v>2536</v>
      </c>
      <c r="C19" t="s">
        <v>867</v>
      </c>
      <c r="E19" t="s">
        <v>3319</v>
      </c>
      <c r="F19" t="s">
        <v>3320</v>
      </c>
      <c r="G19" t="s">
        <v>3287</v>
      </c>
      <c r="I19" t="s">
        <v>1000</v>
      </c>
      <c r="N19" s="1" t="s">
        <v>3805</v>
      </c>
      <c r="O19" t="s">
        <v>156</v>
      </c>
      <c r="P19" t="s">
        <v>33</v>
      </c>
      <c r="Q19" t="s">
        <v>9</v>
      </c>
    </row>
    <row r="20" spans="2:17">
      <c r="B20" t="s">
        <v>2537</v>
      </c>
      <c r="C20" t="s">
        <v>866</v>
      </c>
      <c r="E20" t="s">
        <v>3323</v>
      </c>
      <c r="F20" t="s">
        <v>3320</v>
      </c>
      <c r="G20" t="s">
        <v>3294</v>
      </c>
      <c r="I20" t="s">
        <v>24</v>
      </c>
      <c r="J20" t="s">
        <v>1050</v>
      </c>
      <c r="N20" s="1" t="s">
        <v>3805</v>
      </c>
      <c r="O20" t="s">
        <v>165</v>
      </c>
      <c r="P20" t="s">
        <v>53</v>
      </c>
      <c r="Q20" t="s">
        <v>9</v>
      </c>
    </row>
    <row r="21" spans="2:17">
      <c r="B21" t="s">
        <v>2538</v>
      </c>
      <c r="C21" t="s">
        <v>867</v>
      </c>
      <c r="E21" t="s">
        <v>3319</v>
      </c>
      <c r="F21" t="s">
        <v>3320</v>
      </c>
      <c r="G21" t="s">
        <v>3287</v>
      </c>
      <c r="I21" t="s">
        <v>1036</v>
      </c>
      <c r="N21" s="1" t="s">
        <v>3805</v>
      </c>
      <c r="O21" t="s">
        <v>156</v>
      </c>
      <c r="P21" t="s">
        <v>176</v>
      </c>
      <c r="Q21" t="s">
        <v>9</v>
      </c>
    </row>
    <row r="22" spans="2:17">
      <c r="B22" t="s">
        <v>2539</v>
      </c>
      <c r="C22" t="s">
        <v>866</v>
      </c>
      <c r="E22" t="s">
        <v>3319</v>
      </c>
      <c r="F22" t="s">
        <v>3320</v>
      </c>
      <c r="G22" t="s">
        <v>3287</v>
      </c>
      <c r="I22" t="s">
        <v>1037</v>
      </c>
      <c r="N22" s="1" t="s">
        <v>3805</v>
      </c>
      <c r="O22" t="s">
        <v>164</v>
      </c>
      <c r="P22" t="s">
        <v>14</v>
      </c>
      <c r="Q22" t="s">
        <v>9</v>
      </c>
    </row>
    <row r="23" spans="2:17">
      <c r="B23" t="s">
        <v>2540</v>
      </c>
      <c r="C23" t="s">
        <v>866</v>
      </c>
      <c r="E23" t="s">
        <v>3321</v>
      </c>
      <c r="F23" t="s">
        <v>3320</v>
      </c>
      <c r="G23" t="s">
        <v>3287</v>
      </c>
      <c r="I23" t="s">
        <v>1001</v>
      </c>
      <c r="J23" t="s">
        <v>1002</v>
      </c>
      <c r="N23" s="1" t="s">
        <v>3805</v>
      </c>
      <c r="O23" t="s">
        <v>161</v>
      </c>
      <c r="P23" t="s">
        <v>15</v>
      </c>
      <c r="Q23" t="s">
        <v>9</v>
      </c>
    </row>
    <row r="24" spans="2:17">
      <c r="B24" t="s">
        <v>2541</v>
      </c>
      <c r="C24" t="s">
        <v>866</v>
      </c>
      <c r="E24" t="s">
        <v>3319</v>
      </c>
      <c r="F24" t="s">
        <v>3320</v>
      </c>
      <c r="G24" t="s">
        <v>3294</v>
      </c>
      <c r="I24" t="s">
        <v>1003</v>
      </c>
      <c r="J24" t="s">
        <v>1004</v>
      </c>
      <c r="N24" s="1" t="s">
        <v>3473</v>
      </c>
      <c r="O24" t="s">
        <v>164</v>
      </c>
      <c r="P24" t="s">
        <v>53</v>
      </c>
      <c r="Q24" t="s">
        <v>9</v>
      </c>
    </row>
    <row r="25" spans="2:17">
      <c r="B25" t="s">
        <v>2542</v>
      </c>
      <c r="C25" t="s">
        <v>867</v>
      </c>
      <c r="E25" t="s">
        <v>3319</v>
      </c>
      <c r="F25" t="s">
        <v>3320</v>
      </c>
      <c r="G25" t="s">
        <v>3287</v>
      </c>
      <c r="I25" t="s">
        <v>1005</v>
      </c>
      <c r="N25" s="1" t="s">
        <v>3805</v>
      </c>
      <c r="O25" t="s">
        <v>157</v>
      </c>
      <c r="P25" t="s">
        <v>173</v>
      </c>
      <c r="Q25" t="s">
        <v>9</v>
      </c>
    </row>
    <row r="26" spans="2:17">
      <c r="B26" t="s">
        <v>2543</v>
      </c>
      <c r="C26" t="s">
        <v>866</v>
      </c>
      <c r="E26" t="s">
        <v>3319</v>
      </c>
      <c r="F26" t="s">
        <v>3320</v>
      </c>
      <c r="G26" t="s">
        <v>3287</v>
      </c>
      <c r="I26" t="s">
        <v>1006</v>
      </c>
      <c r="N26" s="1" t="s">
        <v>3805</v>
      </c>
      <c r="O26" t="s">
        <v>154</v>
      </c>
      <c r="P26" t="s">
        <v>45</v>
      </c>
      <c r="Q26" t="s">
        <v>9</v>
      </c>
    </row>
    <row r="27" spans="2:17">
      <c r="B27" t="s">
        <v>2544</v>
      </c>
      <c r="C27" t="s">
        <v>867</v>
      </c>
      <c r="E27" t="s">
        <v>3319</v>
      </c>
      <c r="F27" t="s">
        <v>3320</v>
      </c>
      <c r="G27" t="s">
        <v>3287</v>
      </c>
      <c r="I27" t="s">
        <v>1007</v>
      </c>
      <c r="N27" s="1" t="s">
        <v>3805</v>
      </c>
      <c r="O27" t="s">
        <v>156</v>
      </c>
      <c r="P27" t="s">
        <v>176</v>
      </c>
      <c r="Q27" t="s">
        <v>9</v>
      </c>
    </row>
    <row r="28" spans="2:17">
      <c r="B28" t="s">
        <v>2545</v>
      </c>
      <c r="C28" t="s">
        <v>869</v>
      </c>
      <c r="E28" t="s">
        <v>3323</v>
      </c>
      <c r="F28" t="s">
        <v>3320</v>
      </c>
      <c r="G28" t="s">
        <v>3287</v>
      </c>
      <c r="I28" t="s">
        <v>3</v>
      </c>
      <c r="J28" t="s">
        <v>1008</v>
      </c>
      <c r="N28" s="1" t="s">
        <v>3473</v>
      </c>
      <c r="O28" t="s">
        <v>154</v>
      </c>
      <c r="P28" t="s">
        <v>34</v>
      </c>
      <c r="Q28" t="s">
        <v>9</v>
      </c>
    </row>
    <row r="29" spans="2:17">
      <c r="B29" t="s">
        <v>2546</v>
      </c>
      <c r="C29" t="s">
        <v>869</v>
      </c>
      <c r="E29" t="s">
        <v>3319</v>
      </c>
      <c r="F29" t="s">
        <v>3320</v>
      </c>
      <c r="G29" t="s">
        <v>3287</v>
      </c>
      <c r="I29" t="s">
        <v>1009</v>
      </c>
      <c r="N29" s="1" t="s">
        <v>3805</v>
      </c>
      <c r="O29" t="s">
        <v>156</v>
      </c>
      <c r="P29" t="s">
        <v>176</v>
      </c>
      <c r="Q29" t="s">
        <v>9</v>
      </c>
    </row>
    <row r="30" spans="2:17">
      <c r="B30" t="s">
        <v>2547</v>
      </c>
      <c r="C30" t="s">
        <v>869</v>
      </c>
      <c r="E30" t="s">
        <v>3319</v>
      </c>
      <c r="F30" t="s">
        <v>3320</v>
      </c>
      <c r="G30" t="s">
        <v>3287</v>
      </c>
      <c r="I30" t="s">
        <v>1010</v>
      </c>
      <c r="N30" s="1" t="s">
        <v>3805</v>
      </c>
      <c r="O30" t="s">
        <v>154</v>
      </c>
      <c r="P30" t="s">
        <v>52</v>
      </c>
      <c r="Q30" t="s">
        <v>9</v>
      </c>
    </row>
    <row r="31" spans="2:17">
      <c r="B31" t="s">
        <v>2548</v>
      </c>
      <c r="C31" t="s">
        <v>869</v>
      </c>
      <c r="E31" t="s">
        <v>3323</v>
      </c>
      <c r="F31" t="s">
        <v>3320</v>
      </c>
      <c r="G31" t="s">
        <v>3307</v>
      </c>
      <c r="I31" t="s">
        <v>1038</v>
      </c>
      <c r="N31" s="1" t="s">
        <v>3473</v>
      </c>
      <c r="O31" t="s">
        <v>163</v>
      </c>
      <c r="P31" t="s">
        <v>184</v>
      </c>
      <c r="Q31" t="s">
        <v>9</v>
      </c>
    </row>
    <row r="32" spans="2:17">
      <c r="B32" t="s">
        <v>2549</v>
      </c>
      <c r="C32" t="s">
        <v>868</v>
      </c>
      <c r="E32" t="s">
        <v>3323</v>
      </c>
      <c r="F32" t="s">
        <v>3320</v>
      </c>
      <c r="G32" t="s">
        <v>3299</v>
      </c>
      <c r="I32" t="s">
        <v>1011</v>
      </c>
      <c r="N32" s="1" t="s">
        <v>3473</v>
      </c>
      <c r="O32" t="s">
        <v>154</v>
      </c>
      <c r="P32" t="s">
        <v>49</v>
      </c>
      <c r="Q32" t="s">
        <v>9</v>
      </c>
    </row>
    <row r="33" spans="2:17">
      <c r="B33" t="s">
        <v>2550</v>
      </c>
      <c r="C33" t="s">
        <v>868</v>
      </c>
      <c r="E33" t="s">
        <v>3319</v>
      </c>
      <c r="F33" t="s">
        <v>3320</v>
      </c>
      <c r="G33" t="s">
        <v>3306</v>
      </c>
      <c r="I33" t="s">
        <v>3</v>
      </c>
      <c r="J33" t="s">
        <v>1012</v>
      </c>
      <c r="N33" s="1" t="s">
        <v>3473</v>
      </c>
      <c r="O33" t="s">
        <v>154</v>
      </c>
      <c r="P33" t="s">
        <v>36</v>
      </c>
      <c r="Q33" t="s">
        <v>9</v>
      </c>
    </row>
    <row r="34" spans="2:17">
      <c r="B34" t="s">
        <v>2551</v>
      </c>
      <c r="C34" t="s">
        <v>869</v>
      </c>
      <c r="E34" t="s">
        <v>3323</v>
      </c>
      <c r="F34" t="s">
        <v>3320</v>
      </c>
      <c r="G34" t="s">
        <v>3287</v>
      </c>
      <c r="I34" t="s">
        <v>1013</v>
      </c>
      <c r="J34" t="s">
        <v>1014</v>
      </c>
      <c r="N34" s="1" t="s">
        <v>3473</v>
      </c>
      <c r="O34" t="s">
        <v>154</v>
      </c>
      <c r="P34" t="s">
        <v>184</v>
      </c>
      <c r="Q34" t="s">
        <v>9</v>
      </c>
    </row>
    <row r="35" spans="2:17">
      <c r="B35" t="s">
        <v>2552</v>
      </c>
      <c r="C35" t="s">
        <v>868</v>
      </c>
      <c r="E35" t="s">
        <v>3321</v>
      </c>
      <c r="F35" t="s">
        <v>3320</v>
      </c>
      <c r="G35" t="s">
        <v>3299</v>
      </c>
      <c r="I35" t="s">
        <v>1039</v>
      </c>
      <c r="N35" s="1" t="s">
        <v>3473</v>
      </c>
      <c r="O35" t="s">
        <v>157</v>
      </c>
      <c r="P35" t="s">
        <v>18</v>
      </c>
      <c r="Q35" t="s">
        <v>9</v>
      </c>
    </row>
    <row r="36" spans="2:17">
      <c r="B36" t="s">
        <v>2553</v>
      </c>
      <c r="C36" t="s">
        <v>869</v>
      </c>
      <c r="E36" t="s">
        <v>3319</v>
      </c>
      <c r="F36" t="s">
        <v>3320</v>
      </c>
      <c r="G36" t="s">
        <v>3287</v>
      </c>
      <c r="I36" t="s">
        <v>1040</v>
      </c>
      <c r="N36" s="1" t="s">
        <v>3805</v>
      </c>
      <c r="O36" t="s">
        <v>154</v>
      </c>
      <c r="P36" t="s">
        <v>44</v>
      </c>
      <c r="Q36" t="s">
        <v>9</v>
      </c>
    </row>
    <row r="37" spans="2:17">
      <c r="B37" t="s">
        <v>2554</v>
      </c>
      <c r="C37" t="s">
        <v>868</v>
      </c>
      <c r="E37" t="s">
        <v>3319</v>
      </c>
      <c r="F37" t="s">
        <v>3320</v>
      </c>
      <c r="G37" t="s">
        <v>3299</v>
      </c>
      <c r="I37" t="s">
        <v>1015</v>
      </c>
      <c r="N37" s="1" t="s">
        <v>3473</v>
      </c>
      <c r="O37" t="s">
        <v>164</v>
      </c>
      <c r="P37" t="s">
        <v>35</v>
      </c>
      <c r="Q37" t="s">
        <v>9</v>
      </c>
    </row>
    <row r="38" spans="2:17">
      <c r="B38" t="s">
        <v>2555</v>
      </c>
      <c r="C38" t="s">
        <v>869</v>
      </c>
      <c r="E38" t="s">
        <v>3323</v>
      </c>
      <c r="F38" t="s">
        <v>3320</v>
      </c>
      <c r="G38" t="s">
        <v>3287</v>
      </c>
      <c r="I38" t="s">
        <v>1016</v>
      </c>
      <c r="N38" s="1" t="s">
        <v>3473</v>
      </c>
      <c r="O38" t="s">
        <v>154</v>
      </c>
      <c r="P38" t="s">
        <v>33</v>
      </c>
      <c r="Q38" t="s">
        <v>9</v>
      </c>
    </row>
    <row r="39" spans="2:17">
      <c r="B39" t="s">
        <v>2556</v>
      </c>
      <c r="C39" t="s">
        <v>869</v>
      </c>
      <c r="E39" t="s">
        <v>3323</v>
      </c>
      <c r="F39" t="s">
        <v>3320</v>
      </c>
      <c r="G39" t="s">
        <v>3287</v>
      </c>
      <c r="I39" t="s">
        <v>1041</v>
      </c>
      <c r="N39" s="1" t="s">
        <v>3805</v>
      </c>
      <c r="O39" t="s">
        <v>161</v>
      </c>
      <c r="P39" t="s">
        <v>180</v>
      </c>
      <c r="Q39" t="s">
        <v>9</v>
      </c>
    </row>
    <row r="40" spans="2:17">
      <c r="B40" t="s">
        <v>2557</v>
      </c>
      <c r="C40" t="s">
        <v>868</v>
      </c>
      <c r="E40" t="s">
        <v>3323</v>
      </c>
      <c r="F40" t="s">
        <v>3320</v>
      </c>
      <c r="G40" t="s">
        <v>3287</v>
      </c>
      <c r="I40" t="s">
        <v>1042</v>
      </c>
      <c r="J40" t="s">
        <v>1017</v>
      </c>
      <c r="N40" s="1" t="s">
        <v>3805</v>
      </c>
      <c r="O40" t="s">
        <v>170</v>
      </c>
      <c r="P40" t="s">
        <v>34</v>
      </c>
      <c r="Q40" t="s">
        <v>9</v>
      </c>
    </row>
    <row r="41" spans="2:17">
      <c r="B41" t="s">
        <v>2558</v>
      </c>
      <c r="C41" t="s">
        <v>868</v>
      </c>
      <c r="E41" t="s">
        <v>3323</v>
      </c>
      <c r="F41" t="s">
        <v>3320</v>
      </c>
      <c r="G41" t="s">
        <v>3287</v>
      </c>
      <c r="I41" t="s">
        <v>1043</v>
      </c>
      <c r="N41" s="1" t="s">
        <v>3473</v>
      </c>
      <c r="O41" t="s">
        <v>154</v>
      </c>
      <c r="P41" t="s">
        <v>177</v>
      </c>
      <c r="Q41" t="s">
        <v>9</v>
      </c>
    </row>
    <row r="42" spans="2:17">
      <c r="B42" t="s">
        <v>2559</v>
      </c>
      <c r="C42" t="s">
        <v>869</v>
      </c>
      <c r="E42" t="s">
        <v>3319</v>
      </c>
      <c r="F42" t="s">
        <v>3320</v>
      </c>
      <c r="G42" t="s">
        <v>3287</v>
      </c>
      <c r="H42" t="s">
        <v>3301</v>
      </c>
      <c r="I42" t="s">
        <v>1018</v>
      </c>
      <c r="J42" t="s">
        <v>1048</v>
      </c>
      <c r="N42" s="1" t="s">
        <v>3809</v>
      </c>
      <c r="O42" t="s">
        <v>782</v>
      </c>
      <c r="P42" t="s">
        <v>10</v>
      </c>
      <c r="Q42" t="s">
        <v>9</v>
      </c>
    </row>
    <row r="43" spans="2:17">
      <c r="B43" t="s">
        <v>2560</v>
      </c>
      <c r="C43" t="s">
        <v>868</v>
      </c>
      <c r="E43" t="s">
        <v>3319</v>
      </c>
      <c r="F43" t="s">
        <v>3320</v>
      </c>
      <c r="G43" t="s">
        <v>3287</v>
      </c>
      <c r="I43" t="s">
        <v>1019</v>
      </c>
      <c r="J43" t="s">
        <v>1020</v>
      </c>
      <c r="N43" s="1" t="s">
        <v>3473</v>
      </c>
      <c r="O43" t="s">
        <v>156</v>
      </c>
      <c r="P43" t="s">
        <v>185</v>
      </c>
      <c r="Q43" t="s">
        <v>9</v>
      </c>
    </row>
    <row r="44" spans="2:17">
      <c r="B44" t="s">
        <v>2561</v>
      </c>
      <c r="C44" t="s">
        <v>1031</v>
      </c>
      <c r="E44" t="s">
        <v>3323</v>
      </c>
      <c r="F44" t="s">
        <v>3320</v>
      </c>
      <c r="G44" t="s">
        <v>3287</v>
      </c>
      <c r="I44" t="s">
        <v>1021</v>
      </c>
      <c r="N44" s="1" t="s">
        <v>3805</v>
      </c>
      <c r="O44" t="s">
        <v>158</v>
      </c>
      <c r="P44" t="s">
        <v>180</v>
      </c>
      <c r="Q44" t="s">
        <v>9</v>
      </c>
    </row>
    <row r="45" spans="2:17">
      <c r="B45" t="s">
        <v>2562</v>
      </c>
      <c r="C45" t="s">
        <v>1031</v>
      </c>
      <c r="E45" t="s">
        <v>3323</v>
      </c>
      <c r="F45" t="s">
        <v>3320</v>
      </c>
      <c r="G45" t="s">
        <v>3287</v>
      </c>
      <c r="I45" t="s">
        <v>12</v>
      </c>
      <c r="J45" t="s">
        <v>1022</v>
      </c>
      <c r="K45" t="s">
        <v>1023</v>
      </c>
      <c r="N45" s="1" t="s">
        <v>3473</v>
      </c>
      <c r="O45" t="s">
        <v>171</v>
      </c>
      <c r="P45" t="s">
        <v>31</v>
      </c>
      <c r="Q45" t="s">
        <v>9</v>
      </c>
    </row>
    <row r="46" spans="2:17">
      <c r="B46" t="s">
        <v>2563</v>
      </c>
      <c r="C46" t="s">
        <v>1031</v>
      </c>
      <c r="E46" t="s">
        <v>3319</v>
      </c>
      <c r="F46" t="s">
        <v>3320</v>
      </c>
      <c r="G46" t="s">
        <v>3287</v>
      </c>
      <c r="I46" t="s">
        <v>1001</v>
      </c>
      <c r="J46" t="s">
        <v>1024</v>
      </c>
      <c r="N46" s="1" t="s">
        <v>3805</v>
      </c>
      <c r="O46" t="s">
        <v>164</v>
      </c>
      <c r="P46" t="s">
        <v>34</v>
      </c>
      <c r="Q46" t="s">
        <v>9</v>
      </c>
    </row>
    <row r="47" spans="2:17">
      <c r="B47" t="s">
        <v>2564</v>
      </c>
      <c r="C47" t="s">
        <v>871</v>
      </c>
      <c r="E47" t="s">
        <v>3319</v>
      </c>
      <c r="F47" t="s">
        <v>3320</v>
      </c>
      <c r="G47" t="s">
        <v>3287</v>
      </c>
      <c r="I47" t="s">
        <v>1025</v>
      </c>
      <c r="N47" s="1" t="s">
        <v>3805</v>
      </c>
      <c r="O47" t="s">
        <v>164</v>
      </c>
      <c r="P47" t="s">
        <v>48</v>
      </c>
      <c r="Q47" t="s">
        <v>9</v>
      </c>
    </row>
    <row r="48" spans="2:17">
      <c r="B48" t="s">
        <v>2565</v>
      </c>
      <c r="C48" t="s">
        <v>870</v>
      </c>
      <c r="E48" t="s">
        <v>3323</v>
      </c>
      <c r="F48" t="s">
        <v>3320</v>
      </c>
      <c r="G48" t="s">
        <v>3287</v>
      </c>
      <c r="I48" t="s">
        <v>1026</v>
      </c>
      <c r="N48" s="1" t="s">
        <v>3805</v>
      </c>
      <c r="O48" t="s">
        <v>170</v>
      </c>
      <c r="P48" t="s">
        <v>49</v>
      </c>
      <c r="Q48" t="s">
        <v>9</v>
      </c>
    </row>
    <row r="49" spans="1:17">
      <c r="B49" t="s">
        <v>2566</v>
      </c>
      <c r="C49" t="s">
        <v>871</v>
      </c>
      <c r="E49" t="s">
        <v>3323</v>
      </c>
      <c r="F49" t="s">
        <v>3320</v>
      </c>
      <c r="G49" t="s">
        <v>3308</v>
      </c>
      <c r="I49" t="s">
        <v>1044</v>
      </c>
      <c r="J49" t="s">
        <v>1027</v>
      </c>
      <c r="K49" t="s">
        <v>1028</v>
      </c>
      <c r="N49" s="1" t="s">
        <v>3473</v>
      </c>
      <c r="O49" t="s">
        <v>171</v>
      </c>
      <c r="P49" t="s">
        <v>188</v>
      </c>
      <c r="Q49" t="s">
        <v>9</v>
      </c>
    </row>
    <row r="50" spans="1:17">
      <c r="B50" t="s">
        <v>2567</v>
      </c>
      <c r="C50" t="s">
        <v>871</v>
      </c>
      <c r="E50" t="s">
        <v>3319</v>
      </c>
      <c r="F50" t="s">
        <v>3320</v>
      </c>
      <c r="G50" t="s">
        <v>3287</v>
      </c>
      <c r="I50" t="s">
        <v>1029</v>
      </c>
      <c r="N50" s="1" t="s">
        <v>3805</v>
      </c>
      <c r="O50" t="s">
        <v>170</v>
      </c>
      <c r="P50" t="s">
        <v>31</v>
      </c>
      <c r="Q50" t="s">
        <v>9</v>
      </c>
    </row>
    <row r="51" spans="1:17">
      <c r="B51" t="s">
        <v>2518</v>
      </c>
      <c r="C51" t="s">
        <v>966</v>
      </c>
      <c r="E51" t="s">
        <v>3319</v>
      </c>
      <c r="F51" t="s">
        <v>3320</v>
      </c>
      <c r="G51" t="s">
        <v>3295</v>
      </c>
      <c r="H51" t="s">
        <v>3301</v>
      </c>
      <c r="I51" t="s">
        <v>957</v>
      </c>
      <c r="J51" t="s">
        <v>958</v>
      </c>
      <c r="N51" s="1" t="s">
        <v>3473</v>
      </c>
      <c r="O51" t="s">
        <v>782</v>
      </c>
      <c r="P51" t="s">
        <v>10</v>
      </c>
      <c r="Q51" t="s">
        <v>9</v>
      </c>
    </row>
    <row r="52" spans="1:17">
      <c r="N52" s="1" t="s">
        <v>3805</v>
      </c>
    </row>
    <row r="53" spans="1:17">
      <c r="A53" s="1"/>
      <c r="B53" s="1" t="s">
        <v>2568</v>
      </c>
      <c r="C53" s="1" t="s">
        <v>865</v>
      </c>
      <c r="D53" s="1"/>
      <c r="E53" s="1" t="s">
        <v>3319</v>
      </c>
      <c r="F53" s="1" t="s">
        <v>3320</v>
      </c>
      <c r="G53" s="1" t="s">
        <v>3287</v>
      </c>
      <c r="H53" s="1"/>
      <c r="I53" s="1" t="s">
        <v>1064</v>
      </c>
      <c r="J53" s="1" t="s">
        <v>1062</v>
      </c>
      <c r="K53" s="1" t="s">
        <v>1063</v>
      </c>
      <c r="L53" s="1"/>
      <c r="M53" s="2"/>
      <c r="N53" s="1" t="s">
        <v>3805</v>
      </c>
      <c r="O53" s="1" t="s">
        <v>161</v>
      </c>
      <c r="P53" s="1" t="s">
        <v>175</v>
      </c>
      <c r="Q53" s="1" t="s">
        <v>41</v>
      </c>
    </row>
    <row r="54" spans="1:17">
      <c r="B54" t="s">
        <v>2569</v>
      </c>
      <c r="C54" t="s">
        <v>865</v>
      </c>
      <c r="E54" t="s">
        <v>3323</v>
      </c>
      <c r="F54" t="s">
        <v>3320</v>
      </c>
      <c r="G54" t="s">
        <v>3287</v>
      </c>
      <c r="I54" t="s">
        <v>1051</v>
      </c>
      <c r="M54" t="s">
        <v>153</v>
      </c>
      <c r="N54" s="1" t="s">
        <v>3805</v>
      </c>
      <c r="O54" t="s">
        <v>158</v>
      </c>
    </row>
    <row r="55" spans="1:17">
      <c r="B55" t="s">
        <v>2570</v>
      </c>
      <c r="C55" t="s">
        <v>3400</v>
      </c>
      <c r="E55" t="s">
        <v>3398</v>
      </c>
      <c r="F55" t="s">
        <v>3401</v>
      </c>
      <c r="I55" t="s">
        <v>1052</v>
      </c>
      <c r="J55" t="s">
        <v>1053</v>
      </c>
      <c r="K55" t="s">
        <v>1054</v>
      </c>
      <c r="M55" t="s">
        <v>153</v>
      </c>
      <c r="N55" s="1" t="s">
        <v>3805</v>
      </c>
      <c r="O55">
        <v>5</v>
      </c>
      <c r="P55" t="s">
        <v>48</v>
      </c>
      <c r="Q55" t="s">
        <v>41</v>
      </c>
    </row>
    <row r="56" spans="1:17">
      <c r="B56" t="s">
        <v>2571</v>
      </c>
      <c r="C56" t="s">
        <v>865</v>
      </c>
      <c r="E56" t="s">
        <v>3319</v>
      </c>
      <c r="F56" t="s">
        <v>3320</v>
      </c>
      <c r="G56" t="s">
        <v>3287</v>
      </c>
      <c r="I56" t="s">
        <v>1055</v>
      </c>
      <c r="J56" t="s">
        <v>1056</v>
      </c>
      <c r="N56" s="1" t="s">
        <v>3805</v>
      </c>
      <c r="O56" t="s">
        <v>156</v>
      </c>
      <c r="P56" t="s">
        <v>27</v>
      </c>
      <c r="Q56" t="s">
        <v>41</v>
      </c>
    </row>
    <row r="57" spans="1:17">
      <c r="B57" t="s">
        <v>2529</v>
      </c>
      <c r="C57" t="s">
        <v>865</v>
      </c>
      <c r="E57" t="s">
        <v>3319</v>
      </c>
      <c r="F57" t="s">
        <v>3320</v>
      </c>
      <c r="G57" t="s">
        <v>3287</v>
      </c>
      <c r="I57" t="s">
        <v>3</v>
      </c>
      <c r="J57" t="s">
        <v>993</v>
      </c>
      <c r="N57" s="1" t="s">
        <v>3473</v>
      </c>
      <c r="O57" t="s">
        <v>162</v>
      </c>
      <c r="P57" t="s">
        <v>863</v>
      </c>
      <c r="Q57" t="s">
        <v>41</v>
      </c>
    </row>
    <row r="58" spans="1:17">
      <c r="B58" t="s">
        <v>2572</v>
      </c>
      <c r="C58" t="s">
        <v>865</v>
      </c>
      <c r="E58" t="s">
        <v>3319</v>
      </c>
      <c r="F58" t="s">
        <v>3320</v>
      </c>
      <c r="G58" t="s">
        <v>3306</v>
      </c>
      <c r="H58" t="s">
        <v>3287</v>
      </c>
      <c r="I58" t="s">
        <v>921</v>
      </c>
      <c r="J58" t="s">
        <v>1065</v>
      </c>
      <c r="N58" s="1" t="s">
        <v>3805</v>
      </c>
      <c r="O58" t="s">
        <v>156</v>
      </c>
      <c r="P58" t="s">
        <v>36</v>
      </c>
      <c r="Q58" t="s">
        <v>41</v>
      </c>
    </row>
    <row r="59" spans="1:17">
      <c r="B59" t="s">
        <v>2573</v>
      </c>
      <c r="C59" t="s">
        <v>871</v>
      </c>
      <c r="E59" t="s">
        <v>3319</v>
      </c>
      <c r="F59" t="s">
        <v>3320</v>
      </c>
      <c r="G59" t="s">
        <v>3287</v>
      </c>
      <c r="I59" t="s">
        <v>1057</v>
      </c>
      <c r="J59" t="s">
        <v>1058</v>
      </c>
      <c r="K59" t="s">
        <v>1059</v>
      </c>
      <c r="L59" t="s">
        <v>584</v>
      </c>
      <c r="M59" t="s">
        <v>1060</v>
      </c>
      <c r="N59" s="1" t="s">
        <v>3805</v>
      </c>
      <c r="O59" t="s">
        <v>171</v>
      </c>
      <c r="P59" t="s">
        <v>48</v>
      </c>
      <c r="Q59" t="s">
        <v>41</v>
      </c>
    </row>
    <row r="60" spans="1:17">
      <c r="B60" t="s">
        <v>2574</v>
      </c>
      <c r="C60" t="s">
        <v>871</v>
      </c>
      <c r="E60" t="s">
        <v>3319</v>
      </c>
      <c r="F60" t="s">
        <v>3320</v>
      </c>
      <c r="G60" t="s">
        <v>3287</v>
      </c>
      <c r="I60" t="s">
        <v>1061</v>
      </c>
      <c r="N60" s="1" t="s">
        <v>3805</v>
      </c>
      <c r="O60" t="s">
        <v>156</v>
      </c>
      <c r="P60" t="s">
        <v>44</v>
      </c>
      <c r="Q60" t="s">
        <v>41</v>
      </c>
    </row>
    <row r="61" spans="1:17">
      <c r="N61" s="1" t="s">
        <v>3805</v>
      </c>
    </row>
    <row r="62" spans="1:17">
      <c r="N62" s="1" t="s">
        <v>3805</v>
      </c>
    </row>
    <row r="63" spans="1:17">
      <c r="N63" s="1" t="s">
        <v>3805</v>
      </c>
    </row>
    <row r="64" spans="1:17">
      <c r="N64" s="1" t="s">
        <v>3805</v>
      </c>
    </row>
    <row r="65" spans="14:14">
      <c r="N65" s="1" t="s">
        <v>3805</v>
      </c>
    </row>
    <row r="66" spans="14:14">
      <c r="N66" s="1" t="s">
        <v>3805</v>
      </c>
    </row>
    <row r="67" spans="14:14">
      <c r="N67" s="1" t="s">
        <v>3805</v>
      </c>
    </row>
    <row r="68" spans="14:14">
      <c r="N68" s="1" t="s">
        <v>3805</v>
      </c>
    </row>
    <row r="69" spans="14:14">
      <c r="N69" s="1" t="s">
        <v>3805</v>
      </c>
    </row>
    <row r="70" spans="14:14">
      <c r="N70" s="1" t="s">
        <v>3805</v>
      </c>
    </row>
    <row r="71" spans="14:14">
      <c r="N71" s="1" t="s">
        <v>3805</v>
      </c>
    </row>
    <row r="72" spans="14:14">
      <c r="N72" s="1" t="s">
        <v>3805</v>
      </c>
    </row>
    <row r="73" spans="14:14">
      <c r="N73" s="1" t="s">
        <v>3805</v>
      </c>
    </row>
    <row r="74" spans="14:14">
      <c r="N74" s="1" t="s">
        <v>3805</v>
      </c>
    </row>
    <row r="75" spans="14:14">
      <c r="N75" s="1" t="s">
        <v>3805</v>
      </c>
    </row>
    <row r="76" spans="14:14">
      <c r="N76" s="1" t="s">
        <v>3805</v>
      </c>
    </row>
    <row r="77" spans="14:14">
      <c r="N77" s="1" t="s">
        <v>3805</v>
      </c>
    </row>
    <row r="78" spans="14:14">
      <c r="N78" s="1" t="s">
        <v>3805</v>
      </c>
    </row>
    <row r="79" spans="14:14">
      <c r="N79" s="1" t="s">
        <v>3805</v>
      </c>
    </row>
    <row r="80" spans="14:14">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row r="87" spans="14:14">
      <c r="N87" s="1" t="s">
        <v>3805</v>
      </c>
    </row>
  </sheetData>
  <autoFilter ref="A1:W87"/>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6"/>
  <sheetViews>
    <sheetView topLeftCell="A34" workbookViewId="0">
      <selection activeCell="F37" sqref="F37"/>
    </sheetView>
  </sheetViews>
  <sheetFormatPr defaultRowHeight="18.75"/>
  <sheetData>
    <row r="1" spans="1:20">
      <c r="B1" t="s">
        <v>3474</v>
      </c>
      <c r="C1" t="s">
        <v>3475</v>
      </c>
      <c r="D1" t="s">
        <v>3489</v>
      </c>
      <c r="E1" t="s">
        <v>3477</v>
      </c>
      <c r="F1" t="s">
        <v>3479</v>
      </c>
      <c r="G1" t="s">
        <v>3481</v>
      </c>
      <c r="H1" t="s">
        <v>3482</v>
      </c>
      <c r="I1" t="s">
        <v>3483</v>
      </c>
      <c r="N1" s="1" t="s">
        <v>3805</v>
      </c>
      <c r="O1" t="s">
        <v>3484</v>
      </c>
      <c r="P1" t="s">
        <v>3486</v>
      </c>
    </row>
    <row r="2" spans="1:20">
      <c r="A2" s="8"/>
      <c r="B2" s="35" t="s">
        <v>2575</v>
      </c>
      <c r="C2" s="35" t="s">
        <v>1127</v>
      </c>
      <c r="D2" s="35">
        <v>1</v>
      </c>
      <c r="E2" s="35" t="s">
        <v>3319</v>
      </c>
      <c r="F2" s="35" t="s">
        <v>3320</v>
      </c>
      <c r="G2" s="35" t="s">
        <v>3291</v>
      </c>
      <c r="H2" s="35"/>
      <c r="I2" s="35" t="s">
        <v>75</v>
      </c>
      <c r="J2" s="35" t="s">
        <v>1122</v>
      </c>
      <c r="K2" s="35" t="s">
        <v>1121</v>
      </c>
      <c r="L2" s="35"/>
      <c r="M2" s="42"/>
      <c r="N2" s="35" t="s">
        <v>3805</v>
      </c>
      <c r="O2" s="35" t="s">
        <v>156</v>
      </c>
      <c r="P2" s="8" t="s">
        <v>175</v>
      </c>
      <c r="Q2" s="8" t="s">
        <v>4</v>
      </c>
      <c r="S2">
        <f t="shared" ref="S2:S16" si="0">COUNTIF(F:H,T2)</f>
        <v>10</v>
      </c>
      <c r="T2" t="s">
        <v>3291</v>
      </c>
    </row>
    <row r="3" spans="1:20">
      <c r="B3" t="s">
        <v>2576</v>
      </c>
      <c r="C3" t="s">
        <v>1127</v>
      </c>
      <c r="D3" s="1">
        <v>1</v>
      </c>
      <c r="E3" t="s">
        <v>3319</v>
      </c>
      <c r="F3" t="s">
        <v>3320</v>
      </c>
      <c r="G3" t="s">
        <v>3289</v>
      </c>
      <c r="I3" t="s">
        <v>1066</v>
      </c>
      <c r="J3" t="s">
        <v>1143</v>
      </c>
      <c r="N3" s="1"/>
      <c r="O3" t="s">
        <v>156</v>
      </c>
      <c r="P3" t="s">
        <v>185</v>
      </c>
      <c r="Q3" t="s">
        <v>4</v>
      </c>
      <c r="S3">
        <f t="shared" si="0"/>
        <v>10</v>
      </c>
      <c r="T3" t="s">
        <v>3289</v>
      </c>
    </row>
    <row r="4" spans="1:20">
      <c r="A4" s="5"/>
      <c r="B4" s="5" t="s">
        <v>2577</v>
      </c>
      <c r="C4" s="5" t="s">
        <v>1127</v>
      </c>
      <c r="D4" s="5">
        <v>1</v>
      </c>
      <c r="E4" s="5" t="s">
        <v>3319</v>
      </c>
      <c r="F4" s="5" t="s">
        <v>3320</v>
      </c>
      <c r="G4" s="5" t="s">
        <v>3307</v>
      </c>
      <c r="H4" s="5"/>
      <c r="I4" s="5" t="s">
        <v>3804</v>
      </c>
      <c r="J4" s="5"/>
      <c r="K4" s="5"/>
      <c r="L4" s="5"/>
      <c r="M4" s="5"/>
      <c r="N4" s="23" t="s">
        <v>3473</v>
      </c>
      <c r="O4" s="5" t="s">
        <v>156</v>
      </c>
      <c r="P4" s="5" t="s">
        <v>35</v>
      </c>
      <c r="Q4" s="5" t="s">
        <v>4</v>
      </c>
      <c r="R4" s="80"/>
      <c r="S4">
        <f t="shared" si="0"/>
        <v>16</v>
      </c>
      <c r="T4" t="s">
        <v>3307</v>
      </c>
    </row>
    <row r="5" spans="1:20">
      <c r="B5" t="s">
        <v>2578</v>
      </c>
      <c r="C5" t="s">
        <v>1127</v>
      </c>
      <c r="D5">
        <v>1</v>
      </c>
      <c r="E5" t="s">
        <v>3319</v>
      </c>
      <c r="F5" t="s">
        <v>3320</v>
      </c>
      <c r="G5" t="s">
        <v>3287</v>
      </c>
      <c r="I5" t="s">
        <v>1067</v>
      </c>
      <c r="N5" s="1" t="s">
        <v>3805</v>
      </c>
      <c r="O5" t="s">
        <v>156</v>
      </c>
      <c r="P5" t="s">
        <v>175</v>
      </c>
      <c r="Q5" t="s">
        <v>4</v>
      </c>
      <c r="S5">
        <f t="shared" si="0"/>
        <v>6</v>
      </c>
      <c r="T5" t="s">
        <v>3287</v>
      </c>
    </row>
    <row r="6" spans="1:20">
      <c r="B6" t="s">
        <v>2579</v>
      </c>
      <c r="C6" t="s">
        <v>1127</v>
      </c>
      <c r="D6">
        <v>1</v>
      </c>
      <c r="E6" t="s">
        <v>3319</v>
      </c>
      <c r="F6" t="s">
        <v>3320</v>
      </c>
      <c r="G6" t="s">
        <v>3307</v>
      </c>
      <c r="I6" t="s">
        <v>1068</v>
      </c>
      <c r="N6" s="1" t="s">
        <v>3805</v>
      </c>
      <c r="O6" t="s">
        <v>156</v>
      </c>
      <c r="P6" t="s">
        <v>26</v>
      </c>
      <c r="Q6" t="s">
        <v>4</v>
      </c>
      <c r="S6">
        <f t="shared" si="0"/>
        <v>2</v>
      </c>
      <c r="T6" t="s">
        <v>3311</v>
      </c>
    </row>
    <row r="7" spans="1:20">
      <c r="A7" s="5"/>
      <c r="B7" s="5" t="s">
        <v>2580</v>
      </c>
      <c r="C7" s="5" t="s">
        <v>1127</v>
      </c>
      <c r="D7" s="5">
        <v>1</v>
      </c>
      <c r="E7" s="5" t="s">
        <v>3319</v>
      </c>
      <c r="F7" s="5" t="s">
        <v>3320</v>
      </c>
      <c r="G7" s="5" t="s">
        <v>3311</v>
      </c>
      <c r="H7" s="5"/>
      <c r="I7" s="5" t="s">
        <v>1069</v>
      </c>
      <c r="J7" s="5"/>
      <c r="K7" s="5"/>
      <c r="L7" s="5"/>
      <c r="M7" s="5"/>
      <c r="N7" s="23" t="s">
        <v>3805</v>
      </c>
      <c r="O7" s="5" t="s">
        <v>156</v>
      </c>
      <c r="P7" s="5" t="s">
        <v>15</v>
      </c>
      <c r="Q7" s="5" t="s">
        <v>4</v>
      </c>
      <c r="R7" s="80"/>
      <c r="S7">
        <f t="shared" si="0"/>
        <v>7</v>
      </c>
      <c r="T7" t="s">
        <v>3306</v>
      </c>
    </row>
    <row r="8" spans="1:20">
      <c r="B8" t="s">
        <v>2581</v>
      </c>
      <c r="C8" t="s">
        <v>1127</v>
      </c>
      <c r="D8">
        <v>1</v>
      </c>
      <c r="E8" t="s">
        <v>3319</v>
      </c>
      <c r="F8" t="s">
        <v>3320</v>
      </c>
      <c r="G8" t="s">
        <v>3306</v>
      </c>
      <c r="I8" t="s">
        <v>1070</v>
      </c>
      <c r="N8" s="1" t="s">
        <v>3805</v>
      </c>
      <c r="O8" t="s">
        <v>156</v>
      </c>
      <c r="P8" t="s">
        <v>36</v>
      </c>
      <c r="Q8" t="s">
        <v>4</v>
      </c>
      <c r="S8">
        <f t="shared" si="0"/>
        <v>2</v>
      </c>
      <c r="T8" t="s">
        <v>3288</v>
      </c>
    </row>
    <row r="9" spans="1:20">
      <c r="B9" t="s">
        <v>2582</v>
      </c>
      <c r="C9" t="s">
        <v>1127</v>
      </c>
      <c r="D9">
        <v>1</v>
      </c>
      <c r="E9" t="s">
        <v>3319</v>
      </c>
      <c r="F9" t="s">
        <v>3320</v>
      </c>
      <c r="G9" t="s">
        <v>3287</v>
      </c>
      <c r="I9" t="s">
        <v>1071</v>
      </c>
      <c r="N9" s="1" t="s">
        <v>3805</v>
      </c>
      <c r="O9" t="s">
        <v>156</v>
      </c>
      <c r="P9" t="s">
        <v>8</v>
      </c>
      <c r="Q9" t="s">
        <v>4</v>
      </c>
      <c r="S9">
        <f t="shared" si="0"/>
        <v>1</v>
      </c>
      <c r="T9" t="s">
        <v>3286</v>
      </c>
    </row>
    <row r="10" spans="1:20">
      <c r="B10" t="s">
        <v>2583</v>
      </c>
      <c r="C10" t="s">
        <v>1127</v>
      </c>
      <c r="D10">
        <v>1</v>
      </c>
      <c r="E10" t="s">
        <v>3319</v>
      </c>
      <c r="F10" t="s">
        <v>3320</v>
      </c>
      <c r="G10" t="s">
        <v>3287</v>
      </c>
      <c r="I10" t="s">
        <v>1072</v>
      </c>
      <c r="N10" s="1" t="s">
        <v>3805</v>
      </c>
      <c r="O10" t="s">
        <v>156</v>
      </c>
      <c r="P10" t="s">
        <v>49</v>
      </c>
      <c r="Q10" t="s">
        <v>4</v>
      </c>
      <c r="S10">
        <f t="shared" si="0"/>
        <v>2</v>
      </c>
      <c r="T10" t="s">
        <v>3299</v>
      </c>
    </row>
    <row r="11" spans="1:20">
      <c r="B11" t="s">
        <v>2584</v>
      </c>
      <c r="C11" t="s">
        <v>1127</v>
      </c>
      <c r="D11">
        <v>1</v>
      </c>
      <c r="E11" t="s">
        <v>3319</v>
      </c>
      <c r="F11" t="s">
        <v>3320</v>
      </c>
      <c r="G11" t="s">
        <v>3289</v>
      </c>
      <c r="I11" t="s">
        <v>1073</v>
      </c>
      <c r="N11" s="1" t="s">
        <v>3805</v>
      </c>
      <c r="O11" t="s">
        <v>156</v>
      </c>
      <c r="P11" t="s">
        <v>173</v>
      </c>
      <c r="Q11" t="s">
        <v>4</v>
      </c>
      <c r="S11">
        <f t="shared" si="0"/>
        <v>1</v>
      </c>
      <c r="T11" t="s">
        <v>3298</v>
      </c>
    </row>
    <row r="12" spans="1:20">
      <c r="B12" t="s">
        <v>2585</v>
      </c>
      <c r="C12" t="s">
        <v>1127</v>
      </c>
      <c r="D12">
        <v>1</v>
      </c>
      <c r="E12" t="s">
        <v>3319</v>
      </c>
      <c r="F12" t="s">
        <v>3320</v>
      </c>
      <c r="G12" t="s">
        <v>3307</v>
      </c>
      <c r="I12" t="s">
        <v>1134</v>
      </c>
      <c r="N12" s="1" t="s">
        <v>3805</v>
      </c>
      <c r="O12" t="s">
        <v>156</v>
      </c>
      <c r="P12" t="s">
        <v>180</v>
      </c>
      <c r="Q12" t="s">
        <v>4</v>
      </c>
      <c r="S12">
        <f t="shared" si="0"/>
        <v>2</v>
      </c>
      <c r="T12" t="s">
        <v>3312</v>
      </c>
    </row>
    <row r="13" spans="1:20">
      <c r="B13" t="s">
        <v>2586</v>
      </c>
      <c r="C13" t="s">
        <v>1127</v>
      </c>
      <c r="D13">
        <v>1</v>
      </c>
      <c r="E13" t="s">
        <v>3319</v>
      </c>
      <c r="F13" t="s">
        <v>3320</v>
      </c>
      <c r="G13" t="s">
        <v>3289</v>
      </c>
      <c r="I13" t="s">
        <v>1135</v>
      </c>
      <c r="N13" s="1" t="s">
        <v>3805</v>
      </c>
      <c r="O13" t="s">
        <v>615</v>
      </c>
      <c r="P13" t="s">
        <v>178</v>
      </c>
      <c r="Q13" t="s">
        <v>4</v>
      </c>
      <c r="S13">
        <f t="shared" si="0"/>
        <v>1</v>
      </c>
      <c r="T13" t="s">
        <v>3313</v>
      </c>
    </row>
    <row r="14" spans="1:20">
      <c r="B14" t="s">
        <v>2587</v>
      </c>
      <c r="C14" t="s">
        <v>1128</v>
      </c>
      <c r="D14">
        <v>2</v>
      </c>
      <c r="E14" t="s">
        <v>3319</v>
      </c>
      <c r="F14" t="s">
        <v>3320</v>
      </c>
      <c r="G14" t="s">
        <v>3291</v>
      </c>
      <c r="I14" t="s">
        <v>1074</v>
      </c>
      <c r="N14" s="1" t="s">
        <v>3805</v>
      </c>
      <c r="O14" t="s">
        <v>162</v>
      </c>
      <c r="P14" t="s">
        <v>32</v>
      </c>
      <c r="Q14" t="s">
        <v>4</v>
      </c>
      <c r="S14">
        <f t="shared" si="0"/>
        <v>1</v>
      </c>
      <c r="T14" t="s">
        <v>3292</v>
      </c>
    </row>
    <row r="15" spans="1:20">
      <c r="B15" t="s">
        <v>2588</v>
      </c>
      <c r="C15" t="s">
        <v>1128</v>
      </c>
      <c r="D15">
        <v>2</v>
      </c>
      <c r="E15" t="s">
        <v>3321</v>
      </c>
      <c r="F15" t="s">
        <v>3320</v>
      </c>
      <c r="G15" t="s">
        <v>3307</v>
      </c>
      <c r="I15" t="s">
        <v>1075</v>
      </c>
      <c r="N15" s="1" t="s">
        <v>3805</v>
      </c>
      <c r="O15" t="s">
        <v>156</v>
      </c>
      <c r="P15" t="s">
        <v>18</v>
      </c>
      <c r="Q15" t="s">
        <v>4</v>
      </c>
      <c r="S15">
        <f t="shared" si="0"/>
        <v>1</v>
      </c>
      <c r="T15" t="s">
        <v>3300</v>
      </c>
    </row>
    <row r="16" spans="1:20">
      <c r="B16" t="s">
        <v>2589</v>
      </c>
      <c r="C16" t="s">
        <v>1128</v>
      </c>
      <c r="D16">
        <v>2</v>
      </c>
      <c r="E16" t="s">
        <v>3319</v>
      </c>
      <c r="F16" t="s">
        <v>3320</v>
      </c>
      <c r="G16" t="s">
        <v>3306</v>
      </c>
      <c r="I16" t="s">
        <v>1076</v>
      </c>
      <c r="N16" s="1" t="s">
        <v>3805</v>
      </c>
      <c r="O16" t="s">
        <v>164</v>
      </c>
      <c r="P16" t="s">
        <v>30</v>
      </c>
      <c r="Q16" t="s">
        <v>4</v>
      </c>
      <c r="S16">
        <f t="shared" si="0"/>
        <v>3</v>
      </c>
      <c r="T16" t="s">
        <v>3296</v>
      </c>
    </row>
    <row r="17" spans="1:18">
      <c r="B17" t="s">
        <v>2590</v>
      </c>
      <c r="C17" t="s">
        <v>1128</v>
      </c>
      <c r="D17">
        <v>2</v>
      </c>
      <c r="E17" t="s">
        <v>3319</v>
      </c>
      <c r="F17" t="s">
        <v>3320</v>
      </c>
      <c r="G17" t="s">
        <v>3307</v>
      </c>
      <c r="I17" t="s">
        <v>1136</v>
      </c>
      <c r="N17" s="1" t="s">
        <v>3805</v>
      </c>
      <c r="O17" t="s">
        <v>154</v>
      </c>
      <c r="P17" t="s">
        <v>46</v>
      </c>
      <c r="Q17" t="s">
        <v>4</v>
      </c>
    </row>
    <row r="18" spans="1:18">
      <c r="B18" t="s">
        <v>2591</v>
      </c>
      <c r="C18" t="s">
        <v>1128</v>
      </c>
      <c r="D18">
        <v>2</v>
      </c>
      <c r="E18" t="s">
        <v>3319</v>
      </c>
      <c r="F18" t="s">
        <v>3320</v>
      </c>
      <c r="G18" t="s">
        <v>3307</v>
      </c>
      <c r="I18" t="s">
        <v>1137</v>
      </c>
      <c r="N18" s="1" t="s">
        <v>3805</v>
      </c>
      <c r="O18" t="s">
        <v>162</v>
      </c>
      <c r="P18" t="s">
        <v>185</v>
      </c>
      <c r="Q18" t="s">
        <v>4</v>
      </c>
    </row>
    <row r="19" spans="1:18">
      <c r="B19" t="s">
        <v>2592</v>
      </c>
      <c r="C19" t="s">
        <v>1128</v>
      </c>
      <c r="D19">
        <v>2</v>
      </c>
      <c r="E19" t="s">
        <v>3319</v>
      </c>
      <c r="F19" t="s">
        <v>3320</v>
      </c>
      <c r="G19" t="s">
        <v>3306</v>
      </c>
      <c r="I19" t="s">
        <v>1077</v>
      </c>
      <c r="N19" s="1" t="s">
        <v>3805</v>
      </c>
      <c r="O19" t="s">
        <v>162</v>
      </c>
      <c r="P19" t="s">
        <v>30</v>
      </c>
      <c r="Q19" t="s">
        <v>4</v>
      </c>
    </row>
    <row r="20" spans="1:18">
      <c r="A20" s="9"/>
      <c r="B20" s="9" t="s">
        <v>2593</v>
      </c>
      <c r="C20" s="9" t="s">
        <v>1128</v>
      </c>
      <c r="D20" s="9">
        <v>2</v>
      </c>
      <c r="E20" s="9" t="s">
        <v>3319</v>
      </c>
      <c r="F20" s="9" t="s">
        <v>3320</v>
      </c>
      <c r="G20" s="9" t="s">
        <v>3291</v>
      </c>
      <c r="H20" s="9" t="s">
        <v>3296</v>
      </c>
      <c r="I20" s="9" t="s">
        <v>1078</v>
      </c>
      <c r="J20" s="9" t="s">
        <v>1079</v>
      </c>
      <c r="K20" s="9"/>
      <c r="L20" s="9"/>
      <c r="M20" s="9"/>
      <c r="N20" s="12" t="s">
        <v>3473</v>
      </c>
      <c r="O20" s="9" t="s">
        <v>156</v>
      </c>
      <c r="P20" s="9" t="s">
        <v>609</v>
      </c>
      <c r="Q20" s="9" t="s">
        <v>4</v>
      </c>
    </row>
    <row r="21" spans="1:18">
      <c r="A21" s="5"/>
      <c r="B21" s="5" t="s">
        <v>2594</v>
      </c>
      <c r="C21" s="5" t="s">
        <v>1128</v>
      </c>
      <c r="D21" s="5">
        <v>2</v>
      </c>
      <c r="E21" s="5" t="s">
        <v>3319</v>
      </c>
      <c r="F21" s="5" t="s">
        <v>3320</v>
      </c>
      <c r="G21" s="5" t="s">
        <v>3287</v>
      </c>
      <c r="H21" s="5"/>
      <c r="I21" s="5" t="s">
        <v>1080</v>
      </c>
      <c r="J21" s="5"/>
      <c r="K21" s="5"/>
      <c r="L21" s="5"/>
      <c r="M21" s="5"/>
      <c r="N21" s="23" t="s">
        <v>3473</v>
      </c>
      <c r="O21" s="5" t="s">
        <v>162</v>
      </c>
      <c r="P21" s="5" t="s">
        <v>31</v>
      </c>
      <c r="Q21" s="5" t="s">
        <v>4</v>
      </c>
      <c r="R21" s="80"/>
    </row>
    <row r="22" spans="1:18">
      <c r="A22" s="5"/>
      <c r="B22" s="5" t="s">
        <v>2595</v>
      </c>
      <c r="C22" s="5" t="s">
        <v>1128</v>
      </c>
      <c r="D22" s="5">
        <v>2</v>
      </c>
      <c r="E22" s="5" t="s">
        <v>3319</v>
      </c>
      <c r="F22" s="5" t="s">
        <v>3320</v>
      </c>
      <c r="G22" s="5" t="s">
        <v>3307</v>
      </c>
      <c r="H22" s="5"/>
      <c r="I22" s="5"/>
      <c r="J22" s="5"/>
      <c r="K22" s="5"/>
      <c r="L22" s="5"/>
      <c r="M22" s="5"/>
      <c r="N22" s="23" t="s">
        <v>3805</v>
      </c>
      <c r="O22" s="5" t="s">
        <v>161</v>
      </c>
      <c r="P22" s="5" t="s">
        <v>16</v>
      </c>
      <c r="Q22" s="5" t="s">
        <v>4</v>
      </c>
      <c r="R22" s="80"/>
    </row>
    <row r="23" spans="1:18">
      <c r="A23" s="5"/>
      <c r="B23" s="5" t="s">
        <v>2596</v>
      </c>
      <c r="C23" s="5" t="s">
        <v>1128</v>
      </c>
      <c r="D23" s="5">
        <v>2</v>
      </c>
      <c r="E23" s="5" t="s">
        <v>3319</v>
      </c>
      <c r="F23" s="5" t="s">
        <v>3320</v>
      </c>
      <c r="G23" s="5" t="s">
        <v>3291</v>
      </c>
      <c r="H23" s="5"/>
      <c r="I23" s="5" t="s">
        <v>1081</v>
      </c>
      <c r="J23" s="5" t="s">
        <v>1082</v>
      </c>
      <c r="K23" s="5"/>
      <c r="L23" s="5"/>
      <c r="M23" s="5"/>
      <c r="N23" s="23" t="s">
        <v>3810</v>
      </c>
      <c r="O23" s="5" t="s">
        <v>162</v>
      </c>
      <c r="P23" s="5" t="s">
        <v>38</v>
      </c>
      <c r="Q23" s="5" t="s">
        <v>4</v>
      </c>
    </row>
    <row r="24" spans="1:18">
      <c r="A24" s="8"/>
      <c r="B24" s="8" t="s">
        <v>2597</v>
      </c>
      <c r="C24" s="8" t="s">
        <v>1128</v>
      </c>
      <c r="D24" s="8">
        <v>2</v>
      </c>
      <c r="E24" s="8" t="s">
        <v>3319</v>
      </c>
      <c r="F24" s="8" t="s">
        <v>3320</v>
      </c>
      <c r="G24" s="8" t="s">
        <v>3289</v>
      </c>
      <c r="H24" s="8"/>
      <c r="I24" s="8" t="s">
        <v>933</v>
      </c>
      <c r="J24" s="8" t="s">
        <v>1083</v>
      </c>
      <c r="K24" s="8"/>
      <c r="L24" s="8"/>
      <c r="M24" s="8"/>
      <c r="N24" s="35" t="s">
        <v>3473</v>
      </c>
      <c r="O24" s="8" t="s">
        <v>161</v>
      </c>
      <c r="P24" s="8" t="s">
        <v>32</v>
      </c>
      <c r="Q24" s="8" t="s">
        <v>4</v>
      </c>
      <c r="R24" s="80"/>
    </row>
    <row r="25" spans="1:18">
      <c r="A25" s="9"/>
      <c r="B25" s="9" t="s">
        <v>2598</v>
      </c>
      <c r="C25" s="9" t="s">
        <v>1128</v>
      </c>
      <c r="D25" s="9">
        <v>2</v>
      </c>
      <c r="E25" s="9" t="s">
        <v>3319</v>
      </c>
      <c r="F25" s="9" t="s">
        <v>3320</v>
      </c>
      <c r="G25" s="9" t="s">
        <v>3306</v>
      </c>
      <c r="H25" s="9"/>
      <c r="I25" s="9" t="s">
        <v>1084</v>
      </c>
      <c r="J25" s="9"/>
      <c r="K25" s="9"/>
      <c r="L25" s="9"/>
      <c r="M25" s="9"/>
      <c r="N25" s="12" t="s">
        <v>3805</v>
      </c>
      <c r="O25" s="9" t="s">
        <v>154</v>
      </c>
      <c r="P25" s="9" t="s">
        <v>36</v>
      </c>
      <c r="Q25" s="9" t="s">
        <v>4</v>
      </c>
    </row>
    <row r="26" spans="1:18">
      <c r="B26" t="s">
        <v>2599</v>
      </c>
      <c r="C26" t="s">
        <v>1128</v>
      </c>
      <c r="D26">
        <v>2</v>
      </c>
      <c r="E26" t="s">
        <v>3319</v>
      </c>
      <c r="F26" t="s">
        <v>3320</v>
      </c>
      <c r="G26" t="s">
        <v>3307</v>
      </c>
      <c r="I26" t="s">
        <v>1085</v>
      </c>
      <c r="N26" s="1" t="s">
        <v>3805</v>
      </c>
      <c r="O26" t="s">
        <v>154</v>
      </c>
      <c r="P26" t="s">
        <v>26</v>
      </c>
      <c r="Q26" t="s">
        <v>4</v>
      </c>
    </row>
    <row r="27" spans="1:18">
      <c r="B27" t="s">
        <v>2600</v>
      </c>
      <c r="C27" t="s">
        <v>1128</v>
      </c>
      <c r="D27">
        <v>2</v>
      </c>
      <c r="E27" t="s">
        <v>3319</v>
      </c>
      <c r="F27" t="s">
        <v>3320</v>
      </c>
      <c r="G27" t="s">
        <v>3288</v>
      </c>
      <c r="H27" t="s">
        <v>3307</v>
      </c>
      <c r="I27" t="s">
        <v>1138</v>
      </c>
      <c r="N27" s="1" t="s">
        <v>3805</v>
      </c>
      <c r="O27" t="s">
        <v>157</v>
      </c>
      <c r="P27" t="s">
        <v>33</v>
      </c>
      <c r="Q27" t="s">
        <v>4</v>
      </c>
    </row>
    <row r="28" spans="1:18">
      <c r="A28" s="9"/>
      <c r="B28" s="9" t="s">
        <v>2601</v>
      </c>
      <c r="C28" s="9" t="s">
        <v>1128</v>
      </c>
      <c r="D28" s="9">
        <v>2</v>
      </c>
      <c r="E28" s="9" t="s">
        <v>3319</v>
      </c>
      <c r="F28" s="9" t="s">
        <v>3320</v>
      </c>
      <c r="G28" s="9" t="s">
        <v>3286</v>
      </c>
      <c r="H28" s="9"/>
      <c r="I28" s="9" t="s">
        <v>1086</v>
      </c>
      <c r="J28" s="9" t="s">
        <v>1087</v>
      </c>
      <c r="K28" s="9"/>
      <c r="L28" s="9"/>
      <c r="M28" s="9"/>
      <c r="N28" s="12" t="s">
        <v>3805</v>
      </c>
      <c r="O28" s="9" t="s">
        <v>162</v>
      </c>
      <c r="P28" s="9" t="s">
        <v>27</v>
      </c>
      <c r="Q28" s="9" t="s">
        <v>4</v>
      </c>
    </row>
    <row r="29" spans="1:18">
      <c r="B29" t="s">
        <v>2602</v>
      </c>
      <c r="C29" t="s">
        <v>1128</v>
      </c>
      <c r="D29">
        <v>2</v>
      </c>
      <c r="E29" t="s">
        <v>3319</v>
      </c>
      <c r="F29" t="s">
        <v>3320</v>
      </c>
      <c r="I29" t="s">
        <v>1088</v>
      </c>
      <c r="N29" s="1" t="s">
        <v>3805</v>
      </c>
      <c r="O29" t="s">
        <v>156</v>
      </c>
      <c r="P29" t="s">
        <v>17</v>
      </c>
      <c r="Q29" t="s">
        <v>4</v>
      </c>
    </row>
    <row r="30" spans="1:18">
      <c r="B30" t="s">
        <v>2603</v>
      </c>
      <c r="C30" t="s">
        <v>1128</v>
      </c>
      <c r="D30">
        <v>2</v>
      </c>
      <c r="E30" t="s">
        <v>3319</v>
      </c>
      <c r="F30" t="s">
        <v>3320</v>
      </c>
      <c r="G30" t="s">
        <v>3291</v>
      </c>
      <c r="I30" t="s">
        <v>1139</v>
      </c>
      <c r="N30" s="1" t="s">
        <v>3805</v>
      </c>
      <c r="O30" t="s">
        <v>154</v>
      </c>
      <c r="P30" t="s">
        <v>32</v>
      </c>
      <c r="Q30" t="s">
        <v>4</v>
      </c>
    </row>
    <row r="31" spans="1:18">
      <c r="B31" t="s">
        <v>2604</v>
      </c>
      <c r="C31" t="s">
        <v>1128</v>
      </c>
      <c r="D31">
        <v>2</v>
      </c>
      <c r="E31" t="s">
        <v>3319</v>
      </c>
      <c r="F31" t="s">
        <v>3320</v>
      </c>
      <c r="G31" t="s">
        <v>3307</v>
      </c>
      <c r="N31" s="1" t="s">
        <v>3805</v>
      </c>
      <c r="O31" t="s">
        <v>162</v>
      </c>
      <c r="P31" t="s">
        <v>49</v>
      </c>
      <c r="Q31" t="s">
        <v>4</v>
      </c>
    </row>
    <row r="32" spans="1:18">
      <c r="B32" t="s">
        <v>2605</v>
      </c>
      <c r="C32" t="s">
        <v>1128</v>
      </c>
      <c r="D32">
        <v>2</v>
      </c>
      <c r="E32" t="s">
        <v>3319</v>
      </c>
      <c r="F32" t="s">
        <v>3320</v>
      </c>
      <c r="G32" t="s">
        <v>3288</v>
      </c>
      <c r="H32" t="s">
        <v>3289</v>
      </c>
      <c r="I32" t="s">
        <v>1089</v>
      </c>
      <c r="J32" t="s">
        <v>1090</v>
      </c>
      <c r="N32" s="1"/>
      <c r="O32" t="s">
        <v>156</v>
      </c>
      <c r="P32" t="s">
        <v>33</v>
      </c>
      <c r="Q32" t="s">
        <v>4</v>
      </c>
    </row>
    <row r="33" spans="1:18">
      <c r="A33" s="9"/>
      <c r="B33" s="9" t="s">
        <v>2606</v>
      </c>
      <c r="C33" s="9" t="s">
        <v>1128</v>
      </c>
      <c r="D33" s="9">
        <v>2</v>
      </c>
      <c r="E33" s="9" t="s">
        <v>3319</v>
      </c>
      <c r="F33" s="9" t="s">
        <v>3320</v>
      </c>
      <c r="G33" s="9" t="s">
        <v>3299</v>
      </c>
      <c r="H33" s="9"/>
      <c r="I33" s="9" t="s">
        <v>1074</v>
      </c>
      <c r="J33" s="9" t="s">
        <v>1091</v>
      </c>
      <c r="K33" s="9" t="s">
        <v>1092</v>
      </c>
      <c r="L33" s="9"/>
      <c r="M33" s="9"/>
      <c r="N33" s="12" t="s">
        <v>3473</v>
      </c>
      <c r="O33" s="9" t="s">
        <v>156</v>
      </c>
      <c r="P33" s="9" t="s">
        <v>35</v>
      </c>
      <c r="Q33" s="9" t="s">
        <v>4</v>
      </c>
    </row>
    <row r="34" spans="1:18">
      <c r="B34" t="s">
        <v>2607</v>
      </c>
      <c r="C34" t="s">
        <v>1129</v>
      </c>
      <c r="D34">
        <v>3</v>
      </c>
      <c r="E34" t="s">
        <v>3319</v>
      </c>
      <c r="F34" t="s">
        <v>3320</v>
      </c>
      <c r="G34" t="s">
        <v>3306</v>
      </c>
      <c r="I34" t="s">
        <v>1093</v>
      </c>
      <c r="N34" s="1" t="s">
        <v>3473</v>
      </c>
      <c r="O34" t="s">
        <v>154</v>
      </c>
      <c r="P34" t="s">
        <v>30</v>
      </c>
      <c r="Q34" t="s">
        <v>4</v>
      </c>
    </row>
    <row r="35" spans="1:18">
      <c r="B35" t="s">
        <v>2608</v>
      </c>
      <c r="C35" t="s">
        <v>1129</v>
      </c>
      <c r="D35">
        <v>3</v>
      </c>
      <c r="E35" t="s">
        <v>3319</v>
      </c>
      <c r="F35" t="s">
        <v>3320</v>
      </c>
      <c r="G35" t="s">
        <v>3291</v>
      </c>
      <c r="I35" t="s">
        <v>1094</v>
      </c>
      <c r="N35" s="1" t="s">
        <v>3805</v>
      </c>
      <c r="O35" t="s">
        <v>154</v>
      </c>
      <c r="P35" t="s">
        <v>5</v>
      </c>
      <c r="Q35" t="s">
        <v>4</v>
      </c>
    </row>
    <row r="36" spans="1:18">
      <c r="B36" t="s">
        <v>2609</v>
      </c>
      <c r="C36" t="s">
        <v>1129</v>
      </c>
      <c r="D36">
        <v>3</v>
      </c>
      <c r="E36" t="s">
        <v>3319</v>
      </c>
      <c r="F36" t="s">
        <v>3320</v>
      </c>
      <c r="G36" t="s">
        <v>3298</v>
      </c>
      <c r="I36" t="s">
        <v>1140</v>
      </c>
      <c r="N36" s="1" t="s">
        <v>3805</v>
      </c>
      <c r="O36" t="s">
        <v>154</v>
      </c>
      <c r="P36" t="s">
        <v>31</v>
      </c>
      <c r="Q36" t="s">
        <v>4</v>
      </c>
    </row>
    <row r="37" spans="1:18">
      <c r="B37" t="s">
        <v>2610</v>
      </c>
      <c r="C37" t="s">
        <v>1129</v>
      </c>
      <c r="D37">
        <v>3</v>
      </c>
      <c r="E37" t="s">
        <v>3319</v>
      </c>
      <c r="F37" t="s">
        <v>3320</v>
      </c>
      <c r="G37" t="s">
        <v>3291</v>
      </c>
      <c r="I37" t="s">
        <v>1095</v>
      </c>
      <c r="N37" s="1" t="s">
        <v>3805</v>
      </c>
      <c r="O37" t="s">
        <v>154</v>
      </c>
      <c r="P37" t="s">
        <v>610</v>
      </c>
      <c r="Q37" t="s">
        <v>4</v>
      </c>
    </row>
    <row r="38" spans="1:18">
      <c r="A38" s="8"/>
      <c r="B38" s="8" t="s">
        <v>2611</v>
      </c>
      <c r="C38" s="8" t="s">
        <v>1129</v>
      </c>
      <c r="D38" s="8">
        <v>3</v>
      </c>
      <c r="E38" s="8" t="s">
        <v>3319</v>
      </c>
      <c r="F38" s="8" t="s">
        <v>3320</v>
      </c>
      <c r="G38" s="8" t="s">
        <v>3291</v>
      </c>
      <c r="H38" s="8"/>
      <c r="I38" s="8" t="s">
        <v>1096</v>
      </c>
      <c r="J38" s="8"/>
      <c r="K38" s="8"/>
      <c r="L38" s="8"/>
      <c r="M38" s="8"/>
      <c r="N38" s="35" t="s">
        <v>3805</v>
      </c>
      <c r="O38" s="8" t="s">
        <v>157</v>
      </c>
      <c r="P38" s="8" t="s">
        <v>32</v>
      </c>
      <c r="Q38" s="8" t="s">
        <v>4</v>
      </c>
      <c r="R38" s="80"/>
    </row>
    <row r="39" spans="1:18">
      <c r="A39" s="5"/>
      <c r="B39" s="5" t="s">
        <v>2612</v>
      </c>
      <c r="C39" s="5" t="s">
        <v>1129</v>
      </c>
      <c r="D39" s="5">
        <v>3</v>
      </c>
      <c r="E39" s="5" t="s">
        <v>3319</v>
      </c>
      <c r="F39" s="5" t="s">
        <v>3320</v>
      </c>
      <c r="G39" s="5" t="s">
        <v>3312</v>
      </c>
      <c r="H39" s="5"/>
      <c r="I39" s="5" t="s">
        <v>1097</v>
      </c>
      <c r="J39" s="5" t="s">
        <v>1098</v>
      </c>
      <c r="K39" s="5"/>
      <c r="L39" s="5"/>
      <c r="M39" s="5"/>
      <c r="N39" s="23" t="s">
        <v>3473</v>
      </c>
      <c r="O39" s="5" t="s">
        <v>154</v>
      </c>
      <c r="P39" s="5" t="s">
        <v>11</v>
      </c>
      <c r="Q39" s="5" t="s">
        <v>4</v>
      </c>
      <c r="R39" s="80"/>
    </row>
    <row r="40" spans="1:18">
      <c r="A40" s="5"/>
      <c r="B40" s="5" t="s">
        <v>2613</v>
      </c>
      <c r="C40" s="5" t="s">
        <v>1129</v>
      </c>
      <c r="D40" s="5">
        <v>3</v>
      </c>
      <c r="E40" s="5" t="s">
        <v>3319</v>
      </c>
      <c r="F40" s="5" t="s">
        <v>3320</v>
      </c>
      <c r="G40" s="5" t="s">
        <v>3289</v>
      </c>
      <c r="H40" s="5"/>
      <c r="I40" s="5" t="s">
        <v>13</v>
      </c>
      <c r="J40" s="5"/>
      <c r="K40" s="5"/>
      <c r="L40" s="5"/>
      <c r="M40" s="5"/>
      <c r="N40" s="23" t="s">
        <v>3805</v>
      </c>
      <c r="O40" s="5" t="s">
        <v>163</v>
      </c>
      <c r="P40" s="5" t="s">
        <v>186</v>
      </c>
      <c r="Q40" s="5" t="s">
        <v>4</v>
      </c>
    </row>
    <row r="41" spans="1:18">
      <c r="B41" t="s">
        <v>2614</v>
      </c>
      <c r="C41" t="s">
        <v>1129</v>
      </c>
      <c r="D41">
        <v>3</v>
      </c>
      <c r="E41" t="s">
        <v>3319</v>
      </c>
      <c r="F41" t="s">
        <v>3320</v>
      </c>
      <c r="G41" t="s">
        <v>3307</v>
      </c>
      <c r="I41" t="s">
        <v>1099</v>
      </c>
      <c r="N41" s="1" t="s">
        <v>3805</v>
      </c>
      <c r="O41" t="s">
        <v>163</v>
      </c>
      <c r="P41" t="s">
        <v>31</v>
      </c>
      <c r="Q41" t="s">
        <v>4</v>
      </c>
    </row>
    <row r="42" spans="1:18">
      <c r="A42" s="8"/>
      <c r="B42" s="8" t="s">
        <v>2615</v>
      </c>
      <c r="C42" s="8" t="s">
        <v>1129</v>
      </c>
      <c r="D42" s="8">
        <v>3</v>
      </c>
      <c r="E42" s="8" t="s">
        <v>3319</v>
      </c>
      <c r="F42" s="8" t="s">
        <v>3320</v>
      </c>
      <c r="G42" s="8" t="s">
        <v>3312</v>
      </c>
      <c r="H42" s="8"/>
      <c r="I42" s="8" t="s">
        <v>1100</v>
      </c>
      <c r="J42" s="8" t="s">
        <v>1101</v>
      </c>
      <c r="K42" s="8" t="s">
        <v>1102</v>
      </c>
      <c r="L42" s="8"/>
      <c r="M42" s="8"/>
      <c r="N42" s="35" t="s">
        <v>3473</v>
      </c>
      <c r="O42" s="8" t="s">
        <v>157</v>
      </c>
      <c r="P42" s="8" t="s">
        <v>53</v>
      </c>
      <c r="Q42" s="8" t="s">
        <v>4</v>
      </c>
    </row>
    <row r="43" spans="1:18">
      <c r="B43" t="s">
        <v>2616</v>
      </c>
      <c r="C43" t="s">
        <v>1129</v>
      </c>
      <c r="D43">
        <v>3</v>
      </c>
      <c r="E43" t="s">
        <v>3319</v>
      </c>
      <c r="F43" t="s">
        <v>3320</v>
      </c>
      <c r="G43" t="s">
        <v>3287</v>
      </c>
      <c r="I43" t="s">
        <v>1103</v>
      </c>
      <c r="N43" s="1" t="s">
        <v>3805</v>
      </c>
      <c r="O43" t="s">
        <v>163</v>
      </c>
      <c r="P43" t="s">
        <v>8</v>
      </c>
      <c r="Q43" t="s">
        <v>4</v>
      </c>
    </row>
    <row r="44" spans="1:18">
      <c r="A44" s="9"/>
      <c r="B44" s="9" t="s">
        <v>2617</v>
      </c>
      <c r="C44" s="9" t="s">
        <v>1129</v>
      </c>
      <c r="D44" s="9">
        <v>3</v>
      </c>
      <c r="E44" s="9" t="s">
        <v>3319</v>
      </c>
      <c r="F44" s="9" t="s">
        <v>3320</v>
      </c>
      <c r="G44" s="9"/>
      <c r="H44" s="9"/>
      <c r="I44" s="9" t="s">
        <v>3812</v>
      </c>
      <c r="J44" s="9"/>
      <c r="K44" s="9"/>
      <c r="L44" s="9"/>
      <c r="M44" s="9" t="s">
        <v>153</v>
      </c>
      <c r="N44" s="12" t="s">
        <v>3805</v>
      </c>
      <c r="O44" s="9" t="s">
        <v>154</v>
      </c>
      <c r="P44" s="9"/>
      <c r="Q44" s="9"/>
    </row>
    <row r="45" spans="1:18">
      <c r="A45" s="9"/>
      <c r="B45" s="9" t="s">
        <v>2618</v>
      </c>
      <c r="C45" s="9" t="s">
        <v>3388</v>
      </c>
      <c r="D45" s="9"/>
      <c r="E45" s="9" t="s">
        <v>3319</v>
      </c>
      <c r="F45" s="9" t="s">
        <v>4273</v>
      </c>
      <c r="G45" s="9"/>
      <c r="H45" s="9"/>
      <c r="I45" s="9"/>
      <c r="J45" s="9"/>
      <c r="K45" s="9"/>
      <c r="L45" s="9"/>
      <c r="M45" s="9" t="s">
        <v>153</v>
      </c>
      <c r="N45" s="12" t="s">
        <v>3805</v>
      </c>
      <c r="O45" s="9" t="s">
        <v>616</v>
      </c>
      <c r="P45" s="9" t="s">
        <v>44</v>
      </c>
      <c r="Q45" s="9" t="s">
        <v>4</v>
      </c>
    </row>
    <row r="46" spans="1:18">
      <c r="B46" t="s">
        <v>2619</v>
      </c>
      <c r="C46" t="s">
        <v>1130</v>
      </c>
      <c r="D46">
        <v>3</v>
      </c>
      <c r="E46" t="s">
        <v>3319</v>
      </c>
      <c r="F46" t="s">
        <v>3320</v>
      </c>
      <c r="G46" t="s">
        <v>3289</v>
      </c>
      <c r="I46" t="s">
        <v>1104</v>
      </c>
      <c r="J46" t="s">
        <v>1105</v>
      </c>
      <c r="N46" s="1" t="s">
        <v>3805</v>
      </c>
      <c r="O46" t="s">
        <v>154</v>
      </c>
      <c r="P46" t="s">
        <v>611</v>
      </c>
      <c r="Q46" t="s">
        <v>4</v>
      </c>
    </row>
    <row r="47" spans="1:18">
      <c r="A47" s="5"/>
      <c r="B47" s="5" t="s">
        <v>2620</v>
      </c>
      <c r="C47" s="5" t="s">
        <v>1129</v>
      </c>
      <c r="D47" s="5">
        <v>3</v>
      </c>
      <c r="E47" s="5" t="s">
        <v>3319</v>
      </c>
      <c r="F47" s="5" t="s">
        <v>3320</v>
      </c>
      <c r="G47" s="5" t="s">
        <v>3307</v>
      </c>
      <c r="H47" s="5"/>
      <c r="I47" s="5" t="s">
        <v>51</v>
      </c>
      <c r="J47" s="5" t="s">
        <v>1144</v>
      </c>
      <c r="K47" s="5"/>
      <c r="L47" s="5"/>
      <c r="M47" s="5"/>
      <c r="N47" s="23" t="s">
        <v>3805</v>
      </c>
      <c r="O47" s="5" t="s">
        <v>164</v>
      </c>
      <c r="P47" s="5" t="s">
        <v>16</v>
      </c>
      <c r="Q47" s="5" t="s">
        <v>4</v>
      </c>
    </row>
    <row r="48" spans="1:18">
      <c r="B48" t="s">
        <v>2621</v>
      </c>
      <c r="C48" t="s">
        <v>1130</v>
      </c>
      <c r="D48">
        <v>3</v>
      </c>
      <c r="E48" t="s">
        <v>3319</v>
      </c>
      <c r="F48" t="s">
        <v>3320</v>
      </c>
      <c r="G48" t="s">
        <v>3287</v>
      </c>
      <c r="I48" t="s">
        <v>1106</v>
      </c>
      <c r="N48" s="1" t="s">
        <v>3805</v>
      </c>
      <c r="O48" t="s">
        <v>154</v>
      </c>
      <c r="P48" t="s">
        <v>178</v>
      </c>
      <c r="Q48" t="s">
        <v>4</v>
      </c>
    </row>
    <row r="49" spans="1:18">
      <c r="B49" t="s">
        <v>2622</v>
      </c>
      <c r="C49" t="s">
        <v>1129</v>
      </c>
      <c r="D49">
        <v>3</v>
      </c>
      <c r="E49" t="s">
        <v>3319</v>
      </c>
      <c r="F49" t="s">
        <v>3320</v>
      </c>
      <c r="G49" t="s">
        <v>3291</v>
      </c>
      <c r="N49" s="1" t="s">
        <v>3805</v>
      </c>
      <c r="O49" t="s">
        <v>165</v>
      </c>
      <c r="P49" t="s">
        <v>50</v>
      </c>
      <c r="Q49" t="s">
        <v>4</v>
      </c>
    </row>
    <row r="50" spans="1:18">
      <c r="B50" t="s">
        <v>2623</v>
      </c>
      <c r="C50" t="s">
        <v>1129</v>
      </c>
      <c r="D50">
        <v>3</v>
      </c>
      <c r="E50" t="s">
        <v>3319</v>
      </c>
      <c r="F50" t="s">
        <v>3320</v>
      </c>
      <c r="G50" t="s">
        <v>3289</v>
      </c>
      <c r="I50" t="s">
        <v>1141</v>
      </c>
      <c r="N50" s="1" t="s">
        <v>3805</v>
      </c>
      <c r="O50" t="s">
        <v>164</v>
      </c>
      <c r="P50" t="s">
        <v>39</v>
      </c>
      <c r="Q50" t="s">
        <v>4</v>
      </c>
    </row>
    <row r="51" spans="1:18">
      <c r="A51" s="8"/>
      <c r="B51" s="8" t="s">
        <v>2624</v>
      </c>
      <c r="C51" s="8" t="s">
        <v>1131</v>
      </c>
      <c r="D51" s="8">
        <v>4</v>
      </c>
      <c r="E51" s="8" t="s">
        <v>3319</v>
      </c>
      <c r="F51" s="8" t="s">
        <v>3320</v>
      </c>
      <c r="G51" s="8" t="s">
        <v>3289</v>
      </c>
      <c r="H51" s="8"/>
      <c r="I51" s="8" t="s">
        <v>1107</v>
      </c>
      <c r="J51" s="8" t="s">
        <v>1145</v>
      </c>
      <c r="K51" s="8"/>
      <c r="L51" s="8"/>
      <c r="M51" s="8"/>
      <c r="N51" s="35" t="s">
        <v>3805</v>
      </c>
      <c r="O51" s="8" t="s">
        <v>163</v>
      </c>
      <c r="P51" s="8" t="s">
        <v>49</v>
      </c>
      <c r="Q51" s="8" t="s">
        <v>4</v>
      </c>
      <c r="R51" s="80"/>
    </row>
    <row r="52" spans="1:18">
      <c r="A52" s="9"/>
      <c r="B52" s="9" t="s">
        <v>2625</v>
      </c>
      <c r="C52" s="9" t="s">
        <v>1132</v>
      </c>
      <c r="D52" s="9">
        <v>4</v>
      </c>
      <c r="E52" s="9" t="s">
        <v>3319</v>
      </c>
      <c r="F52" s="9" t="s">
        <v>3320</v>
      </c>
      <c r="G52" s="9" t="s">
        <v>3307</v>
      </c>
      <c r="H52" s="9"/>
      <c r="I52" s="9" t="s">
        <v>1108</v>
      </c>
      <c r="J52" s="9"/>
      <c r="K52" s="9"/>
      <c r="L52" s="9"/>
      <c r="M52" s="9"/>
      <c r="N52" s="1" t="s">
        <v>3473</v>
      </c>
      <c r="O52" s="9" t="s">
        <v>164</v>
      </c>
      <c r="P52" s="9" t="s">
        <v>173</v>
      </c>
      <c r="Q52" s="9" t="s">
        <v>4</v>
      </c>
    </row>
    <row r="53" spans="1:18">
      <c r="A53" s="9"/>
      <c r="B53" s="9" t="s">
        <v>2626</v>
      </c>
      <c r="C53" s="9" t="s">
        <v>1132</v>
      </c>
      <c r="D53" s="9">
        <v>4</v>
      </c>
      <c r="E53" s="9" t="s">
        <v>3319</v>
      </c>
      <c r="F53" s="9" t="s">
        <v>3320</v>
      </c>
      <c r="G53" s="9" t="s">
        <v>3311</v>
      </c>
      <c r="H53" s="9" t="s">
        <v>3296</v>
      </c>
      <c r="I53" s="9" t="s">
        <v>1109</v>
      </c>
      <c r="J53" s="9"/>
      <c r="K53" s="9"/>
      <c r="L53" s="9"/>
      <c r="M53" s="9"/>
      <c r="N53" s="12" t="s">
        <v>3805</v>
      </c>
      <c r="O53" s="9" t="s">
        <v>1124</v>
      </c>
      <c r="P53" s="9" t="s">
        <v>37</v>
      </c>
      <c r="Q53" s="9" t="s">
        <v>4</v>
      </c>
    </row>
    <row r="54" spans="1:18">
      <c r="A54" s="5"/>
      <c r="B54" s="5" t="s">
        <v>2627</v>
      </c>
      <c r="C54" s="5" t="s">
        <v>1132</v>
      </c>
      <c r="D54" s="5">
        <v>4</v>
      </c>
      <c r="E54" s="5" t="s">
        <v>3319</v>
      </c>
      <c r="F54" s="5" t="s">
        <v>3320</v>
      </c>
      <c r="G54" s="5" t="s">
        <v>3299</v>
      </c>
      <c r="H54" s="5"/>
      <c r="I54" s="5" t="s">
        <v>1110</v>
      </c>
      <c r="J54" s="5" t="s">
        <v>137</v>
      </c>
      <c r="K54" s="5"/>
      <c r="L54" s="5"/>
      <c r="M54" s="5"/>
      <c r="N54" s="23" t="s">
        <v>3473</v>
      </c>
      <c r="O54" s="5" t="s">
        <v>163</v>
      </c>
      <c r="P54" s="5" t="s">
        <v>26</v>
      </c>
      <c r="Q54" s="5" t="s">
        <v>4</v>
      </c>
      <c r="R54" s="80"/>
    </row>
    <row r="55" spans="1:18">
      <c r="B55" t="s">
        <v>2628</v>
      </c>
      <c r="C55" t="s">
        <v>1131</v>
      </c>
      <c r="D55">
        <v>4</v>
      </c>
      <c r="E55" t="s">
        <v>3319</v>
      </c>
      <c r="F55" t="s">
        <v>3320</v>
      </c>
      <c r="G55" t="s">
        <v>3313</v>
      </c>
      <c r="I55" t="s">
        <v>1111</v>
      </c>
      <c r="N55" s="1" t="s">
        <v>3473</v>
      </c>
      <c r="O55" t="s">
        <v>154</v>
      </c>
      <c r="P55" t="s">
        <v>174</v>
      </c>
      <c r="Q55" t="s">
        <v>4</v>
      </c>
    </row>
    <row r="56" spans="1:18">
      <c r="B56" t="s">
        <v>2629</v>
      </c>
      <c r="C56" t="s">
        <v>1132</v>
      </c>
      <c r="D56">
        <v>4</v>
      </c>
      <c r="E56" t="s">
        <v>3319</v>
      </c>
      <c r="F56" t="s">
        <v>3320</v>
      </c>
      <c r="G56" t="s">
        <v>3307</v>
      </c>
      <c r="I56" t="s">
        <v>1112</v>
      </c>
      <c r="N56" s="1" t="s">
        <v>3805</v>
      </c>
      <c r="O56" t="s">
        <v>1125</v>
      </c>
      <c r="P56" t="s">
        <v>34</v>
      </c>
      <c r="Q56" t="s">
        <v>4</v>
      </c>
    </row>
    <row r="57" spans="1:18">
      <c r="A57" s="5"/>
      <c r="B57" s="5" t="s">
        <v>2630</v>
      </c>
      <c r="C57" s="5" t="s">
        <v>1132</v>
      </c>
      <c r="D57" s="5">
        <v>4</v>
      </c>
      <c r="E57" s="5" t="s">
        <v>3319</v>
      </c>
      <c r="F57" s="5" t="s">
        <v>3320</v>
      </c>
      <c r="G57" s="5" t="s">
        <v>3306</v>
      </c>
      <c r="H57" s="5"/>
      <c r="I57" s="5" t="s">
        <v>1113</v>
      </c>
      <c r="J57" s="5"/>
      <c r="K57" s="5"/>
      <c r="L57" s="5"/>
      <c r="M57" s="5"/>
      <c r="N57" s="23" t="s">
        <v>3473</v>
      </c>
      <c r="O57" s="5" t="s">
        <v>170</v>
      </c>
      <c r="P57" s="5" t="s">
        <v>30</v>
      </c>
      <c r="Q57" s="5" t="s">
        <v>4</v>
      </c>
      <c r="R57" s="80"/>
    </row>
    <row r="58" spans="1:18">
      <c r="A58" s="9"/>
      <c r="B58" s="9" t="s">
        <v>2631</v>
      </c>
      <c r="C58" s="9" t="s">
        <v>1132</v>
      </c>
      <c r="D58" s="9">
        <v>4</v>
      </c>
      <c r="E58" s="9" t="s">
        <v>3319</v>
      </c>
      <c r="F58" s="9" t="s">
        <v>3320</v>
      </c>
      <c r="G58" s="9" t="s">
        <v>3291</v>
      </c>
      <c r="H58" s="9" t="s">
        <v>3296</v>
      </c>
      <c r="I58" s="9" t="s">
        <v>1114</v>
      </c>
      <c r="J58" s="9"/>
      <c r="K58" s="9"/>
      <c r="L58" s="9"/>
      <c r="M58" s="9"/>
      <c r="N58" s="12" t="s">
        <v>3473</v>
      </c>
      <c r="O58" s="9" t="s">
        <v>154</v>
      </c>
      <c r="P58" s="9" t="s">
        <v>612</v>
      </c>
      <c r="Q58" s="9" t="s">
        <v>4</v>
      </c>
    </row>
    <row r="59" spans="1:18">
      <c r="B59" t="s">
        <v>2632</v>
      </c>
      <c r="C59" t="s">
        <v>1132</v>
      </c>
      <c r="D59">
        <v>4</v>
      </c>
      <c r="E59" t="s">
        <v>3319</v>
      </c>
      <c r="F59" t="s">
        <v>3320</v>
      </c>
      <c r="G59" t="s">
        <v>3306</v>
      </c>
      <c r="I59" t="s">
        <v>1110</v>
      </c>
      <c r="J59" t="s">
        <v>1115</v>
      </c>
      <c r="N59" s="1" t="s">
        <v>3473</v>
      </c>
      <c r="O59" t="s">
        <v>154</v>
      </c>
      <c r="P59" t="s">
        <v>30</v>
      </c>
      <c r="Q59" t="s">
        <v>4</v>
      </c>
    </row>
    <row r="60" spans="1:18">
      <c r="A60" s="5"/>
      <c r="B60" s="5" t="s">
        <v>2633</v>
      </c>
      <c r="C60" s="5" t="s">
        <v>1132</v>
      </c>
      <c r="D60" s="5">
        <v>4</v>
      </c>
      <c r="E60" s="5" t="s">
        <v>3319</v>
      </c>
      <c r="F60" s="5" t="s">
        <v>3320</v>
      </c>
      <c r="G60" s="5" t="s">
        <v>3307</v>
      </c>
      <c r="H60" s="5"/>
      <c r="I60" s="5" t="s">
        <v>42</v>
      </c>
      <c r="J60" s="5"/>
      <c r="K60" s="5"/>
      <c r="L60" s="5"/>
      <c r="M60" s="5"/>
      <c r="N60" s="23" t="s">
        <v>3805</v>
      </c>
      <c r="O60" s="5" t="s">
        <v>165</v>
      </c>
      <c r="P60" s="5" t="s">
        <v>5</v>
      </c>
      <c r="Q60" s="5" t="s">
        <v>4</v>
      </c>
    </row>
    <row r="61" spans="1:18">
      <c r="B61" t="s">
        <v>2634</v>
      </c>
      <c r="C61" t="s">
        <v>1131</v>
      </c>
      <c r="D61">
        <v>4</v>
      </c>
      <c r="E61" t="s">
        <v>3319</v>
      </c>
      <c r="F61" t="s">
        <v>3320</v>
      </c>
      <c r="G61" t="s">
        <v>3289</v>
      </c>
      <c r="I61" t="s">
        <v>1142</v>
      </c>
      <c r="N61" s="1" t="s">
        <v>3473</v>
      </c>
      <c r="O61" t="s">
        <v>161</v>
      </c>
      <c r="P61" t="s">
        <v>14</v>
      </c>
      <c r="Q61" t="s">
        <v>4</v>
      </c>
    </row>
    <row r="62" spans="1:18">
      <c r="B62" t="s">
        <v>2635</v>
      </c>
      <c r="C62" t="s">
        <v>1132</v>
      </c>
      <c r="D62">
        <v>4</v>
      </c>
      <c r="E62" t="s">
        <v>3319</v>
      </c>
      <c r="F62" t="s">
        <v>3320</v>
      </c>
      <c r="G62" t="s">
        <v>3292</v>
      </c>
      <c r="I62" t="s">
        <v>62</v>
      </c>
      <c r="J62" t="s">
        <v>1146</v>
      </c>
      <c r="N62" s="1" t="s">
        <v>3805</v>
      </c>
      <c r="O62" t="s">
        <v>156</v>
      </c>
      <c r="P62" t="s">
        <v>180</v>
      </c>
      <c r="Q62" t="s">
        <v>4</v>
      </c>
    </row>
    <row r="63" spans="1:18">
      <c r="A63" s="9"/>
      <c r="B63" s="9" t="s">
        <v>2636</v>
      </c>
      <c r="C63" s="9" t="s">
        <v>1133</v>
      </c>
      <c r="D63" s="9">
        <v>5</v>
      </c>
      <c r="E63" s="9" t="s">
        <v>3319</v>
      </c>
      <c r="F63" s="9" t="s">
        <v>3320</v>
      </c>
      <c r="G63" s="9" t="s">
        <v>3307</v>
      </c>
      <c r="H63" s="9"/>
      <c r="I63" s="9" t="s">
        <v>1116</v>
      </c>
      <c r="J63" s="9" t="s">
        <v>1117</v>
      </c>
      <c r="K63" s="9"/>
      <c r="L63" s="9"/>
      <c r="M63" s="9" t="s">
        <v>1123</v>
      </c>
      <c r="N63" s="12" t="s">
        <v>3473</v>
      </c>
      <c r="O63" s="9" t="s">
        <v>170</v>
      </c>
      <c r="P63" s="9"/>
      <c r="Q63" s="9"/>
    </row>
    <row r="64" spans="1:18">
      <c r="A64" s="9"/>
      <c r="B64" s="9" t="s">
        <v>2637</v>
      </c>
      <c r="C64" s="9"/>
      <c r="D64" s="9"/>
      <c r="E64" s="9" t="s">
        <v>3319</v>
      </c>
      <c r="F64" s="9" t="s">
        <v>3326</v>
      </c>
      <c r="G64" s="9" t="s">
        <v>3300</v>
      </c>
      <c r="H64" s="9"/>
      <c r="I64" s="9" t="s">
        <v>1118</v>
      </c>
      <c r="J64" s="9" t="s">
        <v>1119</v>
      </c>
      <c r="K64" s="9" t="s">
        <v>1120</v>
      </c>
      <c r="L64" s="9"/>
      <c r="M64" s="9" t="s">
        <v>1123</v>
      </c>
      <c r="N64" s="12" t="s">
        <v>3473</v>
      </c>
      <c r="O64" s="9" t="s">
        <v>1126</v>
      </c>
      <c r="P64" s="9" t="s">
        <v>39</v>
      </c>
      <c r="Q64" s="9" t="s">
        <v>4</v>
      </c>
    </row>
    <row r="65" spans="14:14">
      <c r="N65" s="1" t="s">
        <v>3805</v>
      </c>
    </row>
    <row r="66" spans="14:14">
      <c r="N66" s="1" t="s">
        <v>3805</v>
      </c>
    </row>
    <row r="67" spans="14:14">
      <c r="N67" s="1" t="s">
        <v>3805</v>
      </c>
    </row>
    <row r="68" spans="14:14">
      <c r="N68" s="1" t="s">
        <v>3805</v>
      </c>
    </row>
    <row r="69" spans="14:14">
      <c r="N69" s="1" t="s">
        <v>3805</v>
      </c>
    </row>
    <row r="70" spans="14:14">
      <c r="N70" s="1" t="s">
        <v>3805</v>
      </c>
    </row>
    <row r="71" spans="14:14">
      <c r="N71" s="1" t="s">
        <v>3805</v>
      </c>
    </row>
    <row r="72" spans="14:14">
      <c r="N72" s="1" t="s">
        <v>3805</v>
      </c>
    </row>
    <row r="73" spans="14:14">
      <c r="N73" s="1" t="s">
        <v>3805</v>
      </c>
    </row>
    <row r="74" spans="14:14">
      <c r="N74" s="1" t="s">
        <v>3805</v>
      </c>
    </row>
    <row r="75" spans="14:14">
      <c r="N75" s="1" t="s">
        <v>3805</v>
      </c>
    </row>
    <row r="76" spans="14:14">
      <c r="N76" s="1" t="s">
        <v>3805</v>
      </c>
    </row>
    <row r="77" spans="14:14">
      <c r="N77" s="1" t="s">
        <v>3805</v>
      </c>
    </row>
    <row r="78" spans="14:14">
      <c r="N78" s="1" t="s">
        <v>3805</v>
      </c>
    </row>
    <row r="79" spans="14:14">
      <c r="N79" s="1" t="s">
        <v>3805</v>
      </c>
    </row>
    <row r="80" spans="14:14">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sheetData>
  <autoFilter ref="A1:Q64"/>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87"/>
  <sheetViews>
    <sheetView topLeftCell="A49" workbookViewId="0">
      <selection activeCell="I14" sqref="I14"/>
    </sheetView>
  </sheetViews>
  <sheetFormatPr defaultRowHeight="18.75"/>
  <sheetData>
    <row r="1" spans="1:17">
      <c r="B1" t="s">
        <v>3474</v>
      </c>
      <c r="C1" t="s">
        <v>3475</v>
      </c>
      <c r="D1" t="s">
        <v>3489</v>
      </c>
      <c r="E1" t="s">
        <v>3477</v>
      </c>
      <c r="F1" t="s">
        <v>3479</v>
      </c>
      <c r="G1" t="s">
        <v>3481</v>
      </c>
      <c r="H1" t="s">
        <v>3482</v>
      </c>
      <c r="I1" t="s">
        <v>3483</v>
      </c>
      <c r="N1" s="1" t="s">
        <v>3805</v>
      </c>
      <c r="O1" t="s">
        <v>3484</v>
      </c>
      <c r="P1" t="s">
        <v>3486</v>
      </c>
    </row>
    <row r="2" spans="1:17">
      <c r="A2" s="1"/>
      <c r="B2" s="1" t="s">
        <v>2638</v>
      </c>
      <c r="C2" s="1" t="s">
        <v>1127</v>
      </c>
      <c r="D2" s="1"/>
      <c r="E2" s="1" t="s">
        <v>3319</v>
      </c>
      <c r="F2" s="1" t="s">
        <v>3320</v>
      </c>
      <c r="G2" s="1" t="s">
        <v>3291</v>
      </c>
      <c r="H2" s="1"/>
      <c r="I2" s="1" t="s">
        <v>1147</v>
      </c>
      <c r="J2" s="1" t="s">
        <v>1207</v>
      </c>
      <c r="K2" s="1"/>
      <c r="L2" s="1"/>
      <c r="M2" s="1"/>
      <c r="N2" s="1" t="s">
        <v>3805</v>
      </c>
      <c r="O2" s="1" t="s">
        <v>156</v>
      </c>
      <c r="P2" s="2" t="s">
        <v>53</v>
      </c>
      <c r="Q2" s="1" t="s">
        <v>7</v>
      </c>
    </row>
    <row r="3" spans="1:17">
      <c r="B3" t="s">
        <v>2639</v>
      </c>
      <c r="C3" t="s">
        <v>1127</v>
      </c>
      <c r="E3" t="s">
        <v>3319</v>
      </c>
      <c r="F3" t="s">
        <v>3320</v>
      </c>
      <c r="G3" t="s">
        <v>3312</v>
      </c>
      <c r="I3" t="s">
        <v>1148</v>
      </c>
      <c r="J3" t="s">
        <v>1149</v>
      </c>
      <c r="K3" t="s">
        <v>1150</v>
      </c>
      <c r="N3" s="1" t="s">
        <v>3805</v>
      </c>
      <c r="O3" t="s">
        <v>156</v>
      </c>
      <c r="P3" t="s">
        <v>38</v>
      </c>
      <c r="Q3" t="s">
        <v>7</v>
      </c>
    </row>
    <row r="4" spans="1:17">
      <c r="A4" s="9"/>
      <c r="B4" s="9" t="s">
        <v>2640</v>
      </c>
      <c r="C4" s="9" t="s">
        <v>1127</v>
      </c>
      <c r="D4" s="9"/>
      <c r="E4" s="9" t="s">
        <v>3319</v>
      </c>
      <c r="F4" s="9" t="s">
        <v>3320</v>
      </c>
      <c r="G4" s="9" t="s">
        <v>3287</v>
      </c>
      <c r="H4" s="9"/>
      <c r="I4" s="9" t="s">
        <v>1208</v>
      </c>
      <c r="J4" s="9"/>
      <c r="K4" s="9"/>
      <c r="L4" s="9"/>
      <c r="M4" s="9"/>
      <c r="N4" s="12"/>
      <c r="O4" s="9" t="s">
        <v>156</v>
      </c>
      <c r="P4" s="9" t="s">
        <v>15</v>
      </c>
      <c r="Q4" s="9" t="s">
        <v>7</v>
      </c>
    </row>
    <row r="5" spans="1:17">
      <c r="B5" t="s">
        <v>2641</v>
      </c>
      <c r="C5" t="s">
        <v>1127</v>
      </c>
      <c r="E5" t="s">
        <v>3319</v>
      </c>
      <c r="F5" t="s">
        <v>3320</v>
      </c>
      <c r="G5" t="s">
        <v>3291</v>
      </c>
      <c r="I5" t="s">
        <v>1151</v>
      </c>
      <c r="J5" t="s">
        <v>1152</v>
      </c>
      <c r="N5" s="1"/>
      <c r="O5" t="s">
        <v>162</v>
      </c>
      <c r="P5" t="s">
        <v>14</v>
      </c>
      <c r="Q5" t="s">
        <v>7</v>
      </c>
    </row>
    <row r="6" spans="1:17">
      <c r="B6" t="s">
        <v>2642</v>
      </c>
      <c r="C6" t="s">
        <v>1127</v>
      </c>
      <c r="E6" t="s">
        <v>3319</v>
      </c>
      <c r="F6" t="s">
        <v>3320</v>
      </c>
      <c r="G6" t="s">
        <v>3297</v>
      </c>
      <c r="I6" t="s">
        <v>1153</v>
      </c>
      <c r="N6" s="1" t="s">
        <v>3805</v>
      </c>
      <c r="O6" t="s">
        <v>157</v>
      </c>
      <c r="P6" t="s">
        <v>17</v>
      </c>
      <c r="Q6" t="s">
        <v>7</v>
      </c>
    </row>
    <row r="7" spans="1:17">
      <c r="B7" t="s">
        <v>2643</v>
      </c>
      <c r="C7" t="s">
        <v>1127</v>
      </c>
      <c r="E7" t="s">
        <v>3319</v>
      </c>
      <c r="F7" t="s">
        <v>3320</v>
      </c>
      <c r="G7" t="s">
        <v>3289</v>
      </c>
      <c r="I7" t="s">
        <v>1209</v>
      </c>
      <c r="N7" s="1"/>
      <c r="O7" t="s">
        <v>158</v>
      </c>
      <c r="P7" t="s">
        <v>53</v>
      </c>
      <c r="Q7" t="s">
        <v>7</v>
      </c>
    </row>
    <row r="8" spans="1:17">
      <c r="B8" t="s">
        <v>2644</v>
      </c>
      <c r="C8" t="s">
        <v>1128</v>
      </c>
      <c r="E8" t="s">
        <v>3321</v>
      </c>
      <c r="F8" t="s">
        <v>3320</v>
      </c>
      <c r="G8" t="s">
        <v>3287</v>
      </c>
      <c r="I8" t="s">
        <v>1205</v>
      </c>
      <c r="J8" t="s">
        <v>1154</v>
      </c>
      <c r="N8" s="1" t="s">
        <v>3805</v>
      </c>
      <c r="O8" t="s">
        <v>157</v>
      </c>
      <c r="P8" t="s">
        <v>15</v>
      </c>
      <c r="Q8" t="s">
        <v>7</v>
      </c>
    </row>
    <row r="9" spans="1:17">
      <c r="B9" t="s">
        <v>2645</v>
      </c>
      <c r="C9" t="s">
        <v>1128</v>
      </c>
      <c r="E9" t="s">
        <v>3319</v>
      </c>
      <c r="F9" t="s">
        <v>3320</v>
      </c>
      <c r="G9" t="s">
        <v>3306</v>
      </c>
      <c r="I9" t="s">
        <v>1155</v>
      </c>
      <c r="N9" s="1" t="s">
        <v>3805</v>
      </c>
      <c r="O9" t="s">
        <v>618</v>
      </c>
      <c r="P9" t="s">
        <v>30</v>
      </c>
      <c r="Q9" t="s">
        <v>7</v>
      </c>
    </row>
    <row r="10" spans="1:17">
      <c r="B10" t="s">
        <v>2646</v>
      </c>
      <c r="C10" t="s">
        <v>1128</v>
      </c>
      <c r="E10" t="s">
        <v>3319</v>
      </c>
      <c r="F10" t="s">
        <v>3320</v>
      </c>
      <c r="G10" t="s">
        <v>3289</v>
      </c>
      <c r="I10" t="s">
        <v>1156</v>
      </c>
      <c r="N10" s="1" t="s">
        <v>3805</v>
      </c>
      <c r="O10" t="s">
        <v>156</v>
      </c>
      <c r="P10" t="s">
        <v>45</v>
      </c>
      <c r="Q10" t="s">
        <v>7</v>
      </c>
    </row>
    <row r="11" spans="1:17">
      <c r="B11" t="s">
        <v>2647</v>
      </c>
      <c r="C11" t="s">
        <v>1128</v>
      </c>
      <c r="E11" t="s">
        <v>3319</v>
      </c>
      <c r="F11" t="s">
        <v>3320</v>
      </c>
      <c r="G11" t="s">
        <v>3307</v>
      </c>
      <c r="H11" t="s">
        <v>3296</v>
      </c>
      <c r="I11" t="s">
        <v>1157</v>
      </c>
      <c r="N11" s="1" t="s">
        <v>3805</v>
      </c>
      <c r="O11" t="s">
        <v>156</v>
      </c>
      <c r="P11" t="s">
        <v>28</v>
      </c>
      <c r="Q11" t="s">
        <v>7</v>
      </c>
    </row>
    <row r="12" spans="1:17">
      <c r="B12" t="s">
        <v>2648</v>
      </c>
      <c r="C12" t="s">
        <v>1128</v>
      </c>
      <c r="E12" t="s">
        <v>3319</v>
      </c>
      <c r="F12" t="s">
        <v>3320</v>
      </c>
      <c r="G12" t="s">
        <v>3285</v>
      </c>
      <c r="I12" t="s">
        <v>1158</v>
      </c>
      <c r="N12" s="1" t="s">
        <v>3473</v>
      </c>
      <c r="O12" t="s">
        <v>157</v>
      </c>
      <c r="P12" t="s">
        <v>30</v>
      </c>
      <c r="Q12" t="s">
        <v>7</v>
      </c>
    </row>
    <row r="13" spans="1:17">
      <c r="B13" t="s">
        <v>2649</v>
      </c>
      <c r="C13" t="s">
        <v>1210</v>
      </c>
      <c r="E13" t="s">
        <v>3319</v>
      </c>
      <c r="F13" t="s">
        <v>3320</v>
      </c>
      <c r="G13" t="s">
        <v>3290</v>
      </c>
      <c r="I13" t="s">
        <v>91</v>
      </c>
      <c r="J13" t="s">
        <v>1159</v>
      </c>
      <c r="N13" s="1" t="s">
        <v>3805</v>
      </c>
      <c r="O13" t="s">
        <v>154</v>
      </c>
      <c r="P13" t="s">
        <v>183</v>
      </c>
      <c r="Q13" t="s">
        <v>7</v>
      </c>
    </row>
    <row r="14" spans="1:17">
      <c r="B14" t="s">
        <v>2650</v>
      </c>
      <c r="C14" t="s">
        <v>1128</v>
      </c>
      <c r="E14" t="s">
        <v>3319</v>
      </c>
      <c r="F14" t="s">
        <v>3320</v>
      </c>
      <c r="G14" t="s">
        <v>3291</v>
      </c>
      <c r="I14" t="s">
        <v>1160</v>
      </c>
      <c r="J14" t="s">
        <v>1161</v>
      </c>
      <c r="N14" s="1"/>
      <c r="O14" t="s">
        <v>163</v>
      </c>
      <c r="P14" t="s">
        <v>26</v>
      </c>
      <c r="Q14" t="s">
        <v>7</v>
      </c>
    </row>
    <row r="15" spans="1:17">
      <c r="A15" s="8"/>
      <c r="B15" s="8" t="s">
        <v>2651</v>
      </c>
      <c r="C15" s="8" t="s">
        <v>1128</v>
      </c>
      <c r="D15" s="8"/>
      <c r="E15" s="8" t="s">
        <v>3319</v>
      </c>
      <c r="F15" s="8" t="s">
        <v>3320</v>
      </c>
      <c r="G15" s="8" t="s">
        <v>3306</v>
      </c>
      <c r="H15" s="8"/>
      <c r="I15" s="8" t="s">
        <v>1</v>
      </c>
      <c r="J15" s="8" t="s">
        <v>1162</v>
      </c>
      <c r="K15" s="8"/>
      <c r="L15" s="8"/>
      <c r="M15" s="8"/>
      <c r="N15" s="35" t="s">
        <v>3473</v>
      </c>
      <c r="O15" s="8" t="s">
        <v>157</v>
      </c>
      <c r="P15" s="8" t="s">
        <v>30</v>
      </c>
      <c r="Q15" s="8" t="s">
        <v>7</v>
      </c>
    </row>
    <row r="16" spans="1:17">
      <c r="B16" t="s">
        <v>2652</v>
      </c>
      <c r="C16" t="s">
        <v>1128</v>
      </c>
      <c r="E16" t="s">
        <v>3319</v>
      </c>
      <c r="F16" t="s">
        <v>3320</v>
      </c>
      <c r="G16" t="s">
        <v>3287</v>
      </c>
      <c r="I16" t="s">
        <v>1211</v>
      </c>
      <c r="N16" s="1" t="s">
        <v>3805</v>
      </c>
      <c r="O16" t="s">
        <v>162</v>
      </c>
      <c r="P16" t="s">
        <v>179</v>
      </c>
      <c r="Q16" t="s">
        <v>7</v>
      </c>
    </row>
    <row r="17" spans="2:17">
      <c r="B17" t="s">
        <v>2653</v>
      </c>
      <c r="C17" t="s">
        <v>1128</v>
      </c>
      <c r="E17" t="s">
        <v>3319</v>
      </c>
      <c r="F17" t="s">
        <v>3320</v>
      </c>
      <c r="G17" t="s">
        <v>3291</v>
      </c>
      <c r="I17" t="s">
        <v>1163</v>
      </c>
      <c r="J17" t="s">
        <v>1164</v>
      </c>
      <c r="N17" s="1" t="s">
        <v>3805</v>
      </c>
      <c r="O17" t="s">
        <v>156</v>
      </c>
      <c r="P17" t="s">
        <v>8</v>
      </c>
      <c r="Q17" t="s">
        <v>7</v>
      </c>
    </row>
    <row r="18" spans="2:17">
      <c r="B18" t="s">
        <v>2654</v>
      </c>
      <c r="C18" t="s">
        <v>1210</v>
      </c>
      <c r="E18" t="s">
        <v>3319</v>
      </c>
      <c r="F18" t="s">
        <v>3320</v>
      </c>
      <c r="G18" t="s">
        <v>3288</v>
      </c>
      <c r="H18" t="s">
        <v>3307</v>
      </c>
      <c r="I18" t="s">
        <v>1165</v>
      </c>
      <c r="J18" t="s">
        <v>1166</v>
      </c>
      <c r="N18" s="1" t="s">
        <v>3805</v>
      </c>
      <c r="O18" t="s">
        <v>156</v>
      </c>
      <c r="P18" t="s">
        <v>33</v>
      </c>
      <c r="Q18" t="s">
        <v>7</v>
      </c>
    </row>
    <row r="19" spans="2:17">
      <c r="B19" t="s">
        <v>2655</v>
      </c>
      <c r="C19" t="s">
        <v>1128</v>
      </c>
      <c r="E19" t="s">
        <v>3319</v>
      </c>
      <c r="F19" t="s">
        <v>3320</v>
      </c>
      <c r="G19" t="s">
        <v>3312</v>
      </c>
      <c r="I19" t="s">
        <v>1148</v>
      </c>
      <c r="J19" t="s">
        <v>1167</v>
      </c>
      <c r="N19" s="1"/>
      <c r="O19" t="s">
        <v>157</v>
      </c>
      <c r="P19" t="s">
        <v>6</v>
      </c>
      <c r="Q19" t="s">
        <v>7</v>
      </c>
    </row>
    <row r="20" spans="2:17">
      <c r="B20" t="s">
        <v>2656</v>
      </c>
      <c r="C20" t="s">
        <v>1128</v>
      </c>
      <c r="E20" t="s">
        <v>3319</v>
      </c>
      <c r="F20" t="s">
        <v>3320</v>
      </c>
      <c r="G20" t="s">
        <v>3299</v>
      </c>
      <c r="I20" t="s">
        <v>1168</v>
      </c>
      <c r="N20" s="1" t="s">
        <v>3805</v>
      </c>
      <c r="O20" t="s">
        <v>162</v>
      </c>
      <c r="P20" t="s">
        <v>50</v>
      </c>
      <c r="Q20" t="s">
        <v>7</v>
      </c>
    </row>
    <row r="21" spans="2:17">
      <c r="B21" t="s">
        <v>2657</v>
      </c>
      <c r="C21" t="s">
        <v>1128</v>
      </c>
      <c r="E21" t="s">
        <v>3319</v>
      </c>
      <c r="F21" t="s">
        <v>3320</v>
      </c>
      <c r="G21" t="s">
        <v>3291</v>
      </c>
      <c r="I21" t="s">
        <v>1169</v>
      </c>
      <c r="N21" s="1" t="s">
        <v>3805</v>
      </c>
      <c r="O21" t="s">
        <v>154</v>
      </c>
      <c r="P21" t="s">
        <v>32</v>
      </c>
      <c r="Q21" t="s">
        <v>7</v>
      </c>
    </row>
    <row r="22" spans="2:17">
      <c r="B22" t="s">
        <v>2658</v>
      </c>
      <c r="C22" t="s">
        <v>1210</v>
      </c>
      <c r="E22" t="s">
        <v>3319</v>
      </c>
      <c r="F22" t="s">
        <v>3320</v>
      </c>
      <c r="G22" t="s">
        <v>3292</v>
      </c>
      <c r="I22" t="s">
        <v>1170</v>
      </c>
      <c r="J22" t="s">
        <v>62</v>
      </c>
      <c r="N22" s="1" t="s">
        <v>3805</v>
      </c>
      <c r="O22" t="s">
        <v>154</v>
      </c>
      <c r="P22" t="s">
        <v>184</v>
      </c>
      <c r="Q22" t="s">
        <v>7</v>
      </c>
    </row>
    <row r="23" spans="2:17">
      <c r="B23" t="s">
        <v>2659</v>
      </c>
      <c r="C23" t="s">
        <v>1128</v>
      </c>
      <c r="E23" t="s">
        <v>3319</v>
      </c>
      <c r="F23" t="s">
        <v>3320</v>
      </c>
      <c r="G23" t="s">
        <v>3289</v>
      </c>
      <c r="I23" t="s">
        <v>1212</v>
      </c>
      <c r="N23" s="1" t="s">
        <v>3805</v>
      </c>
      <c r="O23" t="s">
        <v>156</v>
      </c>
      <c r="P23" t="s">
        <v>44</v>
      </c>
      <c r="Q23" t="s">
        <v>7</v>
      </c>
    </row>
    <row r="24" spans="2:17">
      <c r="B24" t="s">
        <v>2660</v>
      </c>
      <c r="C24" t="s">
        <v>1128</v>
      </c>
      <c r="E24" t="s">
        <v>3319</v>
      </c>
      <c r="F24" t="s">
        <v>3320</v>
      </c>
      <c r="G24" t="s">
        <v>3307</v>
      </c>
      <c r="I24" t="s">
        <v>1171</v>
      </c>
      <c r="N24" s="1" t="s">
        <v>3805</v>
      </c>
      <c r="O24" t="s">
        <v>154</v>
      </c>
      <c r="P24" t="s">
        <v>6</v>
      </c>
      <c r="Q24" t="s">
        <v>7</v>
      </c>
    </row>
    <row r="25" spans="2:17">
      <c r="B25" t="s">
        <v>2661</v>
      </c>
      <c r="C25" t="s">
        <v>1128</v>
      </c>
      <c r="E25" t="s">
        <v>3319</v>
      </c>
      <c r="F25" t="s">
        <v>3320</v>
      </c>
      <c r="G25" t="s">
        <v>3290</v>
      </c>
      <c r="I25" t="s">
        <v>1159</v>
      </c>
      <c r="J25" t="s">
        <v>13</v>
      </c>
      <c r="N25" s="1" t="s">
        <v>3805</v>
      </c>
      <c r="O25" t="s">
        <v>162</v>
      </c>
      <c r="P25" t="s">
        <v>186</v>
      </c>
      <c r="Q25" t="s">
        <v>7</v>
      </c>
    </row>
    <row r="26" spans="2:17">
      <c r="B26" t="s">
        <v>2662</v>
      </c>
      <c r="C26" t="s">
        <v>1129</v>
      </c>
      <c r="E26" t="s">
        <v>3319</v>
      </c>
      <c r="F26" t="s">
        <v>3320</v>
      </c>
      <c r="G26" t="s">
        <v>3293</v>
      </c>
      <c r="I26" t="s">
        <v>1213</v>
      </c>
      <c r="N26" s="1" t="s">
        <v>3473</v>
      </c>
      <c r="O26" t="s">
        <v>154</v>
      </c>
      <c r="P26" t="s">
        <v>14</v>
      </c>
      <c r="Q26" t="s">
        <v>7</v>
      </c>
    </row>
    <row r="27" spans="2:17">
      <c r="B27" t="s">
        <v>2663</v>
      </c>
      <c r="C27" t="s">
        <v>1129</v>
      </c>
      <c r="E27" t="s">
        <v>3319</v>
      </c>
      <c r="F27" t="s">
        <v>3320</v>
      </c>
      <c r="G27" t="s">
        <v>3307</v>
      </c>
      <c r="I27" t="s">
        <v>1172</v>
      </c>
      <c r="J27" t="s">
        <v>1206</v>
      </c>
      <c r="N27" s="1" t="s">
        <v>3805</v>
      </c>
      <c r="O27" t="s">
        <v>154</v>
      </c>
      <c r="P27" t="s">
        <v>186</v>
      </c>
      <c r="Q27" t="s">
        <v>7</v>
      </c>
    </row>
    <row r="28" spans="2:17">
      <c r="B28" t="s">
        <v>2664</v>
      </c>
      <c r="C28" t="s">
        <v>1129</v>
      </c>
      <c r="E28" t="s">
        <v>3319</v>
      </c>
      <c r="F28" t="s">
        <v>3320</v>
      </c>
      <c r="G28" t="s">
        <v>3287</v>
      </c>
      <c r="I28" t="s">
        <v>875</v>
      </c>
      <c r="J28" t="s">
        <v>1224</v>
      </c>
      <c r="N28" s="1" t="s">
        <v>3805</v>
      </c>
      <c r="O28" t="s">
        <v>154</v>
      </c>
      <c r="P28" t="s">
        <v>15</v>
      </c>
      <c r="Q28" t="s">
        <v>7</v>
      </c>
    </row>
    <row r="29" spans="2:17">
      <c r="B29" t="s">
        <v>2665</v>
      </c>
      <c r="C29" t="s">
        <v>1129</v>
      </c>
      <c r="E29" t="s">
        <v>3319</v>
      </c>
      <c r="F29" t="s">
        <v>3320</v>
      </c>
      <c r="G29" t="s">
        <v>3312</v>
      </c>
      <c r="H29" t="s">
        <v>3296</v>
      </c>
      <c r="I29" t="s">
        <v>1214</v>
      </c>
      <c r="N29" s="1" t="s">
        <v>3805</v>
      </c>
      <c r="O29" t="s">
        <v>154</v>
      </c>
      <c r="P29" t="s">
        <v>28</v>
      </c>
      <c r="Q29" t="s">
        <v>7</v>
      </c>
    </row>
    <row r="30" spans="2:17">
      <c r="B30" t="s">
        <v>2666</v>
      </c>
      <c r="C30" t="s">
        <v>1129</v>
      </c>
      <c r="E30" t="s">
        <v>3319</v>
      </c>
      <c r="F30" t="s">
        <v>3320</v>
      </c>
      <c r="G30" t="s">
        <v>3307</v>
      </c>
      <c r="I30" t="s">
        <v>1173</v>
      </c>
      <c r="N30" s="1" t="s">
        <v>3805</v>
      </c>
      <c r="O30" t="s">
        <v>164</v>
      </c>
      <c r="P30" t="s">
        <v>5</v>
      </c>
      <c r="Q30" t="s">
        <v>7</v>
      </c>
    </row>
    <row r="31" spans="2:17">
      <c r="B31" t="s">
        <v>2667</v>
      </c>
      <c r="C31" t="s">
        <v>1129</v>
      </c>
      <c r="E31" t="s">
        <v>3319</v>
      </c>
      <c r="F31" t="s">
        <v>3320</v>
      </c>
      <c r="G31" t="s">
        <v>3312</v>
      </c>
      <c r="I31" t="s">
        <v>1174</v>
      </c>
      <c r="J31" t="s">
        <v>1215</v>
      </c>
      <c r="N31" s="1" t="s">
        <v>3805</v>
      </c>
      <c r="O31" t="s">
        <v>162</v>
      </c>
      <c r="P31" t="s">
        <v>177</v>
      </c>
      <c r="Q31" t="s">
        <v>7</v>
      </c>
    </row>
    <row r="32" spans="2:17">
      <c r="B32" t="s">
        <v>2668</v>
      </c>
      <c r="C32" t="s">
        <v>1129</v>
      </c>
      <c r="E32" t="s">
        <v>3319</v>
      </c>
      <c r="F32" t="s">
        <v>3320</v>
      </c>
      <c r="G32" t="s">
        <v>3311</v>
      </c>
      <c r="I32" t="s">
        <v>933</v>
      </c>
      <c r="J32" t="s">
        <v>1175</v>
      </c>
      <c r="N32" s="1" t="s">
        <v>3473</v>
      </c>
      <c r="O32" t="s">
        <v>164</v>
      </c>
      <c r="P32" t="s">
        <v>32</v>
      </c>
      <c r="Q32" t="s">
        <v>7</v>
      </c>
    </row>
    <row r="33" spans="1:17">
      <c r="A33" s="5"/>
      <c r="B33" s="5" t="s">
        <v>2669</v>
      </c>
      <c r="C33" s="5" t="s">
        <v>1129</v>
      </c>
      <c r="D33" s="5"/>
      <c r="E33" s="5" t="s">
        <v>3319</v>
      </c>
      <c r="F33" s="5" t="s">
        <v>3320</v>
      </c>
      <c r="G33" s="5" t="s">
        <v>3311</v>
      </c>
      <c r="H33" s="5"/>
      <c r="I33" s="5" t="s">
        <v>1176</v>
      </c>
      <c r="J33" s="5"/>
      <c r="K33" s="5"/>
      <c r="L33" s="5"/>
      <c r="M33" s="5"/>
      <c r="N33" s="23" t="s">
        <v>3473</v>
      </c>
      <c r="O33" s="5" t="s">
        <v>154</v>
      </c>
      <c r="P33" s="5" t="s">
        <v>44</v>
      </c>
      <c r="Q33" s="5" t="s">
        <v>7</v>
      </c>
    </row>
    <row r="34" spans="1:17">
      <c r="B34" t="s">
        <v>2670</v>
      </c>
      <c r="C34" t="s">
        <v>1129</v>
      </c>
      <c r="E34" t="s">
        <v>3319</v>
      </c>
      <c r="F34" t="s">
        <v>3320</v>
      </c>
      <c r="I34" t="s">
        <v>1216</v>
      </c>
      <c r="M34" t="s">
        <v>153</v>
      </c>
      <c r="N34" s="1" t="s">
        <v>3805</v>
      </c>
      <c r="O34" t="s">
        <v>164</v>
      </c>
    </row>
    <row r="35" spans="1:17">
      <c r="B35" t="s">
        <v>2671</v>
      </c>
      <c r="C35" t="s">
        <v>3387</v>
      </c>
      <c r="E35" t="s">
        <v>3319</v>
      </c>
      <c r="F35" t="s">
        <v>3320</v>
      </c>
      <c r="G35" t="s">
        <v>3311</v>
      </c>
      <c r="I35" t="s">
        <v>1177</v>
      </c>
      <c r="M35" t="s">
        <v>153</v>
      </c>
      <c r="N35" s="1" t="s">
        <v>3805</v>
      </c>
      <c r="O35" t="s">
        <v>618</v>
      </c>
      <c r="P35" t="s">
        <v>46</v>
      </c>
      <c r="Q35" t="s">
        <v>7</v>
      </c>
    </row>
    <row r="36" spans="1:17">
      <c r="B36" t="s">
        <v>2672</v>
      </c>
      <c r="C36" t="s">
        <v>1129</v>
      </c>
      <c r="E36" t="s">
        <v>3319</v>
      </c>
      <c r="F36" t="s">
        <v>3320</v>
      </c>
      <c r="G36" t="s">
        <v>3287</v>
      </c>
      <c r="I36" t="s">
        <v>1178</v>
      </c>
      <c r="N36" s="1" t="s">
        <v>3805</v>
      </c>
      <c r="O36" t="s">
        <v>161</v>
      </c>
      <c r="P36" t="s">
        <v>40</v>
      </c>
      <c r="Q36" t="s">
        <v>7</v>
      </c>
    </row>
    <row r="37" spans="1:17">
      <c r="B37" t="s">
        <v>2673</v>
      </c>
      <c r="C37" t="s">
        <v>1129</v>
      </c>
      <c r="E37" t="s">
        <v>3319</v>
      </c>
      <c r="F37" t="s">
        <v>3320</v>
      </c>
      <c r="G37" t="s">
        <v>3291</v>
      </c>
      <c r="I37" t="s">
        <v>1179</v>
      </c>
      <c r="J37" t="s">
        <v>1217</v>
      </c>
      <c r="N37" s="1" t="s">
        <v>3473</v>
      </c>
      <c r="O37" t="s">
        <v>154</v>
      </c>
      <c r="P37" t="s">
        <v>29</v>
      </c>
      <c r="Q37" t="s">
        <v>7</v>
      </c>
    </row>
    <row r="38" spans="1:17">
      <c r="B38" t="s">
        <v>2674</v>
      </c>
      <c r="C38" t="s">
        <v>1130</v>
      </c>
      <c r="E38" t="s">
        <v>3319</v>
      </c>
      <c r="F38" t="s">
        <v>3320</v>
      </c>
      <c r="G38" t="s">
        <v>3290</v>
      </c>
      <c r="I38" t="s">
        <v>1218</v>
      </c>
      <c r="N38" s="1" t="s">
        <v>3805</v>
      </c>
      <c r="O38" t="s">
        <v>154</v>
      </c>
      <c r="P38" t="s">
        <v>174</v>
      </c>
      <c r="Q38" t="s">
        <v>7</v>
      </c>
    </row>
    <row r="39" spans="1:17">
      <c r="A39" s="8"/>
      <c r="B39" s="8" t="s">
        <v>2675</v>
      </c>
      <c r="C39" s="8" t="s">
        <v>1130</v>
      </c>
      <c r="D39" s="8"/>
      <c r="E39" s="8" t="s">
        <v>3319</v>
      </c>
      <c r="F39" s="8" t="s">
        <v>3320</v>
      </c>
      <c r="G39" s="8" t="s">
        <v>3288</v>
      </c>
      <c r="H39" s="8" t="s">
        <v>3312</v>
      </c>
      <c r="I39" s="8" t="s">
        <v>1180</v>
      </c>
      <c r="J39" s="8" t="s">
        <v>1219</v>
      </c>
      <c r="K39" s="8"/>
      <c r="L39" s="8"/>
      <c r="M39" s="8"/>
      <c r="N39" s="35" t="s">
        <v>3473</v>
      </c>
      <c r="O39" s="8" t="s">
        <v>156</v>
      </c>
      <c r="P39" s="8" t="s">
        <v>33</v>
      </c>
      <c r="Q39" s="8" t="s">
        <v>7</v>
      </c>
    </row>
    <row r="40" spans="1:17">
      <c r="B40" t="s">
        <v>2676</v>
      </c>
      <c r="C40" t="s">
        <v>1129</v>
      </c>
      <c r="E40" t="s">
        <v>3319</v>
      </c>
      <c r="F40" t="s">
        <v>3320</v>
      </c>
      <c r="G40" t="s">
        <v>3287</v>
      </c>
      <c r="I40" t="s">
        <v>1225</v>
      </c>
      <c r="N40" s="1" t="s">
        <v>3805</v>
      </c>
      <c r="O40" t="s">
        <v>154</v>
      </c>
      <c r="P40" t="s">
        <v>18</v>
      </c>
      <c r="Q40" t="s">
        <v>7</v>
      </c>
    </row>
    <row r="41" spans="1:17">
      <c r="A41" s="9"/>
      <c r="B41" s="9" t="s">
        <v>2677</v>
      </c>
      <c r="C41" s="9" t="s">
        <v>1129</v>
      </c>
      <c r="D41" s="9"/>
      <c r="E41" s="9" t="s">
        <v>3319</v>
      </c>
      <c r="F41" s="9" t="s">
        <v>3320</v>
      </c>
      <c r="G41" s="9" t="s">
        <v>3306</v>
      </c>
      <c r="H41" s="9"/>
      <c r="I41" s="9" t="s">
        <v>1181</v>
      </c>
      <c r="J41" s="9" t="s">
        <v>1182</v>
      </c>
      <c r="K41" s="9"/>
      <c r="L41" s="9"/>
      <c r="M41" s="9"/>
      <c r="N41" s="12" t="s">
        <v>3810</v>
      </c>
      <c r="O41" s="9" t="s">
        <v>154</v>
      </c>
      <c r="P41" s="9" t="s">
        <v>36</v>
      </c>
      <c r="Q41" s="9" t="s">
        <v>7</v>
      </c>
    </row>
    <row r="42" spans="1:17">
      <c r="B42" t="s">
        <v>2678</v>
      </c>
      <c r="C42" t="s">
        <v>1130</v>
      </c>
      <c r="E42" t="s">
        <v>3319</v>
      </c>
      <c r="F42" t="s">
        <v>3320</v>
      </c>
      <c r="G42" t="s">
        <v>3291</v>
      </c>
      <c r="I42" t="s">
        <v>1183</v>
      </c>
      <c r="J42" t="s">
        <v>1184</v>
      </c>
      <c r="M42" t="s">
        <v>496</v>
      </c>
      <c r="N42" s="1" t="s">
        <v>3805</v>
      </c>
      <c r="O42" t="s">
        <v>154</v>
      </c>
    </row>
    <row r="43" spans="1:17">
      <c r="B43" t="s">
        <v>2679</v>
      </c>
      <c r="C43" t="s">
        <v>1130</v>
      </c>
      <c r="E43" t="s">
        <v>3323</v>
      </c>
      <c r="F43" t="s">
        <v>3325</v>
      </c>
      <c r="I43" t="s">
        <v>1185</v>
      </c>
      <c r="M43" t="s">
        <v>496</v>
      </c>
      <c r="N43" s="1" t="s">
        <v>3805</v>
      </c>
      <c r="O43" t="s">
        <v>616</v>
      </c>
      <c r="P43" t="s">
        <v>188</v>
      </c>
      <c r="Q43" t="s">
        <v>7</v>
      </c>
    </row>
    <row r="44" spans="1:17">
      <c r="B44" t="s">
        <v>2680</v>
      </c>
      <c r="C44" t="s">
        <v>1129</v>
      </c>
      <c r="E44" t="s">
        <v>3319</v>
      </c>
      <c r="F44" t="s">
        <v>3320</v>
      </c>
      <c r="I44" t="s">
        <v>1186</v>
      </c>
      <c r="N44" s="1" t="s">
        <v>3805</v>
      </c>
      <c r="O44" t="s">
        <v>154</v>
      </c>
      <c r="P44" t="s">
        <v>45</v>
      </c>
      <c r="Q44" t="s">
        <v>7</v>
      </c>
    </row>
    <row r="45" spans="1:17">
      <c r="B45" t="s">
        <v>2681</v>
      </c>
      <c r="C45" t="s">
        <v>1129</v>
      </c>
      <c r="E45" t="s">
        <v>3319</v>
      </c>
      <c r="F45" t="s">
        <v>3320</v>
      </c>
      <c r="G45" t="s">
        <v>3307</v>
      </c>
      <c r="I45" t="s">
        <v>1187</v>
      </c>
      <c r="J45" t="s">
        <v>1188</v>
      </c>
      <c r="N45" s="1" t="s">
        <v>3473</v>
      </c>
      <c r="O45" t="s">
        <v>165</v>
      </c>
      <c r="P45" t="s">
        <v>46</v>
      </c>
      <c r="Q45" t="s">
        <v>7</v>
      </c>
    </row>
    <row r="46" spans="1:17">
      <c r="B46" t="s">
        <v>2682</v>
      </c>
      <c r="C46" t="s">
        <v>1132</v>
      </c>
      <c r="E46" t="s">
        <v>3319</v>
      </c>
      <c r="F46" t="s">
        <v>3320</v>
      </c>
      <c r="G46" t="s">
        <v>3292</v>
      </c>
      <c r="I46" t="s">
        <v>328</v>
      </c>
      <c r="J46" t="s">
        <v>1220</v>
      </c>
      <c r="N46" s="1" t="s">
        <v>3805</v>
      </c>
      <c r="O46" t="s">
        <v>156</v>
      </c>
      <c r="P46" t="s">
        <v>180</v>
      </c>
      <c r="Q46" t="s">
        <v>7</v>
      </c>
    </row>
    <row r="47" spans="1:17">
      <c r="B47" t="s">
        <v>2683</v>
      </c>
      <c r="C47" t="s">
        <v>1131</v>
      </c>
      <c r="E47" t="s">
        <v>3319</v>
      </c>
      <c r="F47" t="s">
        <v>3320</v>
      </c>
      <c r="G47" t="s">
        <v>3287</v>
      </c>
      <c r="I47" t="s">
        <v>1189</v>
      </c>
      <c r="N47" s="1" t="s">
        <v>3805</v>
      </c>
      <c r="O47" t="s">
        <v>154</v>
      </c>
      <c r="P47" t="s">
        <v>11</v>
      </c>
      <c r="Q47" t="s">
        <v>7</v>
      </c>
    </row>
    <row r="48" spans="1:17">
      <c r="B48" t="s">
        <v>2684</v>
      </c>
      <c r="C48" t="s">
        <v>1132</v>
      </c>
      <c r="E48" t="s">
        <v>3319</v>
      </c>
      <c r="F48" t="s">
        <v>3320</v>
      </c>
      <c r="G48" t="s">
        <v>3287</v>
      </c>
      <c r="I48" t="s">
        <v>1190</v>
      </c>
      <c r="N48" s="1" t="s">
        <v>3805</v>
      </c>
      <c r="O48" t="s">
        <v>164</v>
      </c>
      <c r="P48" t="s">
        <v>48</v>
      </c>
      <c r="Q48" t="s">
        <v>7</v>
      </c>
    </row>
    <row r="49" spans="1:17">
      <c r="B49" t="s">
        <v>2685</v>
      </c>
      <c r="C49" t="s">
        <v>1132</v>
      </c>
      <c r="E49" t="s">
        <v>3319</v>
      </c>
      <c r="F49" t="s">
        <v>3320</v>
      </c>
      <c r="G49" t="s">
        <v>3303</v>
      </c>
      <c r="I49" t="s">
        <v>1191</v>
      </c>
      <c r="N49" s="1" t="s">
        <v>3473</v>
      </c>
      <c r="O49" t="s">
        <v>1124</v>
      </c>
      <c r="P49" t="s">
        <v>26</v>
      </c>
      <c r="Q49" t="s">
        <v>7</v>
      </c>
    </row>
    <row r="50" spans="1:17">
      <c r="B50" t="s">
        <v>2686</v>
      </c>
      <c r="C50" t="s">
        <v>1132</v>
      </c>
      <c r="E50" t="s">
        <v>3319</v>
      </c>
      <c r="F50" t="s">
        <v>3320</v>
      </c>
      <c r="G50" t="s">
        <v>3307</v>
      </c>
      <c r="I50" t="s">
        <v>1221</v>
      </c>
      <c r="N50" s="1" t="s">
        <v>3805</v>
      </c>
      <c r="O50" t="s">
        <v>170</v>
      </c>
      <c r="P50" t="s">
        <v>52</v>
      </c>
      <c r="Q50" t="s">
        <v>7</v>
      </c>
    </row>
    <row r="51" spans="1:17">
      <c r="A51" s="5"/>
      <c r="B51" s="5" t="s">
        <v>2687</v>
      </c>
      <c r="C51" s="5" t="s">
        <v>1131</v>
      </c>
      <c r="D51" s="5"/>
      <c r="E51" s="5" t="s">
        <v>3319</v>
      </c>
      <c r="F51" s="5" t="s">
        <v>3320</v>
      </c>
      <c r="G51" s="5" t="s">
        <v>3312</v>
      </c>
      <c r="H51" s="5"/>
      <c r="I51" s="5" t="s">
        <v>0</v>
      </c>
      <c r="J51" s="5" t="s">
        <v>1192</v>
      </c>
      <c r="K51" s="5"/>
      <c r="L51" s="5"/>
      <c r="M51" s="5"/>
      <c r="N51" s="23" t="s">
        <v>3473</v>
      </c>
      <c r="O51" s="5" t="s">
        <v>162</v>
      </c>
      <c r="P51" s="5" t="s">
        <v>174</v>
      </c>
      <c r="Q51" s="5" t="s">
        <v>7</v>
      </c>
    </row>
    <row r="52" spans="1:17">
      <c r="B52" t="s">
        <v>2688</v>
      </c>
      <c r="C52" t="s">
        <v>1132</v>
      </c>
      <c r="E52" t="s">
        <v>3319</v>
      </c>
      <c r="F52" t="s">
        <v>3320</v>
      </c>
      <c r="G52" t="s">
        <v>3306</v>
      </c>
      <c r="I52" t="s">
        <v>1193</v>
      </c>
      <c r="N52" s="1" t="s">
        <v>3805</v>
      </c>
      <c r="O52" t="s">
        <v>166</v>
      </c>
      <c r="P52" t="s">
        <v>36</v>
      </c>
      <c r="Q52" t="s">
        <v>7</v>
      </c>
    </row>
    <row r="53" spans="1:17">
      <c r="B53" t="s">
        <v>2689</v>
      </c>
      <c r="C53" t="s">
        <v>1132</v>
      </c>
      <c r="E53" t="s">
        <v>3319</v>
      </c>
      <c r="F53" t="s">
        <v>3320</v>
      </c>
      <c r="G53" t="s">
        <v>3311</v>
      </c>
      <c r="I53" t="s">
        <v>1194</v>
      </c>
      <c r="J53" t="s">
        <v>1195</v>
      </c>
      <c r="M53" t="s">
        <v>153</v>
      </c>
      <c r="N53" s="1" t="s">
        <v>3805</v>
      </c>
      <c r="O53" t="s">
        <v>1124</v>
      </c>
    </row>
    <row r="54" spans="1:17">
      <c r="B54" t="s">
        <v>2690</v>
      </c>
      <c r="C54" t="s">
        <v>3387</v>
      </c>
      <c r="E54" t="s">
        <v>3402</v>
      </c>
      <c r="F54" t="s">
        <v>3404</v>
      </c>
      <c r="G54" t="s">
        <v>3403</v>
      </c>
      <c r="I54" t="s">
        <v>1196</v>
      </c>
      <c r="J54" t="s">
        <v>1197</v>
      </c>
      <c r="K54" t="s">
        <v>1198</v>
      </c>
      <c r="M54" t="s">
        <v>153</v>
      </c>
      <c r="N54" s="1" t="s">
        <v>3805</v>
      </c>
      <c r="P54" t="s">
        <v>46</v>
      </c>
      <c r="Q54" t="s">
        <v>7</v>
      </c>
    </row>
    <row r="55" spans="1:17">
      <c r="B55" t="s">
        <v>2691</v>
      </c>
      <c r="C55" t="s">
        <v>1131</v>
      </c>
      <c r="E55" t="s">
        <v>3319</v>
      </c>
      <c r="F55" t="s">
        <v>3320</v>
      </c>
      <c r="G55" t="s">
        <v>3312</v>
      </c>
      <c r="I55" t="s">
        <v>0</v>
      </c>
      <c r="J55" t="s">
        <v>1199</v>
      </c>
      <c r="K55" t="s">
        <v>1222</v>
      </c>
      <c r="N55" s="1" t="s">
        <v>3473</v>
      </c>
      <c r="O55" t="s">
        <v>162</v>
      </c>
      <c r="P55" t="s">
        <v>31</v>
      </c>
      <c r="Q55" t="s">
        <v>7</v>
      </c>
    </row>
    <row r="56" spans="1:17">
      <c r="B56" t="s">
        <v>2692</v>
      </c>
      <c r="C56" t="s">
        <v>1133</v>
      </c>
      <c r="E56" t="s">
        <v>3319</v>
      </c>
      <c r="F56" t="s">
        <v>3320</v>
      </c>
      <c r="G56" t="s">
        <v>3299</v>
      </c>
      <c r="I56" t="s">
        <v>956</v>
      </c>
      <c r="J56" t="s">
        <v>1200</v>
      </c>
      <c r="N56" s="1" t="s">
        <v>3805</v>
      </c>
      <c r="O56" t="s">
        <v>154</v>
      </c>
      <c r="P56" t="s">
        <v>35</v>
      </c>
      <c r="Q56" t="s">
        <v>7</v>
      </c>
    </row>
    <row r="57" spans="1:17">
      <c r="B57" t="s">
        <v>2693</v>
      </c>
      <c r="C57" t="s">
        <v>1133</v>
      </c>
      <c r="E57" t="s">
        <v>3319</v>
      </c>
      <c r="F57" t="s">
        <v>3320</v>
      </c>
      <c r="G57" t="s">
        <v>3311</v>
      </c>
      <c r="I57" t="s">
        <v>1148</v>
      </c>
      <c r="J57" t="s">
        <v>1201</v>
      </c>
      <c r="N57" s="1" t="s">
        <v>3473</v>
      </c>
      <c r="O57" t="s">
        <v>157</v>
      </c>
      <c r="P57" t="s">
        <v>45</v>
      </c>
      <c r="Q57" t="s">
        <v>7</v>
      </c>
    </row>
    <row r="58" spans="1:17">
      <c r="B58" t="s">
        <v>2694</v>
      </c>
      <c r="C58" t="s">
        <v>1223</v>
      </c>
      <c r="E58" t="s">
        <v>3319</v>
      </c>
      <c r="F58" t="s">
        <v>3320</v>
      </c>
      <c r="G58" t="s">
        <v>3293</v>
      </c>
      <c r="I58" t="s">
        <v>1202</v>
      </c>
      <c r="J58" t="s">
        <v>1203</v>
      </c>
      <c r="N58" s="1" t="s">
        <v>3473</v>
      </c>
      <c r="O58" t="s">
        <v>1204</v>
      </c>
      <c r="P58" t="s">
        <v>8</v>
      </c>
      <c r="Q58" t="s">
        <v>7</v>
      </c>
    </row>
    <row r="59" spans="1:17">
      <c r="N59" s="1" t="s">
        <v>3805</v>
      </c>
    </row>
    <row r="60" spans="1:17">
      <c r="N60" s="1" t="s">
        <v>3805</v>
      </c>
    </row>
    <row r="61" spans="1:17">
      <c r="N61" s="1" t="s">
        <v>3805</v>
      </c>
    </row>
    <row r="62" spans="1:17">
      <c r="N62" s="1" t="s">
        <v>3805</v>
      </c>
    </row>
    <row r="63" spans="1:17">
      <c r="N63" s="1" t="s">
        <v>3805</v>
      </c>
    </row>
    <row r="64" spans="1:17">
      <c r="N64" s="1" t="s">
        <v>3805</v>
      </c>
    </row>
    <row r="65" spans="14:14">
      <c r="N65" s="1" t="s">
        <v>3805</v>
      </c>
    </row>
    <row r="66" spans="14:14">
      <c r="N66" s="1" t="s">
        <v>3805</v>
      </c>
    </row>
    <row r="67" spans="14:14">
      <c r="N67" s="1" t="s">
        <v>3805</v>
      </c>
    </row>
    <row r="68" spans="14:14">
      <c r="N68" s="1" t="s">
        <v>3805</v>
      </c>
    </row>
    <row r="69" spans="14:14">
      <c r="N69" s="1" t="s">
        <v>3805</v>
      </c>
    </row>
    <row r="70" spans="14:14">
      <c r="N70" s="1" t="s">
        <v>3805</v>
      </c>
    </row>
    <row r="71" spans="14:14">
      <c r="N71" s="1" t="s">
        <v>3805</v>
      </c>
    </row>
    <row r="72" spans="14:14">
      <c r="N72" s="1" t="s">
        <v>3805</v>
      </c>
    </row>
    <row r="73" spans="14:14">
      <c r="N73" s="1" t="s">
        <v>3805</v>
      </c>
    </row>
    <row r="74" spans="14:14">
      <c r="N74" s="1" t="s">
        <v>3805</v>
      </c>
    </row>
    <row r="75" spans="14:14">
      <c r="N75" s="1" t="s">
        <v>3805</v>
      </c>
    </row>
    <row r="76" spans="14:14">
      <c r="N76" s="1" t="s">
        <v>3805</v>
      </c>
    </row>
    <row r="77" spans="14:14">
      <c r="N77" s="1" t="s">
        <v>3805</v>
      </c>
    </row>
    <row r="78" spans="14:14">
      <c r="N78" s="1" t="s">
        <v>3805</v>
      </c>
    </row>
    <row r="79" spans="14:14">
      <c r="N79" s="1" t="s">
        <v>3805</v>
      </c>
    </row>
    <row r="80" spans="14:14">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row r="87" spans="14:14">
      <c r="N87" s="1" t="s">
        <v>3805</v>
      </c>
    </row>
  </sheetData>
  <autoFilter ref="A1:W87"/>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87"/>
  <sheetViews>
    <sheetView workbookViewId="0">
      <selection sqref="A1:XFD1"/>
    </sheetView>
  </sheetViews>
  <sheetFormatPr defaultRowHeight="18.75"/>
  <sheetData>
    <row r="1" spans="1:17">
      <c r="B1" t="s">
        <v>3474</v>
      </c>
      <c r="C1" t="s">
        <v>3475</v>
      </c>
      <c r="D1" t="s">
        <v>3489</v>
      </c>
      <c r="E1" t="s">
        <v>3477</v>
      </c>
      <c r="F1" t="s">
        <v>3479</v>
      </c>
      <c r="G1" t="s">
        <v>3481</v>
      </c>
      <c r="H1" t="s">
        <v>3482</v>
      </c>
      <c r="I1" t="s">
        <v>3483</v>
      </c>
      <c r="N1" s="1" t="s">
        <v>3805</v>
      </c>
      <c r="O1" t="s">
        <v>3484</v>
      </c>
      <c r="P1" t="s">
        <v>3486</v>
      </c>
    </row>
    <row r="2" spans="1:17">
      <c r="A2" s="1"/>
      <c r="B2" s="1" t="s">
        <v>2695</v>
      </c>
      <c r="C2" s="1" t="s">
        <v>1127</v>
      </c>
      <c r="D2" s="1"/>
      <c r="E2" s="1" t="s">
        <v>3319</v>
      </c>
      <c r="F2" s="1" t="s">
        <v>3320</v>
      </c>
      <c r="G2" s="1" t="s">
        <v>3291</v>
      </c>
      <c r="H2" s="1"/>
      <c r="I2" s="1" t="s">
        <v>1226</v>
      </c>
      <c r="J2" s="1" t="s">
        <v>1265</v>
      </c>
      <c r="K2" s="1"/>
      <c r="L2" s="1"/>
      <c r="M2" s="1"/>
      <c r="N2" s="1" t="s">
        <v>3805</v>
      </c>
      <c r="O2" s="1" t="s">
        <v>162</v>
      </c>
      <c r="P2" s="1" t="s">
        <v>38</v>
      </c>
      <c r="Q2" s="1" t="s">
        <v>9</v>
      </c>
    </row>
    <row r="3" spans="1:17">
      <c r="A3" s="1"/>
      <c r="B3" s="1" t="s">
        <v>2696</v>
      </c>
      <c r="C3" t="s">
        <v>1127</v>
      </c>
      <c r="E3" t="s">
        <v>3319</v>
      </c>
      <c r="F3" t="s">
        <v>3320</v>
      </c>
      <c r="G3" t="s">
        <v>3306</v>
      </c>
      <c r="I3" t="s">
        <v>1266</v>
      </c>
      <c r="N3" s="1" t="s">
        <v>3805</v>
      </c>
      <c r="O3" t="s">
        <v>156</v>
      </c>
      <c r="P3" t="s">
        <v>30</v>
      </c>
      <c r="Q3" t="s">
        <v>9</v>
      </c>
    </row>
    <row r="4" spans="1:17">
      <c r="B4" t="s">
        <v>2697</v>
      </c>
      <c r="C4" t="s">
        <v>1127</v>
      </c>
      <c r="E4" t="s">
        <v>3319</v>
      </c>
      <c r="F4" t="s">
        <v>3320</v>
      </c>
      <c r="G4" t="s">
        <v>3312</v>
      </c>
      <c r="I4" t="s">
        <v>1267</v>
      </c>
      <c r="J4" t="s">
        <v>1268</v>
      </c>
      <c r="N4" s="1" t="s">
        <v>3805</v>
      </c>
      <c r="O4" t="s">
        <v>156</v>
      </c>
      <c r="P4" t="s">
        <v>177</v>
      </c>
      <c r="Q4" t="s">
        <v>9</v>
      </c>
    </row>
    <row r="5" spans="1:17">
      <c r="B5" t="s">
        <v>2698</v>
      </c>
      <c r="C5" t="s">
        <v>1128</v>
      </c>
      <c r="E5" t="s">
        <v>3319</v>
      </c>
      <c r="F5" t="s">
        <v>3320</v>
      </c>
      <c r="G5" t="s">
        <v>3306</v>
      </c>
      <c r="I5" t="s">
        <v>3</v>
      </c>
      <c r="J5" t="s">
        <v>1148</v>
      </c>
      <c r="K5" t="s">
        <v>1227</v>
      </c>
      <c r="N5" s="1" t="s">
        <v>3473</v>
      </c>
      <c r="O5" t="s">
        <v>154</v>
      </c>
      <c r="P5" t="s">
        <v>36</v>
      </c>
      <c r="Q5" t="s">
        <v>9</v>
      </c>
    </row>
    <row r="6" spans="1:17">
      <c r="B6" t="s">
        <v>2699</v>
      </c>
      <c r="C6" t="s">
        <v>1210</v>
      </c>
      <c r="E6" t="s">
        <v>3323</v>
      </c>
      <c r="F6" t="s">
        <v>3320</v>
      </c>
      <c r="G6" t="s">
        <v>3312</v>
      </c>
      <c r="I6" t="s">
        <v>1269</v>
      </c>
      <c r="N6" s="1" t="s">
        <v>3805</v>
      </c>
      <c r="O6" t="s">
        <v>156</v>
      </c>
      <c r="P6" t="s">
        <v>180</v>
      </c>
      <c r="Q6" t="s">
        <v>9</v>
      </c>
    </row>
    <row r="7" spans="1:17">
      <c r="B7" t="s">
        <v>2700</v>
      </c>
      <c r="C7" t="s">
        <v>1128</v>
      </c>
      <c r="E7" t="s">
        <v>3319</v>
      </c>
      <c r="F7" t="s">
        <v>3320</v>
      </c>
      <c r="G7" t="s">
        <v>3306</v>
      </c>
      <c r="I7" t="s">
        <v>1110</v>
      </c>
      <c r="J7" t="s">
        <v>1228</v>
      </c>
      <c r="N7" s="1" t="s">
        <v>3805</v>
      </c>
      <c r="O7" t="s">
        <v>162</v>
      </c>
      <c r="P7" t="s">
        <v>30</v>
      </c>
      <c r="Q7" t="s">
        <v>9</v>
      </c>
    </row>
    <row r="8" spans="1:17">
      <c r="B8" t="s">
        <v>2701</v>
      </c>
      <c r="C8" t="s">
        <v>1128</v>
      </c>
      <c r="E8" t="s">
        <v>3319</v>
      </c>
      <c r="F8" t="s">
        <v>3320</v>
      </c>
      <c r="G8" t="s">
        <v>3312</v>
      </c>
      <c r="I8" t="s">
        <v>1229</v>
      </c>
      <c r="J8" t="s">
        <v>1270</v>
      </c>
      <c r="K8" t="s">
        <v>1230</v>
      </c>
      <c r="N8" s="1" t="s">
        <v>3805</v>
      </c>
      <c r="O8" t="s">
        <v>162</v>
      </c>
      <c r="P8" t="s">
        <v>32</v>
      </c>
      <c r="Q8" t="s">
        <v>9</v>
      </c>
    </row>
    <row r="9" spans="1:17">
      <c r="B9" t="s">
        <v>2702</v>
      </c>
      <c r="C9" t="s">
        <v>1128</v>
      </c>
      <c r="E9" t="s">
        <v>3319</v>
      </c>
      <c r="F9" t="s">
        <v>3320</v>
      </c>
      <c r="G9" t="s">
        <v>3287</v>
      </c>
      <c r="I9" t="s">
        <v>1231</v>
      </c>
      <c r="N9" s="1" t="s">
        <v>3805</v>
      </c>
      <c r="O9" t="s">
        <v>162</v>
      </c>
      <c r="P9" t="s">
        <v>8</v>
      </c>
      <c r="Q9" t="s">
        <v>9</v>
      </c>
    </row>
    <row r="10" spans="1:17">
      <c r="B10" t="s">
        <v>2703</v>
      </c>
      <c r="C10" t="s">
        <v>1128</v>
      </c>
      <c r="E10" t="s">
        <v>3319</v>
      </c>
      <c r="F10" t="s">
        <v>3320</v>
      </c>
      <c r="G10" t="s">
        <v>3289</v>
      </c>
      <c r="I10" t="s">
        <v>1232</v>
      </c>
      <c r="N10" s="1" t="s">
        <v>3805</v>
      </c>
      <c r="O10" t="s">
        <v>157</v>
      </c>
      <c r="P10" t="s">
        <v>45</v>
      </c>
      <c r="Q10" t="s">
        <v>9</v>
      </c>
    </row>
    <row r="11" spans="1:17">
      <c r="B11" t="s">
        <v>2704</v>
      </c>
      <c r="C11" t="s">
        <v>1128</v>
      </c>
      <c r="E11" t="s">
        <v>3319</v>
      </c>
      <c r="F11" t="s">
        <v>3320</v>
      </c>
      <c r="G11" t="s">
        <v>3307</v>
      </c>
      <c r="I11" t="s">
        <v>1110</v>
      </c>
      <c r="J11" t="s">
        <v>1233</v>
      </c>
      <c r="K11" t="s">
        <v>1234</v>
      </c>
      <c r="N11" s="1" t="s">
        <v>3473</v>
      </c>
      <c r="O11" t="s">
        <v>162</v>
      </c>
      <c r="P11" t="s">
        <v>35</v>
      </c>
      <c r="Q11" t="s">
        <v>9</v>
      </c>
    </row>
    <row r="12" spans="1:17">
      <c r="B12" t="s">
        <v>2705</v>
      </c>
      <c r="C12" t="s">
        <v>1128</v>
      </c>
      <c r="E12" t="s">
        <v>3319</v>
      </c>
      <c r="F12" t="s">
        <v>3320</v>
      </c>
      <c r="G12" t="s">
        <v>3287</v>
      </c>
      <c r="I12" t="s">
        <v>1235</v>
      </c>
      <c r="N12" s="1" t="s">
        <v>3805</v>
      </c>
      <c r="O12" t="s">
        <v>154</v>
      </c>
      <c r="P12" t="s">
        <v>40</v>
      </c>
      <c r="Q12" t="s">
        <v>9</v>
      </c>
    </row>
    <row r="13" spans="1:17">
      <c r="B13" t="s">
        <v>2706</v>
      </c>
      <c r="C13" t="s">
        <v>1130</v>
      </c>
      <c r="E13" t="s">
        <v>3323</v>
      </c>
      <c r="F13" t="s">
        <v>3320</v>
      </c>
      <c r="G13" t="s">
        <v>3292</v>
      </c>
      <c r="I13" t="s">
        <v>62</v>
      </c>
      <c r="J13" t="s">
        <v>1236</v>
      </c>
      <c r="N13" s="1" t="s">
        <v>3805</v>
      </c>
      <c r="O13" t="s">
        <v>154</v>
      </c>
      <c r="P13" t="s">
        <v>188</v>
      </c>
      <c r="Q13" t="s">
        <v>9</v>
      </c>
    </row>
    <row r="14" spans="1:17">
      <c r="B14" t="s">
        <v>2707</v>
      </c>
      <c r="C14" t="s">
        <v>1130</v>
      </c>
      <c r="E14" t="s">
        <v>3319</v>
      </c>
      <c r="F14" t="s">
        <v>3320</v>
      </c>
      <c r="G14" t="s">
        <v>3312</v>
      </c>
      <c r="I14" t="s">
        <v>1148</v>
      </c>
      <c r="J14" t="s">
        <v>1237</v>
      </c>
      <c r="N14" s="1" t="s">
        <v>3805</v>
      </c>
      <c r="O14" t="s">
        <v>165</v>
      </c>
      <c r="P14" t="s">
        <v>14</v>
      </c>
      <c r="Q14" t="s">
        <v>9</v>
      </c>
    </row>
    <row r="15" spans="1:17">
      <c r="B15" t="s">
        <v>2708</v>
      </c>
      <c r="C15" t="s">
        <v>1129</v>
      </c>
      <c r="E15" t="s">
        <v>3319</v>
      </c>
      <c r="F15" t="s">
        <v>3320</v>
      </c>
      <c r="G15" t="s">
        <v>3287</v>
      </c>
      <c r="I15" t="s">
        <v>1238</v>
      </c>
      <c r="N15" s="1" t="s">
        <v>3805</v>
      </c>
      <c r="O15" t="s">
        <v>154</v>
      </c>
      <c r="P15" t="s">
        <v>185</v>
      </c>
      <c r="Q15" t="s">
        <v>9</v>
      </c>
    </row>
    <row r="16" spans="1:17">
      <c r="B16" t="s">
        <v>2709</v>
      </c>
      <c r="C16" t="s">
        <v>1129</v>
      </c>
      <c r="E16" t="s">
        <v>3319</v>
      </c>
      <c r="F16" t="s">
        <v>3320</v>
      </c>
      <c r="G16" t="s">
        <v>3287</v>
      </c>
      <c r="I16" t="s">
        <v>1271</v>
      </c>
      <c r="J16" t="s">
        <v>1239</v>
      </c>
      <c r="N16" s="1" t="s">
        <v>3805</v>
      </c>
      <c r="O16" t="s">
        <v>165</v>
      </c>
      <c r="P16" t="s">
        <v>38</v>
      </c>
      <c r="Q16" t="s">
        <v>9</v>
      </c>
    </row>
    <row r="17" spans="1:17">
      <c r="B17" t="s">
        <v>2710</v>
      </c>
      <c r="C17" t="s">
        <v>1129</v>
      </c>
      <c r="E17" t="s">
        <v>3319</v>
      </c>
      <c r="F17" t="s">
        <v>3320</v>
      </c>
      <c r="G17" t="s">
        <v>3287</v>
      </c>
      <c r="I17" t="s">
        <v>1240</v>
      </c>
      <c r="N17" s="1" t="s">
        <v>3805</v>
      </c>
      <c r="O17" t="s">
        <v>154</v>
      </c>
      <c r="P17" t="s">
        <v>15</v>
      </c>
      <c r="Q17" t="s">
        <v>9</v>
      </c>
    </row>
    <row r="18" spans="1:17">
      <c r="B18" t="s">
        <v>2711</v>
      </c>
      <c r="C18" t="s">
        <v>1129</v>
      </c>
      <c r="E18" t="s">
        <v>3319</v>
      </c>
      <c r="F18" t="s">
        <v>3320</v>
      </c>
      <c r="G18" t="s">
        <v>3291</v>
      </c>
      <c r="I18" t="s">
        <v>1074</v>
      </c>
      <c r="J18" t="s">
        <v>1241</v>
      </c>
      <c r="N18" s="1" t="s">
        <v>3805</v>
      </c>
      <c r="O18" t="s">
        <v>166</v>
      </c>
      <c r="P18" t="s">
        <v>48</v>
      </c>
      <c r="Q18" t="s">
        <v>9</v>
      </c>
    </row>
    <row r="19" spans="1:17">
      <c r="B19" t="s">
        <v>2712</v>
      </c>
      <c r="C19" t="s">
        <v>1129</v>
      </c>
      <c r="E19" t="s">
        <v>3319</v>
      </c>
      <c r="F19" t="s">
        <v>3320</v>
      </c>
      <c r="G19" t="s">
        <v>3307</v>
      </c>
      <c r="H19" t="s">
        <v>3314</v>
      </c>
      <c r="I19" t="s">
        <v>1242</v>
      </c>
      <c r="N19" s="1" t="s">
        <v>3805</v>
      </c>
      <c r="O19" t="s">
        <v>154</v>
      </c>
      <c r="P19" t="s">
        <v>610</v>
      </c>
      <c r="Q19" t="s">
        <v>9</v>
      </c>
    </row>
    <row r="20" spans="1:17">
      <c r="B20" t="s">
        <v>2713</v>
      </c>
      <c r="C20" t="s">
        <v>1272</v>
      </c>
      <c r="E20" t="s">
        <v>3319</v>
      </c>
      <c r="F20" t="s">
        <v>3320</v>
      </c>
      <c r="G20" t="s">
        <v>3312</v>
      </c>
      <c r="I20" t="s">
        <v>1243</v>
      </c>
      <c r="J20" t="s">
        <v>1244</v>
      </c>
      <c r="N20" s="1" t="s">
        <v>3805</v>
      </c>
      <c r="O20" t="s">
        <v>154</v>
      </c>
      <c r="P20" t="s">
        <v>49</v>
      </c>
      <c r="Q20" t="s">
        <v>9</v>
      </c>
    </row>
    <row r="21" spans="1:17">
      <c r="B21" t="s">
        <v>2714</v>
      </c>
      <c r="C21" t="s">
        <v>1130</v>
      </c>
      <c r="E21" t="s">
        <v>3319</v>
      </c>
      <c r="F21" t="s">
        <v>3320</v>
      </c>
      <c r="G21" t="s">
        <v>3312</v>
      </c>
      <c r="I21" t="s">
        <v>1245</v>
      </c>
      <c r="N21" s="1" t="s">
        <v>3805</v>
      </c>
      <c r="O21" t="s">
        <v>156</v>
      </c>
      <c r="P21" t="s">
        <v>179</v>
      </c>
      <c r="Q21" t="s">
        <v>9</v>
      </c>
    </row>
    <row r="22" spans="1:17">
      <c r="B22" t="s">
        <v>2715</v>
      </c>
      <c r="C22" t="s">
        <v>1129</v>
      </c>
      <c r="E22" t="s">
        <v>3319</v>
      </c>
      <c r="F22" t="s">
        <v>3320</v>
      </c>
      <c r="G22" t="s">
        <v>3287</v>
      </c>
      <c r="I22" t="s">
        <v>1110</v>
      </c>
      <c r="J22" t="s">
        <v>1246</v>
      </c>
      <c r="K22" t="s">
        <v>1273</v>
      </c>
      <c r="N22" s="1" t="s">
        <v>3805</v>
      </c>
      <c r="O22" t="s">
        <v>157</v>
      </c>
      <c r="P22" t="s">
        <v>29</v>
      </c>
      <c r="Q22" t="s">
        <v>9</v>
      </c>
    </row>
    <row r="23" spans="1:17">
      <c r="B23" t="s">
        <v>2716</v>
      </c>
      <c r="C23" t="s">
        <v>1129</v>
      </c>
      <c r="E23" t="s">
        <v>3319</v>
      </c>
      <c r="F23" t="s">
        <v>3320</v>
      </c>
      <c r="G23" t="s">
        <v>3289</v>
      </c>
      <c r="H23" t="s">
        <v>3313</v>
      </c>
      <c r="I23" t="s">
        <v>1274</v>
      </c>
      <c r="N23" s="1" t="s">
        <v>3805</v>
      </c>
      <c r="O23" t="s">
        <v>154</v>
      </c>
      <c r="P23" t="s">
        <v>174</v>
      </c>
      <c r="Q23" t="s">
        <v>9</v>
      </c>
    </row>
    <row r="24" spans="1:17">
      <c r="B24" t="s">
        <v>2717</v>
      </c>
      <c r="C24" t="s">
        <v>1275</v>
      </c>
      <c r="E24" t="s">
        <v>3323</v>
      </c>
      <c r="F24" t="s">
        <v>3320</v>
      </c>
      <c r="G24" t="s">
        <v>3287</v>
      </c>
      <c r="I24" t="s">
        <v>1247</v>
      </c>
      <c r="J24" t="s">
        <v>1248</v>
      </c>
      <c r="N24" s="1" t="s">
        <v>3810</v>
      </c>
      <c r="O24" t="s">
        <v>782</v>
      </c>
      <c r="P24" t="s">
        <v>184</v>
      </c>
      <c r="Q24" t="s">
        <v>9</v>
      </c>
    </row>
    <row r="25" spans="1:17">
      <c r="B25" t="s">
        <v>2718</v>
      </c>
      <c r="C25" t="s">
        <v>1129</v>
      </c>
      <c r="E25" t="s">
        <v>3319</v>
      </c>
      <c r="F25" t="s">
        <v>3320</v>
      </c>
      <c r="G25" t="s">
        <v>3306</v>
      </c>
      <c r="I25" t="s">
        <v>1110</v>
      </c>
      <c r="J25" t="s">
        <v>1249</v>
      </c>
      <c r="N25" s="1" t="s">
        <v>3805</v>
      </c>
      <c r="O25" t="s">
        <v>156</v>
      </c>
      <c r="P25" t="s">
        <v>36</v>
      </c>
      <c r="Q25" t="s">
        <v>9</v>
      </c>
    </row>
    <row r="26" spans="1:17">
      <c r="B26" t="s">
        <v>2719</v>
      </c>
      <c r="C26" t="s">
        <v>1129</v>
      </c>
      <c r="E26" t="s">
        <v>3319</v>
      </c>
      <c r="F26" t="s">
        <v>3320</v>
      </c>
      <c r="G26" t="s">
        <v>3291</v>
      </c>
      <c r="I26" t="s">
        <v>1250</v>
      </c>
      <c r="J26" t="s">
        <v>1276</v>
      </c>
      <c r="N26" s="1" t="s">
        <v>3805</v>
      </c>
      <c r="O26" t="s">
        <v>165</v>
      </c>
      <c r="P26" t="s">
        <v>53</v>
      </c>
      <c r="Q26" t="s">
        <v>9</v>
      </c>
    </row>
    <row r="27" spans="1:17">
      <c r="A27" s="9"/>
      <c r="B27" s="9" t="s">
        <v>2720</v>
      </c>
      <c r="C27" s="9" t="s">
        <v>1129</v>
      </c>
      <c r="D27" s="9"/>
      <c r="E27" s="9" t="s">
        <v>3319</v>
      </c>
      <c r="F27" s="9" t="s">
        <v>3320</v>
      </c>
      <c r="G27" s="9" t="s">
        <v>3311</v>
      </c>
      <c r="H27" s="9" t="s">
        <v>3296</v>
      </c>
      <c r="I27" s="9" t="s">
        <v>1251</v>
      </c>
      <c r="J27" s="9"/>
      <c r="K27" s="9"/>
      <c r="L27" s="9"/>
      <c r="M27" s="9"/>
      <c r="N27" s="12"/>
      <c r="O27" s="9" t="s">
        <v>158</v>
      </c>
      <c r="P27" s="9" t="s">
        <v>609</v>
      </c>
      <c r="Q27" s="9" t="s">
        <v>9</v>
      </c>
    </row>
    <row r="28" spans="1:17">
      <c r="A28" s="9"/>
      <c r="B28" s="9" t="s">
        <v>2721</v>
      </c>
      <c r="C28" s="9" t="s">
        <v>1132</v>
      </c>
      <c r="D28" s="9"/>
      <c r="E28" s="9" t="s">
        <v>3319</v>
      </c>
      <c r="F28" s="9" t="s">
        <v>3320</v>
      </c>
      <c r="G28" s="9" t="s">
        <v>3307</v>
      </c>
      <c r="H28" s="9" t="s">
        <v>3296</v>
      </c>
      <c r="I28" s="9" t="s">
        <v>1252</v>
      </c>
      <c r="J28" s="9"/>
      <c r="K28" s="9"/>
      <c r="L28" s="9"/>
      <c r="M28" s="9"/>
      <c r="N28" s="12" t="s">
        <v>3473</v>
      </c>
      <c r="O28" s="9" t="s">
        <v>154</v>
      </c>
      <c r="P28" s="9" t="s">
        <v>612</v>
      </c>
      <c r="Q28" s="9" t="s">
        <v>9</v>
      </c>
    </row>
    <row r="29" spans="1:17">
      <c r="A29" s="9"/>
      <c r="B29" s="9" t="s">
        <v>2722</v>
      </c>
      <c r="C29" s="9" t="s">
        <v>1132</v>
      </c>
      <c r="D29" s="9"/>
      <c r="E29" s="9" t="s">
        <v>3319</v>
      </c>
      <c r="F29" s="9" t="s">
        <v>3320</v>
      </c>
      <c r="G29" s="9" t="s">
        <v>3287</v>
      </c>
      <c r="H29" s="9"/>
      <c r="I29" s="9" t="s">
        <v>1253</v>
      </c>
      <c r="J29" s="9"/>
      <c r="K29" s="9"/>
      <c r="L29" s="9"/>
      <c r="M29" s="9"/>
      <c r="N29" s="12" t="s">
        <v>3473</v>
      </c>
      <c r="O29" s="9" t="s">
        <v>161</v>
      </c>
      <c r="P29" s="9" t="s">
        <v>185</v>
      </c>
      <c r="Q29" s="9" t="s">
        <v>9</v>
      </c>
    </row>
    <row r="30" spans="1:17">
      <c r="B30" t="s">
        <v>2723</v>
      </c>
      <c r="C30" t="s">
        <v>1132</v>
      </c>
      <c r="E30" t="s">
        <v>3319</v>
      </c>
      <c r="F30" t="s">
        <v>3320</v>
      </c>
      <c r="G30" t="s">
        <v>3287</v>
      </c>
      <c r="I30" t="s">
        <v>1254</v>
      </c>
      <c r="N30" s="1" t="s">
        <v>3805</v>
      </c>
      <c r="O30" t="s">
        <v>618</v>
      </c>
      <c r="P30" t="s">
        <v>34</v>
      </c>
      <c r="Q30" t="s">
        <v>9</v>
      </c>
    </row>
    <row r="31" spans="1:17">
      <c r="B31" t="s">
        <v>2724</v>
      </c>
      <c r="C31" t="s">
        <v>1132</v>
      </c>
      <c r="E31" t="s">
        <v>3319</v>
      </c>
      <c r="F31" t="s">
        <v>3320</v>
      </c>
      <c r="G31" t="s">
        <v>3287</v>
      </c>
      <c r="I31" t="s">
        <v>1255</v>
      </c>
      <c r="N31" s="1" t="s">
        <v>3473</v>
      </c>
      <c r="O31" t="s">
        <v>162</v>
      </c>
      <c r="P31" t="s">
        <v>186</v>
      </c>
      <c r="Q31" t="s">
        <v>9</v>
      </c>
    </row>
    <row r="32" spans="1:17">
      <c r="B32" t="s">
        <v>2725</v>
      </c>
      <c r="C32" t="s">
        <v>1131</v>
      </c>
      <c r="E32" t="s">
        <v>3323</v>
      </c>
      <c r="F32" t="s">
        <v>3320</v>
      </c>
      <c r="I32" t="s">
        <v>1256</v>
      </c>
      <c r="N32" s="1" t="s">
        <v>3805</v>
      </c>
      <c r="O32" t="s">
        <v>164</v>
      </c>
      <c r="P32" t="s">
        <v>27</v>
      </c>
      <c r="Q32" t="s">
        <v>9</v>
      </c>
    </row>
    <row r="33" spans="1:17">
      <c r="A33" s="5"/>
      <c r="B33" s="5" t="s">
        <v>2726</v>
      </c>
      <c r="C33" s="5" t="s">
        <v>1277</v>
      </c>
      <c r="D33" s="5"/>
      <c r="E33" s="5" t="s">
        <v>3319</v>
      </c>
      <c r="F33" s="5" t="s">
        <v>3320</v>
      </c>
      <c r="G33" s="5" t="s">
        <v>3289</v>
      </c>
      <c r="H33" s="5"/>
      <c r="I33" s="5" t="s">
        <v>1257</v>
      </c>
      <c r="J33" s="5" t="s">
        <v>1258</v>
      </c>
      <c r="K33" s="5"/>
      <c r="L33" s="5"/>
      <c r="M33" s="5"/>
      <c r="N33" s="23" t="s">
        <v>3473</v>
      </c>
      <c r="O33" s="5" t="s">
        <v>154</v>
      </c>
      <c r="P33" s="5" t="s">
        <v>48</v>
      </c>
      <c r="Q33" s="5" t="s">
        <v>9</v>
      </c>
    </row>
    <row r="34" spans="1:17">
      <c r="B34" t="s">
        <v>2727</v>
      </c>
      <c r="C34" t="s">
        <v>1133</v>
      </c>
      <c r="E34" t="s">
        <v>3323</v>
      </c>
      <c r="F34" t="s">
        <v>3320</v>
      </c>
      <c r="G34" t="s">
        <v>3287</v>
      </c>
      <c r="I34" t="s">
        <v>1259</v>
      </c>
      <c r="J34" t="s">
        <v>1260</v>
      </c>
      <c r="N34" s="1" t="s">
        <v>3805</v>
      </c>
      <c r="O34" t="s">
        <v>154</v>
      </c>
      <c r="P34" t="s">
        <v>31</v>
      </c>
      <c r="Q34" t="s">
        <v>9</v>
      </c>
    </row>
    <row r="35" spans="1:17">
      <c r="B35" t="s">
        <v>2728</v>
      </c>
      <c r="C35" t="s">
        <v>1133</v>
      </c>
      <c r="E35" t="s">
        <v>3319</v>
      </c>
      <c r="F35" t="s">
        <v>3320</v>
      </c>
      <c r="G35" t="s">
        <v>3287</v>
      </c>
      <c r="I35" t="s">
        <v>1278</v>
      </c>
      <c r="N35" s="1" t="s">
        <v>3805</v>
      </c>
      <c r="O35" t="s">
        <v>616</v>
      </c>
      <c r="P35" t="s">
        <v>33</v>
      </c>
      <c r="Q35" t="s">
        <v>9</v>
      </c>
    </row>
    <row r="36" spans="1:17">
      <c r="B36" t="s">
        <v>2729</v>
      </c>
      <c r="C36" t="s">
        <v>1279</v>
      </c>
      <c r="E36" t="s">
        <v>3323</v>
      </c>
      <c r="F36" t="s">
        <v>3320</v>
      </c>
      <c r="G36" t="s">
        <v>3311</v>
      </c>
      <c r="I36" t="s">
        <v>1261</v>
      </c>
      <c r="J36" t="s">
        <v>1283</v>
      </c>
      <c r="N36" s="1" t="s">
        <v>3805</v>
      </c>
      <c r="O36" t="s">
        <v>962</v>
      </c>
      <c r="P36" t="s">
        <v>53</v>
      </c>
      <c r="Q36" t="s">
        <v>9</v>
      </c>
    </row>
    <row r="37" spans="1:17">
      <c r="B37" t="s">
        <v>2730</v>
      </c>
      <c r="C37" t="s">
        <v>1223</v>
      </c>
      <c r="E37" t="s">
        <v>3319</v>
      </c>
      <c r="F37" t="s">
        <v>3320</v>
      </c>
      <c r="G37" t="s">
        <v>3287</v>
      </c>
      <c r="I37" t="s">
        <v>1262</v>
      </c>
      <c r="N37" s="1" t="s">
        <v>3805</v>
      </c>
      <c r="O37" t="s">
        <v>1124</v>
      </c>
      <c r="P37" t="s">
        <v>31</v>
      </c>
      <c r="Q37" t="s">
        <v>9</v>
      </c>
    </row>
    <row r="38" spans="1:17">
      <c r="B38" t="s">
        <v>2731</v>
      </c>
      <c r="C38" t="s">
        <v>1223</v>
      </c>
      <c r="E38" t="s">
        <v>3319</v>
      </c>
      <c r="F38" t="s">
        <v>3320</v>
      </c>
      <c r="G38" t="s">
        <v>3299</v>
      </c>
      <c r="I38" t="s">
        <v>1263</v>
      </c>
      <c r="J38" t="s">
        <v>1264</v>
      </c>
      <c r="N38" s="1" t="s">
        <v>3473</v>
      </c>
      <c r="O38" t="s">
        <v>161</v>
      </c>
      <c r="P38" t="s">
        <v>26</v>
      </c>
      <c r="Q38" t="s">
        <v>9</v>
      </c>
    </row>
    <row r="39" spans="1:17">
      <c r="B39" t="s">
        <v>2732</v>
      </c>
      <c r="C39" t="s">
        <v>1280</v>
      </c>
      <c r="E39" t="s">
        <v>3323</v>
      </c>
      <c r="F39" t="s">
        <v>3320</v>
      </c>
      <c r="G39" t="s">
        <v>3287</v>
      </c>
      <c r="I39" t="s">
        <v>1281</v>
      </c>
      <c r="J39" t="s">
        <v>1282</v>
      </c>
      <c r="N39" s="1" t="s">
        <v>3805</v>
      </c>
      <c r="O39" t="s">
        <v>616</v>
      </c>
      <c r="P39" t="s">
        <v>31</v>
      </c>
      <c r="Q39" t="s">
        <v>9</v>
      </c>
    </row>
    <row r="40" spans="1:17">
      <c r="N40" s="1" t="s">
        <v>3805</v>
      </c>
    </row>
    <row r="41" spans="1:17">
      <c r="A41" s="1"/>
      <c r="B41" s="1" t="s">
        <v>2702</v>
      </c>
      <c r="C41" s="1" t="s">
        <v>1128</v>
      </c>
      <c r="D41" s="1"/>
      <c r="E41" s="1" t="s">
        <v>3319</v>
      </c>
      <c r="F41" s="1" t="s">
        <v>3320</v>
      </c>
      <c r="G41" s="1" t="s">
        <v>3287</v>
      </c>
      <c r="H41" s="1"/>
      <c r="I41" s="1" t="s">
        <v>1231</v>
      </c>
      <c r="J41" s="1"/>
      <c r="K41" s="1"/>
      <c r="L41" s="1"/>
      <c r="M41" s="1"/>
      <c r="N41" s="1" t="s">
        <v>3805</v>
      </c>
      <c r="O41" s="1" t="s">
        <v>162</v>
      </c>
      <c r="P41" s="1" t="s">
        <v>785</v>
      </c>
      <c r="Q41" s="1" t="s">
        <v>41</v>
      </c>
    </row>
    <row r="42" spans="1:17">
      <c r="A42" s="1"/>
      <c r="B42" s="1" t="s">
        <v>2733</v>
      </c>
      <c r="C42" s="1" t="s">
        <v>1130</v>
      </c>
      <c r="D42" s="1"/>
      <c r="E42" s="2" t="s">
        <v>3323</v>
      </c>
      <c r="F42" s="2" t="s">
        <v>3320</v>
      </c>
      <c r="G42" s="2" t="s">
        <v>3289</v>
      </c>
      <c r="H42" s="2"/>
      <c r="I42" t="s">
        <v>19</v>
      </c>
      <c r="J42" t="s">
        <v>1284</v>
      </c>
      <c r="M42" t="s">
        <v>153</v>
      </c>
      <c r="N42" s="1" t="s">
        <v>3805</v>
      </c>
      <c r="O42" t="s">
        <v>164</v>
      </c>
    </row>
    <row r="43" spans="1:17">
      <c r="B43" t="s">
        <v>2734</v>
      </c>
      <c r="C43" t="s">
        <v>3387</v>
      </c>
      <c r="E43" t="s">
        <v>3398</v>
      </c>
      <c r="F43" t="s">
        <v>3405</v>
      </c>
      <c r="I43" t="s">
        <v>1285</v>
      </c>
      <c r="J43" t="s">
        <v>1286</v>
      </c>
      <c r="K43" t="s">
        <v>1287</v>
      </c>
      <c r="M43" t="s">
        <v>153</v>
      </c>
      <c r="N43" s="1" t="s">
        <v>3805</v>
      </c>
      <c r="O43">
        <v>3</v>
      </c>
      <c r="P43" t="s">
        <v>48</v>
      </c>
      <c r="Q43" t="s">
        <v>41</v>
      </c>
    </row>
    <row r="44" spans="1:17">
      <c r="N44" s="1" t="s">
        <v>3805</v>
      </c>
    </row>
    <row r="45" spans="1:17">
      <c r="N45" s="1" t="s">
        <v>3805</v>
      </c>
    </row>
    <row r="46" spans="1:17">
      <c r="N46" s="1" t="s">
        <v>3805</v>
      </c>
    </row>
    <row r="47" spans="1:17">
      <c r="N47" s="1" t="s">
        <v>3805</v>
      </c>
    </row>
    <row r="48" spans="1:17">
      <c r="N48" s="1" t="s">
        <v>3805</v>
      </c>
    </row>
    <row r="49" spans="14:14">
      <c r="N49" s="1" t="s">
        <v>3805</v>
      </c>
    </row>
    <row r="50" spans="14:14">
      <c r="N50" s="1" t="s">
        <v>3805</v>
      </c>
    </row>
    <row r="51" spans="14:14">
      <c r="N51" s="1" t="s">
        <v>3805</v>
      </c>
    </row>
    <row r="52" spans="14:14">
      <c r="N52" s="1" t="s">
        <v>3805</v>
      </c>
    </row>
    <row r="53" spans="14:14">
      <c r="N53" s="1" t="s">
        <v>3805</v>
      </c>
    </row>
    <row r="54" spans="14:14">
      <c r="N54" s="1" t="s">
        <v>3805</v>
      </c>
    </row>
    <row r="55" spans="14:14">
      <c r="N55" s="1" t="s">
        <v>3805</v>
      </c>
    </row>
    <row r="56" spans="14:14">
      <c r="N56" s="1" t="s">
        <v>3805</v>
      </c>
    </row>
    <row r="57" spans="14:14">
      <c r="N57" s="1" t="s">
        <v>3805</v>
      </c>
    </row>
    <row r="58" spans="14:14">
      <c r="N58" s="1" t="s">
        <v>3805</v>
      </c>
    </row>
    <row r="59" spans="14:14">
      <c r="N59" s="1" t="s">
        <v>3805</v>
      </c>
    </row>
    <row r="60" spans="14:14">
      <c r="N60" s="1" t="s">
        <v>3805</v>
      </c>
    </row>
    <row r="61" spans="14:14">
      <c r="N61" s="1" t="s">
        <v>3805</v>
      </c>
    </row>
    <row r="62" spans="14:14">
      <c r="N62" s="1" t="s">
        <v>3805</v>
      </c>
    </row>
    <row r="63" spans="14:14">
      <c r="N63" s="1" t="s">
        <v>3805</v>
      </c>
    </row>
    <row r="64" spans="14:14">
      <c r="N64" s="1" t="s">
        <v>3805</v>
      </c>
    </row>
    <row r="65" spans="14:14">
      <c r="N65" s="1" t="s">
        <v>3805</v>
      </c>
    </row>
    <row r="66" spans="14:14">
      <c r="N66" s="1" t="s">
        <v>3805</v>
      </c>
    </row>
    <row r="67" spans="14:14">
      <c r="N67" s="1" t="s">
        <v>3805</v>
      </c>
    </row>
    <row r="68" spans="14:14">
      <c r="N68" s="1" t="s">
        <v>3805</v>
      </c>
    </row>
    <row r="69" spans="14:14">
      <c r="N69" s="1" t="s">
        <v>3805</v>
      </c>
    </row>
    <row r="70" spans="14:14">
      <c r="N70" s="1" t="s">
        <v>3805</v>
      </c>
    </row>
    <row r="71" spans="14:14">
      <c r="N71" s="1" t="s">
        <v>3805</v>
      </c>
    </row>
    <row r="72" spans="14:14">
      <c r="N72" s="1" t="s">
        <v>3805</v>
      </c>
    </row>
    <row r="73" spans="14:14">
      <c r="N73" s="1" t="s">
        <v>3805</v>
      </c>
    </row>
    <row r="74" spans="14:14">
      <c r="N74" s="1" t="s">
        <v>3805</v>
      </c>
    </row>
    <row r="75" spans="14:14">
      <c r="N75" s="1" t="s">
        <v>3805</v>
      </c>
    </row>
    <row r="76" spans="14:14">
      <c r="N76" s="1" t="s">
        <v>3805</v>
      </c>
    </row>
    <row r="77" spans="14:14">
      <c r="N77" s="1" t="s">
        <v>3805</v>
      </c>
    </row>
    <row r="78" spans="14:14">
      <c r="N78" s="1" t="s">
        <v>3805</v>
      </c>
    </row>
    <row r="79" spans="14:14">
      <c r="N79" s="1" t="s">
        <v>3805</v>
      </c>
    </row>
    <row r="80" spans="14:14">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row r="87" spans="14:14">
      <c r="N87" s="1" t="s">
        <v>3805</v>
      </c>
    </row>
  </sheetData>
  <autoFilter ref="A1:W87"/>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87"/>
  <sheetViews>
    <sheetView topLeftCell="A70" workbookViewId="0">
      <selection activeCell="B81" sqref="B81:Q81"/>
    </sheetView>
  </sheetViews>
  <sheetFormatPr defaultRowHeight="18.75"/>
  <sheetData>
    <row r="1" spans="1:20">
      <c r="B1" t="s">
        <v>3474</v>
      </c>
      <c r="C1" t="s">
        <v>3475</v>
      </c>
      <c r="D1" t="s">
        <v>3489</v>
      </c>
      <c r="E1" t="s">
        <v>3477</v>
      </c>
      <c r="F1" t="s">
        <v>3479</v>
      </c>
      <c r="G1" t="s">
        <v>3481</v>
      </c>
      <c r="H1" t="s">
        <v>3482</v>
      </c>
      <c r="I1" t="s">
        <v>3483</v>
      </c>
      <c r="N1" s="1" t="s">
        <v>3805</v>
      </c>
      <c r="O1" t="s">
        <v>3484</v>
      </c>
      <c r="P1" t="s">
        <v>3486</v>
      </c>
    </row>
    <row r="2" spans="1:20">
      <c r="A2" s="1"/>
      <c r="B2" s="1" t="s">
        <v>2735</v>
      </c>
      <c r="C2" s="1" t="s">
        <v>1454</v>
      </c>
      <c r="D2" s="1">
        <v>1</v>
      </c>
      <c r="E2" s="1" t="s">
        <v>3319</v>
      </c>
      <c r="F2" s="1" t="s">
        <v>3320</v>
      </c>
      <c r="G2" s="1" t="s">
        <v>3291</v>
      </c>
      <c r="H2" s="1"/>
      <c r="I2" s="1" t="s">
        <v>1368</v>
      </c>
      <c r="J2" s="1"/>
      <c r="K2" s="1"/>
      <c r="L2" s="1"/>
      <c r="M2" s="1"/>
      <c r="N2" s="1" t="s">
        <v>3805</v>
      </c>
      <c r="O2" s="1" t="s">
        <v>156</v>
      </c>
      <c r="P2" s="1" t="s">
        <v>17</v>
      </c>
      <c r="Q2" s="1" t="s">
        <v>4</v>
      </c>
      <c r="S2">
        <f t="shared" ref="S2:S20" si="0">COUNTIF(F:H,T2)</f>
        <v>22</v>
      </c>
      <c r="T2" t="s">
        <v>3465</v>
      </c>
    </row>
    <row r="3" spans="1:20">
      <c r="A3" s="1"/>
      <c r="B3" s="1" t="s">
        <v>2736</v>
      </c>
      <c r="C3" s="1" t="s">
        <v>1454</v>
      </c>
      <c r="D3" s="1">
        <v>1</v>
      </c>
      <c r="E3" s="1" t="s">
        <v>3319</v>
      </c>
      <c r="F3" s="1" t="s">
        <v>3320</v>
      </c>
      <c r="G3" s="1" t="s">
        <v>3311</v>
      </c>
      <c r="H3" s="1"/>
      <c r="I3" t="s">
        <v>1369</v>
      </c>
      <c r="N3" s="1" t="s">
        <v>3805</v>
      </c>
      <c r="O3" t="s">
        <v>156</v>
      </c>
      <c r="P3" t="s">
        <v>49</v>
      </c>
      <c r="Q3" t="s">
        <v>4</v>
      </c>
      <c r="S3">
        <f t="shared" si="0"/>
        <v>10</v>
      </c>
      <c r="T3" t="s">
        <v>3466</v>
      </c>
    </row>
    <row r="4" spans="1:20">
      <c r="B4" t="s">
        <v>2737</v>
      </c>
      <c r="C4" t="s">
        <v>1454</v>
      </c>
      <c r="D4">
        <v>1</v>
      </c>
      <c r="E4" t="s">
        <v>3319</v>
      </c>
      <c r="F4" t="s">
        <v>3320</v>
      </c>
      <c r="G4" t="s">
        <v>3286</v>
      </c>
      <c r="I4" t="s">
        <v>1370</v>
      </c>
      <c r="N4" s="1" t="s">
        <v>3805</v>
      </c>
      <c r="O4" t="s">
        <v>156</v>
      </c>
      <c r="P4" t="s">
        <v>14</v>
      </c>
      <c r="Q4" t="s">
        <v>4</v>
      </c>
      <c r="S4">
        <f t="shared" si="0"/>
        <v>6</v>
      </c>
      <c r="T4" t="s">
        <v>3470</v>
      </c>
    </row>
    <row r="5" spans="1:20">
      <c r="B5" t="s">
        <v>2738</v>
      </c>
      <c r="C5" t="s">
        <v>1454</v>
      </c>
      <c r="D5">
        <v>1</v>
      </c>
      <c r="E5" t="s">
        <v>3319</v>
      </c>
      <c r="F5" t="s">
        <v>3320</v>
      </c>
      <c r="G5" t="s">
        <v>3291</v>
      </c>
      <c r="I5" t="s">
        <v>1371</v>
      </c>
      <c r="N5" s="1" t="s">
        <v>3805</v>
      </c>
      <c r="O5" t="s">
        <v>156</v>
      </c>
      <c r="P5" t="s">
        <v>52</v>
      </c>
      <c r="Q5" t="s">
        <v>4</v>
      </c>
      <c r="S5">
        <f t="shared" si="0"/>
        <v>1</v>
      </c>
      <c r="T5" t="s">
        <v>3289</v>
      </c>
    </row>
    <row r="6" spans="1:20">
      <c r="B6" t="s">
        <v>2739</v>
      </c>
      <c r="C6" t="s">
        <v>1454</v>
      </c>
      <c r="D6">
        <v>1</v>
      </c>
      <c r="E6" t="s">
        <v>3319</v>
      </c>
      <c r="F6" t="s">
        <v>3320</v>
      </c>
      <c r="G6" t="s">
        <v>3311</v>
      </c>
      <c r="I6" t="s">
        <v>1118</v>
      </c>
      <c r="J6" t="s">
        <v>1455</v>
      </c>
      <c r="K6" t="s">
        <v>1372</v>
      </c>
      <c r="N6" s="1" t="s">
        <v>3805</v>
      </c>
      <c r="O6" t="s">
        <v>156</v>
      </c>
      <c r="P6" t="s">
        <v>32</v>
      </c>
      <c r="Q6" t="s">
        <v>4</v>
      </c>
      <c r="S6">
        <f t="shared" si="0"/>
        <v>6</v>
      </c>
      <c r="T6" t="s">
        <v>3468</v>
      </c>
    </row>
    <row r="7" spans="1:20">
      <c r="A7" s="5"/>
      <c r="B7" s="5" t="s">
        <v>2740</v>
      </c>
      <c r="C7" s="5" t="s">
        <v>1454</v>
      </c>
      <c r="D7" s="5">
        <v>1</v>
      </c>
      <c r="E7" s="5" t="s">
        <v>3319</v>
      </c>
      <c r="F7" s="5" t="s">
        <v>3320</v>
      </c>
      <c r="G7" s="5" t="s">
        <v>3289</v>
      </c>
      <c r="H7" s="5"/>
      <c r="I7" s="5" t="s">
        <v>1452</v>
      </c>
      <c r="J7" s="5"/>
      <c r="K7" s="5"/>
      <c r="L7" s="5"/>
      <c r="M7" s="5"/>
      <c r="N7" s="23" t="s">
        <v>3805</v>
      </c>
      <c r="O7" s="5" t="s">
        <v>156</v>
      </c>
      <c r="P7" s="5" t="s">
        <v>14</v>
      </c>
      <c r="Q7" s="5" t="s">
        <v>4</v>
      </c>
      <c r="S7">
        <f t="shared" si="0"/>
        <v>7</v>
      </c>
      <c r="T7" t="s">
        <v>3467</v>
      </c>
    </row>
    <row r="8" spans="1:20">
      <c r="B8" t="s">
        <v>2741</v>
      </c>
      <c r="C8" t="s">
        <v>1456</v>
      </c>
      <c r="D8">
        <v>2</v>
      </c>
      <c r="E8" t="s">
        <v>3319</v>
      </c>
      <c r="F8" t="s">
        <v>3320</v>
      </c>
      <c r="G8" t="s">
        <v>3290</v>
      </c>
      <c r="I8" t="s">
        <v>1373</v>
      </c>
      <c r="J8" t="s">
        <v>80</v>
      </c>
      <c r="N8" s="1"/>
      <c r="O8" t="s">
        <v>156</v>
      </c>
      <c r="P8" t="s">
        <v>34</v>
      </c>
      <c r="Q8" t="s">
        <v>4</v>
      </c>
      <c r="S8">
        <f t="shared" si="0"/>
        <v>1</v>
      </c>
      <c r="T8" t="s">
        <v>3294</v>
      </c>
    </row>
    <row r="9" spans="1:20">
      <c r="A9" s="5"/>
      <c r="B9" s="5" t="s">
        <v>2742</v>
      </c>
      <c r="C9" s="5" t="s">
        <v>1456</v>
      </c>
      <c r="D9" s="5">
        <v>2</v>
      </c>
      <c r="E9" s="5" t="s">
        <v>3319</v>
      </c>
      <c r="F9" s="5" t="s">
        <v>3320</v>
      </c>
      <c r="G9" s="5" t="s">
        <v>3293</v>
      </c>
      <c r="H9" s="5"/>
      <c r="I9" s="5" t="s">
        <v>1118</v>
      </c>
      <c r="J9" s="5" t="s">
        <v>1374</v>
      </c>
      <c r="K9" s="5"/>
      <c r="L9" s="5"/>
      <c r="M9" s="5"/>
      <c r="N9" s="23" t="s">
        <v>3805</v>
      </c>
      <c r="O9" s="5" t="s">
        <v>154</v>
      </c>
      <c r="P9" s="5" t="s">
        <v>38</v>
      </c>
      <c r="Q9" s="5" t="s">
        <v>4</v>
      </c>
      <c r="S9">
        <f t="shared" si="0"/>
        <v>4</v>
      </c>
      <c r="T9" t="s">
        <v>3287</v>
      </c>
    </row>
    <row r="10" spans="1:20">
      <c r="B10" t="s">
        <v>2743</v>
      </c>
      <c r="C10" t="s">
        <v>1456</v>
      </c>
      <c r="D10">
        <v>2</v>
      </c>
      <c r="E10" t="s">
        <v>3319</v>
      </c>
      <c r="F10" t="s">
        <v>3320</v>
      </c>
      <c r="G10" t="s">
        <v>3291</v>
      </c>
      <c r="I10" t="s">
        <v>1167</v>
      </c>
      <c r="N10" s="1"/>
      <c r="O10" t="s">
        <v>162</v>
      </c>
      <c r="P10" t="s">
        <v>6</v>
      </c>
      <c r="Q10" t="s">
        <v>4</v>
      </c>
      <c r="S10">
        <f t="shared" si="0"/>
        <v>5</v>
      </c>
      <c r="T10" t="s">
        <v>3469</v>
      </c>
    </row>
    <row r="11" spans="1:20">
      <c r="B11" t="s">
        <v>2744</v>
      </c>
      <c r="C11" t="s">
        <v>1456</v>
      </c>
      <c r="D11">
        <v>2</v>
      </c>
      <c r="E11" t="s">
        <v>3319</v>
      </c>
      <c r="F11" t="s">
        <v>3320</v>
      </c>
      <c r="G11" t="s">
        <v>3294</v>
      </c>
      <c r="I11" t="s">
        <v>1453</v>
      </c>
      <c r="N11" s="1" t="s">
        <v>3805</v>
      </c>
      <c r="O11" t="s">
        <v>162</v>
      </c>
      <c r="P11" t="s">
        <v>38</v>
      </c>
      <c r="Q11" t="s">
        <v>4</v>
      </c>
      <c r="S11">
        <f t="shared" si="0"/>
        <v>10</v>
      </c>
      <c r="T11" t="s">
        <v>3315</v>
      </c>
    </row>
    <row r="12" spans="1:20">
      <c r="B12" t="s">
        <v>2745</v>
      </c>
      <c r="C12" t="s">
        <v>1456</v>
      </c>
      <c r="D12">
        <v>2</v>
      </c>
      <c r="E12" t="s">
        <v>3319</v>
      </c>
      <c r="F12" t="s">
        <v>3320</v>
      </c>
      <c r="G12" t="s">
        <v>3287</v>
      </c>
      <c r="I12" t="s">
        <v>1375</v>
      </c>
      <c r="N12" s="1" t="s">
        <v>3473</v>
      </c>
      <c r="O12" t="s">
        <v>156</v>
      </c>
      <c r="P12" t="s">
        <v>178</v>
      </c>
      <c r="Q12" t="s">
        <v>4</v>
      </c>
      <c r="S12">
        <f t="shared" si="0"/>
        <v>4</v>
      </c>
      <c r="T12" t="s">
        <v>3299</v>
      </c>
    </row>
    <row r="13" spans="1:20">
      <c r="B13" t="s">
        <v>2746</v>
      </c>
      <c r="C13" t="s">
        <v>1456</v>
      </c>
      <c r="D13">
        <v>2</v>
      </c>
      <c r="E13" t="s">
        <v>3319</v>
      </c>
      <c r="F13" t="s">
        <v>3320</v>
      </c>
      <c r="G13" t="s">
        <v>3306</v>
      </c>
      <c r="I13" t="s">
        <v>1457</v>
      </c>
      <c r="N13" s="1" t="s">
        <v>3805</v>
      </c>
      <c r="O13" t="s">
        <v>154</v>
      </c>
      <c r="P13" t="s">
        <v>30</v>
      </c>
      <c r="Q13" t="s">
        <v>4</v>
      </c>
      <c r="S13">
        <f t="shared" si="0"/>
        <v>3</v>
      </c>
      <c r="T13" t="s">
        <v>3292</v>
      </c>
    </row>
    <row r="14" spans="1:20">
      <c r="A14" s="5"/>
      <c r="B14" s="5" t="s">
        <v>2747</v>
      </c>
      <c r="C14" s="5" t="s">
        <v>1456</v>
      </c>
      <c r="D14" s="5">
        <v>2</v>
      </c>
      <c r="E14" s="5" t="s">
        <v>3319</v>
      </c>
      <c r="F14" s="5" t="s">
        <v>3320</v>
      </c>
      <c r="G14" s="5" t="s">
        <v>3291</v>
      </c>
      <c r="H14" s="5"/>
      <c r="I14" s="5" t="s">
        <v>3806</v>
      </c>
      <c r="J14" s="5" t="s">
        <v>1376</v>
      </c>
      <c r="K14" s="5"/>
      <c r="L14" s="5"/>
      <c r="M14" s="5"/>
      <c r="N14" s="1" t="s">
        <v>3473</v>
      </c>
      <c r="O14" s="5" t="s">
        <v>170</v>
      </c>
      <c r="P14" s="5" t="s">
        <v>33</v>
      </c>
      <c r="Q14" s="5" t="s">
        <v>4</v>
      </c>
      <c r="R14" s="5"/>
      <c r="S14">
        <f t="shared" si="0"/>
        <v>1</v>
      </c>
      <c r="T14" t="s">
        <v>3313</v>
      </c>
    </row>
    <row r="15" spans="1:20">
      <c r="A15" s="5"/>
      <c r="B15" s="5" t="s">
        <v>2748</v>
      </c>
      <c r="C15" s="5" t="s">
        <v>1456</v>
      </c>
      <c r="D15" s="5">
        <v>2</v>
      </c>
      <c r="E15" s="5" t="s">
        <v>3319</v>
      </c>
      <c r="F15" s="5" t="s">
        <v>3320</v>
      </c>
      <c r="G15" s="5" t="s">
        <v>3315</v>
      </c>
      <c r="H15" s="5"/>
      <c r="I15" s="5" t="s">
        <v>1377</v>
      </c>
      <c r="J15" s="5"/>
      <c r="K15" s="5"/>
      <c r="L15" s="5"/>
      <c r="M15" s="5" t="s">
        <v>153</v>
      </c>
      <c r="N15" s="1" t="s">
        <v>3805</v>
      </c>
      <c r="O15" s="5" t="s">
        <v>162</v>
      </c>
      <c r="P15" s="5"/>
      <c r="Q15" s="5"/>
      <c r="R15" s="5"/>
      <c r="S15">
        <f t="shared" si="0"/>
        <v>1</v>
      </c>
      <c r="T15" t="s">
        <v>3297</v>
      </c>
    </row>
    <row r="16" spans="1:20">
      <c r="A16" s="5"/>
      <c r="B16" s="5" t="s">
        <v>2749</v>
      </c>
      <c r="C16" s="5" t="s">
        <v>3395</v>
      </c>
      <c r="D16" s="5"/>
      <c r="E16" s="5" t="s">
        <v>3319</v>
      </c>
      <c r="F16" s="5" t="s">
        <v>3315</v>
      </c>
      <c r="G16" s="5"/>
      <c r="H16" s="5"/>
      <c r="I16" s="5" t="s">
        <v>1378</v>
      </c>
      <c r="J16" s="5" t="s">
        <v>1379</v>
      </c>
      <c r="K16" s="5"/>
      <c r="L16" s="5"/>
      <c r="M16" s="5" t="s">
        <v>153</v>
      </c>
      <c r="N16" s="1" t="s">
        <v>3805</v>
      </c>
      <c r="O16" s="5" t="s">
        <v>165</v>
      </c>
      <c r="P16" s="5" t="s">
        <v>44</v>
      </c>
      <c r="Q16" s="5" t="s">
        <v>4</v>
      </c>
      <c r="R16" s="5"/>
      <c r="S16">
        <f t="shared" si="0"/>
        <v>1</v>
      </c>
      <c r="T16" t="s">
        <v>3285</v>
      </c>
    </row>
    <row r="17" spans="1:20">
      <c r="B17" t="s">
        <v>2750</v>
      </c>
      <c r="C17" t="s">
        <v>1456</v>
      </c>
      <c r="D17" s="8">
        <v>2</v>
      </c>
      <c r="E17" t="s">
        <v>3319</v>
      </c>
      <c r="F17" t="s">
        <v>3320</v>
      </c>
      <c r="G17" t="s">
        <v>3299</v>
      </c>
      <c r="I17" t="s">
        <v>1380</v>
      </c>
      <c r="N17" s="1" t="s">
        <v>3473</v>
      </c>
      <c r="O17" t="s">
        <v>161</v>
      </c>
      <c r="P17" t="s">
        <v>26</v>
      </c>
      <c r="Q17" t="s">
        <v>4</v>
      </c>
      <c r="S17">
        <f t="shared" si="0"/>
        <v>4</v>
      </c>
      <c r="T17" t="s">
        <v>3307</v>
      </c>
    </row>
    <row r="18" spans="1:20">
      <c r="B18" t="s">
        <v>2751</v>
      </c>
      <c r="C18" t="s">
        <v>1456</v>
      </c>
      <c r="D18" s="8">
        <v>2</v>
      </c>
      <c r="E18" t="s">
        <v>3319</v>
      </c>
      <c r="F18" t="s">
        <v>3320</v>
      </c>
      <c r="G18" t="s">
        <v>3292</v>
      </c>
      <c r="I18" t="s">
        <v>328</v>
      </c>
      <c r="J18" t="s">
        <v>1381</v>
      </c>
      <c r="N18" s="1" t="s">
        <v>3805</v>
      </c>
      <c r="O18" t="s">
        <v>156</v>
      </c>
      <c r="P18" t="s">
        <v>180</v>
      </c>
      <c r="Q18" t="s">
        <v>4</v>
      </c>
      <c r="S18">
        <f t="shared" si="0"/>
        <v>2</v>
      </c>
      <c r="T18" t="s">
        <v>3316</v>
      </c>
    </row>
    <row r="19" spans="1:20">
      <c r="B19" t="s">
        <v>2752</v>
      </c>
      <c r="C19" t="s">
        <v>1456</v>
      </c>
      <c r="D19" s="8">
        <v>2</v>
      </c>
      <c r="E19" t="s">
        <v>3319</v>
      </c>
      <c r="F19" t="s">
        <v>3320</v>
      </c>
      <c r="G19" t="s">
        <v>3313</v>
      </c>
      <c r="I19" t="s">
        <v>1382</v>
      </c>
      <c r="N19" s="1" t="s">
        <v>3805</v>
      </c>
      <c r="O19" t="s">
        <v>154</v>
      </c>
      <c r="P19" t="s">
        <v>8</v>
      </c>
      <c r="Q19" t="s">
        <v>4</v>
      </c>
      <c r="S19">
        <f t="shared" si="0"/>
        <v>1</v>
      </c>
      <c r="T19" t="s">
        <v>3298</v>
      </c>
    </row>
    <row r="20" spans="1:20">
      <c r="B20" t="s">
        <v>2753</v>
      </c>
      <c r="C20" t="s">
        <v>1456</v>
      </c>
      <c r="D20" s="8">
        <v>2</v>
      </c>
      <c r="E20" t="s">
        <v>3319</v>
      </c>
      <c r="F20" t="s">
        <v>3320</v>
      </c>
      <c r="G20" t="s">
        <v>3291</v>
      </c>
      <c r="H20" t="s">
        <v>3296</v>
      </c>
      <c r="I20" t="s">
        <v>1383</v>
      </c>
      <c r="N20" s="1" t="s">
        <v>3805</v>
      </c>
      <c r="O20" t="s">
        <v>154</v>
      </c>
      <c r="P20" t="s">
        <v>28</v>
      </c>
      <c r="Q20" t="s">
        <v>4</v>
      </c>
      <c r="S20">
        <f t="shared" si="0"/>
        <v>4</v>
      </c>
      <c r="T20" t="s">
        <v>3296</v>
      </c>
    </row>
    <row r="21" spans="1:20">
      <c r="B21" t="s">
        <v>2754</v>
      </c>
      <c r="C21" t="s">
        <v>1456</v>
      </c>
      <c r="D21" s="8">
        <v>2</v>
      </c>
      <c r="E21" t="s">
        <v>3319</v>
      </c>
      <c r="F21" t="s">
        <v>3320</v>
      </c>
      <c r="G21" t="s">
        <v>3297</v>
      </c>
      <c r="I21" t="s">
        <v>1384</v>
      </c>
      <c r="N21" s="1" t="s">
        <v>3805</v>
      </c>
      <c r="O21" t="s">
        <v>162</v>
      </c>
      <c r="P21" t="s">
        <v>29</v>
      </c>
      <c r="Q21" t="s">
        <v>4</v>
      </c>
    </row>
    <row r="22" spans="1:20">
      <c r="B22" t="s">
        <v>2755</v>
      </c>
      <c r="C22" t="s">
        <v>1456</v>
      </c>
      <c r="D22" s="8">
        <v>2</v>
      </c>
      <c r="E22" t="s">
        <v>3319</v>
      </c>
      <c r="F22" t="s">
        <v>3320</v>
      </c>
      <c r="G22" t="s">
        <v>3315</v>
      </c>
      <c r="I22" t="s">
        <v>0</v>
      </c>
      <c r="J22" t="s">
        <v>1385</v>
      </c>
      <c r="M22" t="s">
        <v>153</v>
      </c>
      <c r="N22" s="1" t="s">
        <v>3805</v>
      </c>
      <c r="O22" t="s">
        <v>156</v>
      </c>
    </row>
    <row r="23" spans="1:20">
      <c r="B23" t="s">
        <v>2756</v>
      </c>
      <c r="C23" t="s">
        <v>3395</v>
      </c>
      <c r="E23" t="s">
        <v>3319</v>
      </c>
      <c r="F23" t="s">
        <v>3315</v>
      </c>
      <c r="I23" t="s">
        <v>0</v>
      </c>
      <c r="J23" t="s">
        <v>1386</v>
      </c>
      <c r="M23" t="s">
        <v>153</v>
      </c>
      <c r="N23" s="1" t="s">
        <v>3805</v>
      </c>
      <c r="O23" t="s">
        <v>163</v>
      </c>
      <c r="P23" t="s">
        <v>45</v>
      </c>
      <c r="Q23" t="s">
        <v>4</v>
      </c>
    </row>
    <row r="24" spans="1:20">
      <c r="B24" t="s">
        <v>2757</v>
      </c>
      <c r="C24" t="s">
        <v>1456</v>
      </c>
      <c r="D24">
        <v>2</v>
      </c>
      <c r="E24" t="s">
        <v>3319</v>
      </c>
      <c r="F24" t="s">
        <v>3320</v>
      </c>
      <c r="G24" t="s">
        <v>3291</v>
      </c>
      <c r="I24" t="s">
        <v>1387</v>
      </c>
      <c r="N24" s="1" t="s">
        <v>3805</v>
      </c>
      <c r="O24" t="s">
        <v>157</v>
      </c>
      <c r="P24" t="s">
        <v>177</v>
      </c>
      <c r="Q24" t="s">
        <v>4</v>
      </c>
    </row>
    <row r="25" spans="1:20">
      <c r="B25" t="s">
        <v>2758</v>
      </c>
      <c r="C25" t="s">
        <v>1456</v>
      </c>
      <c r="D25">
        <v>2</v>
      </c>
      <c r="E25" t="s">
        <v>3319</v>
      </c>
      <c r="F25" t="s">
        <v>3320</v>
      </c>
      <c r="G25" t="s">
        <v>3311</v>
      </c>
      <c r="I25" t="s">
        <v>51</v>
      </c>
      <c r="J25" t="s">
        <v>1388</v>
      </c>
      <c r="K25" t="s">
        <v>1389</v>
      </c>
      <c r="N25" s="1" t="s">
        <v>3805</v>
      </c>
      <c r="O25" t="s">
        <v>159</v>
      </c>
      <c r="P25" t="s">
        <v>39</v>
      </c>
      <c r="Q25" t="s">
        <v>4</v>
      </c>
    </row>
    <row r="26" spans="1:20">
      <c r="B26" t="s">
        <v>2759</v>
      </c>
      <c r="C26" t="s">
        <v>1456</v>
      </c>
      <c r="D26">
        <v>2</v>
      </c>
      <c r="E26" t="s">
        <v>3319</v>
      </c>
      <c r="F26" t="s">
        <v>3320</v>
      </c>
      <c r="G26" t="s">
        <v>3285</v>
      </c>
      <c r="I26" t="s">
        <v>1118</v>
      </c>
      <c r="J26" t="s">
        <v>1390</v>
      </c>
      <c r="N26" s="1" t="s">
        <v>3805</v>
      </c>
      <c r="O26" t="s">
        <v>156</v>
      </c>
      <c r="P26" t="s">
        <v>15</v>
      </c>
      <c r="Q26" t="s">
        <v>4</v>
      </c>
    </row>
    <row r="27" spans="1:20">
      <c r="B27" t="s">
        <v>2760</v>
      </c>
      <c r="C27" t="s">
        <v>1456</v>
      </c>
      <c r="D27">
        <v>2</v>
      </c>
      <c r="E27" t="s">
        <v>3319</v>
      </c>
      <c r="F27" t="s">
        <v>3320</v>
      </c>
      <c r="G27" t="s">
        <v>3291</v>
      </c>
      <c r="I27" t="s">
        <v>1391</v>
      </c>
      <c r="N27" s="1" t="s">
        <v>3805</v>
      </c>
      <c r="O27" t="s">
        <v>162</v>
      </c>
      <c r="P27" t="s">
        <v>32</v>
      </c>
      <c r="Q27" t="s">
        <v>4</v>
      </c>
    </row>
    <row r="28" spans="1:20">
      <c r="B28" t="s">
        <v>2761</v>
      </c>
      <c r="C28" t="s">
        <v>1456</v>
      </c>
      <c r="D28">
        <v>2</v>
      </c>
      <c r="E28" t="s">
        <v>3319</v>
      </c>
      <c r="F28" t="s">
        <v>3320</v>
      </c>
      <c r="G28" t="s">
        <v>3299</v>
      </c>
      <c r="I28" t="s">
        <v>0</v>
      </c>
      <c r="J28" t="s">
        <v>1392</v>
      </c>
      <c r="K28" t="s">
        <v>1393</v>
      </c>
      <c r="N28" s="1" t="s">
        <v>3473</v>
      </c>
      <c r="O28" t="s">
        <v>162</v>
      </c>
      <c r="P28" t="s">
        <v>35</v>
      </c>
      <c r="Q28" t="s">
        <v>4</v>
      </c>
    </row>
    <row r="29" spans="1:20">
      <c r="A29" s="9"/>
      <c r="B29" s="9" t="s">
        <v>2762</v>
      </c>
      <c r="C29" s="9" t="s">
        <v>1456</v>
      </c>
      <c r="D29" s="9">
        <v>2</v>
      </c>
      <c r="E29" s="9" t="s">
        <v>3319</v>
      </c>
      <c r="F29" s="9" t="s">
        <v>3320</v>
      </c>
      <c r="G29" s="9" t="s">
        <v>3293</v>
      </c>
      <c r="H29" s="9" t="s">
        <v>3296</v>
      </c>
      <c r="I29" s="9" t="s">
        <v>1118</v>
      </c>
      <c r="J29" s="9" t="s">
        <v>1394</v>
      </c>
      <c r="K29" s="9"/>
      <c r="L29" s="9"/>
      <c r="M29" s="9"/>
      <c r="N29" s="12" t="s">
        <v>3473</v>
      </c>
      <c r="O29" s="9" t="s">
        <v>156</v>
      </c>
      <c r="P29" s="9" t="s">
        <v>609</v>
      </c>
      <c r="Q29" s="9" t="s">
        <v>4</v>
      </c>
    </row>
    <row r="30" spans="1:20">
      <c r="B30" t="s">
        <v>2763</v>
      </c>
      <c r="C30" t="s">
        <v>1456</v>
      </c>
      <c r="D30">
        <v>2</v>
      </c>
      <c r="E30" t="s">
        <v>3319</v>
      </c>
      <c r="F30" t="s">
        <v>3320</v>
      </c>
      <c r="G30" t="s">
        <v>3286</v>
      </c>
      <c r="I30" t="s">
        <v>1395</v>
      </c>
      <c r="N30" s="1" t="s">
        <v>3805</v>
      </c>
      <c r="O30" t="s">
        <v>157</v>
      </c>
      <c r="P30" t="s">
        <v>5</v>
      </c>
      <c r="Q30" t="s">
        <v>4</v>
      </c>
    </row>
    <row r="31" spans="1:20">
      <c r="B31" t="s">
        <v>2764</v>
      </c>
      <c r="C31" t="s">
        <v>1456</v>
      </c>
      <c r="D31">
        <v>2</v>
      </c>
      <c r="E31" t="s">
        <v>3319</v>
      </c>
      <c r="F31" t="s">
        <v>3320</v>
      </c>
      <c r="G31" t="s">
        <v>3291</v>
      </c>
      <c r="I31" t="s">
        <v>24</v>
      </c>
      <c r="J31" t="s">
        <v>1396</v>
      </c>
      <c r="N31" s="1" t="s">
        <v>3805</v>
      </c>
      <c r="O31" t="s">
        <v>154</v>
      </c>
      <c r="P31" t="s">
        <v>48</v>
      </c>
      <c r="Q31" t="s">
        <v>4</v>
      </c>
    </row>
    <row r="32" spans="1:20">
      <c r="B32" t="s">
        <v>2765</v>
      </c>
      <c r="C32" t="s">
        <v>1456</v>
      </c>
      <c r="D32">
        <v>2</v>
      </c>
      <c r="E32" t="s">
        <v>3319</v>
      </c>
      <c r="F32" t="s">
        <v>3320</v>
      </c>
      <c r="G32" t="s">
        <v>3287</v>
      </c>
      <c r="I32" t="s">
        <v>843</v>
      </c>
      <c r="N32" s="1" t="s">
        <v>3805</v>
      </c>
      <c r="O32" t="s">
        <v>162</v>
      </c>
      <c r="P32" t="s">
        <v>17</v>
      </c>
      <c r="Q32" t="s">
        <v>4</v>
      </c>
    </row>
    <row r="33" spans="1:17">
      <c r="B33" t="s">
        <v>2766</v>
      </c>
      <c r="C33" t="s">
        <v>1456</v>
      </c>
      <c r="D33">
        <v>2</v>
      </c>
      <c r="E33" t="s">
        <v>3319</v>
      </c>
      <c r="F33" t="s">
        <v>3320</v>
      </c>
      <c r="G33" t="s">
        <v>3286</v>
      </c>
      <c r="I33" t="s">
        <v>1397</v>
      </c>
      <c r="J33" t="s">
        <v>1398</v>
      </c>
      <c r="N33" s="1" t="s">
        <v>3805</v>
      </c>
      <c r="O33" t="s">
        <v>156</v>
      </c>
      <c r="P33" t="s">
        <v>40</v>
      </c>
      <c r="Q33" t="s">
        <v>4</v>
      </c>
    </row>
    <row r="34" spans="1:17">
      <c r="B34" t="s">
        <v>2767</v>
      </c>
      <c r="C34" t="s">
        <v>1456</v>
      </c>
      <c r="D34">
        <v>2</v>
      </c>
      <c r="E34" t="s">
        <v>3319</v>
      </c>
      <c r="F34" t="s">
        <v>3320</v>
      </c>
      <c r="G34" t="s">
        <v>3290</v>
      </c>
      <c r="I34" t="s">
        <v>1399</v>
      </c>
      <c r="N34" s="1" t="s">
        <v>3805</v>
      </c>
      <c r="O34" t="s">
        <v>154</v>
      </c>
      <c r="P34" t="s">
        <v>30</v>
      </c>
      <c r="Q34" t="s">
        <v>4</v>
      </c>
    </row>
    <row r="35" spans="1:17">
      <c r="B35" t="s">
        <v>2768</v>
      </c>
      <c r="C35" t="s">
        <v>1456</v>
      </c>
      <c r="D35">
        <v>2</v>
      </c>
      <c r="E35" t="s">
        <v>3319</v>
      </c>
      <c r="F35" t="s">
        <v>3320</v>
      </c>
      <c r="G35" t="s">
        <v>3291</v>
      </c>
      <c r="I35" t="s">
        <v>1400</v>
      </c>
      <c r="N35" s="1" t="s">
        <v>3473</v>
      </c>
      <c r="O35" t="s">
        <v>162</v>
      </c>
      <c r="P35" t="s">
        <v>52</v>
      </c>
      <c r="Q35" t="s">
        <v>4</v>
      </c>
    </row>
    <row r="36" spans="1:17">
      <c r="A36" s="9"/>
      <c r="B36" s="9" t="s">
        <v>2769</v>
      </c>
      <c r="C36" s="9" t="s">
        <v>1456</v>
      </c>
      <c r="D36" s="9">
        <v>2</v>
      </c>
      <c r="E36" s="9" t="s">
        <v>3319</v>
      </c>
      <c r="F36" s="9" t="s">
        <v>3320</v>
      </c>
      <c r="G36" s="9" t="s">
        <v>3293</v>
      </c>
      <c r="H36" s="9" t="s">
        <v>3296</v>
      </c>
      <c r="I36" s="9" t="s">
        <v>1401</v>
      </c>
      <c r="J36" s="9"/>
      <c r="K36" s="9"/>
      <c r="L36" s="9"/>
      <c r="M36" s="9"/>
      <c r="N36" s="12" t="s">
        <v>3473</v>
      </c>
      <c r="O36" s="9" t="s">
        <v>162</v>
      </c>
      <c r="P36" s="9" t="s">
        <v>612</v>
      </c>
      <c r="Q36" s="9" t="s">
        <v>4</v>
      </c>
    </row>
    <row r="37" spans="1:17">
      <c r="B37" t="s">
        <v>2770</v>
      </c>
      <c r="C37" t="s">
        <v>1456</v>
      </c>
      <c r="D37">
        <v>2</v>
      </c>
      <c r="E37" t="s">
        <v>3319</v>
      </c>
      <c r="F37" t="s">
        <v>3320</v>
      </c>
      <c r="G37" t="s">
        <v>3291</v>
      </c>
      <c r="I37" t="s">
        <v>20</v>
      </c>
      <c r="J37" t="s">
        <v>1402</v>
      </c>
      <c r="N37" s="1" t="s">
        <v>3805</v>
      </c>
      <c r="O37" t="s">
        <v>162</v>
      </c>
      <c r="P37" t="s">
        <v>17</v>
      </c>
      <c r="Q37" t="s">
        <v>4</v>
      </c>
    </row>
    <row r="38" spans="1:17">
      <c r="B38" t="s">
        <v>2771</v>
      </c>
      <c r="C38" t="s">
        <v>1458</v>
      </c>
      <c r="D38">
        <v>3</v>
      </c>
      <c r="E38" t="s">
        <v>3319</v>
      </c>
      <c r="F38" t="s">
        <v>3320</v>
      </c>
      <c r="G38" t="s">
        <v>3290</v>
      </c>
      <c r="I38" t="s">
        <v>254</v>
      </c>
      <c r="J38" t="s">
        <v>1403</v>
      </c>
      <c r="N38" s="1" t="s">
        <v>3473</v>
      </c>
      <c r="O38" t="s">
        <v>154</v>
      </c>
      <c r="P38" t="s">
        <v>52</v>
      </c>
      <c r="Q38" t="s">
        <v>4</v>
      </c>
    </row>
    <row r="39" spans="1:17">
      <c r="B39" t="s">
        <v>2772</v>
      </c>
      <c r="C39" t="s">
        <v>1458</v>
      </c>
      <c r="D39">
        <v>3</v>
      </c>
      <c r="E39" t="s">
        <v>3319</v>
      </c>
      <c r="F39" t="s">
        <v>3320</v>
      </c>
      <c r="G39" t="s">
        <v>3292</v>
      </c>
      <c r="I39" t="s">
        <v>1118</v>
      </c>
      <c r="J39" t="s">
        <v>62</v>
      </c>
      <c r="N39" s="1" t="s">
        <v>3805</v>
      </c>
      <c r="O39" t="s">
        <v>154</v>
      </c>
      <c r="P39" t="s">
        <v>180</v>
      </c>
      <c r="Q39" t="s">
        <v>4</v>
      </c>
    </row>
    <row r="40" spans="1:17">
      <c r="B40" t="s">
        <v>2773</v>
      </c>
      <c r="C40" t="s">
        <v>1458</v>
      </c>
      <c r="D40">
        <v>3</v>
      </c>
      <c r="E40" t="s">
        <v>3319</v>
      </c>
      <c r="F40" t="s">
        <v>3320</v>
      </c>
      <c r="G40" t="s">
        <v>3286</v>
      </c>
      <c r="I40" t="s">
        <v>91</v>
      </c>
      <c r="J40" t="s">
        <v>73</v>
      </c>
      <c r="N40" s="1" t="s">
        <v>3805</v>
      </c>
      <c r="O40" t="s">
        <v>154</v>
      </c>
      <c r="P40" t="s">
        <v>48</v>
      </c>
      <c r="Q40" t="s">
        <v>4</v>
      </c>
    </row>
    <row r="41" spans="1:17">
      <c r="B41" t="s">
        <v>2774</v>
      </c>
      <c r="C41" t="s">
        <v>1458</v>
      </c>
      <c r="D41">
        <v>3</v>
      </c>
      <c r="E41" t="s">
        <v>3319</v>
      </c>
      <c r="F41" t="s">
        <v>3320</v>
      </c>
      <c r="G41" t="s">
        <v>3311</v>
      </c>
      <c r="I41" t="s">
        <v>1404</v>
      </c>
      <c r="N41" s="1" t="s">
        <v>3473</v>
      </c>
      <c r="O41" t="s">
        <v>154</v>
      </c>
      <c r="P41" t="s">
        <v>50</v>
      </c>
      <c r="Q41" t="s">
        <v>4</v>
      </c>
    </row>
    <row r="42" spans="1:17">
      <c r="B42" t="s">
        <v>2775</v>
      </c>
      <c r="C42" t="s">
        <v>1458</v>
      </c>
      <c r="D42">
        <v>3</v>
      </c>
      <c r="E42" t="s">
        <v>3319</v>
      </c>
      <c r="F42" t="s">
        <v>3320</v>
      </c>
      <c r="G42" t="s">
        <v>3311</v>
      </c>
      <c r="H42" t="s">
        <v>3296</v>
      </c>
      <c r="I42" t="s">
        <v>1405</v>
      </c>
      <c r="N42" s="1" t="s">
        <v>3805</v>
      </c>
      <c r="O42" t="s">
        <v>165</v>
      </c>
      <c r="P42" t="s">
        <v>37</v>
      </c>
      <c r="Q42" t="s">
        <v>4</v>
      </c>
    </row>
    <row r="43" spans="1:17">
      <c r="B43" t="s">
        <v>2776</v>
      </c>
      <c r="C43" t="s">
        <v>1458</v>
      </c>
      <c r="D43">
        <v>3</v>
      </c>
      <c r="E43" t="s">
        <v>3319</v>
      </c>
      <c r="F43" t="s">
        <v>3320</v>
      </c>
      <c r="G43" t="s">
        <v>3287</v>
      </c>
      <c r="I43" t="s">
        <v>1406</v>
      </c>
      <c r="N43" s="1" t="s">
        <v>3805</v>
      </c>
      <c r="O43" t="s">
        <v>156</v>
      </c>
      <c r="P43" t="s">
        <v>174</v>
      </c>
      <c r="Q43" t="s">
        <v>4</v>
      </c>
    </row>
    <row r="44" spans="1:17">
      <c r="A44" s="5"/>
      <c r="B44" s="5" t="s">
        <v>2777</v>
      </c>
      <c r="C44" s="5" t="s">
        <v>1458</v>
      </c>
      <c r="D44" s="5">
        <v>3</v>
      </c>
      <c r="E44" s="5" t="s">
        <v>3319</v>
      </c>
      <c r="F44" s="5" t="s">
        <v>3320</v>
      </c>
      <c r="G44" s="5" t="s">
        <v>3290</v>
      </c>
      <c r="H44" s="5"/>
      <c r="I44" s="5" t="s">
        <v>1118</v>
      </c>
      <c r="J44" s="5" t="s">
        <v>1407</v>
      </c>
      <c r="K44" s="5"/>
      <c r="L44" s="5"/>
      <c r="M44" s="5"/>
      <c r="N44" s="23" t="s">
        <v>3473</v>
      </c>
      <c r="O44" s="5" t="s">
        <v>162</v>
      </c>
      <c r="P44" s="5" t="s">
        <v>52</v>
      </c>
      <c r="Q44" s="5" t="s">
        <v>4</v>
      </c>
    </row>
    <row r="45" spans="1:17">
      <c r="B45" t="s">
        <v>2778</v>
      </c>
      <c r="C45" t="s">
        <v>1458</v>
      </c>
      <c r="D45">
        <v>3</v>
      </c>
      <c r="E45" t="s">
        <v>3319</v>
      </c>
      <c r="F45" t="s">
        <v>3320</v>
      </c>
      <c r="G45" t="s">
        <v>3307</v>
      </c>
      <c r="I45" t="s">
        <v>1408</v>
      </c>
      <c r="N45" s="1" t="s">
        <v>3805</v>
      </c>
      <c r="O45" t="s">
        <v>165</v>
      </c>
      <c r="P45" t="s">
        <v>26</v>
      </c>
      <c r="Q45" t="s">
        <v>4</v>
      </c>
    </row>
    <row r="46" spans="1:17">
      <c r="B46" t="s">
        <v>2779</v>
      </c>
      <c r="C46" t="s">
        <v>1458</v>
      </c>
      <c r="D46">
        <v>3</v>
      </c>
      <c r="E46" t="s">
        <v>3319</v>
      </c>
      <c r="F46" t="s">
        <v>3320</v>
      </c>
      <c r="G46" t="s">
        <v>3290</v>
      </c>
      <c r="I46" t="s">
        <v>0</v>
      </c>
      <c r="J46" t="s">
        <v>1471</v>
      </c>
      <c r="N46" s="1" t="s">
        <v>3805</v>
      </c>
      <c r="O46" t="s">
        <v>154</v>
      </c>
      <c r="P46" t="s">
        <v>189</v>
      </c>
      <c r="Q46" t="s">
        <v>4</v>
      </c>
    </row>
    <row r="47" spans="1:17">
      <c r="B47" t="s">
        <v>2780</v>
      </c>
      <c r="C47" t="s">
        <v>1458</v>
      </c>
      <c r="D47">
        <v>3</v>
      </c>
      <c r="E47" t="s">
        <v>3319</v>
      </c>
      <c r="F47" t="s">
        <v>3320</v>
      </c>
      <c r="G47" t="s">
        <v>3291</v>
      </c>
      <c r="I47" t="s">
        <v>1409</v>
      </c>
      <c r="J47" t="s">
        <v>1410</v>
      </c>
      <c r="N47" s="1" t="s">
        <v>3805</v>
      </c>
      <c r="O47" t="s">
        <v>156</v>
      </c>
      <c r="P47" t="s">
        <v>185</v>
      </c>
      <c r="Q47" t="s">
        <v>4</v>
      </c>
    </row>
    <row r="48" spans="1:17">
      <c r="B48" t="s">
        <v>2781</v>
      </c>
      <c r="C48" t="s">
        <v>1458</v>
      </c>
      <c r="D48">
        <v>3</v>
      </c>
      <c r="E48" t="s">
        <v>3319</v>
      </c>
      <c r="F48" t="s">
        <v>3320</v>
      </c>
      <c r="G48" t="s">
        <v>3311</v>
      </c>
      <c r="I48" t="s">
        <v>1411</v>
      </c>
      <c r="N48" s="1" t="s">
        <v>3805</v>
      </c>
      <c r="O48" t="s">
        <v>164</v>
      </c>
      <c r="P48" t="s">
        <v>28</v>
      </c>
      <c r="Q48" t="s">
        <v>4</v>
      </c>
    </row>
    <row r="49" spans="1:17">
      <c r="A49" s="5"/>
      <c r="B49" s="5" t="s">
        <v>2782</v>
      </c>
      <c r="C49" s="5" t="s">
        <v>1459</v>
      </c>
      <c r="D49" s="5">
        <v>3</v>
      </c>
      <c r="E49" s="5" t="s">
        <v>3319</v>
      </c>
      <c r="F49" s="5" t="s">
        <v>3320</v>
      </c>
      <c r="G49" s="5" t="s">
        <v>3316</v>
      </c>
      <c r="H49" s="5"/>
      <c r="I49" s="5"/>
      <c r="J49" s="5"/>
      <c r="K49" s="5"/>
      <c r="L49" s="5"/>
      <c r="M49" s="5"/>
      <c r="N49" s="23" t="s">
        <v>3805</v>
      </c>
      <c r="O49" s="5" t="s">
        <v>165</v>
      </c>
      <c r="P49" s="5" t="s">
        <v>176</v>
      </c>
      <c r="Q49" s="5" t="s">
        <v>4</v>
      </c>
    </row>
    <row r="50" spans="1:17">
      <c r="B50" t="s">
        <v>2783</v>
      </c>
      <c r="C50" t="s">
        <v>1458</v>
      </c>
      <c r="D50">
        <v>3</v>
      </c>
      <c r="E50" t="s">
        <v>3319</v>
      </c>
      <c r="F50" t="s">
        <v>3320</v>
      </c>
      <c r="G50" t="s">
        <v>3306</v>
      </c>
      <c r="I50" t="s">
        <v>1412</v>
      </c>
      <c r="N50" s="1" t="s">
        <v>3473</v>
      </c>
      <c r="O50" t="s">
        <v>154</v>
      </c>
      <c r="P50" t="s">
        <v>36</v>
      </c>
      <c r="Q50" t="s">
        <v>4</v>
      </c>
    </row>
    <row r="51" spans="1:17">
      <c r="B51" t="s">
        <v>2784</v>
      </c>
      <c r="C51" t="s">
        <v>1458</v>
      </c>
      <c r="D51">
        <v>3</v>
      </c>
      <c r="E51" t="s">
        <v>3319</v>
      </c>
      <c r="F51" t="s">
        <v>3320</v>
      </c>
      <c r="G51" t="s">
        <v>3311</v>
      </c>
      <c r="I51" t="s">
        <v>1413</v>
      </c>
      <c r="J51" t="s">
        <v>1460</v>
      </c>
      <c r="N51" s="1" t="s">
        <v>3805</v>
      </c>
      <c r="O51" t="s">
        <v>615</v>
      </c>
      <c r="P51" t="s">
        <v>15</v>
      </c>
      <c r="Q51" t="s">
        <v>4</v>
      </c>
    </row>
    <row r="52" spans="1:17">
      <c r="B52" t="s">
        <v>2785</v>
      </c>
      <c r="C52" t="s">
        <v>1458</v>
      </c>
      <c r="D52">
        <v>3</v>
      </c>
      <c r="E52" t="s">
        <v>3319</v>
      </c>
      <c r="F52" t="s">
        <v>3320</v>
      </c>
      <c r="G52" t="s">
        <v>3291</v>
      </c>
      <c r="I52" t="s">
        <v>1414</v>
      </c>
      <c r="N52" s="1" t="s">
        <v>3805</v>
      </c>
      <c r="O52" t="s">
        <v>154</v>
      </c>
      <c r="P52" t="s">
        <v>52</v>
      </c>
      <c r="Q52" t="s">
        <v>4</v>
      </c>
    </row>
    <row r="53" spans="1:17">
      <c r="B53" t="s">
        <v>2786</v>
      </c>
      <c r="C53" t="s">
        <v>1458</v>
      </c>
      <c r="D53">
        <v>3</v>
      </c>
      <c r="E53" t="s">
        <v>3319</v>
      </c>
      <c r="F53" t="s">
        <v>3320</v>
      </c>
      <c r="G53" t="s">
        <v>3291</v>
      </c>
      <c r="I53" t="s">
        <v>1415</v>
      </c>
      <c r="N53" s="1" t="s">
        <v>3805</v>
      </c>
      <c r="O53" t="s">
        <v>170</v>
      </c>
      <c r="P53" t="s">
        <v>35</v>
      </c>
      <c r="Q53" t="s">
        <v>4</v>
      </c>
    </row>
    <row r="54" spans="1:17">
      <c r="A54" s="5"/>
      <c r="B54" s="5" t="s">
        <v>2787</v>
      </c>
      <c r="C54" s="5" t="s">
        <v>1458</v>
      </c>
      <c r="D54" s="5">
        <v>3</v>
      </c>
      <c r="E54" s="5" t="s">
        <v>3319</v>
      </c>
      <c r="F54" s="5" t="s">
        <v>3320</v>
      </c>
      <c r="G54" s="5" t="s">
        <v>3291</v>
      </c>
      <c r="H54" s="5"/>
      <c r="I54" s="5" t="s">
        <v>1416</v>
      </c>
      <c r="J54" s="5"/>
      <c r="K54" s="5"/>
      <c r="L54" s="5"/>
      <c r="M54" s="5"/>
      <c r="N54" s="23" t="s">
        <v>3473</v>
      </c>
      <c r="O54" s="5" t="s">
        <v>154</v>
      </c>
      <c r="P54" s="5" t="s">
        <v>179</v>
      </c>
      <c r="Q54" s="5" t="s">
        <v>4</v>
      </c>
    </row>
    <row r="55" spans="1:17">
      <c r="B55" t="s">
        <v>2788</v>
      </c>
      <c r="C55" t="s">
        <v>1459</v>
      </c>
      <c r="D55">
        <v>3</v>
      </c>
      <c r="E55" t="s">
        <v>3319</v>
      </c>
      <c r="F55" t="s">
        <v>3320</v>
      </c>
      <c r="G55" t="s">
        <v>3311</v>
      </c>
      <c r="I55" t="s">
        <v>1118</v>
      </c>
      <c r="J55" t="s">
        <v>1417</v>
      </c>
      <c r="N55" s="1" t="s">
        <v>3805</v>
      </c>
      <c r="O55" t="s">
        <v>156</v>
      </c>
      <c r="P55" t="s">
        <v>610</v>
      </c>
      <c r="Q55" t="s">
        <v>4</v>
      </c>
    </row>
    <row r="56" spans="1:17">
      <c r="B56" t="s">
        <v>2789</v>
      </c>
      <c r="C56" t="s">
        <v>1458</v>
      </c>
      <c r="D56">
        <v>3</v>
      </c>
      <c r="E56" t="s">
        <v>3319</v>
      </c>
      <c r="F56" t="s">
        <v>3320</v>
      </c>
      <c r="G56" t="s">
        <v>3298</v>
      </c>
      <c r="I56" t="s">
        <v>1461</v>
      </c>
      <c r="N56" s="1" t="s">
        <v>3805</v>
      </c>
      <c r="O56" t="s">
        <v>154</v>
      </c>
      <c r="P56" t="s">
        <v>31</v>
      </c>
      <c r="Q56" t="s">
        <v>4</v>
      </c>
    </row>
    <row r="57" spans="1:17">
      <c r="B57" t="s">
        <v>2790</v>
      </c>
      <c r="C57" t="s">
        <v>1458</v>
      </c>
      <c r="D57">
        <v>3</v>
      </c>
      <c r="E57" t="s">
        <v>3319</v>
      </c>
      <c r="F57" t="s">
        <v>3320</v>
      </c>
      <c r="G57" t="s">
        <v>3293</v>
      </c>
      <c r="I57" t="s">
        <v>1418</v>
      </c>
      <c r="N57" s="1" t="s">
        <v>3805</v>
      </c>
      <c r="O57" t="s">
        <v>165</v>
      </c>
      <c r="P57" t="s">
        <v>32</v>
      </c>
      <c r="Q57" t="s">
        <v>4</v>
      </c>
    </row>
    <row r="58" spans="1:17">
      <c r="B58" t="s">
        <v>2791</v>
      </c>
      <c r="C58" t="s">
        <v>1458</v>
      </c>
      <c r="D58">
        <v>3</v>
      </c>
      <c r="E58" t="s">
        <v>3319</v>
      </c>
      <c r="F58" t="s">
        <v>3320</v>
      </c>
      <c r="G58" t="s">
        <v>3291</v>
      </c>
      <c r="I58" t="s">
        <v>1419</v>
      </c>
      <c r="N58" s="1" t="s">
        <v>3805</v>
      </c>
      <c r="O58" t="s">
        <v>164</v>
      </c>
      <c r="P58" t="s">
        <v>35</v>
      </c>
      <c r="Q58" t="s">
        <v>4</v>
      </c>
    </row>
    <row r="59" spans="1:17">
      <c r="B59" t="s">
        <v>2792</v>
      </c>
      <c r="C59" t="s">
        <v>1458</v>
      </c>
      <c r="D59">
        <v>3</v>
      </c>
      <c r="E59" t="s">
        <v>3319</v>
      </c>
      <c r="F59" t="s">
        <v>3320</v>
      </c>
      <c r="G59" t="s">
        <v>3291</v>
      </c>
      <c r="I59" t="s">
        <v>0</v>
      </c>
      <c r="J59" t="s">
        <v>1167</v>
      </c>
      <c r="N59" s="1"/>
      <c r="O59" t="s">
        <v>154</v>
      </c>
      <c r="P59" t="s">
        <v>6</v>
      </c>
      <c r="Q59" t="s">
        <v>4</v>
      </c>
    </row>
    <row r="60" spans="1:17">
      <c r="B60" t="s">
        <v>2793</v>
      </c>
      <c r="C60" t="s">
        <v>1458</v>
      </c>
      <c r="D60">
        <v>3</v>
      </c>
      <c r="E60" t="s">
        <v>3319</v>
      </c>
      <c r="F60" t="s">
        <v>3320</v>
      </c>
      <c r="G60" t="s">
        <v>3299</v>
      </c>
      <c r="I60" t="s">
        <v>1420</v>
      </c>
      <c r="N60" s="1" t="s">
        <v>3473</v>
      </c>
      <c r="O60" t="s">
        <v>162</v>
      </c>
      <c r="P60" t="s">
        <v>48</v>
      </c>
      <c r="Q60" t="s">
        <v>4</v>
      </c>
    </row>
    <row r="61" spans="1:17">
      <c r="B61" t="s">
        <v>2794</v>
      </c>
      <c r="C61" t="s">
        <v>1458</v>
      </c>
      <c r="D61">
        <v>3</v>
      </c>
      <c r="E61" t="s">
        <v>3319</v>
      </c>
      <c r="F61" t="s">
        <v>3320</v>
      </c>
      <c r="G61" t="s">
        <v>3290</v>
      </c>
      <c r="I61" t="s">
        <v>80</v>
      </c>
      <c r="J61" t="s">
        <v>1421</v>
      </c>
      <c r="N61" s="1" t="s">
        <v>3805</v>
      </c>
      <c r="O61" t="s">
        <v>154</v>
      </c>
      <c r="P61" t="s">
        <v>31</v>
      </c>
      <c r="Q61" t="s">
        <v>4</v>
      </c>
    </row>
    <row r="62" spans="1:17">
      <c r="B62" t="s">
        <v>2795</v>
      </c>
      <c r="C62" t="s">
        <v>1459</v>
      </c>
      <c r="D62">
        <v>3</v>
      </c>
      <c r="E62" t="s">
        <v>3319</v>
      </c>
      <c r="F62" t="s">
        <v>3320</v>
      </c>
      <c r="G62" t="s">
        <v>3307</v>
      </c>
      <c r="I62" t="s">
        <v>1422</v>
      </c>
      <c r="N62" s="1" t="s">
        <v>3805</v>
      </c>
      <c r="O62" t="s">
        <v>164</v>
      </c>
      <c r="P62" t="s">
        <v>181</v>
      </c>
      <c r="Q62" t="s">
        <v>4</v>
      </c>
    </row>
    <row r="63" spans="1:17">
      <c r="B63" t="s">
        <v>2796</v>
      </c>
      <c r="C63" t="s">
        <v>1458</v>
      </c>
      <c r="D63">
        <v>3</v>
      </c>
      <c r="E63" t="s">
        <v>3319</v>
      </c>
      <c r="F63" t="s">
        <v>3320</v>
      </c>
      <c r="G63" t="s">
        <v>3315</v>
      </c>
      <c r="I63" t="s">
        <v>1423</v>
      </c>
      <c r="M63" t="s">
        <v>153</v>
      </c>
      <c r="N63" s="1" t="s">
        <v>3805</v>
      </c>
      <c r="O63" t="s">
        <v>154</v>
      </c>
    </row>
    <row r="64" spans="1:17">
      <c r="B64" t="s">
        <v>2797</v>
      </c>
      <c r="C64" t="s">
        <v>3395</v>
      </c>
      <c r="E64" t="s">
        <v>3319</v>
      </c>
      <c r="F64" t="s">
        <v>3315</v>
      </c>
      <c r="I64" t="s">
        <v>1424</v>
      </c>
      <c r="M64" t="s">
        <v>153</v>
      </c>
      <c r="N64" s="1" t="s">
        <v>3805</v>
      </c>
      <c r="O64" t="s">
        <v>616</v>
      </c>
      <c r="P64" t="s">
        <v>46</v>
      </c>
      <c r="Q64" t="s">
        <v>4</v>
      </c>
    </row>
    <row r="65" spans="1:17">
      <c r="B65" t="s">
        <v>2798</v>
      </c>
      <c r="C65" t="s">
        <v>1462</v>
      </c>
      <c r="D65">
        <v>4</v>
      </c>
      <c r="E65" t="s">
        <v>3319</v>
      </c>
      <c r="F65" t="s">
        <v>3320</v>
      </c>
      <c r="G65" t="s">
        <v>3286</v>
      </c>
      <c r="I65" t="s">
        <v>1425</v>
      </c>
      <c r="N65" s="1" t="s">
        <v>3805</v>
      </c>
      <c r="O65" t="s">
        <v>154</v>
      </c>
      <c r="P65" t="s">
        <v>187</v>
      </c>
      <c r="Q65" t="s">
        <v>4</v>
      </c>
    </row>
    <row r="66" spans="1:17">
      <c r="B66" t="s">
        <v>2799</v>
      </c>
      <c r="C66" t="s">
        <v>1462</v>
      </c>
      <c r="D66">
        <v>4</v>
      </c>
      <c r="E66" t="s">
        <v>3319</v>
      </c>
      <c r="F66" t="s">
        <v>3320</v>
      </c>
      <c r="G66" t="s">
        <v>3307</v>
      </c>
      <c r="I66" t="s">
        <v>1426</v>
      </c>
      <c r="J66" t="s">
        <v>1427</v>
      </c>
      <c r="N66" s="1" t="s">
        <v>3473</v>
      </c>
      <c r="O66" t="s">
        <v>170</v>
      </c>
      <c r="P66" t="s">
        <v>26</v>
      </c>
      <c r="Q66" t="s">
        <v>4</v>
      </c>
    </row>
    <row r="67" spans="1:17">
      <c r="B67" t="s">
        <v>2800</v>
      </c>
      <c r="C67" t="s">
        <v>1462</v>
      </c>
      <c r="D67">
        <v>4</v>
      </c>
      <c r="E67" t="s">
        <v>3319</v>
      </c>
      <c r="F67" t="s">
        <v>3320</v>
      </c>
      <c r="G67" t="s">
        <v>3306</v>
      </c>
      <c r="I67" t="s">
        <v>1118</v>
      </c>
      <c r="J67" t="s">
        <v>1428</v>
      </c>
      <c r="N67" s="1" t="s">
        <v>3473</v>
      </c>
      <c r="O67" t="s">
        <v>154</v>
      </c>
      <c r="P67" t="s">
        <v>30</v>
      </c>
      <c r="Q67" t="s">
        <v>4</v>
      </c>
    </row>
    <row r="68" spans="1:17">
      <c r="B68" t="s">
        <v>2801</v>
      </c>
      <c r="C68" t="s">
        <v>1463</v>
      </c>
      <c r="D68">
        <v>4</v>
      </c>
      <c r="E68" t="s">
        <v>3319</v>
      </c>
      <c r="F68" t="s">
        <v>3320</v>
      </c>
      <c r="G68" t="s">
        <v>3286</v>
      </c>
      <c r="H68" t="s">
        <v>3291</v>
      </c>
      <c r="I68" t="s">
        <v>0</v>
      </c>
      <c r="J68" t="s">
        <v>1464</v>
      </c>
      <c r="N68" s="1" t="s">
        <v>3805</v>
      </c>
      <c r="O68" t="s">
        <v>161</v>
      </c>
      <c r="P68" t="s">
        <v>176</v>
      </c>
      <c r="Q68" t="s">
        <v>4</v>
      </c>
    </row>
    <row r="69" spans="1:17">
      <c r="B69" t="s">
        <v>2802</v>
      </c>
      <c r="C69" t="s">
        <v>1463</v>
      </c>
      <c r="D69">
        <v>4</v>
      </c>
      <c r="E69" t="s">
        <v>3319</v>
      </c>
      <c r="F69" t="s">
        <v>3320</v>
      </c>
      <c r="G69" t="s">
        <v>3311</v>
      </c>
      <c r="I69" t="s">
        <v>1429</v>
      </c>
      <c r="J69" t="s">
        <v>1430</v>
      </c>
      <c r="N69" s="1" t="s">
        <v>3805</v>
      </c>
      <c r="O69" t="s">
        <v>157</v>
      </c>
      <c r="P69" t="s">
        <v>180</v>
      </c>
      <c r="Q69" t="s">
        <v>4</v>
      </c>
    </row>
    <row r="70" spans="1:17">
      <c r="B70" t="s">
        <v>2803</v>
      </c>
      <c r="C70" t="s">
        <v>1462</v>
      </c>
      <c r="D70">
        <v>4</v>
      </c>
      <c r="E70" t="s">
        <v>3319</v>
      </c>
      <c r="F70" t="s">
        <v>3320</v>
      </c>
      <c r="G70" t="s">
        <v>3291</v>
      </c>
      <c r="I70" t="s">
        <v>20</v>
      </c>
      <c r="J70" t="s">
        <v>1431</v>
      </c>
      <c r="N70" s="1" t="s">
        <v>3805</v>
      </c>
      <c r="O70" t="s">
        <v>1124</v>
      </c>
      <c r="P70" t="s">
        <v>32</v>
      </c>
      <c r="Q70" t="s">
        <v>4</v>
      </c>
    </row>
    <row r="71" spans="1:17">
      <c r="B71" t="s">
        <v>2804</v>
      </c>
      <c r="C71" t="s">
        <v>1462</v>
      </c>
      <c r="D71">
        <v>4</v>
      </c>
      <c r="E71" t="s">
        <v>3319</v>
      </c>
      <c r="F71" t="s">
        <v>3320</v>
      </c>
      <c r="G71" t="s">
        <v>3299</v>
      </c>
      <c r="I71" t="s">
        <v>956</v>
      </c>
      <c r="J71" t="s">
        <v>1110</v>
      </c>
      <c r="N71" s="1" t="s">
        <v>3805</v>
      </c>
      <c r="O71" t="s">
        <v>170</v>
      </c>
      <c r="P71" t="s">
        <v>35</v>
      </c>
      <c r="Q71" t="s">
        <v>4</v>
      </c>
    </row>
    <row r="72" spans="1:17">
      <c r="B72" t="s">
        <v>2805</v>
      </c>
      <c r="C72" t="s">
        <v>1462</v>
      </c>
      <c r="D72">
        <v>4</v>
      </c>
      <c r="E72" t="s">
        <v>3319</v>
      </c>
      <c r="F72" t="s">
        <v>3320</v>
      </c>
      <c r="G72" t="s">
        <v>3293</v>
      </c>
      <c r="I72" t="s">
        <v>1432</v>
      </c>
      <c r="N72" s="1" t="s">
        <v>3473</v>
      </c>
      <c r="O72" t="s">
        <v>170</v>
      </c>
      <c r="P72" t="s">
        <v>50</v>
      </c>
      <c r="Q72" t="s">
        <v>4</v>
      </c>
    </row>
    <row r="73" spans="1:17">
      <c r="B73" t="s">
        <v>2806</v>
      </c>
      <c r="C73" t="s">
        <v>1462</v>
      </c>
      <c r="D73">
        <v>4</v>
      </c>
      <c r="E73" t="s">
        <v>3319</v>
      </c>
      <c r="F73" t="s">
        <v>3320</v>
      </c>
      <c r="G73" t="s">
        <v>3291</v>
      </c>
      <c r="I73" t="s">
        <v>1433</v>
      </c>
      <c r="N73" s="1" t="s">
        <v>3473</v>
      </c>
      <c r="O73" t="s">
        <v>168</v>
      </c>
      <c r="P73" t="s">
        <v>16</v>
      </c>
      <c r="Q73" t="s">
        <v>4</v>
      </c>
    </row>
    <row r="74" spans="1:17">
      <c r="A74" s="5"/>
      <c r="B74" s="5" t="s">
        <v>2807</v>
      </c>
      <c r="C74" s="5" t="s">
        <v>1462</v>
      </c>
      <c r="D74" s="5">
        <v>4</v>
      </c>
      <c r="E74" s="5" t="s">
        <v>3319</v>
      </c>
      <c r="F74" s="5" t="s">
        <v>3320</v>
      </c>
      <c r="G74" s="5" t="s">
        <v>3306</v>
      </c>
      <c r="H74" s="5"/>
      <c r="I74" s="5" t="s">
        <v>1434</v>
      </c>
      <c r="J74" s="5"/>
      <c r="K74" s="5"/>
      <c r="L74" s="5"/>
      <c r="M74" s="5"/>
      <c r="N74" s="23" t="s">
        <v>3473</v>
      </c>
      <c r="O74" s="5" t="s">
        <v>170</v>
      </c>
      <c r="P74" s="5" t="s">
        <v>36</v>
      </c>
      <c r="Q74" s="5" t="s">
        <v>4</v>
      </c>
    </row>
    <row r="75" spans="1:17">
      <c r="B75" t="s">
        <v>2808</v>
      </c>
      <c r="C75" t="s">
        <v>1462</v>
      </c>
      <c r="D75">
        <v>4</v>
      </c>
      <c r="E75" t="s">
        <v>3319</v>
      </c>
      <c r="F75" t="s">
        <v>3320</v>
      </c>
      <c r="G75" t="s">
        <v>3311</v>
      </c>
      <c r="I75" t="s">
        <v>1118</v>
      </c>
      <c r="J75" t="s">
        <v>1435</v>
      </c>
      <c r="N75" s="1" t="s">
        <v>3805</v>
      </c>
      <c r="O75" t="s">
        <v>154</v>
      </c>
      <c r="P75" t="s">
        <v>52</v>
      </c>
      <c r="Q75" t="s">
        <v>4</v>
      </c>
    </row>
    <row r="76" spans="1:17">
      <c r="A76" s="5"/>
      <c r="B76" s="5" t="s">
        <v>2809</v>
      </c>
      <c r="C76" s="5" t="s">
        <v>1462</v>
      </c>
      <c r="D76" s="5">
        <v>4</v>
      </c>
      <c r="E76" s="5" t="s">
        <v>3319</v>
      </c>
      <c r="F76" s="5" t="s">
        <v>3320</v>
      </c>
      <c r="G76" s="5" t="s">
        <v>3291</v>
      </c>
      <c r="H76" s="5" t="s">
        <v>3315</v>
      </c>
      <c r="I76" s="5" t="s">
        <v>1436</v>
      </c>
      <c r="J76" s="5"/>
      <c r="K76" s="5"/>
      <c r="L76" s="5"/>
      <c r="M76" s="5" t="s">
        <v>153</v>
      </c>
      <c r="N76" s="23" t="s">
        <v>3805</v>
      </c>
      <c r="O76" s="5" t="s">
        <v>165</v>
      </c>
      <c r="P76" s="5"/>
      <c r="Q76" s="5"/>
    </row>
    <row r="77" spans="1:17">
      <c r="A77" s="5"/>
      <c r="B77" s="5" t="s">
        <v>2810</v>
      </c>
      <c r="C77" s="5" t="s">
        <v>3395</v>
      </c>
      <c r="D77" s="5"/>
      <c r="E77" s="5" t="s">
        <v>3319</v>
      </c>
      <c r="F77" s="5" t="s">
        <v>3315</v>
      </c>
      <c r="G77" s="5"/>
      <c r="H77" s="5"/>
      <c r="I77" s="5" t="s">
        <v>1437</v>
      </c>
      <c r="J77" s="5"/>
      <c r="K77" s="5"/>
      <c r="L77" s="5"/>
      <c r="M77" s="5" t="s">
        <v>153</v>
      </c>
      <c r="N77" s="23" t="s">
        <v>3805</v>
      </c>
      <c r="O77" s="5" t="s">
        <v>1449</v>
      </c>
      <c r="P77" s="5" t="s">
        <v>45</v>
      </c>
      <c r="Q77" s="5" t="s">
        <v>4</v>
      </c>
    </row>
    <row r="78" spans="1:17">
      <c r="B78" t="s">
        <v>2811</v>
      </c>
      <c r="C78" t="s">
        <v>1462</v>
      </c>
      <c r="D78" s="8">
        <v>4</v>
      </c>
      <c r="E78" t="s">
        <v>3319</v>
      </c>
      <c r="F78" t="s">
        <v>3320</v>
      </c>
      <c r="G78" t="s">
        <v>3293</v>
      </c>
      <c r="I78" t="s">
        <v>1438</v>
      </c>
      <c r="N78" s="1" t="s">
        <v>3805</v>
      </c>
      <c r="O78" t="s">
        <v>165</v>
      </c>
      <c r="P78" t="s">
        <v>183</v>
      </c>
      <c r="Q78" t="s">
        <v>4</v>
      </c>
    </row>
    <row r="79" spans="1:17">
      <c r="A79" s="5"/>
      <c r="B79" s="5" t="s">
        <v>2812</v>
      </c>
      <c r="C79" s="5" t="s">
        <v>1465</v>
      </c>
      <c r="D79" s="5">
        <v>5</v>
      </c>
      <c r="E79" s="5" t="s">
        <v>3319</v>
      </c>
      <c r="F79" s="5" t="s">
        <v>3320</v>
      </c>
      <c r="G79" s="5" t="s">
        <v>3293</v>
      </c>
      <c r="H79" s="5"/>
      <c r="I79" s="5" t="s">
        <v>1439</v>
      </c>
      <c r="J79" s="5"/>
      <c r="K79" s="5"/>
      <c r="L79" s="5"/>
      <c r="M79" s="5"/>
      <c r="N79" s="23" t="s">
        <v>3805</v>
      </c>
      <c r="O79" s="5" t="s">
        <v>616</v>
      </c>
      <c r="P79" s="5" t="s">
        <v>183</v>
      </c>
      <c r="Q79" s="5" t="s">
        <v>4</v>
      </c>
    </row>
    <row r="80" spans="1:17">
      <c r="B80" t="s">
        <v>2813</v>
      </c>
      <c r="C80" t="s">
        <v>1465</v>
      </c>
      <c r="D80" s="8">
        <v>5</v>
      </c>
      <c r="E80" t="s">
        <v>3319</v>
      </c>
      <c r="F80" t="s">
        <v>3320</v>
      </c>
      <c r="G80" t="s">
        <v>3307</v>
      </c>
      <c r="I80" t="s">
        <v>1466</v>
      </c>
      <c r="N80" s="1" t="s">
        <v>3805</v>
      </c>
      <c r="O80" t="s">
        <v>1450</v>
      </c>
      <c r="P80" t="s">
        <v>38</v>
      </c>
      <c r="Q80" t="s">
        <v>4</v>
      </c>
    </row>
    <row r="81" spans="1:17">
      <c r="B81" s="5" t="s">
        <v>2814</v>
      </c>
      <c r="C81" s="5" t="s">
        <v>1465</v>
      </c>
      <c r="D81" s="5">
        <v>5</v>
      </c>
      <c r="E81" s="5" t="s">
        <v>3319</v>
      </c>
      <c r="F81" s="5" t="s">
        <v>3320</v>
      </c>
      <c r="G81" s="5" t="s">
        <v>3291</v>
      </c>
      <c r="H81" s="5"/>
      <c r="I81" s="5" t="s">
        <v>0</v>
      </c>
      <c r="J81" s="5" t="s">
        <v>1467</v>
      </c>
      <c r="K81" s="5"/>
      <c r="L81" s="5"/>
      <c r="M81" s="5"/>
      <c r="N81" s="23" t="s">
        <v>3805</v>
      </c>
      <c r="O81" s="5" t="s">
        <v>1125</v>
      </c>
      <c r="P81" s="5" t="s">
        <v>31</v>
      </c>
      <c r="Q81" s="5" t="s">
        <v>4</v>
      </c>
    </row>
    <row r="82" spans="1:17">
      <c r="B82" t="s">
        <v>2815</v>
      </c>
      <c r="C82" t="s">
        <v>1465</v>
      </c>
      <c r="D82" s="8">
        <v>5</v>
      </c>
      <c r="E82" t="s">
        <v>3319</v>
      </c>
      <c r="F82" t="s">
        <v>3320</v>
      </c>
      <c r="G82" t="s">
        <v>3316</v>
      </c>
      <c r="I82" t="s">
        <v>1468</v>
      </c>
      <c r="N82" s="1" t="s">
        <v>3805</v>
      </c>
      <c r="O82" t="s">
        <v>170</v>
      </c>
      <c r="P82" t="s">
        <v>8</v>
      </c>
      <c r="Q82" t="s">
        <v>4</v>
      </c>
    </row>
    <row r="83" spans="1:17">
      <c r="B83" t="s">
        <v>2816</v>
      </c>
      <c r="C83" t="s">
        <v>1465</v>
      </c>
      <c r="D83" s="8">
        <v>5</v>
      </c>
      <c r="E83" t="s">
        <v>3319</v>
      </c>
      <c r="F83" t="s">
        <v>3320</v>
      </c>
      <c r="G83" t="s">
        <v>3315</v>
      </c>
      <c r="I83" t="s">
        <v>1440</v>
      </c>
      <c r="M83" t="s">
        <v>153</v>
      </c>
      <c r="N83" s="1" t="s">
        <v>3805</v>
      </c>
      <c r="O83" t="s">
        <v>155</v>
      </c>
    </row>
    <row r="84" spans="1:17">
      <c r="B84" t="s">
        <v>2817</v>
      </c>
      <c r="C84" t="s">
        <v>3395</v>
      </c>
      <c r="E84" t="s">
        <v>3319</v>
      </c>
      <c r="F84" t="s">
        <v>3315</v>
      </c>
      <c r="I84" t="s">
        <v>1119</v>
      </c>
      <c r="J84" t="s">
        <v>1441</v>
      </c>
      <c r="M84" t="s">
        <v>153</v>
      </c>
      <c r="N84" s="1" t="s">
        <v>3805</v>
      </c>
      <c r="O84" t="s">
        <v>1451</v>
      </c>
      <c r="P84" t="s">
        <v>46</v>
      </c>
      <c r="Q84" t="s">
        <v>4</v>
      </c>
    </row>
    <row r="85" spans="1:17">
      <c r="B85" t="s">
        <v>2818</v>
      </c>
      <c r="C85" t="s">
        <v>1469</v>
      </c>
      <c r="D85" s="8">
        <v>5</v>
      </c>
      <c r="E85" t="s">
        <v>3319</v>
      </c>
      <c r="F85" t="s">
        <v>3320</v>
      </c>
      <c r="G85" t="s">
        <v>3291</v>
      </c>
      <c r="I85" t="s">
        <v>1442</v>
      </c>
      <c r="J85" t="s">
        <v>1443</v>
      </c>
      <c r="N85" s="1" t="s">
        <v>3805</v>
      </c>
      <c r="O85" t="s">
        <v>170</v>
      </c>
      <c r="P85" t="s">
        <v>34</v>
      </c>
      <c r="Q85" t="s">
        <v>4</v>
      </c>
    </row>
    <row r="86" spans="1:17">
      <c r="B86" t="s">
        <v>2819</v>
      </c>
      <c r="C86" t="s">
        <v>1465</v>
      </c>
      <c r="D86" s="8">
        <v>5</v>
      </c>
      <c r="E86" t="s">
        <v>3319</v>
      </c>
      <c r="F86" t="s">
        <v>3320</v>
      </c>
      <c r="G86" t="s">
        <v>3306</v>
      </c>
      <c r="H86" t="s">
        <v>3287</v>
      </c>
      <c r="I86" t="s">
        <v>1444</v>
      </c>
      <c r="N86" s="1" t="s">
        <v>3473</v>
      </c>
      <c r="O86" t="s">
        <v>165</v>
      </c>
      <c r="P86" t="s">
        <v>30</v>
      </c>
      <c r="Q86" t="s">
        <v>4</v>
      </c>
    </row>
    <row r="87" spans="1:17">
      <c r="A87" s="5"/>
      <c r="B87" s="5" t="s">
        <v>2820</v>
      </c>
      <c r="C87" s="5" t="s">
        <v>1470</v>
      </c>
      <c r="D87" s="5">
        <v>6</v>
      </c>
      <c r="E87" s="5" t="s">
        <v>3319</v>
      </c>
      <c r="F87" s="5" t="s">
        <v>3320</v>
      </c>
      <c r="G87" s="5" t="s">
        <v>3292</v>
      </c>
      <c r="H87" s="5"/>
      <c r="I87" s="5" t="s">
        <v>328</v>
      </c>
      <c r="J87" s="5"/>
      <c r="K87" s="5"/>
      <c r="L87" s="5"/>
      <c r="M87" s="5"/>
      <c r="N87" s="23" t="s">
        <v>3805</v>
      </c>
      <c r="O87" s="5" t="s">
        <v>618</v>
      </c>
      <c r="P87" s="5" t="s">
        <v>184</v>
      </c>
      <c r="Q87" s="5" t="s">
        <v>4</v>
      </c>
    </row>
  </sheetData>
  <autoFilter ref="A1:X87"/>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87"/>
  <sheetViews>
    <sheetView topLeftCell="A73" workbookViewId="0">
      <selection activeCell="I82" sqref="I82"/>
    </sheetView>
  </sheetViews>
  <sheetFormatPr defaultRowHeight="18.75"/>
  <sheetData>
    <row r="1" spans="1:17">
      <c r="B1" t="s">
        <v>3474</v>
      </c>
      <c r="C1" t="s">
        <v>3475</v>
      </c>
      <c r="D1" t="s">
        <v>3489</v>
      </c>
      <c r="E1" t="s">
        <v>3477</v>
      </c>
      <c r="F1" t="s">
        <v>3479</v>
      </c>
      <c r="G1" t="s">
        <v>3481</v>
      </c>
      <c r="H1" t="s">
        <v>3482</v>
      </c>
      <c r="I1" t="s">
        <v>3483</v>
      </c>
      <c r="N1" s="1" t="s">
        <v>3805</v>
      </c>
      <c r="O1" t="s">
        <v>3484</v>
      </c>
      <c r="P1" t="s">
        <v>3486</v>
      </c>
    </row>
    <row r="2" spans="1:17">
      <c r="A2" s="1"/>
      <c r="B2" s="1" t="s">
        <v>2821</v>
      </c>
      <c r="C2" s="1" t="s">
        <v>1454</v>
      </c>
      <c r="D2" s="1"/>
      <c r="E2" s="1" t="s">
        <v>3319</v>
      </c>
      <c r="F2" s="1" t="s">
        <v>3320</v>
      </c>
      <c r="G2" s="1" t="s">
        <v>3315</v>
      </c>
      <c r="H2" s="1"/>
      <c r="I2" s="1" t="s">
        <v>1118</v>
      </c>
      <c r="J2" s="1" t="s">
        <v>1472</v>
      </c>
      <c r="K2" s="1"/>
      <c r="L2" s="1"/>
      <c r="M2" t="s">
        <v>153</v>
      </c>
      <c r="N2" s="1" t="s">
        <v>3805</v>
      </c>
      <c r="O2" s="1" t="s">
        <v>156</v>
      </c>
    </row>
    <row r="3" spans="1:17">
      <c r="A3" s="1"/>
      <c r="B3" s="1" t="s">
        <v>2822</v>
      </c>
      <c r="C3" t="s">
        <v>3395</v>
      </c>
      <c r="E3" t="s">
        <v>3319</v>
      </c>
      <c r="F3" s="1" t="s">
        <v>3315</v>
      </c>
      <c r="G3" s="1"/>
      <c r="H3" s="1"/>
      <c r="I3" s="1" t="s">
        <v>1119</v>
      </c>
      <c r="J3" s="1" t="s">
        <v>1473</v>
      </c>
      <c r="K3" s="1"/>
      <c r="L3" s="1"/>
      <c r="M3" t="s">
        <v>153</v>
      </c>
      <c r="N3" s="1" t="s">
        <v>3805</v>
      </c>
      <c r="O3" t="s">
        <v>154</v>
      </c>
      <c r="P3" t="s">
        <v>46</v>
      </c>
      <c r="Q3" t="s">
        <v>7</v>
      </c>
    </row>
    <row r="4" spans="1:17">
      <c r="B4" t="s">
        <v>2823</v>
      </c>
      <c r="C4" t="s">
        <v>1454</v>
      </c>
      <c r="E4" t="s">
        <v>3319</v>
      </c>
      <c r="F4" t="s">
        <v>3320</v>
      </c>
      <c r="G4" t="s">
        <v>3311</v>
      </c>
      <c r="I4" t="s">
        <v>254</v>
      </c>
      <c r="J4" t="s">
        <v>1574</v>
      </c>
      <c r="N4" s="1" t="s">
        <v>3473</v>
      </c>
      <c r="O4" t="s">
        <v>156</v>
      </c>
      <c r="P4" t="s">
        <v>52</v>
      </c>
      <c r="Q4" t="s">
        <v>7</v>
      </c>
    </row>
    <row r="5" spans="1:17">
      <c r="B5" t="s">
        <v>2824</v>
      </c>
      <c r="C5" t="s">
        <v>1454</v>
      </c>
      <c r="E5" t="s">
        <v>3319</v>
      </c>
      <c r="F5" t="s">
        <v>3320</v>
      </c>
      <c r="G5" t="s">
        <v>3307</v>
      </c>
      <c r="H5" t="s">
        <v>3315</v>
      </c>
      <c r="I5" t="s">
        <v>1474</v>
      </c>
      <c r="M5" t="s">
        <v>153</v>
      </c>
      <c r="N5" s="1" t="s">
        <v>3805</v>
      </c>
      <c r="O5" t="s">
        <v>156</v>
      </c>
    </row>
    <row r="6" spans="1:17">
      <c r="B6" t="s">
        <v>2825</v>
      </c>
      <c r="C6" t="s">
        <v>3395</v>
      </c>
      <c r="E6" t="s">
        <v>3319</v>
      </c>
      <c r="F6" s="1" t="s">
        <v>3315</v>
      </c>
      <c r="I6" t="s">
        <v>1475</v>
      </c>
      <c r="M6" t="s">
        <v>153</v>
      </c>
      <c r="N6" s="1" t="s">
        <v>3805</v>
      </c>
      <c r="O6" t="s">
        <v>165</v>
      </c>
      <c r="P6" t="s">
        <v>45</v>
      </c>
      <c r="Q6" t="s">
        <v>7</v>
      </c>
    </row>
    <row r="7" spans="1:17">
      <c r="B7" t="s">
        <v>2826</v>
      </c>
      <c r="C7" t="s">
        <v>1454</v>
      </c>
      <c r="E7" t="s">
        <v>3319</v>
      </c>
      <c r="F7" t="s">
        <v>3320</v>
      </c>
      <c r="G7" t="s">
        <v>3294</v>
      </c>
      <c r="I7" t="s">
        <v>1118</v>
      </c>
      <c r="J7" t="s">
        <v>24</v>
      </c>
      <c r="N7" s="1" t="s">
        <v>3805</v>
      </c>
      <c r="O7" t="s">
        <v>157</v>
      </c>
      <c r="P7" t="s">
        <v>38</v>
      </c>
      <c r="Q7" t="s">
        <v>7</v>
      </c>
    </row>
    <row r="8" spans="1:17">
      <c r="B8" t="s">
        <v>2827</v>
      </c>
      <c r="C8" t="s">
        <v>1454</v>
      </c>
      <c r="E8" t="s">
        <v>3319</v>
      </c>
      <c r="F8" t="s">
        <v>3320</v>
      </c>
      <c r="G8" t="s">
        <v>3299</v>
      </c>
      <c r="I8" t="s">
        <v>1476</v>
      </c>
      <c r="N8" s="1" t="s">
        <v>3805</v>
      </c>
      <c r="O8" t="s">
        <v>157</v>
      </c>
      <c r="P8" t="s">
        <v>26</v>
      </c>
      <c r="Q8" t="s">
        <v>7</v>
      </c>
    </row>
    <row r="9" spans="1:17">
      <c r="B9" t="s">
        <v>2828</v>
      </c>
      <c r="C9" t="s">
        <v>1454</v>
      </c>
      <c r="E9" t="s">
        <v>3319</v>
      </c>
      <c r="F9" t="s">
        <v>3320</v>
      </c>
      <c r="G9" t="s">
        <v>3293</v>
      </c>
      <c r="I9" t="s">
        <v>1565</v>
      </c>
      <c r="J9" t="s">
        <v>1575</v>
      </c>
      <c r="N9" s="1" t="s">
        <v>3805</v>
      </c>
      <c r="O9" t="s">
        <v>156</v>
      </c>
      <c r="P9" t="s">
        <v>32</v>
      </c>
      <c r="Q9" t="s">
        <v>7</v>
      </c>
    </row>
    <row r="10" spans="1:17">
      <c r="B10" t="s">
        <v>2829</v>
      </c>
      <c r="C10" t="s">
        <v>1454</v>
      </c>
      <c r="E10" t="s">
        <v>3319</v>
      </c>
      <c r="F10" t="s">
        <v>3320</v>
      </c>
      <c r="G10" t="s">
        <v>3291</v>
      </c>
      <c r="I10" t="s">
        <v>1566</v>
      </c>
      <c r="N10" s="1" t="s">
        <v>3805</v>
      </c>
      <c r="O10" t="s">
        <v>156</v>
      </c>
      <c r="P10" t="s">
        <v>184</v>
      </c>
      <c r="Q10" t="s">
        <v>7</v>
      </c>
    </row>
    <row r="11" spans="1:17">
      <c r="B11" t="s">
        <v>2830</v>
      </c>
      <c r="C11" t="s">
        <v>1454</v>
      </c>
      <c r="E11" t="s">
        <v>3319</v>
      </c>
      <c r="F11" t="s">
        <v>3320</v>
      </c>
      <c r="G11" t="s">
        <v>3306</v>
      </c>
      <c r="I11" t="s">
        <v>1477</v>
      </c>
      <c r="N11" s="1" t="s">
        <v>3805</v>
      </c>
      <c r="O11" t="s">
        <v>154</v>
      </c>
      <c r="P11" t="s">
        <v>36</v>
      </c>
      <c r="Q11" t="s">
        <v>7</v>
      </c>
    </row>
    <row r="12" spans="1:17">
      <c r="B12" t="s">
        <v>2831</v>
      </c>
      <c r="C12" t="s">
        <v>1456</v>
      </c>
      <c r="E12" t="s">
        <v>3319</v>
      </c>
      <c r="F12" t="s">
        <v>3320</v>
      </c>
      <c r="G12" t="s">
        <v>3307</v>
      </c>
      <c r="I12" t="s">
        <v>1478</v>
      </c>
      <c r="N12" s="1" t="s">
        <v>3805</v>
      </c>
      <c r="O12" t="s">
        <v>162</v>
      </c>
      <c r="P12" t="s">
        <v>53</v>
      </c>
      <c r="Q12" t="s">
        <v>7</v>
      </c>
    </row>
    <row r="13" spans="1:17">
      <c r="B13" t="s">
        <v>2832</v>
      </c>
      <c r="C13" t="s">
        <v>1456</v>
      </c>
      <c r="E13" t="s">
        <v>3319</v>
      </c>
      <c r="F13" t="s">
        <v>3320</v>
      </c>
      <c r="G13" t="s">
        <v>3299</v>
      </c>
      <c r="I13" t="s">
        <v>1479</v>
      </c>
      <c r="N13" s="1" t="s">
        <v>3805</v>
      </c>
      <c r="O13" t="s">
        <v>162</v>
      </c>
      <c r="P13" t="s">
        <v>50</v>
      </c>
      <c r="Q13" t="s">
        <v>7</v>
      </c>
    </row>
    <row r="14" spans="1:17">
      <c r="B14" t="s">
        <v>2833</v>
      </c>
      <c r="C14" t="s">
        <v>1456</v>
      </c>
      <c r="E14" t="s">
        <v>3319</v>
      </c>
      <c r="F14" t="s">
        <v>3320</v>
      </c>
      <c r="G14" t="s">
        <v>3286</v>
      </c>
      <c r="I14" t="s">
        <v>1480</v>
      </c>
      <c r="N14" s="1" t="s">
        <v>3805</v>
      </c>
      <c r="O14" t="s">
        <v>162</v>
      </c>
      <c r="P14" t="s">
        <v>5</v>
      </c>
      <c r="Q14" t="s">
        <v>7</v>
      </c>
    </row>
    <row r="15" spans="1:17">
      <c r="B15" t="s">
        <v>2834</v>
      </c>
      <c r="C15" t="s">
        <v>1456</v>
      </c>
      <c r="E15" t="s">
        <v>3319</v>
      </c>
      <c r="F15" t="s">
        <v>3320</v>
      </c>
      <c r="G15" t="s">
        <v>3311</v>
      </c>
      <c r="I15" t="s">
        <v>56</v>
      </c>
      <c r="J15" t="s">
        <v>1481</v>
      </c>
      <c r="N15" s="1" t="s">
        <v>3805</v>
      </c>
      <c r="O15" t="s">
        <v>157</v>
      </c>
      <c r="P15" t="s">
        <v>30</v>
      </c>
      <c r="Q15" t="s">
        <v>7</v>
      </c>
    </row>
    <row r="16" spans="1:17">
      <c r="B16" t="s">
        <v>2835</v>
      </c>
      <c r="C16" t="s">
        <v>1456</v>
      </c>
      <c r="E16" t="s">
        <v>3319</v>
      </c>
      <c r="F16" t="s">
        <v>3320</v>
      </c>
      <c r="G16" t="s">
        <v>3293</v>
      </c>
      <c r="I16" t="s">
        <v>1482</v>
      </c>
      <c r="J16" t="s">
        <v>1119</v>
      </c>
      <c r="N16" s="1"/>
      <c r="O16" t="s">
        <v>156</v>
      </c>
      <c r="P16" t="s">
        <v>179</v>
      </c>
      <c r="Q16" t="s">
        <v>7</v>
      </c>
    </row>
    <row r="17" spans="1:17">
      <c r="B17" t="s">
        <v>2836</v>
      </c>
      <c r="C17" t="s">
        <v>1456</v>
      </c>
      <c r="E17" t="s">
        <v>3319</v>
      </c>
      <c r="F17" t="s">
        <v>3320</v>
      </c>
      <c r="G17" t="s">
        <v>3311</v>
      </c>
      <c r="H17" t="s">
        <v>3315</v>
      </c>
      <c r="I17" t="s">
        <v>1483</v>
      </c>
      <c r="J17" t="s">
        <v>1484</v>
      </c>
      <c r="M17" t="s">
        <v>153</v>
      </c>
      <c r="N17" s="1" t="s">
        <v>3805</v>
      </c>
      <c r="O17" t="s">
        <v>162</v>
      </c>
    </row>
    <row r="18" spans="1:17">
      <c r="B18" t="s">
        <v>2837</v>
      </c>
      <c r="C18" t="s">
        <v>3395</v>
      </c>
      <c r="E18" t="s">
        <v>3319</v>
      </c>
      <c r="F18" s="1" t="s">
        <v>3315</v>
      </c>
      <c r="I18" t="s">
        <v>1485</v>
      </c>
      <c r="J18" t="s">
        <v>1486</v>
      </c>
      <c r="M18" t="s">
        <v>153</v>
      </c>
      <c r="N18" s="1" t="s">
        <v>3805</v>
      </c>
      <c r="O18" t="s">
        <v>165</v>
      </c>
      <c r="P18" t="s">
        <v>46</v>
      </c>
      <c r="Q18" t="s">
        <v>7</v>
      </c>
    </row>
    <row r="19" spans="1:17">
      <c r="B19" t="s">
        <v>2838</v>
      </c>
      <c r="C19" t="s">
        <v>1456</v>
      </c>
      <c r="E19" t="s">
        <v>3319</v>
      </c>
      <c r="F19" t="s">
        <v>3320</v>
      </c>
      <c r="G19" t="s">
        <v>3293</v>
      </c>
      <c r="I19" t="s">
        <v>1487</v>
      </c>
      <c r="N19" s="1" t="s">
        <v>3805</v>
      </c>
      <c r="O19" t="s">
        <v>162</v>
      </c>
      <c r="P19" t="s">
        <v>177</v>
      </c>
      <c r="Q19" t="s">
        <v>7</v>
      </c>
    </row>
    <row r="20" spans="1:17">
      <c r="B20" t="s">
        <v>2839</v>
      </c>
      <c r="C20" t="s">
        <v>1456</v>
      </c>
      <c r="E20" t="s">
        <v>3319</v>
      </c>
      <c r="F20" t="s">
        <v>3320</v>
      </c>
      <c r="G20" t="s">
        <v>3291</v>
      </c>
      <c r="I20" t="s">
        <v>1488</v>
      </c>
      <c r="J20" t="s">
        <v>1489</v>
      </c>
      <c r="N20" s="1"/>
      <c r="O20" t="s">
        <v>162</v>
      </c>
      <c r="P20" t="s">
        <v>38</v>
      </c>
      <c r="Q20" t="s">
        <v>7</v>
      </c>
    </row>
    <row r="21" spans="1:17">
      <c r="B21" t="s">
        <v>2840</v>
      </c>
      <c r="C21" t="s">
        <v>1456</v>
      </c>
      <c r="E21" t="s">
        <v>3319</v>
      </c>
      <c r="F21" t="s">
        <v>3320</v>
      </c>
      <c r="I21" t="s">
        <v>1490</v>
      </c>
      <c r="N21" s="1" t="s">
        <v>3805</v>
      </c>
      <c r="O21" t="s">
        <v>162</v>
      </c>
      <c r="P21" t="s">
        <v>14</v>
      </c>
      <c r="Q21" t="s">
        <v>7</v>
      </c>
    </row>
    <row r="22" spans="1:17">
      <c r="B22" t="s">
        <v>2841</v>
      </c>
      <c r="C22" t="s">
        <v>1456</v>
      </c>
      <c r="E22" t="s">
        <v>3319</v>
      </c>
      <c r="F22" t="s">
        <v>3320</v>
      </c>
      <c r="G22" t="s">
        <v>3306</v>
      </c>
      <c r="I22" t="s">
        <v>921</v>
      </c>
      <c r="J22" t="s">
        <v>1491</v>
      </c>
      <c r="N22" s="1" t="s">
        <v>3805</v>
      </c>
      <c r="O22" t="s">
        <v>154</v>
      </c>
      <c r="P22" t="s">
        <v>36</v>
      </c>
      <c r="Q22" t="s">
        <v>7</v>
      </c>
    </row>
    <row r="23" spans="1:17">
      <c r="B23" t="s">
        <v>2842</v>
      </c>
      <c r="C23" t="s">
        <v>1456</v>
      </c>
      <c r="E23" t="s">
        <v>3319</v>
      </c>
      <c r="F23" t="s">
        <v>3320</v>
      </c>
      <c r="G23" t="s">
        <v>3293</v>
      </c>
      <c r="I23" t="s">
        <v>254</v>
      </c>
      <c r="J23" t="s">
        <v>1492</v>
      </c>
      <c r="N23" s="1" t="s">
        <v>3473</v>
      </c>
      <c r="O23" t="s">
        <v>162</v>
      </c>
      <c r="P23" t="s">
        <v>52</v>
      </c>
      <c r="Q23" t="s">
        <v>7</v>
      </c>
    </row>
    <row r="24" spans="1:17">
      <c r="B24" t="s">
        <v>2843</v>
      </c>
      <c r="C24" t="s">
        <v>1456</v>
      </c>
      <c r="E24" t="s">
        <v>3319</v>
      </c>
      <c r="F24" t="s">
        <v>3320</v>
      </c>
      <c r="G24" t="s">
        <v>3311</v>
      </c>
      <c r="I24" t="s">
        <v>1567</v>
      </c>
      <c r="N24" s="1" t="s">
        <v>3473</v>
      </c>
      <c r="O24" t="s">
        <v>162</v>
      </c>
      <c r="P24" t="s">
        <v>28</v>
      </c>
      <c r="Q24" t="s">
        <v>7</v>
      </c>
    </row>
    <row r="25" spans="1:17">
      <c r="B25" t="s">
        <v>2844</v>
      </c>
      <c r="C25" t="s">
        <v>1563</v>
      </c>
      <c r="E25" t="s">
        <v>3319</v>
      </c>
      <c r="F25" t="s">
        <v>3320</v>
      </c>
      <c r="G25" t="s">
        <v>3290</v>
      </c>
      <c r="I25" t="s">
        <v>1493</v>
      </c>
      <c r="N25" s="1" t="s">
        <v>3805</v>
      </c>
      <c r="O25" t="s">
        <v>154</v>
      </c>
      <c r="P25" t="s">
        <v>33</v>
      </c>
      <c r="Q25" t="s">
        <v>7</v>
      </c>
    </row>
    <row r="26" spans="1:17">
      <c r="B26" t="s">
        <v>2845</v>
      </c>
      <c r="C26" t="s">
        <v>1456</v>
      </c>
      <c r="E26" t="s">
        <v>3319</v>
      </c>
      <c r="F26" t="s">
        <v>3320</v>
      </c>
      <c r="G26" t="s">
        <v>3293</v>
      </c>
      <c r="I26" t="s">
        <v>1494</v>
      </c>
      <c r="J26" t="s">
        <v>1495</v>
      </c>
      <c r="K26" t="s">
        <v>1496</v>
      </c>
      <c r="N26" s="1" t="s">
        <v>3805</v>
      </c>
      <c r="O26" t="s">
        <v>154</v>
      </c>
      <c r="P26" t="s">
        <v>38</v>
      </c>
      <c r="Q26" t="s">
        <v>7</v>
      </c>
    </row>
    <row r="27" spans="1:17">
      <c r="A27" s="9"/>
      <c r="B27" s="9" t="s">
        <v>2846</v>
      </c>
      <c r="C27" s="9" t="s">
        <v>1456</v>
      </c>
      <c r="D27" s="9"/>
      <c r="E27" s="9" t="s">
        <v>3319</v>
      </c>
      <c r="F27" s="9" t="s">
        <v>3320</v>
      </c>
      <c r="G27" s="9" t="s">
        <v>3287</v>
      </c>
      <c r="H27" s="9"/>
      <c r="I27" s="9" t="s">
        <v>1497</v>
      </c>
      <c r="J27" s="9"/>
      <c r="K27" s="9"/>
      <c r="L27" s="9"/>
      <c r="M27" s="9"/>
      <c r="N27" s="12" t="s">
        <v>3473</v>
      </c>
      <c r="O27" s="9" t="s">
        <v>162</v>
      </c>
      <c r="P27" s="9" t="s">
        <v>174</v>
      </c>
      <c r="Q27" s="9" t="s">
        <v>7</v>
      </c>
    </row>
    <row r="28" spans="1:17">
      <c r="B28" t="s">
        <v>2847</v>
      </c>
      <c r="C28" t="s">
        <v>1456</v>
      </c>
      <c r="E28" t="s">
        <v>3319</v>
      </c>
      <c r="F28" t="s">
        <v>3320</v>
      </c>
      <c r="G28" t="s">
        <v>3303</v>
      </c>
      <c r="I28" t="s">
        <v>1118</v>
      </c>
      <c r="J28" t="s">
        <v>1498</v>
      </c>
      <c r="N28" s="1" t="s">
        <v>3805</v>
      </c>
      <c r="O28" t="s">
        <v>162</v>
      </c>
      <c r="P28" t="s">
        <v>26</v>
      </c>
      <c r="Q28" t="s">
        <v>7</v>
      </c>
    </row>
    <row r="29" spans="1:17">
      <c r="B29" t="s">
        <v>2848</v>
      </c>
      <c r="C29" t="s">
        <v>1456</v>
      </c>
      <c r="E29" t="s">
        <v>3319</v>
      </c>
      <c r="F29" t="s">
        <v>3320</v>
      </c>
      <c r="G29" t="s">
        <v>3311</v>
      </c>
      <c r="I29" t="s">
        <v>1499</v>
      </c>
      <c r="N29" s="1" t="s">
        <v>3805</v>
      </c>
      <c r="O29" t="s">
        <v>162</v>
      </c>
      <c r="P29" t="s">
        <v>185</v>
      </c>
      <c r="Q29" t="s">
        <v>7</v>
      </c>
    </row>
    <row r="30" spans="1:17">
      <c r="B30" t="s">
        <v>2849</v>
      </c>
      <c r="C30" t="s">
        <v>1456</v>
      </c>
      <c r="E30" t="s">
        <v>3319</v>
      </c>
      <c r="F30" t="s">
        <v>3320</v>
      </c>
      <c r="G30" t="s">
        <v>3311</v>
      </c>
      <c r="I30" t="s">
        <v>1568</v>
      </c>
      <c r="N30" s="1" t="s">
        <v>3805</v>
      </c>
      <c r="O30" t="s">
        <v>162</v>
      </c>
      <c r="P30" t="s">
        <v>179</v>
      </c>
      <c r="Q30" t="s">
        <v>7</v>
      </c>
    </row>
    <row r="31" spans="1:17">
      <c r="B31" t="s">
        <v>2850</v>
      </c>
      <c r="C31" t="s">
        <v>1458</v>
      </c>
      <c r="E31" t="s">
        <v>3319</v>
      </c>
      <c r="F31" t="s">
        <v>3320</v>
      </c>
      <c r="G31" t="s">
        <v>3291</v>
      </c>
      <c r="I31" t="s">
        <v>1500</v>
      </c>
      <c r="N31" s="1" t="s">
        <v>3805</v>
      </c>
      <c r="O31" t="s">
        <v>165</v>
      </c>
      <c r="P31" t="s">
        <v>26</v>
      </c>
      <c r="Q31" t="s">
        <v>7</v>
      </c>
    </row>
    <row r="32" spans="1:17">
      <c r="B32" t="s">
        <v>2851</v>
      </c>
      <c r="C32" t="s">
        <v>1459</v>
      </c>
      <c r="E32" t="s">
        <v>3319</v>
      </c>
      <c r="F32" t="s">
        <v>3320</v>
      </c>
      <c r="G32" t="s">
        <v>3291</v>
      </c>
      <c r="I32" t="s">
        <v>1501</v>
      </c>
      <c r="J32" t="s">
        <v>1502</v>
      </c>
      <c r="M32" t="s">
        <v>153</v>
      </c>
      <c r="N32" s="1" t="s">
        <v>3805</v>
      </c>
      <c r="O32" t="s">
        <v>154</v>
      </c>
    </row>
    <row r="33" spans="2:17">
      <c r="B33" t="s">
        <v>2852</v>
      </c>
      <c r="C33" t="s">
        <v>1459</v>
      </c>
      <c r="E33" t="s">
        <v>3323</v>
      </c>
      <c r="F33" t="s">
        <v>3325</v>
      </c>
      <c r="I33" t="s">
        <v>1503</v>
      </c>
      <c r="M33" t="s">
        <v>153</v>
      </c>
      <c r="N33" s="1" t="s">
        <v>3805</v>
      </c>
      <c r="O33" t="s">
        <v>1450</v>
      </c>
      <c r="P33" t="s">
        <v>188</v>
      </c>
      <c r="Q33" t="s">
        <v>7</v>
      </c>
    </row>
    <row r="34" spans="2:17">
      <c r="B34" t="s">
        <v>2853</v>
      </c>
      <c r="C34" t="s">
        <v>1458</v>
      </c>
      <c r="E34" t="s">
        <v>3319</v>
      </c>
      <c r="F34" t="s">
        <v>3320</v>
      </c>
      <c r="G34" t="s">
        <v>3299</v>
      </c>
      <c r="I34" t="s">
        <v>1504</v>
      </c>
      <c r="J34" t="s">
        <v>1505</v>
      </c>
      <c r="N34" s="1" t="s">
        <v>3473</v>
      </c>
      <c r="O34" t="s">
        <v>161</v>
      </c>
      <c r="P34" t="s">
        <v>48</v>
      </c>
      <c r="Q34" t="s">
        <v>7</v>
      </c>
    </row>
    <row r="35" spans="2:17">
      <c r="B35" t="s">
        <v>2854</v>
      </c>
      <c r="C35" t="s">
        <v>1458</v>
      </c>
      <c r="E35" t="s">
        <v>3319</v>
      </c>
      <c r="F35" t="s">
        <v>3320</v>
      </c>
      <c r="G35" t="s">
        <v>3307</v>
      </c>
      <c r="I35" t="s">
        <v>1506</v>
      </c>
      <c r="N35" s="1" t="s">
        <v>3805</v>
      </c>
      <c r="O35" t="s">
        <v>163</v>
      </c>
      <c r="P35" t="s">
        <v>10</v>
      </c>
      <c r="Q35" t="s">
        <v>7</v>
      </c>
    </row>
    <row r="36" spans="2:17">
      <c r="B36" t="s">
        <v>2855</v>
      </c>
      <c r="C36" t="s">
        <v>1458</v>
      </c>
      <c r="E36" t="s">
        <v>3319</v>
      </c>
      <c r="F36" t="s">
        <v>3320</v>
      </c>
      <c r="G36" t="s">
        <v>3302</v>
      </c>
      <c r="H36" t="s">
        <v>3311</v>
      </c>
      <c r="I36" t="s">
        <v>1507</v>
      </c>
      <c r="J36" t="s">
        <v>298</v>
      </c>
      <c r="N36" s="1" t="s">
        <v>3805</v>
      </c>
      <c r="O36" t="s">
        <v>156</v>
      </c>
      <c r="P36" t="s">
        <v>15</v>
      </c>
      <c r="Q36" t="s">
        <v>7</v>
      </c>
    </row>
    <row r="37" spans="2:17">
      <c r="B37" t="s">
        <v>2856</v>
      </c>
      <c r="C37" t="s">
        <v>1458</v>
      </c>
      <c r="E37" t="s">
        <v>3319</v>
      </c>
      <c r="F37" t="s">
        <v>3320</v>
      </c>
      <c r="G37" t="s">
        <v>3299</v>
      </c>
      <c r="I37" t="s">
        <v>1508</v>
      </c>
      <c r="N37" s="1" t="s">
        <v>3473</v>
      </c>
      <c r="O37" t="s">
        <v>165</v>
      </c>
      <c r="P37" t="s">
        <v>26</v>
      </c>
      <c r="Q37" t="s">
        <v>7</v>
      </c>
    </row>
    <row r="38" spans="2:17">
      <c r="B38" t="s">
        <v>2857</v>
      </c>
      <c r="C38" t="s">
        <v>1458</v>
      </c>
      <c r="E38" t="s">
        <v>3319</v>
      </c>
      <c r="F38" t="s">
        <v>3320</v>
      </c>
      <c r="G38" t="s">
        <v>3311</v>
      </c>
      <c r="I38" t="s">
        <v>1569</v>
      </c>
      <c r="J38" t="s">
        <v>1558</v>
      </c>
      <c r="K38" t="s">
        <v>1559</v>
      </c>
      <c r="N38" s="1" t="s">
        <v>3805</v>
      </c>
      <c r="O38" t="s">
        <v>154</v>
      </c>
      <c r="P38" t="s">
        <v>175</v>
      </c>
      <c r="Q38" t="s">
        <v>7</v>
      </c>
    </row>
    <row r="39" spans="2:17">
      <c r="B39" t="s">
        <v>2858</v>
      </c>
      <c r="C39" t="s">
        <v>1458</v>
      </c>
      <c r="E39" t="s">
        <v>3319</v>
      </c>
      <c r="F39" t="s">
        <v>3320</v>
      </c>
      <c r="G39" t="s">
        <v>3294</v>
      </c>
      <c r="I39" t="s">
        <v>73</v>
      </c>
      <c r="J39" t="s">
        <v>1509</v>
      </c>
      <c r="N39" s="1" t="s">
        <v>3805</v>
      </c>
      <c r="O39" t="s">
        <v>163</v>
      </c>
      <c r="P39" t="s">
        <v>48</v>
      </c>
      <c r="Q39" t="s">
        <v>7</v>
      </c>
    </row>
    <row r="40" spans="2:17">
      <c r="B40" t="s">
        <v>2859</v>
      </c>
      <c r="C40" t="s">
        <v>1458</v>
      </c>
      <c r="E40" t="s">
        <v>3319</v>
      </c>
      <c r="F40" t="s">
        <v>3320</v>
      </c>
      <c r="G40" t="s">
        <v>3287</v>
      </c>
      <c r="I40" t="s">
        <v>1510</v>
      </c>
      <c r="J40" t="s">
        <v>1511</v>
      </c>
      <c r="N40" s="1" t="s">
        <v>3805</v>
      </c>
      <c r="O40" t="s">
        <v>163</v>
      </c>
      <c r="P40" t="s">
        <v>29</v>
      </c>
      <c r="Q40" t="s">
        <v>7</v>
      </c>
    </row>
    <row r="41" spans="2:17">
      <c r="B41" t="s">
        <v>2860</v>
      </c>
      <c r="C41" t="s">
        <v>1459</v>
      </c>
      <c r="E41" t="s">
        <v>3319</v>
      </c>
      <c r="F41" t="s">
        <v>3320</v>
      </c>
      <c r="G41" t="s">
        <v>3291</v>
      </c>
      <c r="I41" t="s">
        <v>1512</v>
      </c>
      <c r="N41" s="1" t="s">
        <v>3805</v>
      </c>
      <c r="O41" t="s">
        <v>165</v>
      </c>
      <c r="P41" t="s">
        <v>611</v>
      </c>
      <c r="Q41" t="s">
        <v>7</v>
      </c>
    </row>
    <row r="42" spans="2:17">
      <c r="B42" t="s">
        <v>2861</v>
      </c>
      <c r="C42" t="s">
        <v>1459</v>
      </c>
      <c r="E42" t="s">
        <v>3322</v>
      </c>
      <c r="F42" t="s">
        <v>3320</v>
      </c>
      <c r="G42" t="s">
        <v>3291</v>
      </c>
      <c r="I42" t="s">
        <v>1513</v>
      </c>
      <c r="J42" t="s">
        <v>1514</v>
      </c>
      <c r="N42" s="1" t="s">
        <v>3805</v>
      </c>
      <c r="O42" t="s">
        <v>165</v>
      </c>
      <c r="P42" t="s">
        <v>40</v>
      </c>
      <c r="Q42" t="s">
        <v>7</v>
      </c>
    </row>
    <row r="43" spans="2:17">
      <c r="B43" t="s">
        <v>2862</v>
      </c>
      <c r="C43" t="s">
        <v>1458</v>
      </c>
      <c r="E43" t="s">
        <v>3319</v>
      </c>
      <c r="F43" t="s">
        <v>3320</v>
      </c>
      <c r="G43" t="s">
        <v>3311</v>
      </c>
      <c r="I43" t="s">
        <v>1562</v>
      </c>
      <c r="J43" t="s">
        <v>1579</v>
      </c>
      <c r="N43" s="1" t="s">
        <v>3805</v>
      </c>
      <c r="O43" t="s">
        <v>154</v>
      </c>
      <c r="P43" t="s">
        <v>15</v>
      </c>
      <c r="Q43" t="s">
        <v>7</v>
      </c>
    </row>
    <row r="44" spans="2:17">
      <c r="B44" t="s">
        <v>2863</v>
      </c>
      <c r="C44" t="s">
        <v>1458</v>
      </c>
      <c r="E44" t="s">
        <v>3323</v>
      </c>
      <c r="F44" t="s">
        <v>3320</v>
      </c>
      <c r="G44" t="s">
        <v>3292</v>
      </c>
      <c r="I44" t="s">
        <v>62</v>
      </c>
      <c r="J44" t="s">
        <v>1515</v>
      </c>
      <c r="K44" t="s">
        <v>1516</v>
      </c>
      <c r="N44" s="1" t="s">
        <v>3805</v>
      </c>
      <c r="O44" t="s">
        <v>162</v>
      </c>
      <c r="P44" t="s">
        <v>180</v>
      </c>
      <c r="Q44" t="s">
        <v>7</v>
      </c>
    </row>
    <row r="45" spans="2:17">
      <c r="B45" t="s">
        <v>2864</v>
      </c>
      <c r="C45" t="s">
        <v>1458</v>
      </c>
      <c r="E45" t="s">
        <v>3319</v>
      </c>
      <c r="F45" t="s">
        <v>3320</v>
      </c>
      <c r="G45" t="s">
        <v>3311</v>
      </c>
      <c r="I45" t="s">
        <v>1118</v>
      </c>
      <c r="J45" t="s">
        <v>1517</v>
      </c>
      <c r="N45" s="1" t="s">
        <v>3805</v>
      </c>
      <c r="O45" t="s">
        <v>615</v>
      </c>
      <c r="P45" t="s">
        <v>609</v>
      </c>
      <c r="Q45" t="s">
        <v>7</v>
      </c>
    </row>
    <row r="46" spans="2:17">
      <c r="B46" t="s">
        <v>2865</v>
      </c>
      <c r="C46" t="s">
        <v>1458</v>
      </c>
      <c r="E46" t="s">
        <v>3319</v>
      </c>
      <c r="F46" t="s">
        <v>3320</v>
      </c>
      <c r="G46" t="s">
        <v>3311</v>
      </c>
      <c r="I46" t="s">
        <v>1518</v>
      </c>
      <c r="N46" s="1" t="s">
        <v>3805</v>
      </c>
      <c r="O46" t="s">
        <v>156</v>
      </c>
      <c r="P46" t="s">
        <v>8</v>
      </c>
      <c r="Q46" t="s">
        <v>7</v>
      </c>
    </row>
    <row r="47" spans="2:17">
      <c r="B47" t="s">
        <v>2866</v>
      </c>
      <c r="C47" t="s">
        <v>1458</v>
      </c>
      <c r="E47" t="s">
        <v>3319</v>
      </c>
      <c r="F47" t="s">
        <v>3320</v>
      </c>
      <c r="G47" t="s">
        <v>3289</v>
      </c>
      <c r="I47" t="s">
        <v>1570</v>
      </c>
      <c r="N47" s="1" t="s">
        <v>3473</v>
      </c>
      <c r="O47" t="s">
        <v>162</v>
      </c>
      <c r="P47" t="s">
        <v>611</v>
      </c>
      <c r="Q47" t="s">
        <v>7</v>
      </c>
    </row>
    <row r="48" spans="2:17">
      <c r="B48" t="s">
        <v>2867</v>
      </c>
      <c r="C48" t="s">
        <v>1459</v>
      </c>
      <c r="E48" t="s">
        <v>3319</v>
      </c>
      <c r="F48" t="s">
        <v>3320</v>
      </c>
      <c r="G48" t="s">
        <v>3285</v>
      </c>
      <c r="H48" t="s">
        <v>3315</v>
      </c>
      <c r="I48" t="s">
        <v>1519</v>
      </c>
      <c r="M48" t="s">
        <v>153</v>
      </c>
      <c r="N48" s="1" t="s">
        <v>3805</v>
      </c>
      <c r="O48" t="s">
        <v>170</v>
      </c>
    </row>
    <row r="49" spans="1:17">
      <c r="B49" t="s">
        <v>2868</v>
      </c>
      <c r="C49" t="s">
        <v>3395</v>
      </c>
      <c r="E49" t="s">
        <v>3319</v>
      </c>
      <c r="F49" s="1" t="s">
        <v>3315</v>
      </c>
      <c r="I49" t="s">
        <v>1520</v>
      </c>
      <c r="J49" t="s">
        <v>1521</v>
      </c>
      <c r="M49" t="s">
        <v>153</v>
      </c>
      <c r="N49" s="1" t="s">
        <v>3805</v>
      </c>
      <c r="O49" t="s">
        <v>618</v>
      </c>
      <c r="P49" t="s">
        <v>46</v>
      </c>
      <c r="Q49" t="s">
        <v>7</v>
      </c>
    </row>
    <row r="50" spans="1:17">
      <c r="B50" t="s">
        <v>2776</v>
      </c>
      <c r="C50" t="s">
        <v>1458</v>
      </c>
      <c r="E50" t="s">
        <v>3319</v>
      </c>
      <c r="F50" t="s">
        <v>3320</v>
      </c>
      <c r="G50" t="s">
        <v>3287</v>
      </c>
      <c r="I50" t="s">
        <v>1406</v>
      </c>
      <c r="N50" s="1" t="s">
        <v>3805</v>
      </c>
      <c r="O50" t="s">
        <v>156</v>
      </c>
      <c r="P50" t="s">
        <v>183</v>
      </c>
      <c r="Q50" t="s">
        <v>7</v>
      </c>
    </row>
    <row r="51" spans="1:17">
      <c r="B51" t="s">
        <v>2869</v>
      </c>
      <c r="C51" t="s">
        <v>1458</v>
      </c>
      <c r="E51" t="s">
        <v>3319</v>
      </c>
      <c r="F51" t="s">
        <v>3320</v>
      </c>
      <c r="G51" t="s">
        <v>3286</v>
      </c>
      <c r="I51" t="s">
        <v>1571</v>
      </c>
      <c r="N51" s="1" t="s">
        <v>3805</v>
      </c>
      <c r="O51" t="s">
        <v>162</v>
      </c>
      <c r="P51" t="s">
        <v>176</v>
      </c>
      <c r="Q51" t="s">
        <v>7</v>
      </c>
    </row>
    <row r="52" spans="1:17">
      <c r="B52" t="s">
        <v>2870</v>
      </c>
      <c r="C52" t="s">
        <v>1458</v>
      </c>
      <c r="E52" t="s">
        <v>3319</v>
      </c>
      <c r="F52" t="s">
        <v>3320</v>
      </c>
      <c r="G52" t="s">
        <v>3303</v>
      </c>
      <c r="I52" t="s">
        <v>0</v>
      </c>
      <c r="J52" t="s">
        <v>1522</v>
      </c>
      <c r="N52" s="1" t="s">
        <v>3805</v>
      </c>
      <c r="O52" t="s">
        <v>164</v>
      </c>
      <c r="P52" t="s">
        <v>35</v>
      </c>
      <c r="Q52" t="s">
        <v>7</v>
      </c>
    </row>
    <row r="53" spans="1:17">
      <c r="B53" t="s">
        <v>2871</v>
      </c>
      <c r="C53" t="s">
        <v>1458</v>
      </c>
      <c r="E53" t="s">
        <v>3319</v>
      </c>
      <c r="F53" t="s">
        <v>3320</v>
      </c>
      <c r="G53" t="s">
        <v>3311</v>
      </c>
      <c r="I53" t="s">
        <v>1523</v>
      </c>
      <c r="N53" s="1" t="s">
        <v>3805</v>
      </c>
      <c r="O53" t="s">
        <v>164</v>
      </c>
      <c r="P53" t="s">
        <v>14</v>
      </c>
      <c r="Q53" t="s">
        <v>7</v>
      </c>
    </row>
    <row r="54" spans="1:17">
      <c r="B54" t="s">
        <v>2872</v>
      </c>
      <c r="C54" t="s">
        <v>1458</v>
      </c>
      <c r="E54" t="s">
        <v>3319</v>
      </c>
      <c r="F54" t="s">
        <v>3320</v>
      </c>
      <c r="G54" t="s">
        <v>3291</v>
      </c>
      <c r="H54" t="s">
        <v>3315</v>
      </c>
      <c r="I54" t="s">
        <v>51</v>
      </c>
      <c r="J54" t="s">
        <v>1524</v>
      </c>
      <c r="M54" t="s">
        <v>153</v>
      </c>
      <c r="N54" s="1" t="s">
        <v>3805</v>
      </c>
      <c r="O54" t="s">
        <v>784</v>
      </c>
    </row>
    <row r="55" spans="1:17">
      <c r="B55" t="s">
        <v>2873</v>
      </c>
      <c r="C55" t="s">
        <v>3395</v>
      </c>
      <c r="E55" t="s">
        <v>3319</v>
      </c>
      <c r="F55" s="1" t="s">
        <v>3315</v>
      </c>
      <c r="I55" t="s">
        <v>1525</v>
      </c>
      <c r="J55" t="s">
        <v>1526</v>
      </c>
      <c r="M55" t="s">
        <v>153</v>
      </c>
      <c r="N55" s="1" t="s">
        <v>3805</v>
      </c>
      <c r="O55" t="s">
        <v>1204</v>
      </c>
      <c r="P55" t="s">
        <v>45</v>
      </c>
      <c r="Q55" t="s">
        <v>7</v>
      </c>
    </row>
    <row r="56" spans="1:17">
      <c r="B56" t="s">
        <v>2874</v>
      </c>
      <c r="C56" t="s">
        <v>1458</v>
      </c>
      <c r="E56" t="s">
        <v>3319</v>
      </c>
      <c r="F56" t="s">
        <v>3320</v>
      </c>
      <c r="G56" t="s">
        <v>3291</v>
      </c>
      <c r="I56" t="s">
        <v>1527</v>
      </c>
      <c r="N56" s="1" t="s">
        <v>3805</v>
      </c>
      <c r="O56" t="s">
        <v>162</v>
      </c>
      <c r="P56" t="s">
        <v>27</v>
      </c>
      <c r="Q56" t="s">
        <v>7</v>
      </c>
    </row>
    <row r="57" spans="1:17">
      <c r="B57" t="s">
        <v>2875</v>
      </c>
      <c r="C57" t="s">
        <v>1458</v>
      </c>
      <c r="E57" t="s">
        <v>3319</v>
      </c>
      <c r="F57" t="s">
        <v>3320</v>
      </c>
      <c r="G57" t="s">
        <v>3307</v>
      </c>
      <c r="I57" t="s">
        <v>1528</v>
      </c>
      <c r="J57" t="s">
        <v>1529</v>
      </c>
      <c r="K57" t="s">
        <v>1530</v>
      </c>
      <c r="N57" s="1" t="s">
        <v>3473</v>
      </c>
      <c r="O57" t="s">
        <v>157</v>
      </c>
      <c r="P57" t="s">
        <v>26</v>
      </c>
      <c r="Q57" t="s">
        <v>7</v>
      </c>
    </row>
    <row r="58" spans="1:17">
      <c r="B58" t="s">
        <v>2779</v>
      </c>
      <c r="C58" t="s">
        <v>1458</v>
      </c>
      <c r="E58" t="s">
        <v>3319</v>
      </c>
      <c r="F58" t="s">
        <v>3320</v>
      </c>
      <c r="G58" t="s">
        <v>3290</v>
      </c>
      <c r="I58" t="s">
        <v>0</v>
      </c>
      <c r="J58" t="s">
        <v>1471</v>
      </c>
      <c r="N58" s="1" t="s">
        <v>3805</v>
      </c>
      <c r="O58" t="s">
        <v>154</v>
      </c>
      <c r="P58" t="s">
        <v>18</v>
      </c>
      <c r="Q58" t="s">
        <v>7</v>
      </c>
    </row>
    <row r="59" spans="1:17">
      <c r="B59" t="s">
        <v>2876</v>
      </c>
      <c r="C59" t="s">
        <v>1458</v>
      </c>
      <c r="E59" t="s">
        <v>3319</v>
      </c>
      <c r="F59" t="s">
        <v>3320</v>
      </c>
      <c r="G59" t="s">
        <v>3291</v>
      </c>
      <c r="I59" t="s">
        <v>1531</v>
      </c>
      <c r="N59" s="1" t="s">
        <v>3473</v>
      </c>
      <c r="O59" t="s">
        <v>163</v>
      </c>
      <c r="P59" t="s">
        <v>52</v>
      </c>
      <c r="Q59" t="s">
        <v>7</v>
      </c>
    </row>
    <row r="60" spans="1:17">
      <c r="B60" t="s">
        <v>2877</v>
      </c>
      <c r="C60" t="s">
        <v>1458</v>
      </c>
      <c r="E60" t="s">
        <v>3319</v>
      </c>
      <c r="F60" t="s">
        <v>3320</v>
      </c>
      <c r="G60" t="s">
        <v>3293</v>
      </c>
      <c r="I60" t="s">
        <v>20</v>
      </c>
      <c r="J60" t="s">
        <v>1532</v>
      </c>
      <c r="K60" t="s">
        <v>1578</v>
      </c>
      <c r="N60" s="1" t="s">
        <v>3805</v>
      </c>
      <c r="O60" t="s">
        <v>1560</v>
      </c>
      <c r="P60" t="s">
        <v>32</v>
      </c>
      <c r="Q60" t="s">
        <v>7</v>
      </c>
    </row>
    <row r="61" spans="1:17">
      <c r="A61" s="9"/>
      <c r="B61" s="9" t="s">
        <v>2878</v>
      </c>
      <c r="C61" s="9" t="s">
        <v>1458</v>
      </c>
      <c r="D61" s="9"/>
      <c r="E61" s="9" t="s">
        <v>3319</v>
      </c>
      <c r="F61" s="9" t="s">
        <v>3320</v>
      </c>
      <c r="G61" s="9" t="s">
        <v>3311</v>
      </c>
      <c r="H61" s="9" t="s">
        <v>3296</v>
      </c>
      <c r="I61" s="9" t="s">
        <v>1533</v>
      </c>
      <c r="J61" s="9"/>
      <c r="K61" s="9"/>
      <c r="L61" s="9"/>
      <c r="M61" s="9"/>
      <c r="N61" s="12" t="s">
        <v>3473</v>
      </c>
      <c r="O61" s="9" t="s">
        <v>154</v>
      </c>
      <c r="P61" s="9" t="s">
        <v>28</v>
      </c>
      <c r="Q61" s="9" t="s">
        <v>7</v>
      </c>
    </row>
    <row r="62" spans="1:17">
      <c r="B62" t="s">
        <v>2879</v>
      </c>
      <c r="C62" t="s">
        <v>1458</v>
      </c>
      <c r="E62" t="s">
        <v>3319</v>
      </c>
      <c r="F62" t="s">
        <v>3320</v>
      </c>
      <c r="G62" t="s">
        <v>3311</v>
      </c>
      <c r="I62" t="s">
        <v>1118</v>
      </c>
      <c r="J62" t="s">
        <v>1561</v>
      </c>
      <c r="N62" s="1" t="s">
        <v>3805</v>
      </c>
      <c r="O62" t="s">
        <v>154</v>
      </c>
      <c r="P62" t="s">
        <v>40</v>
      </c>
      <c r="Q62" t="s">
        <v>7</v>
      </c>
    </row>
    <row r="63" spans="1:17">
      <c r="B63" t="s">
        <v>2880</v>
      </c>
      <c r="C63" t="s">
        <v>1458</v>
      </c>
      <c r="E63" t="s">
        <v>3319</v>
      </c>
      <c r="F63" t="s">
        <v>3320</v>
      </c>
      <c r="G63" t="s">
        <v>3311</v>
      </c>
      <c r="I63" t="s">
        <v>1534</v>
      </c>
      <c r="J63" t="s">
        <v>1535</v>
      </c>
      <c r="N63" s="1" t="s">
        <v>3805</v>
      </c>
      <c r="O63" t="s">
        <v>166</v>
      </c>
      <c r="P63" t="s">
        <v>39</v>
      </c>
      <c r="Q63" t="s">
        <v>7</v>
      </c>
    </row>
    <row r="64" spans="1:17">
      <c r="B64" t="s">
        <v>2784</v>
      </c>
      <c r="C64" t="s">
        <v>1458</v>
      </c>
      <c r="E64" t="s">
        <v>3319</v>
      </c>
      <c r="F64" t="s">
        <v>3320</v>
      </c>
      <c r="G64" t="s">
        <v>3311</v>
      </c>
      <c r="I64" t="s">
        <v>1413</v>
      </c>
      <c r="J64" t="s">
        <v>1460</v>
      </c>
      <c r="N64" s="1" t="s">
        <v>3805</v>
      </c>
      <c r="O64" t="s">
        <v>615</v>
      </c>
      <c r="P64" t="s">
        <v>863</v>
      </c>
      <c r="Q64" t="s">
        <v>7</v>
      </c>
    </row>
    <row r="65" spans="1:17">
      <c r="B65" t="s">
        <v>2881</v>
      </c>
      <c r="C65" t="s">
        <v>1462</v>
      </c>
      <c r="E65" t="s">
        <v>3319</v>
      </c>
      <c r="F65" t="s">
        <v>3320</v>
      </c>
      <c r="G65" t="s">
        <v>3291</v>
      </c>
      <c r="I65" t="s">
        <v>1536</v>
      </c>
      <c r="J65" t="s">
        <v>1576</v>
      </c>
      <c r="N65" s="1" t="s">
        <v>3805</v>
      </c>
      <c r="O65" t="s">
        <v>154</v>
      </c>
      <c r="P65" t="s">
        <v>177</v>
      </c>
      <c r="Q65" t="s">
        <v>7</v>
      </c>
    </row>
    <row r="66" spans="1:17">
      <c r="B66" t="s">
        <v>2882</v>
      </c>
      <c r="C66" t="s">
        <v>1463</v>
      </c>
      <c r="E66" t="s">
        <v>3319</v>
      </c>
      <c r="F66" t="s">
        <v>3320</v>
      </c>
      <c r="G66" t="s">
        <v>3311</v>
      </c>
      <c r="I66" t="s">
        <v>1572</v>
      </c>
      <c r="N66" s="1" t="s">
        <v>3805</v>
      </c>
      <c r="O66" t="s">
        <v>154</v>
      </c>
      <c r="P66" t="s">
        <v>45</v>
      </c>
      <c r="Q66" t="s">
        <v>7</v>
      </c>
    </row>
    <row r="67" spans="1:17">
      <c r="B67" t="s">
        <v>2883</v>
      </c>
      <c r="C67" t="s">
        <v>1462</v>
      </c>
      <c r="E67" t="s">
        <v>3319</v>
      </c>
      <c r="F67" t="s">
        <v>3320</v>
      </c>
      <c r="G67" t="s">
        <v>3294</v>
      </c>
      <c r="I67" t="s">
        <v>1537</v>
      </c>
      <c r="N67" s="1" t="s">
        <v>3805</v>
      </c>
      <c r="O67" t="s">
        <v>1450</v>
      </c>
      <c r="P67" t="s">
        <v>53</v>
      </c>
      <c r="Q67" t="s">
        <v>7</v>
      </c>
    </row>
    <row r="68" spans="1:17">
      <c r="B68" t="s">
        <v>2884</v>
      </c>
      <c r="C68" t="s">
        <v>1462</v>
      </c>
      <c r="E68" t="s">
        <v>3319</v>
      </c>
      <c r="F68" t="s">
        <v>3320</v>
      </c>
      <c r="G68" t="s">
        <v>3287</v>
      </c>
      <c r="I68" t="s">
        <v>1538</v>
      </c>
      <c r="N68" s="1" t="s">
        <v>3805</v>
      </c>
      <c r="O68" t="s">
        <v>157</v>
      </c>
      <c r="P68" t="s">
        <v>8</v>
      </c>
      <c r="Q68" t="s">
        <v>7</v>
      </c>
    </row>
    <row r="69" spans="1:17">
      <c r="B69" t="s">
        <v>2885</v>
      </c>
      <c r="C69" t="s">
        <v>1462</v>
      </c>
      <c r="E69" t="s">
        <v>3319</v>
      </c>
      <c r="F69" t="s">
        <v>3320</v>
      </c>
      <c r="G69" t="s">
        <v>3291</v>
      </c>
      <c r="I69" t="s">
        <v>1539</v>
      </c>
      <c r="J69" t="s">
        <v>1540</v>
      </c>
      <c r="N69" s="1" t="s">
        <v>3473</v>
      </c>
      <c r="O69" t="s">
        <v>1124</v>
      </c>
      <c r="P69" t="s">
        <v>26</v>
      </c>
      <c r="Q69" t="s">
        <v>7</v>
      </c>
    </row>
    <row r="70" spans="1:17">
      <c r="B70" t="s">
        <v>2808</v>
      </c>
      <c r="C70" t="s">
        <v>1462</v>
      </c>
      <c r="E70" t="s">
        <v>3319</v>
      </c>
      <c r="F70" t="s">
        <v>3320</v>
      </c>
      <c r="G70" t="s">
        <v>3311</v>
      </c>
      <c r="I70" t="s">
        <v>1118</v>
      </c>
      <c r="J70" t="s">
        <v>1435</v>
      </c>
      <c r="N70" s="1" t="s">
        <v>3805</v>
      </c>
      <c r="O70" t="s">
        <v>154</v>
      </c>
      <c r="P70" t="s">
        <v>46</v>
      </c>
      <c r="Q70" t="s">
        <v>7</v>
      </c>
    </row>
    <row r="71" spans="1:17">
      <c r="B71" t="s">
        <v>2886</v>
      </c>
      <c r="C71" t="s">
        <v>1462</v>
      </c>
      <c r="E71" t="s">
        <v>3319</v>
      </c>
      <c r="F71" t="s">
        <v>3320</v>
      </c>
      <c r="G71" t="s">
        <v>3291</v>
      </c>
      <c r="I71" t="s">
        <v>1541</v>
      </c>
      <c r="N71" s="1" t="s">
        <v>3473</v>
      </c>
      <c r="O71" t="s">
        <v>165</v>
      </c>
      <c r="P71" t="s">
        <v>48</v>
      </c>
      <c r="Q71" t="s">
        <v>7</v>
      </c>
    </row>
    <row r="72" spans="1:17">
      <c r="B72" t="s">
        <v>2887</v>
      </c>
      <c r="C72" t="s">
        <v>1462</v>
      </c>
      <c r="E72" t="s">
        <v>3319</v>
      </c>
      <c r="F72" t="s">
        <v>3320</v>
      </c>
      <c r="G72" t="s">
        <v>3299</v>
      </c>
      <c r="I72" t="s">
        <v>262</v>
      </c>
      <c r="J72" t="s">
        <v>1542</v>
      </c>
      <c r="K72" t="s">
        <v>1543</v>
      </c>
      <c r="N72" s="1" t="s">
        <v>3473</v>
      </c>
      <c r="O72" t="s">
        <v>154</v>
      </c>
      <c r="P72" t="s">
        <v>35</v>
      </c>
      <c r="Q72" t="s">
        <v>7</v>
      </c>
    </row>
    <row r="73" spans="1:17">
      <c r="B73" t="s">
        <v>2888</v>
      </c>
      <c r="C73" t="s">
        <v>1462</v>
      </c>
      <c r="E73" t="s">
        <v>3319</v>
      </c>
      <c r="F73" t="s">
        <v>3320</v>
      </c>
      <c r="G73" t="s">
        <v>3311</v>
      </c>
      <c r="I73" t="s">
        <v>1573</v>
      </c>
      <c r="N73" s="1" t="s">
        <v>3805</v>
      </c>
      <c r="O73" t="s">
        <v>164</v>
      </c>
      <c r="P73" t="s">
        <v>177</v>
      </c>
      <c r="Q73" t="s">
        <v>7</v>
      </c>
    </row>
    <row r="74" spans="1:17">
      <c r="B74" t="s">
        <v>2889</v>
      </c>
      <c r="C74" t="s">
        <v>1462</v>
      </c>
      <c r="E74" t="s">
        <v>3319</v>
      </c>
      <c r="F74" t="s">
        <v>3320</v>
      </c>
      <c r="G74" t="s">
        <v>3311</v>
      </c>
      <c r="I74" t="s">
        <v>817</v>
      </c>
      <c r="J74" t="s">
        <v>1577</v>
      </c>
      <c r="N74" s="1" t="s">
        <v>3805</v>
      </c>
      <c r="O74" t="s">
        <v>156</v>
      </c>
      <c r="P74" t="s">
        <v>611</v>
      </c>
      <c r="Q74" t="s">
        <v>7</v>
      </c>
    </row>
    <row r="75" spans="1:17">
      <c r="A75" s="9"/>
      <c r="B75" s="9" t="s">
        <v>2890</v>
      </c>
      <c r="C75" s="9" t="s">
        <v>1462</v>
      </c>
      <c r="D75" s="9"/>
      <c r="E75" s="9" t="s">
        <v>3319</v>
      </c>
      <c r="F75" s="9" t="s">
        <v>3320</v>
      </c>
      <c r="G75" s="9" t="s">
        <v>3286</v>
      </c>
      <c r="H75" s="9"/>
      <c r="I75" s="9" t="s">
        <v>1544</v>
      </c>
      <c r="J75" s="9" t="s">
        <v>1545</v>
      </c>
      <c r="K75" s="9"/>
      <c r="L75" s="9"/>
      <c r="M75" s="9"/>
      <c r="N75" s="12" t="s">
        <v>3810</v>
      </c>
      <c r="O75" s="9" t="s">
        <v>161</v>
      </c>
      <c r="P75" s="9" t="s">
        <v>36</v>
      </c>
      <c r="Q75" s="9" t="s">
        <v>7</v>
      </c>
    </row>
    <row r="76" spans="1:17">
      <c r="B76" t="s">
        <v>2891</v>
      </c>
      <c r="C76" t="s">
        <v>1463</v>
      </c>
      <c r="E76" t="s">
        <v>3319</v>
      </c>
      <c r="F76" t="s">
        <v>3320</v>
      </c>
      <c r="G76" t="s">
        <v>3293</v>
      </c>
      <c r="I76" t="s">
        <v>1546</v>
      </c>
      <c r="N76" s="1" t="s">
        <v>3805</v>
      </c>
      <c r="O76" t="s">
        <v>163</v>
      </c>
      <c r="P76" t="s">
        <v>181</v>
      </c>
      <c r="Q76" t="s">
        <v>7</v>
      </c>
    </row>
    <row r="77" spans="1:17">
      <c r="B77" t="s">
        <v>2892</v>
      </c>
      <c r="C77" t="s">
        <v>1462</v>
      </c>
      <c r="E77" t="s">
        <v>3319</v>
      </c>
      <c r="F77" t="s">
        <v>3320</v>
      </c>
      <c r="G77" t="s">
        <v>3316</v>
      </c>
      <c r="I77" t="s">
        <v>1547</v>
      </c>
      <c r="N77" s="1" t="s">
        <v>3805</v>
      </c>
      <c r="O77" t="s">
        <v>165</v>
      </c>
      <c r="P77" t="s">
        <v>49</v>
      </c>
      <c r="Q77" t="s">
        <v>7</v>
      </c>
    </row>
    <row r="78" spans="1:17">
      <c r="B78" t="s">
        <v>2893</v>
      </c>
      <c r="C78" t="s">
        <v>1462</v>
      </c>
      <c r="E78" t="s">
        <v>3319</v>
      </c>
      <c r="F78" t="s">
        <v>3320</v>
      </c>
      <c r="G78" t="s">
        <v>3297</v>
      </c>
      <c r="I78" t="s">
        <v>1548</v>
      </c>
      <c r="N78" s="1" t="s">
        <v>3473</v>
      </c>
      <c r="O78" t="s">
        <v>164</v>
      </c>
      <c r="P78" t="s">
        <v>38</v>
      </c>
      <c r="Q78" t="s">
        <v>7</v>
      </c>
    </row>
    <row r="79" spans="1:17">
      <c r="B79" t="s">
        <v>2894</v>
      </c>
      <c r="C79" t="s">
        <v>1462</v>
      </c>
      <c r="E79" t="s">
        <v>3319</v>
      </c>
      <c r="F79" t="s">
        <v>3320</v>
      </c>
      <c r="G79" t="s">
        <v>3315</v>
      </c>
      <c r="I79" t="s">
        <v>1549</v>
      </c>
      <c r="M79" t="s">
        <v>153</v>
      </c>
      <c r="N79" s="1" t="s">
        <v>3805</v>
      </c>
      <c r="O79" t="s">
        <v>165</v>
      </c>
    </row>
    <row r="80" spans="1:17">
      <c r="B80" t="s">
        <v>2895</v>
      </c>
      <c r="C80" t="s">
        <v>3395</v>
      </c>
      <c r="E80" t="s">
        <v>3319</v>
      </c>
      <c r="F80" s="1" t="s">
        <v>3315</v>
      </c>
      <c r="I80" t="s">
        <v>1550</v>
      </c>
      <c r="J80" t="s">
        <v>1551</v>
      </c>
      <c r="M80" t="s">
        <v>153</v>
      </c>
      <c r="N80" s="1" t="s">
        <v>3805</v>
      </c>
      <c r="O80" t="s">
        <v>155</v>
      </c>
      <c r="P80" t="s">
        <v>44</v>
      </c>
      <c r="Q80" t="s">
        <v>7</v>
      </c>
    </row>
    <row r="81" spans="1:17">
      <c r="B81" t="s">
        <v>2896</v>
      </c>
      <c r="C81" t="s">
        <v>1465</v>
      </c>
      <c r="E81" t="s">
        <v>3319</v>
      </c>
      <c r="F81" t="s">
        <v>3320</v>
      </c>
      <c r="G81" t="s">
        <v>3311</v>
      </c>
      <c r="I81" t="s">
        <v>1552</v>
      </c>
      <c r="N81" s="1" t="s">
        <v>3805</v>
      </c>
      <c r="O81" t="s">
        <v>165</v>
      </c>
      <c r="P81" t="s">
        <v>40</v>
      </c>
      <c r="Q81" t="s">
        <v>7</v>
      </c>
    </row>
    <row r="82" spans="1:17">
      <c r="B82" t="s">
        <v>2897</v>
      </c>
      <c r="C82" t="s">
        <v>1465</v>
      </c>
      <c r="E82" t="s">
        <v>3319</v>
      </c>
      <c r="F82" t="s">
        <v>3320</v>
      </c>
      <c r="G82" t="s">
        <v>3311</v>
      </c>
      <c r="I82" t="s">
        <v>1553</v>
      </c>
      <c r="N82" s="1" t="s">
        <v>3805</v>
      </c>
      <c r="O82" t="s">
        <v>170</v>
      </c>
      <c r="P82" t="s">
        <v>180</v>
      </c>
      <c r="Q82" t="s">
        <v>7</v>
      </c>
    </row>
    <row r="83" spans="1:17">
      <c r="B83" t="s">
        <v>2898</v>
      </c>
      <c r="C83" t="s">
        <v>1469</v>
      </c>
      <c r="E83" t="s">
        <v>3319</v>
      </c>
      <c r="F83" t="s">
        <v>3320</v>
      </c>
      <c r="G83" t="s">
        <v>3292</v>
      </c>
      <c r="I83" t="s">
        <v>62</v>
      </c>
      <c r="J83" t="s">
        <v>1554</v>
      </c>
      <c r="N83" s="1" t="s">
        <v>3805</v>
      </c>
      <c r="O83" t="s">
        <v>154</v>
      </c>
      <c r="P83" t="s">
        <v>188</v>
      </c>
      <c r="Q83" t="s">
        <v>7</v>
      </c>
    </row>
    <row r="84" spans="1:17">
      <c r="B84" t="s">
        <v>2899</v>
      </c>
      <c r="C84" t="s">
        <v>1465</v>
      </c>
      <c r="E84" t="s">
        <v>3319</v>
      </c>
      <c r="F84" t="s">
        <v>3320</v>
      </c>
      <c r="G84" t="s">
        <v>3287</v>
      </c>
      <c r="I84" t="s">
        <v>1555</v>
      </c>
      <c r="N84" s="1" t="s">
        <v>3473</v>
      </c>
      <c r="O84" t="s">
        <v>154</v>
      </c>
      <c r="P84" t="s">
        <v>176</v>
      </c>
      <c r="Q84" t="s">
        <v>7</v>
      </c>
    </row>
    <row r="85" spans="1:17">
      <c r="B85" t="s">
        <v>2900</v>
      </c>
      <c r="C85" t="s">
        <v>1470</v>
      </c>
      <c r="E85" t="s">
        <v>3319</v>
      </c>
      <c r="F85" t="s">
        <v>3320</v>
      </c>
      <c r="G85" t="s">
        <v>3311</v>
      </c>
      <c r="I85" t="s">
        <v>1556</v>
      </c>
      <c r="N85" s="1" t="s">
        <v>3805</v>
      </c>
      <c r="O85" t="s">
        <v>1124</v>
      </c>
      <c r="P85" t="s">
        <v>45</v>
      </c>
      <c r="Q85" t="s">
        <v>7</v>
      </c>
    </row>
    <row r="86" spans="1:17">
      <c r="A86" s="9"/>
      <c r="B86" s="9" t="s">
        <v>2901</v>
      </c>
      <c r="C86" s="9" t="s">
        <v>1564</v>
      </c>
      <c r="D86" s="9"/>
      <c r="E86" s="9" t="s">
        <v>3319</v>
      </c>
      <c r="F86" s="9" t="s">
        <v>3320</v>
      </c>
      <c r="G86" s="9" t="s">
        <v>3311</v>
      </c>
      <c r="H86" s="9" t="s">
        <v>3296</v>
      </c>
      <c r="I86" s="9" t="s">
        <v>1557</v>
      </c>
      <c r="J86" s="9"/>
      <c r="K86" s="9"/>
      <c r="L86" s="9"/>
      <c r="M86" s="9"/>
      <c r="N86" s="12" t="s">
        <v>3473</v>
      </c>
      <c r="O86" s="9" t="s">
        <v>165</v>
      </c>
      <c r="P86" s="9" t="s">
        <v>612</v>
      </c>
      <c r="Q86" s="9" t="s">
        <v>7</v>
      </c>
    </row>
    <row r="87" spans="1:17">
      <c r="N87" s="1" t="s">
        <v>3805</v>
      </c>
    </row>
  </sheetData>
  <autoFilter ref="A1:X87"/>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87"/>
  <sheetViews>
    <sheetView workbookViewId="0">
      <selection activeCell="J9" sqref="J9"/>
    </sheetView>
  </sheetViews>
  <sheetFormatPr defaultRowHeight="18.75"/>
  <sheetData>
    <row r="1" spans="1:17">
      <c r="B1" t="s">
        <v>3474</v>
      </c>
      <c r="C1" t="s">
        <v>3475</v>
      </c>
      <c r="D1" t="s">
        <v>3489</v>
      </c>
      <c r="E1" t="s">
        <v>3477</v>
      </c>
      <c r="F1" t="s">
        <v>3479</v>
      </c>
      <c r="G1" t="s">
        <v>3481</v>
      </c>
      <c r="H1" t="s">
        <v>3482</v>
      </c>
      <c r="I1" t="s">
        <v>3483</v>
      </c>
      <c r="N1" s="1" t="s">
        <v>3805</v>
      </c>
      <c r="O1" t="s">
        <v>3484</v>
      </c>
      <c r="P1" t="s">
        <v>3486</v>
      </c>
    </row>
    <row r="2" spans="1:17">
      <c r="A2" s="1"/>
      <c r="B2" s="1" t="s">
        <v>2902</v>
      </c>
      <c r="C2" s="1" t="s">
        <v>1454</v>
      </c>
      <c r="D2" s="1"/>
      <c r="E2" s="1" t="s">
        <v>3323</v>
      </c>
      <c r="F2" s="1" t="s">
        <v>3320</v>
      </c>
      <c r="G2" s="1" t="s">
        <v>3291</v>
      </c>
      <c r="H2" s="1"/>
      <c r="I2" s="1" t="s">
        <v>1580</v>
      </c>
      <c r="J2" s="1"/>
      <c r="K2" s="1"/>
      <c r="L2" s="1"/>
      <c r="M2" s="1"/>
      <c r="N2" s="1" t="s">
        <v>3805</v>
      </c>
      <c r="O2" s="1" t="s">
        <v>162</v>
      </c>
      <c r="P2" s="1" t="s">
        <v>31</v>
      </c>
      <c r="Q2" t="s">
        <v>9</v>
      </c>
    </row>
    <row r="3" spans="1:17">
      <c r="B3" t="s">
        <v>2903</v>
      </c>
      <c r="C3" t="s">
        <v>1454</v>
      </c>
      <c r="E3" t="s">
        <v>3319</v>
      </c>
      <c r="F3" t="s">
        <v>3320</v>
      </c>
      <c r="G3" t="s">
        <v>3287</v>
      </c>
      <c r="I3" t="s">
        <v>1581</v>
      </c>
      <c r="N3" s="1" t="s">
        <v>3805</v>
      </c>
      <c r="O3" t="s">
        <v>156</v>
      </c>
      <c r="P3" t="s">
        <v>31</v>
      </c>
      <c r="Q3" t="s">
        <v>9</v>
      </c>
    </row>
    <row r="4" spans="1:17">
      <c r="B4" t="s">
        <v>2904</v>
      </c>
      <c r="C4" t="s">
        <v>1454</v>
      </c>
      <c r="E4" t="s">
        <v>3319</v>
      </c>
      <c r="F4" t="s">
        <v>3320</v>
      </c>
      <c r="G4" t="s">
        <v>3287</v>
      </c>
      <c r="I4" t="s">
        <v>1636</v>
      </c>
      <c r="N4" s="1" t="s">
        <v>3805</v>
      </c>
      <c r="O4" t="s">
        <v>156</v>
      </c>
      <c r="P4" t="s">
        <v>179</v>
      </c>
      <c r="Q4" t="s">
        <v>9</v>
      </c>
    </row>
    <row r="5" spans="1:17">
      <c r="B5" t="s">
        <v>2905</v>
      </c>
      <c r="C5" t="s">
        <v>1454</v>
      </c>
      <c r="E5" t="s">
        <v>3319</v>
      </c>
      <c r="F5" t="s">
        <v>3320</v>
      </c>
      <c r="G5" t="s">
        <v>3287</v>
      </c>
      <c r="I5" t="s">
        <v>1298</v>
      </c>
      <c r="J5" t="s">
        <v>1582</v>
      </c>
      <c r="N5" s="1" t="s">
        <v>3805</v>
      </c>
      <c r="O5" t="s">
        <v>157</v>
      </c>
      <c r="P5" t="s">
        <v>17</v>
      </c>
      <c r="Q5" t="s">
        <v>9</v>
      </c>
    </row>
    <row r="6" spans="1:17">
      <c r="B6" t="s">
        <v>2906</v>
      </c>
      <c r="C6" t="s">
        <v>1456</v>
      </c>
      <c r="E6" t="s">
        <v>3319</v>
      </c>
      <c r="F6" t="s">
        <v>3320</v>
      </c>
      <c r="G6" t="s">
        <v>3289</v>
      </c>
      <c r="I6" t="s">
        <v>1583</v>
      </c>
      <c r="N6" s="1" t="s">
        <v>3805</v>
      </c>
      <c r="O6" t="s">
        <v>154</v>
      </c>
      <c r="P6" t="s">
        <v>17</v>
      </c>
      <c r="Q6" t="s">
        <v>9</v>
      </c>
    </row>
    <row r="7" spans="1:17">
      <c r="B7" t="s">
        <v>2907</v>
      </c>
      <c r="C7" t="s">
        <v>1456</v>
      </c>
      <c r="E7" t="s">
        <v>3323</v>
      </c>
      <c r="F7" t="s">
        <v>3320</v>
      </c>
      <c r="G7" t="s">
        <v>3306</v>
      </c>
      <c r="I7" t="s">
        <v>1584</v>
      </c>
      <c r="J7" t="s">
        <v>1585</v>
      </c>
      <c r="N7" s="1" t="s">
        <v>3805</v>
      </c>
      <c r="O7" t="s">
        <v>161</v>
      </c>
      <c r="P7" t="s">
        <v>35</v>
      </c>
      <c r="Q7" t="s">
        <v>9</v>
      </c>
    </row>
    <row r="8" spans="1:17">
      <c r="B8" t="s">
        <v>2908</v>
      </c>
      <c r="C8" t="s">
        <v>1563</v>
      </c>
      <c r="E8" t="s">
        <v>3319</v>
      </c>
      <c r="F8" t="s">
        <v>3320</v>
      </c>
      <c r="G8" t="s">
        <v>3291</v>
      </c>
      <c r="I8" t="s">
        <v>1586</v>
      </c>
      <c r="J8" t="s">
        <v>1587</v>
      </c>
      <c r="N8" s="1" t="s">
        <v>3805</v>
      </c>
      <c r="O8" t="s">
        <v>154</v>
      </c>
      <c r="P8" t="s">
        <v>6</v>
      </c>
      <c r="Q8" t="s">
        <v>9</v>
      </c>
    </row>
    <row r="9" spans="1:17">
      <c r="B9" t="s">
        <v>2909</v>
      </c>
      <c r="C9" t="s">
        <v>1456</v>
      </c>
      <c r="E9" t="s">
        <v>3319</v>
      </c>
      <c r="F9" t="s">
        <v>3320</v>
      </c>
      <c r="G9" t="s">
        <v>3294</v>
      </c>
      <c r="I9" t="s">
        <v>24</v>
      </c>
      <c r="J9" t="s">
        <v>1588</v>
      </c>
      <c r="N9" s="1" t="s">
        <v>3473</v>
      </c>
      <c r="O9" t="s">
        <v>162</v>
      </c>
      <c r="P9" t="s">
        <v>48</v>
      </c>
      <c r="Q9" t="s">
        <v>9</v>
      </c>
    </row>
    <row r="10" spans="1:17">
      <c r="B10" t="s">
        <v>2910</v>
      </c>
      <c r="C10" t="s">
        <v>1456</v>
      </c>
      <c r="E10" t="s">
        <v>3319</v>
      </c>
      <c r="F10" t="s">
        <v>3320</v>
      </c>
      <c r="G10" t="s">
        <v>3311</v>
      </c>
      <c r="I10" t="s">
        <v>921</v>
      </c>
      <c r="J10" t="s">
        <v>1637</v>
      </c>
      <c r="N10" s="1" t="s">
        <v>3805</v>
      </c>
      <c r="O10" t="s">
        <v>156</v>
      </c>
      <c r="P10" t="s">
        <v>36</v>
      </c>
      <c r="Q10" t="s">
        <v>9</v>
      </c>
    </row>
    <row r="11" spans="1:17">
      <c r="B11" t="s">
        <v>2911</v>
      </c>
      <c r="C11" t="s">
        <v>1456</v>
      </c>
      <c r="E11" t="s">
        <v>3319</v>
      </c>
      <c r="F11" t="s">
        <v>3320</v>
      </c>
      <c r="G11" t="s">
        <v>3306</v>
      </c>
      <c r="I11" t="s">
        <v>0</v>
      </c>
      <c r="J11" t="s">
        <v>1589</v>
      </c>
      <c r="N11" s="1" t="s">
        <v>3473</v>
      </c>
      <c r="O11" t="s">
        <v>162</v>
      </c>
      <c r="P11" t="s">
        <v>36</v>
      </c>
      <c r="Q11" t="s">
        <v>9</v>
      </c>
    </row>
    <row r="12" spans="1:17">
      <c r="B12" t="s">
        <v>2912</v>
      </c>
      <c r="C12" t="s">
        <v>1458</v>
      </c>
      <c r="E12" t="s">
        <v>3319</v>
      </c>
      <c r="F12" t="s">
        <v>3320</v>
      </c>
      <c r="G12" t="s">
        <v>3307</v>
      </c>
      <c r="H12" t="s">
        <v>3315</v>
      </c>
      <c r="I12" t="s">
        <v>1118</v>
      </c>
      <c r="J12" t="s">
        <v>1590</v>
      </c>
      <c r="M12" t="s">
        <v>153</v>
      </c>
      <c r="N12" s="1" t="s">
        <v>3805</v>
      </c>
      <c r="O12" t="s">
        <v>165</v>
      </c>
    </row>
    <row r="13" spans="1:17">
      <c r="B13" t="s">
        <v>2913</v>
      </c>
      <c r="C13" t="s">
        <v>3395</v>
      </c>
      <c r="E13" t="s">
        <v>3319</v>
      </c>
      <c r="F13" t="s">
        <v>3315</v>
      </c>
      <c r="I13" t="s">
        <v>1591</v>
      </c>
      <c r="J13" t="s">
        <v>1592</v>
      </c>
      <c r="M13" t="s">
        <v>153</v>
      </c>
      <c r="N13" s="1" t="s">
        <v>3473</v>
      </c>
      <c r="O13" t="s">
        <v>618</v>
      </c>
      <c r="P13" t="s">
        <v>46</v>
      </c>
      <c r="Q13" t="s">
        <v>9</v>
      </c>
    </row>
    <row r="14" spans="1:17">
      <c r="B14" t="s">
        <v>2914</v>
      </c>
      <c r="C14" t="s">
        <v>1459</v>
      </c>
      <c r="E14" t="s">
        <v>3319</v>
      </c>
      <c r="F14" t="s">
        <v>3320</v>
      </c>
      <c r="G14" t="s">
        <v>3307</v>
      </c>
      <c r="H14" t="s">
        <v>3315</v>
      </c>
      <c r="I14" t="s">
        <v>0</v>
      </c>
      <c r="J14" t="s">
        <v>1593</v>
      </c>
      <c r="M14" t="s">
        <v>153</v>
      </c>
      <c r="N14" s="1" t="s">
        <v>3805</v>
      </c>
      <c r="O14" t="s">
        <v>154</v>
      </c>
    </row>
    <row r="15" spans="1:17">
      <c r="B15" t="s">
        <v>2915</v>
      </c>
      <c r="C15" t="s">
        <v>3395</v>
      </c>
      <c r="E15" t="s">
        <v>3319</v>
      </c>
      <c r="F15" t="s">
        <v>3315</v>
      </c>
      <c r="I15" t="s">
        <v>21</v>
      </c>
      <c r="J15" t="s">
        <v>1594</v>
      </c>
      <c r="K15" t="s">
        <v>1595</v>
      </c>
      <c r="M15" t="s">
        <v>153</v>
      </c>
      <c r="N15" s="1" t="s">
        <v>3805</v>
      </c>
      <c r="O15" t="s">
        <v>170</v>
      </c>
      <c r="P15" t="s">
        <v>45</v>
      </c>
      <c r="Q15" t="s">
        <v>9</v>
      </c>
    </row>
    <row r="16" spans="1:17">
      <c r="B16" t="s">
        <v>2916</v>
      </c>
      <c r="C16" t="s">
        <v>1458</v>
      </c>
      <c r="E16" t="s">
        <v>3319</v>
      </c>
      <c r="F16" t="s">
        <v>3320</v>
      </c>
      <c r="G16" t="s">
        <v>3311</v>
      </c>
      <c r="I16" t="s">
        <v>1118</v>
      </c>
      <c r="J16" t="s">
        <v>1596</v>
      </c>
      <c r="N16" s="1" t="s">
        <v>3805</v>
      </c>
      <c r="O16" t="s">
        <v>615</v>
      </c>
      <c r="P16" t="s">
        <v>30</v>
      </c>
      <c r="Q16" t="s">
        <v>9</v>
      </c>
    </row>
    <row r="17" spans="2:17">
      <c r="B17" t="s">
        <v>2917</v>
      </c>
      <c r="C17" t="s">
        <v>1459</v>
      </c>
      <c r="E17" t="s">
        <v>3319</v>
      </c>
      <c r="F17" t="s">
        <v>3320</v>
      </c>
      <c r="G17" t="s">
        <v>3293</v>
      </c>
      <c r="I17" t="s">
        <v>1118</v>
      </c>
      <c r="J17" t="s">
        <v>73</v>
      </c>
      <c r="K17" t="s">
        <v>1597</v>
      </c>
      <c r="N17" s="1" t="s">
        <v>3805</v>
      </c>
      <c r="O17" t="s">
        <v>154</v>
      </c>
      <c r="P17" t="s">
        <v>48</v>
      </c>
      <c r="Q17" t="s">
        <v>9</v>
      </c>
    </row>
    <row r="18" spans="2:17">
      <c r="B18" t="s">
        <v>2918</v>
      </c>
      <c r="C18" t="s">
        <v>1459</v>
      </c>
      <c r="E18" t="s">
        <v>3323</v>
      </c>
      <c r="F18" t="s">
        <v>3320</v>
      </c>
      <c r="G18" t="s">
        <v>3298</v>
      </c>
      <c r="I18" t="s">
        <v>1638</v>
      </c>
      <c r="J18" t="s">
        <v>1639</v>
      </c>
      <c r="K18" t="s">
        <v>1640</v>
      </c>
      <c r="N18" s="1" t="s">
        <v>3805</v>
      </c>
      <c r="O18" t="s">
        <v>154</v>
      </c>
      <c r="P18" t="s">
        <v>31</v>
      </c>
      <c r="Q18" t="s">
        <v>9</v>
      </c>
    </row>
    <row r="19" spans="2:17">
      <c r="B19" t="s">
        <v>2919</v>
      </c>
      <c r="C19" t="s">
        <v>1458</v>
      </c>
      <c r="E19" t="s">
        <v>3319</v>
      </c>
      <c r="F19" t="s">
        <v>3320</v>
      </c>
      <c r="G19" t="s">
        <v>3287</v>
      </c>
      <c r="I19" t="s">
        <v>1598</v>
      </c>
      <c r="N19" s="1" t="s">
        <v>3805</v>
      </c>
      <c r="O19" t="s">
        <v>154</v>
      </c>
      <c r="P19" t="s">
        <v>34</v>
      </c>
      <c r="Q19" t="s">
        <v>9</v>
      </c>
    </row>
    <row r="20" spans="2:17">
      <c r="B20" t="s">
        <v>2920</v>
      </c>
      <c r="C20" t="s">
        <v>1458</v>
      </c>
      <c r="E20" t="s">
        <v>3323</v>
      </c>
      <c r="F20" t="s">
        <v>3320</v>
      </c>
      <c r="G20" t="s">
        <v>3299</v>
      </c>
      <c r="I20" t="s">
        <v>1599</v>
      </c>
      <c r="J20" t="s">
        <v>1641</v>
      </c>
      <c r="K20" t="s">
        <v>1600</v>
      </c>
      <c r="N20" s="1" t="s">
        <v>3473</v>
      </c>
      <c r="O20" t="s">
        <v>154</v>
      </c>
      <c r="P20" t="s">
        <v>26</v>
      </c>
      <c r="Q20" t="s">
        <v>9</v>
      </c>
    </row>
    <row r="21" spans="2:17">
      <c r="B21" t="s">
        <v>2921</v>
      </c>
      <c r="C21" t="s">
        <v>1458</v>
      </c>
      <c r="E21" t="s">
        <v>3323</v>
      </c>
      <c r="F21" t="s">
        <v>3320</v>
      </c>
      <c r="G21" t="s">
        <v>3306</v>
      </c>
      <c r="I21" t="s">
        <v>1118</v>
      </c>
      <c r="J21" t="s">
        <v>1601</v>
      </c>
      <c r="K21" t="s">
        <v>1602</v>
      </c>
      <c r="N21" s="1" t="s">
        <v>3805</v>
      </c>
      <c r="O21" t="s">
        <v>154</v>
      </c>
      <c r="P21" t="s">
        <v>30</v>
      </c>
      <c r="Q21" t="s">
        <v>9</v>
      </c>
    </row>
    <row r="22" spans="2:17">
      <c r="B22" t="s">
        <v>2922</v>
      </c>
      <c r="C22" t="s">
        <v>1458</v>
      </c>
      <c r="E22" t="s">
        <v>3323</v>
      </c>
      <c r="F22" t="s">
        <v>3320</v>
      </c>
      <c r="G22" t="s">
        <v>3291</v>
      </c>
      <c r="I22" t="s">
        <v>0</v>
      </c>
      <c r="J22" t="s">
        <v>1651</v>
      </c>
      <c r="N22" s="1" t="s">
        <v>3805</v>
      </c>
      <c r="O22" t="s">
        <v>165</v>
      </c>
      <c r="P22" t="s">
        <v>53</v>
      </c>
      <c r="Q22" t="s">
        <v>9</v>
      </c>
    </row>
    <row r="23" spans="2:17">
      <c r="B23" t="s">
        <v>2923</v>
      </c>
      <c r="C23" t="s">
        <v>1458</v>
      </c>
      <c r="E23" t="s">
        <v>3319</v>
      </c>
      <c r="F23" t="s">
        <v>3320</v>
      </c>
      <c r="G23" t="s">
        <v>3286</v>
      </c>
      <c r="I23" t="s">
        <v>1603</v>
      </c>
      <c r="J23" t="s">
        <v>1604</v>
      </c>
      <c r="M23" t="s">
        <v>153</v>
      </c>
      <c r="N23" s="1" t="s">
        <v>3805</v>
      </c>
      <c r="O23" t="s">
        <v>164</v>
      </c>
    </row>
    <row r="24" spans="2:17">
      <c r="B24" t="s">
        <v>2924</v>
      </c>
      <c r="E24" t="s">
        <v>3323</v>
      </c>
      <c r="F24" t="s">
        <v>3326</v>
      </c>
      <c r="G24" t="s">
        <v>3317</v>
      </c>
      <c r="I24" t="s">
        <v>1605</v>
      </c>
      <c r="J24" t="s">
        <v>1606</v>
      </c>
      <c r="M24" t="s">
        <v>153</v>
      </c>
      <c r="N24" s="1" t="s">
        <v>3805</v>
      </c>
      <c r="O24" t="s">
        <v>1634</v>
      </c>
      <c r="P24" t="s">
        <v>39</v>
      </c>
      <c r="Q24" t="s">
        <v>9</v>
      </c>
    </row>
    <row r="25" spans="2:17">
      <c r="B25" t="s">
        <v>2925</v>
      </c>
      <c r="C25" t="s">
        <v>1462</v>
      </c>
      <c r="E25" t="s">
        <v>3319</v>
      </c>
      <c r="F25" t="s">
        <v>3320</v>
      </c>
      <c r="G25" t="s">
        <v>3315</v>
      </c>
      <c r="I25" t="s">
        <v>1607</v>
      </c>
      <c r="J25" t="s">
        <v>1608</v>
      </c>
      <c r="M25" t="s">
        <v>153</v>
      </c>
      <c r="N25" s="1" t="s">
        <v>3805</v>
      </c>
      <c r="O25" t="s">
        <v>164</v>
      </c>
    </row>
    <row r="26" spans="2:17">
      <c r="B26" t="s">
        <v>2926</v>
      </c>
      <c r="C26" t="s">
        <v>3395</v>
      </c>
      <c r="E26" t="s">
        <v>3319</v>
      </c>
      <c r="F26" t="s">
        <v>3315</v>
      </c>
      <c r="I26" t="s">
        <v>20</v>
      </c>
      <c r="J26" t="s">
        <v>1609</v>
      </c>
      <c r="K26" t="s">
        <v>1610</v>
      </c>
      <c r="M26" t="s">
        <v>153</v>
      </c>
      <c r="N26" s="1" t="s">
        <v>3805</v>
      </c>
      <c r="O26" t="s">
        <v>1204</v>
      </c>
      <c r="P26" t="s">
        <v>45</v>
      </c>
      <c r="Q26" t="s">
        <v>9</v>
      </c>
    </row>
    <row r="27" spans="2:17">
      <c r="B27" t="s">
        <v>2927</v>
      </c>
      <c r="C27" t="s">
        <v>1462</v>
      </c>
      <c r="E27" t="s">
        <v>3319</v>
      </c>
      <c r="F27" t="s">
        <v>3320</v>
      </c>
      <c r="G27" t="s">
        <v>3299</v>
      </c>
      <c r="I27" t="s">
        <v>1611</v>
      </c>
      <c r="N27" s="1" t="s">
        <v>3473</v>
      </c>
      <c r="O27" t="s">
        <v>165</v>
      </c>
      <c r="P27" t="s">
        <v>35</v>
      </c>
      <c r="Q27" t="s">
        <v>9</v>
      </c>
    </row>
    <row r="28" spans="2:17">
      <c r="B28" t="s">
        <v>2928</v>
      </c>
      <c r="C28" t="s">
        <v>1463</v>
      </c>
      <c r="E28" t="s">
        <v>3323</v>
      </c>
      <c r="F28" t="s">
        <v>3320</v>
      </c>
      <c r="G28" t="s">
        <v>3292</v>
      </c>
      <c r="I28" t="s">
        <v>1612</v>
      </c>
      <c r="J28" t="s">
        <v>1613</v>
      </c>
      <c r="N28" s="1" t="s">
        <v>3805</v>
      </c>
      <c r="O28" t="s">
        <v>165</v>
      </c>
      <c r="P28" t="s">
        <v>188</v>
      </c>
      <c r="Q28" t="s">
        <v>9</v>
      </c>
    </row>
    <row r="29" spans="2:17">
      <c r="B29" t="s">
        <v>2929</v>
      </c>
      <c r="C29" t="s">
        <v>1462</v>
      </c>
      <c r="E29" t="s">
        <v>3319</v>
      </c>
      <c r="F29" t="s">
        <v>3320</v>
      </c>
      <c r="G29" t="s">
        <v>3291</v>
      </c>
      <c r="I29" t="s">
        <v>1614</v>
      </c>
      <c r="N29" s="1" t="s">
        <v>3805</v>
      </c>
      <c r="O29" t="s">
        <v>154</v>
      </c>
      <c r="P29" t="s">
        <v>14</v>
      </c>
      <c r="Q29" t="s">
        <v>9</v>
      </c>
    </row>
    <row r="30" spans="2:17">
      <c r="B30" t="s">
        <v>2930</v>
      </c>
      <c r="C30" t="s">
        <v>1463</v>
      </c>
      <c r="E30" t="s">
        <v>3323</v>
      </c>
      <c r="F30" t="s">
        <v>3320</v>
      </c>
      <c r="G30" t="s">
        <v>3299</v>
      </c>
      <c r="I30" t="s">
        <v>1615</v>
      </c>
      <c r="J30" t="s">
        <v>1642</v>
      </c>
      <c r="N30" s="1" t="s">
        <v>3473</v>
      </c>
      <c r="O30" t="s">
        <v>154</v>
      </c>
      <c r="P30" t="s">
        <v>48</v>
      </c>
      <c r="Q30" t="s">
        <v>9</v>
      </c>
    </row>
    <row r="31" spans="2:17">
      <c r="B31" t="s">
        <v>2931</v>
      </c>
      <c r="C31" t="s">
        <v>1463</v>
      </c>
      <c r="E31" t="s">
        <v>3323</v>
      </c>
      <c r="F31" t="s">
        <v>3320</v>
      </c>
      <c r="G31" t="s">
        <v>3311</v>
      </c>
      <c r="I31" t="s">
        <v>1118</v>
      </c>
      <c r="J31" t="s">
        <v>1643</v>
      </c>
      <c r="N31" s="1" t="s">
        <v>3805</v>
      </c>
      <c r="O31" t="s">
        <v>154</v>
      </c>
      <c r="P31" t="s">
        <v>18</v>
      </c>
      <c r="Q31" t="s">
        <v>9</v>
      </c>
    </row>
    <row r="32" spans="2:17">
      <c r="B32" t="s">
        <v>2932</v>
      </c>
      <c r="C32" t="s">
        <v>1462</v>
      </c>
      <c r="E32" t="s">
        <v>3319</v>
      </c>
      <c r="F32" t="s">
        <v>3320</v>
      </c>
      <c r="G32" t="s">
        <v>3306</v>
      </c>
      <c r="I32" t="s">
        <v>1644</v>
      </c>
      <c r="N32" s="1" t="s">
        <v>3805</v>
      </c>
      <c r="O32" t="s">
        <v>618</v>
      </c>
      <c r="P32" t="s">
        <v>30</v>
      </c>
      <c r="Q32" t="s">
        <v>9</v>
      </c>
    </row>
    <row r="33" spans="2:17">
      <c r="B33" t="s">
        <v>2933</v>
      </c>
      <c r="C33" t="s">
        <v>1462</v>
      </c>
      <c r="E33" t="s">
        <v>3319</v>
      </c>
      <c r="F33" t="s">
        <v>3320</v>
      </c>
      <c r="G33" t="s">
        <v>3311</v>
      </c>
      <c r="H33" t="s">
        <v>3315</v>
      </c>
      <c r="I33" t="s">
        <v>1616</v>
      </c>
      <c r="M33" t="s">
        <v>153</v>
      </c>
      <c r="N33" s="1" t="s">
        <v>3805</v>
      </c>
      <c r="O33" t="s">
        <v>165</v>
      </c>
    </row>
    <row r="34" spans="2:17">
      <c r="B34" t="s">
        <v>2934</v>
      </c>
      <c r="C34" t="s">
        <v>3395</v>
      </c>
      <c r="E34" t="s">
        <v>3319</v>
      </c>
      <c r="F34" t="s">
        <v>3315</v>
      </c>
      <c r="I34" t="s">
        <v>1617</v>
      </c>
      <c r="J34" t="s">
        <v>1618</v>
      </c>
      <c r="M34" t="s">
        <v>153</v>
      </c>
      <c r="N34" s="1" t="s">
        <v>3805</v>
      </c>
      <c r="O34" t="s">
        <v>1204</v>
      </c>
      <c r="P34" t="s">
        <v>44</v>
      </c>
      <c r="Q34" t="s">
        <v>9</v>
      </c>
    </row>
    <row r="35" spans="2:17">
      <c r="B35" t="s">
        <v>2935</v>
      </c>
      <c r="C35" t="s">
        <v>1469</v>
      </c>
      <c r="E35" t="s">
        <v>3323</v>
      </c>
      <c r="F35" t="s">
        <v>3320</v>
      </c>
      <c r="G35" t="s">
        <v>3292</v>
      </c>
      <c r="I35" t="s">
        <v>328</v>
      </c>
      <c r="J35" t="s">
        <v>1645</v>
      </c>
      <c r="N35" s="1" t="s">
        <v>3805</v>
      </c>
      <c r="O35" t="s">
        <v>170</v>
      </c>
      <c r="P35" t="s">
        <v>184</v>
      </c>
      <c r="Q35" t="s">
        <v>9</v>
      </c>
    </row>
    <row r="36" spans="2:17">
      <c r="B36" t="s">
        <v>2936</v>
      </c>
      <c r="C36" t="s">
        <v>1469</v>
      </c>
      <c r="E36" t="s">
        <v>3319</v>
      </c>
      <c r="F36" t="s">
        <v>3320</v>
      </c>
      <c r="G36" t="s">
        <v>3294</v>
      </c>
      <c r="I36" t="s">
        <v>21</v>
      </c>
      <c r="J36" t="s">
        <v>24</v>
      </c>
      <c r="N36" s="1" t="s">
        <v>3805</v>
      </c>
      <c r="O36" t="s">
        <v>170</v>
      </c>
      <c r="P36" t="s">
        <v>38</v>
      </c>
      <c r="Q36" t="s">
        <v>9</v>
      </c>
    </row>
    <row r="37" spans="2:17">
      <c r="B37" t="s">
        <v>2937</v>
      </c>
      <c r="C37" t="s">
        <v>1465</v>
      </c>
      <c r="E37" t="s">
        <v>3319</v>
      </c>
      <c r="F37" t="s">
        <v>3320</v>
      </c>
      <c r="G37" t="s">
        <v>3307</v>
      </c>
      <c r="I37" t="s">
        <v>1619</v>
      </c>
      <c r="J37" t="s">
        <v>1646</v>
      </c>
      <c r="N37" s="1" t="s">
        <v>3805</v>
      </c>
      <c r="O37" t="s">
        <v>615</v>
      </c>
      <c r="P37" t="s">
        <v>31</v>
      </c>
      <c r="Q37" t="s">
        <v>9</v>
      </c>
    </row>
    <row r="38" spans="2:17">
      <c r="B38" t="s">
        <v>2938</v>
      </c>
      <c r="C38" t="s">
        <v>1469</v>
      </c>
      <c r="E38" t="s">
        <v>3323</v>
      </c>
      <c r="F38" t="s">
        <v>3320</v>
      </c>
      <c r="G38" t="s">
        <v>3311</v>
      </c>
      <c r="I38" t="s">
        <v>1647</v>
      </c>
      <c r="J38" t="s">
        <v>1620</v>
      </c>
      <c r="N38" s="1" t="s">
        <v>3805</v>
      </c>
      <c r="O38" t="s">
        <v>616</v>
      </c>
      <c r="P38" t="s">
        <v>180</v>
      </c>
      <c r="Q38" t="s">
        <v>9</v>
      </c>
    </row>
    <row r="39" spans="2:17">
      <c r="B39" t="s">
        <v>2939</v>
      </c>
      <c r="C39" t="s">
        <v>1465</v>
      </c>
      <c r="E39" t="s">
        <v>3319</v>
      </c>
      <c r="F39" t="s">
        <v>3320</v>
      </c>
      <c r="G39" t="s">
        <v>3291</v>
      </c>
      <c r="I39" t="s">
        <v>1118</v>
      </c>
      <c r="J39" t="s">
        <v>1621</v>
      </c>
      <c r="N39" s="1" t="s">
        <v>3473</v>
      </c>
      <c r="O39" t="s">
        <v>170</v>
      </c>
      <c r="P39" t="s">
        <v>52</v>
      </c>
      <c r="Q39" t="s">
        <v>9</v>
      </c>
    </row>
    <row r="40" spans="2:17">
      <c r="B40" t="s">
        <v>2940</v>
      </c>
      <c r="C40" t="s">
        <v>1469</v>
      </c>
      <c r="E40" t="s">
        <v>3323</v>
      </c>
      <c r="F40" t="s">
        <v>3320</v>
      </c>
      <c r="I40" t="s">
        <v>1622</v>
      </c>
      <c r="N40" s="1" t="s">
        <v>3805</v>
      </c>
      <c r="O40" t="s">
        <v>170</v>
      </c>
      <c r="P40" t="s">
        <v>49</v>
      </c>
      <c r="Q40" t="s">
        <v>9</v>
      </c>
    </row>
    <row r="41" spans="2:17">
      <c r="B41" t="s">
        <v>2941</v>
      </c>
      <c r="C41" t="s">
        <v>1465</v>
      </c>
      <c r="E41" t="s">
        <v>3319</v>
      </c>
      <c r="F41" t="s">
        <v>3320</v>
      </c>
      <c r="G41" t="s">
        <v>3291</v>
      </c>
      <c r="I41" t="s">
        <v>1118</v>
      </c>
      <c r="J41" t="s">
        <v>1623</v>
      </c>
      <c r="N41" s="1" t="s">
        <v>3473</v>
      </c>
      <c r="O41" t="s">
        <v>154</v>
      </c>
      <c r="P41" t="s">
        <v>173</v>
      </c>
      <c r="Q41" t="s">
        <v>9</v>
      </c>
    </row>
    <row r="42" spans="2:17">
      <c r="B42" t="s">
        <v>2942</v>
      </c>
      <c r="C42" t="s">
        <v>1465</v>
      </c>
      <c r="E42" t="s">
        <v>3319</v>
      </c>
      <c r="F42" t="s">
        <v>3320</v>
      </c>
      <c r="G42" t="s">
        <v>3291</v>
      </c>
      <c r="I42" t="s">
        <v>1624</v>
      </c>
      <c r="J42" t="s">
        <v>1648</v>
      </c>
      <c r="N42" s="1" t="s">
        <v>3805</v>
      </c>
      <c r="O42" t="s">
        <v>170</v>
      </c>
      <c r="P42" t="s">
        <v>53</v>
      </c>
      <c r="Q42" t="s">
        <v>9</v>
      </c>
    </row>
    <row r="43" spans="2:17">
      <c r="B43" t="s">
        <v>2943</v>
      </c>
      <c r="C43" t="s">
        <v>1564</v>
      </c>
      <c r="E43" t="s">
        <v>3323</v>
      </c>
      <c r="F43" t="s">
        <v>3320</v>
      </c>
      <c r="G43" t="s">
        <v>3316</v>
      </c>
      <c r="I43" t="s">
        <v>1625</v>
      </c>
      <c r="J43" t="s">
        <v>1626</v>
      </c>
      <c r="N43" s="1"/>
      <c r="O43" t="s">
        <v>1635</v>
      </c>
      <c r="P43" t="s">
        <v>174</v>
      </c>
      <c r="Q43" t="s">
        <v>9</v>
      </c>
    </row>
    <row r="44" spans="2:17">
      <c r="B44" t="s">
        <v>2944</v>
      </c>
      <c r="C44" t="s">
        <v>1470</v>
      </c>
      <c r="E44" t="s">
        <v>3323</v>
      </c>
      <c r="F44" t="s">
        <v>3320</v>
      </c>
      <c r="G44" t="s">
        <v>3316</v>
      </c>
      <c r="I44" t="s">
        <v>1627</v>
      </c>
      <c r="J44" t="s">
        <v>1628</v>
      </c>
      <c r="N44" s="1" t="s">
        <v>3473</v>
      </c>
      <c r="O44" t="s">
        <v>170</v>
      </c>
      <c r="P44" t="s">
        <v>180</v>
      </c>
      <c r="Q44" t="s">
        <v>9</v>
      </c>
    </row>
    <row r="45" spans="2:17">
      <c r="B45" t="s">
        <v>2945</v>
      </c>
      <c r="C45" t="s">
        <v>1564</v>
      </c>
      <c r="E45" t="s">
        <v>3319</v>
      </c>
      <c r="F45" t="s">
        <v>3320</v>
      </c>
      <c r="G45" t="s">
        <v>3287</v>
      </c>
      <c r="I45" t="s">
        <v>1629</v>
      </c>
      <c r="N45" s="1" t="s">
        <v>3805</v>
      </c>
      <c r="O45" t="s">
        <v>1204</v>
      </c>
      <c r="P45" t="s">
        <v>33</v>
      </c>
      <c r="Q45" t="s">
        <v>9</v>
      </c>
    </row>
    <row r="46" spans="2:17">
      <c r="B46" t="s">
        <v>2946</v>
      </c>
      <c r="C46" t="s">
        <v>1564</v>
      </c>
      <c r="E46" t="s">
        <v>3323</v>
      </c>
      <c r="F46" t="s">
        <v>3320</v>
      </c>
      <c r="G46" t="s">
        <v>3294</v>
      </c>
      <c r="I46" t="s">
        <v>1630</v>
      </c>
      <c r="J46" t="s">
        <v>1631</v>
      </c>
      <c r="M46" t="s">
        <v>496</v>
      </c>
      <c r="N46" s="1" t="s">
        <v>3805</v>
      </c>
      <c r="O46" t="s">
        <v>616</v>
      </c>
    </row>
    <row r="47" spans="2:17">
      <c r="B47" t="s">
        <v>2947</v>
      </c>
      <c r="C47" t="s">
        <v>1564</v>
      </c>
      <c r="E47" t="s">
        <v>1633</v>
      </c>
      <c r="I47" t="s">
        <v>1649</v>
      </c>
      <c r="M47" t="s">
        <v>496</v>
      </c>
      <c r="N47" s="1" t="s">
        <v>3805</v>
      </c>
      <c r="P47" t="s">
        <v>184</v>
      </c>
      <c r="Q47" t="s">
        <v>9</v>
      </c>
    </row>
    <row r="48" spans="2:17">
      <c r="B48" t="s">
        <v>2948</v>
      </c>
      <c r="C48" t="s">
        <v>1650</v>
      </c>
      <c r="E48" t="s">
        <v>3319</v>
      </c>
      <c r="F48" t="s">
        <v>3320</v>
      </c>
      <c r="G48" t="s">
        <v>3306</v>
      </c>
      <c r="I48" t="s">
        <v>1632</v>
      </c>
      <c r="N48" s="1" t="s">
        <v>3805</v>
      </c>
      <c r="O48" t="s">
        <v>616</v>
      </c>
      <c r="P48" t="s">
        <v>30</v>
      </c>
      <c r="Q48" t="s">
        <v>9</v>
      </c>
    </row>
    <row r="49" spans="1:17">
      <c r="N49" s="1" t="s">
        <v>3805</v>
      </c>
    </row>
    <row r="50" spans="1:17">
      <c r="A50" s="1"/>
      <c r="B50" s="1" t="s">
        <v>2949</v>
      </c>
      <c r="C50" s="1" t="s">
        <v>1454</v>
      </c>
      <c r="D50" s="1"/>
      <c r="E50" s="1" t="s">
        <v>3319</v>
      </c>
      <c r="F50" s="1" t="s">
        <v>3320</v>
      </c>
      <c r="G50" s="1" t="s">
        <v>3311</v>
      </c>
      <c r="H50" s="1"/>
      <c r="I50" s="1" t="s">
        <v>1652</v>
      </c>
      <c r="J50" s="1"/>
      <c r="K50" s="1"/>
      <c r="L50" s="1"/>
      <c r="M50" s="1"/>
      <c r="N50" s="1" t="s">
        <v>3805</v>
      </c>
      <c r="O50" s="1" t="s">
        <v>156</v>
      </c>
      <c r="P50" s="1" t="s">
        <v>28</v>
      </c>
      <c r="Q50" s="1" t="s">
        <v>41</v>
      </c>
    </row>
    <row r="51" spans="1:17">
      <c r="A51" s="1"/>
      <c r="B51" t="s">
        <v>2950</v>
      </c>
      <c r="C51" s="1" t="s">
        <v>1563</v>
      </c>
      <c r="D51" s="1"/>
      <c r="E51" s="1" t="s">
        <v>3319</v>
      </c>
      <c r="F51" s="1" t="s">
        <v>3320</v>
      </c>
      <c r="G51" s="1" t="s">
        <v>3311</v>
      </c>
      <c r="H51" s="1"/>
      <c r="I51" t="s">
        <v>1666</v>
      </c>
      <c r="J51" t="s">
        <v>1668</v>
      </c>
      <c r="K51" t="s">
        <v>1669</v>
      </c>
      <c r="N51" s="1" t="s">
        <v>3805</v>
      </c>
      <c r="O51" t="s">
        <v>154</v>
      </c>
      <c r="P51" t="s">
        <v>32</v>
      </c>
      <c r="Q51" t="s">
        <v>41</v>
      </c>
    </row>
    <row r="52" spans="1:17">
      <c r="B52" t="s">
        <v>2951</v>
      </c>
      <c r="C52" t="s">
        <v>1563</v>
      </c>
      <c r="E52" t="s">
        <v>3319</v>
      </c>
      <c r="F52" t="s">
        <v>3320</v>
      </c>
      <c r="G52" t="s">
        <v>3291</v>
      </c>
      <c r="I52" t="s">
        <v>1667</v>
      </c>
      <c r="J52" t="s">
        <v>1665</v>
      </c>
      <c r="K52" t="s">
        <v>1670</v>
      </c>
      <c r="N52" s="1" t="s">
        <v>3805</v>
      </c>
      <c r="O52" t="s">
        <v>154</v>
      </c>
      <c r="P52" t="s">
        <v>175</v>
      </c>
      <c r="Q52" t="s">
        <v>41</v>
      </c>
    </row>
    <row r="53" spans="1:17">
      <c r="B53" t="s">
        <v>2952</v>
      </c>
      <c r="C53" t="s">
        <v>1459</v>
      </c>
      <c r="E53" t="s">
        <v>3319</v>
      </c>
      <c r="F53" t="s">
        <v>3320</v>
      </c>
      <c r="G53" t="s">
        <v>3311</v>
      </c>
      <c r="I53" t="s">
        <v>1653</v>
      </c>
      <c r="J53" t="s">
        <v>1654</v>
      </c>
      <c r="N53" s="1" t="s">
        <v>3805</v>
      </c>
      <c r="O53" t="s">
        <v>161</v>
      </c>
      <c r="P53" t="s">
        <v>27</v>
      </c>
      <c r="Q53" t="s">
        <v>41</v>
      </c>
    </row>
    <row r="54" spans="1:17">
      <c r="B54" t="s">
        <v>2953</v>
      </c>
      <c r="C54" t="s">
        <v>1458</v>
      </c>
      <c r="E54" t="s">
        <v>3319</v>
      </c>
      <c r="F54" t="s">
        <v>3320</v>
      </c>
      <c r="G54" t="s">
        <v>3291</v>
      </c>
      <c r="I54" t="s">
        <v>1655</v>
      </c>
      <c r="N54" s="1" t="s">
        <v>3805</v>
      </c>
      <c r="O54" t="s">
        <v>1125</v>
      </c>
      <c r="P54" t="s">
        <v>17</v>
      </c>
      <c r="Q54" t="s">
        <v>41</v>
      </c>
    </row>
    <row r="55" spans="1:17">
      <c r="B55" t="s">
        <v>2954</v>
      </c>
      <c r="C55" t="s">
        <v>1459</v>
      </c>
      <c r="E55" t="s">
        <v>3323</v>
      </c>
      <c r="F55" t="s">
        <v>3320</v>
      </c>
      <c r="G55" t="s">
        <v>3311</v>
      </c>
      <c r="I55" t="s">
        <v>1656</v>
      </c>
      <c r="J55" t="s">
        <v>1657</v>
      </c>
      <c r="M55" t="s">
        <v>153</v>
      </c>
      <c r="N55" s="1" t="s">
        <v>3805</v>
      </c>
      <c r="O55" t="s">
        <v>154</v>
      </c>
    </row>
    <row r="56" spans="1:17">
      <c r="B56" t="s">
        <v>2955</v>
      </c>
      <c r="C56" t="s">
        <v>3395</v>
      </c>
      <c r="E56" t="s">
        <v>3398</v>
      </c>
      <c r="F56" t="s">
        <v>3406</v>
      </c>
      <c r="I56" t="s">
        <v>1658</v>
      </c>
      <c r="J56" t="s">
        <v>1659</v>
      </c>
      <c r="K56" t="s">
        <v>1660</v>
      </c>
      <c r="M56" t="s">
        <v>153</v>
      </c>
      <c r="N56" s="1" t="s">
        <v>3805</v>
      </c>
      <c r="O56">
        <v>4</v>
      </c>
      <c r="P56" t="s">
        <v>48</v>
      </c>
      <c r="Q56" t="s">
        <v>41</v>
      </c>
    </row>
    <row r="57" spans="1:17">
      <c r="B57" t="s">
        <v>2956</v>
      </c>
      <c r="C57" t="s">
        <v>1463</v>
      </c>
      <c r="E57" t="s">
        <v>3319</v>
      </c>
      <c r="F57" t="s">
        <v>3320</v>
      </c>
      <c r="G57" t="s">
        <v>3306</v>
      </c>
      <c r="I57" t="s">
        <v>20</v>
      </c>
      <c r="J57" t="s">
        <v>1661</v>
      </c>
      <c r="N57" s="1" t="s">
        <v>3473</v>
      </c>
      <c r="O57" t="s">
        <v>170</v>
      </c>
      <c r="P57" t="s">
        <v>30</v>
      </c>
      <c r="Q57" t="s">
        <v>41</v>
      </c>
    </row>
    <row r="58" spans="1:17">
      <c r="B58" t="s">
        <v>2957</v>
      </c>
      <c r="C58" t="s">
        <v>1463</v>
      </c>
      <c r="E58" t="s">
        <v>3319</v>
      </c>
      <c r="F58" t="s">
        <v>3320</v>
      </c>
      <c r="G58" t="s">
        <v>3290</v>
      </c>
      <c r="I58" t="s">
        <v>1118</v>
      </c>
      <c r="J58" t="s">
        <v>266</v>
      </c>
      <c r="K58" t="s">
        <v>1662</v>
      </c>
      <c r="N58" s="1" t="s">
        <v>3805</v>
      </c>
      <c r="O58" t="s">
        <v>1124</v>
      </c>
      <c r="P58" t="s">
        <v>181</v>
      </c>
      <c r="Q58" t="s">
        <v>41</v>
      </c>
    </row>
    <row r="59" spans="1:17">
      <c r="B59" t="s">
        <v>2958</v>
      </c>
      <c r="C59" t="s">
        <v>1469</v>
      </c>
      <c r="E59" t="s">
        <v>3319</v>
      </c>
      <c r="F59" t="s">
        <v>3320</v>
      </c>
      <c r="G59" t="s">
        <v>3291</v>
      </c>
      <c r="I59" t="s">
        <v>1663</v>
      </c>
      <c r="J59" t="s">
        <v>1664</v>
      </c>
      <c r="N59" s="1" t="s">
        <v>3805</v>
      </c>
      <c r="O59" t="s">
        <v>154</v>
      </c>
      <c r="P59" t="s">
        <v>35</v>
      </c>
      <c r="Q59" t="s">
        <v>41</v>
      </c>
    </row>
    <row r="60" spans="1:17">
      <c r="N60" s="1" t="s">
        <v>3805</v>
      </c>
    </row>
    <row r="61" spans="1:17">
      <c r="N61" s="1" t="s">
        <v>3805</v>
      </c>
    </row>
    <row r="62" spans="1:17">
      <c r="N62" s="1" t="s">
        <v>3805</v>
      </c>
    </row>
    <row r="63" spans="1:17">
      <c r="N63" s="1" t="s">
        <v>3805</v>
      </c>
    </row>
    <row r="64" spans="1:17">
      <c r="N64" s="1" t="s">
        <v>3805</v>
      </c>
    </row>
    <row r="65" spans="14:14">
      <c r="N65" s="1" t="s">
        <v>3805</v>
      </c>
    </row>
    <row r="66" spans="14:14">
      <c r="N66" s="1" t="s">
        <v>3805</v>
      </c>
    </row>
    <row r="67" spans="14:14">
      <c r="N67" s="1" t="s">
        <v>3805</v>
      </c>
    </row>
    <row r="68" spans="14:14">
      <c r="N68" s="1" t="s">
        <v>3805</v>
      </c>
    </row>
    <row r="69" spans="14:14">
      <c r="N69" s="1" t="s">
        <v>3805</v>
      </c>
    </row>
    <row r="70" spans="14:14">
      <c r="N70" s="1" t="s">
        <v>3805</v>
      </c>
    </row>
    <row r="71" spans="14:14">
      <c r="N71" s="1" t="s">
        <v>3805</v>
      </c>
    </row>
    <row r="72" spans="14:14">
      <c r="N72" s="1" t="s">
        <v>3805</v>
      </c>
    </row>
    <row r="73" spans="14:14">
      <c r="N73" s="1" t="s">
        <v>3805</v>
      </c>
    </row>
    <row r="74" spans="14:14">
      <c r="N74" s="1" t="s">
        <v>3805</v>
      </c>
    </row>
    <row r="75" spans="14:14">
      <c r="N75" s="1" t="s">
        <v>3805</v>
      </c>
    </row>
    <row r="76" spans="14:14">
      <c r="N76" s="1" t="s">
        <v>3805</v>
      </c>
    </row>
    <row r="77" spans="14:14">
      <c r="N77" s="1" t="s">
        <v>3805</v>
      </c>
    </row>
    <row r="78" spans="14:14">
      <c r="N78" s="1" t="s">
        <v>3805</v>
      </c>
    </row>
    <row r="79" spans="14:14">
      <c r="N79" s="1" t="s">
        <v>3805</v>
      </c>
    </row>
    <row r="80" spans="14:14">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row r="87" spans="14:14">
      <c r="N87" s="1" t="s">
        <v>3805</v>
      </c>
    </row>
  </sheetData>
  <autoFilter ref="A1:X87"/>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3"/>
  <sheetViews>
    <sheetView topLeftCell="A46" zoomScale="85" zoomScaleNormal="85" workbookViewId="0">
      <selection activeCell="B54" sqref="B54:Q54"/>
    </sheetView>
  </sheetViews>
  <sheetFormatPr defaultRowHeight="18.75"/>
  <sheetData>
    <row r="1" spans="1:20">
      <c r="B1" t="s">
        <v>3474</v>
      </c>
      <c r="C1" t="s">
        <v>3475</v>
      </c>
      <c r="D1" t="s">
        <v>3489</v>
      </c>
      <c r="E1" t="s">
        <v>3477</v>
      </c>
      <c r="F1" t="s">
        <v>3479</v>
      </c>
      <c r="G1" t="s">
        <v>3481</v>
      </c>
      <c r="H1" t="s">
        <v>3482</v>
      </c>
      <c r="I1" t="s">
        <v>3483</v>
      </c>
      <c r="N1" s="1" t="s">
        <v>3805</v>
      </c>
      <c r="O1" t="s">
        <v>3484</v>
      </c>
      <c r="P1" t="s">
        <v>3486</v>
      </c>
    </row>
    <row r="2" spans="1:20">
      <c r="A2" s="5"/>
      <c r="B2" s="23" t="s">
        <v>2959</v>
      </c>
      <c r="C2" s="23" t="s">
        <v>1727</v>
      </c>
      <c r="D2" s="23">
        <v>1</v>
      </c>
      <c r="E2" s="23" t="s">
        <v>3319</v>
      </c>
      <c r="F2" s="23" t="s">
        <v>3320</v>
      </c>
      <c r="G2" s="23" t="s">
        <v>3294</v>
      </c>
      <c r="H2" s="23"/>
      <c r="I2" s="23" t="s">
        <v>1722</v>
      </c>
      <c r="J2" s="23"/>
      <c r="K2" s="23"/>
      <c r="L2" s="23"/>
      <c r="M2" s="23"/>
      <c r="N2" s="23" t="s">
        <v>3805</v>
      </c>
      <c r="O2" s="23" t="s">
        <v>156</v>
      </c>
      <c r="P2" s="23" t="s">
        <v>45</v>
      </c>
      <c r="Q2" s="23" t="s">
        <v>4</v>
      </c>
      <c r="S2">
        <f t="shared" ref="S2:S16" si="0">COUNTIF(F:H,T2)</f>
        <v>5</v>
      </c>
      <c r="T2" t="s">
        <v>3294</v>
      </c>
    </row>
    <row r="3" spans="1:20">
      <c r="B3" s="1" t="s">
        <v>2960</v>
      </c>
      <c r="C3" s="1" t="s">
        <v>1727</v>
      </c>
      <c r="D3" s="1">
        <v>1</v>
      </c>
      <c r="E3" s="1" t="s">
        <v>3319</v>
      </c>
      <c r="F3" s="1" t="s">
        <v>3320</v>
      </c>
      <c r="G3" s="1" t="s">
        <v>3291</v>
      </c>
      <c r="H3" s="1"/>
      <c r="I3" t="s">
        <v>1671</v>
      </c>
      <c r="J3" t="s">
        <v>1728</v>
      </c>
      <c r="N3" s="1" t="s">
        <v>3805</v>
      </c>
      <c r="O3" t="s">
        <v>156</v>
      </c>
      <c r="P3" t="s">
        <v>38</v>
      </c>
      <c r="Q3" t="s">
        <v>4</v>
      </c>
      <c r="S3">
        <f t="shared" si="0"/>
        <v>14</v>
      </c>
      <c r="T3" t="s">
        <v>3291</v>
      </c>
    </row>
    <row r="4" spans="1:20">
      <c r="A4" s="5"/>
      <c r="B4" s="5" t="s">
        <v>2961</v>
      </c>
      <c r="C4" s="5" t="s">
        <v>1727</v>
      </c>
      <c r="D4" s="5">
        <v>1</v>
      </c>
      <c r="E4" s="5" t="s">
        <v>3319</v>
      </c>
      <c r="F4" s="5" t="s">
        <v>3320</v>
      </c>
      <c r="G4" s="5" t="s">
        <v>3302</v>
      </c>
      <c r="H4" s="5"/>
      <c r="I4" s="5" t="s">
        <v>1729</v>
      </c>
      <c r="J4" s="5"/>
      <c r="K4" s="5"/>
      <c r="L4" s="5"/>
      <c r="M4" s="5"/>
      <c r="N4" s="23"/>
      <c r="O4" s="5" t="s">
        <v>159</v>
      </c>
      <c r="P4" s="5" t="s">
        <v>17</v>
      </c>
      <c r="Q4" s="5" t="s">
        <v>4</v>
      </c>
      <c r="S4">
        <f t="shared" si="0"/>
        <v>9</v>
      </c>
      <c r="T4" t="s">
        <v>3302</v>
      </c>
    </row>
    <row r="5" spans="1:20">
      <c r="B5" s="9" t="s">
        <v>2962</v>
      </c>
      <c r="C5" s="9" t="s">
        <v>1727</v>
      </c>
      <c r="D5" s="9">
        <v>1</v>
      </c>
      <c r="E5" s="9" t="s">
        <v>3319</v>
      </c>
      <c r="F5" s="9" t="s">
        <v>3320</v>
      </c>
      <c r="G5" s="9" t="s">
        <v>3289</v>
      </c>
      <c r="H5" s="9"/>
      <c r="I5" s="9" t="s">
        <v>254</v>
      </c>
      <c r="J5" s="9" t="s">
        <v>1672</v>
      </c>
      <c r="K5" s="9"/>
      <c r="L5" s="9"/>
      <c r="M5" s="9"/>
      <c r="N5" s="1" t="s">
        <v>3473</v>
      </c>
      <c r="O5" s="9" t="s">
        <v>156</v>
      </c>
      <c r="P5" s="9" t="s">
        <v>52</v>
      </c>
      <c r="Q5" s="9" t="s">
        <v>4</v>
      </c>
      <c r="R5" s="9"/>
      <c r="S5">
        <f t="shared" si="0"/>
        <v>2</v>
      </c>
      <c r="T5" t="s">
        <v>3289</v>
      </c>
    </row>
    <row r="6" spans="1:20">
      <c r="B6" t="s">
        <v>2963</v>
      </c>
      <c r="C6" t="s">
        <v>1727</v>
      </c>
      <c r="D6">
        <v>1</v>
      </c>
      <c r="E6" t="s">
        <v>3319</v>
      </c>
      <c r="F6" t="s">
        <v>3320</v>
      </c>
      <c r="G6" t="s">
        <v>3286</v>
      </c>
      <c r="I6" t="s">
        <v>1673</v>
      </c>
      <c r="J6" t="s">
        <v>1674</v>
      </c>
      <c r="N6" s="1"/>
      <c r="O6" t="s">
        <v>782</v>
      </c>
      <c r="P6" t="s">
        <v>32</v>
      </c>
      <c r="Q6" t="s">
        <v>4</v>
      </c>
      <c r="S6">
        <f t="shared" si="0"/>
        <v>2</v>
      </c>
      <c r="T6" t="s">
        <v>3286</v>
      </c>
    </row>
    <row r="7" spans="1:20">
      <c r="B7" t="s">
        <v>2964</v>
      </c>
      <c r="C7" t="s">
        <v>1727</v>
      </c>
      <c r="D7">
        <v>1</v>
      </c>
      <c r="E7" t="s">
        <v>3319</v>
      </c>
      <c r="F7" t="s">
        <v>3320</v>
      </c>
      <c r="G7" t="s">
        <v>3294</v>
      </c>
      <c r="I7" t="s">
        <v>1422</v>
      </c>
      <c r="N7" s="1" t="s">
        <v>3805</v>
      </c>
      <c r="O7" t="s">
        <v>156</v>
      </c>
      <c r="P7" t="s">
        <v>180</v>
      </c>
      <c r="Q7" t="s">
        <v>4</v>
      </c>
      <c r="S7">
        <f t="shared" si="0"/>
        <v>8</v>
      </c>
      <c r="T7" t="s">
        <v>3311</v>
      </c>
    </row>
    <row r="8" spans="1:20">
      <c r="B8" t="s">
        <v>2965</v>
      </c>
      <c r="C8" t="s">
        <v>1727</v>
      </c>
      <c r="D8">
        <v>1</v>
      </c>
      <c r="E8" t="s">
        <v>3319</v>
      </c>
      <c r="F8" t="s">
        <v>3320</v>
      </c>
      <c r="G8" t="s">
        <v>3311</v>
      </c>
      <c r="I8" t="s">
        <v>1730</v>
      </c>
      <c r="N8" s="1" t="s">
        <v>3805</v>
      </c>
      <c r="O8" t="s">
        <v>156</v>
      </c>
      <c r="P8" t="s">
        <v>27</v>
      </c>
      <c r="Q8" t="s">
        <v>4</v>
      </c>
      <c r="S8">
        <f t="shared" si="0"/>
        <v>1</v>
      </c>
      <c r="T8" t="s">
        <v>3301</v>
      </c>
    </row>
    <row r="9" spans="1:20">
      <c r="B9" t="s">
        <v>2966</v>
      </c>
      <c r="C9" t="s">
        <v>1727</v>
      </c>
      <c r="D9">
        <v>1</v>
      </c>
      <c r="E9" t="s">
        <v>3319</v>
      </c>
      <c r="F9" t="s">
        <v>3320</v>
      </c>
      <c r="G9" t="s">
        <v>3291</v>
      </c>
      <c r="I9" t="s">
        <v>1373</v>
      </c>
      <c r="J9" t="s">
        <v>1675</v>
      </c>
      <c r="N9" s="1"/>
      <c r="O9" t="s">
        <v>156</v>
      </c>
      <c r="P9" t="s">
        <v>11</v>
      </c>
      <c r="Q9" t="s">
        <v>4</v>
      </c>
      <c r="S9">
        <f t="shared" si="0"/>
        <v>10</v>
      </c>
      <c r="T9" t="s">
        <v>3315</v>
      </c>
    </row>
    <row r="10" spans="1:20">
      <c r="B10" t="s">
        <v>2967</v>
      </c>
      <c r="C10" t="s">
        <v>1727</v>
      </c>
      <c r="D10">
        <v>1</v>
      </c>
      <c r="E10" t="s">
        <v>3319</v>
      </c>
      <c r="F10" t="s">
        <v>3320</v>
      </c>
      <c r="G10" t="s">
        <v>3311</v>
      </c>
      <c r="I10" t="s">
        <v>1676</v>
      </c>
      <c r="N10" s="1" t="s">
        <v>3805</v>
      </c>
      <c r="O10" t="s">
        <v>156</v>
      </c>
      <c r="P10" t="s">
        <v>49</v>
      </c>
      <c r="Q10" t="s">
        <v>4</v>
      </c>
      <c r="S10">
        <f t="shared" si="0"/>
        <v>6</v>
      </c>
      <c r="T10" t="s">
        <v>3285</v>
      </c>
    </row>
    <row r="11" spans="1:20">
      <c r="B11" t="s">
        <v>2968</v>
      </c>
      <c r="C11" t="s">
        <v>1727</v>
      </c>
      <c r="D11">
        <v>1</v>
      </c>
      <c r="E11" t="s">
        <v>3319</v>
      </c>
      <c r="F11" t="s">
        <v>3320</v>
      </c>
      <c r="G11" t="s">
        <v>3289</v>
      </c>
      <c r="I11" t="s">
        <v>1731</v>
      </c>
      <c r="N11" s="1" t="s">
        <v>3805</v>
      </c>
      <c r="O11" t="s">
        <v>157</v>
      </c>
      <c r="P11" t="s">
        <v>39</v>
      </c>
      <c r="Q11" t="s">
        <v>4</v>
      </c>
      <c r="S11">
        <f t="shared" si="0"/>
        <v>1</v>
      </c>
      <c r="T11" t="s">
        <v>3297</v>
      </c>
    </row>
    <row r="12" spans="1:20">
      <c r="B12" s="9" t="s">
        <v>2969</v>
      </c>
      <c r="C12" s="9" t="s">
        <v>1727</v>
      </c>
      <c r="D12" s="9">
        <v>1</v>
      </c>
      <c r="E12" s="9" t="s">
        <v>3319</v>
      </c>
      <c r="F12" s="9" t="s">
        <v>3320</v>
      </c>
      <c r="G12" s="9" t="s">
        <v>3302</v>
      </c>
      <c r="H12" s="9"/>
      <c r="I12" s="9" t="s">
        <v>1677</v>
      </c>
      <c r="J12" s="9"/>
      <c r="K12" s="9"/>
      <c r="L12" s="9"/>
      <c r="M12" s="9"/>
      <c r="N12" s="1" t="s">
        <v>3805</v>
      </c>
      <c r="O12" s="9" t="s">
        <v>156</v>
      </c>
      <c r="P12" s="9" t="s">
        <v>184</v>
      </c>
      <c r="Q12" s="9" t="s">
        <v>4</v>
      </c>
      <c r="R12" s="9"/>
      <c r="S12">
        <f t="shared" si="0"/>
        <v>1</v>
      </c>
      <c r="T12" t="s">
        <v>3307</v>
      </c>
    </row>
    <row r="13" spans="1:20">
      <c r="A13" s="5"/>
      <c r="B13" s="5" t="s">
        <v>2970</v>
      </c>
      <c r="C13" s="5" t="s">
        <v>1727</v>
      </c>
      <c r="D13" s="5">
        <v>1</v>
      </c>
      <c r="E13" s="5" t="s">
        <v>3319</v>
      </c>
      <c r="F13" s="5" t="s">
        <v>3320</v>
      </c>
      <c r="G13" s="5" t="s">
        <v>3301</v>
      </c>
      <c r="H13" s="5"/>
      <c r="I13" s="5" t="s">
        <v>1678</v>
      </c>
      <c r="J13" s="5"/>
      <c r="K13" s="5"/>
      <c r="L13" s="5"/>
      <c r="M13" s="5"/>
      <c r="N13" s="23"/>
      <c r="O13" s="5" t="s">
        <v>782</v>
      </c>
      <c r="P13" s="5" t="s">
        <v>10</v>
      </c>
      <c r="Q13" s="5" t="s">
        <v>4</v>
      </c>
      <c r="S13">
        <f t="shared" si="0"/>
        <v>1</v>
      </c>
      <c r="T13" t="s">
        <v>3293</v>
      </c>
    </row>
    <row r="14" spans="1:20">
      <c r="B14" t="s">
        <v>2971</v>
      </c>
      <c r="C14" t="s">
        <v>1732</v>
      </c>
      <c r="D14">
        <v>2</v>
      </c>
      <c r="E14" t="s">
        <v>3319</v>
      </c>
      <c r="F14" t="s">
        <v>3320</v>
      </c>
      <c r="G14" t="s">
        <v>3315</v>
      </c>
      <c r="I14" t="s">
        <v>1733</v>
      </c>
      <c r="J14" t="s">
        <v>1679</v>
      </c>
      <c r="M14" t="s">
        <v>153</v>
      </c>
      <c r="N14" s="1" t="s">
        <v>3805</v>
      </c>
      <c r="O14" t="s">
        <v>156</v>
      </c>
      <c r="S14">
        <f t="shared" si="0"/>
        <v>1</v>
      </c>
      <c r="T14" t="s">
        <v>3290</v>
      </c>
    </row>
    <row r="15" spans="1:20">
      <c r="B15" t="s">
        <v>2972</v>
      </c>
      <c r="C15" t="s">
        <v>3407</v>
      </c>
      <c r="E15" t="s">
        <v>3319</v>
      </c>
      <c r="F15" t="s">
        <v>3315</v>
      </c>
      <c r="I15" t="s">
        <v>23</v>
      </c>
      <c r="J15" t="s">
        <v>1734</v>
      </c>
      <c r="K15" t="s">
        <v>1680</v>
      </c>
      <c r="M15" t="s">
        <v>153</v>
      </c>
      <c r="N15" s="1" t="s">
        <v>3805</v>
      </c>
      <c r="O15" t="s">
        <v>154</v>
      </c>
      <c r="P15" t="s">
        <v>44</v>
      </c>
      <c r="Q15" t="s">
        <v>4</v>
      </c>
      <c r="S15">
        <f t="shared" si="0"/>
        <v>1</v>
      </c>
      <c r="T15" t="s">
        <v>3299</v>
      </c>
    </row>
    <row r="16" spans="1:20">
      <c r="B16" s="8" t="s">
        <v>2973</v>
      </c>
      <c r="C16" s="8" t="s">
        <v>1732</v>
      </c>
      <c r="D16" s="8">
        <v>2</v>
      </c>
      <c r="E16" s="8" t="s">
        <v>3319</v>
      </c>
      <c r="F16" s="8" t="s">
        <v>3320</v>
      </c>
      <c r="G16" s="8" t="s">
        <v>3286</v>
      </c>
      <c r="H16" s="8"/>
      <c r="I16" s="8" t="s">
        <v>1735</v>
      </c>
      <c r="J16" s="8" t="s">
        <v>1681</v>
      </c>
      <c r="K16" s="8"/>
      <c r="L16" s="8"/>
      <c r="M16" s="8"/>
      <c r="N16" s="35" t="s">
        <v>3805</v>
      </c>
      <c r="O16" s="8" t="s">
        <v>162</v>
      </c>
      <c r="P16" s="8" t="s">
        <v>32</v>
      </c>
      <c r="Q16" s="8" t="s">
        <v>4</v>
      </c>
      <c r="R16" s="8"/>
      <c r="S16">
        <f t="shared" si="0"/>
        <v>2</v>
      </c>
      <c r="T16" t="s">
        <v>3296</v>
      </c>
    </row>
    <row r="17" spans="1:17">
      <c r="B17" t="s">
        <v>2974</v>
      </c>
      <c r="C17" t="s">
        <v>1732</v>
      </c>
      <c r="D17">
        <v>2</v>
      </c>
      <c r="E17" t="s">
        <v>3319</v>
      </c>
      <c r="F17" t="s">
        <v>3320</v>
      </c>
      <c r="G17" t="s">
        <v>3291</v>
      </c>
      <c r="I17" t="s">
        <v>1682</v>
      </c>
      <c r="N17" s="1" t="s">
        <v>3805</v>
      </c>
      <c r="O17" t="s">
        <v>154</v>
      </c>
      <c r="P17" t="s">
        <v>36</v>
      </c>
      <c r="Q17" t="s">
        <v>4</v>
      </c>
    </row>
    <row r="18" spans="1:17">
      <c r="B18" t="s">
        <v>2975</v>
      </c>
      <c r="C18" t="s">
        <v>1732</v>
      </c>
      <c r="D18">
        <v>2</v>
      </c>
      <c r="E18" t="s">
        <v>3319</v>
      </c>
      <c r="F18" t="s">
        <v>3320</v>
      </c>
      <c r="G18" t="s">
        <v>3311</v>
      </c>
      <c r="I18" t="s">
        <v>1683</v>
      </c>
      <c r="N18" s="1" t="s">
        <v>3805</v>
      </c>
      <c r="O18" t="s">
        <v>156</v>
      </c>
      <c r="P18" t="s">
        <v>33</v>
      </c>
      <c r="Q18" t="s">
        <v>4</v>
      </c>
    </row>
    <row r="19" spans="1:17">
      <c r="B19" t="s">
        <v>2976</v>
      </c>
      <c r="C19" t="s">
        <v>1732</v>
      </c>
      <c r="D19">
        <v>2</v>
      </c>
      <c r="E19" t="s">
        <v>3319</v>
      </c>
      <c r="F19" t="s">
        <v>3320</v>
      </c>
      <c r="G19" t="s">
        <v>3294</v>
      </c>
      <c r="I19" t="s">
        <v>890</v>
      </c>
      <c r="N19" s="1" t="s">
        <v>3805</v>
      </c>
      <c r="O19" t="s">
        <v>154</v>
      </c>
      <c r="P19" t="s">
        <v>180</v>
      </c>
      <c r="Q19" t="s">
        <v>4</v>
      </c>
    </row>
    <row r="20" spans="1:17">
      <c r="B20" t="s">
        <v>2977</v>
      </c>
      <c r="C20" t="s">
        <v>1732</v>
      </c>
      <c r="D20">
        <v>2</v>
      </c>
      <c r="E20" t="s">
        <v>3319</v>
      </c>
      <c r="F20" t="s">
        <v>3320</v>
      </c>
      <c r="G20" t="s">
        <v>3302</v>
      </c>
      <c r="I20" t="s">
        <v>1684</v>
      </c>
      <c r="N20" s="1"/>
      <c r="O20" t="s">
        <v>159</v>
      </c>
      <c r="P20" t="s">
        <v>39</v>
      </c>
      <c r="Q20" t="s">
        <v>4</v>
      </c>
    </row>
    <row r="21" spans="1:17">
      <c r="B21" t="s">
        <v>2978</v>
      </c>
      <c r="C21" t="s">
        <v>1732</v>
      </c>
      <c r="D21">
        <v>2</v>
      </c>
      <c r="E21" t="s">
        <v>3319</v>
      </c>
      <c r="F21" t="s">
        <v>3320</v>
      </c>
      <c r="G21" t="s">
        <v>3291</v>
      </c>
      <c r="I21" t="s">
        <v>1736</v>
      </c>
      <c r="N21" s="1" t="s">
        <v>3805</v>
      </c>
      <c r="O21" t="s">
        <v>154</v>
      </c>
      <c r="P21" t="s">
        <v>32</v>
      </c>
      <c r="Q21" t="s">
        <v>4</v>
      </c>
    </row>
    <row r="22" spans="1:17">
      <c r="B22" t="s">
        <v>2979</v>
      </c>
      <c r="C22" t="s">
        <v>1732</v>
      </c>
      <c r="D22">
        <v>2</v>
      </c>
      <c r="E22" t="s">
        <v>3319</v>
      </c>
      <c r="F22" t="s">
        <v>3320</v>
      </c>
      <c r="G22" t="s">
        <v>3311</v>
      </c>
      <c r="I22" t="s">
        <v>1737</v>
      </c>
      <c r="N22" s="1" t="s">
        <v>3805</v>
      </c>
      <c r="O22" t="s">
        <v>154</v>
      </c>
      <c r="P22" t="s">
        <v>30</v>
      </c>
      <c r="Q22" t="s">
        <v>4</v>
      </c>
    </row>
    <row r="23" spans="1:17">
      <c r="A23" s="5"/>
      <c r="B23" s="5" t="s">
        <v>2980</v>
      </c>
      <c r="C23" s="5" t="s">
        <v>1732</v>
      </c>
      <c r="D23" s="5">
        <v>2</v>
      </c>
      <c r="E23" s="5" t="s">
        <v>3319</v>
      </c>
      <c r="F23" s="5" t="s">
        <v>3320</v>
      </c>
      <c r="G23" s="5" t="s">
        <v>3285</v>
      </c>
      <c r="H23" s="5"/>
      <c r="I23" s="5" t="s">
        <v>1685</v>
      </c>
      <c r="J23" s="5"/>
      <c r="K23" s="5"/>
      <c r="L23" s="5"/>
      <c r="M23" s="5"/>
      <c r="N23" s="23" t="s">
        <v>3473</v>
      </c>
      <c r="O23" s="5" t="s">
        <v>156</v>
      </c>
      <c r="P23" s="5" t="s">
        <v>52</v>
      </c>
      <c r="Q23" s="5" t="s">
        <v>4</v>
      </c>
    </row>
    <row r="24" spans="1:17">
      <c r="A24" s="5"/>
      <c r="B24" s="5" t="s">
        <v>2981</v>
      </c>
      <c r="C24" s="5" t="s">
        <v>1732</v>
      </c>
      <c r="D24" s="5">
        <v>2</v>
      </c>
      <c r="E24" s="5" t="s">
        <v>3319</v>
      </c>
      <c r="F24" s="5" t="s">
        <v>3320</v>
      </c>
      <c r="G24" s="5" t="s">
        <v>3315</v>
      </c>
      <c r="H24" s="5"/>
      <c r="I24" s="5" t="s">
        <v>1686</v>
      </c>
      <c r="J24" s="5"/>
      <c r="K24" s="5"/>
      <c r="L24" s="5"/>
      <c r="M24" s="5" t="s">
        <v>153</v>
      </c>
      <c r="N24" s="23" t="s">
        <v>3805</v>
      </c>
      <c r="O24" s="5" t="s">
        <v>162</v>
      </c>
      <c r="P24" s="5"/>
      <c r="Q24" s="5"/>
    </row>
    <row r="25" spans="1:17">
      <c r="A25" s="5"/>
      <c r="B25" s="5" t="s">
        <v>2982</v>
      </c>
      <c r="C25" s="5" t="s">
        <v>3407</v>
      </c>
      <c r="D25" s="5"/>
      <c r="E25" s="5" t="s">
        <v>3319</v>
      </c>
      <c r="F25" s="5" t="s">
        <v>3315</v>
      </c>
      <c r="G25" s="5"/>
      <c r="H25" s="5"/>
      <c r="I25" s="5" t="s">
        <v>20</v>
      </c>
      <c r="J25" s="5" t="s">
        <v>1687</v>
      </c>
      <c r="K25" s="5"/>
      <c r="L25" s="5"/>
      <c r="M25" s="5" t="s">
        <v>153</v>
      </c>
      <c r="N25" s="23" t="s">
        <v>3805</v>
      </c>
      <c r="O25" s="5" t="s">
        <v>1124</v>
      </c>
      <c r="P25" s="5" t="s">
        <v>46</v>
      </c>
      <c r="Q25" s="5" t="s">
        <v>4</v>
      </c>
    </row>
    <row r="26" spans="1:17">
      <c r="B26" t="s">
        <v>2983</v>
      </c>
      <c r="C26" t="s">
        <v>1732</v>
      </c>
      <c r="D26">
        <v>2</v>
      </c>
      <c r="E26" t="s">
        <v>3319</v>
      </c>
      <c r="F26" t="s">
        <v>3320</v>
      </c>
      <c r="G26" t="s">
        <v>3302</v>
      </c>
      <c r="I26" t="s">
        <v>1688</v>
      </c>
      <c r="N26" s="1" t="s">
        <v>3805</v>
      </c>
      <c r="O26" t="s">
        <v>156</v>
      </c>
      <c r="P26" t="s">
        <v>610</v>
      </c>
      <c r="Q26" t="s">
        <v>4</v>
      </c>
    </row>
    <row r="27" spans="1:17">
      <c r="A27" s="9"/>
      <c r="B27" s="9" t="s">
        <v>2984</v>
      </c>
      <c r="C27" s="9" t="s">
        <v>1732</v>
      </c>
      <c r="D27" s="9">
        <v>2</v>
      </c>
      <c r="E27" s="9" t="s">
        <v>3319</v>
      </c>
      <c r="F27" s="9" t="s">
        <v>3320</v>
      </c>
      <c r="G27" s="9" t="s">
        <v>3291</v>
      </c>
      <c r="H27" s="9" t="s">
        <v>3296</v>
      </c>
      <c r="I27" s="9" t="s">
        <v>1689</v>
      </c>
      <c r="J27" s="9"/>
      <c r="K27" s="9"/>
      <c r="L27" s="9"/>
      <c r="M27" s="9"/>
      <c r="N27" s="12" t="s">
        <v>3473</v>
      </c>
      <c r="O27" s="9" t="s">
        <v>156</v>
      </c>
      <c r="P27" s="9" t="s">
        <v>612</v>
      </c>
      <c r="Q27" s="9" t="s">
        <v>4</v>
      </c>
    </row>
    <row r="28" spans="1:17">
      <c r="B28" t="s">
        <v>2985</v>
      </c>
      <c r="C28" t="s">
        <v>1732</v>
      </c>
      <c r="D28">
        <v>2</v>
      </c>
      <c r="E28" t="s">
        <v>3319</v>
      </c>
      <c r="F28" t="s">
        <v>3320</v>
      </c>
      <c r="G28" t="s">
        <v>3311</v>
      </c>
      <c r="I28" t="s">
        <v>1733</v>
      </c>
      <c r="J28" t="s">
        <v>1738</v>
      </c>
      <c r="N28" s="1" t="s">
        <v>3805</v>
      </c>
      <c r="O28" t="s">
        <v>158</v>
      </c>
      <c r="P28" t="s">
        <v>53</v>
      </c>
      <c r="Q28" t="s">
        <v>4</v>
      </c>
    </row>
    <row r="29" spans="1:17">
      <c r="A29" s="8"/>
      <c r="B29" s="8" t="s">
        <v>2986</v>
      </c>
      <c r="C29" s="8" t="s">
        <v>1732</v>
      </c>
      <c r="D29" s="8">
        <v>2</v>
      </c>
      <c r="E29" s="8" t="s">
        <v>3319</v>
      </c>
      <c r="F29" s="8" t="s">
        <v>3320</v>
      </c>
      <c r="G29" s="8" t="s">
        <v>3302</v>
      </c>
      <c r="H29" s="8"/>
      <c r="I29" s="8" t="s">
        <v>1690</v>
      </c>
      <c r="J29" s="8"/>
      <c r="K29" s="8"/>
      <c r="L29" s="8"/>
      <c r="M29" s="8"/>
      <c r="N29" s="35" t="s">
        <v>3473</v>
      </c>
      <c r="O29" s="8" t="s">
        <v>159</v>
      </c>
      <c r="P29" s="8" t="s">
        <v>30</v>
      </c>
      <c r="Q29" s="8" t="s">
        <v>4</v>
      </c>
    </row>
    <row r="30" spans="1:17">
      <c r="B30" t="s">
        <v>2987</v>
      </c>
      <c r="C30" t="s">
        <v>1732</v>
      </c>
      <c r="D30">
        <v>2</v>
      </c>
      <c r="E30" t="s">
        <v>3319</v>
      </c>
      <c r="F30" t="s">
        <v>3320</v>
      </c>
      <c r="G30" t="s">
        <v>3302</v>
      </c>
      <c r="I30" t="s">
        <v>254</v>
      </c>
      <c r="J30" t="s">
        <v>1691</v>
      </c>
      <c r="N30" s="1" t="s">
        <v>3473</v>
      </c>
      <c r="O30" t="s">
        <v>156</v>
      </c>
      <c r="P30" t="s">
        <v>52</v>
      </c>
      <c r="Q30" t="s">
        <v>4</v>
      </c>
    </row>
    <row r="31" spans="1:17">
      <c r="B31" t="s">
        <v>2988</v>
      </c>
      <c r="C31" t="s">
        <v>1732</v>
      </c>
      <c r="D31">
        <v>2</v>
      </c>
      <c r="E31" t="s">
        <v>3319</v>
      </c>
      <c r="F31" t="s">
        <v>3320</v>
      </c>
      <c r="G31" t="s">
        <v>3311</v>
      </c>
      <c r="I31" t="s">
        <v>1723</v>
      </c>
      <c r="N31" s="1" t="s">
        <v>3805</v>
      </c>
      <c r="O31" t="s">
        <v>154</v>
      </c>
      <c r="P31" t="s">
        <v>38</v>
      </c>
      <c r="Q31" t="s">
        <v>4</v>
      </c>
    </row>
    <row r="32" spans="1:17">
      <c r="B32" t="s">
        <v>2989</v>
      </c>
      <c r="C32" t="s">
        <v>1732</v>
      </c>
      <c r="D32">
        <v>2</v>
      </c>
      <c r="E32" t="s">
        <v>3319</v>
      </c>
      <c r="F32" t="s">
        <v>3320</v>
      </c>
      <c r="G32" t="s">
        <v>3291</v>
      </c>
      <c r="I32" t="s">
        <v>1692</v>
      </c>
      <c r="N32" s="1" t="s">
        <v>3805</v>
      </c>
      <c r="O32" t="s">
        <v>154</v>
      </c>
      <c r="P32" t="s">
        <v>29</v>
      </c>
      <c r="Q32" t="s">
        <v>4</v>
      </c>
    </row>
    <row r="33" spans="1:18">
      <c r="B33" t="s">
        <v>2990</v>
      </c>
      <c r="C33" t="s">
        <v>1732</v>
      </c>
      <c r="D33">
        <v>2</v>
      </c>
      <c r="E33" t="s">
        <v>3319</v>
      </c>
      <c r="F33" t="s">
        <v>3320</v>
      </c>
      <c r="G33" t="s">
        <v>3311</v>
      </c>
      <c r="I33" t="s">
        <v>1693</v>
      </c>
      <c r="N33" s="1" t="s">
        <v>3805</v>
      </c>
      <c r="O33" t="s">
        <v>154</v>
      </c>
      <c r="P33" t="s">
        <v>28</v>
      </c>
      <c r="Q33" t="s">
        <v>4</v>
      </c>
    </row>
    <row r="34" spans="1:18">
      <c r="B34" t="s">
        <v>2991</v>
      </c>
      <c r="C34" t="s">
        <v>1732</v>
      </c>
      <c r="D34">
        <v>2</v>
      </c>
      <c r="E34" t="s">
        <v>3319</v>
      </c>
      <c r="F34" t="s">
        <v>3320</v>
      </c>
      <c r="G34" t="s">
        <v>3291</v>
      </c>
      <c r="I34" t="s">
        <v>1725</v>
      </c>
      <c r="N34" s="1" t="s">
        <v>3805</v>
      </c>
      <c r="O34" t="s">
        <v>154</v>
      </c>
      <c r="P34" t="s">
        <v>5</v>
      </c>
      <c r="Q34" t="s">
        <v>4</v>
      </c>
    </row>
    <row r="35" spans="1:18">
      <c r="A35" s="5"/>
      <c r="B35" s="5" t="s">
        <v>2992</v>
      </c>
      <c r="C35" s="5" t="s">
        <v>1739</v>
      </c>
      <c r="D35" s="5">
        <v>3</v>
      </c>
      <c r="E35" s="5" t="s">
        <v>3319</v>
      </c>
      <c r="F35" s="5" t="s">
        <v>3320</v>
      </c>
      <c r="G35" s="5" t="s">
        <v>3297</v>
      </c>
      <c r="H35" s="5"/>
      <c r="I35" s="5" t="s">
        <v>1694</v>
      </c>
      <c r="J35" s="5" t="s">
        <v>13</v>
      </c>
      <c r="K35" s="5"/>
      <c r="L35" s="5"/>
      <c r="M35" s="5"/>
      <c r="N35" s="23" t="s">
        <v>3805</v>
      </c>
      <c r="O35" s="5" t="s">
        <v>161</v>
      </c>
      <c r="P35" s="5" t="s">
        <v>15</v>
      </c>
      <c r="Q35" s="5" t="s">
        <v>4</v>
      </c>
    </row>
    <row r="36" spans="1:18">
      <c r="B36" t="s">
        <v>2993</v>
      </c>
      <c r="C36" t="s">
        <v>1739</v>
      </c>
      <c r="D36">
        <v>3</v>
      </c>
      <c r="E36" t="s">
        <v>3319</v>
      </c>
      <c r="F36" t="s">
        <v>3320</v>
      </c>
      <c r="G36" t="s">
        <v>3302</v>
      </c>
      <c r="I36" t="s">
        <v>51</v>
      </c>
      <c r="J36" t="s">
        <v>1695</v>
      </c>
      <c r="N36" s="1" t="s">
        <v>3805</v>
      </c>
      <c r="O36" t="s">
        <v>159</v>
      </c>
      <c r="P36" t="s">
        <v>6</v>
      </c>
      <c r="Q36" t="s">
        <v>4</v>
      </c>
    </row>
    <row r="37" spans="1:18">
      <c r="A37" s="8"/>
      <c r="B37" s="8" t="s">
        <v>2994</v>
      </c>
      <c r="C37" s="8" t="s">
        <v>1739</v>
      </c>
      <c r="D37" s="8">
        <v>3</v>
      </c>
      <c r="E37" s="8" t="s">
        <v>3319</v>
      </c>
      <c r="F37" s="8" t="s">
        <v>3320</v>
      </c>
      <c r="G37" s="8" t="s">
        <v>3285</v>
      </c>
      <c r="H37" s="8"/>
      <c r="I37" s="8" t="s">
        <v>23</v>
      </c>
      <c r="J37" s="8"/>
      <c r="K37" s="8"/>
      <c r="L37" s="8"/>
      <c r="M37" s="8"/>
      <c r="N37" s="35" t="s">
        <v>3805</v>
      </c>
      <c r="O37" s="8" t="s">
        <v>165</v>
      </c>
      <c r="P37" s="8" t="s">
        <v>39</v>
      </c>
      <c r="Q37" s="8" t="s">
        <v>4</v>
      </c>
    </row>
    <row r="38" spans="1:18">
      <c r="B38" t="s">
        <v>2995</v>
      </c>
      <c r="C38" t="s">
        <v>1739</v>
      </c>
      <c r="D38">
        <v>3</v>
      </c>
      <c r="E38" t="s">
        <v>3319</v>
      </c>
      <c r="F38" t="s">
        <v>3320</v>
      </c>
      <c r="G38" t="s">
        <v>3311</v>
      </c>
      <c r="I38" t="s">
        <v>254</v>
      </c>
      <c r="J38" t="s">
        <v>1696</v>
      </c>
      <c r="N38" s="1" t="s">
        <v>3473</v>
      </c>
      <c r="O38" t="s">
        <v>154</v>
      </c>
      <c r="P38" t="s">
        <v>52</v>
      </c>
      <c r="Q38" t="s">
        <v>4</v>
      </c>
    </row>
    <row r="39" spans="1:18">
      <c r="B39" t="s">
        <v>2996</v>
      </c>
      <c r="C39" t="s">
        <v>1739</v>
      </c>
      <c r="D39">
        <v>3</v>
      </c>
      <c r="E39" t="s">
        <v>3319</v>
      </c>
      <c r="F39" t="s">
        <v>3320</v>
      </c>
      <c r="G39" t="s">
        <v>3302</v>
      </c>
      <c r="I39" t="s">
        <v>1740</v>
      </c>
      <c r="J39" t="s">
        <v>1697</v>
      </c>
      <c r="N39" s="1" t="s">
        <v>3473</v>
      </c>
      <c r="O39" t="s">
        <v>166</v>
      </c>
      <c r="P39" t="s">
        <v>33</v>
      </c>
      <c r="Q39" t="s">
        <v>4</v>
      </c>
    </row>
    <row r="40" spans="1:18">
      <c r="B40" s="8" t="s">
        <v>2997</v>
      </c>
      <c r="C40" s="8" t="s">
        <v>1739</v>
      </c>
      <c r="D40" s="8">
        <v>3</v>
      </c>
      <c r="E40" s="8" t="s">
        <v>3319</v>
      </c>
      <c r="F40" s="8" t="s">
        <v>3320</v>
      </c>
      <c r="G40" s="8" t="s">
        <v>3315</v>
      </c>
      <c r="H40" s="8"/>
      <c r="I40" s="8" t="s">
        <v>1698</v>
      </c>
      <c r="J40" s="8"/>
      <c r="K40" s="8"/>
      <c r="L40" s="8"/>
      <c r="M40" s="8" t="s">
        <v>153</v>
      </c>
      <c r="N40" s="1" t="s">
        <v>3805</v>
      </c>
      <c r="O40" s="8" t="s">
        <v>164</v>
      </c>
      <c r="P40" s="8"/>
      <c r="Q40" s="8"/>
      <c r="R40" s="8"/>
    </row>
    <row r="41" spans="1:18">
      <c r="B41" s="8" t="s">
        <v>2998</v>
      </c>
      <c r="C41" s="8" t="s">
        <v>3407</v>
      </c>
      <c r="D41" s="8"/>
      <c r="E41" s="8" t="s">
        <v>3319</v>
      </c>
      <c r="F41" s="8" t="s">
        <v>3315</v>
      </c>
      <c r="G41" s="8"/>
      <c r="H41" s="8"/>
      <c r="I41" s="8" t="s">
        <v>1699</v>
      </c>
      <c r="J41" s="8"/>
      <c r="K41" s="8"/>
      <c r="L41" s="8"/>
      <c r="M41" s="8" t="s">
        <v>153</v>
      </c>
      <c r="N41" s="1" t="s">
        <v>3805</v>
      </c>
      <c r="O41" s="8" t="s">
        <v>619</v>
      </c>
      <c r="P41" s="8" t="s">
        <v>45</v>
      </c>
      <c r="Q41" s="8" t="s">
        <v>4</v>
      </c>
      <c r="R41" s="8"/>
    </row>
    <row r="42" spans="1:18">
      <c r="B42" t="s">
        <v>2999</v>
      </c>
      <c r="C42" t="s">
        <v>1739</v>
      </c>
      <c r="D42">
        <v>3</v>
      </c>
      <c r="E42" t="s">
        <v>3319</v>
      </c>
      <c r="F42" t="s">
        <v>3320</v>
      </c>
      <c r="G42" t="s">
        <v>3285</v>
      </c>
      <c r="I42" t="s">
        <v>1700</v>
      </c>
      <c r="N42" s="1" t="s">
        <v>3805</v>
      </c>
      <c r="O42" t="s">
        <v>165</v>
      </c>
      <c r="P42" t="s">
        <v>46</v>
      </c>
      <c r="Q42" t="s">
        <v>4</v>
      </c>
    </row>
    <row r="43" spans="1:18">
      <c r="A43" s="5"/>
      <c r="B43" s="5" t="s">
        <v>3000</v>
      </c>
      <c r="C43" s="5" t="s">
        <v>1739</v>
      </c>
      <c r="D43" s="5">
        <v>3</v>
      </c>
      <c r="E43" s="5" t="s">
        <v>3319</v>
      </c>
      <c r="F43" s="5" t="s">
        <v>3320</v>
      </c>
      <c r="G43" s="5" t="s">
        <v>3285</v>
      </c>
      <c r="H43" s="5"/>
      <c r="I43" s="5" t="s">
        <v>1701</v>
      </c>
      <c r="J43" s="5"/>
      <c r="K43" s="5"/>
      <c r="L43" s="5"/>
      <c r="M43" s="5"/>
      <c r="N43" s="23" t="s">
        <v>3473</v>
      </c>
      <c r="O43" s="5" t="s">
        <v>154</v>
      </c>
      <c r="P43" s="5" t="s">
        <v>52</v>
      </c>
      <c r="Q43" s="5" t="s">
        <v>4</v>
      </c>
    </row>
    <row r="44" spans="1:18">
      <c r="B44" t="s">
        <v>3001</v>
      </c>
      <c r="C44" t="s">
        <v>1739</v>
      </c>
      <c r="D44">
        <v>3</v>
      </c>
      <c r="E44" t="s">
        <v>3319</v>
      </c>
      <c r="F44" t="s">
        <v>3320</v>
      </c>
      <c r="G44" t="s">
        <v>3307</v>
      </c>
      <c r="I44" t="s">
        <v>1724</v>
      </c>
      <c r="N44" s="1" t="s">
        <v>3805</v>
      </c>
      <c r="O44" t="s">
        <v>165</v>
      </c>
      <c r="P44" t="s">
        <v>14</v>
      </c>
      <c r="Q44" t="s">
        <v>4</v>
      </c>
    </row>
    <row r="45" spans="1:18">
      <c r="B45" t="s">
        <v>3002</v>
      </c>
      <c r="C45" t="s">
        <v>1739</v>
      </c>
      <c r="D45">
        <v>3</v>
      </c>
      <c r="E45" t="s">
        <v>3319</v>
      </c>
      <c r="F45" t="s">
        <v>3320</v>
      </c>
      <c r="G45" t="s">
        <v>3291</v>
      </c>
      <c r="I45" t="s">
        <v>1702</v>
      </c>
      <c r="N45" s="1" t="s">
        <v>3805</v>
      </c>
      <c r="O45" t="s">
        <v>617</v>
      </c>
      <c r="P45" t="s">
        <v>18</v>
      </c>
      <c r="Q45" t="s">
        <v>4</v>
      </c>
    </row>
    <row r="46" spans="1:18">
      <c r="B46" t="s">
        <v>3003</v>
      </c>
      <c r="C46" t="s">
        <v>1739</v>
      </c>
      <c r="D46">
        <v>3</v>
      </c>
      <c r="E46" t="s">
        <v>3319</v>
      </c>
      <c r="F46" t="s">
        <v>3320</v>
      </c>
      <c r="I46" t="s">
        <v>1703</v>
      </c>
      <c r="N46" s="1" t="s">
        <v>3473</v>
      </c>
      <c r="O46" t="s">
        <v>164</v>
      </c>
      <c r="P46" t="s">
        <v>46</v>
      </c>
      <c r="Q46" t="s">
        <v>4</v>
      </c>
    </row>
    <row r="47" spans="1:18">
      <c r="B47" s="5" t="s">
        <v>3004</v>
      </c>
      <c r="C47" s="5" t="s">
        <v>1741</v>
      </c>
      <c r="D47" s="5">
        <v>4</v>
      </c>
      <c r="E47" s="5" t="s">
        <v>3319</v>
      </c>
      <c r="F47" s="5" t="s">
        <v>3320</v>
      </c>
      <c r="G47" s="5" t="s">
        <v>3294</v>
      </c>
      <c r="H47" s="5"/>
      <c r="I47" s="5"/>
      <c r="J47" s="5"/>
      <c r="K47" s="5"/>
      <c r="L47" s="5"/>
      <c r="M47" s="5"/>
      <c r="N47" s="1" t="s">
        <v>3805</v>
      </c>
      <c r="O47" s="5" t="s">
        <v>618</v>
      </c>
      <c r="P47" s="5" t="s">
        <v>176</v>
      </c>
      <c r="Q47" s="5" t="s">
        <v>4</v>
      </c>
      <c r="R47" s="5"/>
    </row>
    <row r="48" spans="1:18">
      <c r="B48" t="s">
        <v>3005</v>
      </c>
      <c r="C48" t="s">
        <v>1741</v>
      </c>
      <c r="D48">
        <v>4</v>
      </c>
      <c r="E48" t="s">
        <v>3319</v>
      </c>
      <c r="F48" t="s">
        <v>3320</v>
      </c>
      <c r="G48" t="s">
        <v>3293</v>
      </c>
      <c r="I48" t="s">
        <v>1726</v>
      </c>
      <c r="N48" s="1" t="s">
        <v>3473</v>
      </c>
      <c r="O48" t="s">
        <v>165</v>
      </c>
      <c r="P48" t="s">
        <v>11</v>
      </c>
      <c r="Q48" t="s">
        <v>4</v>
      </c>
    </row>
    <row r="49" spans="1:18">
      <c r="B49" s="9" t="s">
        <v>3006</v>
      </c>
      <c r="C49" s="9" t="s">
        <v>1741</v>
      </c>
      <c r="D49" s="9">
        <v>4</v>
      </c>
      <c r="E49" s="9" t="s">
        <v>3319</v>
      </c>
      <c r="F49" s="9" t="s">
        <v>3320</v>
      </c>
      <c r="G49" s="9" t="s">
        <v>3290</v>
      </c>
      <c r="H49" s="9"/>
      <c r="I49" s="9" t="s">
        <v>1704</v>
      </c>
      <c r="J49" s="9"/>
      <c r="K49" s="9"/>
      <c r="L49" s="9"/>
      <c r="M49" s="9"/>
      <c r="N49" s="1" t="s">
        <v>3805</v>
      </c>
      <c r="O49" s="9" t="s">
        <v>168</v>
      </c>
      <c r="P49" s="9" t="s">
        <v>36</v>
      </c>
      <c r="Q49" s="9" t="s">
        <v>4</v>
      </c>
      <c r="R49" s="9"/>
    </row>
    <row r="50" spans="1:18">
      <c r="B50" t="s">
        <v>3007</v>
      </c>
      <c r="C50" t="s">
        <v>1741</v>
      </c>
      <c r="D50">
        <v>4</v>
      </c>
      <c r="E50" t="s">
        <v>3319</v>
      </c>
      <c r="F50" t="s">
        <v>3320</v>
      </c>
      <c r="G50" t="s">
        <v>3291</v>
      </c>
      <c r="H50" t="s">
        <v>3315</v>
      </c>
      <c r="I50" t="s">
        <v>1705</v>
      </c>
      <c r="M50" t="s">
        <v>153</v>
      </c>
      <c r="N50" s="1" t="s">
        <v>3805</v>
      </c>
      <c r="O50" t="s">
        <v>171</v>
      </c>
    </row>
    <row r="51" spans="1:18">
      <c r="B51" t="s">
        <v>3008</v>
      </c>
      <c r="C51" t="s">
        <v>3407</v>
      </c>
      <c r="E51" t="s">
        <v>3319</v>
      </c>
      <c r="F51" t="s">
        <v>3315</v>
      </c>
      <c r="I51" t="s">
        <v>1706</v>
      </c>
      <c r="M51" t="s">
        <v>153</v>
      </c>
      <c r="N51" s="1" t="s">
        <v>3805</v>
      </c>
      <c r="O51" t="s">
        <v>1126</v>
      </c>
      <c r="P51" t="s">
        <v>46</v>
      </c>
      <c r="Q51" t="s">
        <v>4</v>
      </c>
    </row>
    <row r="52" spans="1:18">
      <c r="B52" s="5" t="s">
        <v>3009</v>
      </c>
      <c r="C52" s="5" t="s">
        <v>1741</v>
      </c>
      <c r="D52" s="5">
        <v>4</v>
      </c>
      <c r="E52" s="5" t="s">
        <v>3319</v>
      </c>
      <c r="F52" s="5" t="s">
        <v>3320</v>
      </c>
      <c r="G52" s="5" t="s">
        <v>3285</v>
      </c>
      <c r="H52" s="5"/>
      <c r="I52" s="5" t="s">
        <v>20</v>
      </c>
      <c r="J52" s="5" t="s">
        <v>1707</v>
      </c>
      <c r="K52" s="5"/>
      <c r="L52" s="5"/>
      <c r="M52" s="5"/>
      <c r="N52" s="1" t="s">
        <v>3473</v>
      </c>
      <c r="O52" s="5" t="s">
        <v>170</v>
      </c>
      <c r="P52" s="5" t="s">
        <v>46</v>
      </c>
      <c r="Q52" s="5" t="s">
        <v>4</v>
      </c>
      <c r="R52" s="5"/>
    </row>
    <row r="53" spans="1:18">
      <c r="B53" s="9" t="s">
        <v>3010</v>
      </c>
      <c r="C53" s="9" t="s">
        <v>1741</v>
      </c>
      <c r="D53" s="9">
        <v>4</v>
      </c>
      <c r="E53" s="9" t="s">
        <v>3319</v>
      </c>
      <c r="F53" s="9" t="s">
        <v>3320</v>
      </c>
      <c r="G53" s="9" t="s">
        <v>3291</v>
      </c>
      <c r="H53" s="9" t="s">
        <v>3296</v>
      </c>
      <c r="I53" s="9" t="s">
        <v>20</v>
      </c>
      <c r="J53" s="9" t="s">
        <v>1708</v>
      </c>
      <c r="K53" s="9"/>
      <c r="L53" s="9"/>
      <c r="M53" s="9"/>
      <c r="N53" s="1" t="s">
        <v>3473</v>
      </c>
      <c r="O53" s="9" t="s">
        <v>154</v>
      </c>
      <c r="P53" s="9" t="s">
        <v>609</v>
      </c>
      <c r="Q53" s="9" t="s">
        <v>4</v>
      </c>
      <c r="R53" s="9"/>
    </row>
    <row r="54" spans="1:18">
      <c r="B54" t="s">
        <v>3011</v>
      </c>
      <c r="C54" t="s">
        <v>1741</v>
      </c>
      <c r="D54">
        <v>4</v>
      </c>
      <c r="E54" t="s">
        <v>3319</v>
      </c>
      <c r="F54" t="s">
        <v>3320</v>
      </c>
      <c r="G54" t="s">
        <v>3291</v>
      </c>
      <c r="I54" t="s">
        <v>1709</v>
      </c>
      <c r="N54" s="1" t="s">
        <v>3473</v>
      </c>
      <c r="O54" t="s">
        <v>162</v>
      </c>
      <c r="P54" t="s">
        <v>40</v>
      </c>
      <c r="Q54" t="s">
        <v>4</v>
      </c>
    </row>
    <row r="55" spans="1:18">
      <c r="B55" t="s">
        <v>3012</v>
      </c>
      <c r="C55" t="s">
        <v>1742</v>
      </c>
      <c r="D55">
        <v>4</v>
      </c>
      <c r="E55" t="s">
        <v>3319</v>
      </c>
      <c r="F55" t="s">
        <v>3320</v>
      </c>
      <c r="G55" t="s">
        <v>3302</v>
      </c>
      <c r="I55" t="s">
        <v>1710</v>
      </c>
      <c r="J55" t="s">
        <v>1711</v>
      </c>
      <c r="N55" s="1" t="s">
        <v>3473</v>
      </c>
      <c r="O55" t="s">
        <v>156</v>
      </c>
      <c r="P55" t="s">
        <v>8</v>
      </c>
      <c r="Q55" t="s">
        <v>4</v>
      </c>
    </row>
    <row r="56" spans="1:18">
      <c r="B56" t="s">
        <v>3013</v>
      </c>
      <c r="C56" t="s">
        <v>1741</v>
      </c>
      <c r="D56">
        <v>4</v>
      </c>
      <c r="E56" t="s">
        <v>3319</v>
      </c>
      <c r="F56" t="s">
        <v>3320</v>
      </c>
      <c r="G56" t="s">
        <v>3285</v>
      </c>
      <c r="I56" t="s">
        <v>1712</v>
      </c>
      <c r="N56" s="1" t="s">
        <v>3473</v>
      </c>
      <c r="O56" t="s">
        <v>164</v>
      </c>
      <c r="P56" t="s">
        <v>45</v>
      </c>
      <c r="Q56" t="s">
        <v>4</v>
      </c>
    </row>
    <row r="57" spans="1:18">
      <c r="B57" t="s">
        <v>3014</v>
      </c>
      <c r="C57" t="s">
        <v>1741</v>
      </c>
      <c r="D57">
        <v>4</v>
      </c>
      <c r="E57" t="s">
        <v>3319</v>
      </c>
      <c r="F57" t="s">
        <v>3320</v>
      </c>
      <c r="G57" t="s">
        <v>3291</v>
      </c>
      <c r="I57" t="s">
        <v>1713</v>
      </c>
      <c r="N57" s="1" t="s">
        <v>3805</v>
      </c>
      <c r="O57" t="s">
        <v>154</v>
      </c>
      <c r="P57" t="s">
        <v>14</v>
      </c>
      <c r="Q57" t="s">
        <v>4</v>
      </c>
    </row>
    <row r="58" spans="1:18">
      <c r="B58" t="s">
        <v>3015</v>
      </c>
      <c r="C58" t="s">
        <v>1741</v>
      </c>
      <c r="D58">
        <v>4</v>
      </c>
      <c r="E58" t="s">
        <v>3319</v>
      </c>
      <c r="F58" t="s">
        <v>3320</v>
      </c>
      <c r="G58" t="s">
        <v>3291</v>
      </c>
      <c r="I58" t="s">
        <v>1714</v>
      </c>
      <c r="N58" s="1" t="s">
        <v>3805</v>
      </c>
      <c r="O58" t="s">
        <v>618</v>
      </c>
      <c r="P58" t="s">
        <v>39</v>
      </c>
      <c r="Q58" t="s">
        <v>4</v>
      </c>
    </row>
    <row r="59" spans="1:18">
      <c r="B59" t="s">
        <v>3016</v>
      </c>
      <c r="C59" t="s">
        <v>1743</v>
      </c>
      <c r="D59">
        <v>5</v>
      </c>
      <c r="E59" t="s">
        <v>3319</v>
      </c>
      <c r="F59" t="s">
        <v>3320</v>
      </c>
      <c r="G59" t="s">
        <v>3294</v>
      </c>
      <c r="I59" t="s">
        <v>1715</v>
      </c>
      <c r="N59" s="1" t="s">
        <v>3805</v>
      </c>
      <c r="O59" t="s">
        <v>618</v>
      </c>
      <c r="P59" t="s">
        <v>184</v>
      </c>
      <c r="Q59" t="s">
        <v>4</v>
      </c>
    </row>
    <row r="60" spans="1:18">
      <c r="B60" s="5" t="s">
        <v>3017</v>
      </c>
      <c r="C60" s="5" t="s">
        <v>1743</v>
      </c>
      <c r="D60" s="5">
        <v>5</v>
      </c>
      <c r="E60" s="5" t="s">
        <v>3319</v>
      </c>
      <c r="F60" s="5" t="s">
        <v>3320</v>
      </c>
      <c r="G60" s="5" t="s">
        <v>3315</v>
      </c>
      <c r="H60" s="5"/>
      <c r="I60" s="5" t="s">
        <v>1716</v>
      </c>
      <c r="J60" s="5"/>
      <c r="K60" s="5"/>
      <c r="L60" s="5"/>
      <c r="M60" s="5" t="s">
        <v>153</v>
      </c>
      <c r="N60" s="1" t="s">
        <v>3805</v>
      </c>
      <c r="O60" s="5" t="s">
        <v>616</v>
      </c>
      <c r="P60" s="5"/>
      <c r="Q60" s="5"/>
      <c r="R60" s="5"/>
    </row>
    <row r="61" spans="1:18">
      <c r="B61" s="5" t="s">
        <v>3018</v>
      </c>
      <c r="C61" s="5" t="s">
        <v>3407</v>
      </c>
      <c r="D61" s="5"/>
      <c r="E61" s="5" t="s">
        <v>3319</v>
      </c>
      <c r="F61" s="5" t="s">
        <v>3315</v>
      </c>
      <c r="G61" s="5"/>
      <c r="H61" s="5"/>
      <c r="I61" s="5" t="s">
        <v>1717</v>
      </c>
      <c r="J61" s="5"/>
      <c r="K61" s="5"/>
      <c r="L61" s="5"/>
      <c r="M61" s="5" t="s">
        <v>153</v>
      </c>
      <c r="N61" s="1" t="s">
        <v>3805</v>
      </c>
      <c r="O61" s="5" t="s">
        <v>1721</v>
      </c>
      <c r="P61" s="5" t="s">
        <v>45</v>
      </c>
      <c r="Q61" s="5" t="s">
        <v>4</v>
      </c>
      <c r="R61" s="5"/>
    </row>
    <row r="62" spans="1:18">
      <c r="A62" s="5"/>
      <c r="B62" s="5" t="s">
        <v>3019</v>
      </c>
      <c r="C62" s="5" t="s">
        <v>1743</v>
      </c>
      <c r="D62" s="5">
        <v>5</v>
      </c>
      <c r="E62" s="5" t="s">
        <v>3319</v>
      </c>
      <c r="F62" s="5" t="s">
        <v>3320</v>
      </c>
      <c r="G62" s="5" t="s">
        <v>3291</v>
      </c>
      <c r="H62" s="5"/>
      <c r="I62" s="5" t="s">
        <v>254</v>
      </c>
      <c r="J62" s="5" t="s">
        <v>1718</v>
      </c>
      <c r="K62" s="5"/>
      <c r="L62" s="5"/>
      <c r="M62" s="5"/>
      <c r="N62" s="23" t="s">
        <v>3473</v>
      </c>
      <c r="O62" s="5" t="s">
        <v>172</v>
      </c>
      <c r="P62" s="5" t="s">
        <v>52</v>
      </c>
      <c r="Q62" s="5" t="s">
        <v>4</v>
      </c>
      <c r="R62" s="5"/>
    </row>
    <row r="63" spans="1:18">
      <c r="A63" s="5"/>
      <c r="B63" s="5" t="s">
        <v>3020</v>
      </c>
      <c r="C63" s="5" t="s">
        <v>1744</v>
      </c>
      <c r="D63" s="5">
        <v>7</v>
      </c>
      <c r="E63" s="5" t="s">
        <v>3319</v>
      </c>
      <c r="F63" s="5" t="s">
        <v>3320</v>
      </c>
      <c r="G63" s="5" t="s">
        <v>3299</v>
      </c>
      <c r="H63" s="5"/>
      <c r="I63" s="5" t="s">
        <v>1719</v>
      </c>
      <c r="J63" s="5" t="s">
        <v>1720</v>
      </c>
      <c r="K63" s="5"/>
      <c r="L63" s="5"/>
      <c r="M63" s="5"/>
      <c r="N63" s="23" t="s">
        <v>3473</v>
      </c>
      <c r="O63" s="5" t="s">
        <v>156</v>
      </c>
      <c r="P63" s="5" t="s">
        <v>611</v>
      </c>
      <c r="Q63" s="5" t="s">
        <v>4</v>
      </c>
    </row>
  </sheetData>
  <autoFilter ref="A1:Y63"/>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87"/>
  <sheetViews>
    <sheetView topLeftCell="A16" workbookViewId="0">
      <selection activeCell="J31" sqref="J31"/>
    </sheetView>
  </sheetViews>
  <sheetFormatPr defaultRowHeight="18.75"/>
  <sheetData>
    <row r="1" spans="1:17">
      <c r="B1" t="s">
        <v>3474</v>
      </c>
      <c r="C1" t="s">
        <v>3475</v>
      </c>
      <c r="D1" t="s">
        <v>3489</v>
      </c>
      <c r="E1" t="s">
        <v>3477</v>
      </c>
      <c r="F1" t="s">
        <v>3479</v>
      </c>
      <c r="G1" t="s">
        <v>3481</v>
      </c>
      <c r="H1" t="s">
        <v>3482</v>
      </c>
      <c r="I1" t="s">
        <v>3483</v>
      </c>
      <c r="N1" s="1" t="s">
        <v>3805</v>
      </c>
      <c r="O1" t="s">
        <v>3484</v>
      </c>
      <c r="P1" t="s">
        <v>3486</v>
      </c>
    </row>
    <row r="2" spans="1:17">
      <c r="A2" s="1"/>
      <c r="B2" s="1" t="s">
        <v>3021</v>
      </c>
      <c r="C2" s="1" t="s">
        <v>1727</v>
      </c>
      <c r="D2" s="1"/>
      <c r="E2" s="1" t="s">
        <v>3319</v>
      </c>
      <c r="F2" s="1" t="s">
        <v>3320</v>
      </c>
      <c r="G2" s="1" t="s">
        <v>3317</v>
      </c>
      <c r="H2" s="1"/>
      <c r="I2" s="1" t="s">
        <v>1745</v>
      </c>
      <c r="J2" s="1" t="s">
        <v>1746</v>
      </c>
      <c r="K2" s="1"/>
      <c r="L2" s="1"/>
      <c r="M2" s="1"/>
      <c r="N2" s="1" t="s">
        <v>3473</v>
      </c>
      <c r="O2" s="1" t="s">
        <v>156</v>
      </c>
      <c r="P2" s="1" t="s">
        <v>5</v>
      </c>
      <c r="Q2" s="1" t="s">
        <v>7</v>
      </c>
    </row>
    <row r="3" spans="1:17">
      <c r="A3" s="1"/>
      <c r="B3" s="1" t="s">
        <v>3022</v>
      </c>
      <c r="C3" s="1" t="s">
        <v>1727</v>
      </c>
      <c r="D3" s="1"/>
      <c r="E3" t="s">
        <v>3319</v>
      </c>
      <c r="F3" t="s">
        <v>3320</v>
      </c>
      <c r="G3" t="s">
        <v>3302</v>
      </c>
      <c r="I3" t="s">
        <v>1817</v>
      </c>
      <c r="N3" s="1" t="s">
        <v>3805</v>
      </c>
      <c r="O3" t="s">
        <v>156</v>
      </c>
      <c r="P3" t="s">
        <v>46</v>
      </c>
      <c r="Q3" t="s">
        <v>7</v>
      </c>
    </row>
    <row r="4" spans="1:17">
      <c r="B4" t="s">
        <v>3023</v>
      </c>
      <c r="C4" t="s">
        <v>1732</v>
      </c>
      <c r="E4" t="s">
        <v>3319</v>
      </c>
      <c r="F4" t="s">
        <v>3320</v>
      </c>
      <c r="G4" t="s">
        <v>3291</v>
      </c>
      <c r="I4" t="s">
        <v>1747</v>
      </c>
      <c r="N4" s="1" t="s">
        <v>3805</v>
      </c>
      <c r="O4" t="s">
        <v>154</v>
      </c>
      <c r="P4" t="s">
        <v>39</v>
      </c>
      <c r="Q4" t="s">
        <v>7</v>
      </c>
    </row>
    <row r="5" spans="1:17">
      <c r="B5" t="s">
        <v>3024</v>
      </c>
      <c r="C5" t="s">
        <v>1732</v>
      </c>
      <c r="E5" t="s">
        <v>3319</v>
      </c>
      <c r="F5" t="s">
        <v>3320</v>
      </c>
      <c r="G5" t="s">
        <v>3311</v>
      </c>
      <c r="H5" t="s">
        <v>3315</v>
      </c>
      <c r="I5" t="s">
        <v>1748</v>
      </c>
      <c r="J5" t="s">
        <v>1749</v>
      </c>
      <c r="M5" t="s">
        <v>153</v>
      </c>
      <c r="N5" s="1" t="s">
        <v>3805</v>
      </c>
      <c r="O5" t="s">
        <v>170</v>
      </c>
    </row>
    <row r="6" spans="1:17">
      <c r="B6" t="s">
        <v>3025</v>
      </c>
      <c r="C6" t="s">
        <v>3407</v>
      </c>
      <c r="E6" t="s">
        <v>3319</v>
      </c>
      <c r="F6" t="s">
        <v>3315</v>
      </c>
      <c r="I6" t="s">
        <v>1750</v>
      </c>
      <c r="M6" t="s">
        <v>153</v>
      </c>
      <c r="N6" s="1" t="s">
        <v>3805</v>
      </c>
      <c r="O6" t="s">
        <v>616</v>
      </c>
      <c r="P6" t="s">
        <v>46</v>
      </c>
      <c r="Q6" t="s">
        <v>7</v>
      </c>
    </row>
    <row r="7" spans="1:17">
      <c r="B7" t="s">
        <v>3026</v>
      </c>
      <c r="C7" t="s">
        <v>1732</v>
      </c>
      <c r="E7" t="s">
        <v>3319</v>
      </c>
      <c r="F7" t="s">
        <v>3320</v>
      </c>
      <c r="G7" t="s">
        <v>3291</v>
      </c>
      <c r="I7" t="s">
        <v>1818</v>
      </c>
      <c r="J7" t="s">
        <v>1810</v>
      </c>
      <c r="K7" t="s">
        <v>1811</v>
      </c>
      <c r="N7" s="1" t="s">
        <v>3805</v>
      </c>
      <c r="O7" t="s">
        <v>154</v>
      </c>
      <c r="P7" t="s">
        <v>175</v>
      </c>
      <c r="Q7" t="s">
        <v>7</v>
      </c>
    </row>
    <row r="8" spans="1:17">
      <c r="B8" t="s">
        <v>3027</v>
      </c>
      <c r="C8" t="s">
        <v>1732</v>
      </c>
      <c r="E8" t="s">
        <v>3319</v>
      </c>
      <c r="F8" t="s">
        <v>3320</v>
      </c>
      <c r="G8" t="s">
        <v>3315</v>
      </c>
      <c r="I8" t="s">
        <v>1751</v>
      </c>
      <c r="M8" t="s">
        <v>153</v>
      </c>
      <c r="N8" s="1" t="s">
        <v>3805</v>
      </c>
      <c r="O8" t="s">
        <v>154</v>
      </c>
    </row>
    <row r="9" spans="1:17">
      <c r="B9" t="s">
        <v>3028</v>
      </c>
      <c r="C9" t="s">
        <v>3407</v>
      </c>
      <c r="E9" t="s">
        <v>3319</v>
      </c>
      <c r="F9" t="s">
        <v>3315</v>
      </c>
      <c r="I9" t="s">
        <v>1104</v>
      </c>
      <c r="J9" t="s">
        <v>1752</v>
      </c>
      <c r="M9" t="s">
        <v>153</v>
      </c>
      <c r="N9" s="1" t="s">
        <v>3805</v>
      </c>
      <c r="O9" t="s">
        <v>170</v>
      </c>
      <c r="P9" t="s">
        <v>45</v>
      </c>
      <c r="Q9" t="s">
        <v>7</v>
      </c>
    </row>
    <row r="10" spans="1:17">
      <c r="B10" t="s">
        <v>3029</v>
      </c>
      <c r="C10" t="s">
        <v>1732</v>
      </c>
      <c r="E10" t="s">
        <v>3319</v>
      </c>
      <c r="F10" t="s">
        <v>3320</v>
      </c>
      <c r="G10" t="s">
        <v>3302</v>
      </c>
      <c r="I10" t="s">
        <v>1753</v>
      </c>
      <c r="J10" t="s">
        <v>1754</v>
      </c>
      <c r="N10" s="1" t="s">
        <v>3805</v>
      </c>
      <c r="O10" t="s">
        <v>157</v>
      </c>
      <c r="P10" t="s">
        <v>11</v>
      </c>
      <c r="Q10" t="s">
        <v>7</v>
      </c>
    </row>
    <row r="11" spans="1:17">
      <c r="B11" t="s">
        <v>3030</v>
      </c>
      <c r="C11" t="s">
        <v>1732</v>
      </c>
      <c r="E11" t="s">
        <v>3319</v>
      </c>
      <c r="F11" t="s">
        <v>3320</v>
      </c>
      <c r="G11" t="s">
        <v>3291</v>
      </c>
      <c r="I11" t="s">
        <v>1148</v>
      </c>
      <c r="J11" t="s">
        <v>1755</v>
      </c>
      <c r="N11" s="1" t="s">
        <v>3805</v>
      </c>
      <c r="O11" t="s">
        <v>154</v>
      </c>
      <c r="P11" t="s">
        <v>38</v>
      </c>
      <c r="Q11" t="s">
        <v>7</v>
      </c>
    </row>
    <row r="12" spans="1:17">
      <c r="B12" t="s">
        <v>3031</v>
      </c>
      <c r="C12" t="s">
        <v>1732</v>
      </c>
      <c r="E12" t="s">
        <v>3319</v>
      </c>
      <c r="F12" t="s">
        <v>3320</v>
      </c>
      <c r="G12" t="s">
        <v>3302</v>
      </c>
      <c r="I12" t="s">
        <v>1819</v>
      </c>
      <c r="N12" s="1" t="s">
        <v>3473</v>
      </c>
      <c r="O12" t="s">
        <v>154</v>
      </c>
      <c r="P12" t="s">
        <v>35</v>
      </c>
      <c r="Q12" t="s">
        <v>7</v>
      </c>
    </row>
    <row r="13" spans="1:17">
      <c r="B13" t="s">
        <v>3032</v>
      </c>
      <c r="C13" t="s">
        <v>1732</v>
      </c>
      <c r="E13" t="s">
        <v>3319</v>
      </c>
      <c r="F13" t="s">
        <v>3320</v>
      </c>
      <c r="G13" t="s">
        <v>3311</v>
      </c>
      <c r="I13" t="s">
        <v>1820</v>
      </c>
      <c r="N13" s="1" t="s">
        <v>3805</v>
      </c>
      <c r="O13" t="s">
        <v>162</v>
      </c>
      <c r="P13" t="s">
        <v>179</v>
      </c>
      <c r="Q13" t="s">
        <v>7</v>
      </c>
    </row>
    <row r="14" spans="1:17">
      <c r="A14" s="9"/>
      <c r="B14" s="9" t="s">
        <v>3033</v>
      </c>
      <c r="C14" s="9" t="s">
        <v>1821</v>
      </c>
      <c r="D14" s="9"/>
      <c r="E14" s="9" t="s">
        <v>3319</v>
      </c>
      <c r="F14" s="9" t="s">
        <v>3320</v>
      </c>
      <c r="G14" s="9" t="s">
        <v>3286</v>
      </c>
      <c r="H14" s="9"/>
      <c r="I14" s="9" t="s">
        <v>1756</v>
      </c>
      <c r="J14" s="9" t="s">
        <v>1757</v>
      </c>
      <c r="K14" s="9"/>
      <c r="L14" s="9"/>
      <c r="M14" s="9"/>
      <c r="N14" s="12" t="s">
        <v>3473</v>
      </c>
      <c r="O14" s="9" t="s">
        <v>164</v>
      </c>
      <c r="P14" s="9" t="s">
        <v>32</v>
      </c>
      <c r="Q14" s="9" t="s">
        <v>7</v>
      </c>
    </row>
    <row r="15" spans="1:17">
      <c r="B15" t="s">
        <v>3034</v>
      </c>
      <c r="C15" t="s">
        <v>1732</v>
      </c>
      <c r="E15" t="s">
        <v>3319</v>
      </c>
      <c r="F15" t="s">
        <v>3320</v>
      </c>
      <c r="G15" t="s">
        <v>3302</v>
      </c>
      <c r="I15" t="s">
        <v>1758</v>
      </c>
      <c r="J15" t="s">
        <v>1759</v>
      </c>
      <c r="N15" s="1" t="s">
        <v>3805</v>
      </c>
      <c r="O15" t="s">
        <v>156</v>
      </c>
      <c r="P15" t="s">
        <v>30</v>
      </c>
      <c r="Q15" t="s">
        <v>7</v>
      </c>
    </row>
    <row r="16" spans="1:17">
      <c r="B16" t="s">
        <v>3035</v>
      </c>
      <c r="C16" t="s">
        <v>1732</v>
      </c>
      <c r="E16" t="s">
        <v>3319</v>
      </c>
      <c r="F16" t="s">
        <v>3320</v>
      </c>
      <c r="G16" t="s">
        <v>3287</v>
      </c>
      <c r="I16" t="s">
        <v>1760</v>
      </c>
      <c r="N16" s="1" t="s">
        <v>3805</v>
      </c>
      <c r="O16" t="s">
        <v>162</v>
      </c>
      <c r="P16" t="s">
        <v>174</v>
      </c>
      <c r="Q16" t="s">
        <v>7</v>
      </c>
    </row>
    <row r="17" spans="2:17">
      <c r="B17" t="s">
        <v>3036</v>
      </c>
      <c r="C17" t="s">
        <v>1732</v>
      </c>
      <c r="E17" t="s">
        <v>3319</v>
      </c>
      <c r="F17" t="s">
        <v>3320</v>
      </c>
      <c r="G17" t="s">
        <v>3302</v>
      </c>
      <c r="I17" t="s">
        <v>1761</v>
      </c>
      <c r="J17" t="s">
        <v>1762</v>
      </c>
      <c r="N17" s="1" t="s">
        <v>3805</v>
      </c>
      <c r="O17" t="s">
        <v>154</v>
      </c>
      <c r="P17" t="s">
        <v>29</v>
      </c>
      <c r="Q17" t="s">
        <v>7</v>
      </c>
    </row>
    <row r="18" spans="2:17">
      <c r="B18" t="s">
        <v>3037</v>
      </c>
      <c r="C18" t="s">
        <v>1821</v>
      </c>
      <c r="E18" t="s">
        <v>3319</v>
      </c>
      <c r="F18" t="s">
        <v>3320</v>
      </c>
      <c r="G18" t="s">
        <v>3297</v>
      </c>
      <c r="I18" t="s">
        <v>1763</v>
      </c>
      <c r="N18" s="1" t="s">
        <v>3805</v>
      </c>
      <c r="O18" t="s">
        <v>162</v>
      </c>
      <c r="P18" t="s">
        <v>27</v>
      </c>
      <c r="Q18" t="s">
        <v>7</v>
      </c>
    </row>
    <row r="19" spans="2:17">
      <c r="B19" t="s">
        <v>3038</v>
      </c>
      <c r="C19" t="s">
        <v>1732</v>
      </c>
      <c r="E19" t="s">
        <v>3319</v>
      </c>
      <c r="F19" t="s">
        <v>3320</v>
      </c>
      <c r="G19" t="s">
        <v>3286</v>
      </c>
      <c r="I19" t="s">
        <v>1812</v>
      </c>
      <c r="N19" s="1" t="s">
        <v>3805</v>
      </c>
      <c r="O19" t="s">
        <v>154</v>
      </c>
      <c r="P19" t="s">
        <v>46</v>
      </c>
      <c r="Q19" t="s">
        <v>7</v>
      </c>
    </row>
    <row r="20" spans="2:17">
      <c r="B20" t="s">
        <v>3039</v>
      </c>
      <c r="C20" t="s">
        <v>1732</v>
      </c>
      <c r="E20" t="s">
        <v>3319</v>
      </c>
      <c r="F20" t="s">
        <v>3320</v>
      </c>
      <c r="G20" t="s">
        <v>3291</v>
      </c>
      <c r="H20" t="s">
        <v>3315</v>
      </c>
      <c r="I20" t="s">
        <v>1822</v>
      </c>
      <c r="J20" t="s">
        <v>1764</v>
      </c>
      <c r="M20" t="s">
        <v>153</v>
      </c>
      <c r="N20" s="1" t="s">
        <v>3805</v>
      </c>
      <c r="O20" t="s">
        <v>154</v>
      </c>
    </row>
    <row r="21" spans="2:17">
      <c r="B21" t="s">
        <v>3040</v>
      </c>
      <c r="C21" t="s">
        <v>3407</v>
      </c>
      <c r="E21" t="s">
        <v>3319</v>
      </c>
      <c r="F21" t="s">
        <v>3315</v>
      </c>
      <c r="I21" t="s">
        <v>1765</v>
      </c>
      <c r="J21" t="s">
        <v>1766</v>
      </c>
      <c r="M21" t="s">
        <v>153</v>
      </c>
      <c r="N21" s="1" t="s">
        <v>3805</v>
      </c>
      <c r="O21" t="s">
        <v>170</v>
      </c>
      <c r="P21" t="s">
        <v>46</v>
      </c>
      <c r="Q21" t="s">
        <v>7</v>
      </c>
    </row>
    <row r="22" spans="2:17">
      <c r="B22" t="s">
        <v>3041</v>
      </c>
      <c r="C22" t="s">
        <v>1732</v>
      </c>
      <c r="E22" t="s">
        <v>3319</v>
      </c>
      <c r="F22" t="s">
        <v>3320</v>
      </c>
      <c r="G22" t="s">
        <v>3307</v>
      </c>
      <c r="I22" t="s">
        <v>1767</v>
      </c>
      <c r="J22" t="s">
        <v>1768</v>
      </c>
      <c r="N22" s="1" t="s">
        <v>3473</v>
      </c>
      <c r="O22" t="s">
        <v>156</v>
      </c>
      <c r="P22" t="s">
        <v>46</v>
      </c>
      <c r="Q22" t="s">
        <v>7</v>
      </c>
    </row>
    <row r="23" spans="2:17">
      <c r="B23" t="s">
        <v>3042</v>
      </c>
      <c r="C23" t="s">
        <v>1732</v>
      </c>
      <c r="E23" t="s">
        <v>3319</v>
      </c>
      <c r="F23" t="s">
        <v>3320</v>
      </c>
      <c r="G23" t="s">
        <v>3299</v>
      </c>
      <c r="I23" t="s">
        <v>1769</v>
      </c>
      <c r="N23" s="1" t="s">
        <v>3805</v>
      </c>
      <c r="O23" t="s">
        <v>162</v>
      </c>
      <c r="P23" t="s">
        <v>50</v>
      </c>
      <c r="Q23" t="s">
        <v>7</v>
      </c>
    </row>
    <row r="24" spans="2:17">
      <c r="B24" t="s">
        <v>3043</v>
      </c>
      <c r="C24" t="s">
        <v>1732</v>
      </c>
      <c r="E24" t="s">
        <v>3319</v>
      </c>
      <c r="F24" t="s">
        <v>3320</v>
      </c>
      <c r="G24" t="s">
        <v>3291</v>
      </c>
      <c r="I24" t="s">
        <v>1770</v>
      </c>
      <c r="J24" t="s">
        <v>1771</v>
      </c>
      <c r="N24" s="1" t="s">
        <v>3473</v>
      </c>
      <c r="O24" t="s">
        <v>616</v>
      </c>
      <c r="P24" t="s">
        <v>17</v>
      </c>
      <c r="Q24" t="s">
        <v>7</v>
      </c>
    </row>
    <row r="25" spans="2:17">
      <c r="B25" t="s">
        <v>3044</v>
      </c>
      <c r="C25" t="s">
        <v>1823</v>
      </c>
      <c r="E25" t="s">
        <v>3319</v>
      </c>
      <c r="F25" t="s">
        <v>3320</v>
      </c>
      <c r="G25" t="s">
        <v>3311</v>
      </c>
      <c r="I25" t="s">
        <v>1772</v>
      </c>
      <c r="N25" s="1" t="s">
        <v>3473</v>
      </c>
      <c r="O25" t="s">
        <v>162</v>
      </c>
      <c r="P25" t="s">
        <v>610</v>
      </c>
      <c r="Q25" t="s">
        <v>7</v>
      </c>
    </row>
    <row r="26" spans="2:17">
      <c r="B26" t="s">
        <v>3045</v>
      </c>
      <c r="C26" t="s">
        <v>1739</v>
      </c>
      <c r="E26" t="s">
        <v>3319</v>
      </c>
      <c r="F26" t="s">
        <v>3320</v>
      </c>
      <c r="G26" t="s">
        <v>3287</v>
      </c>
      <c r="I26" t="s">
        <v>1814</v>
      </c>
      <c r="J26" t="s">
        <v>1813</v>
      </c>
      <c r="K26" t="s">
        <v>1815</v>
      </c>
      <c r="N26" s="1" t="s">
        <v>3810</v>
      </c>
      <c r="O26" t="s">
        <v>154</v>
      </c>
      <c r="P26" t="s">
        <v>33</v>
      </c>
      <c r="Q26" t="s">
        <v>7</v>
      </c>
    </row>
    <row r="27" spans="2:17">
      <c r="B27" t="s">
        <v>3046</v>
      </c>
      <c r="C27" t="s">
        <v>1739</v>
      </c>
      <c r="E27" t="s">
        <v>3319</v>
      </c>
      <c r="F27" t="s">
        <v>3320</v>
      </c>
      <c r="G27" t="s">
        <v>3291</v>
      </c>
      <c r="I27" t="s">
        <v>1824</v>
      </c>
      <c r="J27" t="s">
        <v>1773</v>
      </c>
      <c r="N27" s="1" t="s">
        <v>3805</v>
      </c>
      <c r="O27" t="s">
        <v>164</v>
      </c>
      <c r="P27" t="s">
        <v>38</v>
      </c>
      <c r="Q27" t="s">
        <v>7</v>
      </c>
    </row>
    <row r="28" spans="2:17">
      <c r="B28" t="s">
        <v>3047</v>
      </c>
      <c r="C28" t="s">
        <v>1823</v>
      </c>
      <c r="E28" t="s">
        <v>3319</v>
      </c>
      <c r="F28" t="s">
        <v>3320</v>
      </c>
      <c r="G28" t="s">
        <v>3291</v>
      </c>
      <c r="I28" t="s">
        <v>20</v>
      </c>
      <c r="J28" t="s">
        <v>1774</v>
      </c>
      <c r="N28" s="1" t="s">
        <v>3473</v>
      </c>
      <c r="O28" t="s">
        <v>170</v>
      </c>
      <c r="P28" t="s">
        <v>35</v>
      </c>
      <c r="Q28" t="s">
        <v>7</v>
      </c>
    </row>
    <row r="29" spans="2:17">
      <c r="B29" t="s">
        <v>3048</v>
      </c>
      <c r="C29" t="s">
        <v>1739</v>
      </c>
      <c r="E29" t="s">
        <v>3319</v>
      </c>
      <c r="F29" t="s">
        <v>3320</v>
      </c>
      <c r="G29" t="s">
        <v>3302</v>
      </c>
      <c r="I29" t="s">
        <v>1711</v>
      </c>
      <c r="N29" s="1" t="s">
        <v>3805</v>
      </c>
      <c r="O29" t="s">
        <v>156</v>
      </c>
      <c r="P29" t="s">
        <v>176</v>
      </c>
      <c r="Q29" t="s">
        <v>7</v>
      </c>
    </row>
    <row r="30" spans="2:17">
      <c r="B30" t="s">
        <v>3049</v>
      </c>
      <c r="C30" t="s">
        <v>1739</v>
      </c>
      <c r="E30" t="s">
        <v>3319</v>
      </c>
      <c r="F30" t="s">
        <v>3320</v>
      </c>
      <c r="G30" t="s">
        <v>3294</v>
      </c>
      <c r="I30" t="s">
        <v>1775</v>
      </c>
      <c r="J30" t="s">
        <v>1776</v>
      </c>
      <c r="N30" s="1" t="s">
        <v>3805</v>
      </c>
      <c r="O30" t="s">
        <v>161</v>
      </c>
      <c r="P30" t="s">
        <v>48</v>
      </c>
      <c r="Q30" t="s">
        <v>7</v>
      </c>
    </row>
    <row r="31" spans="2:17">
      <c r="B31" t="s">
        <v>3050</v>
      </c>
      <c r="C31" t="s">
        <v>1739</v>
      </c>
      <c r="E31" t="s">
        <v>3319</v>
      </c>
      <c r="F31" t="s">
        <v>3320</v>
      </c>
      <c r="G31" t="s">
        <v>3297</v>
      </c>
      <c r="I31" t="s">
        <v>1534</v>
      </c>
      <c r="J31" t="s">
        <v>1777</v>
      </c>
      <c r="N31" s="1" t="s">
        <v>3473</v>
      </c>
      <c r="O31" t="s">
        <v>166</v>
      </c>
      <c r="P31" t="s">
        <v>30</v>
      </c>
      <c r="Q31" t="s">
        <v>7</v>
      </c>
    </row>
    <row r="32" spans="2:17">
      <c r="B32" t="s">
        <v>3051</v>
      </c>
      <c r="C32" t="s">
        <v>1823</v>
      </c>
      <c r="E32" t="s">
        <v>3319</v>
      </c>
      <c r="F32" t="s">
        <v>3320</v>
      </c>
      <c r="G32" t="s">
        <v>3285</v>
      </c>
      <c r="I32" t="s">
        <v>1778</v>
      </c>
      <c r="N32" s="1" t="s">
        <v>3473</v>
      </c>
      <c r="O32" t="s">
        <v>162</v>
      </c>
      <c r="P32" t="s">
        <v>186</v>
      </c>
      <c r="Q32" t="s">
        <v>7</v>
      </c>
    </row>
    <row r="33" spans="1:17">
      <c r="B33" t="s">
        <v>3052</v>
      </c>
      <c r="C33" t="s">
        <v>1739</v>
      </c>
      <c r="E33" t="s">
        <v>3319</v>
      </c>
      <c r="F33" t="s">
        <v>3320</v>
      </c>
      <c r="G33" t="s">
        <v>3315</v>
      </c>
      <c r="I33" t="s">
        <v>1779</v>
      </c>
      <c r="J33" t="s">
        <v>1780</v>
      </c>
      <c r="M33" t="s">
        <v>153</v>
      </c>
      <c r="N33" s="1" t="s">
        <v>3805</v>
      </c>
      <c r="O33" t="s">
        <v>164</v>
      </c>
    </row>
    <row r="34" spans="1:17">
      <c r="B34" t="s">
        <v>3053</v>
      </c>
      <c r="C34" t="s">
        <v>3407</v>
      </c>
      <c r="E34" t="s">
        <v>3319</v>
      </c>
      <c r="F34" t="s">
        <v>3315</v>
      </c>
      <c r="I34" t="s">
        <v>1781</v>
      </c>
      <c r="J34" t="s">
        <v>1782</v>
      </c>
      <c r="M34" t="s">
        <v>153</v>
      </c>
      <c r="N34" s="1" t="s">
        <v>3805</v>
      </c>
      <c r="O34" t="s">
        <v>172</v>
      </c>
      <c r="P34" t="s">
        <v>46</v>
      </c>
      <c r="Q34" t="s">
        <v>7</v>
      </c>
    </row>
    <row r="35" spans="1:17">
      <c r="B35" t="s">
        <v>3054</v>
      </c>
      <c r="C35" t="s">
        <v>1739</v>
      </c>
      <c r="E35" t="s">
        <v>3319</v>
      </c>
      <c r="F35" t="s">
        <v>3320</v>
      </c>
      <c r="G35" t="s">
        <v>3302</v>
      </c>
      <c r="I35" t="s">
        <v>1783</v>
      </c>
      <c r="N35" s="1" t="s">
        <v>3473</v>
      </c>
      <c r="O35" t="s">
        <v>156</v>
      </c>
      <c r="P35" t="s">
        <v>183</v>
      </c>
      <c r="Q35" t="s">
        <v>7</v>
      </c>
    </row>
    <row r="36" spans="1:17">
      <c r="B36" t="s">
        <v>3055</v>
      </c>
      <c r="C36" t="s">
        <v>1739</v>
      </c>
      <c r="E36" t="s">
        <v>3319</v>
      </c>
      <c r="F36" t="s">
        <v>3320</v>
      </c>
      <c r="G36" t="s">
        <v>3302</v>
      </c>
      <c r="I36" t="s">
        <v>1784</v>
      </c>
      <c r="N36" s="1" t="s">
        <v>3473</v>
      </c>
      <c r="O36" t="s">
        <v>154</v>
      </c>
      <c r="P36" t="s">
        <v>174</v>
      </c>
      <c r="Q36" t="s">
        <v>7</v>
      </c>
    </row>
    <row r="37" spans="1:17">
      <c r="B37" t="s">
        <v>3056</v>
      </c>
      <c r="C37" t="s">
        <v>1739</v>
      </c>
      <c r="E37" t="s">
        <v>3319</v>
      </c>
      <c r="F37" t="s">
        <v>3320</v>
      </c>
      <c r="G37" t="s">
        <v>3297</v>
      </c>
      <c r="I37" t="s">
        <v>1825</v>
      </c>
      <c r="J37" t="s">
        <v>1785</v>
      </c>
      <c r="N37" s="1" t="s">
        <v>3805</v>
      </c>
      <c r="O37" t="s">
        <v>164</v>
      </c>
      <c r="P37" t="s">
        <v>8</v>
      </c>
      <c r="Q37" t="s">
        <v>7</v>
      </c>
    </row>
    <row r="38" spans="1:17">
      <c r="B38" t="s">
        <v>3057</v>
      </c>
      <c r="C38" t="s">
        <v>1739</v>
      </c>
      <c r="E38" t="s">
        <v>3319</v>
      </c>
      <c r="F38" t="s">
        <v>3320</v>
      </c>
      <c r="G38" t="s">
        <v>3294</v>
      </c>
      <c r="I38" t="s">
        <v>1786</v>
      </c>
      <c r="N38" s="1" t="s">
        <v>3805</v>
      </c>
      <c r="O38" t="s">
        <v>154</v>
      </c>
      <c r="P38" t="s">
        <v>15</v>
      </c>
      <c r="Q38" t="s">
        <v>7</v>
      </c>
    </row>
    <row r="39" spans="1:17">
      <c r="A39" s="9"/>
      <c r="B39" s="9" t="s">
        <v>3058</v>
      </c>
      <c r="C39" s="9" t="s">
        <v>1739</v>
      </c>
      <c r="D39" s="9"/>
      <c r="E39" s="9" t="s">
        <v>3319</v>
      </c>
      <c r="F39" s="9" t="s">
        <v>3320</v>
      </c>
      <c r="G39" s="9" t="s">
        <v>3300</v>
      </c>
      <c r="H39" s="9"/>
      <c r="I39" s="9" t="s">
        <v>1787</v>
      </c>
      <c r="J39" s="9" t="s">
        <v>1788</v>
      </c>
      <c r="K39" s="9"/>
      <c r="L39" s="9"/>
      <c r="M39" s="9"/>
      <c r="N39" s="12" t="s">
        <v>3473</v>
      </c>
      <c r="O39" s="9" t="s">
        <v>156</v>
      </c>
      <c r="P39" s="9" t="s">
        <v>39</v>
      </c>
      <c r="Q39" s="9" t="s">
        <v>7</v>
      </c>
    </row>
    <row r="40" spans="1:17">
      <c r="B40" t="s">
        <v>3059</v>
      </c>
      <c r="C40" t="s">
        <v>1739</v>
      </c>
      <c r="E40" t="s">
        <v>3319</v>
      </c>
      <c r="F40" t="s">
        <v>3320</v>
      </c>
      <c r="G40" t="s">
        <v>3286</v>
      </c>
      <c r="I40" t="s">
        <v>1789</v>
      </c>
      <c r="J40" t="s">
        <v>1826</v>
      </c>
      <c r="N40" s="1" t="s">
        <v>3473</v>
      </c>
      <c r="O40" t="s">
        <v>156</v>
      </c>
      <c r="P40" t="s">
        <v>32</v>
      </c>
      <c r="Q40" t="s">
        <v>7</v>
      </c>
    </row>
    <row r="41" spans="1:17">
      <c r="B41" t="s">
        <v>3060</v>
      </c>
      <c r="C41" t="s">
        <v>1739</v>
      </c>
      <c r="E41" t="s">
        <v>3319</v>
      </c>
      <c r="F41" t="s">
        <v>3320</v>
      </c>
      <c r="G41" t="s">
        <v>3294</v>
      </c>
      <c r="I41" t="s">
        <v>1790</v>
      </c>
      <c r="N41" s="1" t="s">
        <v>3805</v>
      </c>
      <c r="O41" t="s">
        <v>156</v>
      </c>
      <c r="P41" t="s">
        <v>184</v>
      </c>
      <c r="Q41" t="s">
        <v>7</v>
      </c>
    </row>
    <row r="42" spans="1:17">
      <c r="B42" t="s">
        <v>3061</v>
      </c>
      <c r="C42" t="s">
        <v>1739</v>
      </c>
      <c r="E42" t="s">
        <v>3319</v>
      </c>
      <c r="F42" t="s">
        <v>3320</v>
      </c>
      <c r="G42" t="s">
        <v>3315</v>
      </c>
      <c r="I42" t="s">
        <v>1791</v>
      </c>
      <c r="M42" t="s">
        <v>153</v>
      </c>
      <c r="N42" s="1" t="s">
        <v>3805</v>
      </c>
      <c r="O42" t="s">
        <v>157</v>
      </c>
    </row>
    <row r="43" spans="1:17">
      <c r="B43" t="s">
        <v>3062</v>
      </c>
      <c r="C43" t="s">
        <v>3407</v>
      </c>
      <c r="E43" t="s">
        <v>3319</v>
      </c>
      <c r="F43" t="s">
        <v>3315</v>
      </c>
      <c r="I43" t="s">
        <v>1792</v>
      </c>
      <c r="J43" t="s">
        <v>1793</v>
      </c>
      <c r="M43" t="s">
        <v>153</v>
      </c>
      <c r="N43" s="1" t="s">
        <v>3805</v>
      </c>
      <c r="O43" t="s">
        <v>962</v>
      </c>
      <c r="P43" t="s">
        <v>44</v>
      </c>
      <c r="Q43" t="s">
        <v>7</v>
      </c>
    </row>
    <row r="44" spans="1:17">
      <c r="B44" t="s">
        <v>3063</v>
      </c>
      <c r="C44" t="s">
        <v>1739</v>
      </c>
      <c r="E44" t="s">
        <v>3319</v>
      </c>
      <c r="F44" t="s">
        <v>3320</v>
      </c>
      <c r="G44" t="s">
        <v>3302</v>
      </c>
      <c r="I44" t="s">
        <v>1827</v>
      </c>
      <c r="N44" s="1" t="s">
        <v>3805</v>
      </c>
      <c r="O44" t="s">
        <v>154</v>
      </c>
      <c r="P44" t="s">
        <v>29</v>
      </c>
      <c r="Q44" t="s">
        <v>7</v>
      </c>
    </row>
    <row r="45" spans="1:17">
      <c r="B45" t="s">
        <v>3064</v>
      </c>
      <c r="C45" t="s">
        <v>1823</v>
      </c>
      <c r="E45" t="s">
        <v>3319</v>
      </c>
      <c r="F45" t="s">
        <v>3320</v>
      </c>
      <c r="G45" t="s">
        <v>3294</v>
      </c>
      <c r="I45" t="s">
        <v>1794</v>
      </c>
      <c r="J45" t="s">
        <v>1795</v>
      </c>
      <c r="M45" t="s">
        <v>153</v>
      </c>
      <c r="N45" s="1" t="s">
        <v>3805</v>
      </c>
      <c r="O45" t="s">
        <v>154</v>
      </c>
    </row>
    <row r="46" spans="1:17">
      <c r="B46" t="s">
        <v>3065</v>
      </c>
      <c r="C46" t="s">
        <v>1823</v>
      </c>
      <c r="E46" t="s">
        <v>3323</v>
      </c>
      <c r="F46" t="s">
        <v>3325</v>
      </c>
      <c r="I46" t="s">
        <v>20</v>
      </c>
      <c r="J46" t="s">
        <v>1796</v>
      </c>
      <c r="M46" t="s">
        <v>153</v>
      </c>
      <c r="N46" s="1" t="s">
        <v>3805</v>
      </c>
      <c r="O46" t="s">
        <v>618</v>
      </c>
      <c r="P46" t="s">
        <v>188</v>
      </c>
      <c r="Q46" t="s">
        <v>7</v>
      </c>
    </row>
    <row r="47" spans="1:17">
      <c r="B47" t="s">
        <v>3066</v>
      </c>
      <c r="C47" t="s">
        <v>1739</v>
      </c>
      <c r="E47" t="s">
        <v>3319</v>
      </c>
      <c r="F47" t="s">
        <v>3320</v>
      </c>
      <c r="G47" t="s">
        <v>3311</v>
      </c>
      <c r="I47" t="s">
        <v>1816</v>
      </c>
      <c r="J47" t="s">
        <v>203</v>
      </c>
      <c r="N47" s="1" t="s">
        <v>3805</v>
      </c>
      <c r="O47" t="s">
        <v>154</v>
      </c>
      <c r="P47" t="s">
        <v>15</v>
      </c>
      <c r="Q47" t="s">
        <v>7</v>
      </c>
    </row>
    <row r="48" spans="1:17">
      <c r="B48" t="s">
        <v>3067</v>
      </c>
      <c r="C48" t="s">
        <v>1739</v>
      </c>
      <c r="E48" t="s">
        <v>3319</v>
      </c>
      <c r="F48" t="s">
        <v>3320</v>
      </c>
      <c r="G48" t="s">
        <v>3297</v>
      </c>
      <c r="I48" t="s">
        <v>1797</v>
      </c>
      <c r="N48" s="1" t="s">
        <v>3805</v>
      </c>
      <c r="O48" t="s">
        <v>154</v>
      </c>
      <c r="P48" t="s">
        <v>174</v>
      </c>
      <c r="Q48" t="s">
        <v>7</v>
      </c>
    </row>
    <row r="49" spans="2:17">
      <c r="B49" t="s">
        <v>3068</v>
      </c>
      <c r="C49" t="s">
        <v>1741</v>
      </c>
      <c r="E49" t="s">
        <v>3319</v>
      </c>
      <c r="F49" t="s">
        <v>3320</v>
      </c>
      <c r="G49" t="s">
        <v>3291</v>
      </c>
      <c r="I49" t="s">
        <v>1828</v>
      </c>
      <c r="N49" s="1" t="s">
        <v>3473</v>
      </c>
      <c r="O49" t="s">
        <v>170</v>
      </c>
      <c r="P49" t="s">
        <v>28</v>
      </c>
      <c r="Q49" t="s">
        <v>7</v>
      </c>
    </row>
    <row r="50" spans="2:17">
      <c r="B50" t="s">
        <v>3069</v>
      </c>
      <c r="C50" t="s">
        <v>1741</v>
      </c>
      <c r="E50" t="s">
        <v>3319</v>
      </c>
      <c r="F50" t="s">
        <v>3320</v>
      </c>
      <c r="G50" t="s">
        <v>3291</v>
      </c>
      <c r="I50" t="s">
        <v>1798</v>
      </c>
      <c r="J50" t="s">
        <v>1799</v>
      </c>
      <c r="N50" s="1" t="s">
        <v>3473</v>
      </c>
      <c r="O50" t="s">
        <v>170</v>
      </c>
      <c r="P50" t="s">
        <v>46</v>
      </c>
      <c r="Q50" t="s">
        <v>7</v>
      </c>
    </row>
    <row r="51" spans="2:17">
      <c r="B51" t="s">
        <v>3070</v>
      </c>
      <c r="C51" t="s">
        <v>1741</v>
      </c>
      <c r="E51" t="s">
        <v>3319</v>
      </c>
      <c r="F51" t="s">
        <v>3320</v>
      </c>
      <c r="G51" t="s">
        <v>3302</v>
      </c>
      <c r="I51" t="s">
        <v>1800</v>
      </c>
      <c r="J51" t="s">
        <v>1829</v>
      </c>
      <c r="N51" s="1" t="s">
        <v>3805</v>
      </c>
      <c r="O51" t="s">
        <v>154</v>
      </c>
      <c r="P51" t="s">
        <v>177</v>
      </c>
      <c r="Q51" t="s">
        <v>7</v>
      </c>
    </row>
    <row r="52" spans="2:17">
      <c r="B52" t="s">
        <v>3071</v>
      </c>
      <c r="C52" t="s">
        <v>1741</v>
      </c>
      <c r="E52" t="s">
        <v>3319</v>
      </c>
      <c r="F52" t="s">
        <v>3320</v>
      </c>
      <c r="G52" t="s">
        <v>3299</v>
      </c>
      <c r="I52" t="s">
        <v>3811</v>
      </c>
      <c r="J52" t="s">
        <v>1801</v>
      </c>
      <c r="N52" s="1" t="s">
        <v>3473</v>
      </c>
      <c r="O52" t="s">
        <v>156</v>
      </c>
      <c r="P52" t="s">
        <v>611</v>
      </c>
      <c r="Q52" t="s">
        <v>7</v>
      </c>
    </row>
    <row r="53" spans="2:17">
      <c r="B53" t="s">
        <v>3072</v>
      </c>
      <c r="C53" t="s">
        <v>1741</v>
      </c>
      <c r="E53" t="s">
        <v>3319</v>
      </c>
      <c r="F53" t="s">
        <v>3320</v>
      </c>
      <c r="G53" t="s">
        <v>3302</v>
      </c>
      <c r="H53" t="s">
        <v>3291</v>
      </c>
      <c r="I53" t="s">
        <v>1802</v>
      </c>
      <c r="J53" t="s">
        <v>298</v>
      </c>
      <c r="N53" s="1" t="s">
        <v>3805</v>
      </c>
      <c r="O53" t="s">
        <v>154</v>
      </c>
      <c r="P53" t="s">
        <v>15</v>
      </c>
      <c r="Q53" t="s">
        <v>7</v>
      </c>
    </row>
    <row r="54" spans="2:17">
      <c r="B54" t="s">
        <v>3073</v>
      </c>
      <c r="C54" t="s">
        <v>1742</v>
      </c>
      <c r="E54" t="s">
        <v>3319</v>
      </c>
      <c r="F54" t="s">
        <v>3320</v>
      </c>
      <c r="G54" t="s">
        <v>3311</v>
      </c>
      <c r="I54" t="s">
        <v>23</v>
      </c>
      <c r="J54" t="s">
        <v>1803</v>
      </c>
      <c r="N54" s="1" t="s">
        <v>3805</v>
      </c>
      <c r="O54" t="s">
        <v>168</v>
      </c>
      <c r="P54" t="s">
        <v>32</v>
      </c>
      <c r="Q54" t="s">
        <v>7</v>
      </c>
    </row>
    <row r="55" spans="2:17">
      <c r="B55" t="s">
        <v>3074</v>
      </c>
      <c r="C55" t="s">
        <v>1742</v>
      </c>
      <c r="E55" t="s">
        <v>3319</v>
      </c>
      <c r="F55" t="s">
        <v>3320</v>
      </c>
      <c r="G55" t="s">
        <v>3311</v>
      </c>
      <c r="H55" t="s">
        <v>3315</v>
      </c>
      <c r="I55" t="s">
        <v>1804</v>
      </c>
      <c r="M55" t="s">
        <v>153</v>
      </c>
      <c r="N55" s="1" t="s">
        <v>3805</v>
      </c>
      <c r="O55" t="s">
        <v>170</v>
      </c>
    </row>
    <row r="56" spans="2:17">
      <c r="B56" t="s">
        <v>3075</v>
      </c>
      <c r="C56" t="s">
        <v>3407</v>
      </c>
      <c r="E56" t="s">
        <v>3319</v>
      </c>
      <c r="F56" t="s">
        <v>3315</v>
      </c>
      <c r="I56" t="s">
        <v>1830</v>
      </c>
      <c r="J56" t="s">
        <v>1805</v>
      </c>
      <c r="M56" t="s">
        <v>153</v>
      </c>
      <c r="N56" s="1" t="s">
        <v>3805</v>
      </c>
      <c r="O56" t="s">
        <v>1204</v>
      </c>
      <c r="P56" t="s">
        <v>45</v>
      </c>
      <c r="Q56" t="s">
        <v>7</v>
      </c>
    </row>
    <row r="57" spans="2:17">
      <c r="B57" t="s">
        <v>3076</v>
      </c>
      <c r="C57" t="s">
        <v>1741</v>
      </c>
      <c r="E57" t="s">
        <v>3319</v>
      </c>
      <c r="F57" t="s">
        <v>3320</v>
      </c>
      <c r="G57" t="s">
        <v>3302</v>
      </c>
      <c r="I57" t="s">
        <v>1831</v>
      </c>
      <c r="N57" s="1" t="s">
        <v>3805</v>
      </c>
      <c r="O57" t="s">
        <v>166</v>
      </c>
      <c r="P57" t="s">
        <v>14</v>
      </c>
      <c r="Q57" t="s">
        <v>7</v>
      </c>
    </row>
    <row r="58" spans="2:17">
      <c r="B58" t="s">
        <v>3077</v>
      </c>
      <c r="C58" t="s">
        <v>1741</v>
      </c>
      <c r="E58" t="s">
        <v>3319</v>
      </c>
      <c r="F58" t="s">
        <v>3320</v>
      </c>
      <c r="G58" t="s">
        <v>3291</v>
      </c>
      <c r="I58" t="s">
        <v>1806</v>
      </c>
      <c r="N58" s="1" t="s">
        <v>3805</v>
      </c>
      <c r="O58" t="s">
        <v>170</v>
      </c>
      <c r="P58" t="s">
        <v>53</v>
      </c>
      <c r="Q58" t="s">
        <v>7</v>
      </c>
    </row>
    <row r="59" spans="2:17">
      <c r="B59" t="s">
        <v>3078</v>
      </c>
      <c r="C59" t="s">
        <v>1743</v>
      </c>
      <c r="E59" t="s">
        <v>3319</v>
      </c>
      <c r="F59" t="s">
        <v>3320</v>
      </c>
      <c r="I59" t="s">
        <v>23</v>
      </c>
      <c r="J59" t="s">
        <v>1807</v>
      </c>
      <c r="N59" s="1" t="s">
        <v>3805</v>
      </c>
      <c r="O59" t="s">
        <v>962</v>
      </c>
      <c r="P59" t="s">
        <v>44</v>
      </c>
      <c r="Q59" t="s">
        <v>7</v>
      </c>
    </row>
    <row r="60" spans="2:17">
      <c r="B60" t="s">
        <v>3079</v>
      </c>
      <c r="C60" t="s">
        <v>1743</v>
      </c>
      <c r="E60" t="s">
        <v>3319</v>
      </c>
      <c r="F60" t="s">
        <v>3320</v>
      </c>
      <c r="G60" t="s">
        <v>3311</v>
      </c>
      <c r="I60" t="s">
        <v>1808</v>
      </c>
      <c r="N60" s="1" t="s">
        <v>3805</v>
      </c>
      <c r="O60" t="s">
        <v>155</v>
      </c>
      <c r="P60" t="s">
        <v>46</v>
      </c>
      <c r="Q60" t="s">
        <v>7</v>
      </c>
    </row>
    <row r="61" spans="2:17">
      <c r="B61" t="s">
        <v>3080</v>
      </c>
      <c r="C61" t="s">
        <v>1743</v>
      </c>
      <c r="E61" t="s">
        <v>3319</v>
      </c>
      <c r="F61" t="s">
        <v>3320</v>
      </c>
      <c r="G61" t="s">
        <v>3291</v>
      </c>
      <c r="I61" t="s">
        <v>1809</v>
      </c>
      <c r="N61" s="1" t="s">
        <v>3805</v>
      </c>
      <c r="O61" t="s">
        <v>616</v>
      </c>
      <c r="P61" t="s">
        <v>181</v>
      </c>
      <c r="Q61" t="s">
        <v>7</v>
      </c>
    </row>
    <row r="62" spans="2:17">
      <c r="N62" s="1" t="s">
        <v>3805</v>
      </c>
    </row>
    <row r="63" spans="2:17">
      <c r="N63" s="1" t="s">
        <v>3805</v>
      </c>
    </row>
    <row r="64" spans="2:17">
      <c r="N64" s="1" t="s">
        <v>3805</v>
      </c>
    </row>
    <row r="65" spans="14:14">
      <c r="N65" s="1" t="s">
        <v>3805</v>
      </c>
    </row>
    <row r="66" spans="14:14">
      <c r="N66" s="1" t="s">
        <v>3805</v>
      </c>
    </row>
    <row r="67" spans="14:14">
      <c r="N67" s="1" t="s">
        <v>3805</v>
      </c>
    </row>
    <row r="68" spans="14:14">
      <c r="N68" s="1" t="s">
        <v>3805</v>
      </c>
    </row>
    <row r="69" spans="14:14">
      <c r="N69" s="1" t="s">
        <v>3805</v>
      </c>
    </row>
    <row r="70" spans="14:14">
      <c r="N70" s="1" t="s">
        <v>3805</v>
      </c>
    </row>
    <row r="71" spans="14:14">
      <c r="N71" s="1" t="s">
        <v>3805</v>
      </c>
    </row>
    <row r="72" spans="14:14">
      <c r="N72" s="1" t="s">
        <v>3805</v>
      </c>
    </row>
    <row r="73" spans="14:14">
      <c r="N73" s="1" t="s">
        <v>3805</v>
      </c>
    </row>
    <row r="74" spans="14:14">
      <c r="N74" s="1" t="s">
        <v>3805</v>
      </c>
    </row>
    <row r="75" spans="14:14">
      <c r="N75" s="1" t="s">
        <v>3805</v>
      </c>
    </row>
    <row r="76" spans="14:14">
      <c r="N76" s="1" t="s">
        <v>3805</v>
      </c>
    </row>
    <row r="77" spans="14:14">
      <c r="N77" s="1" t="s">
        <v>3805</v>
      </c>
    </row>
    <row r="78" spans="14:14">
      <c r="N78" s="1" t="s">
        <v>3805</v>
      </c>
    </row>
    <row r="79" spans="14:14">
      <c r="N79" s="1" t="s">
        <v>3805</v>
      </c>
    </row>
    <row r="80" spans="14:14">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row r="87" spans="14:14">
      <c r="N87" s="1" t="s">
        <v>3805</v>
      </c>
    </row>
  </sheetData>
  <autoFilter ref="A1:Y87"/>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Q87"/>
  <sheetViews>
    <sheetView workbookViewId="0">
      <selection activeCell="I49" sqref="I49"/>
    </sheetView>
  </sheetViews>
  <sheetFormatPr defaultRowHeight="18.75"/>
  <sheetData>
    <row r="1" spans="1:17">
      <c r="B1" t="s">
        <v>3474</v>
      </c>
      <c r="C1" t="s">
        <v>3475</v>
      </c>
      <c r="D1" t="s">
        <v>3489</v>
      </c>
      <c r="E1" t="s">
        <v>3477</v>
      </c>
      <c r="F1" t="s">
        <v>3479</v>
      </c>
      <c r="G1" t="s">
        <v>3481</v>
      </c>
      <c r="H1" t="s">
        <v>3482</v>
      </c>
      <c r="I1" t="s">
        <v>3483</v>
      </c>
      <c r="N1" t="s">
        <v>3805</v>
      </c>
      <c r="O1" t="s">
        <v>3484</v>
      </c>
      <c r="P1" t="s">
        <v>3486</v>
      </c>
    </row>
    <row r="2" spans="1:17">
      <c r="A2" s="1"/>
      <c r="B2" s="1" t="s">
        <v>3081</v>
      </c>
      <c r="C2" s="1" t="s">
        <v>1727</v>
      </c>
      <c r="D2" s="1"/>
      <c r="E2" s="1" t="s">
        <v>3319</v>
      </c>
      <c r="F2" s="1" t="s">
        <v>3320</v>
      </c>
      <c r="G2" s="1" t="s">
        <v>3302</v>
      </c>
      <c r="H2" s="1"/>
      <c r="I2" s="1" t="s">
        <v>73</v>
      </c>
      <c r="J2" s="1" t="s">
        <v>1832</v>
      </c>
      <c r="K2" s="1"/>
      <c r="L2" s="1"/>
      <c r="M2" s="1"/>
      <c r="N2" s="1" t="s">
        <v>3805</v>
      </c>
      <c r="O2" s="1" t="s">
        <v>156</v>
      </c>
      <c r="P2" s="1" t="s">
        <v>48</v>
      </c>
      <c r="Q2" s="1" t="s">
        <v>9</v>
      </c>
    </row>
    <row r="3" spans="1:17">
      <c r="A3" s="1"/>
      <c r="B3" s="1" t="s">
        <v>3082</v>
      </c>
      <c r="C3" s="1" t="s">
        <v>1727</v>
      </c>
      <c r="D3" s="1"/>
      <c r="E3" t="s">
        <v>3319</v>
      </c>
      <c r="F3" t="s">
        <v>3320</v>
      </c>
      <c r="G3" t="s">
        <v>3287</v>
      </c>
      <c r="I3" t="s">
        <v>1891</v>
      </c>
      <c r="N3" s="1" t="s">
        <v>3805</v>
      </c>
      <c r="O3" t="s">
        <v>156</v>
      </c>
      <c r="P3" t="s">
        <v>34</v>
      </c>
      <c r="Q3" t="s">
        <v>9</v>
      </c>
    </row>
    <row r="4" spans="1:17">
      <c r="B4" t="s">
        <v>3083</v>
      </c>
      <c r="C4" t="s">
        <v>1727</v>
      </c>
      <c r="E4" t="s">
        <v>3319</v>
      </c>
      <c r="F4" t="s">
        <v>3320</v>
      </c>
      <c r="G4" t="s">
        <v>3311</v>
      </c>
      <c r="I4" t="s">
        <v>1892</v>
      </c>
      <c r="N4" s="1" t="s">
        <v>3805</v>
      </c>
      <c r="O4" t="s">
        <v>156</v>
      </c>
      <c r="P4" t="s">
        <v>52</v>
      </c>
      <c r="Q4" t="s">
        <v>9</v>
      </c>
    </row>
    <row r="5" spans="1:17">
      <c r="B5" t="s">
        <v>3084</v>
      </c>
      <c r="C5" t="s">
        <v>1727</v>
      </c>
      <c r="E5" t="s">
        <v>3323</v>
      </c>
      <c r="F5" t="s">
        <v>3320</v>
      </c>
      <c r="G5" t="s">
        <v>3299</v>
      </c>
      <c r="I5" t="s">
        <v>1893</v>
      </c>
      <c r="J5" t="s">
        <v>1894</v>
      </c>
      <c r="N5" s="1" t="s">
        <v>3805</v>
      </c>
      <c r="O5" t="s">
        <v>157</v>
      </c>
      <c r="P5" t="s">
        <v>26</v>
      </c>
      <c r="Q5" t="s">
        <v>9</v>
      </c>
    </row>
    <row r="6" spans="1:17">
      <c r="B6" t="s">
        <v>3085</v>
      </c>
      <c r="C6" t="s">
        <v>1727</v>
      </c>
      <c r="E6" t="s">
        <v>3319</v>
      </c>
      <c r="F6" t="s">
        <v>3320</v>
      </c>
      <c r="G6" t="s">
        <v>3291</v>
      </c>
      <c r="I6" t="s">
        <v>1833</v>
      </c>
      <c r="N6" s="1" t="s">
        <v>3805</v>
      </c>
      <c r="O6" t="s">
        <v>156</v>
      </c>
      <c r="P6" t="s">
        <v>40</v>
      </c>
      <c r="Q6" t="s">
        <v>9</v>
      </c>
    </row>
    <row r="7" spans="1:17">
      <c r="B7" t="s">
        <v>3086</v>
      </c>
      <c r="C7" t="s">
        <v>1727</v>
      </c>
      <c r="E7" t="s">
        <v>3319</v>
      </c>
      <c r="F7" t="s">
        <v>3320</v>
      </c>
      <c r="G7" t="s">
        <v>3287</v>
      </c>
      <c r="I7" t="s">
        <v>1834</v>
      </c>
      <c r="N7" s="1" t="s">
        <v>3805</v>
      </c>
      <c r="O7" t="s">
        <v>157</v>
      </c>
      <c r="P7" t="s">
        <v>31</v>
      </c>
      <c r="Q7" t="s">
        <v>9</v>
      </c>
    </row>
    <row r="8" spans="1:17">
      <c r="B8" t="s">
        <v>3087</v>
      </c>
      <c r="C8" t="s">
        <v>1727</v>
      </c>
      <c r="E8" t="s">
        <v>3319</v>
      </c>
      <c r="F8" t="s">
        <v>3320</v>
      </c>
      <c r="G8" t="s">
        <v>3315</v>
      </c>
      <c r="I8" t="s">
        <v>1895</v>
      </c>
      <c r="J8" t="s">
        <v>1835</v>
      </c>
      <c r="M8" t="s">
        <v>153</v>
      </c>
      <c r="N8" s="1" t="s">
        <v>3805</v>
      </c>
      <c r="O8" t="s">
        <v>156</v>
      </c>
    </row>
    <row r="9" spans="1:17">
      <c r="B9" t="s">
        <v>3088</v>
      </c>
      <c r="C9" t="s">
        <v>3407</v>
      </c>
      <c r="E9" t="s">
        <v>3319</v>
      </c>
      <c r="F9" t="s">
        <v>3315</v>
      </c>
      <c r="I9" t="s">
        <v>1896</v>
      </c>
      <c r="J9" t="s">
        <v>1836</v>
      </c>
      <c r="M9" t="s">
        <v>153</v>
      </c>
      <c r="N9" s="1" t="s">
        <v>3805</v>
      </c>
      <c r="O9" t="s">
        <v>154</v>
      </c>
      <c r="P9" t="s">
        <v>44</v>
      </c>
      <c r="Q9" t="s">
        <v>9</v>
      </c>
    </row>
    <row r="10" spans="1:17">
      <c r="B10" t="s">
        <v>3089</v>
      </c>
      <c r="C10" t="s">
        <v>1727</v>
      </c>
      <c r="E10" t="s">
        <v>3319</v>
      </c>
      <c r="F10" t="s">
        <v>3320</v>
      </c>
      <c r="G10" t="s">
        <v>3302</v>
      </c>
      <c r="I10" t="s">
        <v>13</v>
      </c>
      <c r="J10" t="s">
        <v>1897</v>
      </c>
      <c r="N10" s="1" t="s">
        <v>3805</v>
      </c>
      <c r="O10" t="s">
        <v>615</v>
      </c>
      <c r="P10" t="s">
        <v>18</v>
      </c>
      <c r="Q10" t="s">
        <v>9</v>
      </c>
    </row>
    <row r="11" spans="1:17">
      <c r="B11" t="s">
        <v>3090</v>
      </c>
      <c r="C11" t="s">
        <v>1732</v>
      </c>
      <c r="E11" t="s">
        <v>3323</v>
      </c>
      <c r="F11" t="s">
        <v>3320</v>
      </c>
      <c r="G11" t="s">
        <v>3285</v>
      </c>
      <c r="I11" t="s">
        <v>1837</v>
      </c>
      <c r="J11" t="s">
        <v>1838</v>
      </c>
      <c r="K11" t="s">
        <v>1839</v>
      </c>
      <c r="N11" s="1" t="s">
        <v>3805</v>
      </c>
      <c r="O11" t="s">
        <v>154</v>
      </c>
      <c r="P11" t="s">
        <v>611</v>
      </c>
      <c r="Q11" t="s">
        <v>9</v>
      </c>
    </row>
    <row r="12" spans="1:17">
      <c r="B12" t="s">
        <v>3091</v>
      </c>
      <c r="C12" t="s">
        <v>1732</v>
      </c>
      <c r="E12" t="s">
        <v>3319</v>
      </c>
      <c r="F12" t="s">
        <v>3320</v>
      </c>
      <c r="G12" t="s">
        <v>3311</v>
      </c>
      <c r="I12" t="s">
        <v>1898</v>
      </c>
      <c r="J12" t="s">
        <v>1840</v>
      </c>
      <c r="K12" t="s">
        <v>1899</v>
      </c>
      <c r="N12" s="1" t="s">
        <v>3805</v>
      </c>
      <c r="O12" t="s">
        <v>162</v>
      </c>
      <c r="P12" t="s">
        <v>38</v>
      </c>
      <c r="Q12" t="s">
        <v>9</v>
      </c>
    </row>
    <row r="13" spans="1:17">
      <c r="B13" t="s">
        <v>3092</v>
      </c>
      <c r="C13" t="s">
        <v>1732</v>
      </c>
      <c r="E13" t="s">
        <v>3319</v>
      </c>
      <c r="F13" t="s">
        <v>3320</v>
      </c>
      <c r="G13" t="s">
        <v>3295</v>
      </c>
      <c r="H13" t="s">
        <v>3315</v>
      </c>
      <c r="I13" t="s">
        <v>1841</v>
      </c>
      <c r="J13" t="s">
        <v>1842</v>
      </c>
      <c r="M13" t="s">
        <v>153</v>
      </c>
      <c r="N13" s="1" t="s">
        <v>3805</v>
      </c>
      <c r="O13" t="s">
        <v>156</v>
      </c>
    </row>
    <row r="14" spans="1:17">
      <c r="B14" t="s">
        <v>3093</v>
      </c>
      <c r="C14" t="s">
        <v>3407</v>
      </c>
      <c r="E14" t="s">
        <v>3319</v>
      </c>
      <c r="F14" t="s">
        <v>3315</v>
      </c>
      <c r="I14" t="s">
        <v>1843</v>
      </c>
      <c r="J14" t="s">
        <v>1844</v>
      </c>
      <c r="K14" t="s">
        <v>1845</v>
      </c>
      <c r="L14" t="s">
        <v>1845</v>
      </c>
      <c r="M14" t="s">
        <v>153</v>
      </c>
      <c r="N14" s="1" t="s">
        <v>3805</v>
      </c>
      <c r="O14" t="s">
        <v>170</v>
      </c>
      <c r="P14" t="s">
        <v>45</v>
      </c>
      <c r="Q14" t="s">
        <v>9</v>
      </c>
    </row>
    <row r="15" spans="1:17">
      <c r="B15" t="s">
        <v>3094</v>
      </c>
      <c r="C15" t="s">
        <v>1732</v>
      </c>
      <c r="E15" t="s">
        <v>3319</v>
      </c>
      <c r="F15" t="s">
        <v>3320</v>
      </c>
      <c r="G15" t="s">
        <v>3311</v>
      </c>
      <c r="I15" t="s">
        <v>1900</v>
      </c>
      <c r="J15" t="s">
        <v>1888</v>
      </c>
      <c r="K15" t="s">
        <v>1889</v>
      </c>
      <c r="N15" s="1"/>
      <c r="O15" t="s">
        <v>156</v>
      </c>
      <c r="P15" t="s">
        <v>175</v>
      </c>
      <c r="Q15" t="s">
        <v>9</v>
      </c>
    </row>
    <row r="16" spans="1:17">
      <c r="B16" t="s">
        <v>3095</v>
      </c>
      <c r="C16" t="s">
        <v>1821</v>
      </c>
      <c r="E16" t="s">
        <v>3319</v>
      </c>
      <c r="F16" t="s">
        <v>3320</v>
      </c>
      <c r="G16" t="s">
        <v>3287</v>
      </c>
      <c r="I16" t="s">
        <v>298</v>
      </c>
      <c r="J16" t="s">
        <v>1846</v>
      </c>
      <c r="N16" s="1" t="s">
        <v>3805</v>
      </c>
      <c r="O16" t="s">
        <v>156</v>
      </c>
      <c r="P16" t="s">
        <v>33</v>
      </c>
      <c r="Q16" t="s">
        <v>9</v>
      </c>
    </row>
    <row r="17" spans="2:17">
      <c r="B17" t="s">
        <v>3096</v>
      </c>
      <c r="C17" t="s">
        <v>1732</v>
      </c>
      <c r="E17" t="s">
        <v>3319</v>
      </c>
      <c r="F17" t="s">
        <v>3320</v>
      </c>
      <c r="G17" t="s">
        <v>3294</v>
      </c>
      <c r="I17" t="s">
        <v>1847</v>
      </c>
      <c r="M17" t="s">
        <v>496</v>
      </c>
      <c r="N17" s="1"/>
      <c r="O17" t="s">
        <v>162</v>
      </c>
    </row>
    <row r="18" spans="2:17">
      <c r="B18" t="s">
        <v>3097</v>
      </c>
      <c r="C18" t="s">
        <v>1732</v>
      </c>
      <c r="E18" t="s">
        <v>3323</v>
      </c>
      <c r="F18" t="s">
        <v>3320</v>
      </c>
      <c r="G18" t="s">
        <v>3294</v>
      </c>
      <c r="I18" t="s">
        <v>1901</v>
      </c>
      <c r="M18" t="s">
        <v>496</v>
      </c>
      <c r="N18" s="1" t="s">
        <v>3805</v>
      </c>
      <c r="O18" t="s">
        <v>170</v>
      </c>
      <c r="P18" t="s">
        <v>180</v>
      </c>
      <c r="Q18" t="s">
        <v>9</v>
      </c>
    </row>
    <row r="19" spans="2:17">
      <c r="B19" t="s">
        <v>3098</v>
      </c>
      <c r="C19" t="s">
        <v>1732</v>
      </c>
      <c r="E19" t="s">
        <v>3319</v>
      </c>
      <c r="F19" t="s">
        <v>3320</v>
      </c>
      <c r="G19" t="s">
        <v>3291</v>
      </c>
      <c r="I19" t="s">
        <v>1848</v>
      </c>
      <c r="J19" t="s">
        <v>1902</v>
      </c>
      <c r="K19" t="s">
        <v>1849</v>
      </c>
      <c r="N19" s="1" t="s">
        <v>3805</v>
      </c>
      <c r="O19" t="s">
        <v>162</v>
      </c>
      <c r="P19" t="s">
        <v>32</v>
      </c>
      <c r="Q19" t="s">
        <v>9</v>
      </c>
    </row>
    <row r="20" spans="2:17">
      <c r="B20" t="s">
        <v>3099</v>
      </c>
      <c r="C20" t="s">
        <v>1732</v>
      </c>
      <c r="E20" t="s">
        <v>3319</v>
      </c>
      <c r="F20" t="s">
        <v>3320</v>
      </c>
      <c r="G20" t="s">
        <v>3302</v>
      </c>
      <c r="H20" t="s">
        <v>3296</v>
      </c>
      <c r="I20" t="s">
        <v>1850</v>
      </c>
      <c r="N20" s="1" t="s">
        <v>3805</v>
      </c>
      <c r="O20" t="s">
        <v>615</v>
      </c>
      <c r="P20" t="s">
        <v>609</v>
      </c>
      <c r="Q20" t="s">
        <v>9</v>
      </c>
    </row>
    <row r="21" spans="2:17">
      <c r="B21" t="s">
        <v>3100</v>
      </c>
      <c r="C21" t="s">
        <v>1732</v>
      </c>
      <c r="E21" t="s">
        <v>3319</v>
      </c>
      <c r="F21" t="s">
        <v>3320</v>
      </c>
      <c r="G21" t="s">
        <v>3311</v>
      </c>
      <c r="I21" t="s">
        <v>1903</v>
      </c>
      <c r="J21" t="s">
        <v>1851</v>
      </c>
      <c r="K21" t="s">
        <v>1852</v>
      </c>
      <c r="L21" t="s">
        <v>1853</v>
      </c>
      <c r="N21" s="1" t="s">
        <v>3805</v>
      </c>
      <c r="O21" t="s">
        <v>156</v>
      </c>
      <c r="P21" t="s">
        <v>179</v>
      </c>
      <c r="Q21" t="s">
        <v>9</v>
      </c>
    </row>
    <row r="22" spans="2:17">
      <c r="B22" t="s">
        <v>3101</v>
      </c>
      <c r="C22" t="s">
        <v>1732</v>
      </c>
      <c r="E22" t="s">
        <v>3319</v>
      </c>
      <c r="F22" t="s">
        <v>3320</v>
      </c>
      <c r="G22" t="s">
        <v>3307</v>
      </c>
      <c r="I22" t="s">
        <v>1904</v>
      </c>
      <c r="N22" s="1" t="s">
        <v>3805</v>
      </c>
      <c r="O22" t="s">
        <v>162</v>
      </c>
      <c r="P22" t="s">
        <v>44</v>
      </c>
      <c r="Q22" t="s">
        <v>9</v>
      </c>
    </row>
    <row r="23" spans="2:17">
      <c r="B23" t="s">
        <v>3102</v>
      </c>
      <c r="C23" t="s">
        <v>1732</v>
      </c>
      <c r="E23" t="s">
        <v>3319</v>
      </c>
      <c r="F23" t="s">
        <v>3320</v>
      </c>
      <c r="G23" t="s">
        <v>3302</v>
      </c>
      <c r="I23" t="s">
        <v>1905</v>
      </c>
      <c r="J23" t="s">
        <v>1854</v>
      </c>
      <c r="N23" s="1" t="s">
        <v>3805</v>
      </c>
      <c r="O23" t="s">
        <v>162</v>
      </c>
      <c r="P23" t="s">
        <v>46</v>
      </c>
      <c r="Q23" t="s">
        <v>9</v>
      </c>
    </row>
    <row r="24" spans="2:17">
      <c r="B24" t="s">
        <v>3103</v>
      </c>
      <c r="C24" t="s">
        <v>1732</v>
      </c>
      <c r="E24" t="s">
        <v>3319</v>
      </c>
      <c r="F24" t="s">
        <v>3320</v>
      </c>
      <c r="G24" t="s">
        <v>3302</v>
      </c>
      <c r="I24" t="s">
        <v>1855</v>
      </c>
      <c r="J24" t="s">
        <v>1856</v>
      </c>
      <c r="N24" s="1"/>
      <c r="O24" t="s">
        <v>171</v>
      </c>
      <c r="P24" t="s">
        <v>17</v>
      </c>
      <c r="Q24" t="s">
        <v>9</v>
      </c>
    </row>
    <row r="25" spans="2:17">
      <c r="B25" t="s">
        <v>3104</v>
      </c>
      <c r="C25" t="s">
        <v>1739</v>
      </c>
      <c r="E25" t="s">
        <v>3323</v>
      </c>
      <c r="F25" t="s">
        <v>3320</v>
      </c>
      <c r="G25" t="s">
        <v>3307</v>
      </c>
      <c r="I25" t="s">
        <v>1906</v>
      </c>
      <c r="N25" s="1"/>
      <c r="O25" t="s">
        <v>164</v>
      </c>
      <c r="P25" t="s">
        <v>177</v>
      </c>
      <c r="Q25" t="s">
        <v>9</v>
      </c>
    </row>
    <row r="26" spans="2:17">
      <c r="B26" t="s">
        <v>3105</v>
      </c>
      <c r="C26" t="s">
        <v>1823</v>
      </c>
      <c r="E26" t="s">
        <v>3323</v>
      </c>
      <c r="F26" t="s">
        <v>3320</v>
      </c>
      <c r="G26" t="s">
        <v>3294</v>
      </c>
      <c r="I26" t="s">
        <v>1857</v>
      </c>
      <c r="N26" s="1" t="s">
        <v>3805</v>
      </c>
      <c r="O26" t="s">
        <v>154</v>
      </c>
      <c r="P26" t="s">
        <v>180</v>
      </c>
      <c r="Q26" t="s">
        <v>9</v>
      </c>
    </row>
    <row r="27" spans="2:17">
      <c r="B27" t="s">
        <v>3106</v>
      </c>
      <c r="C27" t="s">
        <v>1739</v>
      </c>
      <c r="E27" t="s">
        <v>3319</v>
      </c>
      <c r="F27" t="s">
        <v>3320</v>
      </c>
      <c r="G27" t="s">
        <v>3302</v>
      </c>
      <c r="I27" t="s">
        <v>1858</v>
      </c>
      <c r="N27" s="1" t="s">
        <v>3805</v>
      </c>
      <c r="O27" t="s">
        <v>615</v>
      </c>
      <c r="P27" t="s">
        <v>52</v>
      </c>
      <c r="Q27" t="s">
        <v>9</v>
      </c>
    </row>
    <row r="28" spans="2:17">
      <c r="B28" t="s">
        <v>3107</v>
      </c>
      <c r="C28" t="s">
        <v>1739</v>
      </c>
      <c r="E28" t="s">
        <v>3319</v>
      </c>
      <c r="F28" t="s">
        <v>3320</v>
      </c>
      <c r="G28" t="s">
        <v>3300</v>
      </c>
      <c r="I28" t="s">
        <v>1859</v>
      </c>
      <c r="N28" s="1" t="s">
        <v>3805</v>
      </c>
      <c r="O28" t="s">
        <v>165</v>
      </c>
      <c r="P28" t="s">
        <v>39</v>
      </c>
      <c r="Q28" t="s">
        <v>9</v>
      </c>
    </row>
    <row r="29" spans="2:17">
      <c r="B29" t="s">
        <v>3108</v>
      </c>
      <c r="C29" t="s">
        <v>1739</v>
      </c>
      <c r="E29" t="s">
        <v>3319</v>
      </c>
      <c r="F29" t="s">
        <v>3320</v>
      </c>
      <c r="G29" t="s">
        <v>3295</v>
      </c>
      <c r="I29" t="s">
        <v>1907</v>
      </c>
      <c r="N29" s="1" t="s">
        <v>3805</v>
      </c>
      <c r="O29" t="s">
        <v>164</v>
      </c>
      <c r="P29" t="s">
        <v>45</v>
      </c>
      <c r="Q29" t="s">
        <v>9</v>
      </c>
    </row>
    <row r="30" spans="2:17">
      <c r="B30" t="s">
        <v>3109</v>
      </c>
      <c r="C30" t="s">
        <v>1823</v>
      </c>
      <c r="E30" t="s">
        <v>3319</v>
      </c>
      <c r="F30" t="s">
        <v>3320</v>
      </c>
      <c r="G30" t="s">
        <v>3291</v>
      </c>
      <c r="I30" t="s">
        <v>1860</v>
      </c>
      <c r="J30" t="s">
        <v>1861</v>
      </c>
      <c r="N30" s="1" t="s">
        <v>3473</v>
      </c>
      <c r="O30" t="s">
        <v>156</v>
      </c>
      <c r="P30" t="s">
        <v>52</v>
      </c>
      <c r="Q30" t="s">
        <v>9</v>
      </c>
    </row>
    <row r="31" spans="2:17">
      <c r="B31" t="s">
        <v>3110</v>
      </c>
      <c r="C31" t="s">
        <v>1739</v>
      </c>
      <c r="E31" t="s">
        <v>3319</v>
      </c>
      <c r="F31" t="s">
        <v>3320</v>
      </c>
      <c r="G31" t="s">
        <v>3285</v>
      </c>
      <c r="I31" t="s">
        <v>1862</v>
      </c>
      <c r="J31" t="s">
        <v>1863</v>
      </c>
      <c r="N31" s="1" t="s">
        <v>3473</v>
      </c>
      <c r="O31" t="s">
        <v>165</v>
      </c>
      <c r="P31" t="s">
        <v>46</v>
      </c>
      <c r="Q31" t="s">
        <v>9</v>
      </c>
    </row>
    <row r="32" spans="2:17">
      <c r="B32" t="s">
        <v>3111</v>
      </c>
      <c r="C32" t="s">
        <v>1739</v>
      </c>
      <c r="E32" t="s">
        <v>3319</v>
      </c>
      <c r="F32" t="s">
        <v>3320</v>
      </c>
      <c r="G32" t="s">
        <v>3297</v>
      </c>
      <c r="I32" t="s">
        <v>1908</v>
      </c>
      <c r="N32" s="1" t="s">
        <v>3473</v>
      </c>
      <c r="O32" t="s">
        <v>156</v>
      </c>
      <c r="P32" t="s">
        <v>14</v>
      </c>
      <c r="Q32" t="s">
        <v>9</v>
      </c>
    </row>
    <row r="33" spans="2:17">
      <c r="B33" t="s">
        <v>3112</v>
      </c>
      <c r="C33" t="s">
        <v>1739</v>
      </c>
      <c r="E33" t="s">
        <v>3323</v>
      </c>
      <c r="F33" t="s">
        <v>3320</v>
      </c>
      <c r="G33" t="s">
        <v>3294</v>
      </c>
      <c r="I33" t="s">
        <v>1864</v>
      </c>
      <c r="N33" s="1" t="s">
        <v>3805</v>
      </c>
      <c r="O33" t="s">
        <v>157</v>
      </c>
      <c r="P33" t="s">
        <v>180</v>
      </c>
      <c r="Q33" t="s">
        <v>9</v>
      </c>
    </row>
    <row r="34" spans="2:17">
      <c r="B34" t="s">
        <v>3113</v>
      </c>
      <c r="C34" t="s">
        <v>1739</v>
      </c>
      <c r="E34" t="s">
        <v>3319</v>
      </c>
      <c r="F34" t="s">
        <v>3320</v>
      </c>
      <c r="G34" t="s">
        <v>3297</v>
      </c>
      <c r="H34" t="s">
        <v>3315</v>
      </c>
      <c r="I34" t="s">
        <v>1865</v>
      </c>
      <c r="J34" t="s">
        <v>1866</v>
      </c>
      <c r="M34" t="s">
        <v>153</v>
      </c>
      <c r="N34" s="1" t="s">
        <v>3805</v>
      </c>
      <c r="O34" t="s">
        <v>154</v>
      </c>
    </row>
    <row r="35" spans="2:17">
      <c r="B35" t="s">
        <v>3114</v>
      </c>
      <c r="C35" t="s">
        <v>3407</v>
      </c>
      <c r="E35" t="s">
        <v>3319</v>
      </c>
      <c r="F35" t="s">
        <v>3315</v>
      </c>
      <c r="I35" t="s">
        <v>1890</v>
      </c>
      <c r="J35" t="s">
        <v>1867</v>
      </c>
      <c r="M35" t="s">
        <v>153</v>
      </c>
      <c r="N35" s="1" t="s">
        <v>3805</v>
      </c>
      <c r="O35" t="s">
        <v>616</v>
      </c>
      <c r="P35" t="s">
        <v>45</v>
      </c>
      <c r="Q35" t="s">
        <v>9</v>
      </c>
    </row>
    <row r="36" spans="2:17">
      <c r="B36" t="s">
        <v>3115</v>
      </c>
      <c r="C36" t="s">
        <v>1739</v>
      </c>
      <c r="E36" t="s">
        <v>3323</v>
      </c>
      <c r="F36" t="s">
        <v>3320</v>
      </c>
      <c r="G36" t="s">
        <v>3291</v>
      </c>
      <c r="I36" t="s">
        <v>20</v>
      </c>
      <c r="J36" t="s">
        <v>1912</v>
      </c>
      <c r="N36" s="1" t="s">
        <v>3805</v>
      </c>
      <c r="O36" t="s">
        <v>1124</v>
      </c>
      <c r="P36" t="s">
        <v>53</v>
      </c>
      <c r="Q36" t="s">
        <v>9</v>
      </c>
    </row>
    <row r="37" spans="2:17">
      <c r="B37" t="s">
        <v>3116</v>
      </c>
      <c r="C37" t="s">
        <v>1739</v>
      </c>
      <c r="E37" t="s">
        <v>3323</v>
      </c>
      <c r="F37" t="s">
        <v>3320</v>
      </c>
      <c r="G37" t="s">
        <v>3311</v>
      </c>
      <c r="I37" t="s">
        <v>1868</v>
      </c>
      <c r="N37" s="1" t="s">
        <v>3805</v>
      </c>
      <c r="O37" t="s">
        <v>157</v>
      </c>
      <c r="P37" t="s">
        <v>184</v>
      </c>
      <c r="Q37" t="s">
        <v>9</v>
      </c>
    </row>
    <row r="38" spans="2:17">
      <c r="B38" t="s">
        <v>3117</v>
      </c>
      <c r="C38" t="s">
        <v>1823</v>
      </c>
      <c r="E38" t="s">
        <v>3319</v>
      </c>
      <c r="F38" t="s">
        <v>3320</v>
      </c>
      <c r="G38" t="s">
        <v>3302</v>
      </c>
      <c r="I38" t="s">
        <v>540</v>
      </c>
      <c r="N38" s="1" t="s">
        <v>3805</v>
      </c>
      <c r="O38" t="s">
        <v>158</v>
      </c>
      <c r="P38" t="s">
        <v>176</v>
      </c>
      <c r="Q38" t="s">
        <v>9</v>
      </c>
    </row>
    <row r="39" spans="2:17">
      <c r="B39" t="s">
        <v>3118</v>
      </c>
      <c r="C39" t="s">
        <v>1739</v>
      </c>
      <c r="E39" t="s">
        <v>3323</v>
      </c>
      <c r="F39" t="s">
        <v>3320</v>
      </c>
      <c r="G39" t="s">
        <v>3292</v>
      </c>
      <c r="I39" t="s">
        <v>1869</v>
      </c>
      <c r="J39" t="s">
        <v>328</v>
      </c>
      <c r="K39" t="s">
        <v>1870</v>
      </c>
      <c r="N39" s="1" t="s">
        <v>3805</v>
      </c>
      <c r="O39" t="s">
        <v>162</v>
      </c>
      <c r="P39" t="s">
        <v>188</v>
      </c>
      <c r="Q39" t="s">
        <v>9</v>
      </c>
    </row>
    <row r="40" spans="2:17">
      <c r="B40" t="s">
        <v>3119</v>
      </c>
      <c r="C40" t="s">
        <v>1739</v>
      </c>
      <c r="E40" t="s">
        <v>3319</v>
      </c>
      <c r="F40" t="s">
        <v>3320</v>
      </c>
      <c r="G40" t="s">
        <v>3311</v>
      </c>
      <c r="I40" t="s">
        <v>1871</v>
      </c>
      <c r="N40" s="1" t="s">
        <v>3805</v>
      </c>
      <c r="O40" t="s">
        <v>156</v>
      </c>
      <c r="P40" t="s">
        <v>6</v>
      </c>
      <c r="Q40" t="s">
        <v>9</v>
      </c>
    </row>
    <row r="41" spans="2:17">
      <c r="B41" t="s">
        <v>3120</v>
      </c>
      <c r="C41" t="s">
        <v>1742</v>
      </c>
      <c r="E41" t="s">
        <v>3323</v>
      </c>
      <c r="F41" t="s">
        <v>3320</v>
      </c>
      <c r="G41" t="s">
        <v>3294</v>
      </c>
      <c r="I41" t="s">
        <v>20</v>
      </c>
      <c r="J41" t="s">
        <v>1872</v>
      </c>
      <c r="N41" s="1" t="s">
        <v>3473</v>
      </c>
      <c r="O41" t="s">
        <v>1204</v>
      </c>
      <c r="P41" t="s">
        <v>188</v>
      </c>
      <c r="Q41" t="s">
        <v>9</v>
      </c>
    </row>
    <row r="42" spans="2:17">
      <c r="B42" t="s">
        <v>3121</v>
      </c>
      <c r="C42" t="s">
        <v>1742</v>
      </c>
      <c r="E42" t="s">
        <v>3323</v>
      </c>
      <c r="F42" t="s">
        <v>3320</v>
      </c>
      <c r="G42" t="s">
        <v>3291</v>
      </c>
      <c r="I42" t="s">
        <v>1873</v>
      </c>
      <c r="N42" s="1" t="s">
        <v>3805</v>
      </c>
      <c r="O42" t="s">
        <v>155</v>
      </c>
      <c r="P42" t="s">
        <v>32</v>
      </c>
      <c r="Q42" t="s">
        <v>9</v>
      </c>
    </row>
    <row r="43" spans="2:17">
      <c r="B43" t="s">
        <v>3122</v>
      </c>
      <c r="C43" t="s">
        <v>1741</v>
      </c>
      <c r="E43" t="s">
        <v>3319</v>
      </c>
      <c r="F43" t="s">
        <v>3320</v>
      </c>
      <c r="G43" t="s">
        <v>3285</v>
      </c>
      <c r="I43" t="s">
        <v>1874</v>
      </c>
      <c r="N43" s="1" t="s">
        <v>3805</v>
      </c>
      <c r="O43" t="s">
        <v>618</v>
      </c>
      <c r="P43" t="s">
        <v>30</v>
      </c>
      <c r="Q43" t="s">
        <v>9</v>
      </c>
    </row>
    <row r="44" spans="2:17">
      <c r="B44" t="s">
        <v>3123</v>
      </c>
      <c r="C44" t="s">
        <v>1743</v>
      </c>
      <c r="E44" t="s">
        <v>3319</v>
      </c>
      <c r="F44" t="s">
        <v>3320</v>
      </c>
      <c r="G44" t="s">
        <v>3307</v>
      </c>
      <c r="I44" t="s">
        <v>1875</v>
      </c>
      <c r="N44" s="1" t="s">
        <v>3805</v>
      </c>
      <c r="O44" t="s">
        <v>171</v>
      </c>
      <c r="P44" t="s">
        <v>45</v>
      </c>
      <c r="Q44" t="s">
        <v>9</v>
      </c>
    </row>
    <row r="45" spans="2:17">
      <c r="B45" t="s">
        <v>3124</v>
      </c>
      <c r="C45" t="s">
        <v>1743</v>
      </c>
      <c r="E45" t="s">
        <v>3319</v>
      </c>
      <c r="F45" t="s">
        <v>3320</v>
      </c>
      <c r="G45" t="s">
        <v>3311</v>
      </c>
      <c r="H45" t="s">
        <v>3315</v>
      </c>
      <c r="I45" t="s">
        <v>1876</v>
      </c>
      <c r="J45" t="s">
        <v>1877</v>
      </c>
      <c r="K45" t="s">
        <v>1878</v>
      </c>
      <c r="M45" t="s">
        <v>153</v>
      </c>
      <c r="N45" s="1" t="s">
        <v>3473</v>
      </c>
      <c r="O45" t="s">
        <v>617</v>
      </c>
    </row>
    <row r="46" spans="2:17">
      <c r="B46" t="s">
        <v>3125</v>
      </c>
      <c r="C46" t="s">
        <v>3407</v>
      </c>
      <c r="E46" t="s">
        <v>3319</v>
      </c>
      <c r="F46" t="s">
        <v>3315</v>
      </c>
      <c r="I46" t="s">
        <v>1879</v>
      </c>
      <c r="J46" t="s">
        <v>1880</v>
      </c>
      <c r="K46" t="s">
        <v>1881</v>
      </c>
      <c r="M46" t="s">
        <v>153</v>
      </c>
      <c r="N46" s="1" t="s">
        <v>3805</v>
      </c>
      <c r="O46" t="s">
        <v>617</v>
      </c>
      <c r="P46" t="s">
        <v>46</v>
      </c>
      <c r="Q46" t="s">
        <v>9</v>
      </c>
    </row>
    <row r="47" spans="2:17">
      <c r="B47" t="s">
        <v>3126</v>
      </c>
      <c r="C47" t="s">
        <v>1909</v>
      </c>
      <c r="E47" t="s">
        <v>3323</v>
      </c>
      <c r="F47" t="s">
        <v>3320</v>
      </c>
      <c r="G47" t="s">
        <v>3291</v>
      </c>
      <c r="I47" t="s">
        <v>1882</v>
      </c>
      <c r="N47" s="1" t="s">
        <v>3805</v>
      </c>
      <c r="O47" t="s">
        <v>962</v>
      </c>
      <c r="P47" t="s">
        <v>14</v>
      </c>
      <c r="Q47" t="s">
        <v>9</v>
      </c>
    </row>
    <row r="48" spans="2:17">
      <c r="B48" t="s">
        <v>3127</v>
      </c>
      <c r="C48" t="s">
        <v>1909</v>
      </c>
      <c r="E48" t="s">
        <v>3323</v>
      </c>
      <c r="F48" t="s">
        <v>3320</v>
      </c>
      <c r="G48" t="s">
        <v>3302</v>
      </c>
      <c r="I48" t="s">
        <v>1883</v>
      </c>
      <c r="J48" t="s">
        <v>1884</v>
      </c>
      <c r="N48" s="1" t="s">
        <v>3473</v>
      </c>
      <c r="O48" t="s">
        <v>616</v>
      </c>
      <c r="P48" t="s">
        <v>34</v>
      </c>
      <c r="Q48" t="s">
        <v>9</v>
      </c>
    </row>
    <row r="49" spans="1:17">
      <c r="B49" t="s">
        <v>3128</v>
      </c>
      <c r="C49" t="s">
        <v>1910</v>
      </c>
      <c r="E49" t="s">
        <v>3319</v>
      </c>
      <c r="F49" t="s">
        <v>3320</v>
      </c>
      <c r="G49" t="s">
        <v>3311</v>
      </c>
      <c r="I49" t="s">
        <v>1885</v>
      </c>
      <c r="J49" t="s">
        <v>1886</v>
      </c>
      <c r="N49" s="1" t="s">
        <v>3473</v>
      </c>
      <c r="O49" t="s">
        <v>962</v>
      </c>
      <c r="P49" t="s">
        <v>53</v>
      </c>
      <c r="Q49" t="s">
        <v>9</v>
      </c>
    </row>
    <row r="50" spans="1:17">
      <c r="B50" t="s">
        <v>3129</v>
      </c>
      <c r="C50" t="s">
        <v>1911</v>
      </c>
      <c r="E50" t="s">
        <v>3319</v>
      </c>
      <c r="F50" t="s">
        <v>3320</v>
      </c>
      <c r="G50" t="s">
        <v>3311</v>
      </c>
      <c r="I50" t="s">
        <v>1887</v>
      </c>
      <c r="N50" s="1" t="s">
        <v>3805</v>
      </c>
      <c r="O50" t="s">
        <v>156</v>
      </c>
      <c r="P50" t="s">
        <v>175</v>
      </c>
      <c r="Q50" t="s">
        <v>9</v>
      </c>
    </row>
    <row r="51" spans="1:17">
      <c r="N51" s="1" t="s">
        <v>3805</v>
      </c>
    </row>
    <row r="52" spans="1:17">
      <c r="A52" s="1"/>
      <c r="B52" s="1" t="s">
        <v>3130</v>
      </c>
      <c r="C52" s="1" t="s">
        <v>1727</v>
      </c>
      <c r="D52" s="1"/>
      <c r="E52" s="1" t="s">
        <v>3319</v>
      </c>
      <c r="F52" s="1" t="s">
        <v>3320</v>
      </c>
      <c r="G52" s="1"/>
      <c r="H52" s="1"/>
      <c r="I52" s="1" t="s">
        <v>1917</v>
      </c>
      <c r="J52" s="1" t="s">
        <v>1918</v>
      </c>
      <c r="K52" s="1" t="s">
        <v>1919</v>
      </c>
      <c r="L52" s="1"/>
      <c r="M52" s="1"/>
      <c r="N52" s="1" t="s">
        <v>3805</v>
      </c>
      <c r="O52" s="1" t="s">
        <v>156</v>
      </c>
      <c r="P52" s="1" t="s">
        <v>53</v>
      </c>
      <c r="Q52" s="1" t="s">
        <v>41</v>
      </c>
    </row>
    <row r="53" spans="1:17">
      <c r="A53" s="1"/>
      <c r="B53" s="1" t="s">
        <v>3131</v>
      </c>
      <c r="C53" t="s">
        <v>1739</v>
      </c>
      <c r="E53" t="s">
        <v>3319</v>
      </c>
      <c r="F53" t="s">
        <v>3320</v>
      </c>
      <c r="G53" t="s">
        <v>3311</v>
      </c>
      <c r="I53" t="s">
        <v>1913</v>
      </c>
      <c r="J53" t="s">
        <v>1916</v>
      </c>
      <c r="N53" s="1" t="s">
        <v>3805</v>
      </c>
      <c r="O53" t="s">
        <v>164</v>
      </c>
      <c r="P53" t="s">
        <v>32</v>
      </c>
      <c r="Q53" t="s">
        <v>41</v>
      </c>
    </row>
    <row r="54" spans="1:17">
      <c r="B54" t="s">
        <v>3132</v>
      </c>
      <c r="C54" t="s">
        <v>1742</v>
      </c>
      <c r="E54" t="s">
        <v>3319</v>
      </c>
      <c r="F54" t="s">
        <v>3320</v>
      </c>
      <c r="G54" t="s">
        <v>3311</v>
      </c>
      <c r="I54" t="s">
        <v>1914</v>
      </c>
      <c r="J54" t="s">
        <v>1915</v>
      </c>
      <c r="N54" s="1" t="s">
        <v>3805</v>
      </c>
      <c r="O54" t="s">
        <v>170</v>
      </c>
      <c r="P54" t="s">
        <v>178</v>
      </c>
      <c r="Q54" t="s">
        <v>41</v>
      </c>
    </row>
    <row r="55" spans="1:17">
      <c r="N55" s="1" t="s">
        <v>3805</v>
      </c>
    </row>
    <row r="56" spans="1:17">
      <c r="N56" s="1" t="s">
        <v>3805</v>
      </c>
    </row>
    <row r="57" spans="1:17">
      <c r="N57" s="1" t="s">
        <v>3805</v>
      </c>
    </row>
    <row r="58" spans="1:17">
      <c r="N58" s="1" t="s">
        <v>3805</v>
      </c>
    </row>
    <row r="59" spans="1:17">
      <c r="N59" s="1" t="s">
        <v>3805</v>
      </c>
    </row>
    <row r="60" spans="1:17">
      <c r="N60" s="1" t="s">
        <v>3805</v>
      </c>
    </row>
    <row r="61" spans="1:17">
      <c r="N61" s="1" t="s">
        <v>3805</v>
      </c>
    </row>
    <row r="62" spans="1:17">
      <c r="N62" s="1" t="s">
        <v>3805</v>
      </c>
    </row>
    <row r="63" spans="1:17">
      <c r="N63" s="1" t="s">
        <v>3805</v>
      </c>
    </row>
    <row r="64" spans="1:17">
      <c r="N64" s="1" t="s">
        <v>3805</v>
      </c>
    </row>
    <row r="65" spans="14:14">
      <c r="N65" s="1" t="s">
        <v>3805</v>
      </c>
    </row>
    <row r="66" spans="14:14">
      <c r="N66" s="1" t="s">
        <v>3805</v>
      </c>
    </row>
    <row r="67" spans="14:14">
      <c r="N67" s="1" t="s">
        <v>3805</v>
      </c>
    </row>
    <row r="68" spans="14:14">
      <c r="N68" s="1" t="s">
        <v>3805</v>
      </c>
    </row>
    <row r="69" spans="14:14">
      <c r="N69" s="1" t="s">
        <v>3805</v>
      </c>
    </row>
    <row r="70" spans="14:14">
      <c r="N70" s="1" t="s">
        <v>3805</v>
      </c>
    </row>
    <row r="71" spans="14:14">
      <c r="N71" s="1" t="s">
        <v>3805</v>
      </c>
    </row>
    <row r="72" spans="14:14">
      <c r="N72" s="1" t="s">
        <v>3805</v>
      </c>
    </row>
    <row r="73" spans="14:14">
      <c r="N73" s="1" t="s">
        <v>3805</v>
      </c>
    </row>
    <row r="74" spans="14:14">
      <c r="N74" s="1" t="s">
        <v>3805</v>
      </c>
    </row>
    <row r="75" spans="14:14">
      <c r="N75" s="1" t="s">
        <v>3805</v>
      </c>
    </row>
    <row r="76" spans="14:14">
      <c r="N76" s="1" t="s">
        <v>3805</v>
      </c>
    </row>
    <row r="77" spans="14:14">
      <c r="N77" s="1" t="s">
        <v>3805</v>
      </c>
    </row>
    <row r="78" spans="14:14">
      <c r="N78" s="1" t="s">
        <v>3805</v>
      </c>
    </row>
    <row r="79" spans="14:14">
      <c r="N79" s="1" t="s">
        <v>3805</v>
      </c>
    </row>
    <row r="80" spans="14:14">
      <c r="N80" s="1" t="s">
        <v>3805</v>
      </c>
    </row>
    <row r="81" spans="14:14">
      <c r="N81" s="1" t="s">
        <v>3805</v>
      </c>
    </row>
    <row r="82" spans="14:14">
      <c r="N82" s="1" t="s">
        <v>3805</v>
      </c>
    </row>
    <row r="83" spans="14:14">
      <c r="N83" s="1" t="s">
        <v>3805</v>
      </c>
    </row>
    <row r="84" spans="14:14">
      <c r="N84" s="1" t="s">
        <v>3805</v>
      </c>
    </row>
    <row r="85" spans="14:14">
      <c r="N85" s="1" t="s">
        <v>3805</v>
      </c>
    </row>
    <row r="86" spans="14:14">
      <c r="N86" s="1" t="s">
        <v>3805</v>
      </c>
    </row>
    <row r="87" spans="14:14">
      <c r="N87" s="1" t="s">
        <v>3805</v>
      </c>
    </row>
  </sheetData>
  <autoFilter ref="A1:Y87"/>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filterMode="1"/>
  <dimension ref="A1:Q40"/>
  <sheetViews>
    <sheetView workbookViewId="0">
      <selection activeCell="B10" sqref="B10:Q31"/>
    </sheetView>
  </sheetViews>
  <sheetFormatPr defaultRowHeight="18.75"/>
  <cols>
    <col min="1" max="16384" width="9" style="8"/>
  </cols>
  <sheetData>
    <row r="1" spans="1:17">
      <c r="A1" s="35" t="s">
        <v>1922</v>
      </c>
      <c r="B1" s="35" t="s">
        <v>3133</v>
      </c>
      <c r="C1" s="35" t="s">
        <v>1928</v>
      </c>
      <c r="D1" s="35"/>
      <c r="E1" s="35" t="s">
        <v>3319</v>
      </c>
      <c r="F1" s="35" t="s">
        <v>3320</v>
      </c>
      <c r="G1" s="35" t="s">
        <v>3287</v>
      </c>
      <c r="H1" s="35"/>
      <c r="I1" s="35" t="s">
        <v>12</v>
      </c>
      <c r="J1" s="35" t="s">
        <v>1920</v>
      </c>
      <c r="K1" s="35"/>
      <c r="L1" s="35"/>
      <c r="M1" s="35"/>
      <c r="N1" s="35"/>
      <c r="O1" s="35" t="s">
        <v>154</v>
      </c>
      <c r="P1" s="35" t="s">
        <v>16</v>
      </c>
      <c r="Q1" s="35" t="s">
        <v>4</v>
      </c>
    </row>
    <row r="2" spans="1:17" hidden="1">
      <c r="A2" s="35" t="s">
        <v>1923</v>
      </c>
      <c r="B2" s="35" t="s">
        <v>3134</v>
      </c>
      <c r="C2" s="35" t="s">
        <v>1928</v>
      </c>
      <c r="D2" s="35"/>
      <c r="E2" s="8" t="s">
        <v>3321</v>
      </c>
      <c r="F2" s="8" t="s">
        <v>3320</v>
      </c>
      <c r="G2" s="8" t="s">
        <v>3290</v>
      </c>
      <c r="I2" s="8" t="s">
        <v>13</v>
      </c>
      <c r="O2" s="8" t="s">
        <v>161</v>
      </c>
      <c r="P2" s="8" t="s">
        <v>1927</v>
      </c>
      <c r="Q2" s="8" t="s">
        <v>4</v>
      </c>
    </row>
    <row r="3" spans="1:17" hidden="1">
      <c r="A3" s="9" t="s">
        <v>1924</v>
      </c>
      <c r="B3" s="9" t="s">
        <v>3135</v>
      </c>
      <c r="C3" s="9" t="s">
        <v>1928</v>
      </c>
      <c r="D3" s="9"/>
      <c r="E3" s="9" t="s">
        <v>3319</v>
      </c>
      <c r="F3" s="9" t="s">
        <v>3320</v>
      </c>
      <c r="G3" s="9" t="s">
        <v>3307</v>
      </c>
      <c r="H3" s="9"/>
      <c r="I3" s="9" t="s">
        <v>0</v>
      </c>
      <c r="J3" s="9" t="s">
        <v>890</v>
      </c>
      <c r="K3" s="9"/>
      <c r="L3" s="9"/>
      <c r="M3" s="9"/>
      <c r="N3" s="9"/>
      <c r="O3" s="9" t="s">
        <v>162</v>
      </c>
      <c r="P3" s="9" t="s">
        <v>15</v>
      </c>
      <c r="Q3" s="9" t="s">
        <v>4</v>
      </c>
    </row>
    <row r="4" spans="1:17" hidden="1">
      <c r="A4" s="9" t="s">
        <v>1925</v>
      </c>
      <c r="B4" s="9" t="s">
        <v>3136</v>
      </c>
      <c r="C4" s="9" t="s">
        <v>1930</v>
      </c>
      <c r="D4" s="9"/>
      <c r="E4" s="9" t="s">
        <v>3319</v>
      </c>
      <c r="F4" s="9" t="s">
        <v>3320</v>
      </c>
      <c r="G4" s="9" t="s">
        <v>3295</v>
      </c>
      <c r="H4" s="9"/>
      <c r="I4" s="9" t="s">
        <v>1931</v>
      </c>
      <c r="J4" s="9" t="s">
        <v>1921</v>
      </c>
      <c r="K4" s="9"/>
      <c r="L4" s="9"/>
      <c r="M4" s="9"/>
      <c r="N4" s="9"/>
      <c r="O4" s="9" t="s">
        <v>156</v>
      </c>
      <c r="P4" s="9" t="s">
        <v>10</v>
      </c>
      <c r="Q4" s="9" t="s">
        <v>4</v>
      </c>
    </row>
    <row r="5" spans="1:17" hidden="1">
      <c r="A5" s="9" t="s">
        <v>1926</v>
      </c>
      <c r="B5" s="9" t="s">
        <v>3137</v>
      </c>
      <c r="C5" s="9" t="s">
        <v>1929</v>
      </c>
      <c r="D5" s="9"/>
      <c r="E5" s="9" t="s">
        <v>3319</v>
      </c>
      <c r="F5" s="9" t="s">
        <v>3320</v>
      </c>
      <c r="G5" s="9" t="s">
        <v>3290</v>
      </c>
      <c r="H5" s="9"/>
      <c r="I5" s="9" t="s">
        <v>3736</v>
      </c>
      <c r="J5" s="9" t="s">
        <v>23</v>
      </c>
      <c r="K5" s="9"/>
      <c r="L5" s="9"/>
      <c r="M5" s="9"/>
      <c r="N5" s="9"/>
      <c r="O5" s="9" t="s">
        <v>168</v>
      </c>
      <c r="P5" s="9" t="s">
        <v>6</v>
      </c>
      <c r="Q5" s="9" t="s">
        <v>4</v>
      </c>
    </row>
    <row r="6" spans="1:17" hidden="1"/>
    <row r="7" spans="1:17" hidden="1">
      <c r="A7" s="12" t="s">
        <v>1975</v>
      </c>
      <c r="B7" s="12" t="s">
        <v>3138</v>
      </c>
      <c r="C7" s="12" t="s">
        <v>1982</v>
      </c>
      <c r="D7" s="12"/>
      <c r="E7" s="12" t="s">
        <v>3319</v>
      </c>
      <c r="F7" s="12" t="s">
        <v>3320</v>
      </c>
      <c r="G7" s="12" t="s">
        <v>3307</v>
      </c>
      <c r="H7" s="12"/>
      <c r="I7" s="12" t="s">
        <v>1984</v>
      </c>
      <c r="J7" s="12" t="s">
        <v>1972</v>
      </c>
      <c r="K7" s="12"/>
      <c r="L7" s="12"/>
      <c r="M7" s="12"/>
      <c r="N7" s="12"/>
      <c r="O7" s="12" t="s">
        <v>157</v>
      </c>
      <c r="P7" s="12" t="s">
        <v>8</v>
      </c>
      <c r="Q7" s="12" t="s">
        <v>4</v>
      </c>
    </row>
    <row r="8" spans="1:17" hidden="1">
      <c r="A8" s="12" t="s">
        <v>1976</v>
      </c>
      <c r="B8" s="12" t="s">
        <v>3139</v>
      </c>
      <c r="C8" s="12" t="s">
        <v>1983</v>
      </c>
      <c r="D8" s="12"/>
      <c r="E8" s="12" t="s">
        <v>3319</v>
      </c>
      <c r="F8" s="12" t="s">
        <v>3320</v>
      </c>
      <c r="G8" s="12" t="s">
        <v>3307</v>
      </c>
      <c r="H8" s="12"/>
      <c r="I8" s="12" t="s">
        <v>1973</v>
      </c>
      <c r="J8" s="12"/>
      <c r="K8" s="12"/>
      <c r="L8" s="12"/>
      <c r="M8" s="12"/>
      <c r="N8" s="12"/>
      <c r="O8" s="9" t="s">
        <v>154</v>
      </c>
      <c r="P8" s="9" t="s">
        <v>5</v>
      </c>
      <c r="Q8" s="9" t="s">
        <v>4</v>
      </c>
    </row>
    <row r="9" spans="1:17" hidden="1">
      <c r="A9" s="8" t="s">
        <v>1977</v>
      </c>
      <c r="B9" s="8" t="s">
        <v>3140</v>
      </c>
      <c r="C9" s="8" t="s">
        <v>1979</v>
      </c>
      <c r="E9" s="8" t="s">
        <v>3321</v>
      </c>
      <c r="F9" s="8" t="s">
        <v>3320</v>
      </c>
      <c r="G9" s="8" t="s">
        <v>3287</v>
      </c>
      <c r="I9" s="8" t="s">
        <v>1974</v>
      </c>
      <c r="J9" s="8" t="s">
        <v>1985</v>
      </c>
      <c r="O9" s="8" t="s">
        <v>170</v>
      </c>
      <c r="P9" s="8" t="s">
        <v>1927</v>
      </c>
      <c r="Q9" s="8" t="s">
        <v>4</v>
      </c>
    </row>
    <row r="10" spans="1:17">
      <c r="A10" s="5" t="s">
        <v>1978</v>
      </c>
      <c r="B10" s="5" t="s">
        <v>3141</v>
      </c>
      <c r="C10" s="5" t="s">
        <v>1980</v>
      </c>
      <c r="D10" s="5"/>
      <c r="E10" s="5" t="s">
        <v>3321</v>
      </c>
      <c r="F10" s="5" t="s">
        <v>3320</v>
      </c>
      <c r="G10" s="5" t="s">
        <v>3307</v>
      </c>
      <c r="H10" s="5"/>
      <c r="I10" s="5" t="s">
        <v>1981</v>
      </c>
      <c r="J10" s="5"/>
      <c r="K10" s="5"/>
      <c r="L10" s="5"/>
      <c r="M10" s="5"/>
      <c r="N10" s="5"/>
      <c r="O10" s="5" t="s">
        <v>618</v>
      </c>
      <c r="P10" s="5" t="s">
        <v>18</v>
      </c>
      <c r="Q10" s="5" t="s">
        <v>4</v>
      </c>
    </row>
    <row r="11" spans="1:17" hidden="1"/>
    <row r="12" spans="1:17" hidden="1">
      <c r="A12" s="47" t="s">
        <v>2017</v>
      </c>
      <c r="B12" s="47" t="s">
        <v>3142</v>
      </c>
      <c r="C12" s="47" t="s">
        <v>2018</v>
      </c>
      <c r="D12" s="47"/>
      <c r="E12" s="47" t="s">
        <v>3319</v>
      </c>
      <c r="F12" s="47" t="s">
        <v>3320</v>
      </c>
      <c r="G12" s="47" t="s">
        <v>3293</v>
      </c>
      <c r="H12" s="47"/>
      <c r="I12" s="47" t="s">
        <v>1118</v>
      </c>
      <c r="J12" s="47"/>
      <c r="K12" s="47"/>
      <c r="L12" s="47"/>
      <c r="M12" s="47"/>
      <c r="N12" s="47"/>
      <c r="O12" s="47" t="s">
        <v>162</v>
      </c>
      <c r="P12" s="47" t="s">
        <v>6</v>
      </c>
      <c r="Q12" s="47" t="s">
        <v>4</v>
      </c>
    </row>
    <row r="13" spans="1:17" hidden="1"/>
    <row r="14" spans="1:17" hidden="1">
      <c r="A14" s="47" t="s">
        <v>2039</v>
      </c>
      <c r="B14" s="47" t="s">
        <v>3143</v>
      </c>
      <c r="C14" s="47" t="s">
        <v>2046</v>
      </c>
      <c r="D14" s="47"/>
      <c r="E14" s="47" t="s">
        <v>3319</v>
      </c>
      <c r="F14" s="47" t="s">
        <v>3320</v>
      </c>
      <c r="G14" s="47" t="s">
        <v>3302</v>
      </c>
      <c r="H14" s="47"/>
      <c r="I14" s="47" t="s">
        <v>2048</v>
      </c>
      <c r="J14" s="47" t="s">
        <v>2037</v>
      </c>
      <c r="K14" s="47"/>
      <c r="L14" s="47"/>
      <c r="M14" s="47"/>
      <c r="N14" s="47"/>
      <c r="O14" s="47" t="s">
        <v>156</v>
      </c>
      <c r="P14" s="47" t="s">
        <v>11</v>
      </c>
      <c r="Q14" s="47" t="s">
        <v>4</v>
      </c>
    </row>
    <row r="15" spans="1:17">
      <c r="A15" s="84" t="s">
        <v>2040</v>
      </c>
      <c r="B15" s="84" t="s">
        <v>3144</v>
      </c>
      <c r="C15" s="84" t="s">
        <v>2044</v>
      </c>
      <c r="D15" s="84"/>
      <c r="E15" s="21" t="s">
        <v>3319</v>
      </c>
      <c r="F15" s="21" t="s">
        <v>3320</v>
      </c>
      <c r="G15" s="21" t="s">
        <v>3302</v>
      </c>
      <c r="H15" s="21"/>
      <c r="I15" s="21" t="s">
        <v>1733</v>
      </c>
      <c r="J15" s="21" t="s">
        <v>2038</v>
      </c>
      <c r="K15" s="21"/>
      <c r="L15" s="21"/>
      <c r="M15" s="21"/>
      <c r="N15" s="21"/>
      <c r="O15" s="21" t="s">
        <v>156</v>
      </c>
      <c r="P15" s="21" t="s">
        <v>16</v>
      </c>
      <c r="Q15" s="21" t="s">
        <v>4</v>
      </c>
    </row>
    <row r="16" spans="1:17" hidden="1">
      <c r="A16" s="48" t="s">
        <v>2041</v>
      </c>
      <c r="B16" s="48" t="s">
        <v>3145</v>
      </c>
      <c r="C16" s="48" t="s">
        <v>2047</v>
      </c>
      <c r="D16" s="48"/>
      <c r="E16" s="48" t="s">
        <v>3319</v>
      </c>
      <c r="F16" s="48" t="s">
        <v>3320</v>
      </c>
      <c r="G16" s="48" t="s">
        <v>3311</v>
      </c>
      <c r="H16" s="48"/>
      <c r="I16" s="48" t="s">
        <v>2045</v>
      </c>
      <c r="J16" s="48"/>
      <c r="K16" s="48"/>
      <c r="L16" s="48"/>
      <c r="M16" s="48"/>
      <c r="N16" s="48"/>
      <c r="O16" s="48" t="s">
        <v>154</v>
      </c>
      <c r="P16" s="48" t="s">
        <v>863</v>
      </c>
      <c r="Q16" s="48" t="s">
        <v>4</v>
      </c>
    </row>
    <row r="17" spans="1:17" hidden="1">
      <c r="A17" s="36" t="s">
        <v>2042</v>
      </c>
      <c r="B17" s="36" t="s">
        <v>3146</v>
      </c>
      <c r="C17" s="36" t="s">
        <v>2044</v>
      </c>
      <c r="D17" s="36"/>
      <c r="E17" s="36" t="s">
        <v>3319</v>
      </c>
      <c r="F17" s="36" t="s">
        <v>3320</v>
      </c>
      <c r="G17" s="36" t="s">
        <v>3291</v>
      </c>
      <c r="H17" s="36"/>
      <c r="I17" s="36" t="s">
        <v>1118</v>
      </c>
      <c r="J17" s="36"/>
      <c r="K17" s="36"/>
      <c r="L17" s="36"/>
      <c r="M17" s="36"/>
      <c r="N17" s="36"/>
      <c r="O17" s="36" t="s">
        <v>154</v>
      </c>
      <c r="P17" s="36" t="s">
        <v>15</v>
      </c>
      <c r="Q17" s="36" t="s">
        <v>4</v>
      </c>
    </row>
    <row r="18" spans="1:17" hidden="1">
      <c r="A18" s="36" t="s">
        <v>2043</v>
      </c>
      <c r="B18" s="36" t="s">
        <v>3147</v>
      </c>
      <c r="C18" s="36" t="s">
        <v>2044</v>
      </c>
      <c r="D18" s="36"/>
      <c r="E18" s="36" t="s">
        <v>3319</v>
      </c>
      <c r="F18" s="36" t="s">
        <v>3320</v>
      </c>
      <c r="G18" s="37" t="s">
        <v>3735</v>
      </c>
      <c r="H18" s="36"/>
      <c r="I18" s="36" t="s">
        <v>1482</v>
      </c>
      <c r="J18" s="36" t="s">
        <v>20</v>
      </c>
      <c r="K18" s="36"/>
      <c r="L18" s="36"/>
      <c r="M18" s="36"/>
      <c r="N18" s="36"/>
      <c r="O18" s="36" t="s">
        <v>156</v>
      </c>
      <c r="P18" s="36" t="s">
        <v>11</v>
      </c>
      <c r="Q18" s="36" t="s">
        <v>4</v>
      </c>
    </row>
    <row r="19" spans="1:17" hidden="1"/>
    <row r="20" spans="1:17" hidden="1">
      <c r="A20" s="12" t="s">
        <v>2080</v>
      </c>
      <c r="B20" s="12" t="s">
        <v>3148</v>
      </c>
      <c r="C20" s="12" t="s">
        <v>2082</v>
      </c>
      <c r="D20" s="12"/>
      <c r="E20" s="12" t="s">
        <v>3319</v>
      </c>
      <c r="F20" s="12" t="s">
        <v>3320</v>
      </c>
      <c r="G20" s="12" t="s">
        <v>3285</v>
      </c>
      <c r="H20" s="12"/>
      <c r="I20" s="12" t="s">
        <v>22</v>
      </c>
      <c r="J20" s="12"/>
      <c r="K20" s="12"/>
      <c r="L20" s="12"/>
      <c r="M20" s="12"/>
      <c r="N20" s="12"/>
      <c r="O20" s="12" t="s">
        <v>154</v>
      </c>
      <c r="P20" s="12" t="s">
        <v>18</v>
      </c>
      <c r="Q20" s="12" t="s">
        <v>4</v>
      </c>
    </row>
    <row r="21" spans="1:17" hidden="1">
      <c r="A21" s="35" t="s">
        <v>2081</v>
      </c>
      <c r="B21" s="35" t="s">
        <v>3149</v>
      </c>
      <c r="C21" s="35" t="s">
        <v>2082</v>
      </c>
      <c r="D21" s="35"/>
      <c r="E21" s="35" t="s">
        <v>3319</v>
      </c>
      <c r="F21" s="35" t="s">
        <v>3320</v>
      </c>
      <c r="G21" s="35" t="s">
        <v>3302</v>
      </c>
      <c r="H21" s="35" t="s">
        <v>3290</v>
      </c>
      <c r="I21" s="35" t="s">
        <v>23</v>
      </c>
      <c r="J21" s="35" t="s">
        <v>1733</v>
      </c>
      <c r="K21" s="35"/>
      <c r="L21" s="35"/>
      <c r="M21" s="35"/>
      <c r="N21" s="35"/>
      <c r="O21" s="35" t="s">
        <v>154</v>
      </c>
      <c r="P21" s="35" t="s">
        <v>15</v>
      </c>
      <c r="Q21" s="35" t="s">
        <v>4</v>
      </c>
    </row>
    <row r="22" spans="1:17" hidden="1"/>
    <row r="23" spans="1:17" hidden="1">
      <c r="A23" s="35" t="s">
        <v>2104</v>
      </c>
      <c r="B23" s="35" t="s">
        <v>3150</v>
      </c>
      <c r="C23" s="35" t="s">
        <v>2105</v>
      </c>
      <c r="D23" s="35"/>
      <c r="E23" s="35" t="s">
        <v>3321</v>
      </c>
      <c r="F23" s="35" t="s">
        <v>3320</v>
      </c>
      <c r="G23" s="35" t="s">
        <v>3287</v>
      </c>
      <c r="H23" s="35"/>
      <c r="I23" s="35" t="s">
        <v>2103</v>
      </c>
      <c r="J23" s="35"/>
      <c r="K23" s="35"/>
      <c r="L23" s="35"/>
      <c r="M23" s="35"/>
      <c r="N23" s="35"/>
      <c r="O23" s="35" t="s">
        <v>158</v>
      </c>
      <c r="P23" s="35" t="s">
        <v>1927</v>
      </c>
      <c r="Q23" s="35" t="s">
        <v>4</v>
      </c>
    </row>
    <row r="24" spans="1:17" hidden="1"/>
    <row r="25" spans="1:17">
      <c r="A25" s="23" t="s">
        <v>2145</v>
      </c>
      <c r="B25" s="23" t="s">
        <v>3151</v>
      </c>
      <c r="C25" s="23" t="s">
        <v>2146</v>
      </c>
      <c r="D25" s="23"/>
      <c r="E25" s="23" t="s">
        <v>3319</v>
      </c>
      <c r="F25" s="23" t="s">
        <v>3320</v>
      </c>
      <c r="G25" s="23" t="s">
        <v>3287</v>
      </c>
      <c r="H25" s="23"/>
      <c r="I25" s="23" t="s">
        <v>2144</v>
      </c>
      <c r="J25" s="23"/>
      <c r="K25" s="23"/>
      <c r="L25" s="23"/>
      <c r="M25" s="23"/>
      <c r="N25" s="23"/>
      <c r="O25" s="23" t="s">
        <v>154</v>
      </c>
      <c r="P25" s="23" t="s">
        <v>11</v>
      </c>
      <c r="Q25" s="23" t="s">
        <v>4</v>
      </c>
    </row>
    <row r="26" spans="1:17" hidden="1"/>
    <row r="27" spans="1:17" hidden="1">
      <c r="A27" s="35" t="s">
        <v>2178</v>
      </c>
      <c r="B27" s="35" t="s">
        <v>3152</v>
      </c>
      <c r="C27" s="35" t="s">
        <v>2181</v>
      </c>
      <c r="D27" s="35"/>
      <c r="E27" s="35" t="s">
        <v>3319</v>
      </c>
      <c r="F27" s="35" t="s">
        <v>3320</v>
      </c>
      <c r="G27" s="35" t="s">
        <v>3286</v>
      </c>
      <c r="H27" s="35"/>
      <c r="I27" s="35" t="s">
        <v>2176</v>
      </c>
      <c r="J27" s="35"/>
      <c r="K27" s="35"/>
      <c r="L27" s="35"/>
      <c r="M27" s="35"/>
      <c r="N27" s="35"/>
      <c r="O27" s="35" t="s">
        <v>162</v>
      </c>
      <c r="P27" s="35" t="s">
        <v>8</v>
      </c>
      <c r="Q27" s="35" t="s">
        <v>4</v>
      </c>
    </row>
    <row r="28" spans="1:17" hidden="1">
      <c r="A28" s="35" t="s">
        <v>2179</v>
      </c>
      <c r="B28" s="35" t="s">
        <v>3153</v>
      </c>
      <c r="C28" s="35" t="s">
        <v>2181</v>
      </c>
      <c r="D28" s="35"/>
      <c r="E28" s="35" t="s">
        <v>3319</v>
      </c>
      <c r="F28" s="35" t="s">
        <v>3320</v>
      </c>
      <c r="G28" s="35" t="s">
        <v>3286</v>
      </c>
      <c r="H28" s="35"/>
      <c r="I28" s="35" t="s">
        <v>2177</v>
      </c>
      <c r="J28" s="35"/>
      <c r="K28" s="35"/>
      <c r="L28" s="35"/>
      <c r="M28" s="35"/>
      <c r="N28" s="35"/>
      <c r="O28" s="35" t="s">
        <v>165</v>
      </c>
      <c r="P28" s="35" t="s">
        <v>5</v>
      </c>
      <c r="Q28" s="35" t="s">
        <v>4</v>
      </c>
    </row>
    <row r="29" spans="1:17">
      <c r="A29" s="21" t="s">
        <v>2180</v>
      </c>
      <c r="B29" s="21" t="s">
        <v>3154</v>
      </c>
      <c r="C29" s="21" t="s">
        <v>2182</v>
      </c>
      <c r="D29" s="21"/>
      <c r="E29" s="21" t="s">
        <v>3319</v>
      </c>
      <c r="F29" s="21" t="s">
        <v>3320</v>
      </c>
      <c r="G29" s="21" t="s">
        <v>3290</v>
      </c>
      <c r="H29" s="21"/>
      <c r="I29" s="21" t="s">
        <v>1397</v>
      </c>
      <c r="J29" s="21"/>
      <c r="K29" s="21"/>
      <c r="L29" s="21"/>
      <c r="M29" s="21"/>
      <c r="N29" s="21"/>
      <c r="O29" s="21" t="s">
        <v>154</v>
      </c>
      <c r="P29" s="21" t="s">
        <v>5</v>
      </c>
      <c r="Q29" s="21" t="s">
        <v>4</v>
      </c>
    </row>
    <row r="30" spans="1:17" hidden="1"/>
    <row r="31" spans="1:17">
      <c r="A31" s="23" t="s">
        <v>2208</v>
      </c>
      <c r="B31" s="23" t="s">
        <v>3155</v>
      </c>
      <c r="C31" s="23" t="s">
        <v>2209</v>
      </c>
      <c r="D31" s="23"/>
      <c r="E31" s="23" t="s">
        <v>3319</v>
      </c>
      <c r="F31" s="23" t="s">
        <v>3320</v>
      </c>
      <c r="G31" s="23" t="s">
        <v>3310</v>
      </c>
      <c r="H31" s="23" t="s">
        <v>3287</v>
      </c>
      <c r="I31" s="23" t="s">
        <v>2210</v>
      </c>
      <c r="J31" s="23"/>
      <c r="K31" s="23"/>
      <c r="L31" s="23"/>
      <c r="M31" s="23"/>
      <c r="N31" s="23"/>
      <c r="O31" s="23" t="s">
        <v>154</v>
      </c>
      <c r="P31" s="23" t="s">
        <v>16</v>
      </c>
      <c r="Q31" s="23" t="s">
        <v>4</v>
      </c>
    </row>
    <row r="32" spans="1:17" hidden="1"/>
    <row r="33" spans="1:17" hidden="1">
      <c r="A33" s="35" t="s">
        <v>2228</v>
      </c>
      <c r="B33" s="35" t="s">
        <v>3156</v>
      </c>
      <c r="C33" s="35" t="s">
        <v>2231</v>
      </c>
      <c r="D33" s="35"/>
      <c r="E33" s="35" t="s">
        <v>3321</v>
      </c>
      <c r="F33" s="35" t="s">
        <v>3320</v>
      </c>
      <c r="G33" s="35" t="s">
        <v>3287</v>
      </c>
      <c r="H33" s="35"/>
      <c r="I33" s="35" t="s">
        <v>2</v>
      </c>
      <c r="J33" s="35" t="s">
        <v>2225</v>
      </c>
      <c r="K33" s="35"/>
      <c r="L33" s="35"/>
      <c r="M33" s="35"/>
      <c r="N33" s="35"/>
      <c r="O33" s="35" t="s">
        <v>154</v>
      </c>
      <c r="P33" s="35" t="s">
        <v>15</v>
      </c>
      <c r="Q33" s="35" t="s">
        <v>4</v>
      </c>
    </row>
    <row r="34" spans="1:17" hidden="1"/>
    <row r="35" spans="1:17" hidden="1">
      <c r="A35" s="35" t="s">
        <v>2248</v>
      </c>
      <c r="B35" s="35" t="s">
        <v>3157</v>
      </c>
      <c r="C35" s="35" t="s">
        <v>2256</v>
      </c>
      <c r="D35" s="35"/>
      <c r="E35" s="35" t="s">
        <v>3319</v>
      </c>
      <c r="F35" s="35" t="s">
        <v>3320</v>
      </c>
      <c r="G35" s="35" t="s">
        <v>3286</v>
      </c>
      <c r="H35" s="35"/>
      <c r="I35" s="35" t="s">
        <v>2243</v>
      </c>
      <c r="J35" s="35"/>
      <c r="K35" s="35"/>
      <c r="L35" s="35"/>
      <c r="M35" s="35"/>
      <c r="N35" s="35"/>
      <c r="O35" s="35" t="s">
        <v>162</v>
      </c>
      <c r="P35" s="35" t="s">
        <v>1927</v>
      </c>
      <c r="Q35" s="35" t="s">
        <v>4</v>
      </c>
    </row>
    <row r="36" spans="1:17" hidden="1">
      <c r="A36" s="36" t="s">
        <v>2250</v>
      </c>
      <c r="B36" s="36" t="s">
        <v>3158</v>
      </c>
      <c r="C36" s="36" t="s">
        <v>2254</v>
      </c>
      <c r="D36" s="36"/>
      <c r="E36" s="36" t="s">
        <v>3319</v>
      </c>
      <c r="F36" s="36" t="s">
        <v>3320</v>
      </c>
      <c r="G36" s="36" t="s">
        <v>3286</v>
      </c>
      <c r="H36" s="36"/>
      <c r="I36" s="36" t="s">
        <v>2245</v>
      </c>
      <c r="J36" s="36" t="s">
        <v>2252</v>
      </c>
      <c r="K36" s="36"/>
      <c r="L36" s="36"/>
      <c r="M36" s="36"/>
      <c r="N36" s="36"/>
      <c r="O36" s="36" t="s">
        <v>168</v>
      </c>
      <c r="P36" s="36" t="s">
        <v>1927</v>
      </c>
      <c r="Q36" s="36" t="s">
        <v>4</v>
      </c>
    </row>
    <row r="37" spans="1:17" hidden="1"/>
    <row r="38" spans="1:17" hidden="1">
      <c r="A38" s="36" t="s">
        <v>2269</v>
      </c>
      <c r="B38" s="36" t="s">
        <v>3159</v>
      </c>
      <c r="C38" s="36" t="s">
        <v>2271</v>
      </c>
      <c r="D38" s="36"/>
      <c r="E38" s="36" t="s">
        <v>3319</v>
      </c>
      <c r="F38" s="36" t="s">
        <v>3320</v>
      </c>
      <c r="G38" s="36" t="s">
        <v>3291</v>
      </c>
      <c r="H38" s="36"/>
      <c r="I38" s="36" t="s">
        <v>20</v>
      </c>
      <c r="J38" s="36" t="s">
        <v>2272</v>
      </c>
      <c r="K38" s="36"/>
      <c r="L38" s="36"/>
      <c r="M38" s="36"/>
      <c r="N38" s="36"/>
      <c r="O38" s="36" t="s">
        <v>1204</v>
      </c>
      <c r="P38" s="36" t="s">
        <v>38</v>
      </c>
      <c r="Q38" s="36" t="s">
        <v>4</v>
      </c>
    </row>
    <row r="39" spans="1:17" hidden="1"/>
    <row r="40" spans="1:17" hidden="1">
      <c r="A40" s="36" t="s">
        <v>2277</v>
      </c>
      <c r="B40" s="36" t="s">
        <v>3160</v>
      </c>
      <c r="C40" s="36" t="s">
        <v>2280</v>
      </c>
      <c r="D40" s="36"/>
      <c r="E40" s="36" t="s">
        <v>3319</v>
      </c>
      <c r="F40" s="36" t="s">
        <v>3320</v>
      </c>
      <c r="G40" s="36" t="s">
        <v>3291</v>
      </c>
      <c r="H40" s="36"/>
      <c r="I40" s="36" t="s">
        <v>148</v>
      </c>
      <c r="J40" s="36" t="s">
        <v>2281</v>
      </c>
      <c r="K40" s="36"/>
      <c r="L40" s="36"/>
      <c r="M40" s="36"/>
      <c r="N40" s="36"/>
      <c r="O40" s="36" t="s">
        <v>616</v>
      </c>
      <c r="P40" s="36" t="s">
        <v>38</v>
      </c>
      <c r="Q40" s="36" t="s">
        <v>4</v>
      </c>
    </row>
  </sheetData>
  <autoFilter ref="A1:Q40">
    <filterColumn colId="0">
      <colorFilter dxfId="0"/>
    </filterColumn>
  </autoFilter>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78"/>
  <sheetViews>
    <sheetView topLeftCell="A7" workbookViewId="0">
      <selection activeCell="I14" sqref="I14"/>
    </sheetView>
  </sheetViews>
  <sheetFormatPr defaultRowHeight="12.75"/>
  <cols>
    <col min="1" max="5" width="9" style="11"/>
    <col min="6" max="6" width="7.75" style="11" customWidth="1"/>
    <col min="7" max="16384" width="9" style="11"/>
  </cols>
  <sheetData>
    <row r="1" spans="1:18">
      <c r="B1" s="10" t="s">
        <v>3161</v>
      </c>
      <c r="C1" s="10" t="s">
        <v>1928</v>
      </c>
      <c r="D1" s="10"/>
      <c r="E1" s="10" t="s">
        <v>3319</v>
      </c>
      <c r="F1" s="10" t="s">
        <v>3320</v>
      </c>
      <c r="G1" s="10" t="s">
        <v>3286</v>
      </c>
      <c r="H1" s="10"/>
      <c r="I1" s="6" t="s">
        <v>3790</v>
      </c>
      <c r="J1" s="20"/>
      <c r="M1" s="10"/>
      <c r="N1" s="10"/>
      <c r="O1" s="10" t="s">
        <v>154</v>
      </c>
      <c r="P1" s="10" t="s">
        <v>14</v>
      </c>
      <c r="Q1" s="10" t="s">
        <v>7</v>
      </c>
    </row>
    <row r="2" spans="1:18">
      <c r="B2" s="10" t="s">
        <v>3162</v>
      </c>
      <c r="C2" s="10" t="s">
        <v>1928</v>
      </c>
      <c r="D2" s="10"/>
      <c r="E2" s="10" t="s">
        <v>3319</v>
      </c>
      <c r="F2" s="10" t="s">
        <v>3320</v>
      </c>
      <c r="G2" s="10" t="s">
        <v>3287</v>
      </c>
      <c r="H2" s="10"/>
      <c r="I2" s="11" t="s">
        <v>1941</v>
      </c>
      <c r="J2" s="11" t="s">
        <v>3434</v>
      </c>
      <c r="O2" s="11" t="s">
        <v>154</v>
      </c>
      <c r="P2" s="11" t="s">
        <v>6</v>
      </c>
      <c r="Q2" s="11" t="s">
        <v>7</v>
      </c>
    </row>
    <row r="3" spans="1:18" ht="16.5">
      <c r="B3" s="11" t="s">
        <v>3134</v>
      </c>
      <c r="C3" s="11" t="s">
        <v>1928</v>
      </c>
      <c r="E3" s="11" t="s">
        <v>3321</v>
      </c>
      <c r="F3" s="11" t="s">
        <v>3320</v>
      </c>
      <c r="G3" s="11" t="s">
        <v>3290</v>
      </c>
      <c r="I3" s="15" t="s">
        <v>3421</v>
      </c>
      <c r="O3" s="11" t="s">
        <v>161</v>
      </c>
      <c r="P3" s="11" t="s">
        <v>189</v>
      </c>
      <c r="Q3" s="11" t="s">
        <v>7</v>
      </c>
    </row>
    <row r="4" spans="1:18">
      <c r="B4" s="11" t="s">
        <v>3163</v>
      </c>
      <c r="C4" s="11" t="s">
        <v>1939</v>
      </c>
      <c r="E4" s="11" t="s">
        <v>3319</v>
      </c>
      <c r="F4" s="11" t="s">
        <v>3320</v>
      </c>
      <c r="G4" s="11" t="s">
        <v>3289</v>
      </c>
      <c r="I4" s="11" t="s">
        <v>43</v>
      </c>
      <c r="J4" s="11" t="s">
        <v>1932</v>
      </c>
      <c r="O4" s="11" t="s">
        <v>156</v>
      </c>
      <c r="P4" s="11" t="s">
        <v>18</v>
      </c>
      <c r="Q4" s="11" t="s">
        <v>7</v>
      </c>
    </row>
    <row r="5" spans="1:18">
      <c r="A5" s="38"/>
      <c r="B5" s="38" t="s">
        <v>3164</v>
      </c>
      <c r="C5" s="38" t="s">
        <v>1939</v>
      </c>
      <c r="D5" s="38"/>
      <c r="E5" s="38" t="s">
        <v>3319</v>
      </c>
      <c r="F5" s="38" t="s">
        <v>3320</v>
      </c>
      <c r="G5" s="38" t="s">
        <v>3287</v>
      </c>
      <c r="H5" s="38"/>
      <c r="I5" s="38" t="s">
        <v>1933</v>
      </c>
      <c r="J5" s="38"/>
      <c r="K5" s="38"/>
      <c r="L5" s="38"/>
      <c r="M5" s="38"/>
      <c r="N5" s="38"/>
      <c r="O5" s="38" t="s">
        <v>164</v>
      </c>
      <c r="P5" s="38" t="s">
        <v>37</v>
      </c>
      <c r="Q5" s="38" t="s">
        <v>7</v>
      </c>
    </row>
    <row r="6" spans="1:18">
      <c r="B6" s="11" t="s">
        <v>3165</v>
      </c>
      <c r="C6" s="11" t="s">
        <v>1939</v>
      </c>
      <c r="E6" s="11" t="s">
        <v>3319</v>
      </c>
      <c r="F6" s="11" t="s">
        <v>3320</v>
      </c>
      <c r="G6" s="11" t="s">
        <v>3287</v>
      </c>
      <c r="I6" s="11" t="s">
        <v>1934</v>
      </c>
      <c r="O6" s="11" t="s">
        <v>156</v>
      </c>
      <c r="P6" s="11" t="s">
        <v>10</v>
      </c>
      <c r="Q6" s="11" t="s">
        <v>7</v>
      </c>
    </row>
    <row r="7" spans="1:18">
      <c r="B7" s="11" t="s">
        <v>3166</v>
      </c>
      <c r="C7" s="11" t="s">
        <v>1939</v>
      </c>
      <c r="E7" s="11" t="s">
        <v>3319</v>
      </c>
      <c r="F7" s="11" t="s">
        <v>3320</v>
      </c>
      <c r="G7" s="11" t="s">
        <v>3290</v>
      </c>
      <c r="I7" s="11" t="s">
        <v>1</v>
      </c>
      <c r="J7" s="2" t="s">
        <v>3422</v>
      </c>
      <c r="O7" s="11" t="s">
        <v>163</v>
      </c>
      <c r="P7" s="11" t="s">
        <v>6</v>
      </c>
      <c r="Q7" s="11" t="s">
        <v>7</v>
      </c>
    </row>
    <row r="8" spans="1:18">
      <c r="B8" s="11" t="s">
        <v>3167</v>
      </c>
      <c r="C8" s="11" t="s">
        <v>1929</v>
      </c>
      <c r="E8" s="11" t="s">
        <v>3319</v>
      </c>
      <c r="F8" s="11" t="s">
        <v>3320</v>
      </c>
      <c r="G8" s="11" t="s">
        <v>3286</v>
      </c>
      <c r="I8" s="11" t="s">
        <v>1</v>
      </c>
      <c r="J8" s="20" t="s">
        <v>1935</v>
      </c>
      <c r="O8" s="11" t="s">
        <v>165</v>
      </c>
      <c r="P8" s="11" t="s">
        <v>35</v>
      </c>
      <c r="Q8" s="11" t="s">
        <v>7</v>
      </c>
    </row>
    <row r="9" spans="1:18">
      <c r="B9" s="11" t="s">
        <v>3168</v>
      </c>
      <c r="C9" s="11" t="s">
        <v>1940</v>
      </c>
      <c r="E9" s="11" t="s">
        <v>3319</v>
      </c>
      <c r="F9" s="11" t="s">
        <v>3320</v>
      </c>
      <c r="G9" s="11" t="s">
        <v>3290</v>
      </c>
      <c r="I9" s="11" t="s">
        <v>1</v>
      </c>
      <c r="J9" s="11" t="s">
        <v>1936</v>
      </c>
      <c r="K9" s="11" t="s">
        <v>1937</v>
      </c>
      <c r="O9" s="11" t="s">
        <v>618</v>
      </c>
      <c r="P9" s="11" t="s">
        <v>10</v>
      </c>
      <c r="Q9" s="11" t="s">
        <v>7</v>
      </c>
    </row>
    <row r="10" spans="1:18">
      <c r="A10" s="38"/>
      <c r="B10" s="38" t="s">
        <v>3169</v>
      </c>
      <c r="C10" s="38" t="s">
        <v>1940</v>
      </c>
      <c r="D10" s="38"/>
      <c r="E10" s="38" t="s">
        <v>3319</v>
      </c>
      <c r="F10" s="38" t="s">
        <v>3320</v>
      </c>
      <c r="G10" s="38" t="s">
        <v>3285</v>
      </c>
      <c r="H10" s="38"/>
      <c r="I10" s="38" t="s">
        <v>1</v>
      </c>
      <c r="J10" s="40" t="s">
        <v>1938</v>
      </c>
      <c r="K10" s="38"/>
      <c r="L10" s="38"/>
      <c r="M10" s="38"/>
      <c r="N10" s="38"/>
      <c r="O10" s="38" t="s">
        <v>154</v>
      </c>
      <c r="P10" s="38" t="s">
        <v>26</v>
      </c>
      <c r="Q10" s="38" t="s">
        <v>7</v>
      </c>
    </row>
    <row r="12" spans="1:18">
      <c r="B12" s="1" t="s">
        <v>3170</v>
      </c>
      <c r="C12" s="1" t="s">
        <v>2001</v>
      </c>
      <c r="D12" s="1"/>
      <c r="E12" s="1" t="s">
        <v>3319</v>
      </c>
      <c r="F12" s="1" t="s">
        <v>3320</v>
      </c>
      <c r="G12" s="1" t="s">
        <v>3287</v>
      </c>
      <c r="H12" s="1"/>
      <c r="I12" s="1" t="s">
        <v>1984</v>
      </c>
      <c r="J12" s="11" t="s">
        <v>1992</v>
      </c>
      <c r="K12" s="11" t="s">
        <v>1999</v>
      </c>
      <c r="M12" s="1"/>
      <c r="N12" s="1"/>
      <c r="O12" s="1" t="s">
        <v>154</v>
      </c>
      <c r="P12" s="1" t="s">
        <v>8</v>
      </c>
      <c r="Q12" s="1" t="s">
        <v>7</v>
      </c>
    </row>
    <row r="13" spans="1:18">
      <c r="B13" s="1" t="s">
        <v>3171</v>
      </c>
      <c r="C13" s="11" t="s">
        <v>1993</v>
      </c>
      <c r="E13" s="11" t="s">
        <v>3319</v>
      </c>
      <c r="F13" s="11" t="s">
        <v>3320</v>
      </c>
      <c r="G13" s="11" t="s">
        <v>3289</v>
      </c>
      <c r="I13" s="11" t="s">
        <v>1</v>
      </c>
      <c r="J13" s="10" t="s">
        <v>1986</v>
      </c>
      <c r="O13" s="11" t="s">
        <v>161</v>
      </c>
      <c r="P13" s="11" t="s">
        <v>17</v>
      </c>
      <c r="Q13" s="11" t="s">
        <v>7</v>
      </c>
    </row>
    <row r="14" spans="1:18">
      <c r="B14" s="38" t="s">
        <v>3172</v>
      </c>
      <c r="C14" s="38" t="s">
        <v>1993</v>
      </c>
      <c r="D14" s="38"/>
      <c r="E14" s="38" t="s">
        <v>3319</v>
      </c>
      <c r="F14" s="38" t="s">
        <v>3320</v>
      </c>
      <c r="G14" s="38" t="s">
        <v>3307</v>
      </c>
      <c r="H14" s="38"/>
      <c r="I14" s="38" t="s">
        <v>1987</v>
      </c>
      <c r="J14" s="39"/>
      <c r="K14" s="38"/>
      <c r="L14" s="38"/>
      <c r="M14" s="38"/>
      <c r="N14" s="38"/>
      <c r="O14" s="38" t="s">
        <v>161</v>
      </c>
      <c r="P14" s="38" t="s">
        <v>27</v>
      </c>
      <c r="Q14" s="38" t="s">
        <v>7</v>
      </c>
      <c r="R14" s="38"/>
    </row>
    <row r="15" spans="1:18">
      <c r="B15" s="11" t="s">
        <v>3173</v>
      </c>
      <c r="C15" s="11" t="s">
        <v>1993</v>
      </c>
      <c r="E15" s="11" t="s">
        <v>3319</v>
      </c>
      <c r="F15" s="11" t="s">
        <v>3320</v>
      </c>
      <c r="G15" s="11" t="s">
        <v>3287</v>
      </c>
      <c r="I15" s="11" t="s">
        <v>1995</v>
      </c>
      <c r="J15" s="11" t="s">
        <v>1997</v>
      </c>
      <c r="O15" s="11" t="s">
        <v>154</v>
      </c>
      <c r="P15" s="11" t="s">
        <v>5</v>
      </c>
      <c r="Q15" s="11" t="s">
        <v>7</v>
      </c>
    </row>
    <row r="16" spans="1:18">
      <c r="B16" s="11" t="s">
        <v>3174</v>
      </c>
      <c r="C16" s="11" t="s">
        <v>1993</v>
      </c>
      <c r="E16" s="11" t="s">
        <v>3321</v>
      </c>
      <c r="F16" s="11" t="s">
        <v>3320</v>
      </c>
      <c r="G16" s="11" t="s">
        <v>3307</v>
      </c>
      <c r="I16" s="11" t="s">
        <v>1996</v>
      </c>
      <c r="O16" s="11" t="s">
        <v>156</v>
      </c>
      <c r="P16" s="11" t="s">
        <v>15</v>
      </c>
      <c r="Q16" s="11" t="s">
        <v>7</v>
      </c>
    </row>
    <row r="17" spans="1:18">
      <c r="B17" s="11" t="s">
        <v>3175</v>
      </c>
      <c r="C17" s="11" t="s">
        <v>1994</v>
      </c>
      <c r="E17" s="11" t="s">
        <v>3319</v>
      </c>
      <c r="F17" s="11" t="s">
        <v>3320</v>
      </c>
      <c r="G17" s="19" t="s">
        <v>3307</v>
      </c>
      <c r="I17" s="11" t="s">
        <v>1988</v>
      </c>
      <c r="J17" s="11" t="s">
        <v>1989</v>
      </c>
      <c r="K17" s="11" t="s">
        <v>2000</v>
      </c>
      <c r="O17" s="11" t="s">
        <v>159</v>
      </c>
      <c r="P17" s="11" t="s">
        <v>5</v>
      </c>
      <c r="Q17" s="11" t="s">
        <v>7</v>
      </c>
    </row>
    <row r="18" spans="1:18">
      <c r="B18" s="11" t="s">
        <v>3176</v>
      </c>
      <c r="C18" s="11" t="s">
        <v>1979</v>
      </c>
      <c r="E18" s="11" t="s">
        <v>3319</v>
      </c>
      <c r="F18" s="11" t="s">
        <v>3320</v>
      </c>
      <c r="G18" s="11" t="s">
        <v>3306</v>
      </c>
      <c r="I18" s="11" t="s">
        <v>1148</v>
      </c>
      <c r="J18" s="16" t="s">
        <v>3423</v>
      </c>
      <c r="K18" s="11" t="s">
        <v>1990</v>
      </c>
      <c r="O18" s="11" t="s">
        <v>168</v>
      </c>
      <c r="P18" s="11" t="s">
        <v>36</v>
      </c>
      <c r="Q18" s="11" t="s">
        <v>7</v>
      </c>
    </row>
    <row r="19" spans="1:18">
      <c r="B19" s="11" t="s">
        <v>3177</v>
      </c>
      <c r="C19" s="11" t="s">
        <v>1980</v>
      </c>
      <c r="E19" s="11" t="s">
        <v>3319</v>
      </c>
      <c r="F19" s="11" t="s">
        <v>3320</v>
      </c>
      <c r="G19" s="11" t="s">
        <v>3306</v>
      </c>
      <c r="I19" s="11" t="s">
        <v>1991</v>
      </c>
      <c r="J19" s="11" t="s">
        <v>1998</v>
      </c>
      <c r="O19" s="11" t="s">
        <v>170</v>
      </c>
      <c r="P19" s="11" t="s">
        <v>30</v>
      </c>
      <c r="Q19" s="11" t="s">
        <v>7</v>
      </c>
    </row>
    <row r="21" spans="1:18">
      <c r="A21" s="38"/>
      <c r="B21" s="23" t="s">
        <v>3178</v>
      </c>
      <c r="C21" s="23" t="s">
        <v>2022</v>
      </c>
      <c r="D21" s="23"/>
      <c r="E21" s="23" t="s">
        <v>3319</v>
      </c>
      <c r="F21" s="23" t="s">
        <v>3320</v>
      </c>
      <c r="G21" s="23" t="s">
        <v>3311</v>
      </c>
      <c r="H21" s="23"/>
      <c r="I21" s="23" t="s">
        <v>2024</v>
      </c>
      <c r="J21" s="40" t="s">
        <v>2025</v>
      </c>
      <c r="K21" s="38"/>
      <c r="L21" s="38"/>
      <c r="M21" s="23"/>
      <c r="N21" s="23"/>
      <c r="O21" s="23" t="s">
        <v>154</v>
      </c>
      <c r="P21" s="23" t="s">
        <v>6</v>
      </c>
      <c r="Q21" s="23" t="s">
        <v>7</v>
      </c>
    </row>
    <row r="22" spans="1:18">
      <c r="B22" s="1" t="s">
        <v>3179</v>
      </c>
      <c r="C22" s="1" t="s">
        <v>2023</v>
      </c>
      <c r="D22" s="1"/>
      <c r="E22" s="1" t="s">
        <v>3319</v>
      </c>
      <c r="F22" s="1" t="s">
        <v>3320</v>
      </c>
      <c r="G22" s="1" t="s">
        <v>3287</v>
      </c>
      <c r="H22" s="1"/>
      <c r="I22" s="1" t="s">
        <v>2019</v>
      </c>
      <c r="J22" s="11" t="s">
        <v>2020</v>
      </c>
      <c r="M22" s="1"/>
      <c r="N22" s="1"/>
      <c r="O22" s="1" t="s">
        <v>156</v>
      </c>
      <c r="P22" s="1" t="s">
        <v>15</v>
      </c>
      <c r="Q22" s="1" t="s">
        <v>7</v>
      </c>
    </row>
    <row r="23" spans="1:18">
      <c r="B23" s="18" t="s">
        <v>3180</v>
      </c>
      <c r="C23" s="18" t="s">
        <v>2023</v>
      </c>
      <c r="D23" s="18"/>
      <c r="E23" s="18" t="s">
        <v>3319</v>
      </c>
      <c r="F23" s="18" t="s">
        <v>3320</v>
      </c>
      <c r="G23" s="18" t="s">
        <v>3299</v>
      </c>
      <c r="H23" s="18"/>
      <c r="I23" s="18" t="s">
        <v>2021</v>
      </c>
      <c r="J23" s="18"/>
      <c r="K23" s="18"/>
      <c r="L23" s="18"/>
      <c r="M23" s="18"/>
      <c r="N23" s="18"/>
      <c r="O23" s="18" t="s">
        <v>170</v>
      </c>
      <c r="P23" s="18" t="s">
        <v>35</v>
      </c>
      <c r="Q23" s="18" t="s">
        <v>7</v>
      </c>
      <c r="R23" s="18"/>
    </row>
    <row r="24" spans="1:18">
      <c r="J24" s="10"/>
    </row>
    <row r="25" spans="1:18">
      <c r="B25" s="1" t="s">
        <v>3181</v>
      </c>
      <c r="C25" s="1" t="s">
        <v>2047</v>
      </c>
      <c r="D25" s="1"/>
      <c r="E25" s="1" t="s">
        <v>3319</v>
      </c>
      <c r="F25" s="1" t="s">
        <v>3320</v>
      </c>
      <c r="G25" s="1" t="s">
        <v>3311</v>
      </c>
      <c r="H25" s="1"/>
      <c r="I25" s="1" t="s">
        <v>2048</v>
      </c>
      <c r="J25" s="10" t="s">
        <v>2052</v>
      </c>
      <c r="K25" s="11" t="s">
        <v>2057</v>
      </c>
      <c r="M25" s="1"/>
      <c r="N25" s="1"/>
      <c r="O25" s="1" t="s">
        <v>154</v>
      </c>
      <c r="P25" s="1" t="s">
        <v>11</v>
      </c>
      <c r="Q25" s="1" t="s">
        <v>7</v>
      </c>
    </row>
    <row r="26" spans="1:18">
      <c r="B26" s="12" t="s">
        <v>3182</v>
      </c>
      <c r="C26" s="18" t="s">
        <v>2044</v>
      </c>
      <c r="D26" s="18"/>
      <c r="E26" s="18" t="s">
        <v>3319</v>
      </c>
      <c r="F26" s="18" t="s">
        <v>3320</v>
      </c>
      <c r="G26" s="18" t="s">
        <v>3291</v>
      </c>
      <c r="H26" s="18"/>
      <c r="I26" s="18" t="s">
        <v>2049</v>
      </c>
      <c r="J26" s="18" t="s">
        <v>2050</v>
      </c>
      <c r="K26" s="18"/>
      <c r="L26" s="18"/>
      <c r="M26" s="18"/>
      <c r="N26" s="18"/>
      <c r="O26" s="18" t="s">
        <v>165</v>
      </c>
      <c r="P26" s="18" t="s">
        <v>26</v>
      </c>
      <c r="Q26" s="18" t="s">
        <v>7</v>
      </c>
      <c r="R26" s="18"/>
    </row>
    <row r="27" spans="1:18">
      <c r="B27" s="11" t="s">
        <v>3145</v>
      </c>
      <c r="C27" s="11" t="s">
        <v>2047</v>
      </c>
      <c r="E27" s="11" t="s">
        <v>3319</v>
      </c>
      <c r="F27" s="11" t="s">
        <v>3320</v>
      </c>
      <c r="G27" s="11" t="s">
        <v>3311</v>
      </c>
      <c r="I27" s="11" t="s">
        <v>2045</v>
      </c>
      <c r="O27" s="11" t="s">
        <v>154</v>
      </c>
      <c r="P27" s="11" t="s">
        <v>5</v>
      </c>
      <c r="Q27" s="11" t="s">
        <v>7</v>
      </c>
    </row>
    <row r="28" spans="1:18">
      <c r="B28" s="11" t="s">
        <v>3183</v>
      </c>
      <c r="C28" s="11" t="s">
        <v>2044</v>
      </c>
      <c r="E28" s="11" t="s">
        <v>3319</v>
      </c>
      <c r="F28" s="11" t="s">
        <v>3320</v>
      </c>
      <c r="G28" s="11" t="s">
        <v>3311</v>
      </c>
      <c r="I28" s="11" t="s">
        <v>2054</v>
      </c>
      <c r="J28" s="16" t="s">
        <v>2056</v>
      </c>
      <c r="O28" s="11" t="s">
        <v>154</v>
      </c>
      <c r="P28" s="11" t="s">
        <v>5</v>
      </c>
      <c r="Q28" s="11" t="s">
        <v>7</v>
      </c>
    </row>
    <row r="29" spans="1:18">
      <c r="A29" s="38"/>
      <c r="B29" s="38" t="s">
        <v>3184</v>
      </c>
      <c r="C29" s="38" t="s">
        <v>2053</v>
      </c>
      <c r="D29" s="38"/>
      <c r="E29" s="38" t="s">
        <v>3319</v>
      </c>
      <c r="F29" s="38" t="s">
        <v>3320</v>
      </c>
      <c r="G29" s="38" t="s">
        <v>3311</v>
      </c>
      <c r="H29" s="38"/>
      <c r="I29" s="38" t="s">
        <v>2051</v>
      </c>
      <c r="J29" s="40"/>
      <c r="K29" s="38"/>
      <c r="L29" s="38"/>
      <c r="M29" s="38"/>
      <c r="N29" s="38"/>
      <c r="O29" s="38" t="s">
        <v>165</v>
      </c>
      <c r="P29" s="38" t="s">
        <v>1927</v>
      </c>
      <c r="Q29" s="38" t="s">
        <v>7</v>
      </c>
    </row>
    <row r="30" spans="1:18">
      <c r="B30" s="11" t="s">
        <v>3185</v>
      </c>
      <c r="C30" s="11" t="s">
        <v>2053</v>
      </c>
      <c r="E30" s="11" t="s">
        <v>3319</v>
      </c>
      <c r="F30" s="11" t="s">
        <v>3320</v>
      </c>
      <c r="G30" s="11" t="s">
        <v>3291</v>
      </c>
      <c r="I30" s="11" t="s">
        <v>2055</v>
      </c>
      <c r="O30" s="11" t="s">
        <v>170</v>
      </c>
      <c r="P30" s="11" t="s">
        <v>37</v>
      </c>
      <c r="Q30" s="11" t="s">
        <v>7</v>
      </c>
    </row>
    <row r="31" spans="1:18">
      <c r="J31" s="16"/>
    </row>
    <row r="32" spans="1:18">
      <c r="B32" s="10" t="s">
        <v>3186</v>
      </c>
      <c r="C32" s="10" t="s">
        <v>2086</v>
      </c>
      <c r="D32" s="10"/>
      <c r="E32" s="10" t="s">
        <v>3319</v>
      </c>
      <c r="F32" s="10" t="s">
        <v>3320</v>
      </c>
      <c r="G32" s="10" t="s">
        <v>3290</v>
      </c>
      <c r="H32" s="10"/>
      <c r="I32" s="16" t="s">
        <v>3424</v>
      </c>
      <c r="J32" s="16" t="s">
        <v>3425</v>
      </c>
      <c r="M32" s="10"/>
      <c r="N32" s="10"/>
      <c r="O32" s="10" t="s">
        <v>164</v>
      </c>
      <c r="P32" s="10" t="s">
        <v>48</v>
      </c>
      <c r="Q32" s="10" t="s">
        <v>7</v>
      </c>
    </row>
    <row r="33" spans="2:18">
      <c r="B33" s="18" t="s">
        <v>3187</v>
      </c>
      <c r="C33" s="18" t="s">
        <v>2086</v>
      </c>
      <c r="D33" s="18"/>
      <c r="E33" s="18" t="s">
        <v>3319</v>
      </c>
      <c r="F33" s="18" t="s">
        <v>3320</v>
      </c>
      <c r="G33" s="18" t="s">
        <v>3302</v>
      </c>
      <c r="H33" s="18"/>
      <c r="I33" s="18" t="s">
        <v>1759</v>
      </c>
      <c r="J33" s="17" t="s">
        <v>2083</v>
      </c>
      <c r="K33" s="18"/>
      <c r="L33" s="18"/>
      <c r="M33" s="18"/>
      <c r="N33" s="18"/>
      <c r="O33" s="18" t="s">
        <v>164</v>
      </c>
      <c r="P33" s="18" t="s">
        <v>36</v>
      </c>
      <c r="Q33" s="18" t="s">
        <v>7</v>
      </c>
      <c r="R33" s="18"/>
    </row>
    <row r="34" spans="2:18">
      <c r="B34" s="11" t="s">
        <v>3188</v>
      </c>
      <c r="C34" s="11" t="s">
        <v>2086</v>
      </c>
      <c r="E34" s="11" t="s">
        <v>3319</v>
      </c>
      <c r="F34" s="11" t="s">
        <v>3320</v>
      </c>
      <c r="G34" s="11" t="s">
        <v>3291</v>
      </c>
      <c r="I34" s="11" t="s">
        <v>2084</v>
      </c>
      <c r="O34" s="11" t="s">
        <v>165</v>
      </c>
      <c r="P34" s="11" t="s">
        <v>35</v>
      </c>
      <c r="Q34" s="11" t="s">
        <v>7</v>
      </c>
    </row>
    <row r="35" spans="2:18">
      <c r="B35" s="11" t="s">
        <v>3189</v>
      </c>
      <c r="C35" s="11" t="s">
        <v>2087</v>
      </c>
      <c r="E35" s="11" t="s">
        <v>3319</v>
      </c>
      <c r="F35" s="11" t="s">
        <v>3320</v>
      </c>
      <c r="G35" s="11" t="s">
        <v>3291</v>
      </c>
      <c r="I35" s="16" t="s">
        <v>3426</v>
      </c>
      <c r="O35" s="11" t="s">
        <v>616</v>
      </c>
      <c r="P35" s="11" t="s">
        <v>17</v>
      </c>
      <c r="Q35" s="11" t="s">
        <v>7</v>
      </c>
    </row>
    <row r="36" spans="2:18">
      <c r="B36" s="38" t="s">
        <v>3190</v>
      </c>
      <c r="C36" s="38" t="s">
        <v>2088</v>
      </c>
      <c r="D36" s="38"/>
      <c r="E36" s="38" t="s">
        <v>3319</v>
      </c>
      <c r="F36" s="38" t="s">
        <v>3320</v>
      </c>
      <c r="G36" s="38" t="s">
        <v>3290</v>
      </c>
      <c r="H36" s="38"/>
      <c r="I36" s="38" t="s">
        <v>2085</v>
      </c>
      <c r="J36" s="38"/>
      <c r="K36" s="38"/>
      <c r="L36" s="38"/>
      <c r="M36" s="38"/>
      <c r="N36" s="38"/>
      <c r="O36" s="38" t="s">
        <v>168</v>
      </c>
      <c r="P36" s="38" t="s">
        <v>49</v>
      </c>
      <c r="Q36" s="38" t="s">
        <v>7</v>
      </c>
      <c r="R36" s="38"/>
    </row>
    <row r="38" spans="2:18">
      <c r="B38" s="10" t="s">
        <v>3191</v>
      </c>
      <c r="C38" s="10" t="s">
        <v>2115</v>
      </c>
      <c r="D38" s="10"/>
      <c r="E38" s="10" t="s">
        <v>3319</v>
      </c>
      <c r="F38" s="10" t="s">
        <v>3320</v>
      </c>
      <c r="G38" s="10" t="s">
        <v>3291</v>
      </c>
      <c r="H38" s="10"/>
      <c r="I38" s="11" t="s">
        <v>2106</v>
      </c>
      <c r="M38" s="10"/>
      <c r="N38" s="10"/>
      <c r="O38" s="10" t="s">
        <v>165</v>
      </c>
      <c r="P38" s="10" t="s">
        <v>38</v>
      </c>
      <c r="Q38" s="10" t="s">
        <v>7</v>
      </c>
    </row>
    <row r="39" spans="2:18">
      <c r="B39" s="10" t="s">
        <v>3192</v>
      </c>
      <c r="C39" s="10" t="s">
        <v>2115</v>
      </c>
      <c r="D39" s="10"/>
      <c r="E39" s="10" t="s">
        <v>3319</v>
      </c>
      <c r="F39" s="10" t="s">
        <v>3320</v>
      </c>
      <c r="G39" s="10" t="s">
        <v>3295</v>
      </c>
      <c r="H39" s="10"/>
      <c r="I39" s="11" t="s">
        <v>2107</v>
      </c>
      <c r="M39" s="10"/>
      <c r="N39" s="10"/>
      <c r="O39" s="10" t="s">
        <v>154</v>
      </c>
      <c r="P39" s="10" t="s">
        <v>5</v>
      </c>
      <c r="Q39" s="11" t="s">
        <v>7</v>
      </c>
    </row>
    <row r="40" spans="2:18">
      <c r="B40" s="11" t="s">
        <v>3193</v>
      </c>
      <c r="C40" s="11" t="s">
        <v>2115</v>
      </c>
      <c r="E40" s="11" t="s">
        <v>3319</v>
      </c>
      <c r="F40" s="11" t="s">
        <v>3320</v>
      </c>
      <c r="G40" s="11" t="s">
        <v>3291</v>
      </c>
      <c r="I40" s="11" t="s">
        <v>2108</v>
      </c>
      <c r="O40" s="11" t="s">
        <v>164</v>
      </c>
      <c r="P40" s="11" t="s">
        <v>38</v>
      </c>
      <c r="Q40" s="11" t="s">
        <v>7</v>
      </c>
    </row>
    <row r="41" spans="2:18">
      <c r="B41" s="11" t="s">
        <v>3194</v>
      </c>
      <c r="C41" s="11" t="s">
        <v>2122</v>
      </c>
      <c r="E41" s="11" t="s">
        <v>3319</v>
      </c>
      <c r="F41" s="11" t="s">
        <v>3320</v>
      </c>
      <c r="G41" s="11" t="s">
        <v>3287</v>
      </c>
      <c r="I41" s="11" t="s">
        <v>2123</v>
      </c>
      <c r="J41" s="11" t="s">
        <v>2114</v>
      </c>
      <c r="K41" s="11" t="s">
        <v>2121</v>
      </c>
      <c r="O41" s="11" t="s">
        <v>154</v>
      </c>
      <c r="P41" s="11" t="s">
        <v>11</v>
      </c>
      <c r="Q41" s="11" t="s">
        <v>7</v>
      </c>
    </row>
    <row r="42" spans="2:18">
      <c r="B42" s="11" t="s">
        <v>3195</v>
      </c>
      <c r="C42" s="11" t="s">
        <v>2115</v>
      </c>
      <c r="E42" s="11" t="s">
        <v>3322</v>
      </c>
      <c r="F42" s="11" t="s">
        <v>3320</v>
      </c>
      <c r="G42" s="11" t="s">
        <v>3289</v>
      </c>
      <c r="I42" s="11" t="s">
        <v>2109</v>
      </c>
      <c r="J42" s="16" t="s">
        <v>2119</v>
      </c>
      <c r="O42" s="11" t="s">
        <v>154</v>
      </c>
      <c r="P42" s="11" t="s">
        <v>27</v>
      </c>
      <c r="Q42" s="11" t="s">
        <v>7</v>
      </c>
    </row>
    <row r="43" spans="2:18">
      <c r="B43" s="11" t="s">
        <v>3196</v>
      </c>
      <c r="C43" s="11" t="s">
        <v>2115</v>
      </c>
      <c r="E43" s="11" t="s">
        <v>3319</v>
      </c>
      <c r="F43" s="11" t="s">
        <v>3320</v>
      </c>
      <c r="G43" s="11" t="s">
        <v>3287</v>
      </c>
      <c r="I43" s="11" t="s">
        <v>2118</v>
      </c>
      <c r="J43" s="16" t="s">
        <v>2120</v>
      </c>
      <c r="O43" s="11" t="s">
        <v>154</v>
      </c>
      <c r="P43" s="11" t="s">
        <v>5</v>
      </c>
      <c r="Q43" s="11" t="s">
        <v>7</v>
      </c>
    </row>
    <row r="44" spans="2:18">
      <c r="B44" s="11" t="s">
        <v>3197</v>
      </c>
      <c r="C44" s="11" t="s">
        <v>2105</v>
      </c>
      <c r="E44" s="11" t="s">
        <v>3319</v>
      </c>
      <c r="F44" s="11" t="s">
        <v>3320</v>
      </c>
      <c r="G44" s="11" t="s">
        <v>3289</v>
      </c>
      <c r="I44" s="11" t="s">
        <v>2110</v>
      </c>
      <c r="O44" s="11" t="s">
        <v>162</v>
      </c>
      <c r="P44" s="11" t="s">
        <v>16</v>
      </c>
      <c r="Q44" s="11" t="s">
        <v>7</v>
      </c>
    </row>
    <row r="45" spans="2:18">
      <c r="B45" s="11" t="s">
        <v>3198</v>
      </c>
      <c r="C45" s="11" t="s">
        <v>2116</v>
      </c>
      <c r="E45" s="11" t="s">
        <v>3319</v>
      </c>
      <c r="F45" s="11" t="s">
        <v>3320</v>
      </c>
      <c r="G45" s="11" t="s">
        <v>3299</v>
      </c>
      <c r="I45" s="11" t="s">
        <v>2111</v>
      </c>
      <c r="O45" s="11" t="s">
        <v>170</v>
      </c>
      <c r="P45" s="11" t="s">
        <v>26</v>
      </c>
      <c r="Q45" s="11" t="s">
        <v>7</v>
      </c>
    </row>
    <row r="46" spans="2:18">
      <c r="B46" s="11" t="s">
        <v>3199</v>
      </c>
      <c r="C46" s="11" t="s">
        <v>2117</v>
      </c>
      <c r="E46" s="11" t="s">
        <v>3319</v>
      </c>
      <c r="F46" s="11" t="s">
        <v>3320</v>
      </c>
      <c r="G46" s="11" t="s">
        <v>3289</v>
      </c>
      <c r="I46" s="16" t="s">
        <v>3427</v>
      </c>
      <c r="J46" s="11" t="s">
        <v>2112</v>
      </c>
      <c r="O46" s="11" t="s">
        <v>161</v>
      </c>
      <c r="P46" s="11" t="s">
        <v>5</v>
      </c>
      <c r="Q46" s="11" t="s">
        <v>7</v>
      </c>
    </row>
    <row r="47" spans="2:18">
      <c r="B47" s="11" t="s">
        <v>3200</v>
      </c>
      <c r="C47" s="11" t="s">
        <v>2117</v>
      </c>
      <c r="E47" s="11" t="s">
        <v>3319</v>
      </c>
      <c r="F47" s="11" t="s">
        <v>3320</v>
      </c>
      <c r="G47" s="11" t="s">
        <v>3295</v>
      </c>
      <c r="I47" s="11" t="s">
        <v>2113</v>
      </c>
      <c r="O47" s="11" t="s">
        <v>164</v>
      </c>
      <c r="P47" s="11" t="s">
        <v>11</v>
      </c>
      <c r="Q47" s="11" t="s">
        <v>7</v>
      </c>
    </row>
    <row r="49" spans="1:17">
      <c r="A49" s="38"/>
      <c r="B49" s="39" t="s">
        <v>3201</v>
      </c>
      <c r="C49" s="39" t="s">
        <v>2153</v>
      </c>
      <c r="D49" s="39"/>
      <c r="E49" s="39" t="s">
        <v>3319</v>
      </c>
      <c r="F49" s="39" t="s">
        <v>3320</v>
      </c>
      <c r="G49" s="39" t="s">
        <v>3287</v>
      </c>
      <c r="H49" s="39"/>
      <c r="I49" s="38" t="s">
        <v>1397</v>
      </c>
      <c r="J49" s="40" t="s">
        <v>3428</v>
      </c>
      <c r="K49" s="38"/>
      <c r="L49" s="38"/>
      <c r="M49" s="39"/>
      <c r="N49" s="39"/>
      <c r="O49" s="39" t="s">
        <v>161</v>
      </c>
      <c r="P49" s="39" t="s">
        <v>37</v>
      </c>
      <c r="Q49" s="39" t="s">
        <v>7</v>
      </c>
    </row>
    <row r="50" spans="1:17">
      <c r="B50" s="10" t="s">
        <v>3202</v>
      </c>
      <c r="C50" s="10" t="s">
        <v>2153</v>
      </c>
      <c r="D50" s="10"/>
      <c r="E50" s="10" t="s">
        <v>3319</v>
      </c>
      <c r="F50" s="10" t="s">
        <v>3320</v>
      </c>
      <c r="G50" s="10" t="s">
        <v>3287</v>
      </c>
      <c r="H50" s="10"/>
      <c r="I50" s="11" t="s">
        <v>2156</v>
      </c>
      <c r="J50" s="11" t="s">
        <v>2157</v>
      </c>
      <c r="M50" s="10"/>
      <c r="N50" s="10"/>
      <c r="O50" s="10" t="s">
        <v>154</v>
      </c>
      <c r="P50" s="11" t="s">
        <v>6</v>
      </c>
      <c r="Q50" s="11" t="s">
        <v>7</v>
      </c>
    </row>
    <row r="51" spans="1:17">
      <c r="B51" s="11" t="s">
        <v>3203</v>
      </c>
      <c r="C51" s="11" t="s">
        <v>2159</v>
      </c>
      <c r="E51" s="11" t="s">
        <v>3319</v>
      </c>
      <c r="F51" s="11" t="s">
        <v>3320</v>
      </c>
      <c r="G51" s="11" t="s">
        <v>3287</v>
      </c>
      <c r="I51" s="11" t="s">
        <v>2160</v>
      </c>
      <c r="J51" s="11" t="s">
        <v>2152</v>
      </c>
      <c r="K51" s="11" t="s">
        <v>2158</v>
      </c>
      <c r="O51" s="11" t="s">
        <v>154</v>
      </c>
      <c r="P51" s="11" t="s">
        <v>11</v>
      </c>
      <c r="Q51" s="11" t="s">
        <v>7</v>
      </c>
    </row>
    <row r="52" spans="1:17">
      <c r="B52" s="11" t="s">
        <v>3204</v>
      </c>
      <c r="C52" s="11" t="s">
        <v>2154</v>
      </c>
      <c r="E52" s="11" t="s">
        <v>3319</v>
      </c>
      <c r="F52" s="11" t="s">
        <v>3320</v>
      </c>
      <c r="G52" s="11" t="s">
        <v>3306</v>
      </c>
      <c r="I52" s="11" t="s">
        <v>1118</v>
      </c>
      <c r="J52" s="11" t="s">
        <v>2147</v>
      </c>
      <c r="O52" s="11" t="s">
        <v>154</v>
      </c>
      <c r="P52" s="11" t="s">
        <v>36</v>
      </c>
      <c r="Q52" s="11" t="s">
        <v>7</v>
      </c>
    </row>
    <row r="53" spans="1:17">
      <c r="B53" s="11" t="s">
        <v>3205</v>
      </c>
      <c r="C53" s="11" t="s">
        <v>2154</v>
      </c>
      <c r="E53" s="11" t="s">
        <v>3319</v>
      </c>
      <c r="F53" s="11" t="s">
        <v>3320</v>
      </c>
      <c r="G53" s="11" t="s">
        <v>3287</v>
      </c>
      <c r="I53" s="16" t="s">
        <v>3429</v>
      </c>
      <c r="J53" s="11" t="s">
        <v>1118</v>
      </c>
      <c r="K53" s="11" t="s">
        <v>2148</v>
      </c>
      <c r="O53" s="11" t="s">
        <v>159</v>
      </c>
      <c r="P53" s="11" t="s">
        <v>6</v>
      </c>
      <c r="Q53" s="11" t="s">
        <v>7</v>
      </c>
    </row>
    <row r="54" spans="1:17">
      <c r="B54" s="11" t="s">
        <v>3206</v>
      </c>
      <c r="C54" s="11" t="s">
        <v>2155</v>
      </c>
      <c r="E54" s="11" t="s">
        <v>3319</v>
      </c>
      <c r="F54" s="11" t="s">
        <v>3320</v>
      </c>
      <c r="G54" s="11" t="s">
        <v>3299</v>
      </c>
      <c r="I54" s="16" t="s">
        <v>3430</v>
      </c>
      <c r="J54" s="11" t="s">
        <v>2149</v>
      </c>
      <c r="O54" s="11" t="s">
        <v>164</v>
      </c>
      <c r="P54" s="11" t="s">
        <v>48</v>
      </c>
      <c r="Q54" s="11" t="s">
        <v>7</v>
      </c>
    </row>
    <row r="55" spans="1:17">
      <c r="B55" s="11" t="s">
        <v>3207</v>
      </c>
      <c r="C55" s="11" t="s">
        <v>2155</v>
      </c>
      <c r="E55" s="11" t="s">
        <v>3319</v>
      </c>
      <c r="F55" s="11" t="s">
        <v>3320</v>
      </c>
      <c r="G55" s="11" t="s">
        <v>3306</v>
      </c>
      <c r="I55" s="11" t="s">
        <v>2150</v>
      </c>
      <c r="O55" s="11" t="s">
        <v>618</v>
      </c>
      <c r="P55" s="11" t="s">
        <v>30</v>
      </c>
      <c r="Q55" s="11" t="s">
        <v>7</v>
      </c>
    </row>
    <row r="56" spans="1:17">
      <c r="B56" s="11" t="s">
        <v>3208</v>
      </c>
      <c r="C56" s="11" t="s">
        <v>2146</v>
      </c>
      <c r="E56" s="11" t="s">
        <v>3319</v>
      </c>
      <c r="F56" s="11" t="s">
        <v>3320</v>
      </c>
      <c r="G56" s="11" t="s">
        <v>3299</v>
      </c>
      <c r="I56" s="16" t="s">
        <v>3431</v>
      </c>
      <c r="J56" s="11" t="s">
        <v>2151</v>
      </c>
      <c r="O56" s="11" t="s">
        <v>154</v>
      </c>
      <c r="P56" s="11" t="s">
        <v>35</v>
      </c>
      <c r="Q56" s="11" t="s">
        <v>7</v>
      </c>
    </row>
    <row r="58" spans="1:17">
      <c r="B58" s="10" t="s">
        <v>3209</v>
      </c>
      <c r="C58" s="10" t="s">
        <v>2181</v>
      </c>
      <c r="D58" s="10"/>
      <c r="E58" s="10" t="s">
        <v>3319</v>
      </c>
      <c r="F58" s="10" t="s">
        <v>3320</v>
      </c>
      <c r="G58" s="10" t="s">
        <v>3297</v>
      </c>
      <c r="H58" s="10"/>
      <c r="I58" s="11" t="s">
        <v>2183</v>
      </c>
      <c r="M58" s="10"/>
      <c r="N58" s="10"/>
      <c r="O58" s="10" t="s">
        <v>156</v>
      </c>
      <c r="P58" s="10" t="s">
        <v>1927</v>
      </c>
      <c r="Q58" s="10" t="s">
        <v>7</v>
      </c>
    </row>
    <row r="59" spans="1:17">
      <c r="B59" s="10" t="s">
        <v>3210</v>
      </c>
      <c r="C59" s="10" t="s">
        <v>2196</v>
      </c>
      <c r="D59" s="10"/>
      <c r="E59" s="10" t="s">
        <v>3319</v>
      </c>
      <c r="F59" s="10" t="s">
        <v>3320</v>
      </c>
      <c r="G59" s="10" t="s">
        <v>3287</v>
      </c>
      <c r="H59" s="10"/>
      <c r="I59" s="11" t="s">
        <v>2197</v>
      </c>
      <c r="J59" s="11" t="s">
        <v>2192</v>
      </c>
      <c r="K59" s="11" t="s">
        <v>2189</v>
      </c>
      <c r="O59" s="11" t="s">
        <v>154</v>
      </c>
      <c r="P59" s="11" t="s">
        <v>8</v>
      </c>
      <c r="Q59" s="11" t="s">
        <v>7</v>
      </c>
    </row>
    <row r="60" spans="1:17">
      <c r="B60" s="11" t="s">
        <v>3152</v>
      </c>
      <c r="C60" s="11" t="s">
        <v>2181</v>
      </c>
      <c r="E60" s="11" t="s">
        <v>3319</v>
      </c>
      <c r="F60" s="11" t="s">
        <v>3320</v>
      </c>
      <c r="G60" s="11" t="s">
        <v>3286</v>
      </c>
      <c r="I60" s="11" t="s">
        <v>2176</v>
      </c>
      <c r="O60" s="11" t="s">
        <v>162</v>
      </c>
      <c r="P60" s="11" t="s">
        <v>863</v>
      </c>
      <c r="Q60" s="11" t="s">
        <v>7</v>
      </c>
    </row>
    <row r="61" spans="1:17">
      <c r="B61" s="11" t="s">
        <v>3211</v>
      </c>
      <c r="C61" s="11" t="s">
        <v>2181</v>
      </c>
      <c r="E61" s="11" t="s">
        <v>3319</v>
      </c>
      <c r="F61" s="11" t="s">
        <v>3320</v>
      </c>
      <c r="G61" s="11" t="s">
        <v>3286</v>
      </c>
      <c r="I61" s="11" t="s">
        <v>2184</v>
      </c>
      <c r="O61" s="11" t="s">
        <v>157</v>
      </c>
      <c r="P61" s="11" t="s">
        <v>14</v>
      </c>
      <c r="Q61" s="11" t="s">
        <v>7</v>
      </c>
    </row>
    <row r="62" spans="1:17">
      <c r="A62" s="38"/>
      <c r="B62" s="38" t="s">
        <v>3212</v>
      </c>
      <c r="C62" s="38" t="s">
        <v>2181</v>
      </c>
      <c r="D62" s="38"/>
      <c r="E62" s="38" t="s">
        <v>3319</v>
      </c>
      <c r="F62" s="38" t="s">
        <v>3320</v>
      </c>
      <c r="G62" s="38" t="s">
        <v>3286</v>
      </c>
      <c r="H62" s="38"/>
      <c r="I62" s="38" t="s">
        <v>21</v>
      </c>
      <c r="J62" s="38"/>
      <c r="K62" s="38"/>
      <c r="L62" s="38"/>
      <c r="M62" s="38"/>
      <c r="N62" s="38"/>
      <c r="O62" s="38" t="s">
        <v>157</v>
      </c>
      <c r="P62" s="38" t="s">
        <v>8</v>
      </c>
      <c r="Q62" s="38" t="s">
        <v>7</v>
      </c>
    </row>
    <row r="63" spans="1:17">
      <c r="B63" s="11" t="s">
        <v>3213</v>
      </c>
      <c r="C63" s="11" t="s">
        <v>2181</v>
      </c>
      <c r="E63" s="11" t="s">
        <v>3319</v>
      </c>
      <c r="F63" s="11" t="s">
        <v>3320</v>
      </c>
      <c r="G63" s="11" t="s">
        <v>3290</v>
      </c>
      <c r="I63" s="11" t="s">
        <v>23</v>
      </c>
      <c r="J63" s="11" t="s">
        <v>2193</v>
      </c>
      <c r="K63" s="11" t="s">
        <v>2195</v>
      </c>
      <c r="O63" s="11" t="s">
        <v>154</v>
      </c>
      <c r="P63" s="11" t="s">
        <v>5</v>
      </c>
      <c r="Q63" s="11" t="s">
        <v>7</v>
      </c>
    </row>
    <row r="64" spans="1:17">
      <c r="B64" s="11" t="s">
        <v>3214</v>
      </c>
      <c r="C64" s="11" t="s">
        <v>2181</v>
      </c>
      <c r="E64" s="11" t="s">
        <v>3319</v>
      </c>
      <c r="F64" s="11" t="s">
        <v>3320</v>
      </c>
      <c r="G64" s="11" t="s">
        <v>3291</v>
      </c>
      <c r="I64" s="11" t="s">
        <v>2185</v>
      </c>
      <c r="O64" s="11" t="s">
        <v>165</v>
      </c>
      <c r="P64" s="11" t="s">
        <v>17</v>
      </c>
      <c r="Q64" s="11" t="s">
        <v>7</v>
      </c>
    </row>
    <row r="65" spans="2:18">
      <c r="B65" s="11" t="s">
        <v>3215</v>
      </c>
      <c r="C65" s="11" t="s">
        <v>2181</v>
      </c>
      <c r="E65" s="11" t="s">
        <v>3319</v>
      </c>
      <c r="F65" s="11" t="s">
        <v>3320</v>
      </c>
      <c r="G65" s="11" t="s">
        <v>3287</v>
      </c>
      <c r="I65" s="11" t="s">
        <v>2191</v>
      </c>
      <c r="J65" s="11" t="s">
        <v>2194</v>
      </c>
      <c r="O65" s="11" t="s">
        <v>154</v>
      </c>
      <c r="P65" s="11" t="s">
        <v>5</v>
      </c>
      <c r="Q65" s="11" t="s">
        <v>7</v>
      </c>
    </row>
    <row r="66" spans="2:18">
      <c r="B66" s="11" t="s">
        <v>3216</v>
      </c>
      <c r="C66" s="11" t="s">
        <v>2181</v>
      </c>
      <c r="E66" s="11" t="s">
        <v>3319</v>
      </c>
      <c r="F66" s="11" t="s">
        <v>3320</v>
      </c>
      <c r="G66" s="11" t="s">
        <v>3286</v>
      </c>
      <c r="H66" s="11" t="s">
        <v>3296</v>
      </c>
      <c r="I66" s="11" t="s">
        <v>2186</v>
      </c>
      <c r="O66" s="11" t="s">
        <v>165</v>
      </c>
      <c r="P66" s="11" t="s">
        <v>37</v>
      </c>
      <c r="Q66" s="11" t="s">
        <v>7</v>
      </c>
    </row>
    <row r="67" spans="2:18">
      <c r="B67" s="11" t="s">
        <v>3217</v>
      </c>
      <c r="C67" s="11" t="s">
        <v>2182</v>
      </c>
      <c r="E67" s="11" t="s">
        <v>3319</v>
      </c>
      <c r="F67" s="11" t="s">
        <v>3320</v>
      </c>
      <c r="G67" s="11" t="s">
        <v>3286</v>
      </c>
      <c r="I67" s="16" t="s">
        <v>3432</v>
      </c>
      <c r="O67" s="11" t="s">
        <v>154</v>
      </c>
      <c r="P67" s="11" t="s">
        <v>48</v>
      </c>
      <c r="Q67" s="11" t="s">
        <v>7</v>
      </c>
    </row>
    <row r="68" spans="2:18">
      <c r="B68" s="11" t="s">
        <v>3218</v>
      </c>
      <c r="C68" s="11" t="s">
        <v>2182</v>
      </c>
      <c r="E68" s="11" t="s">
        <v>3319</v>
      </c>
      <c r="F68" s="11" t="s">
        <v>3320</v>
      </c>
      <c r="G68" s="11" t="s">
        <v>3291</v>
      </c>
      <c r="I68" s="16" t="s">
        <v>3433</v>
      </c>
      <c r="J68" s="11" t="s">
        <v>2187</v>
      </c>
      <c r="O68" s="11" t="s">
        <v>170</v>
      </c>
      <c r="P68" s="11" t="s">
        <v>29</v>
      </c>
      <c r="Q68" s="11" t="s">
        <v>7</v>
      </c>
    </row>
    <row r="69" spans="2:18">
      <c r="B69" s="18" t="s">
        <v>3219</v>
      </c>
      <c r="C69" s="18" t="s">
        <v>2190</v>
      </c>
      <c r="D69" s="18"/>
      <c r="E69" s="18" t="s">
        <v>3319</v>
      </c>
      <c r="F69" s="18" t="s">
        <v>3320</v>
      </c>
      <c r="G69" s="18" t="s">
        <v>3286</v>
      </c>
      <c r="H69" s="18" t="s">
        <v>3296</v>
      </c>
      <c r="I69" s="18" t="s">
        <v>2188</v>
      </c>
      <c r="J69" s="18"/>
      <c r="K69" s="18"/>
      <c r="L69" s="18"/>
      <c r="M69" s="18"/>
      <c r="N69" s="18"/>
      <c r="O69" s="18" t="s">
        <v>154</v>
      </c>
      <c r="P69" s="18" t="s">
        <v>28</v>
      </c>
      <c r="Q69" s="18" t="s">
        <v>7</v>
      </c>
      <c r="R69" s="18"/>
    </row>
    <row r="71" spans="2:18">
      <c r="B71" s="10" t="s">
        <v>3220</v>
      </c>
      <c r="C71" s="10" t="s">
        <v>2213</v>
      </c>
      <c r="D71" s="10"/>
      <c r="E71" s="10" t="s">
        <v>3319</v>
      </c>
      <c r="F71" s="10" t="s">
        <v>3320</v>
      </c>
      <c r="G71" s="10" t="s">
        <v>3307</v>
      </c>
      <c r="H71" s="10"/>
      <c r="I71" s="11" t="s">
        <v>2211</v>
      </c>
      <c r="M71" s="10"/>
      <c r="N71" s="10"/>
      <c r="O71" s="10" t="s">
        <v>154</v>
      </c>
      <c r="P71" s="10" t="s">
        <v>15</v>
      </c>
      <c r="Q71" s="10" t="s">
        <v>7</v>
      </c>
    </row>
    <row r="72" spans="2:18">
      <c r="B72" s="17" t="s">
        <v>3221</v>
      </c>
      <c r="C72" s="17" t="s">
        <v>2209</v>
      </c>
      <c r="D72" s="17"/>
      <c r="E72" s="17" t="s">
        <v>3319</v>
      </c>
      <c r="F72" s="17" t="s">
        <v>3320</v>
      </c>
      <c r="G72" s="17" t="s">
        <v>3307</v>
      </c>
      <c r="H72" s="17"/>
      <c r="I72" s="18" t="s">
        <v>2212</v>
      </c>
      <c r="J72" s="18"/>
      <c r="K72" s="18"/>
      <c r="L72" s="18"/>
      <c r="M72" s="17"/>
      <c r="N72" s="17"/>
      <c r="O72" s="17" t="s">
        <v>165</v>
      </c>
      <c r="P72" s="17" t="s">
        <v>35</v>
      </c>
      <c r="Q72" s="18" t="s">
        <v>7</v>
      </c>
      <c r="R72" s="18"/>
    </row>
    <row r="74" spans="2:18">
      <c r="B74" s="18" t="s">
        <v>3222</v>
      </c>
      <c r="C74" s="18" t="s">
        <v>2255</v>
      </c>
      <c r="D74" s="18"/>
      <c r="E74" s="18" t="s">
        <v>3319</v>
      </c>
      <c r="F74" s="18" t="s">
        <v>3320</v>
      </c>
      <c r="G74" s="18" t="s">
        <v>3287</v>
      </c>
      <c r="H74" s="18"/>
      <c r="I74" s="18" t="s">
        <v>23</v>
      </c>
      <c r="J74" s="18" t="s">
        <v>2247</v>
      </c>
      <c r="K74" s="18"/>
      <c r="L74" s="18"/>
      <c r="M74" s="18"/>
      <c r="N74" s="18"/>
      <c r="O74" s="18" t="s">
        <v>170</v>
      </c>
      <c r="P74" s="18" t="s">
        <v>18</v>
      </c>
      <c r="Q74" s="18" t="s">
        <v>7</v>
      </c>
      <c r="R74" s="18"/>
    </row>
    <row r="76" spans="2:18">
      <c r="B76" s="18" t="s">
        <v>3223</v>
      </c>
      <c r="C76" s="18" t="s">
        <v>2270</v>
      </c>
      <c r="D76" s="18"/>
      <c r="E76" s="18" t="s">
        <v>3319</v>
      </c>
      <c r="F76" s="18" t="s">
        <v>3320</v>
      </c>
      <c r="G76" s="18" t="s">
        <v>3291</v>
      </c>
      <c r="H76" s="18"/>
      <c r="I76" s="18" t="s">
        <v>2267</v>
      </c>
      <c r="J76" s="18"/>
      <c r="K76" s="18"/>
      <c r="L76" s="18"/>
      <c r="M76" s="18"/>
      <c r="N76" s="18"/>
      <c r="O76" s="18" t="s">
        <v>154</v>
      </c>
      <c r="P76" s="18" t="s">
        <v>38</v>
      </c>
      <c r="Q76" s="18" t="s">
        <v>7</v>
      </c>
      <c r="R76" s="18"/>
    </row>
    <row r="78" spans="2:18">
      <c r="B78" s="17" t="s">
        <v>3224</v>
      </c>
      <c r="C78" s="17" t="s">
        <v>2279</v>
      </c>
      <c r="D78" s="17"/>
      <c r="E78" s="18" t="s">
        <v>3319</v>
      </c>
      <c r="F78" s="18" t="s">
        <v>3320</v>
      </c>
      <c r="G78" s="18" t="s">
        <v>3286</v>
      </c>
      <c r="H78" s="18"/>
      <c r="I78" s="18" t="s">
        <v>2275</v>
      </c>
      <c r="J78" s="18"/>
      <c r="K78" s="18"/>
      <c r="L78" s="18"/>
      <c r="M78" s="18"/>
      <c r="N78" s="18"/>
      <c r="O78" s="18" t="s">
        <v>616</v>
      </c>
      <c r="P78" s="18" t="s">
        <v>38</v>
      </c>
      <c r="Q78" s="18" t="s">
        <v>7</v>
      </c>
      <c r="R78" s="18"/>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Q58"/>
  <sheetViews>
    <sheetView tabSelected="1" topLeftCell="A7" workbookViewId="0">
      <selection activeCell="J1" sqref="J1"/>
    </sheetView>
  </sheetViews>
  <sheetFormatPr defaultRowHeight="18.75"/>
  <sheetData>
    <row r="1" spans="1:16">
      <c r="A1" s="1" t="s">
        <v>1955</v>
      </c>
      <c r="B1" s="1" t="s">
        <v>3225</v>
      </c>
      <c r="C1" s="1" t="s">
        <v>3327</v>
      </c>
      <c r="D1" s="1" t="s">
        <v>1928</v>
      </c>
      <c r="E1" s="1" t="s">
        <v>3323</v>
      </c>
      <c r="F1" s="1" t="s">
        <v>3320</v>
      </c>
      <c r="G1" s="1" t="s">
        <v>3289</v>
      </c>
      <c r="H1" s="1"/>
      <c r="I1" s="1" t="s">
        <v>1942</v>
      </c>
      <c r="J1" s="1" t="s">
        <v>1965</v>
      </c>
      <c r="K1" s="1"/>
      <c r="L1" s="1"/>
      <c r="M1" s="1"/>
      <c r="N1" s="1" t="s">
        <v>154</v>
      </c>
      <c r="O1" s="1" t="s">
        <v>17</v>
      </c>
      <c r="P1" s="1" t="s">
        <v>9</v>
      </c>
    </row>
    <row r="2" spans="1:16">
      <c r="A2" s="1" t="s">
        <v>1956</v>
      </c>
      <c r="B2" s="1" t="s">
        <v>3226</v>
      </c>
      <c r="C2" s="1" t="s">
        <v>3328</v>
      </c>
      <c r="D2" t="s">
        <v>1928</v>
      </c>
      <c r="E2" t="s">
        <v>3319</v>
      </c>
      <c r="F2" t="s">
        <v>3320</v>
      </c>
      <c r="G2" t="s">
        <v>3287</v>
      </c>
      <c r="I2" t="s">
        <v>1943</v>
      </c>
      <c r="J2" t="s">
        <v>1944</v>
      </c>
      <c r="N2" t="s">
        <v>154</v>
      </c>
      <c r="O2" t="s">
        <v>1927</v>
      </c>
      <c r="P2" t="s">
        <v>9</v>
      </c>
    </row>
    <row r="3" spans="1:16">
      <c r="A3" t="s">
        <v>1957</v>
      </c>
      <c r="B3" t="s">
        <v>3227</v>
      </c>
      <c r="C3" t="s">
        <v>3329</v>
      </c>
      <c r="D3" t="s">
        <v>1939</v>
      </c>
      <c r="E3" t="s">
        <v>3323</v>
      </c>
      <c r="F3" t="s">
        <v>3320</v>
      </c>
      <c r="G3" t="s">
        <v>3307</v>
      </c>
      <c r="I3" t="s">
        <v>1964</v>
      </c>
      <c r="J3" t="s">
        <v>1945</v>
      </c>
      <c r="N3" t="s">
        <v>154</v>
      </c>
      <c r="O3" t="s">
        <v>18</v>
      </c>
      <c r="P3" t="s">
        <v>9</v>
      </c>
    </row>
    <row r="4" spans="1:16">
      <c r="A4" t="s">
        <v>1958</v>
      </c>
      <c r="B4" t="s">
        <v>3228</v>
      </c>
      <c r="C4" t="s">
        <v>3330</v>
      </c>
      <c r="D4" t="s">
        <v>1939</v>
      </c>
      <c r="E4" t="s">
        <v>3323</v>
      </c>
      <c r="F4" t="s">
        <v>3320</v>
      </c>
      <c r="G4" t="s">
        <v>3286</v>
      </c>
      <c r="I4" t="s">
        <v>1946</v>
      </c>
      <c r="J4" t="s">
        <v>1947</v>
      </c>
      <c r="N4" t="s">
        <v>154</v>
      </c>
      <c r="O4" t="s">
        <v>14</v>
      </c>
      <c r="P4" t="s">
        <v>9</v>
      </c>
    </row>
    <row r="5" spans="1:16">
      <c r="A5" t="s">
        <v>1959</v>
      </c>
      <c r="B5" t="s">
        <v>3229</v>
      </c>
      <c r="C5" t="s">
        <v>3331</v>
      </c>
      <c r="D5" t="s">
        <v>1929</v>
      </c>
      <c r="E5" t="s">
        <v>3323</v>
      </c>
      <c r="F5" t="s">
        <v>3320</v>
      </c>
      <c r="G5" t="s">
        <v>3295</v>
      </c>
      <c r="I5" t="s">
        <v>1948</v>
      </c>
      <c r="J5" t="s">
        <v>1949</v>
      </c>
      <c r="K5" t="s">
        <v>1950</v>
      </c>
      <c r="N5" t="s">
        <v>164</v>
      </c>
      <c r="O5" t="s">
        <v>10</v>
      </c>
      <c r="P5" t="s">
        <v>9</v>
      </c>
    </row>
    <row r="6" spans="1:16">
      <c r="A6" t="s">
        <v>1960</v>
      </c>
      <c r="B6" t="s">
        <v>3230</v>
      </c>
      <c r="C6" t="s">
        <v>3332</v>
      </c>
      <c r="D6" t="s">
        <v>1940</v>
      </c>
      <c r="E6" t="s">
        <v>3323</v>
      </c>
      <c r="F6" t="s">
        <v>3320</v>
      </c>
      <c r="G6" t="s">
        <v>3286</v>
      </c>
      <c r="I6" t="s">
        <v>1512</v>
      </c>
      <c r="J6" t="s">
        <v>1951</v>
      </c>
      <c r="N6" t="s">
        <v>616</v>
      </c>
      <c r="O6" t="s">
        <v>16</v>
      </c>
      <c r="P6" t="s">
        <v>9</v>
      </c>
    </row>
    <row r="7" spans="1:16">
      <c r="A7" t="s">
        <v>1961</v>
      </c>
      <c r="B7" t="s">
        <v>3231</v>
      </c>
      <c r="C7" t="s">
        <v>3333</v>
      </c>
      <c r="D7" t="s">
        <v>1967</v>
      </c>
      <c r="E7" t="s">
        <v>3319</v>
      </c>
      <c r="F7" t="s">
        <v>3320</v>
      </c>
      <c r="G7" t="s">
        <v>3295</v>
      </c>
      <c r="I7" t="s">
        <v>1952</v>
      </c>
      <c r="J7" t="s">
        <v>1953</v>
      </c>
      <c r="N7" t="s">
        <v>172</v>
      </c>
      <c r="O7" t="s">
        <v>6</v>
      </c>
      <c r="P7" t="s">
        <v>9</v>
      </c>
    </row>
    <row r="8" spans="1:16">
      <c r="A8" t="s">
        <v>1962</v>
      </c>
      <c r="B8" t="s">
        <v>3232</v>
      </c>
      <c r="C8" t="s">
        <v>3334</v>
      </c>
      <c r="D8" t="s">
        <v>1963</v>
      </c>
      <c r="E8" t="s">
        <v>3323</v>
      </c>
      <c r="F8" t="s">
        <v>3320</v>
      </c>
      <c r="G8" t="s">
        <v>3287</v>
      </c>
      <c r="I8" t="s">
        <v>23</v>
      </c>
      <c r="J8" t="s">
        <v>1954</v>
      </c>
      <c r="K8" t="s">
        <v>1966</v>
      </c>
      <c r="N8" t="s">
        <v>172</v>
      </c>
      <c r="O8" t="s">
        <v>31</v>
      </c>
      <c r="P8" t="s">
        <v>9</v>
      </c>
    </row>
    <row r="10" spans="1:16">
      <c r="A10" s="4" t="s">
        <v>2009</v>
      </c>
      <c r="B10" s="4" t="s">
        <v>3233</v>
      </c>
      <c r="C10" s="4" t="s">
        <v>3335</v>
      </c>
      <c r="D10" s="4" t="s">
        <v>1994</v>
      </c>
      <c r="E10" s="4" t="s">
        <v>3319</v>
      </c>
      <c r="F10" s="4" t="s">
        <v>3320</v>
      </c>
      <c r="G10" s="4" t="s">
        <v>3287</v>
      </c>
      <c r="H10" s="4"/>
      <c r="I10" s="4" t="s">
        <v>2002</v>
      </c>
      <c r="J10" s="4" t="s">
        <v>2003</v>
      </c>
      <c r="K10" s="4"/>
      <c r="L10" s="4"/>
      <c r="M10" s="4"/>
      <c r="N10" s="4" t="s">
        <v>161</v>
      </c>
      <c r="O10" s="4" t="s">
        <v>2013</v>
      </c>
      <c r="P10" s="4" t="s">
        <v>9</v>
      </c>
    </row>
    <row r="11" spans="1:16">
      <c r="A11" s="4" t="s">
        <v>2010</v>
      </c>
      <c r="B11" s="4" t="s">
        <v>3234</v>
      </c>
      <c r="C11" s="4" t="s">
        <v>3336</v>
      </c>
      <c r="D11" s="4" t="s">
        <v>1979</v>
      </c>
      <c r="E11" s="3" t="s">
        <v>3319</v>
      </c>
      <c r="F11" s="3" t="s">
        <v>3320</v>
      </c>
      <c r="G11" s="3" t="s">
        <v>3306</v>
      </c>
      <c r="H11" s="3"/>
      <c r="I11" s="3" t="s">
        <v>2004</v>
      </c>
      <c r="J11" s="3"/>
      <c r="K11" s="3"/>
      <c r="L11" s="3"/>
      <c r="M11" s="3"/>
      <c r="N11" s="3" t="s">
        <v>164</v>
      </c>
      <c r="O11" s="3" t="s">
        <v>30</v>
      </c>
      <c r="P11" s="3" t="s">
        <v>9</v>
      </c>
    </row>
    <row r="12" spans="1:16">
      <c r="A12" s="3" t="s">
        <v>2011</v>
      </c>
      <c r="B12" s="3" t="s">
        <v>3235</v>
      </c>
      <c r="C12" s="3" t="s">
        <v>3337</v>
      </c>
      <c r="D12" s="3" t="s">
        <v>1979</v>
      </c>
      <c r="E12" s="3" t="s">
        <v>3319</v>
      </c>
      <c r="F12" s="3" t="s">
        <v>3320</v>
      </c>
      <c r="G12" s="3" t="s">
        <v>3307</v>
      </c>
      <c r="H12" s="3"/>
      <c r="I12" s="3" t="s">
        <v>3</v>
      </c>
      <c r="J12" s="3" t="s">
        <v>2005</v>
      </c>
      <c r="K12" s="3"/>
      <c r="L12" s="3"/>
      <c r="M12" s="3"/>
      <c r="N12" s="3" t="s">
        <v>163</v>
      </c>
      <c r="O12" s="3" t="s">
        <v>16</v>
      </c>
      <c r="P12" s="3" t="s">
        <v>9</v>
      </c>
    </row>
    <row r="13" spans="1:16">
      <c r="A13" s="3" t="s">
        <v>2012</v>
      </c>
      <c r="B13" s="3" t="s">
        <v>3236</v>
      </c>
      <c r="C13" s="3" t="s">
        <v>3338</v>
      </c>
      <c r="D13" s="3" t="s">
        <v>1979</v>
      </c>
      <c r="E13" s="3" t="s">
        <v>3323</v>
      </c>
      <c r="F13" s="3" t="s">
        <v>3320</v>
      </c>
      <c r="G13" s="3" t="s">
        <v>3287</v>
      </c>
      <c r="H13" s="3"/>
      <c r="I13" s="3" t="s">
        <v>2006</v>
      </c>
      <c r="J13" s="3" t="s">
        <v>2007</v>
      </c>
      <c r="K13" s="3" t="s">
        <v>2008</v>
      </c>
      <c r="L13" s="3"/>
      <c r="M13" s="3"/>
      <c r="N13" s="3" t="s">
        <v>164</v>
      </c>
      <c r="O13" s="3" t="s">
        <v>8</v>
      </c>
      <c r="P13" s="3" t="s">
        <v>9</v>
      </c>
    </row>
    <row r="15" spans="1:16">
      <c r="A15" s="4" t="s">
        <v>2030</v>
      </c>
      <c r="B15" s="4" t="s">
        <v>3237</v>
      </c>
      <c r="C15" s="4" t="s">
        <v>3339</v>
      </c>
      <c r="D15" s="4" t="s">
        <v>2023</v>
      </c>
      <c r="E15" s="4" t="s">
        <v>3323</v>
      </c>
      <c r="F15" s="4" t="s">
        <v>3320</v>
      </c>
      <c r="G15" s="4" t="s">
        <v>3289</v>
      </c>
      <c r="H15" s="4"/>
      <c r="I15" s="4" t="s">
        <v>2026</v>
      </c>
      <c r="J15" s="4"/>
      <c r="K15" s="4"/>
      <c r="L15" s="4"/>
      <c r="M15" s="4"/>
      <c r="N15" s="4" t="s">
        <v>163</v>
      </c>
      <c r="O15" s="4" t="s">
        <v>10</v>
      </c>
      <c r="P15" s="4" t="s">
        <v>9</v>
      </c>
    </row>
    <row r="16" spans="1:16">
      <c r="A16" s="4" t="s">
        <v>2031</v>
      </c>
      <c r="B16" s="4" t="s">
        <v>3238</v>
      </c>
      <c r="C16" s="4" t="s">
        <v>3340</v>
      </c>
      <c r="D16" s="4" t="s">
        <v>2034</v>
      </c>
      <c r="E16" s="4" t="s">
        <v>3319</v>
      </c>
      <c r="F16" s="4" t="s">
        <v>3320</v>
      </c>
      <c r="G16" s="4" t="s">
        <v>3287</v>
      </c>
      <c r="H16" s="4"/>
      <c r="I16" s="3" t="s">
        <v>0</v>
      </c>
      <c r="J16" s="3" t="s">
        <v>2027</v>
      </c>
      <c r="K16" s="3"/>
      <c r="L16" s="3"/>
      <c r="M16" s="3"/>
      <c r="N16" s="3" t="s">
        <v>165</v>
      </c>
      <c r="O16" s="3" t="s">
        <v>10</v>
      </c>
      <c r="P16" s="3" t="s">
        <v>9</v>
      </c>
    </row>
    <row r="17" spans="1:16">
      <c r="A17" s="3" t="s">
        <v>2032</v>
      </c>
      <c r="B17" s="3" t="s">
        <v>3239</v>
      </c>
      <c r="C17" s="3" t="s">
        <v>3341</v>
      </c>
      <c r="D17" s="3" t="s">
        <v>2035</v>
      </c>
      <c r="E17" s="3" t="s">
        <v>3323</v>
      </c>
      <c r="F17" s="3" t="s">
        <v>3320</v>
      </c>
      <c r="G17" s="3" t="s">
        <v>3289</v>
      </c>
      <c r="H17" s="3"/>
      <c r="I17" s="3" t="s">
        <v>1586</v>
      </c>
      <c r="J17" s="3" t="s">
        <v>1167</v>
      </c>
      <c r="K17" s="3" t="s">
        <v>2028</v>
      </c>
      <c r="L17" s="3"/>
      <c r="M17" s="3"/>
      <c r="N17" s="3" t="s">
        <v>170</v>
      </c>
      <c r="O17" s="3" t="s">
        <v>16</v>
      </c>
      <c r="P17" s="3" t="s">
        <v>9</v>
      </c>
    </row>
    <row r="18" spans="1:16">
      <c r="A18" s="3" t="s">
        <v>2033</v>
      </c>
      <c r="B18" s="3" t="s">
        <v>3240</v>
      </c>
      <c r="C18" s="3" t="s">
        <v>3342</v>
      </c>
      <c r="D18" s="3" t="s">
        <v>2036</v>
      </c>
      <c r="E18" s="3" t="s">
        <v>3323</v>
      </c>
      <c r="F18" s="3" t="s">
        <v>3320</v>
      </c>
      <c r="G18" s="3" t="s">
        <v>3311</v>
      </c>
      <c r="H18" s="3"/>
      <c r="I18" s="3" t="s">
        <v>2029</v>
      </c>
      <c r="J18" s="3"/>
      <c r="K18" s="3"/>
      <c r="L18" s="3"/>
      <c r="M18" s="3"/>
      <c r="N18" s="3" t="s">
        <v>155</v>
      </c>
      <c r="O18" s="3" t="s">
        <v>31</v>
      </c>
      <c r="P18" s="3" t="s">
        <v>9</v>
      </c>
    </row>
    <row r="20" spans="1:16">
      <c r="A20" s="4" t="s">
        <v>2059</v>
      </c>
      <c r="B20" s="4" t="s">
        <v>3241</v>
      </c>
      <c r="C20" s="4" t="s">
        <v>3343</v>
      </c>
      <c r="D20" s="4" t="s">
        <v>2060</v>
      </c>
      <c r="E20" s="4" t="s">
        <v>3319</v>
      </c>
      <c r="F20" s="4" t="s">
        <v>3320</v>
      </c>
      <c r="G20" s="4" t="s">
        <v>3291</v>
      </c>
      <c r="H20" s="4"/>
      <c r="I20" s="4" t="s">
        <v>2058</v>
      </c>
      <c r="J20" s="4"/>
      <c r="K20" s="4"/>
      <c r="L20" s="4"/>
      <c r="M20" s="4"/>
      <c r="N20" s="4" t="s">
        <v>170</v>
      </c>
      <c r="O20" s="4" t="s">
        <v>5</v>
      </c>
      <c r="P20" s="4" t="s">
        <v>9</v>
      </c>
    </row>
    <row r="22" spans="1:16">
      <c r="A22" s="1" t="s">
        <v>2097</v>
      </c>
      <c r="B22" s="1" t="s">
        <v>3242</v>
      </c>
      <c r="C22" s="1" t="s">
        <v>3344</v>
      </c>
      <c r="D22" s="1" t="s">
        <v>2082</v>
      </c>
      <c r="E22" s="1" t="s">
        <v>3323</v>
      </c>
      <c r="F22" s="1" t="s">
        <v>3320</v>
      </c>
      <c r="G22" s="1" t="s">
        <v>3285</v>
      </c>
      <c r="H22" s="1"/>
      <c r="I22" s="1" t="s">
        <v>2089</v>
      </c>
      <c r="J22" s="1"/>
      <c r="K22" s="1"/>
      <c r="L22" s="1"/>
      <c r="M22" s="1"/>
      <c r="N22" s="1" t="s">
        <v>154</v>
      </c>
      <c r="O22" s="1" t="s">
        <v>31</v>
      </c>
      <c r="P22" s="1" t="s">
        <v>9</v>
      </c>
    </row>
    <row r="23" spans="1:16">
      <c r="A23" s="1" t="s">
        <v>2098</v>
      </c>
      <c r="B23" s="1" t="s">
        <v>3243</v>
      </c>
      <c r="C23" s="1" t="s">
        <v>3345</v>
      </c>
      <c r="D23" s="1" t="s">
        <v>2082</v>
      </c>
      <c r="E23" s="1" t="s">
        <v>3319</v>
      </c>
      <c r="F23" s="1" t="s">
        <v>3320</v>
      </c>
      <c r="G23" s="1" t="s">
        <v>3290</v>
      </c>
      <c r="H23" s="1"/>
      <c r="I23" s="3" t="s">
        <v>2090</v>
      </c>
      <c r="J23" s="3"/>
      <c r="K23" s="3"/>
      <c r="L23" s="3"/>
      <c r="M23" s="3"/>
      <c r="N23" s="3" t="s">
        <v>154</v>
      </c>
      <c r="O23" s="3" t="s">
        <v>1927</v>
      </c>
      <c r="P23" s="3" t="s">
        <v>9</v>
      </c>
    </row>
    <row r="24" spans="1:16">
      <c r="A24" s="3" t="s">
        <v>2099</v>
      </c>
      <c r="B24" s="3" t="s">
        <v>3244</v>
      </c>
      <c r="C24" s="3" t="s">
        <v>3346</v>
      </c>
      <c r="D24" s="3" t="s">
        <v>2086</v>
      </c>
      <c r="E24" s="3" t="s">
        <v>3319</v>
      </c>
      <c r="F24" s="3" t="s">
        <v>3320</v>
      </c>
      <c r="G24" s="3" t="s">
        <v>3290</v>
      </c>
      <c r="H24" s="3"/>
      <c r="I24" s="3" t="s">
        <v>2091</v>
      </c>
      <c r="J24" s="3" t="s">
        <v>2092</v>
      </c>
      <c r="K24" s="3"/>
      <c r="L24" s="3"/>
      <c r="M24" s="3"/>
      <c r="N24" s="3" t="s">
        <v>154</v>
      </c>
      <c r="O24" s="3" t="s">
        <v>18</v>
      </c>
      <c r="P24" s="3" t="s">
        <v>9</v>
      </c>
    </row>
    <row r="25" spans="1:16">
      <c r="A25" s="3" t="s">
        <v>2100</v>
      </c>
      <c r="B25" s="3" t="s">
        <v>3245</v>
      </c>
      <c r="C25" s="3" t="s">
        <v>3347</v>
      </c>
      <c r="D25" s="3" t="s">
        <v>2086</v>
      </c>
      <c r="E25" s="3" t="s">
        <v>3319</v>
      </c>
      <c r="F25" s="3" t="s">
        <v>3320</v>
      </c>
      <c r="G25" s="3" t="s">
        <v>3286</v>
      </c>
      <c r="H25" s="3" t="s">
        <v>3296</v>
      </c>
      <c r="I25" s="3" t="s">
        <v>2093</v>
      </c>
      <c r="J25" s="3" t="s">
        <v>2094</v>
      </c>
      <c r="K25" s="3"/>
      <c r="L25" s="3"/>
      <c r="M25" s="3"/>
      <c r="N25" s="3" t="s">
        <v>617</v>
      </c>
      <c r="O25" s="3" t="s">
        <v>28</v>
      </c>
      <c r="P25" s="3" t="s">
        <v>9</v>
      </c>
    </row>
    <row r="26" spans="1:16">
      <c r="A26" s="3" t="s">
        <v>2101</v>
      </c>
      <c r="B26" s="3" t="s">
        <v>3246</v>
      </c>
      <c r="C26" s="3" t="s">
        <v>3348</v>
      </c>
      <c r="D26" s="3" t="s">
        <v>2087</v>
      </c>
      <c r="E26" s="3" t="s">
        <v>3319</v>
      </c>
      <c r="F26" s="3" t="s">
        <v>3320</v>
      </c>
      <c r="G26" s="3" t="s">
        <v>3290</v>
      </c>
      <c r="H26" s="3"/>
      <c r="I26" s="3" t="s">
        <v>3</v>
      </c>
      <c r="J26" s="3" t="s">
        <v>19</v>
      </c>
      <c r="K26" s="3" t="s">
        <v>2095</v>
      </c>
      <c r="L26" s="3"/>
      <c r="M26" s="3"/>
      <c r="N26" s="3" t="s">
        <v>170</v>
      </c>
      <c r="O26" s="3" t="s">
        <v>39</v>
      </c>
      <c r="P26" s="3" t="s">
        <v>9</v>
      </c>
    </row>
    <row r="27" spans="1:16">
      <c r="A27" s="3" t="s">
        <v>2102</v>
      </c>
      <c r="B27" s="3" t="s">
        <v>3247</v>
      </c>
      <c r="C27" s="3" t="s">
        <v>3349</v>
      </c>
      <c r="D27" s="3" t="s">
        <v>2087</v>
      </c>
      <c r="E27" s="3" t="s">
        <v>3319</v>
      </c>
      <c r="F27" s="3" t="s">
        <v>3320</v>
      </c>
      <c r="G27" s="3" t="s">
        <v>3290</v>
      </c>
      <c r="H27" s="3"/>
      <c r="I27" s="3" t="s">
        <v>2096</v>
      </c>
      <c r="J27" s="3"/>
      <c r="K27" s="3"/>
      <c r="L27" s="3"/>
      <c r="M27" s="3"/>
      <c r="N27" s="3" t="s">
        <v>154</v>
      </c>
      <c r="O27" s="3" t="s">
        <v>1927</v>
      </c>
      <c r="P27" s="3" t="s">
        <v>9</v>
      </c>
    </row>
    <row r="29" spans="1:16">
      <c r="A29" s="1" t="s">
        <v>2135</v>
      </c>
      <c r="B29" s="1" t="s">
        <v>3248</v>
      </c>
      <c r="C29" s="1" t="s">
        <v>3350</v>
      </c>
      <c r="D29" s="1" t="s">
        <v>2115</v>
      </c>
      <c r="E29" s="1" t="s">
        <v>3319</v>
      </c>
      <c r="F29" s="1" t="s">
        <v>3320</v>
      </c>
      <c r="G29" s="1" t="s">
        <v>3289</v>
      </c>
      <c r="H29" s="1"/>
      <c r="I29" s="1" t="s">
        <v>2124</v>
      </c>
      <c r="J29" s="1"/>
      <c r="K29" s="1"/>
      <c r="L29" s="1"/>
      <c r="M29" s="1"/>
      <c r="N29" s="1" t="s">
        <v>156</v>
      </c>
      <c r="O29" s="1" t="s">
        <v>5</v>
      </c>
      <c r="P29" s="1" t="s">
        <v>9</v>
      </c>
    </row>
    <row r="30" spans="1:16">
      <c r="A30" s="1" t="s">
        <v>2136</v>
      </c>
      <c r="B30" s="1" t="s">
        <v>3249</v>
      </c>
      <c r="C30" s="1" t="s">
        <v>3351</v>
      </c>
      <c r="D30" s="1" t="s">
        <v>2105</v>
      </c>
      <c r="E30" s="1" t="s">
        <v>3319</v>
      </c>
      <c r="F30" s="1" t="s">
        <v>3320</v>
      </c>
      <c r="G30" s="1" t="s">
        <v>3289</v>
      </c>
      <c r="H30" s="1"/>
      <c r="I30" s="3" t="s">
        <v>2125</v>
      </c>
      <c r="J30" s="3" t="s">
        <v>2126</v>
      </c>
      <c r="K30" s="3" t="s">
        <v>2127</v>
      </c>
      <c r="L30" s="3" t="s">
        <v>2128</v>
      </c>
      <c r="M30" s="3"/>
      <c r="N30" s="3" t="s">
        <v>156</v>
      </c>
      <c r="O30" s="3" t="s">
        <v>11</v>
      </c>
      <c r="P30" s="3" t="s">
        <v>9</v>
      </c>
    </row>
    <row r="31" spans="1:16">
      <c r="A31" s="3" t="s">
        <v>2137</v>
      </c>
      <c r="B31" s="3" t="s">
        <v>3250</v>
      </c>
      <c r="C31" s="3" t="s">
        <v>3352</v>
      </c>
      <c r="D31" s="3" t="s">
        <v>2105</v>
      </c>
      <c r="E31" s="3" t="s">
        <v>3323</v>
      </c>
      <c r="F31" s="3" t="s">
        <v>3320</v>
      </c>
      <c r="G31" s="3" t="s">
        <v>3295</v>
      </c>
      <c r="H31" s="3"/>
      <c r="I31" s="3" t="s">
        <v>2129</v>
      </c>
      <c r="J31" s="3" t="s">
        <v>2130</v>
      </c>
      <c r="K31" s="3"/>
      <c r="L31" s="3"/>
      <c r="M31" s="3"/>
      <c r="N31" s="3" t="s">
        <v>164</v>
      </c>
      <c r="O31" s="3" t="s">
        <v>11</v>
      </c>
      <c r="P31" s="3" t="s">
        <v>9</v>
      </c>
    </row>
    <row r="32" spans="1:16">
      <c r="A32" s="3" t="s">
        <v>2138</v>
      </c>
      <c r="B32" s="3" t="s">
        <v>3251</v>
      </c>
      <c r="C32" s="3" t="s">
        <v>3353</v>
      </c>
      <c r="D32" s="3" t="s">
        <v>2105</v>
      </c>
      <c r="E32" s="3" t="s">
        <v>3323</v>
      </c>
      <c r="F32" s="3" t="s">
        <v>3320</v>
      </c>
      <c r="G32" s="3" t="s">
        <v>3295</v>
      </c>
      <c r="H32" s="3"/>
      <c r="I32" s="3" t="s">
        <v>2131</v>
      </c>
      <c r="J32" s="3"/>
      <c r="K32" s="3"/>
      <c r="L32" s="3"/>
      <c r="M32" s="3"/>
      <c r="N32" s="3" t="s">
        <v>164</v>
      </c>
      <c r="O32" s="3" t="s">
        <v>26</v>
      </c>
      <c r="P32" s="3" t="s">
        <v>9</v>
      </c>
    </row>
    <row r="33" spans="1:17">
      <c r="A33" s="3" t="s">
        <v>2139</v>
      </c>
      <c r="B33" s="3" t="s">
        <v>3252</v>
      </c>
      <c r="C33" s="3" t="s">
        <v>3354</v>
      </c>
      <c r="D33" s="3" t="s">
        <v>2116</v>
      </c>
      <c r="E33" s="3" t="s">
        <v>3323</v>
      </c>
      <c r="F33" s="3" t="s">
        <v>3320</v>
      </c>
      <c r="G33" s="3" t="s">
        <v>3287</v>
      </c>
      <c r="H33" s="3"/>
      <c r="I33" s="3" t="s">
        <v>2132</v>
      </c>
      <c r="J33" s="3" t="s">
        <v>2141</v>
      </c>
      <c r="K33" s="3" t="s">
        <v>2143</v>
      </c>
      <c r="L33" s="3"/>
      <c r="M33" s="3"/>
      <c r="N33" s="3" t="s">
        <v>170</v>
      </c>
      <c r="O33" s="3" t="s">
        <v>14</v>
      </c>
      <c r="P33" s="3" t="s">
        <v>9</v>
      </c>
    </row>
    <row r="34" spans="1:17">
      <c r="A34" s="3" t="s">
        <v>2140</v>
      </c>
      <c r="B34" s="3" t="s">
        <v>3253</v>
      </c>
      <c r="C34" s="3" t="s">
        <v>3355</v>
      </c>
      <c r="D34" s="3" t="s">
        <v>2142</v>
      </c>
      <c r="E34" s="3" t="s">
        <v>3323</v>
      </c>
      <c r="F34" s="3" t="s">
        <v>3320</v>
      </c>
      <c r="G34" s="3" t="s">
        <v>3295</v>
      </c>
      <c r="H34" s="3"/>
      <c r="I34" s="3" t="s">
        <v>2133</v>
      </c>
      <c r="J34" s="3" t="s">
        <v>2134</v>
      </c>
      <c r="K34" s="3"/>
      <c r="L34" s="3"/>
      <c r="M34" s="3"/>
      <c r="N34" s="3" t="s">
        <v>616</v>
      </c>
      <c r="O34" s="3" t="s">
        <v>16</v>
      </c>
      <c r="P34" s="3" t="s">
        <v>9</v>
      </c>
    </row>
    <row r="36" spans="1:17">
      <c r="A36" s="1" t="s">
        <v>2164</v>
      </c>
      <c r="B36" s="1" t="s">
        <v>3254</v>
      </c>
      <c r="C36" s="1" t="s">
        <v>3356</v>
      </c>
      <c r="D36" s="1" t="s">
        <v>2154</v>
      </c>
      <c r="E36" s="1" t="s">
        <v>3323</v>
      </c>
      <c r="F36" s="1" t="s">
        <v>3320</v>
      </c>
      <c r="G36" s="1" t="s">
        <v>3287</v>
      </c>
      <c r="H36" s="1"/>
      <c r="I36" s="1" t="s">
        <v>2161</v>
      </c>
      <c r="J36" s="1"/>
      <c r="K36" s="1"/>
      <c r="L36" s="1"/>
      <c r="M36" s="1"/>
      <c r="N36" s="1" t="s">
        <v>154</v>
      </c>
      <c r="O36" s="1" t="s">
        <v>34</v>
      </c>
      <c r="P36" s="1" t="s">
        <v>9</v>
      </c>
    </row>
    <row r="37" spans="1:17">
      <c r="A37" s="1" t="s">
        <v>2165</v>
      </c>
      <c r="B37" s="1" t="s">
        <v>3255</v>
      </c>
      <c r="C37" s="1" t="s">
        <v>3357</v>
      </c>
      <c r="D37" s="1" t="s">
        <v>2155</v>
      </c>
      <c r="E37" s="1" t="s">
        <v>3323</v>
      </c>
      <c r="F37" s="1" t="s">
        <v>3320</v>
      </c>
      <c r="G37" s="1" t="s">
        <v>3287</v>
      </c>
      <c r="H37" s="1"/>
      <c r="I37" s="3" t="s">
        <v>2162</v>
      </c>
      <c r="J37" s="3" t="s">
        <v>2163</v>
      </c>
      <c r="K37" s="3"/>
      <c r="L37" s="3"/>
      <c r="M37" s="3"/>
      <c r="N37" s="3" t="s">
        <v>170</v>
      </c>
      <c r="O37" s="3" t="s">
        <v>11</v>
      </c>
      <c r="P37" s="3" t="s">
        <v>9</v>
      </c>
    </row>
    <row r="38" spans="1:17">
      <c r="A38" s="3" t="s">
        <v>2166</v>
      </c>
      <c r="B38" s="3" t="s">
        <v>3256</v>
      </c>
      <c r="C38" s="3" t="s">
        <v>3358</v>
      </c>
      <c r="D38" s="3" t="s">
        <v>2146</v>
      </c>
      <c r="E38" s="3" t="s">
        <v>3319</v>
      </c>
      <c r="F38" s="3" t="s">
        <v>3320</v>
      </c>
      <c r="G38" s="3" t="s">
        <v>3287</v>
      </c>
      <c r="H38" s="3"/>
      <c r="I38" s="3" t="s">
        <v>2167</v>
      </c>
      <c r="J38" s="3" t="s">
        <v>2168</v>
      </c>
      <c r="K38" s="3"/>
      <c r="L38" s="3"/>
      <c r="M38" s="3"/>
      <c r="N38" s="3" t="s">
        <v>164</v>
      </c>
      <c r="O38" s="3" t="s">
        <v>6</v>
      </c>
      <c r="P38" s="3" t="s">
        <v>9</v>
      </c>
    </row>
    <row r="40" spans="1:17">
      <c r="A40" s="1" t="s">
        <v>2171</v>
      </c>
      <c r="B40" s="1" t="s">
        <v>3257</v>
      </c>
      <c r="C40" s="1" t="s">
        <v>3359</v>
      </c>
      <c r="D40" s="1" t="s">
        <v>2172</v>
      </c>
      <c r="E40" s="1" t="s">
        <v>3323</v>
      </c>
      <c r="F40" s="1" t="s">
        <v>3320</v>
      </c>
      <c r="G40" s="1" t="s">
        <v>3289</v>
      </c>
      <c r="H40" s="1"/>
      <c r="I40" s="1" t="s">
        <v>2169</v>
      </c>
      <c r="J40" s="1" t="s">
        <v>2170</v>
      </c>
      <c r="K40" s="1"/>
      <c r="L40" s="1"/>
      <c r="M40" s="1"/>
      <c r="N40" s="1" t="s">
        <v>154</v>
      </c>
      <c r="O40" s="1" t="s">
        <v>17</v>
      </c>
      <c r="P40" s="1" t="s">
        <v>9</v>
      </c>
    </row>
    <row r="42" spans="1:17">
      <c r="A42" s="1" t="s">
        <v>2203</v>
      </c>
      <c r="B42" s="1" t="s">
        <v>3258</v>
      </c>
      <c r="C42" s="1" t="s">
        <v>3360</v>
      </c>
      <c r="D42" s="1" t="s">
        <v>2182</v>
      </c>
      <c r="E42" s="1" t="s">
        <v>3323</v>
      </c>
      <c r="F42" s="1" t="s">
        <v>3320</v>
      </c>
      <c r="G42" s="1" t="s">
        <v>3286</v>
      </c>
      <c r="H42" s="1"/>
      <c r="I42" s="1" t="s">
        <v>25</v>
      </c>
      <c r="J42" s="1" t="s">
        <v>2198</v>
      </c>
      <c r="K42" s="1"/>
      <c r="L42" s="1"/>
      <c r="M42" s="1"/>
      <c r="N42" s="1" t="s">
        <v>165</v>
      </c>
      <c r="O42" s="1" t="s">
        <v>14</v>
      </c>
      <c r="P42" s="1" t="s">
        <v>9</v>
      </c>
    </row>
    <row r="43" spans="1:17">
      <c r="A43" s="1" t="s">
        <v>2204</v>
      </c>
      <c r="B43" s="1" t="s">
        <v>3259</v>
      </c>
      <c r="C43" s="1" t="s">
        <v>3361</v>
      </c>
      <c r="D43" s="1" t="s">
        <v>2207</v>
      </c>
      <c r="E43" s="3" t="s">
        <v>3323</v>
      </c>
      <c r="F43" s="3" t="s">
        <v>3320</v>
      </c>
      <c r="G43" s="3" t="s">
        <v>3286</v>
      </c>
      <c r="H43" s="3"/>
      <c r="I43" s="3" t="s">
        <v>2199</v>
      </c>
      <c r="J43" s="3" t="s">
        <v>2200</v>
      </c>
      <c r="K43" s="3"/>
      <c r="L43" s="3"/>
      <c r="M43" s="3"/>
      <c r="N43" s="3" t="s">
        <v>154</v>
      </c>
      <c r="O43" s="3" t="s">
        <v>16</v>
      </c>
      <c r="P43" s="3" t="s">
        <v>9</v>
      </c>
    </row>
    <row r="44" spans="1:17">
      <c r="A44" s="3" t="s">
        <v>2205</v>
      </c>
      <c r="B44" s="3" t="s">
        <v>3260</v>
      </c>
      <c r="C44" s="3" t="s">
        <v>3362</v>
      </c>
      <c r="D44" s="3" t="s">
        <v>2190</v>
      </c>
      <c r="E44" s="3" t="s">
        <v>3323</v>
      </c>
      <c r="F44" s="3" t="s">
        <v>3320</v>
      </c>
      <c r="G44" s="3" t="s">
        <v>3286</v>
      </c>
      <c r="H44" s="3"/>
      <c r="I44" s="3" t="s">
        <v>2201</v>
      </c>
      <c r="J44" s="3"/>
      <c r="K44" s="3"/>
      <c r="L44" s="3"/>
      <c r="M44" s="3"/>
      <c r="N44" s="3" t="s">
        <v>170</v>
      </c>
      <c r="O44" s="3" t="s">
        <v>8</v>
      </c>
      <c r="P44" s="3" t="s">
        <v>9</v>
      </c>
    </row>
    <row r="45" spans="1:17">
      <c r="A45" s="3" t="s">
        <v>2206</v>
      </c>
      <c r="B45" s="3" t="s">
        <v>3261</v>
      </c>
      <c r="C45" s="3" t="s">
        <v>3363</v>
      </c>
      <c r="D45" s="3" t="s">
        <v>2190</v>
      </c>
      <c r="E45" s="3" t="s">
        <v>3323</v>
      </c>
      <c r="F45" s="3" t="s">
        <v>3320</v>
      </c>
      <c r="G45" s="3" t="s">
        <v>3291</v>
      </c>
      <c r="H45" s="3"/>
      <c r="I45" s="3" t="s">
        <v>0</v>
      </c>
      <c r="J45" s="3" t="s">
        <v>2202</v>
      </c>
      <c r="K45" s="3"/>
      <c r="L45" s="3"/>
      <c r="M45" s="3"/>
      <c r="N45" s="3" t="s">
        <v>155</v>
      </c>
      <c r="O45" s="3" t="s">
        <v>611</v>
      </c>
      <c r="P45" s="3" t="s">
        <v>9</v>
      </c>
    </row>
    <row r="47" spans="1:17">
      <c r="A47" s="1" t="s">
        <v>2218</v>
      </c>
      <c r="B47" s="1" t="s">
        <v>3262</v>
      </c>
      <c r="C47" s="1" t="s">
        <v>3364</v>
      </c>
      <c r="D47" s="1" t="s">
        <v>2209</v>
      </c>
      <c r="E47" s="1" t="s">
        <v>3323</v>
      </c>
      <c r="F47" s="1" t="s">
        <v>3320</v>
      </c>
      <c r="G47" s="1" t="s">
        <v>3318</v>
      </c>
      <c r="H47" s="1"/>
      <c r="I47" s="1" t="s">
        <v>2224</v>
      </c>
      <c r="J47" s="1"/>
      <c r="K47" s="1"/>
      <c r="L47" s="1"/>
      <c r="M47" s="1"/>
      <c r="N47" s="1" t="s">
        <v>166</v>
      </c>
      <c r="O47" s="1" t="s">
        <v>16</v>
      </c>
      <c r="P47" s="1" t="s">
        <v>9</v>
      </c>
    </row>
    <row r="48" spans="1:17">
      <c r="A48" s="12" t="s">
        <v>2219</v>
      </c>
      <c r="B48" s="12" t="s">
        <v>3263</v>
      </c>
      <c r="C48" s="12" t="s">
        <v>3365</v>
      </c>
      <c r="D48" s="12" t="s">
        <v>2209</v>
      </c>
      <c r="E48" s="12" t="s">
        <v>3319</v>
      </c>
      <c r="F48" s="12" t="s">
        <v>3320</v>
      </c>
      <c r="G48" s="12" t="s">
        <v>3287</v>
      </c>
      <c r="H48" s="12"/>
      <c r="I48" s="48" t="s">
        <v>2214</v>
      </c>
      <c r="J48" s="48"/>
      <c r="K48" s="48"/>
      <c r="L48" s="48"/>
      <c r="M48" s="48"/>
      <c r="N48" s="48" t="s">
        <v>164</v>
      </c>
      <c r="O48" s="48" t="s">
        <v>5</v>
      </c>
      <c r="P48" s="48" t="s">
        <v>9</v>
      </c>
      <c r="Q48" s="9"/>
    </row>
    <row r="49" spans="1:17">
      <c r="A49" s="3" t="s">
        <v>2220</v>
      </c>
      <c r="B49" s="3" t="s">
        <v>3264</v>
      </c>
      <c r="C49" s="3" t="s">
        <v>3366</v>
      </c>
      <c r="D49" s="3" t="s">
        <v>2222</v>
      </c>
      <c r="E49" s="3" t="s">
        <v>3319</v>
      </c>
      <c r="F49" s="3" t="s">
        <v>3320</v>
      </c>
      <c r="G49" s="3" t="s">
        <v>3287</v>
      </c>
      <c r="H49" s="3"/>
      <c r="I49" s="3" t="s">
        <v>1745</v>
      </c>
      <c r="J49" s="3" t="s">
        <v>2215</v>
      </c>
      <c r="K49" s="3"/>
      <c r="L49" s="3"/>
      <c r="M49" s="3"/>
      <c r="N49" s="3" t="s">
        <v>156</v>
      </c>
      <c r="O49" s="3" t="s">
        <v>5</v>
      </c>
      <c r="P49" s="3" t="s">
        <v>9</v>
      </c>
    </row>
    <row r="50" spans="1:17">
      <c r="A50" s="3" t="s">
        <v>2221</v>
      </c>
      <c r="B50" s="3" t="s">
        <v>3265</v>
      </c>
      <c r="C50" s="3" t="s">
        <v>3367</v>
      </c>
      <c r="D50" s="3" t="s">
        <v>2223</v>
      </c>
      <c r="E50" s="3" t="s">
        <v>3319</v>
      </c>
      <c r="F50" s="3" t="s">
        <v>3320</v>
      </c>
      <c r="G50" s="3" t="s">
        <v>3287</v>
      </c>
      <c r="H50" s="3"/>
      <c r="I50" s="3" t="s">
        <v>2216</v>
      </c>
      <c r="J50" s="3" t="s">
        <v>2217</v>
      </c>
      <c r="K50" s="3"/>
      <c r="L50" s="3"/>
      <c r="M50" s="3"/>
      <c r="N50" s="3" t="s">
        <v>164</v>
      </c>
      <c r="O50" s="3" t="s">
        <v>14</v>
      </c>
      <c r="P50" s="3" t="s">
        <v>9</v>
      </c>
    </row>
    <row r="52" spans="1:17">
      <c r="A52" s="12" t="s">
        <v>2229</v>
      </c>
      <c r="B52" s="12" t="s">
        <v>3266</v>
      </c>
      <c r="C52" s="12" t="s">
        <v>3368</v>
      </c>
      <c r="D52" s="12" t="s">
        <v>2232</v>
      </c>
      <c r="E52" s="48" t="s">
        <v>3323</v>
      </c>
      <c r="F52" s="48" t="s">
        <v>3320</v>
      </c>
      <c r="G52" s="48" t="s">
        <v>3287</v>
      </c>
      <c r="H52" s="48"/>
      <c r="I52" s="48" t="s">
        <v>1</v>
      </c>
      <c r="J52" s="48" t="s">
        <v>2226</v>
      </c>
      <c r="K52" s="48"/>
      <c r="L52" s="48"/>
      <c r="M52" s="48"/>
      <c r="N52" s="48" t="s">
        <v>166</v>
      </c>
      <c r="O52" s="48" t="s">
        <v>49</v>
      </c>
      <c r="P52" s="48" t="s">
        <v>9</v>
      </c>
      <c r="Q52" s="9"/>
    </row>
    <row r="54" spans="1:17">
      <c r="A54" s="12" t="s">
        <v>2238</v>
      </c>
      <c r="B54" s="12" t="s">
        <v>3267</v>
      </c>
      <c r="C54" s="12" t="s">
        <v>3369</v>
      </c>
      <c r="D54" s="12" t="s">
        <v>2239</v>
      </c>
      <c r="E54" s="48" t="s">
        <v>3323</v>
      </c>
      <c r="F54" s="48" t="s">
        <v>3320</v>
      </c>
      <c r="G54" s="48" t="s">
        <v>3299</v>
      </c>
      <c r="H54" s="48"/>
      <c r="I54" s="48" t="s">
        <v>2236</v>
      </c>
      <c r="J54" s="48"/>
      <c r="K54" s="48"/>
      <c r="L54" s="48"/>
      <c r="M54" s="48"/>
      <c r="N54" s="48" t="s">
        <v>616</v>
      </c>
      <c r="O54" s="48" t="s">
        <v>31</v>
      </c>
      <c r="P54" s="48" t="s">
        <v>9</v>
      </c>
      <c r="Q54" s="9"/>
    </row>
    <row r="56" spans="1:17">
      <c r="A56" s="1" t="s">
        <v>2249</v>
      </c>
      <c r="B56" s="1" t="s">
        <v>3268</v>
      </c>
      <c r="C56" s="1" t="s">
        <v>3370</v>
      </c>
      <c r="D56" s="1" t="s">
        <v>2253</v>
      </c>
      <c r="E56" s="1" t="s">
        <v>3319</v>
      </c>
      <c r="F56" s="1" t="s">
        <v>3320</v>
      </c>
      <c r="G56" s="1" t="s">
        <v>3286</v>
      </c>
      <c r="H56" s="1"/>
      <c r="I56" s="1" t="s">
        <v>13</v>
      </c>
      <c r="J56" s="1" t="s">
        <v>2244</v>
      </c>
      <c r="K56" s="1"/>
      <c r="L56" s="1"/>
      <c r="M56" s="1"/>
      <c r="N56" s="1" t="s">
        <v>154</v>
      </c>
      <c r="O56" s="3" t="s">
        <v>18</v>
      </c>
      <c r="P56" s="3" t="s">
        <v>9</v>
      </c>
    </row>
    <row r="58" spans="1:17">
      <c r="A58" s="1" t="s">
        <v>2260</v>
      </c>
      <c r="B58" s="1" t="s">
        <v>3269</v>
      </c>
      <c r="C58" s="1" t="s">
        <v>3371</v>
      </c>
      <c r="D58" s="1" t="s">
        <v>2262</v>
      </c>
      <c r="E58" s="1" t="s">
        <v>3319</v>
      </c>
      <c r="F58" s="1" t="s">
        <v>3320</v>
      </c>
      <c r="G58" s="1" t="s">
        <v>3294</v>
      </c>
      <c r="H58" s="1"/>
      <c r="I58" s="1" t="s">
        <v>2257</v>
      </c>
      <c r="J58" s="1"/>
      <c r="K58" s="1"/>
      <c r="L58" s="1"/>
      <c r="M58" s="1"/>
      <c r="N58" s="1" t="s">
        <v>170</v>
      </c>
      <c r="O58" s="1" t="s">
        <v>38</v>
      </c>
      <c r="P58" s="1" t="s">
        <v>9</v>
      </c>
      <c r="Q58" s="1"/>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Q25"/>
  <sheetViews>
    <sheetView workbookViewId="0">
      <selection activeCell="I3" sqref="I3"/>
    </sheetView>
  </sheetViews>
  <sheetFormatPr defaultRowHeight="18.75"/>
  <sheetData>
    <row r="1" spans="1:17">
      <c r="A1" s="1" t="s">
        <v>1971</v>
      </c>
      <c r="B1" s="1" t="s">
        <v>3270</v>
      </c>
      <c r="C1" s="1" t="s">
        <v>3372</v>
      </c>
      <c r="D1" s="1" t="s">
        <v>1929</v>
      </c>
      <c r="E1" s="1" t="s">
        <v>3319</v>
      </c>
      <c r="F1" s="1" t="s">
        <v>3320</v>
      </c>
      <c r="G1" s="1" t="s">
        <v>3295</v>
      </c>
      <c r="H1" s="1"/>
      <c r="I1" s="1" t="s">
        <v>1968</v>
      </c>
      <c r="J1" s="1" t="s">
        <v>1969</v>
      </c>
      <c r="K1" s="1" t="s">
        <v>1970</v>
      </c>
      <c r="L1" s="1"/>
      <c r="M1" s="1"/>
      <c r="N1" s="1" t="s">
        <v>168</v>
      </c>
      <c r="O1" s="1" t="s">
        <v>16</v>
      </c>
      <c r="P1" s="1" t="s">
        <v>41</v>
      </c>
    </row>
    <row r="3" spans="1:17">
      <c r="A3" s="47" t="s">
        <v>2016</v>
      </c>
      <c r="B3" s="47" t="s">
        <v>3271</v>
      </c>
      <c r="C3" s="47" t="s">
        <v>3373</v>
      </c>
      <c r="D3" s="47" t="s">
        <v>1979</v>
      </c>
      <c r="E3" s="47" t="s">
        <v>3323</v>
      </c>
      <c r="F3" s="47" t="s">
        <v>3320</v>
      </c>
      <c r="G3" s="47" t="s">
        <v>3287</v>
      </c>
      <c r="H3" s="47"/>
      <c r="I3" s="47" t="s">
        <v>2014</v>
      </c>
      <c r="J3" s="47" t="s">
        <v>2015</v>
      </c>
      <c r="K3" s="47"/>
      <c r="L3" s="47"/>
      <c r="M3" s="47"/>
      <c r="N3" s="47" t="s">
        <v>616</v>
      </c>
      <c r="O3" s="47" t="s">
        <v>39</v>
      </c>
      <c r="P3" s="47" t="s">
        <v>41</v>
      </c>
      <c r="Q3" s="9"/>
    </row>
    <row r="5" spans="1:17">
      <c r="A5" s="4" t="s">
        <v>2071</v>
      </c>
      <c r="B5" s="4" t="s">
        <v>3272</v>
      </c>
      <c r="C5" s="4" t="s">
        <v>3374</v>
      </c>
      <c r="D5" s="4" t="s">
        <v>2078</v>
      </c>
      <c r="E5" s="4" t="s">
        <v>3319</v>
      </c>
      <c r="F5" s="4" t="s">
        <v>3320</v>
      </c>
      <c r="G5" s="4" t="s">
        <v>3315</v>
      </c>
      <c r="H5" s="4"/>
      <c r="I5" s="4" t="s">
        <v>2061</v>
      </c>
      <c r="J5" s="4" t="s">
        <v>2062</v>
      </c>
      <c r="K5" s="4"/>
      <c r="L5" s="4"/>
      <c r="M5" s="3" t="s">
        <v>153</v>
      </c>
      <c r="N5" s="4" t="s">
        <v>154</v>
      </c>
      <c r="O5" s="3"/>
      <c r="P5" s="3"/>
    </row>
    <row r="6" spans="1:17">
      <c r="A6" s="4" t="s">
        <v>2072</v>
      </c>
      <c r="B6" s="4" t="s">
        <v>3273</v>
      </c>
      <c r="C6" s="4" t="s">
        <v>3375</v>
      </c>
      <c r="D6" s="7" t="s">
        <v>3408</v>
      </c>
      <c r="E6" s="4" t="s">
        <v>3319</v>
      </c>
      <c r="F6" s="3" t="s">
        <v>3315</v>
      </c>
      <c r="G6" s="4"/>
      <c r="H6" s="4"/>
      <c r="I6" s="4" t="s">
        <v>20</v>
      </c>
      <c r="J6" s="4" t="s">
        <v>2063</v>
      </c>
      <c r="K6" s="4" t="s">
        <v>2064</v>
      </c>
      <c r="L6" s="4"/>
      <c r="M6" s="3" t="s">
        <v>153</v>
      </c>
      <c r="N6" s="4" t="s">
        <v>616</v>
      </c>
      <c r="O6" s="4" t="s">
        <v>44</v>
      </c>
      <c r="P6" s="3" t="s">
        <v>41</v>
      </c>
    </row>
    <row r="7" spans="1:17">
      <c r="A7" s="3" t="s">
        <v>2073</v>
      </c>
      <c r="B7" s="3" t="s">
        <v>3274</v>
      </c>
      <c r="C7" s="3" t="s">
        <v>3376</v>
      </c>
      <c r="D7" s="3" t="s">
        <v>2079</v>
      </c>
      <c r="E7" s="3" t="s">
        <v>3323</v>
      </c>
      <c r="F7" s="3" t="s">
        <v>3320</v>
      </c>
      <c r="G7" s="3" t="s">
        <v>3291</v>
      </c>
      <c r="H7" s="3"/>
      <c r="I7" s="3" t="s">
        <v>3</v>
      </c>
      <c r="J7" s="3" t="s">
        <v>2065</v>
      </c>
      <c r="K7" s="3" t="s">
        <v>2066</v>
      </c>
      <c r="L7" s="3" t="s">
        <v>2077</v>
      </c>
      <c r="M7" s="3"/>
      <c r="N7" s="3" t="s">
        <v>171</v>
      </c>
      <c r="O7" s="3" t="s">
        <v>17</v>
      </c>
      <c r="P7" s="3" t="s">
        <v>41</v>
      </c>
    </row>
    <row r="8" spans="1:17">
      <c r="A8" s="21" t="s">
        <v>2074</v>
      </c>
      <c r="B8" s="21" t="s">
        <v>3275</v>
      </c>
      <c r="C8" s="21" t="s">
        <v>3377</v>
      </c>
      <c r="D8" s="21" t="s">
        <v>2079</v>
      </c>
      <c r="E8" s="21" t="s">
        <v>3323</v>
      </c>
      <c r="F8" s="21" t="s">
        <v>3320</v>
      </c>
      <c r="G8" s="21" t="s">
        <v>3315</v>
      </c>
      <c r="H8" s="21"/>
      <c r="I8" s="21" t="s">
        <v>2067</v>
      </c>
      <c r="J8" s="21" t="s">
        <v>2068</v>
      </c>
      <c r="K8" s="21"/>
      <c r="L8" s="21"/>
      <c r="M8" s="21" t="s">
        <v>153</v>
      </c>
      <c r="N8" s="21" t="s">
        <v>616</v>
      </c>
      <c r="O8" s="21"/>
      <c r="P8" s="21"/>
      <c r="Q8" s="5"/>
    </row>
    <row r="9" spans="1:17">
      <c r="A9" s="21" t="s">
        <v>2075</v>
      </c>
      <c r="B9" s="21" t="s">
        <v>3276</v>
      </c>
      <c r="C9" s="21" t="s">
        <v>3378</v>
      </c>
      <c r="D9" s="22" t="s">
        <v>3409</v>
      </c>
      <c r="E9" s="21" t="s">
        <v>3323</v>
      </c>
      <c r="F9" s="21" t="s">
        <v>3315</v>
      </c>
      <c r="G9" s="21"/>
      <c r="H9" s="21"/>
      <c r="I9" s="21" t="s">
        <v>2069</v>
      </c>
      <c r="J9" s="21" t="s">
        <v>2070</v>
      </c>
      <c r="K9" s="21"/>
      <c r="L9" s="21"/>
      <c r="M9" s="21" t="s">
        <v>153</v>
      </c>
      <c r="N9" s="21" t="s">
        <v>2076</v>
      </c>
      <c r="O9" s="21" t="s">
        <v>39</v>
      </c>
      <c r="P9" s="21" t="s">
        <v>41</v>
      </c>
      <c r="Q9" s="5"/>
    </row>
    <row r="11" spans="1:17">
      <c r="A11" s="1" t="s">
        <v>2175</v>
      </c>
      <c r="B11" s="1" t="s">
        <v>3277</v>
      </c>
      <c r="C11" s="1" t="s">
        <v>3379</v>
      </c>
      <c r="D11" s="1" t="s">
        <v>2172</v>
      </c>
      <c r="E11" s="1" t="s">
        <v>3319</v>
      </c>
      <c r="F11" s="1" t="s">
        <v>3320</v>
      </c>
      <c r="G11" s="1" t="s">
        <v>3291</v>
      </c>
      <c r="H11" s="1"/>
      <c r="I11" s="1" t="s">
        <v>20</v>
      </c>
      <c r="J11" s="1" t="s">
        <v>2173</v>
      </c>
      <c r="K11" s="1" t="s">
        <v>2174</v>
      </c>
      <c r="L11" s="1"/>
      <c r="M11" s="1"/>
      <c r="N11" s="1" t="s">
        <v>154</v>
      </c>
      <c r="O11" s="1" t="s">
        <v>39</v>
      </c>
      <c r="P11" s="1" t="s">
        <v>41</v>
      </c>
    </row>
    <row r="13" spans="1:17">
      <c r="A13" s="3" t="s">
        <v>2230</v>
      </c>
      <c r="B13" s="3" t="s">
        <v>3278</v>
      </c>
      <c r="C13" s="3" t="s">
        <v>3380</v>
      </c>
      <c r="D13" s="3" t="s">
        <v>2233</v>
      </c>
      <c r="E13" s="3" t="s">
        <v>3324</v>
      </c>
      <c r="F13" s="3" t="s">
        <v>3320</v>
      </c>
      <c r="G13" s="3" t="s">
        <v>3287</v>
      </c>
      <c r="H13" s="3"/>
      <c r="I13" s="3" t="s">
        <v>2227</v>
      </c>
      <c r="J13" s="3"/>
      <c r="K13" s="3"/>
      <c r="L13" s="3"/>
      <c r="M13" s="3"/>
      <c r="N13" s="3" t="s">
        <v>170</v>
      </c>
      <c r="O13" s="3" t="s">
        <v>1927</v>
      </c>
      <c r="P13" s="3" t="s">
        <v>41</v>
      </c>
    </row>
    <row r="15" spans="1:17">
      <c r="A15" s="1" t="s">
        <v>2237</v>
      </c>
      <c r="B15" s="1" t="s">
        <v>3279</v>
      </c>
      <c r="C15" s="1" t="s">
        <v>3381</v>
      </c>
      <c r="D15" s="1" t="s">
        <v>2239</v>
      </c>
      <c r="E15" s="1" t="s">
        <v>3323</v>
      </c>
      <c r="F15" s="1" t="s">
        <v>3320</v>
      </c>
      <c r="G15" s="1" t="s">
        <v>3306</v>
      </c>
      <c r="H15" s="1"/>
      <c r="I15" s="1" t="s">
        <v>2234</v>
      </c>
      <c r="J15" s="1" t="s">
        <v>2235</v>
      </c>
      <c r="K15" s="1"/>
      <c r="L15" s="1"/>
      <c r="M15" s="1"/>
      <c r="N15" s="1" t="s">
        <v>170</v>
      </c>
      <c r="O15" s="1" t="s">
        <v>30</v>
      </c>
      <c r="P15" s="1" t="s">
        <v>41</v>
      </c>
    </row>
    <row r="17" spans="1:17">
      <c r="A17" s="1" t="s">
        <v>2241</v>
      </c>
      <c r="B17" s="1" t="s">
        <v>3280</v>
      </c>
      <c r="C17" s="1" t="s">
        <v>3382</v>
      </c>
      <c r="D17" s="1" t="s">
        <v>2242</v>
      </c>
      <c r="E17" s="1" t="s">
        <v>3323</v>
      </c>
      <c r="F17" s="1" t="s">
        <v>3320</v>
      </c>
      <c r="G17" s="1" t="s">
        <v>3291</v>
      </c>
      <c r="H17" s="1"/>
      <c r="I17" s="1" t="s">
        <v>2240</v>
      </c>
      <c r="J17" s="1"/>
      <c r="K17" s="1"/>
      <c r="L17" s="1"/>
      <c r="M17" s="1"/>
      <c r="N17" s="1" t="s">
        <v>170</v>
      </c>
      <c r="O17" s="1" t="s">
        <v>15</v>
      </c>
      <c r="P17" s="1" t="s">
        <v>41</v>
      </c>
    </row>
    <row r="19" spans="1:17">
      <c r="A19" s="3" t="s">
        <v>2251</v>
      </c>
      <c r="B19" s="3" t="s">
        <v>3281</v>
      </c>
      <c r="C19" s="3" t="s">
        <v>3383</v>
      </c>
      <c r="D19" s="3" t="s">
        <v>2254</v>
      </c>
      <c r="E19" s="3" t="s">
        <v>3323</v>
      </c>
      <c r="F19" s="3" t="s">
        <v>3320</v>
      </c>
      <c r="G19" s="3" t="s">
        <v>3290</v>
      </c>
      <c r="H19" s="3"/>
      <c r="I19" s="3" t="s">
        <v>13</v>
      </c>
      <c r="J19" s="3" t="s">
        <v>2246</v>
      </c>
      <c r="K19" s="3"/>
      <c r="L19" s="3"/>
      <c r="M19" s="3"/>
      <c r="N19" s="3" t="s">
        <v>170</v>
      </c>
      <c r="O19" s="3" t="s">
        <v>15</v>
      </c>
      <c r="P19" s="3" t="s">
        <v>41</v>
      </c>
    </row>
    <row r="21" spans="1:17">
      <c r="A21" s="1" t="s">
        <v>2261</v>
      </c>
      <c r="B21" s="1" t="s">
        <v>3282</v>
      </c>
      <c r="C21" s="1" t="s">
        <v>3384</v>
      </c>
      <c r="D21" s="1" t="s">
        <v>2263</v>
      </c>
      <c r="E21" s="1" t="s">
        <v>3323</v>
      </c>
      <c r="F21" s="1" t="s">
        <v>3320</v>
      </c>
      <c r="G21" s="1" t="s">
        <v>3294</v>
      </c>
      <c r="H21" s="1"/>
      <c r="I21" s="3" t="s">
        <v>2258</v>
      </c>
      <c r="J21" s="3" t="s">
        <v>2259</v>
      </c>
      <c r="K21" s="3"/>
      <c r="L21" s="3"/>
      <c r="M21" s="3"/>
      <c r="N21" s="3" t="s">
        <v>165</v>
      </c>
      <c r="O21" s="3" t="s">
        <v>38</v>
      </c>
      <c r="P21" s="3" t="s">
        <v>41</v>
      </c>
      <c r="Q21" s="3"/>
    </row>
    <row r="23" spans="1:17">
      <c r="A23" s="1" t="s">
        <v>2268</v>
      </c>
      <c r="B23" s="1" t="s">
        <v>3283</v>
      </c>
      <c r="C23" s="1" t="s">
        <v>3385</v>
      </c>
      <c r="D23" s="1" t="s">
        <v>2270</v>
      </c>
      <c r="E23" s="1" t="s">
        <v>3323</v>
      </c>
      <c r="F23" s="1" t="s">
        <v>3320</v>
      </c>
      <c r="G23" s="1" t="s">
        <v>3291</v>
      </c>
      <c r="H23" s="1"/>
      <c r="I23" s="1" t="s">
        <v>3</v>
      </c>
      <c r="J23" s="1" t="s">
        <v>2264</v>
      </c>
      <c r="K23" s="1" t="s">
        <v>2265</v>
      </c>
      <c r="L23" s="1" t="s">
        <v>2266</v>
      </c>
      <c r="M23" s="1"/>
      <c r="N23" s="1" t="s">
        <v>2076</v>
      </c>
      <c r="O23" s="1" t="s">
        <v>38</v>
      </c>
      <c r="P23" s="1" t="s">
        <v>41</v>
      </c>
    </row>
    <row r="25" spans="1:17">
      <c r="A25" s="1" t="s">
        <v>2276</v>
      </c>
      <c r="B25" s="1" t="s">
        <v>3284</v>
      </c>
      <c r="C25" s="1" t="s">
        <v>3386</v>
      </c>
      <c r="D25" s="1" t="s">
        <v>2278</v>
      </c>
      <c r="E25" s="1" t="s">
        <v>3323</v>
      </c>
      <c r="F25" s="1" t="s">
        <v>3320</v>
      </c>
      <c r="G25" s="1" t="s">
        <v>3286</v>
      </c>
      <c r="H25" s="1"/>
      <c r="I25" s="1" t="s">
        <v>2273</v>
      </c>
      <c r="J25" s="1" t="s">
        <v>2274</v>
      </c>
      <c r="K25" s="1"/>
      <c r="L25" s="1"/>
      <c r="M25" s="1"/>
      <c r="N25" s="1" t="s">
        <v>616</v>
      </c>
      <c r="O25" s="1" t="s">
        <v>38</v>
      </c>
      <c r="P25" s="1" t="s">
        <v>41</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8"/>
  <sheetViews>
    <sheetView workbookViewId="0">
      <selection activeCell="B1" sqref="B1:L1"/>
    </sheetView>
  </sheetViews>
  <sheetFormatPr defaultRowHeight="18.75"/>
  <cols>
    <col min="5" max="5" width="24.125" customWidth="1"/>
  </cols>
  <sheetData>
    <row r="1" spans="1:17">
      <c r="A1" s="5" t="s">
        <v>3456</v>
      </c>
      <c r="B1" s="5" t="s">
        <v>3457</v>
      </c>
      <c r="C1" s="5" t="s">
        <v>1131</v>
      </c>
      <c r="D1" s="5" t="s">
        <v>3449</v>
      </c>
      <c r="E1" s="5" t="s">
        <v>3454</v>
      </c>
      <c r="F1" s="5" t="s">
        <v>3458</v>
      </c>
      <c r="G1" s="5"/>
      <c r="H1" s="5"/>
      <c r="I1" s="5"/>
      <c r="J1" s="5"/>
      <c r="K1" s="5" t="s">
        <v>3441</v>
      </c>
      <c r="L1" s="5" t="s">
        <v>4</v>
      </c>
      <c r="M1" s="5"/>
      <c r="N1" s="5"/>
      <c r="O1" s="5"/>
      <c r="P1" s="5"/>
      <c r="Q1" s="5"/>
    </row>
    <row r="3" spans="1:17">
      <c r="A3" s="5" t="s">
        <v>3435</v>
      </c>
      <c r="B3" s="5" t="s">
        <v>3436</v>
      </c>
      <c r="C3" s="5" t="s">
        <v>3437</v>
      </c>
      <c r="D3" s="5" t="s">
        <v>3438</v>
      </c>
      <c r="E3" s="5" t="s">
        <v>3464</v>
      </c>
      <c r="F3" s="5" t="s">
        <v>3439</v>
      </c>
      <c r="G3" s="5" t="s">
        <v>3440</v>
      </c>
      <c r="H3" s="5"/>
      <c r="I3" s="5"/>
      <c r="J3" s="5"/>
      <c r="K3" s="5" t="s">
        <v>3441</v>
      </c>
      <c r="L3" s="5" t="s">
        <v>7</v>
      </c>
      <c r="M3" s="5"/>
      <c r="N3" s="5"/>
      <c r="O3" s="5"/>
      <c r="P3" s="5"/>
      <c r="Q3" s="5"/>
    </row>
    <row r="4" spans="1:17">
      <c r="A4" t="s">
        <v>3442</v>
      </c>
      <c r="B4" t="s">
        <v>3443</v>
      </c>
      <c r="C4" t="s">
        <v>866</v>
      </c>
      <c r="D4" t="s">
        <v>3444</v>
      </c>
      <c r="E4" t="s">
        <v>3445</v>
      </c>
      <c r="F4" t="s">
        <v>3446</v>
      </c>
      <c r="K4" t="s">
        <v>3441</v>
      </c>
      <c r="L4" t="s">
        <v>7</v>
      </c>
    </row>
    <row r="5" spans="1:17">
      <c r="A5" s="5" t="s">
        <v>3452</v>
      </c>
      <c r="B5" s="5" t="s">
        <v>3453</v>
      </c>
      <c r="C5" s="5" t="s">
        <v>1131</v>
      </c>
      <c r="D5" s="5" t="s">
        <v>3449</v>
      </c>
      <c r="E5" s="5" t="s">
        <v>3454</v>
      </c>
      <c r="F5" s="5" t="s">
        <v>3455</v>
      </c>
      <c r="G5" s="5"/>
      <c r="H5" s="5"/>
      <c r="I5" s="5"/>
      <c r="J5" s="5"/>
      <c r="K5" s="5" t="s">
        <v>3441</v>
      </c>
      <c r="L5" s="5" t="s">
        <v>7</v>
      </c>
      <c r="M5" s="5"/>
      <c r="N5" s="5"/>
      <c r="O5" s="5"/>
      <c r="P5" s="5"/>
      <c r="Q5" s="5"/>
    </row>
    <row r="7" spans="1:17">
      <c r="A7" t="s">
        <v>3447</v>
      </c>
      <c r="B7" t="s">
        <v>3448</v>
      </c>
      <c r="C7" t="s">
        <v>868</v>
      </c>
      <c r="D7" t="s">
        <v>3449</v>
      </c>
      <c r="E7" t="s">
        <v>3450</v>
      </c>
      <c r="F7" t="s">
        <v>3451</v>
      </c>
      <c r="K7" t="s">
        <v>3441</v>
      </c>
      <c r="L7" t="s">
        <v>9</v>
      </c>
    </row>
    <row r="8" spans="1:17">
      <c r="A8" t="s">
        <v>3459</v>
      </c>
      <c r="B8" t="s">
        <v>3460</v>
      </c>
      <c r="C8" t="s">
        <v>3461</v>
      </c>
      <c r="D8" t="s">
        <v>3449</v>
      </c>
      <c r="E8" t="s">
        <v>3462</v>
      </c>
      <c r="F8" t="s">
        <v>3463</v>
      </c>
      <c r="K8" t="s">
        <v>3441</v>
      </c>
      <c r="L8" t="s">
        <v>9</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26"/>
  <sheetViews>
    <sheetView topLeftCell="A10" workbookViewId="0">
      <selection activeCell="B23" sqref="B23"/>
    </sheetView>
  </sheetViews>
  <sheetFormatPr defaultRowHeight="18.75"/>
  <cols>
    <col min="1" max="1" width="3.375" bestFit="1" customWidth="1"/>
  </cols>
  <sheetData>
    <row r="1" spans="1:6">
      <c r="B1">
        <v>249</v>
      </c>
    </row>
    <row r="2" spans="1:6">
      <c r="B2">
        <f>B1*0.45</f>
        <v>112.05</v>
      </c>
    </row>
    <row r="3" spans="1:6">
      <c r="B3">
        <f>112/5</f>
        <v>22.4</v>
      </c>
    </row>
    <row r="4" spans="1:6">
      <c r="B4" t="s">
        <v>1445</v>
      </c>
      <c r="C4" t="s">
        <v>1446</v>
      </c>
      <c r="D4" t="s">
        <v>1447</v>
      </c>
      <c r="E4" t="s">
        <v>1448</v>
      </c>
    </row>
    <row r="5" spans="1:6">
      <c r="B5">
        <v>101</v>
      </c>
      <c r="C5">
        <v>80</v>
      </c>
      <c r="D5">
        <v>53</v>
      </c>
      <c r="E5">
        <v>15</v>
      </c>
      <c r="F5">
        <f>SUM(B5:E5)</f>
        <v>249</v>
      </c>
    </row>
    <row r="6" spans="1:6">
      <c r="B6">
        <v>110</v>
      </c>
      <c r="C6">
        <v>80</v>
      </c>
      <c r="D6">
        <v>60</v>
      </c>
      <c r="E6">
        <v>15</v>
      </c>
      <c r="F6">
        <f>SUM(B6:E6)</f>
        <v>265</v>
      </c>
    </row>
    <row r="7" spans="1:6">
      <c r="B7">
        <f>B6/6</f>
        <v>18.333333333333332</v>
      </c>
      <c r="C7">
        <f t="shared" ref="C7:D7" si="0">C6/6</f>
        <v>13.333333333333334</v>
      </c>
      <c r="D7">
        <f t="shared" si="0"/>
        <v>10</v>
      </c>
    </row>
    <row r="8" spans="1:6">
      <c r="A8" t="s">
        <v>3412</v>
      </c>
      <c r="B8">
        <v>17</v>
      </c>
      <c r="C8">
        <v>12</v>
      </c>
      <c r="D8">
        <v>9</v>
      </c>
      <c r="E8">
        <v>2</v>
      </c>
    </row>
    <row r="9" spans="1:6">
      <c r="A9" t="s">
        <v>3413</v>
      </c>
      <c r="B9">
        <f>B8</f>
        <v>17</v>
      </c>
      <c r="C9">
        <f t="shared" ref="C9:E12" si="1">C8</f>
        <v>12</v>
      </c>
      <c r="D9">
        <f t="shared" si="1"/>
        <v>9</v>
      </c>
      <c r="E9">
        <f t="shared" si="1"/>
        <v>2</v>
      </c>
    </row>
    <row r="10" spans="1:6">
      <c r="A10" t="s">
        <v>3414</v>
      </c>
      <c r="B10">
        <f t="shared" ref="B10:B12" si="2">B9</f>
        <v>17</v>
      </c>
      <c r="C10">
        <f t="shared" si="1"/>
        <v>12</v>
      </c>
      <c r="D10">
        <f t="shared" si="1"/>
        <v>9</v>
      </c>
      <c r="E10">
        <f t="shared" si="1"/>
        <v>2</v>
      </c>
    </row>
    <row r="11" spans="1:6">
      <c r="A11" t="s">
        <v>3415</v>
      </c>
      <c r="B11">
        <f t="shared" si="2"/>
        <v>17</v>
      </c>
      <c r="C11">
        <f t="shared" si="1"/>
        <v>12</v>
      </c>
      <c r="D11">
        <f t="shared" si="1"/>
        <v>9</v>
      </c>
      <c r="E11">
        <f t="shared" si="1"/>
        <v>2</v>
      </c>
    </row>
    <row r="12" spans="1:6">
      <c r="A12" t="s">
        <v>3416</v>
      </c>
      <c r="B12">
        <f t="shared" si="2"/>
        <v>17</v>
      </c>
      <c r="C12">
        <f t="shared" si="1"/>
        <v>12</v>
      </c>
      <c r="D12">
        <f t="shared" si="1"/>
        <v>9</v>
      </c>
      <c r="E12">
        <f t="shared" si="1"/>
        <v>2</v>
      </c>
    </row>
    <row r="13" spans="1:6">
      <c r="A13" t="s">
        <v>3417</v>
      </c>
      <c r="B13">
        <v>10</v>
      </c>
      <c r="C13">
        <v>10</v>
      </c>
      <c r="D13">
        <v>10</v>
      </c>
      <c r="E13">
        <v>5</v>
      </c>
    </row>
    <row r="14" spans="1:6">
      <c r="A14" t="s">
        <v>3418</v>
      </c>
      <c r="B14">
        <v>10</v>
      </c>
      <c r="C14">
        <v>5</v>
      </c>
      <c r="D14">
        <v>5</v>
      </c>
    </row>
    <row r="15" spans="1:6">
      <c r="A15" t="s">
        <v>3419</v>
      </c>
      <c r="B15">
        <v>5</v>
      </c>
      <c r="C15">
        <v>5</v>
      </c>
    </row>
    <row r="16" spans="1:6">
      <c r="B16" s="14">
        <f>SUM(B8:B15)</f>
        <v>110</v>
      </c>
      <c r="C16" s="14">
        <f t="shared" ref="C16:E16" si="3">SUM(C8:C15)</f>
        <v>80</v>
      </c>
      <c r="D16" s="14">
        <f t="shared" si="3"/>
        <v>60</v>
      </c>
      <c r="E16" s="14">
        <f t="shared" si="3"/>
        <v>15</v>
      </c>
      <c r="F16" s="14">
        <f>SUM(B16:E16)</f>
        <v>265</v>
      </c>
    </row>
    <row r="17" spans="1:7" s="8" customFormat="1">
      <c r="B17" s="8" t="s">
        <v>3420</v>
      </c>
    </row>
    <row r="18" spans="1:7">
      <c r="A18" t="s">
        <v>3412</v>
      </c>
      <c r="B18">
        <v>11</v>
      </c>
      <c r="C18">
        <v>6</v>
      </c>
      <c r="D18">
        <v>4</v>
      </c>
      <c r="E18">
        <v>1</v>
      </c>
    </row>
    <row r="19" spans="1:7">
      <c r="A19" t="s">
        <v>3413</v>
      </c>
      <c r="B19">
        <v>10</v>
      </c>
      <c r="C19">
        <f t="shared" ref="C19:C22" si="4">C18</f>
        <v>6</v>
      </c>
      <c r="D19">
        <f t="shared" ref="D19:D22" si="5">D18</f>
        <v>4</v>
      </c>
      <c r="E19">
        <v>1</v>
      </c>
    </row>
    <row r="20" spans="1:7">
      <c r="A20" t="s">
        <v>3414</v>
      </c>
      <c r="B20">
        <v>11</v>
      </c>
      <c r="C20">
        <f t="shared" si="4"/>
        <v>6</v>
      </c>
      <c r="D20">
        <f t="shared" si="5"/>
        <v>4</v>
      </c>
      <c r="E20">
        <v>1</v>
      </c>
    </row>
    <row r="21" spans="1:7">
      <c r="A21" t="s">
        <v>3415</v>
      </c>
      <c r="B21">
        <f t="shared" ref="B21" si="6">B20</f>
        <v>11</v>
      </c>
      <c r="C21">
        <f t="shared" si="4"/>
        <v>6</v>
      </c>
      <c r="D21">
        <f t="shared" si="5"/>
        <v>4</v>
      </c>
      <c r="E21">
        <v>1</v>
      </c>
    </row>
    <row r="22" spans="1:7">
      <c r="A22" t="s">
        <v>3416</v>
      </c>
      <c r="B22">
        <v>12</v>
      </c>
      <c r="C22">
        <f t="shared" si="4"/>
        <v>6</v>
      </c>
      <c r="D22">
        <f t="shared" si="5"/>
        <v>4</v>
      </c>
      <c r="E22">
        <v>1</v>
      </c>
    </row>
    <row r="23" spans="1:7">
      <c r="A23" t="s">
        <v>3417</v>
      </c>
      <c r="B23">
        <v>5</v>
      </c>
      <c r="C23">
        <v>5</v>
      </c>
      <c r="D23">
        <v>5</v>
      </c>
    </row>
    <row r="24" spans="1:7">
      <c r="A24" t="s">
        <v>3418</v>
      </c>
    </row>
    <row r="25" spans="1:7">
      <c r="A25" t="s">
        <v>3419</v>
      </c>
    </row>
    <row r="26" spans="1:7">
      <c r="B26" s="14">
        <f>SUM(B18:B25)</f>
        <v>60</v>
      </c>
      <c r="C26" s="14">
        <f t="shared" ref="C26" si="7">SUM(C18:C25)</f>
        <v>35</v>
      </c>
      <c r="D26" s="14">
        <f t="shared" ref="D26" si="8">SUM(D18:D25)</f>
        <v>25</v>
      </c>
      <c r="E26" s="14">
        <f t="shared" ref="E26" si="9">SUM(E18:E25)</f>
        <v>5</v>
      </c>
      <c r="F26" s="14">
        <f>SUM(B26:E26)</f>
        <v>125</v>
      </c>
      <c r="G26" s="14">
        <f>F26/F16</f>
        <v>0.47169811320754718</v>
      </c>
    </row>
  </sheetData>
  <phoneticPr fontId="2"/>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F103"/>
  <sheetViews>
    <sheetView topLeftCell="A38" workbookViewId="0">
      <selection activeCell="H53" sqref="H53"/>
    </sheetView>
  </sheetViews>
  <sheetFormatPr defaultRowHeight="18.75"/>
  <cols>
    <col min="1" max="12" width="4" style="8" customWidth="1"/>
    <col min="13" max="13" width="4.75" style="8" customWidth="1"/>
    <col min="14" max="26" width="4" style="8" customWidth="1"/>
    <col min="27" max="27" width="4.375" style="8" customWidth="1"/>
    <col min="28" max="28" width="3.75" style="8" bestFit="1" customWidth="1"/>
    <col min="29" max="29" width="2.75" style="8" bestFit="1" customWidth="1"/>
    <col min="30" max="30" width="3.5" style="8" bestFit="1" customWidth="1"/>
    <col min="31" max="31" width="4.5" style="8" bestFit="1" customWidth="1"/>
    <col min="32" max="32" width="5.5" style="8" customWidth="1"/>
    <col min="33" max="16384" width="9" style="8"/>
  </cols>
  <sheetData>
    <row r="1" spans="2:30">
      <c r="E1" s="8" t="s">
        <v>3815</v>
      </c>
      <c r="F1" s="8" t="s">
        <v>3816</v>
      </c>
      <c r="G1" s="8" t="s">
        <v>3817</v>
      </c>
    </row>
    <row r="2" spans="2:30">
      <c r="B2" s="8" t="s">
        <v>3818</v>
      </c>
      <c r="C2" s="8" t="s">
        <v>3819</v>
      </c>
      <c r="E2" s="8" t="s">
        <v>3820</v>
      </c>
    </row>
    <row r="3" spans="2:30">
      <c r="B3" s="8" t="s">
        <v>3821</v>
      </c>
      <c r="C3" s="8" t="s">
        <v>3822</v>
      </c>
      <c r="E3" s="8" t="s">
        <v>3823</v>
      </c>
    </row>
    <row r="4" spans="2:30">
      <c r="B4" s="8" t="s">
        <v>3824</v>
      </c>
      <c r="C4" s="8" t="s">
        <v>3825</v>
      </c>
      <c r="E4" s="8" t="s">
        <v>3826</v>
      </c>
    </row>
    <row r="5" spans="2:30">
      <c r="B5" s="8" t="s">
        <v>3827</v>
      </c>
      <c r="C5" s="8" t="s">
        <v>3828</v>
      </c>
      <c r="E5" s="8" t="s">
        <v>3829</v>
      </c>
    </row>
    <row r="6" spans="2:30">
      <c r="B6" s="8" t="s">
        <v>3830</v>
      </c>
      <c r="C6" s="8" t="s">
        <v>3831</v>
      </c>
      <c r="E6" s="8" t="s">
        <v>3832</v>
      </c>
      <c r="G6" s="8" t="s">
        <v>1445</v>
      </c>
      <c r="I6" s="8" t="s">
        <v>1446</v>
      </c>
      <c r="K6" s="8" t="s">
        <v>1447</v>
      </c>
      <c r="M6" s="8" t="s">
        <v>3833</v>
      </c>
      <c r="Q6" s="8" t="s">
        <v>1445</v>
      </c>
      <c r="S6" s="8" t="s">
        <v>1446</v>
      </c>
      <c r="U6" s="8" t="s">
        <v>1447</v>
      </c>
      <c r="W6" s="8" t="s">
        <v>3833</v>
      </c>
      <c r="AA6" s="8" t="s">
        <v>3834</v>
      </c>
    </row>
    <row r="7" spans="2:30">
      <c r="G7" s="8">
        <v>16</v>
      </c>
      <c r="H7" s="8" t="s">
        <v>3835</v>
      </c>
      <c r="I7" s="8">
        <v>10</v>
      </c>
      <c r="J7" s="8" t="s">
        <v>3835</v>
      </c>
      <c r="K7" s="8">
        <v>9</v>
      </c>
      <c r="L7" s="8" t="s">
        <v>3835</v>
      </c>
      <c r="M7" s="8">
        <v>3</v>
      </c>
      <c r="N7" s="8" t="s">
        <v>3835</v>
      </c>
      <c r="Q7" s="8">
        <v>4</v>
      </c>
      <c r="R7" s="8" t="s">
        <v>3835</v>
      </c>
      <c r="S7" s="8">
        <v>3</v>
      </c>
      <c r="T7" s="8" t="s">
        <v>3835</v>
      </c>
      <c r="U7" s="8">
        <v>1</v>
      </c>
      <c r="V7" s="8" t="s">
        <v>3835</v>
      </c>
      <c r="W7" s="8">
        <v>1</v>
      </c>
      <c r="X7" s="8" t="s">
        <v>3835</v>
      </c>
      <c r="AA7" s="8" t="s">
        <v>3836</v>
      </c>
      <c r="AB7" s="8" t="s">
        <v>3837</v>
      </c>
      <c r="AC7" s="8" t="s">
        <v>3838</v>
      </c>
      <c r="AD7" s="8" t="s">
        <v>3839</v>
      </c>
    </row>
    <row r="8" spans="2:30">
      <c r="F8" s="8" t="s">
        <v>3840</v>
      </c>
      <c r="G8" s="8">
        <v>4</v>
      </c>
      <c r="H8" s="8">
        <v>3</v>
      </c>
      <c r="I8" s="8">
        <v>3</v>
      </c>
      <c r="J8" s="8">
        <v>2</v>
      </c>
      <c r="K8" s="8">
        <v>1</v>
      </c>
      <c r="L8" s="8">
        <v>1</v>
      </c>
      <c r="P8" s="8" t="s">
        <v>3417</v>
      </c>
      <c r="Q8" s="8">
        <v>2</v>
      </c>
      <c r="R8" s="8">
        <v>2</v>
      </c>
      <c r="S8" s="8">
        <v>1</v>
      </c>
      <c r="T8" s="8">
        <v>1</v>
      </c>
      <c r="U8" s="8">
        <v>1</v>
      </c>
      <c r="V8" s="8">
        <v>1</v>
      </c>
      <c r="W8" s="8">
        <v>1</v>
      </c>
      <c r="X8" s="8">
        <v>1</v>
      </c>
      <c r="AA8" s="8" t="s">
        <v>3841</v>
      </c>
      <c r="AB8" s="8" t="s">
        <v>3842</v>
      </c>
      <c r="AC8" s="8" t="s">
        <v>3843</v>
      </c>
    </row>
    <row r="9" spans="2:30">
      <c r="F9" s="8" t="s">
        <v>3844</v>
      </c>
      <c r="G9" s="8">
        <v>4</v>
      </c>
      <c r="H9" s="8">
        <v>3</v>
      </c>
      <c r="I9" s="8">
        <v>3</v>
      </c>
      <c r="J9" s="8">
        <v>2</v>
      </c>
      <c r="K9" s="8">
        <v>1</v>
      </c>
      <c r="L9" s="8">
        <v>1</v>
      </c>
      <c r="P9" s="8" t="s">
        <v>3845</v>
      </c>
      <c r="AA9" s="8" t="s">
        <v>3846</v>
      </c>
      <c r="AB9" s="8" t="s">
        <v>3847</v>
      </c>
      <c r="AC9" s="8" t="s">
        <v>3848</v>
      </c>
    </row>
    <row r="10" spans="2:30">
      <c r="F10" s="8" t="s">
        <v>3849</v>
      </c>
      <c r="P10" s="8" t="s">
        <v>3850</v>
      </c>
      <c r="S10" s="8">
        <v>1</v>
      </c>
      <c r="T10" s="8">
        <v>1</v>
      </c>
      <c r="AA10" s="8" t="s">
        <v>1447</v>
      </c>
      <c r="AB10" s="8" t="s">
        <v>3851</v>
      </c>
      <c r="AC10" s="8" t="s">
        <v>3852</v>
      </c>
      <c r="AD10" s="8" t="s">
        <v>3853</v>
      </c>
    </row>
    <row r="11" spans="2:30">
      <c r="F11" s="8" t="s">
        <v>3845</v>
      </c>
      <c r="G11" s="8">
        <v>4</v>
      </c>
      <c r="H11" s="8">
        <v>1</v>
      </c>
      <c r="I11" s="8">
        <v>3</v>
      </c>
      <c r="J11" s="8">
        <v>1</v>
      </c>
      <c r="K11" s="8">
        <v>1</v>
      </c>
      <c r="P11" s="8" t="s">
        <v>3854</v>
      </c>
      <c r="Q11" s="8">
        <v>2</v>
      </c>
      <c r="S11" s="8">
        <v>1</v>
      </c>
      <c r="AA11" s="8" t="s">
        <v>3855</v>
      </c>
      <c r="AB11" s="8" t="s">
        <v>3856</v>
      </c>
      <c r="AC11" s="8" t="s">
        <v>3857</v>
      </c>
      <c r="AD11" s="8" t="s">
        <v>3858</v>
      </c>
    </row>
    <row r="12" spans="2:30">
      <c r="E12" s="8">
        <v>38</v>
      </c>
      <c r="Q12" s="8">
        <f t="shared" ref="Q12:X12" si="0">SUM(Q8:Q11)</f>
        <v>4</v>
      </c>
      <c r="R12" s="8">
        <f t="shared" si="0"/>
        <v>2</v>
      </c>
      <c r="S12" s="8">
        <f t="shared" si="0"/>
        <v>3</v>
      </c>
      <c r="T12" s="8">
        <f t="shared" si="0"/>
        <v>2</v>
      </c>
      <c r="U12" s="8">
        <f t="shared" si="0"/>
        <v>1</v>
      </c>
      <c r="V12" s="8">
        <f t="shared" si="0"/>
        <v>1</v>
      </c>
      <c r="W12" s="8">
        <f t="shared" si="0"/>
        <v>1</v>
      </c>
      <c r="X12" s="8">
        <f t="shared" si="0"/>
        <v>1</v>
      </c>
    </row>
    <row r="13" spans="2:30">
      <c r="B13" s="8">
        <v>16</v>
      </c>
      <c r="C13" s="8">
        <v>16</v>
      </c>
      <c r="D13" s="8">
        <v>6</v>
      </c>
      <c r="F13" s="8" t="s">
        <v>3854</v>
      </c>
      <c r="G13" s="8">
        <v>5</v>
      </c>
      <c r="H13" s="8">
        <v>2</v>
      </c>
      <c r="I13" s="8">
        <v>2</v>
      </c>
      <c r="J13" s="8">
        <v>1</v>
      </c>
      <c r="K13" s="8">
        <v>3</v>
      </c>
      <c r="M13" s="8">
        <v>2</v>
      </c>
    </row>
    <row r="14" spans="2:30">
      <c r="B14" s="8">
        <f>B13*6</f>
        <v>96</v>
      </c>
      <c r="C14" s="8">
        <f>C13*4</f>
        <v>64</v>
      </c>
      <c r="D14" s="8">
        <f>D13</f>
        <v>6</v>
      </c>
      <c r="E14" s="8">
        <f>SUM(B14:D14)</f>
        <v>166</v>
      </c>
      <c r="G14" s="8">
        <f t="shared" ref="G14:N14" si="1">SUM(G8:G13)</f>
        <v>17</v>
      </c>
      <c r="H14" s="8">
        <f t="shared" si="1"/>
        <v>9</v>
      </c>
      <c r="I14" s="8">
        <f t="shared" si="1"/>
        <v>11</v>
      </c>
      <c r="J14" s="8">
        <f t="shared" si="1"/>
        <v>6</v>
      </c>
      <c r="K14" s="8">
        <f t="shared" si="1"/>
        <v>6</v>
      </c>
      <c r="L14" s="8">
        <f t="shared" si="1"/>
        <v>2</v>
      </c>
      <c r="M14" s="8">
        <f t="shared" si="1"/>
        <v>2</v>
      </c>
      <c r="N14" s="8">
        <f t="shared" si="1"/>
        <v>0</v>
      </c>
      <c r="R14" s="8">
        <f>Q12+S12+U12+W12</f>
        <v>9</v>
      </c>
    </row>
    <row r="15" spans="2:30">
      <c r="G15" s="8">
        <f>G14*5</f>
        <v>85</v>
      </c>
      <c r="I15" s="8">
        <f>I14*5</f>
        <v>55</v>
      </c>
      <c r="K15" s="8">
        <f>K14*5</f>
        <v>30</v>
      </c>
      <c r="M15" s="8">
        <f>M14*5</f>
        <v>10</v>
      </c>
      <c r="R15" s="8">
        <f>R14*0.45</f>
        <v>4.05</v>
      </c>
      <c r="S15" s="8">
        <f>R12+T12+V12+X12</f>
        <v>6</v>
      </c>
      <c r="AA15" s="8" t="s">
        <v>3859</v>
      </c>
    </row>
    <row r="16" spans="2:30">
      <c r="F16" s="8" t="s">
        <v>3860</v>
      </c>
      <c r="G16" s="8">
        <v>0</v>
      </c>
      <c r="I16" s="8">
        <v>10</v>
      </c>
      <c r="K16" s="8">
        <v>10</v>
      </c>
      <c r="M16" s="8">
        <v>9</v>
      </c>
    </row>
    <row r="17" spans="2:32">
      <c r="F17" s="8" t="s">
        <v>3754</v>
      </c>
      <c r="G17" s="8">
        <v>10</v>
      </c>
      <c r="I17" s="8">
        <v>5</v>
      </c>
      <c r="K17" s="8">
        <v>5</v>
      </c>
      <c r="M17" s="8">
        <v>1</v>
      </c>
    </row>
    <row r="18" spans="2:32">
      <c r="F18" s="8" t="s">
        <v>3861</v>
      </c>
      <c r="G18" s="8">
        <v>5</v>
      </c>
      <c r="I18" s="8">
        <v>5</v>
      </c>
    </row>
    <row r="19" spans="2:32">
      <c r="G19" s="8">
        <f>SUM(G15:G18)</f>
        <v>100</v>
      </c>
      <c r="I19" s="8">
        <f>SUM(I15:I18)</f>
        <v>75</v>
      </c>
      <c r="K19" s="8">
        <f>SUM(K15:K17)</f>
        <v>45</v>
      </c>
      <c r="M19" s="8">
        <f>SUM(M15:M17)</f>
        <v>20</v>
      </c>
    </row>
    <row r="20" spans="2:32">
      <c r="F20" s="8" t="s">
        <v>3862</v>
      </c>
      <c r="G20" s="8">
        <f>G19*5</f>
        <v>500</v>
      </c>
      <c r="I20" s="8">
        <f>I19*3</f>
        <v>225</v>
      </c>
      <c r="K20" s="8">
        <f>K19*2+M19</f>
        <v>110</v>
      </c>
      <c r="M20" s="8">
        <f>SUM(G20:K20)</f>
        <v>835</v>
      </c>
    </row>
    <row r="21" spans="2:32">
      <c r="F21" s="8" t="s">
        <v>3863</v>
      </c>
      <c r="G21" s="8">
        <f>G22/G20</f>
        <v>0.48</v>
      </c>
      <c r="I21" s="8">
        <f t="shared" ref="I21" si="2">I22/I20</f>
        <v>0.42666666666666669</v>
      </c>
      <c r="K21" s="8">
        <f t="shared" ref="K21" si="3">K22/K20</f>
        <v>0.21818181818181817</v>
      </c>
      <c r="M21" s="8">
        <f>M22/M20</f>
        <v>0.43113772455089822</v>
      </c>
    </row>
    <row r="22" spans="2:32">
      <c r="G22" s="8">
        <f>24*10</f>
        <v>240</v>
      </c>
      <c r="I22" s="8">
        <f>24*4</f>
        <v>96</v>
      </c>
      <c r="K22" s="8">
        <v>24</v>
      </c>
      <c r="M22" s="8">
        <f>SUM(G22:K22)</f>
        <v>360</v>
      </c>
    </row>
    <row r="23" spans="2:32">
      <c r="E23" s="8">
        <f>E14/1408</f>
        <v>0.11789772727272728</v>
      </c>
      <c r="H23" s="8">
        <f>G14+I14+K14+M14</f>
        <v>36</v>
      </c>
      <c r="M23" s="8">
        <f>G8+G9+G10+Q8</f>
        <v>10</v>
      </c>
      <c r="N23" s="8">
        <f>I8+I9+I10+S8</f>
        <v>7</v>
      </c>
      <c r="O23" s="8">
        <f>K8+K9+K10+U8</f>
        <v>3</v>
      </c>
      <c r="P23" s="8">
        <f>M8+M9+W8</f>
        <v>1</v>
      </c>
      <c r="Q23" s="8">
        <f>SUM(M23:P23)</f>
        <v>21</v>
      </c>
      <c r="AA23" s="8" t="s">
        <v>3864</v>
      </c>
      <c r="AB23" s="8" t="s">
        <v>3865</v>
      </c>
      <c r="AC23" s="8" t="s">
        <v>3866</v>
      </c>
    </row>
    <row r="24" spans="2:32">
      <c r="H24" s="8">
        <f>H23*0.45</f>
        <v>16.2</v>
      </c>
      <c r="I24" s="8">
        <f>H14+J14+L14+N14</f>
        <v>17</v>
      </c>
      <c r="M24" s="8">
        <f>M23*6</f>
        <v>60</v>
      </c>
      <c r="N24" s="8">
        <f>N23*4</f>
        <v>28</v>
      </c>
      <c r="O24" s="8">
        <f>O23*2</f>
        <v>6</v>
      </c>
      <c r="P24" s="8">
        <f>P23</f>
        <v>1</v>
      </c>
      <c r="Q24" s="8">
        <f>SUM(M24:P24)</f>
        <v>95</v>
      </c>
      <c r="AA24" s="8" t="s">
        <v>3867</v>
      </c>
      <c r="AB24" s="8" t="s">
        <v>3868</v>
      </c>
    </row>
    <row r="25" spans="2:32">
      <c r="AA25" s="8" t="s">
        <v>3869</v>
      </c>
      <c r="AB25" s="8" t="s">
        <v>3870</v>
      </c>
    </row>
    <row r="29" spans="2:32">
      <c r="B29" s="49"/>
      <c r="C29" s="49" t="s">
        <v>3871</v>
      </c>
      <c r="D29" s="49" t="s">
        <v>3872</v>
      </c>
      <c r="E29" s="49" t="s">
        <v>3873</v>
      </c>
      <c r="F29" s="49" t="s">
        <v>3874</v>
      </c>
      <c r="G29" s="49" t="s">
        <v>3875</v>
      </c>
      <c r="H29" s="49" t="s">
        <v>3876</v>
      </c>
      <c r="I29" s="8" t="s">
        <v>3877</v>
      </c>
      <c r="J29" s="8" t="s">
        <v>3878</v>
      </c>
      <c r="K29" s="8" t="s">
        <v>3879</v>
      </c>
      <c r="L29" s="8" t="s">
        <v>3880</v>
      </c>
      <c r="M29" s="8" t="s">
        <v>3881</v>
      </c>
      <c r="N29" s="8" t="s">
        <v>3882</v>
      </c>
      <c r="O29" s="8" t="s">
        <v>3883</v>
      </c>
      <c r="P29" s="8" t="s">
        <v>3884</v>
      </c>
      <c r="Q29" s="8" t="s">
        <v>3885</v>
      </c>
      <c r="R29" s="8" t="s">
        <v>3886</v>
      </c>
      <c r="S29" s="8" t="s">
        <v>3887</v>
      </c>
      <c r="T29" s="8" t="s">
        <v>3888</v>
      </c>
      <c r="U29" s="8" t="s">
        <v>3889</v>
      </c>
      <c r="V29" s="8" t="s">
        <v>3890</v>
      </c>
      <c r="W29" s="8" t="s">
        <v>3891</v>
      </c>
      <c r="X29" s="8" t="s">
        <v>3892</v>
      </c>
      <c r="Y29" s="8" t="s">
        <v>3893</v>
      </c>
      <c r="Z29" s="8" t="s">
        <v>3894</v>
      </c>
      <c r="AA29" s="8" t="s">
        <v>3895</v>
      </c>
      <c r="AB29" s="8" t="s">
        <v>3896</v>
      </c>
      <c r="AC29" s="8" t="s">
        <v>3754</v>
      </c>
      <c r="AD29" s="8" t="s">
        <v>3861</v>
      </c>
      <c r="AE29" s="8" t="s">
        <v>3897</v>
      </c>
    </row>
    <row r="30" spans="2:32">
      <c r="B30" s="49" t="s">
        <v>1445</v>
      </c>
      <c r="C30" s="49">
        <f>COUNTIF($B$43:$Y$54,C29)</f>
        <v>17</v>
      </c>
      <c r="D30" s="49">
        <f t="shared" ref="D30:AD30" si="4">COUNTIF($B$43:$Y$54,D29)</f>
        <v>17</v>
      </c>
      <c r="E30" s="49">
        <f t="shared" si="4"/>
        <v>17</v>
      </c>
      <c r="F30" s="49">
        <f t="shared" si="4"/>
        <v>17</v>
      </c>
      <c r="G30" s="49">
        <f t="shared" si="4"/>
        <v>17</v>
      </c>
      <c r="H30" s="49">
        <f t="shared" si="4"/>
        <v>1</v>
      </c>
      <c r="I30" s="49">
        <f t="shared" si="4"/>
        <v>1</v>
      </c>
      <c r="J30" s="49">
        <f t="shared" si="4"/>
        <v>1</v>
      </c>
      <c r="K30" s="49">
        <f t="shared" si="4"/>
        <v>1</v>
      </c>
      <c r="L30" s="49">
        <f t="shared" si="4"/>
        <v>1</v>
      </c>
      <c r="M30" s="49">
        <f t="shared" si="4"/>
        <v>1</v>
      </c>
      <c r="N30" s="49">
        <f t="shared" si="4"/>
        <v>1</v>
      </c>
      <c r="O30" s="49">
        <f t="shared" si="4"/>
        <v>1</v>
      </c>
      <c r="P30" s="49">
        <f t="shared" si="4"/>
        <v>1</v>
      </c>
      <c r="Q30" s="49">
        <f t="shared" si="4"/>
        <v>1</v>
      </c>
      <c r="R30" s="49">
        <f t="shared" si="4"/>
        <v>0</v>
      </c>
      <c r="S30" s="49">
        <f t="shared" si="4"/>
        <v>0</v>
      </c>
      <c r="T30" s="49">
        <f t="shared" si="4"/>
        <v>0</v>
      </c>
      <c r="U30" s="49">
        <f t="shared" si="4"/>
        <v>0</v>
      </c>
      <c r="V30" s="49">
        <f t="shared" si="4"/>
        <v>0</v>
      </c>
      <c r="W30" s="49">
        <f t="shared" si="4"/>
        <v>0</v>
      </c>
      <c r="X30" s="49">
        <f t="shared" si="4"/>
        <v>0</v>
      </c>
      <c r="Y30" s="49">
        <f t="shared" si="4"/>
        <v>0</v>
      </c>
      <c r="Z30" s="49">
        <f t="shared" si="4"/>
        <v>0</v>
      </c>
      <c r="AA30" s="49">
        <f t="shared" si="4"/>
        <v>0</v>
      </c>
      <c r="AB30" s="49">
        <f t="shared" si="4"/>
        <v>0</v>
      </c>
      <c r="AC30" s="49">
        <f t="shared" si="4"/>
        <v>10</v>
      </c>
      <c r="AD30" s="49">
        <f t="shared" si="4"/>
        <v>5</v>
      </c>
      <c r="AE30" s="49">
        <f>SUM(C30:AD30)</f>
        <v>110</v>
      </c>
      <c r="AF30" s="49">
        <f>AE30*A38</f>
        <v>550</v>
      </c>
    </row>
    <row r="31" spans="2:32">
      <c r="B31" s="49" t="s">
        <v>1446</v>
      </c>
      <c r="C31" s="49">
        <f>COUNTIF($B$59:$K$78,C29)</f>
        <v>12</v>
      </c>
      <c r="D31" s="49">
        <f t="shared" ref="D31:AD31" si="5">COUNTIF($B$59:$K$78,D29)</f>
        <v>12</v>
      </c>
      <c r="E31" s="49">
        <f t="shared" si="5"/>
        <v>12</v>
      </c>
      <c r="F31" s="49">
        <f t="shared" si="5"/>
        <v>12</v>
      </c>
      <c r="G31" s="49">
        <f t="shared" si="5"/>
        <v>12</v>
      </c>
      <c r="H31" s="49">
        <f t="shared" si="5"/>
        <v>2</v>
      </c>
      <c r="I31" s="49">
        <f t="shared" si="5"/>
        <v>2</v>
      </c>
      <c r="J31" s="49">
        <f t="shared" si="5"/>
        <v>2</v>
      </c>
      <c r="K31" s="49">
        <f t="shared" si="5"/>
        <v>2</v>
      </c>
      <c r="L31" s="49">
        <f t="shared" si="5"/>
        <v>2</v>
      </c>
      <c r="M31" s="49">
        <f t="shared" si="5"/>
        <v>0</v>
      </c>
      <c r="N31" s="49">
        <f t="shared" si="5"/>
        <v>0</v>
      </c>
      <c r="O31" s="49">
        <f t="shared" si="5"/>
        <v>0</v>
      </c>
      <c r="P31" s="49">
        <f t="shared" si="5"/>
        <v>0</v>
      </c>
      <c r="Q31" s="49">
        <f t="shared" si="5"/>
        <v>0</v>
      </c>
      <c r="R31" s="49">
        <f t="shared" si="5"/>
        <v>0</v>
      </c>
      <c r="S31" s="49">
        <f t="shared" si="5"/>
        <v>0</v>
      </c>
      <c r="T31" s="49">
        <f t="shared" si="5"/>
        <v>0</v>
      </c>
      <c r="U31" s="49">
        <f t="shared" si="5"/>
        <v>0</v>
      </c>
      <c r="V31" s="49">
        <f t="shared" si="5"/>
        <v>0</v>
      </c>
      <c r="W31" s="49">
        <f t="shared" si="5"/>
        <v>0</v>
      </c>
      <c r="X31" s="49">
        <f t="shared" si="5"/>
        <v>0</v>
      </c>
      <c r="Y31" s="49">
        <f t="shared" si="5"/>
        <v>0</v>
      </c>
      <c r="Z31" s="49">
        <f t="shared" si="5"/>
        <v>0</v>
      </c>
      <c r="AA31" s="49">
        <f t="shared" si="5"/>
        <v>0</v>
      </c>
      <c r="AB31" s="49">
        <f t="shared" si="5"/>
        <v>0</v>
      </c>
      <c r="AC31" s="49">
        <f t="shared" si="5"/>
        <v>5</v>
      </c>
      <c r="AD31" s="49">
        <f t="shared" si="5"/>
        <v>5</v>
      </c>
      <c r="AE31" s="49">
        <f>SUM(C31:AD31)</f>
        <v>80</v>
      </c>
      <c r="AF31" s="49">
        <f>AE31*A56</f>
        <v>240</v>
      </c>
    </row>
    <row r="32" spans="2:32">
      <c r="B32" s="49" t="s">
        <v>1447</v>
      </c>
      <c r="C32" s="49">
        <f t="shared" ref="C32:AD32" si="6">COUNTIF($B$82:$F$96,C29)</f>
        <v>9</v>
      </c>
      <c r="D32" s="49">
        <f t="shared" si="6"/>
        <v>9</v>
      </c>
      <c r="E32" s="49">
        <f t="shared" si="6"/>
        <v>9</v>
      </c>
      <c r="F32" s="49">
        <f t="shared" si="6"/>
        <v>9</v>
      </c>
      <c r="G32" s="49">
        <f t="shared" si="6"/>
        <v>9</v>
      </c>
      <c r="H32" s="49">
        <f t="shared" si="6"/>
        <v>0</v>
      </c>
      <c r="I32" s="49">
        <f t="shared" si="6"/>
        <v>0</v>
      </c>
      <c r="J32" s="49">
        <f t="shared" si="6"/>
        <v>0</v>
      </c>
      <c r="K32" s="49">
        <f t="shared" si="6"/>
        <v>0</v>
      </c>
      <c r="L32" s="49">
        <f t="shared" si="6"/>
        <v>0</v>
      </c>
      <c r="M32" s="49">
        <f t="shared" si="6"/>
        <v>2</v>
      </c>
      <c r="N32" s="49">
        <f t="shared" si="6"/>
        <v>2</v>
      </c>
      <c r="O32" s="49">
        <f t="shared" si="6"/>
        <v>2</v>
      </c>
      <c r="P32" s="49">
        <f t="shared" si="6"/>
        <v>2</v>
      </c>
      <c r="Q32" s="49">
        <f t="shared" si="6"/>
        <v>2</v>
      </c>
      <c r="R32" s="49">
        <f t="shared" si="6"/>
        <v>0</v>
      </c>
      <c r="S32" s="49">
        <f t="shared" si="6"/>
        <v>0</v>
      </c>
      <c r="T32" s="49">
        <f t="shared" si="6"/>
        <v>0</v>
      </c>
      <c r="U32" s="49">
        <f t="shared" si="6"/>
        <v>0</v>
      </c>
      <c r="V32" s="49">
        <f t="shared" si="6"/>
        <v>0</v>
      </c>
      <c r="W32" s="49">
        <f t="shared" si="6"/>
        <v>0</v>
      </c>
      <c r="X32" s="49">
        <f t="shared" si="6"/>
        <v>0</v>
      </c>
      <c r="Y32" s="49">
        <f t="shared" si="6"/>
        <v>0</v>
      </c>
      <c r="Z32" s="49">
        <f t="shared" si="6"/>
        <v>0</v>
      </c>
      <c r="AA32" s="49">
        <f t="shared" si="6"/>
        <v>0</v>
      </c>
      <c r="AB32" s="49">
        <f t="shared" si="6"/>
        <v>1</v>
      </c>
      <c r="AC32" s="49">
        <f t="shared" si="6"/>
        <v>4</v>
      </c>
      <c r="AD32" s="49">
        <f t="shared" si="6"/>
        <v>5</v>
      </c>
      <c r="AE32" s="49">
        <f>SUM(C32:AD32)</f>
        <v>65</v>
      </c>
      <c r="AF32" s="49">
        <f>AE32*2</f>
        <v>130</v>
      </c>
    </row>
    <row r="33" spans="1:32">
      <c r="B33" s="49" t="s">
        <v>3833</v>
      </c>
      <c r="C33" s="49">
        <f>COUNTIF($B$97:$F$101,C29)</f>
        <v>2</v>
      </c>
      <c r="D33" s="49">
        <f t="shared" ref="D33:AD33" si="7">COUNTIF($B$97:$F$101,D29)</f>
        <v>2</v>
      </c>
      <c r="E33" s="49">
        <f t="shared" si="7"/>
        <v>2</v>
      </c>
      <c r="F33" s="49">
        <f t="shared" si="7"/>
        <v>2</v>
      </c>
      <c r="G33" s="49">
        <f t="shared" si="7"/>
        <v>2</v>
      </c>
      <c r="H33" s="49">
        <f t="shared" si="7"/>
        <v>1</v>
      </c>
      <c r="I33" s="49">
        <f t="shared" si="7"/>
        <v>1</v>
      </c>
      <c r="J33" s="49">
        <f t="shared" si="7"/>
        <v>1</v>
      </c>
      <c r="K33" s="49">
        <f t="shared" si="7"/>
        <v>1</v>
      </c>
      <c r="L33" s="49">
        <f t="shared" si="7"/>
        <v>1</v>
      </c>
      <c r="M33" s="49">
        <f t="shared" si="7"/>
        <v>1</v>
      </c>
      <c r="N33" s="49">
        <f t="shared" si="7"/>
        <v>1</v>
      </c>
      <c r="O33" s="49">
        <f t="shared" si="7"/>
        <v>1</v>
      </c>
      <c r="P33" s="49">
        <f t="shared" si="7"/>
        <v>1</v>
      </c>
      <c r="Q33" s="49">
        <f t="shared" si="7"/>
        <v>1</v>
      </c>
      <c r="R33" s="49">
        <f t="shared" si="7"/>
        <v>0</v>
      </c>
      <c r="S33" s="49">
        <f t="shared" si="7"/>
        <v>0</v>
      </c>
      <c r="T33" s="49">
        <f t="shared" si="7"/>
        <v>0</v>
      </c>
      <c r="U33" s="49">
        <f t="shared" si="7"/>
        <v>0</v>
      </c>
      <c r="V33" s="49">
        <f t="shared" si="7"/>
        <v>0</v>
      </c>
      <c r="W33" s="49">
        <f t="shared" si="7"/>
        <v>0</v>
      </c>
      <c r="X33" s="49">
        <f t="shared" si="7"/>
        <v>0</v>
      </c>
      <c r="Y33" s="49">
        <f t="shared" si="7"/>
        <v>0</v>
      </c>
      <c r="Z33" s="49">
        <f t="shared" si="7"/>
        <v>0</v>
      </c>
      <c r="AA33" s="49">
        <f t="shared" si="7"/>
        <v>0</v>
      </c>
      <c r="AB33" s="49">
        <f t="shared" si="7"/>
        <v>0</v>
      </c>
      <c r="AC33" s="49">
        <f t="shared" si="7"/>
        <v>0</v>
      </c>
      <c r="AD33" s="49">
        <f t="shared" si="7"/>
        <v>0</v>
      </c>
      <c r="AE33" s="49">
        <f>SUM(C33:AD33)</f>
        <v>20</v>
      </c>
      <c r="AF33" s="49">
        <f>AE33</f>
        <v>20</v>
      </c>
    </row>
    <row r="34" spans="1:32">
      <c r="B34" s="49"/>
      <c r="C34" s="49">
        <f>SUM(C30:C33)</f>
        <v>40</v>
      </c>
      <c r="D34" s="49">
        <f t="shared" ref="D34:AD34" si="8">SUM(D30:D33)</f>
        <v>40</v>
      </c>
      <c r="E34" s="49">
        <f t="shared" si="8"/>
        <v>40</v>
      </c>
      <c r="F34" s="49">
        <f t="shared" si="8"/>
        <v>40</v>
      </c>
      <c r="G34" s="49">
        <f t="shared" si="8"/>
        <v>40</v>
      </c>
      <c r="H34" s="49">
        <f t="shared" si="8"/>
        <v>4</v>
      </c>
      <c r="I34" s="49">
        <f t="shared" si="8"/>
        <v>4</v>
      </c>
      <c r="J34" s="49">
        <f t="shared" si="8"/>
        <v>4</v>
      </c>
      <c r="K34" s="49">
        <f t="shared" si="8"/>
        <v>4</v>
      </c>
      <c r="L34" s="49">
        <f t="shared" si="8"/>
        <v>4</v>
      </c>
      <c r="M34" s="49">
        <f t="shared" si="8"/>
        <v>4</v>
      </c>
      <c r="N34" s="49">
        <f t="shared" si="8"/>
        <v>4</v>
      </c>
      <c r="O34" s="49">
        <f t="shared" si="8"/>
        <v>4</v>
      </c>
      <c r="P34" s="49">
        <f t="shared" si="8"/>
        <v>4</v>
      </c>
      <c r="Q34" s="49">
        <f t="shared" si="8"/>
        <v>4</v>
      </c>
      <c r="R34" s="49">
        <f t="shared" si="8"/>
        <v>0</v>
      </c>
      <c r="S34" s="49">
        <f t="shared" si="8"/>
        <v>0</v>
      </c>
      <c r="T34" s="49">
        <f t="shared" si="8"/>
        <v>0</v>
      </c>
      <c r="U34" s="49">
        <f t="shared" si="8"/>
        <v>0</v>
      </c>
      <c r="V34" s="49">
        <f t="shared" si="8"/>
        <v>0</v>
      </c>
      <c r="W34" s="49">
        <f t="shared" si="8"/>
        <v>0</v>
      </c>
      <c r="X34" s="49">
        <f t="shared" si="8"/>
        <v>0</v>
      </c>
      <c r="Y34" s="49">
        <f t="shared" si="8"/>
        <v>0</v>
      </c>
      <c r="Z34" s="49">
        <f t="shared" si="8"/>
        <v>0</v>
      </c>
      <c r="AA34" s="49">
        <f t="shared" si="8"/>
        <v>0</v>
      </c>
      <c r="AB34" s="49">
        <f t="shared" si="8"/>
        <v>1</v>
      </c>
      <c r="AC34" s="49">
        <f t="shared" si="8"/>
        <v>19</v>
      </c>
      <c r="AD34" s="49">
        <f t="shared" si="8"/>
        <v>15</v>
      </c>
      <c r="AE34" s="49">
        <f>SUM(C34:AD34)</f>
        <v>275</v>
      </c>
      <c r="AF34" s="49">
        <f>SUM(AF30:AF33)</f>
        <v>940</v>
      </c>
    </row>
    <row r="38" spans="1:32" ht="19.5" thickBot="1">
      <c r="A38" s="8">
        <v>5</v>
      </c>
      <c r="B38" s="8">
        <f>8*3</f>
        <v>24</v>
      </c>
      <c r="K38" s="8">
        <f>SUM(B42:K42)</f>
        <v>550</v>
      </c>
      <c r="Y38" s="8">
        <f>SUM(L42:Y42)</f>
        <v>0</v>
      </c>
    </row>
    <row r="39" spans="1:32">
      <c r="A39" s="50"/>
      <c r="B39" s="51" t="s">
        <v>3898</v>
      </c>
      <c r="C39" s="52" t="s">
        <v>3899</v>
      </c>
      <c r="D39" s="52" t="s">
        <v>3900</v>
      </c>
      <c r="E39" s="52" t="s">
        <v>3901</v>
      </c>
      <c r="F39" s="52" t="s">
        <v>3902</v>
      </c>
      <c r="G39" s="52" t="s">
        <v>3903</v>
      </c>
      <c r="H39" s="52" t="s">
        <v>3904</v>
      </c>
      <c r="I39" s="52" t="s">
        <v>3905</v>
      </c>
      <c r="J39" s="52" t="s">
        <v>3906</v>
      </c>
      <c r="K39" s="53" t="s">
        <v>3907</v>
      </c>
      <c r="L39" s="51" t="s">
        <v>3908</v>
      </c>
      <c r="M39" s="52" t="s">
        <v>3909</v>
      </c>
      <c r="N39" s="52" t="s">
        <v>3910</v>
      </c>
      <c r="O39" s="52" t="s">
        <v>3911</v>
      </c>
      <c r="P39" s="52" t="s">
        <v>3912</v>
      </c>
      <c r="Q39" s="52" t="s">
        <v>3913</v>
      </c>
      <c r="R39" s="52" t="s">
        <v>3914</v>
      </c>
      <c r="S39" s="52" t="s">
        <v>3915</v>
      </c>
      <c r="T39" s="52" t="s">
        <v>3916</v>
      </c>
      <c r="U39" s="53" t="s">
        <v>3917</v>
      </c>
      <c r="V39" s="51" t="s">
        <v>3918</v>
      </c>
      <c r="W39" s="52" t="s">
        <v>3919</v>
      </c>
      <c r="X39" s="52" t="s">
        <v>3920</v>
      </c>
      <c r="Y39" s="53" t="s">
        <v>3861</v>
      </c>
      <c r="Z39" s="54"/>
    </row>
    <row r="40" spans="1:32">
      <c r="A40" s="55"/>
      <c r="B40" s="56" t="s">
        <v>3871</v>
      </c>
      <c r="C40" s="57" t="s">
        <v>3872</v>
      </c>
      <c r="D40" s="57" t="s">
        <v>3873</v>
      </c>
      <c r="E40" s="57" t="s">
        <v>3874</v>
      </c>
      <c r="F40" s="57" t="s">
        <v>3875</v>
      </c>
      <c r="G40" s="57" t="s">
        <v>3871</v>
      </c>
      <c r="H40" s="57" t="s">
        <v>3872</v>
      </c>
      <c r="I40" s="57" t="s">
        <v>3873</v>
      </c>
      <c r="J40" s="57" t="s">
        <v>3874</v>
      </c>
      <c r="K40" s="58" t="s">
        <v>3875</v>
      </c>
      <c r="L40" s="56" t="s">
        <v>3871</v>
      </c>
      <c r="M40" s="57" t="s">
        <v>3872</v>
      </c>
      <c r="N40" s="57" t="s">
        <v>3873</v>
      </c>
      <c r="O40" s="57" t="s">
        <v>3874</v>
      </c>
      <c r="P40" s="57" t="s">
        <v>3875</v>
      </c>
      <c r="Q40" s="57" t="s">
        <v>3871</v>
      </c>
      <c r="R40" s="57" t="s">
        <v>3872</v>
      </c>
      <c r="S40" s="57" t="s">
        <v>3873</v>
      </c>
      <c r="T40" s="57" t="s">
        <v>3874</v>
      </c>
      <c r="U40" s="58" t="s">
        <v>3875</v>
      </c>
      <c r="V40" s="56" t="s">
        <v>3921</v>
      </c>
      <c r="W40" s="57" t="s">
        <v>3922</v>
      </c>
      <c r="X40" s="57" t="s">
        <v>3923</v>
      </c>
      <c r="Y40" s="58" t="s">
        <v>3861</v>
      </c>
      <c r="Z40" s="59"/>
    </row>
    <row r="41" spans="1:32">
      <c r="A41" s="55"/>
      <c r="B41" s="56">
        <f>COUNTA(B43:B54)</f>
        <v>12</v>
      </c>
      <c r="C41" s="56">
        <f t="shared" ref="C41:K41" si="9">COUNTA(C43:C54)</f>
        <v>12</v>
      </c>
      <c r="D41" s="56">
        <f t="shared" si="9"/>
        <v>12</v>
      </c>
      <c r="E41" s="56">
        <f t="shared" si="9"/>
        <v>12</v>
      </c>
      <c r="F41" s="56">
        <f t="shared" si="9"/>
        <v>12</v>
      </c>
      <c r="G41" s="56">
        <f t="shared" si="9"/>
        <v>10</v>
      </c>
      <c r="H41" s="56">
        <f t="shared" si="9"/>
        <v>10</v>
      </c>
      <c r="I41" s="56">
        <f t="shared" si="9"/>
        <v>10</v>
      </c>
      <c r="J41" s="56">
        <f t="shared" si="9"/>
        <v>10</v>
      </c>
      <c r="K41" s="56">
        <f t="shared" si="9"/>
        <v>10</v>
      </c>
      <c r="L41" s="56">
        <f t="shared" ref="L41:Y41" si="10">COUNTA(L43:L53)</f>
        <v>0</v>
      </c>
      <c r="M41" s="57">
        <f t="shared" si="10"/>
        <v>0</v>
      </c>
      <c r="N41" s="57">
        <f t="shared" si="10"/>
        <v>0</v>
      </c>
      <c r="O41" s="57">
        <f t="shared" si="10"/>
        <v>0</v>
      </c>
      <c r="P41" s="57">
        <f t="shared" si="10"/>
        <v>0</v>
      </c>
      <c r="Q41" s="57">
        <f t="shared" si="10"/>
        <v>0</v>
      </c>
      <c r="R41" s="57">
        <f t="shared" si="10"/>
        <v>0</v>
      </c>
      <c r="S41" s="57">
        <f t="shared" si="10"/>
        <v>0</v>
      </c>
      <c r="T41" s="57">
        <f t="shared" si="10"/>
        <v>0</v>
      </c>
      <c r="U41" s="58">
        <f t="shared" si="10"/>
        <v>0</v>
      </c>
      <c r="V41" s="56">
        <f t="shared" si="10"/>
        <v>0</v>
      </c>
      <c r="W41" s="57">
        <f t="shared" si="10"/>
        <v>0</v>
      </c>
      <c r="X41" s="57">
        <f t="shared" si="10"/>
        <v>0</v>
      </c>
      <c r="Y41" s="58">
        <f t="shared" si="10"/>
        <v>0</v>
      </c>
      <c r="Z41" s="59">
        <f>SUM(B41:Y41)</f>
        <v>110</v>
      </c>
    </row>
    <row r="42" spans="1:32" ht="19.5" thickBot="1">
      <c r="A42" s="60"/>
      <c r="B42" s="61">
        <f>B41*$A$38</f>
        <v>60</v>
      </c>
      <c r="C42" s="62">
        <f t="shared" ref="C42:X42" si="11">C41*$A$38</f>
        <v>60</v>
      </c>
      <c r="D42" s="62">
        <f t="shared" si="11"/>
        <v>60</v>
      </c>
      <c r="E42" s="62">
        <f t="shared" si="11"/>
        <v>60</v>
      </c>
      <c r="F42" s="62">
        <f t="shared" si="11"/>
        <v>60</v>
      </c>
      <c r="G42" s="62">
        <f t="shared" si="11"/>
        <v>50</v>
      </c>
      <c r="H42" s="62">
        <f t="shared" si="11"/>
        <v>50</v>
      </c>
      <c r="I42" s="62">
        <f t="shared" si="11"/>
        <v>50</v>
      </c>
      <c r="J42" s="62">
        <f t="shared" si="11"/>
        <v>50</v>
      </c>
      <c r="K42" s="63">
        <f t="shared" si="11"/>
        <v>50</v>
      </c>
      <c r="L42" s="61">
        <f t="shared" si="11"/>
        <v>0</v>
      </c>
      <c r="M42" s="62">
        <f t="shared" si="11"/>
        <v>0</v>
      </c>
      <c r="N42" s="62">
        <f t="shared" si="11"/>
        <v>0</v>
      </c>
      <c r="O42" s="62">
        <f t="shared" si="11"/>
        <v>0</v>
      </c>
      <c r="P42" s="62">
        <f t="shared" si="11"/>
        <v>0</v>
      </c>
      <c r="Q42" s="62">
        <f t="shared" si="11"/>
        <v>0</v>
      </c>
      <c r="R42" s="62">
        <f t="shared" si="11"/>
        <v>0</v>
      </c>
      <c r="S42" s="62">
        <f t="shared" si="11"/>
        <v>0</v>
      </c>
      <c r="T42" s="62">
        <f t="shared" si="11"/>
        <v>0</v>
      </c>
      <c r="U42" s="63">
        <f t="shared" si="11"/>
        <v>0</v>
      </c>
      <c r="V42" s="61">
        <f t="shared" si="11"/>
        <v>0</v>
      </c>
      <c r="W42" s="62">
        <f t="shared" si="11"/>
        <v>0</v>
      </c>
      <c r="X42" s="62">
        <f t="shared" si="11"/>
        <v>0</v>
      </c>
      <c r="Y42" s="63"/>
      <c r="Z42" s="64">
        <f>SUM(B42:Y42)</f>
        <v>550</v>
      </c>
    </row>
    <row r="43" spans="1:32">
      <c r="A43" s="65">
        <v>1</v>
      </c>
      <c r="B43" s="66" t="s">
        <v>3871</v>
      </c>
      <c r="C43" s="67" t="s">
        <v>3872</v>
      </c>
      <c r="D43" s="67" t="s">
        <v>3873</v>
      </c>
      <c r="E43" s="67" t="s">
        <v>3874</v>
      </c>
      <c r="F43" s="67" t="s">
        <v>3875</v>
      </c>
      <c r="G43" s="57" t="s">
        <v>3871</v>
      </c>
      <c r="H43" s="57" t="s">
        <v>3871</v>
      </c>
      <c r="I43" s="57" t="s">
        <v>3925</v>
      </c>
      <c r="J43" s="57" t="s">
        <v>3876</v>
      </c>
      <c r="K43" s="58" t="s">
        <v>3924</v>
      </c>
      <c r="L43" s="66"/>
      <c r="M43" s="67"/>
      <c r="N43" s="67"/>
      <c r="O43" s="67"/>
      <c r="P43" s="67"/>
      <c r="Q43" s="67"/>
      <c r="R43" s="67"/>
      <c r="S43" s="67"/>
      <c r="T43" s="67"/>
      <c r="U43" s="68"/>
      <c r="V43" s="66"/>
      <c r="W43" s="67"/>
      <c r="X43" s="67"/>
      <c r="Y43" s="68"/>
      <c r="Z43" s="69"/>
      <c r="AA43" s="8">
        <f>Z42/8</f>
        <v>68.75</v>
      </c>
    </row>
    <row r="44" spans="1:32">
      <c r="A44" s="55">
        <v>2</v>
      </c>
      <c r="B44" s="56" t="s">
        <v>3871</v>
      </c>
      <c r="C44" s="57" t="s">
        <v>3872</v>
      </c>
      <c r="D44" s="57" t="s">
        <v>3873</v>
      </c>
      <c r="E44" s="57" t="s">
        <v>3874</v>
      </c>
      <c r="F44" s="57" t="s">
        <v>3875</v>
      </c>
      <c r="G44" s="57" t="s">
        <v>3872</v>
      </c>
      <c r="H44" s="57" t="s">
        <v>3872</v>
      </c>
      <c r="I44" s="57" t="s">
        <v>3925</v>
      </c>
      <c r="J44" s="57" t="s">
        <v>3877</v>
      </c>
      <c r="K44" s="58" t="s">
        <v>3924</v>
      </c>
      <c r="L44" s="56"/>
      <c r="M44" s="57"/>
      <c r="N44" s="57"/>
      <c r="O44" s="57"/>
      <c r="P44" s="57"/>
      <c r="Q44" s="57"/>
      <c r="R44" s="57"/>
      <c r="S44" s="57"/>
      <c r="T44" s="57"/>
      <c r="U44" s="58"/>
      <c r="V44" s="56"/>
      <c r="W44" s="57"/>
      <c r="X44" s="57"/>
      <c r="Y44" s="58"/>
      <c r="Z44" s="59"/>
    </row>
    <row r="45" spans="1:32">
      <c r="A45" s="55">
        <v>3</v>
      </c>
      <c r="B45" s="56" t="s">
        <v>3871</v>
      </c>
      <c r="C45" s="57" t="s">
        <v>3872</v>
      </c>
      <c r="D45" s="57" t="s">
        <v>3873</v>
      </c>
      <c r="E45" s="57" t="s">
        <v>3874</v>
      </c>
      <c r="F45" s="57" t="s">
        <v>3875</v>
      </c>
      <c r="G45" s="57" t="s">
        <v>3873</v>
      </c>
      <c r="H45" s="57" t="s">
        <v>3873</v>
      </c>
      <c r="I45" s="57" t="s">
        <v>3925</v>
      </c>
      <c r="J45" s="57" t="s">
        <v>3878</v>
      </c>
      <c r="K45" s="58" t="s">
        <v>3924</v>
      </c>
      <c r="L45" s="56"/>
      <c r="M45" s="57"/>
      <c r="N45" s="57"/>
      <c r="O45" s="57"/>
      <c r="P45" s="57"/>
      <c r="Q45" s="57"/>
      <c r="R45" s="57"/>
      <c r="S45" s="57"/>
      <c r="T45" s="57"/>
      <c r="U45" s="58"/>
      <c r="V45" s="56"/>
      <c r="W45" s="57"/>
      <c r="X45" s="57"/>
      <c r="Y45" s="58"/>
      <c r="Z45" s="59"/>
    </row>
    <row r="46" spans="1:32">
      <c r="A46" s="55">
        <v>4</v>
      </c>
      <c r="B46" s="56" t="s">
        <v>3871</v>
      </c>
      <c r="C46" s="57" t="s">
        <v>3872</v>
      </c>
      <c r="D46" s="57" t="s">
        <v>3873</v>
      </c>
      <c r="E46" s="57" t="s">
        <v>3874</v>
      </c>
      <c r="F46" s="57" t="s">
        <v>3875</v>
      </c>
      <c r="G46" s="57" t="s">
        <v>3874</v>
      </c>
      <c r="H46" s="57" t="s">
        <v>3874</v>
      </c>
      <c r="I46" s="57" t="s">
        <v>3925</v>
      </c>
      <c r="J46" s="57" t="s">
        <v>3879</v>
      </c>
      <c r="K46" s="58" t="s">
        <v>3924</v>
      </c>
      <c r="L46" s="56"/>
      <c r="M46" s="57"/>
      <c r="N46" s="57"/>
      <c r="O46" s="57"/>
      <c r="P46" s="57"/>
      <c r="Q46" s="57"/>
      <c r="R46" s="57"/>
      <c r="S46" s="57"/>
      <c r="T46" s="57"/>
      <c r="U46" s="58"/>
      <c r="V46" s="56"/>
      <c r="W46" s="57"/>
      <c r="X46" s="57"/>
      <c r="Y46" s="58"/>
      <c r="Z46" s="59"/>
    </row>
    <row r="47" spans="1:32">
      <c r="A47" s="55">
        <v>5</v>
      </c>
      <c r="B47" s="56" t="s">
        <v>3871</v>
      </c>
      <c r="C47" s="57" t="s">
        <v>3872</v>
      </c>
      <c r="D47" s="57" t="s">
        <v>3873</v>
      </c>
      <c r="E47" s="57" t="s">
        <v>3874</v>
      </c>
      <c r="F47" s="57" t="s">
        <v>3875</v>
      </c>
      <c r="G47" s="57" t="s">
        <v>3875</v>
      </c>
      <c r="H47" s="57" t="s">
        <v>3875</v>
      </c>
      <c r="I47" s="57" t="s">
        <v>3925</v>
      </c>
      <c r="J47" s="57" t="s">
        <v>3880</v>
      </c>
      <c r="K47" s="58" t="s">
        <v>3924</v>
      </c>
      <c r="L47" s="56"/>
      <c r="M47" s="57"/>
      <c r="N47" s="57"/>
      <c r="O47" s="57"/>
      <c r="P47" s="57"/>
      <c r="Q47" s="57"/>
      <c r="R47" s="57"/>
      <c r="S47" s="57"/>
      <c r="T47" s="57"/>
      <c r="U47" s="58"/>
      <c r="V47" s="56"/>
      <c r="W47" s="57"/>
      <c r="X47" s="57"/>
      <c r="Y47" s="58"/>
      <c r="Z47" s="59"/>
    </row>
    <row r="48" spans="1:32">
      <c r="A48" s="55">
        <v>6</v>
      </c>
      <c r="B48" s="56" t="s">
        <v>3871</v>
      </c>
      <c r="C48" s="57" t="s">
        <v>3872</v>
      </c>
      <c r="D48" s="57" t="s">
        <v>3873</v>
      </c>
      <c r="E48" s="57" t="s">
        <v>3874</v>
      </c>
      <c r="F48" s="57" t="s">
        <v>3875</v>
      </c>
      <c r="G48" s="57" t="s">
        <v>3871</v>
      </c>
      <c r="H48" s="57" t="s">
        <v>3871</v>
      </c>
      <c r="I48" s="57" t="s">
        <v>3871</v>
      </c>
      <c r="J48" s="57" t="s">
        <v>3881</v>
      </c>
      <c r="K48" s="58" t="s">
        <v>3924</v>
      </c>
      <c r="L48" s="56"/>
      <c r="M48" s="57"/>
      <c r="N48" s="57"/>
      <c r="O48" s="57"/>
      <c r="P48" s="57"/>
      <c r="Q48" s="57"/>
      <c r="R48" s="57"/>
      <c r="S48" s="57"/>
      <c r="T48" s="57"/>
      <c r="U48" s="58"/>
      <c r="V48" s="56"/>
      <c r="W48" s="57"/>
      <c r="X48" s="57"/>
      <c r="Y48" s="56"/>
      <c r="Z48" s="59"/>
    </row>
    <row r="49" spans="1:26">
      <c r="A49" s="55">
        <v>7</v>
      </c>
      <c r="B49" s="56" t="s">
        <v>3871</v>
      </c>
      <c r="C49" s="57" t="s">
        <v>3872</v>
      </c>
      <c r="D49" s="57" t="s">
        <v>3873</v>
      </c>
      <c r="E49" s="57" t="s">
        <v>3874</v>
      </c>
      <c r="F49" s="57" t="s">
        <v>3875</v>
      </c>
      <c r="G49" s="57" t="s">
        <v>3872</v>
      </c>
      <c r="H49" s="57" t="s">
        <v>3872</v>
      </c>
      <c r="I49" s="57" t="s">
        <v>3872</v>
      </c>
      <c r="J49" s="57" t="s">
        <v>3882</v>
      </c>
      <c r="K49" s="58" t="s">
        <v>3924</v>
      </c>
      <c r="L49" s="56"/>
      <c r="M49" s="57"/>
      <c r="N49" s="57"/>
      <c r="O49" s="57"/>
      <c r="P49" s="57"/>
      <c r="Q49" s="57"/>
      <c r="R49" s="57"/>
      <c r="S49" s="57"/>
      <c r="T49" s="57"/>
      <c r="U49" s="58"/>
      <c r="V49" s="56"/>
      <c r="W49" s="57"/>
      <c r="X49" s="57"/>
      <c r="Y49" s="56"/>
      <c r="Z49" s="59"/>
    </row>
    <row r="50" spans="1:26">
      <c r="A50" s="55">
        <v>8</v>
      </c>
      <c r="B50" s="56" t="s">
        <v>3871</v>
      </c>
      <c r="C50" s="57" t="s">
        <v>3872</v>
      </c>
      <c r="D50" s="57" t="s">
        <v>3873</v>
      </c>
      <c r="E50" s="57" t="s">
        <v>3874</v>
      </c>
      <c r="F50" s="57" t="s">
        <v>3875</v>
      </c>
      <c r="G50" s="57" t="s">
        <v>3873</v>
      </c>
      <c r="H50" s="57" t="s">
        <v>3873</v>
      </c>
      <c r="I50" s="57" t="s">
        <v>3873</v>
      </c>
      <c r="J50" s="57" t="s">
        <v>3883</v>
      </c>
      <c r="K50" s="58" t="s">
        <v>3924</v>
      </c>
      <c r="L50" s="56"/>
      <c r="M50" s="57"/>
      <c r="N50" s="57"/>
      <c r="O50" s="57"/>
      <c r="P50" s="57"/>
      <c r="Q50" s="57"/>
      <c r="R50" s="57"/>
      <c r="S50" s="57"/>
      <c r="T50" s="57"/>
      <c r="U50" s="58"/>
      <c r="V50" s="56"/>
      <c r="W50" s="57"/>
      <c r="X50" s="57"/>
      <c r="Y50" s="56"/>
      <c r="Z50" s="59"/>
    </row>
    <row r="51" spans="1:26">
      <c r="A51" s="55">
        <v>9</v>
      </c>
      <c r="B51" s="56" t="s">
        <v>3871</v>
      </c>
      <c r="C51" s="57" t="s">
        <v>3872</v>
      </c>
      <c r="D51" s="57" t="s">
        <v>3873</v>
      </c>
      <c r="E51" s="57" t="s">
        <v>3874</v>
      </c>
      <c r="F51" s="57" t="s">
        <v>3875</v>
      </c>
      <c r="G51" s="57" t="s">
        <v>3874</v>
      </c>
      <c r="H51" s="57" t="s">
        <v>3874</v>
      </c>
      <c r="I51" s="57" t="s">
        <v>3874</v>
      </c>
      <c r="J51" s="57" t="s">
        <v>3884</v>
      </c>
      <c r="K51" s="58" t="s">
        <v>3924</v>
      </c>
      <c r="L51" s="56"/>
      <c r="M51" s="57"/>
      <c r="N51" s="57"/>
      <c r="O51" s="57"/>
      <c r="P51" s="57"/>
      <c r="Q51" s="57"/>
      <c r="R51" s="57"/>
      <c r="S51" s="57"/>
      <c r="T51" s="57"/>
      <c r="U51" s="58"/>
      <c r="W51" s="57"/>
      <c r="X51" s="57"/>
      <c r="Y51" s="56"/>
      <c r="Z51" s="59"/>
    </row>
    <row r="52" spans="1:26" ht="19.5" thickBot="1">
      <c r="A52" s="60">
        <v>10</v>
      </c>
      <c r="B52" s="56" t="s">
        <v>3871</v>
      </c>
      <c r="C52" s="57" t="s">
        <v>3872</v>
      </c>
      <c r="D52" s="57" t="s">
        <v>3873</v>
      </c>
      <c r="E52" s="57" t="s">
        <v>3874</v>
      </c>
      <c r="F52" s="57" t="s">
        <v>3875</v>
      </c>
      <c r="G52" s="57" t="s">
        <v>3875</v>
      </c>
      <c r="H52" s="57" t="s">
        <v>3875</v>
      </c>
      <c r="I52" s="57" t="s">
        <v>3875</v>
      </c>
      <c r="J52" s="57" t="s">
        <v>3885</v>
      </c>
      <c r="K52" s="58" t="s">
        <v>3924</v>
      </c>
      <c r="L52" s="61"/>
      <c r="M52" s="62"/>
      <c r="N52" s="62"/>
      <c r="O52" s="62"/>
      <c r="P52" s="62"/>
      <c r="Q52" s="62"/>
      <c r="R52" s="62"/>
      <c r="S52" s="62"/>
      <c r="T52" s="62"/>
      <c r="U52" s="63"/>
      <c r="V52" s="61"/>
      <c r="W52" s="62"/>
      <c r="X52" s="62"/>
      <c r="Y52" s="63"/>
      <c r="Z52" s="64"/>
    </row>
    <row r="53" spans="1:26" ht="19.5" thickBot="1">
      <c r="A53" s="55">
        <v>11</v>
      </c>
      <c r="B53" s="56" t="s">
        <v>3871</v>
      </c>
      <c r="C53" s="57" t="s">
        <v>3872</v>
      </c>
      <c r="D53" s="57" t="s">
        <v>3873</v>
      </c>
      <c r="E53" s="57" t="s">
        <v>3874</v>
      </c>
      <c r="F53" s="57" t="s">
        <v>3875</v>
      </c>
      <c r="G53" s="57"/>
      <c r="H53" s="57"/>
      <c r="I53" s="57"/>
      <c r="J53" s="57"/>
      <c r="K53" s="58"/>
      <c r="V53" s="61"/>
    </row>
    <row r="54" spans="1:26" ht="19.5" thickBot="1">
      <c r="A54" s="55">
        <v>12</v>
      </c>
      <c r="B54" s="56" t="s">
        <v>3871</v>
      </c>
      <c r="C54" s="57" t="s">
        <v>3872</v>
      </c>
      <c r="D54" s="57" t="s">
        <v>3873</v>
      </c>
      <c r="E54" s="57" t="s">
        <v>3874</v>
      </c>
      <c r="F54" s="57" t="s">
        <v>3875</v>
      </c>
      <c r="G54" s="57"/>
      <c r="H54" s="57"/>
      <c r="I54" s="57"/>
      <c r="J54" s="57"/>
      <c r="K54" s="58"/>
      <c r="V54" s="61"/>
    </row>
    <row r="55" spans="1:26" ht="19.5" thickBot="1"/>
    <row r="56" spans="1:26">
      <c r="A56" s="50">
        <v>3</v>
      </c>
      <c r="B56" s="51">
        <v>1</v>
      </c>
      <c r="C56" s="52">
        <v>2</v>
      </c>
      <c r="D56" s="52">
        <v>3</v>
      </c>
      <c r="E56" s="52">
        <v>4</v>
      </c>
      <c r="F56" s="52">
        <v>5</v>
      </c>
      <c r="G56" s="52">
        <v>6</v>
      </c>
      <c r="H56" s="52">
        <v>7</v>
      </c>
      <c r="I56" s="52">
        <v>8</v>
      </c>
      <c r="J56" s="52">
        <v>9</v>
      </c>
      <c r="K56" s="53">
        <v>10</v>
      </c>
      <c r="L56" s="54"/>
    </row>
    <row r="57" spans="1:26">
      <c r="A57" s="55"/>
      <c r="B57" s="57">
        <f>COUNTA(B59:B78)</f>
        <v>20</v>
      </c>
      <c r="C57" s="57">
        <f t="shared" ref="C57:K57" si="12">COUNTA(C59:C78)</f>
        <v>20</v>
      </c>
      <c r="D57" s="57">
        <f t="shared" si="12"/>
        <v>20</v>
      </c>
      <c r="E57" s="57">
        <f t="shared" si="12"/>
        <v>20</v>
      </c>
      <c r="F57" s="57">
        <f t="shared" si="12"/>
        <v>0</v>
      </c>
      <c r="G57" s="57">
        <f t="shared" si="12"/>
        <v>0</v>
      </c>
      <c r="H57" s="57">
        <f t="shared" si="12"/>
        <v>0</v>
      </c>
      <c r="I57" s="57">
        <f t="shared" si="12"/>
        <v>0</v>
      </c>
      <c r="J57" s="57">
        <f t="shared" si="12"/>
        <v>0</v>
      </c>
      <c r="K57" s="57">
        <f t="shared" si="12"/>
        <v>0</v>
      </c>
      <c r="L57" s="59">
        <f>SUM(B57:K57)</f>
        <v>80</v>
      </c>
    </row>
    <row r="58" spans="1:26" ht="19.5" thickBot="1">
      <c r="A58" s="70"/>
      <c r="B58" s="71">
        <f>B57*$A$56</f>
        <v>60</v>
      </c>
      <c r="C58" s="72">
        <f t="shared" ref="C58:K58" si="13">C57*$A$56</f>
        <v>60</v>
      </c>
      <c r="D58" s="72">
        <f t="shared" si="13"/>
        <v>60</v>
      </c>
      <c r="E58" s="72">
        <f t="shared" si="13"/>
        <v>60</v>
      </c>
      <c r="F58" s="72">
        <f t="shared" si="13"/>
        <v>0</v>
      </c>
      <c r="G58" s="72">
        <f t="shared" si="13"/>
        <v>0</v>
      </c>
      <c r="H58" s="72">
        <f t="shared" si="13"/>
        <v>0</v>
      </c>
      <c r="I58" s="72">
        <f t="shared" si="13"/>
        <v>0</v>
      </c>
      <c r="J58" s="72">
        <f t="shared" si="13"/>
        <v>0</v>
      </c>
      <c r="K58" s="73">
        <f t="shared" si="13"/>
        <v>0</v>
      </c>
      <c r="L58" s="74">
        <f>SUM(B58:K58)</f>
        <v>240</v>
      </c>
      <c r="N58" s="8">
        <f>24*3</f>
        <v>72</v>
      </c>
    </row>
    <row r="59" spans="1:26">
      <c r="A59" s="50">
        <v>1</v>
      </c>
      <c r="B59" s="51" t="s">
        <v>3871</v>
      </c>
      <c r="C59" s="52" t="s">
        <v>3871</v>
      </c>
      <c r="D59" s="52" t="s">
        <v>3871</v>
      </c>
      <c r="E59" s="52" t="s">
        <v>3876</v>
      </c>
      <c r="F59" s="52"/>
      <c r="G59" s="52"/>
      <c r="H59" s="52"/>
      <c r="I59" s="52"/>
      <c r="J59" s="52"/>
      <c r="K59" s="53"/>
      <c r="L59" s="54"/>
      <c r="N59" s="75">
        <f>N58/L58</f>
        <v>0.3</v>
      </c>
    </row>
    <row r="60" spans="1:26">
      <c r="A60" s="55">
        <v>2</v>
      </c>
      <c r="B60" s="56" t="s">
        <v>3872</v>
      </c>
      <c r="C60" s="57" t="s">
        <v>3872</v>
      </c>
      <c r="D60" s="57" t="s">
        <v>3872</v>
      </c>
      <c r="E60" s="57" t="s">
        <v>3877</v>
      </c>
      <c r="F60" s="57"/>
      <c r="G60" s="57"/>
      <c r="H60" s="57"/>
      <c r="I60" s="57"/>
      <c r="J60" s="57"/>
      <c r="K60" s="58"/>
      <c r="L60" s="59"/>
      <c r="T60" s="8" t="s">
        <v>3881</v>
      </c>
    </row>
    <row r="61" spans="1:26">
      <c r="A61" s="55">
        <v>3</v>
      </c>
      <c r="B61" s="56" t="s">
        <v>3873</v>
      </c>
      <c r="C61" s="57" t="s">
        <v>3873</v>
      </c>
      <c r="D61" s="57" t="s">
        <v>3873</v>
      </c>
      <c r="E61" s="57" t="s">
        <v>3878</v>
      </c>
      <c r="F61" s="57"/>
      <c r="G61" s="57"/>
      <c r="H61" s="57"/>
      <c r="I61" s="57"/>
      <c r="J61" s="57"/>
      <c r="K61" s="58"/>
      <c r="L61" s="59"/>
      <c r="T61" s="8" t="s">
        <v>3882</v>
      </c>
    </row>
    <row r="62" spans="1:26">
      <c r="A62" s="55">
        <v>4</v>
      </c>
      <c r="B62" s="56" t="s">
        <v>3874</v>
      </c>
      <c r="C62" s="57" t="s">
        <v>3874</v>
      </c>
      <c r="D62" s="57" t="s">
        <v>3874</v>
      </c>
      <c r="E62" s="57" t="s">
        <v>3879</v>
      </c>
      <c r="F62" s="57"/>
      <c r="G62" s="57"/>
      <c r="H62" s="57"/>
      <c r="I62" s="57"/>
      <c r="J62" s="57"/>
      <c r="K62" s="58"/>
      <c r="L62" s="59"/>
      <c r="T62" s="8" t="s">
        <v>3883</v>
      </c>
    </row>
    <row r="63" spans="1:26">
      <c r="A63" s="55">
        <v>5</v>
      </c>
      <c r="B63" s="55" t="s">
        <v>3875</v>
      </c>
      <c r="C63" s="57" t="s">
        <v>3875</v>
      </c>
      <c r="D63" s="57" t="s">
        <v>3875</v>
      </c>
      <c r="E63" s="57" t="s">
        <v>3880</v>
      </c>
      <c r="F63" s="57"/>
      <c r="G63" s="57"/>
      <c r="H63" s="57"/>
      <c r="I63" s="57"/>
      <c r="J63" s="57"/>
      <c r="K63" s="58"/>
      <c r="L63" s="59"/>
      <c r="T63" s="8" t="s">
        <v>3884</v>
      </c>
    </row>
    <row r="64" spans="1:26">
      <c r="A64" s="55">
        <v>6</v>
      </c>
      <c r="B64" s="55" t="s">
        <v>3871</v>
      </c>
      <c r="C64" s="57" t="s">
        <v>3871</v>
      </c>
      <c r="D64" s="57" t="s">
        <v>3871</v>
      </c>
      <c r="E64" s="57" t="s">
        <v>3876</v>
      </c>
      <c r="F64" s="57"/>
      <c r="G64" s="57"/>
      <c r="H64" s="57"/>
      <c r="I64" s="57"/>
      <c r="J64" s="57"/>
      <c r="K64" s="58"/>
      <c r="L64" s="59"/>
      <c r="T64" s="8" t="s">
        <v>3885</v>
      </c>
      <c r="W64" s="8" t="s">
        <v>3924</v>
      </c>
    </row>
    <row r="65" spans="1:23">
      <c r="A65" s="55">
        <v>7</v>
      </c>
      <c r="B65" s="55" t="s">
        <v>3872</v>
      </c>
      <c r="C65" s="57" t="s">
        <v>3872</v>
      </c>
      <c r="D65" s="57" t="s">
        <v>3872</v>
      </c>
      <c r="E65" s="57" t="s">
        <v>3877</v>
      </c>
      <c r="F65" s="57"/>
      <c r="G65" s="57"/>
      <c r="H65" s="57"/>
      <c r="I65" s="57"/>
      <c r="J65" s="57"/>
      <c r="K65" s="58"/>
      <c r="L65" s="59"/>
      <c r="O65" s="8" t="s">
        <v>3924</v>
      </c>
    </row>
    <row r="66" spans="1:23">
      <c r="A66" s="55">
        <v>8</v>
      </c>
      <c r="B66" s="55" t="s">
        <v>3873</v>
      </c>
      <c r="C66" s="57" t="s">
        <v>3873</v>
      </c>
      <c r="D66" s="57" t="s">
        <v>3873</v>
      </c>
      <c r="E66" s="57" t="s">
        <v>3878</v>
      </c>
      <c r="F66" s="57"/>
      <c r="G66" s="57"/>
      <c r="H66" s="57"/>
      <c r="I66" s="57"/>
      <c r="J66" s="57"/>
      <c r="K66" s="58"/>
      <c r="L66" s="59"/>
      <c r="O66" s="8" t="s">
        <v>3925</v>
      </c>
      <c r="U66" s="8" t="s">
        <v>3881</v>
      </c>
      <c r="V66" s="8" t="s">
        <v>3882</v>
      </c>
      <c r="W66" s="8" t="s">
        <v>3884</v>
      </c>
    </row>
    <row r="67" spans="1:23">
      <c r="A67" s="55">
        <v>9</v>
      </c>
      <c r="B67" s="55" t="s">
        <v>3874</v>
      </c>
      <c r="C67" s="57" t="s">
        <v>3874</v>
      </c>
      <c r="D67" s="57" t="s">
        <v>3874</v>
      </c>
      <c r="E67" s="57" t="s">
        <v>3879</v>
      </c>
      <c r="F67" s="57"/>
      <c r="G67" s="57"/>
      <c r="H67" s="57"/>
      <c r="I67" s="57"/>
      <c r="J67" s="57"/>
      <c r="K67" s="58"/>
      <c r="L67" s="59"/>
      <c r="T67" s="8" t="s">
        <v>3924</v>
      </c>
      <c r="V67" s="8" t="s">
        <v>3883</v>
      </c>
      <c r="W67" s="8" t="s">
        <v>3885</v>
      </c>
    </row>
    <row r="68" spans="1:23">
      <c r="A68" s="55">
        <v>10</v>
      </c>
      <c r="B68" s="55" t="s">
        <v>3875</v>
      </c>
      <c r="C68" s="57" t="s">
        <v>3875</v>
      </c>
      <c r="D68" s="57" t="s">
        <v>3875</v>
      </c>
      <c r="E68" s="57" t="s">
        <v>3880</v>
      </c>
      <c r="F68" s="57"/>
      <c r="G68" s="57"/>
      <c r="H68" s="57"/>
      <c r="I68" s="57"/>
      <c r="J68" s="57"/>
      <c r="K68" s="58"/>
      <c r="L68" s="59"/>
    </row>
    <row r="69" spans="1:23">
      <c r="A69" s="55">
        <v>11</v>
      </c>
      <c r="B69" s="55" t="s">
        <v>3871</v>
      </c>
      <c r="C69" s="57" t="s">
        <v>3871</v>
      </c>
      <c r="D69" s="57" t="s">
        <v>3871</v>
      </c>
      <c r="E69" s="57" t="s">
        <v>3924</v>
      </c>
      <c r="F69" s="57"/>
      <c r="G69" s="57"/>
      <c r="H69" s="57"/>
      <c r="I69" s="57"/>
      <c r="J69" s="57"/>
      <c r="K69" s="58"/>
      <c r="L69" s="59"/>
    </row>
    <row r="70" spans="1:23">
      <c r="A70" s="55">
        <v>12</v>
      </c>
      <c r="B70" s="55" t="s">
        <v>3872</v>
      </c>
      <c r="C70" s="57" t="s">
        <v>3872</v>
      </c>
      <c r="D70" s="57" t="s">
        <v>3872</v>
      </c>
      <c r="E70" s="57" t="s">
        <v>3924</v>
      </c>
      <c r="F70" s="57"/>
      <c r="G70" s="57"/>
      <c r="H70" s="57"/>
      <c r="I70" s="57"/>
      <c r="J70" s="57"/>
      <c r="K70" s="58"/>
      <c r="L70" s="59"/>
      <c r="O70" s="8" t="s">
        <v>3871</v>
      </c>
      <c r="S70" t="s">
        <v>3876</v>
      </c>
    </row>
    <row r="71" spans="1:23">
      <c r="A71" s="55">
        <v>13</v>
      </c>
      <c r="B71" s="55" t="s">
        <v>3873</v>
      </c>
      <c r="C71" s="57" t="s">
        <v>3873</v>
      </c>
      <c r="D71" s="57" t="s">
        <v>3873</v>
      </c>
      <c r="E71" s="57" t="s">
        <v>3924</v>
      </c>
      <c r="F71" s="57"/>
      <c r="G71" s="57"/>
      <c r="H71" s="57"/>
      <c r="I71" s="57"/>
      <c r="J71" s="57"/>
      <c r="K71" s="58"/>
      <c r="L71" s="59"/>
      <c r="O71" s="8" t="s">
        <v>3872</v>
      </c>
      <c r="S71" t="s">
        <v>3877</v>
      </c>
    </row>
    <row r="72" spans="1:23">
      <c r="A72" s="55">
        <v>14</v>
      </c>
      <c r="B72" s="55" t="s">
        <v>3874</v>
      </c>
      <c r="C72" s="57" t="s">
        <v>3874</v>
      </c>
      <c r="D72" s="57" t="s">
        <v>3874</v>
      </c>
      <c r="E72" s="57" t="s">
        <v>3924</v>
      </c>
      <c r="F72" s="57"/>
      <c r="G72" s="57"/>
      <c r="H72" s="57"/>
      <c r="I72" s="57"/>
      <c r="J72" s="57"/>
      <c r="K72" s="58"/>
      <c r="L72" s="59"/>
      <c r="O72" s="8" t="s">
        <v>3873</v>
      </c>
      <c r="S72" t="s">
        <v>3878</v>
      </c>
    </row>
    <row r="73" spans="1:23">
      <c r="A73" s="55">
        <v>15</v>
      </c>
      <c r="B73" s="56" t="s">
        <v>3875</v>
      </c>
      <c r="C73" s="57" t="s">
        <v>3875</v>
      </c>
      <c r="D73" s="57" t="s">
        <v>3875</v>
      </c>
      <c r="E73" s="57" t="s">
        <v>3924</v>
      </c>
      <c r="F73" s="57"/>
      <c r="G73" s="57"/>
      <c r="H73" s="57"/>
      <c r="I73" s="57"/>
      <c r="J73" s="57"/>
      <c r="K73" s="58"/>
      <c r="L73" s="59"/>
      <c r="O73" s="8" t="s">
        <v>3874</v>
      </c>
      <c r="S73" t="s">
        <v>3879</v>
      </c>
    </row>
    <row r="74" spans="1:23">
      <c r="A74" s="55">
        <v>16</v>
      </c>
      <c r="B74" s="56" t="s">
        <v>3871</v>
      </c>
      <c r="C74" s="57" t="s">
        <v>3871</v>
      </c>
      <c r="D74" s="57" t="s">
        <v>3871</v>
      </c>
      <c r="E74" s="57" t="s">
        <v>3925</v>
      </c>
      <c r="F74" s="57"/>
      <c r="G74" s="57"/>
      <c r="H74" s="57"/>
      <c r="I74" s="57"/>
      <c r="J74" s="57"/>
      <c r="K74" s="58"/>
      <c r="L74" s="59"/>
      <c r="O74" s="8" t="s">
        <v>3875</v>
      </c>
      <c r="S74" t="s">
        <v>3880</v>
      </c>
    </row>
    <row r="75" spans="1:23">
      <c r="A75" s="55">
        <v>17</v>
      </c>
      <c r="B75" s="56" t="s">
        <v>3872</v>
      </c>
      <c r="C75" s="57" t="s">
        <v>3872</v>
      </c>
      <c r="D75" s="57" t="s">
        <v>3872</v>
      </c>
      <c r="E75" s="57" t="s">
        <v>3925</v>
      </c>
      <c r="F75" s="57"/>
      <c r="G75" s="57"/>
      <c r="H75" s="57"/>
      <c r="I75" s="57"/>
      <c r="J75" s="57"/>
      <c r="K75" s="58"/>
      <c r="L75" s="59"/>
    </row>
    <row r="76" spans="1:23">
      <c r="A76" s="55">
        <v>18</v>
      </c>
      <c r="B76" s="56" t="s">
        <v>3873</v>
      </c>
      <c r="C76" s="57" t="s">
        <v>3873</v>
      </c>
      <c r="D76" s="57" t="s">
        <v>3873</v>
      </c>
      <c r="E76" s="57" t="s">
        <v>3925</v>
      </c>
      <c r="F76" s="57"/>
      <c r="G76" s="57"/>
      <c r="H76" s="57"/>
      <c r="I76" s="57"/>
      <c r="J76" s="57"/>
      <c r="K76" s="58"/>
      <c r="L76" s="59"/>
    </row>
    <row r="77" spans="1:23">
      <c r="A77" s="55">
        <v>19</v>
      </c>
      <c r="B77" s="56" t="s">
        <v>3874</v>
      </c>
      <c r="C77" s="57" t="s">
        <v>3874</v>
      </c>
      <c r="D77" s="57" t="s">
        <v>3874</v>
      </c>
      <c r="E77" s="57" t="s">
        <v>3925</v>
      </c>
      <c r="F77" s="57"/>
      <c r="G77" s="57"/>
      <c r="H77" s="57"/>
      <c r="I77" s="57"/>
      <c r="J77" s="57"/>
      <c r="K77" s="58"/>
      <c r="L77" s="59"/>
    </row>
    <row r="78" spans="1:23" ht="19.5" thickBot="1">
      <c r="A78" s="60">
        <v>20</v>
      </c>
      <c r="B78" s="61" t="s">
        <v>3875</v>
      </c>
      <c r="C78" s="62" t="s">
        <v>3875</v>
      </c>
      <c r="D78" s="62" t="s">
        <v>3875</v>
      </c>
      <c r="E78" s="62" t="s">
        <v>3925</v>
      </c>
      <c r="F78" s="62"/>
      <c r="G78" s="62"/>
      <c r="H78" s="62"/>
      <c r="I78" s="62"/>
      <c r="J78" s="62"/>
      <c r="K78" s="63"/>
      <c r="L78" s="64"/>
    </row>
    <row r="80" spans="1:23">
      <c r="A80"/>
      <c r="B80">
        <v>1</v>
      </c>
      <c r="C80">
        <v>2</v>
      </c>
      <c r="D80">
        <v>3</v>
      </c>
      <c r="E80">
        <v>4</v>
      </c>
      <c r="F80">
        <v>5</v>
      </c>
      <c r="G80">
        <v>6</v>
      </c>
      <c r="I80"/>
      <c r="J80" s="8" t="s">
        <v>1447</v>
      </c>
      <c r="K80" s="8" t="s">
        <v>3833</v>
      </c>
    </row>
    <row r="81" spans="1:14">
      <c r="A81"/>
      <c r="B81">
        <f t="shared" ref="B81:G81" si="14">COUNTA(B82:B101)</f>
        <v>17</v>
      </c>
      <c r="C81">
        <f t="shared" si="14"/>
        <v>17</v>
      </c>
      <c r="D81">
        <f t="shared" si="14"/>
        <v>17</v>
      </c>
      <c r="E81">
        <f t="shared" si="14"/>
        <v>17</v>
      </c>
      <c r="F81">
        <f t="shared" si="14"/>
        <v>17</v>
      </c>
      <c r="G81">
        <f t="shared" si="14"/>
        <v>0</v>
      </c>
      <c r="I81">
        <f>SUM(B81:F81)</f>
        <v>85</v>
      </c>
      <c r="J81">
        <f>COUNTA(B82:F95)</f>
        <v>65</v>
      </c>
      <c r="K81">
        <f>COUNTA(B97:F101)</f>
        <v>20</v>
      </c>
    </row>
    <row r="82" spans="1:14">
      <c r="A82">
        <v>1</v>
      </c>
      <c r="B82" t="s">
        <v>3871</v>
      </c>
      <c r="C82" t="s">
        <v>3871</v>
      </c>
      <c r="D82" t="s">
        <v>3871</v>
      </c>
      <c r="E82" t="s">
        <v>3871</v>
      </c>
      <c r="F82" t="s">
        <v>3871</v>
      </c>
      <c r="G82"/>
    </row>
    <row r="83" spans="1:14">
      <c r="A83">
        <v>2</v>
      </c>
      <c r="B83" t="s">
        <v>3872</v>
      </c>
      <c r="C83" t="s">
        <v>3872</v>
      </c>
      <c r="D83" t="s">
        <v>3872</v>
      </c>
      <c r="E83" t="s">
        <v>3872</v>
      </c>
      <c r="F83" t="s">
        <v>3872</v>
      </c>
      <c r="G83"/>
      <c r="N83" s="8">
        <f>90/6</f>
        <v>15</v>
      </c>
    </row>
    <row r="84" spans="1:14">
      <c r="A84">
        <v>3</v>
      </c>
      <c r="B84" t="s">
        <v>3873</v>
      </c>
      <c r="C84" t="s">
        <v>3873</v>
      </c>
      <c r="D84" t="s">
        <v>3873</v>
      </c>
      <c r="E84" t="s">
        <v>3873</v>
      </c>
      <c r="F84" t="s">
        <v>3873</v>
      </c>
      <c r="G84"/>
    </row>
    <row r="85" spans="1:14">
      <c r="A85">
        <v>4</v>
      </c>
      <c r="B85" t="s">
        <v>3874</v>
      </c>
      <c r="C85" t="s">
        <v>3874</v>
      </c>
      <c r="D85" t="s">
        <v>3874</v>
      </c>
      <c r="E85" t="s">
        <v>3874</v>
      </c>
      <c r="F85" t="s">
        <v>3874</v>
      </c>
      <c r="G85"/>
      <c r="K85" s="8">
        <v>7</v>
      </c>
    </row>
    <row r="86" spans="1:14">
      <c r="A86">
        <v>5</v>
      </c>
      <c r="B86" t="s">
        <v>3875</v>
      </c>
      <c r="C86" t="s">
        <v>3875</v>
      </c>
      <c r="D86" t="s">
        <v>3875</v>
      </c>
      <c r="E86" t="s">
        <v>3875</v>
      </c>
      <c r="F86" t="s">
        <v>3875</v>
      </c>
      <c r="G86"/>
      <c r="K86" s="8">
        <v>14</v>
      </c>
    </row>
    <row r="87" spans="1:14">
      <c r="A87">
        <v>6</v>
      </c>
      <c r="B87" t="s">
        <v>3871</v>
      </c>
      <c r="C87" t="s">
        <v>3872</v>
      </c>
      <c r="D87" t="s">
        <v>3873</v>
      </c>
      <c r="E87" t="s">
        <v>3874</v>
      </c>
      <c r="F87" t="s">
        <v>3875</v>
      </c>
      <c r="G87"/>
      <c r="K87" s="8">
        <v>2</v>
      </c>
    </row>
    <row r="88" spans="1:14">
      <c r="A88">
        <v>7</v>
      </c>
      <c r="B88" t="s">
        <v>3872</v>
      </c>
      <c r="C88" t="s">
        <v>3873</v>
      </c>
      <c r="D88" t="s">
        <v>3874</v>
      </c>
      <c r="E88" t="s">
        <v>3875</v>
      </c>
      <c r="F88" t="s">
        <v>3871</v>
      </c>
      <c r="K88" s="8">
        <v>16</v>
      </c>
    </row>
    <row r="89" spans="1:14">
      <c r="A89">
        <v>8</v>
      </c>
      <c r="B89" t="s">
        <v>3873</v>
      </c>
      <c r="C89" t="s">
        <v>3874</v>
      </c>
      <c r="D89" t="s">
        <v>3875</v>
      </c>
      <c r="E89" t="s">
        <v>3871</v>
      </c>
      <c r="F89" t="s">
        <v>3872</v>
      </c>
    </row>
    <row r="90" spans="1:14">
      <c r="A90">
        <v>9</v>
      </c>
      <c r="B90" t="s">
        <v>3874</v>
      </c>
      <c r="C90" t="s">
        <v>3875</v>
      </c>
      <c r="D90" t="s">
        <v>3871</v>
      </c>
      <c r="E90" t="s">
        <v>3872</v>
      </c>
      <c r="F90" t="s">
        <v>3873</v>
      </c>
    </row>
    <row r="91" spans="1:14">
      <c r="A91">
        <v>10</v>
      </c>
      <c r="B91" t="s">
        <v>3881</v>
      </c>
      <c r="C91" t="s">
        <v>3882</v>
      </c>
      <c r="D91" t="s">
        <v>3883</v>
      </c>
      <c r="E91" t="s">
        <v>3884</v>
      </c>
      <c r="F91" t="s">
        <v>3885</v>
      </c>
      <c r="G91"/>
    </row>
    <row r="92" spans="1:14">
      <c r="A92">
        <v>11</v>
      </c>
      <c r="B92" t="s">
        <v>3881</v>
      </c>
      <c r="C92" t="s">
        <v>3882</v>
      </c>
      <c r="D92" t="s">
        <v>3883</v>
      </c>
      <c r="E92" t="s">
        <v>3884</v>
      </c>
      <c r="F92" t="s">
        <v>3885</v>
      </c>
      <c r="G92"/>
    </row>
    <row r="93" spans="1:14">
      <c r="A93">
        <v>12</v>
      </c>
      <c r="B93"/>
      <c r="C93"/>
      <c r="D93"/>
      <c r="E93"/>
      <c r="F93"/>
      <c r="G93"/>
    </row>
    <row r="94" spans="1:14">
      <c r="A94">
        <v>13</v>
      </c>
      <c r="B94" t="s">
        <v>3754</v>
      </c>
      <c r="C94" t="s">
        <v>3754</v>
      </c>
      <c r="D94" t="s">
        <v>3754</v>
      </c>
      <c r="E94" t="s">
        <v>3754</v>
      </c>
      <c r="F94" t="s">
        <v>3896</v>
      </c>
      <c r="G94"/>
    </row>
    <row r="95" spans="1:14">
      <c r="A95">
        <v>14</v>
      </c>
      <c r="B95" t="s">
        <v>3925</v>
      </c>
      <c r="C95" t="s">
        <v>3925</v>
      </c>
      <c r="D95" t="s">
        <v>3925</v>
      </c>
      <c r="E95" t="s">
        <v>3925</v>
      </c>
      <c r="F95" t="s">
        <v>3925</v>
      </c>
      <c r="G95"/>
      <c r="I95"/>
    </row>
    <row r="96" spans="1:14">
      <c r="A96">
        <v>15</v>
      </c>
      <c r="G96"/>
      <c r="I96"/>
    </row>
    <row r="97" spans="1:14">
      <c r="A97" t="s">
        <v>3926</v>
      </c>
      <c r="B97" t="s">
        <v>3871</v>
      </c>
      <c r="C97" t="s">
        <v>3872</v>
      </c>
      <c r="D97" t="s">
        <v>3873</v>
      </c>
      <c r="E97" t="s">
        <v>3874</v>
      </c>
      <c r="F97" t="s">
        <v>3875</v>
      </c>
      <c r="G97"/>
      <c r="I97"/>
      <c r="J97" s="8" t="s">
        <v>3927</v>
      </c>
      <c r="K97" s="8" t="s">
        <v>3928</v>
      </c>
      <c r="L97" s="8" t="s">
        <v>3929</v>
      </c>
      <c r="M97" s="8" t="s">
        <v>3930</v>
      </c>
      <c r="N97" s="8" t="s">
        <v>3931</v>
      </c>
    </row>
    <row r="98" spans="1:14">
      <c r="A98" t="s">
        <v>3932</v>
      </c>
      <c r="B98" t="s">
        <v>3871</v>
      </c>
      <c r="C98" t="s">
        <v>3872</v>
      </c>
      <c r="D98" t="s">
        <v>3873</v>
      </c>
      <c r="E98" t="s">
        <v>3874</v>
      </c>
      <c r="F98" t="s">
        <v>3875</v>
      </c>
      <c r="G98"/>
      <c r="I98"/>
      <c r="J98" s="8" t="s">
        <v>3933</v>
      </c>
      <c r="K98" s="8" t="s">
        <v>3934</v>
      </c>
      <c r="L98" s="8" t="s">
        <v>3935</v>
      </c>
      <c r="M98" s="8" t="s">
        <v>3936</v>
      </c>
      <c r="N98" s="8" t="s">
        <v>3937</v>
      </c>
    </row>
    <row r="99" spans="1:14">
      <c r="A99" t="s">
        <v>3938</v>
      </c>
      <c r="B99" t="s">
        <v>3876</v>
      </c>
      <c r="C99" t="s">
        <v>3877</v>
      </c>
      <c r="D99" t="s">
        <v>3878</v>
      </c>
      <c r="E99" t="s">
        <v>3879</v>
      </c>
      <c r="F99" t="s">
        <v>3880</v>
      </c>
      <c r="G99"/>
      <c r="I99"/>
      <c r="J99" s="8" t="s">
        <v>3939</v>
      </c>
      <c r="K99" s="8" t="s">
        <v>3940</v>
      </c>
      <c r="L99" s="8" t="s">
        <v>3941</v>
      </c>
      <c r="M99" s="8" t="s">
        <v>3942</v>
      </c>
      <c r="N99" s="8" t="s">
        <v>3943</v>
      </c>
    </row>
    <row r="100" spans="1:14">
      <c r="A100" t="s">
        <v>3944</v>
      </c>
      <c r="B100" t="s">
        <v>3881</v>
      </c>
      <c r="C100" t="s">
        <v>3882</v>
      </c>
      <c r="D100" t="s">
        <v>3883</v>
      </c>
      <c r="E100" t="s">
        <v>3884</v>
      </c>
      <c r="F100" t="s">
        <v>3885</v>
      </c>
      <c r="G100"/>
      <c r="I100"/>
      <c r="J100" s="8" t="s">
        <v>3945</v>
      </c>
      <c r="N100"/>
    </row>
    <row r="101" spans="1:14">
      <c r="A101" t="s">
        <v>3946</v>
      </c>
      <c r="B101"/>
      <c r="C101"/>
      <c r="D101"/>
      <c r="E101"/>
      <c r="F101"/>
      <c r="G101"/>
      <c r="I101"/>
      <c r="N101"/>
    </row>
    <row r="102" spans="1:14">
      <c r="I102"/>
      <c r="N102"/>
    </row>
    <row r="103" spans="1:14">
      <c r="I103"/>
      <c r="N103"/>
    </row>
  </sheetData>
  <phoneticPr fontId="2"/>
  <pageMargins left="0.7" right="0.7" top="0.75" bottom="0.75" header="0.3" footer="0.3"/>
  <pageSetup paperSize="9"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18"/>
  <sheetViews>
    <sheetView zoomScale="85" zoomScaleNormal="85" workbookViewId="0">
      <pane ySplit="2" topLeftCell="A90" activePane="bottomLeft" state="frozen"/>
      <selection pane="bottomLeft" activeCell="C100" sqref="C100:R100"/>
    </sheetView>
  </sheetViews>
  <sheetFormatPr defaultRowHeight="18.75"/>
  <cols>
    <col min="19" max="19" width="4.875" customWidth="1"/>
    <col min="20" max="21" width="4.875" style="81" customWidth="1"/>
    <col min="22" max="25" width="4.875" customWidth="1"/>
  </cols>
  <sheetData>
    <row r="1" spans="1:25">
      <c r="S1">
        <v>1</v>
      </c>
      <c r="T1" s="81">
        <v>2</v>
      </c>
      <c r="U1" s="81">
        <v>3</v>
      </c>
      <c r="V1">
        <v>4</v>
      </c>
      <c r="W1">
        <v>5</v>
      </c>
      <c r="X1">
        <v>6</v>
      </c>
      <c r="Y1">
        <v>7</v>
      </c>
    </row>
    <row r="2" spans="1:25" ht="19.5" thickBot="1">
      <c r="B2" t="s">
        <v>3488</v>
      </c>
      <c r="C2" t="s">
        <v>3474</v>
      </c>
      <c r="D2" t="s">
        <v>3476</v>
      </c>
      <c r="E2" t="s">
        <v>3490</v>
      </c>
      <c r="F2" t="s">
        <v>3478</v>
      </c>
      <c r="G2" t="s">
        <v>3480</v>
      </c>
      <c r="H2" t="s">
        <v>3481</v>
      </c>
      <c r="I2" t="s">
        <v>3482</v>
      </c>
      <c r="J2" t="s">
        <v>3483</v>
      </c>
      <c r="P2" t="s">
        <v>3485</v>
      </c>
      <c r="Q2" t="s">
        <v>3487</v>
      </c>
      <c r="S2">
        <f t="shared" ref="S2:Y2" si="0">COUNTIF($E:$E,S1)</f>
        <v>12</v>
      </c>
      <c r="T2">
        <f t="shared" si="0"/>
        <v>18</v>
      </c>
      <c r="U2">
        <f t="shared" si="0"/>
        <v>18</v>
      </c>
      <c r="V2">
        <f t="shared" si="0"/>
        <v>16</v>
      </c>
      <c r="W2">
        <f t="shared" si="0"/>
        <v>8</v>
      </c>
      <c r="X2">
        <f t="shared" si="0"/>
        <v>3</v>
      </c>
      <c r="Y2">
        <f t="shared" si="0"/>
        <v>1</v>
      </c>
    </row>
    <row r="3" spans="1:25">
      <c r="A3" s="24" t="s">
        <v>3753</v>
      </c>
      <c r="B3" s="25" t="s">
        <v>1445</v>
      </c>
      <c r="C3" s="25" t="s">
        <v>348</v>
      </c>
      <c r="D3" s="25" t="s">
        <v>191</v>
      </c>
      <c r="E3" s="25">
        <v>1</v>
      </c>
      <c r="F3" s="25" t="s">
        <v>3322</v>
      </c>
      <c r="G3" s="25" t="s">
        <v>3320</v>
      </c>
      <c r="H3" s="25" t="s">
        <v>3286</v>
      </c>
      <c r="I3" s="25"/>
      <c r="J3" s="25" t="s">
        <v>3471</v>
      </c>
      <c r="K3" s="25" t="s">
        <v>59</v>
      </c>
      <c r="L3" s="25"/>
      <c r="M3" s="25"/>
      <c r="N3" s="25"/>
      <c r="O3" s="25"/>
      <c r="P3" s="25" t="s">
        <v>157</v>
      </c>
      <c r="Q3" s="26" t="s">
        <v>40</v>
      </c>
      <c r="R3" t="s">
        <v>4</v>
      </c>
      <c r="S3">
        <v>1</v>
      </c>
      <c r="T3" s="81">
        <v>2</v>
      </c>
      <c r="U3" s="81">
        <v>3</v>
      </c>
      <c r="V3">
        <v>4</v>
      </c>
      <c r="W3">
        <v>5</v>
      </c>
      <c r="X3">
        <v>6</v>
      </c>
      <c r="Y3">
        <v>7</v>
      </c>
    </row>
    <row r="4" spans="1:25">
      <c r="A4" s="27" t="s">
        <v>3491</v>
      </c>
      <c r="B4" s="28" t="s">
        <v>4189</v>
      </c>
      <c r="C4" s="28" t="s">
        <v>349</v>
      </c>
      <c r="D4" s="28" t="s">
        <v>191</v>
      </c>
      <c r="E4" s="28">
        <v>1</v>
      </c>
      <c r="F4" s="28" t="s">
        <v>3319</v>
      </c>
      <c r="G4" s="28" t="s">
        <v>3320</v>
      </c>
      <c r="H4" s="28" t="s">
        <v>3286</v>
      </c>
      <c r="I4" s="28"/>
      <c r="J4" s="28" t="s">
        <v>4185</v>
      </c>
      <c r="K4" s="28"/>
      <c r="L4" s="28"/>
      <c r="M4" s="28"/>
      <c r="N4" s="28"/>
      <c r="O4" s="28" t="s">
        <v>3473</v>
      </c>
      <c r="P4" s="28" t="s">
        <v>157</v>
      </c>
      <c r="Q4" s="29" t="s">
        <v>46</v>
      </c>
      <c r="R4" t="s">
        <v>4</v>
      </c>
      <c r="S4">
        <f t="shared" ref="S4:Y4" si="1">COUNTIF($E3:$E20,S3)</f>
        <v>2</v>
      </c>
      <c r="T4">
        <f t="shared" si="1"/>
        <v>3</v>
      </c>
      <c r="U4">
        <f t="shared" si="1"/>
        <v>2</v>
      </c>
      <c r="V4">
        <f t="shared" si="1"/>
        <v>2</v>
      </c>
      <c r="W4">
        <f t="shared" si="1"/>
        <v>2</v>
      </c>
      <c r="X4">
        <f t="shared" si="1"/>
        <v>1</v>
      </c>
      <c r="Y4">
        <f t="shared" si="1"/>
        <v>0</v>
      </c>
    </row>
    <row r="5" spans="1:25">
      <c r="A5" s="27" t="s">
        <v>3492</v>
      </c>
      <c r="B5" s="28" t="s">
        <v>4216</v>
      </c>
      <c r="C5" s="28" t="s">
        <v>401</v>
      </c>
      <c r="D5" s="28" t="s">
        <v>193</v>
      </c>
      <c r="E5" s="28">
        <v>2</v>
      </c>
      <c r="F5" s="28" t="s">
        <v>3319</v>
      </c>
      <c r="G5" s="28" t="s">
        <v>3320</v>
      </c>
      <c r="H5" s="28" t="s">
        <v>3286</v>
      </c>
      <c r="I5" s="28"/>
      <c r="J5" s="28" t="s">
        <v>23</v>
      </c>
      <c r="K5" s="28" t="s">
        <v>88</v>
      </c>
      <c r="L5" s="28"/>
      <c r="M5" s="28"/>
      <c r="N5" s="28" t="s">
        <v>153</v>
      </c>
      <c r="O5" s="28"/>
      <c r="P5" s="28" t="s">
        <v>154</v>
      </c>
      <c r="Q5" s="29"/>
    </row>
    <row r="6" spans="1:25">
      <c r="B6" s="28" t="s">
        <v>4216</v>
      </c>
      <c r="C6" s="28" t="s">
        <v>402</v>
      </c>
      <c r="D6" s="28" t="s">
        <v>3387</v>
      </c>
      <c r="E6" s="28">
        <v>2</v>
      </c>
      <c r="F6" s="28" t="s">
        <v>3391</v>
      </c>
      <c r="G6" s="28" t="s">
        <v>4186</v>
      </c>
      <c r="H6" s="28" t="s">
        <v>3286</v>
      </c>
      <c r="I6" s="28"/>
      <c r="J6" s="28" t="s">
        <v>89</v>
      </c>
      <c r="K6" s="28"/>
      <c r="L6" s="28"/>
      <c r="M6" s="28"/>
      <c r="N6" s="28" t="s">
        <v>153</v>
      </c>
      <c r="O6" s="28"/>
      <c r="P6" s="28" t="s">
        <v>162</v>
      </c>
      <c r="Q6" s="29" t="s">
        <v>44</v>
      </c>
      <c r="R6" t="s">
        <v>4</v>
      </c>
    </row>
    <row r="7" spans="1:25">
      <c r="A7" s="27" t="s">
        <v>3493</v>
      </c>
      <c r="B7" s="28" t="s">
        <v>4189</v>
      </c>
      <c r="C7" s="28" t="s">
        <v>419</v>
      </c>
      <c r="D7" s="28" t="s">
        <v>192</v>
      </c>
      <c r="E7" s="28">
        <v>2</v>
      </c>
      <c r="F7" s="28" t="s">
        <v>3319</v>
      </c>
      <c r="G7" s="28" t="s">
        <v>3320</v>
      </c>
      <c r="H7" s="28" t="s">
        <v>3289</v>
      </c>
      <c r="I7" s="28"/>
      <c r="J7" s="28" t="s">
        <v>98</v>
      </c>
      <c r="K7" s="28"/>
      <c r="L7" s="28"/>
      <c r="M7" s="28"/>
      <c r="N7" s="28"/>
      <c r="O7" s="28" t="s">
        <v>3473</v>
      </c>
      <c r="P7" s="28" t="s">
        <v>154</v>
      </c>
      <c r="Q7" s="29" t="s">
        <v>48</v>
      </c>
      <c r="R7" t="s">
        <v>4</v>
      </c>
    </row>
    <row r="8" spans="1:25">
      <c r="A8" s="27" t="s">
        <v>3494</v>
      </c>
      <c r="B8" s="28" t="s">
        <v>4213</v>
      </c>
      <c r="C8" s="28" t="s">
        <v>445</v>
      </c>
      <c r="D8" s="28" t="s">
        <v>209</v>
      </c>
      <c r="E8" s="28">
        <v>3</v>
      </c>
      <c r="F8" s="28" t="s">
        <v>3319</v>
      </c>
      <c r="G8" s="28" t="s">
        <v>3320</v>
      </c>
      <c r="H8" s="28" t="s">
        <v>3291</v>
      </c>
      <c r="I8" s="28"/>
      <c r="J8" s="28" t="s">
        <v>116</v>
      </c>
      <c r="K8" s="28"/>
      <c r="L8" s="28"/>
      <c r="M8" s="28"/>
      <c r="N8" s="28"/>
      <c r="O8" s="28" t="s">
        <v>3473</v>
      </c>
      <c r="P8" s="28" t="s">
        <v>165</v>
      </c>
      <c r="Q8" s="29" t="s">
        <v>39</v>
      </c>
      <c r="R8" t="s">
        <v>4</v>
      </c>
    </row>
    <row r="9" spans="1:25">
      <c r="A9" s="27" t="s">
        <v>3495</v>
      </c>
      <c r="B9" s="28" t="s">
        <v>4215</v>
      </c>
      <c r="C9" s="28" t="s">
        <v>455</v>
      </c>
      <c r="D9" s="28" t="s">
        <v>209</v>
      </c>
      <c r="E9" s="28">
        <v>3</v>
      </c>
      <c r="F9" s="28" t="s">
        <v>3319</v>
      </c>
      <c r="G9" s="28" t="s">
        <v>3320</v>
      </c>
      <c r="H9" s="28" t="s">
        <v>3286</v>
      </c>
      <c r="I9" s="28"/>
      <c r="J9" s="28" t="s">
        <v>51</v>
      </c>
      <c r="K9" s="28" t="s">
        <v>4187</v>
      </c>
      <c r="L9" s="28"/>
      <c r="M9" s="28"/>
      <c r="N9" s="28"/>
      <c r="O9" s="28"/>
      <c r="P9" s="28" t="s">
        <v>160</v>
      </c>
      <c r="Q9" s="29" t="s">
        <v>186</v>
      </c>
      <c r="R9" t="s">
        <v>4</v>
      </c>
    </row>
    <row r="10" spans="1:25">
      <c r="A10" s="27" t="s">
        <v>3496</v>
      </c>
      <c r="B10" s="28" t="s">
        <v>3846</v>
      </c>
      <c r="C10" s="28" t="s">
        <v>467</v>
      </c>
      <c r="D10" s="28" t="s">
        <v>190</v>
      </c>
      <c r="E10" s="28">
        <v>4</v>
      </c>
      <c r="F10" s="28" t="s">
        <v>3319</v>
      </c>
      <c r="G10" s="28" t="s">
        <v>3320</v>
      </c>
      <c r="H10" s="28" t="s">
        <v>3286</v>
      </c>
      <c r="I10" s="28"/>
      <c r="J10" s="28"/>
      <c r="K10" s="28"/>
      <c r="L10" s="28"/>
      <c r="M10" s="28"/>
      <c r="N10" s="28"/>
      <c r="O10" s="28"/>
      <c r="P10" s="28" t="s">
        <v>168</v>
      </c>
      <c r="Q10" s="29" t="s">
        <v>176</v>
      </c>
      <c r="R10" t="s">
        <v>4</v>
      </c>
    </row>
    <row r="11" spans="1:25">
      <c r="A11" s="27" t="s">
        <v>3497</v>
      </c>
      <c r="B11" s="28" t="s">
        <v>4189</v>
      </c>
      <c r="C11" s="28" t="s">
        <v>480</v>
      </c>
      <c r="D11" s="28" t="s">
        <v>190</v>
      </c>
      <c r="E11" s="28">
        <v>4</v>
      </c>
      <c r="F11" s="28" t="s">
        <v>3319</v>
      </c>
      <c r="G11" s="28" t="s">
        <v>3320</v>
      </c>
      <c r="H11" s="28" t="s">
        <v>3299</v>
      </c>
      <c r="I11" s="28"/>
      <c r="J11" s="28" t="s">
        <v>1</v>
      </c>
      <c r="K11" t="s">
        <v>3472</v>
      </c>
      <c r="L11" s="28"/>
      <c r="M11" s="28"/>
      <c r="N11" s="28"/>
      <c r="O11" s="28" t="s">
        <v>3473</v>
      </c>
      <c r="P11" s="28" t="s">
        <v>162</v>
      </c>
      <c r="Q11" s="29" t="s">
        <v>26</v>
      </c>
      <c r="R11" t="s">
        <v>4</v>
      </c>
    </row>
    <row r="12" spans="1:25">
      <c r="A12" s="27" t="s">
        <v>3498</v>
      </c>
      <c r="B12" s="28" t="s">
        <v>4212</v>
      </c>
      <c r="C12" s="28" t="s">
        <v>488</v>
      </c>
      <c r="D12" s="28" t="s">
        <v>216</v>
      </c>
      <c r="E12" s="28">
        <v>5</v>
      </c>
      <c r="F12" s="28" t="s">
        <v>3319</v>
      </c>
      <c r="G12" s="28" t="s">
        <v>3320</v>
      </c>
      <c r="H12" s="28" t="s">
        <v>3286</v>
      </c>
      <c r="I12" s="28"/>
      <c r="J12" s="28" t="s">
        <v>144</v>
      </c>
      <c r="K12" s="28"/>
      <c r="L12" s="28"/>
      <c r="M12" s="28"/>
      <c r="N12" s="28"/>
      <c r="O12" s="28" t="s">
        <v>3473</v>
      </c>
      <c r="P12" s="28" t="s">
        <v>171</v>
      </c>
      <c r="Q12" s="29" t="s">
        <v>48</v>
      </c>
      <c r="R12" t="s">
        <v>4</v>
      </c>
    </row>
    <row r="13" spans="1:25">
      <c r="A13" s="27" t="s">
        <v>3499</v>
      </c>
      <c r="B13" s="28" t="s">
        <v>4215</v>
      </c>
      <c r="C13" s="28" t="s">
        <v>493</v>
      </c>
      <c r="D13" s="28" t="s">
        <v>216</v>
      </c>
      <c r="E13" s="28">
        <v>5</v>
      </c>
      <c r="F13" s="28" t="s">
        <v>3319</v>
      </c>
      <c r="G13" s="28" t="s">
        <v>3320</v>
      </c>
      <c r="H13" s="28" t="s">
        <v>3290</v>
      </c>
      <c r="I13" s="28"/>
      <c r="J13" s="28" t="s">
        <v>19</v>
      </c>
      <c r="K13" s="28"/>
      <c r="L13" s="28"/>
      <c r="M13" s="28"/>
      <c r="N13" s="28"/>
      <c r="O13" s="28"/>
      <c r="P13" s="28" t="s">
        <v>171</v>
      </c>
      <c r="Q13" s="29" t="s">
        <v>39</v>
      </c>
      <c r="R13" t="s">
        <v>4</v>
      </c>
    </row>
    <row r="14" spans="1:25">
      <c r="A14" s="27" t="s">
        <v>3500</v>
      </c>
      <c r="B14" s="28" t="s">
        <v>4215</v>
      </c>
      <c r="C14" s="28" t="s">
        <v>494</v>
      </c>
      <c r="D14" s="28" t="s">
        <v>217</v>
      </c>
      <c r="E14" s="28">
        <v>6</v>
      </c>
      <c r="F14" s="28" t="s">
        <v>3319</v>
      </c>
      <c r="G14" s="28" t="s">
        <v>3320</v>
      </c>
      <c r="H14" s="28" t="s">
        <v>3286</v>
      </c>
      <c r="I14" s="28"/>
      <c r="J14" s="28" t="s">
        <v>4188</v>
      </c>
      <c r="K14" s="28" t="s">
        <v>1</v>
      </c>
      <c r="L14" s="28"/>
      <c r="M14" s="28"/>
      <c r="N14" s="28"/>
      <c r="O14" s="28"/>
      <c r="P14" s="28" t="s">
        <v>170</v>
      </c>
      <c r="Q14" s="29" t="s">
        <v>8</v>
      </c>
      <c r="R14" t="s">
        <v>4</v>
      </c>
    </row>
    <row r="15" spans="1:25">
      <c r="A15" s="27" t="s">
        <v>3501</v>
      </c>
      <c r="B15" s="28" t="s">
        <v>1445</v>
      </c>
      <c r="C15" s="28"/>
      <c r="D15" s="28"/>
      <c r="E15" s="49"/>
      <c r="F15" s="28"/>
      <c r="H15" s="28"/>
      <c r="I15" s="28"/>
      <c r="J15" s="28"/>
      <c r="K15" s="28"/>
      <c r="L15" s="28"/>
      <c r="M15" s="28"/>
      <c r="N15" s="28"/>
      <c r="O15" s="28"/>
      <c r="P15" s="28"/>
      <c r="Q15" s="29"/>
    </row>
    <row r="16" spans="1:25">
      <c r="A16" s="27" t="s">
        <v>3502</v>
      </c>
      <c r="B16" t="s">
        <v>4214</v>
      </c>
      <c r="C16" s="28" t="s">
        <v>4222</v>
      </c>
      <c r="D16" s="28" t="s">
        <v>191</v>
      </c>
      <c r="E16" s="28"/>
      <c r="F16" s="28" t="s">
        <v>3739</v>
      </c>
      <c r="G16" s="28"/>
      <c r="H16" s="28"/>
      <c r="I16" s="28"/>
      <c r="J16" s="28" t="s">
        <v>4223</v>
      </c>
      <c r="K16" s="28"/>
      <c r="L16" s="28"/>
      <c r="M16" s="28"/>
      <c r="N16" s="28"/>
      <c r="O16" s="28"/>
      <c r="P16" s="28"/>
      <c r="Q16" s="29" t="s">
        <v>4224</v>
      </c>
      <c r="R16" t="s">
        <v>4</v>
      </c>
    </row>
    <row r="17" spans="1:25">
      <c r="A17" s="27" t="s">
        <v>3503</v>
      </c>
      <c r="B17" t="s">
        <v>4214</v>
      </c>
      <c r="C17" s="28"/>
      <c r="D17" s="28"/>
      <c r="E17" s="28"/>
      <c r="F17" s="28"/>
      <c r="G17" s="28"/>
      <c r="H17" s="28"/>
      <c r="I17" s="28"/>
      <c r="J17" s="28"/>
      <c r="K17" s="28"/>
      <c r="L17" s="28"/>
      <c r="M17" s="28"/>
      <c r="N17" s="28"/>
      <c r="O17" s="28"/>
      <c r="P17" s="28"/>
      <c r="Q17" s="29"/>
    </row>
    <row r="18" spans="1:25">
      <c r="A18" s="27" t="s">
        <v>3504</v>
      </c>
      <c r="B18" t="s">
        <v>4218</v>
      </c>
      <c r="C18" s="28"/>
      <c r="D18" s="28"/>
      <c r="E18" s="28"/>
      <c r="F18" s="28"/>
      <c r="G18" s="28"/>
      <c r="H18" s="28"/>
      <c r="I18" s="28"/>
      <c r="J18" s="28"/>
      <c r="K18" s="28"/>
      <c r="L18" s="28"/>
      <c r="M18" s="28"/>
      <c r="N18" s="28"/>
      <c r="O18" s="28"/>
      <c r="P18" s="28"/>
      <c r="Q18" s="29"/>
    </row>
    <row r="19" spans="1:25">
      <c r="A19" s="27" t="s">
        <v>3505</v>
      </c>
      <c r="B19" t="s">
        <v>4239</v>
      </c>
      <c r="C19" s="28"/>
      <c r="D19" s="28"/>
      <c r="E19" s="28"/>
      <c r="F19" s="28"/>
      <c r="G19" s="28"/>
      <c r="H19" s="28"/>
      <c r="I19" s="28"/>
      <c r="J19" s="28"/>
      <c r="K19" s="28"/>
      <c r="L19" s="28"/>
      <c r="M19" s="28"/>
      <c r="N19" s="28"/>
      <c r="O19" s="28"/>
      <c r="P19" s="28"/>
      <c r="Q19" s="29"/>
    </row>
    <row r="20" spans="1:25" ht="19.5" thickBot="1">
      <c r="A20" s="27" t="s">
        <v>3506</v>
      </c>
      <c r="B20" t="s">
        <v>4239</v>
      </c>
      <c r="C20" s="28"/>
      <c r="D20" s="28"/>
      <c r="E20" s="28"/>
      <c r="F20" s="28"/>
      <c r="G20" s="28"/>
      <c r="H20" s="28"/>
      <c r="I20" s="28"/>
      <c r="J20" s="28"/>
      <c r="K20" s="28"/>
      <c r="L20" s="28"/>
      <c r="M20" s="28"/>
      <c r="N20" s="28"/>
      <c r="O20" s="28"/>
      <c r="P20" s="28"/>
      <c r="Q20" s="29"/>
    </row>
    <row r="21" spans="1:25">
      <c r="A21" s="24" t="s">
        <v>3507</v>
      </c>
      <c r="B21" s="25" t="s">
        <v>4216</v>
      </c>
      <c r="C21" s="25" t="s">
        <v>2383</v>
      </c>
      <c r="D21" s="25" t="s">
        <v>864</v>
      </c>
      <c r="E21" s="25">
        <v>1</v>
      </c>
      <c r="F21" s="25" t="s">
        <v>3319</v>
      </c>
      <c r="G21" s="25" t="s">
        <v>3320</v>
      </c>
      <c r="H21" s="25" t="s">
        <v>3287</v>
      </c>
      <c r="I21" s="25"/>
      <c r="J21" s="25" t="s">
        <v>805</v>
      </c>
      <c r="K21" s="25"/>
      <c r="L21" s="25"/>
      <c r="M21" s="25"/>
      <c r="N21" s="25" t="s">
        <v>153</v>
      </c>
      <c r="O21" s="25" t="s">
        <v>3805</v>
      </c>
      <c r="P21" s="25" t="s">
        <v>156</v>
      </c>
      <c r="Q21" s="26"/>
      <c r="S21">
        <v>1</v>
      </c>
      <c r="T21" s="81">
        <v>2</v>
      </c>
      <c r="U21" s="81">
        <v>3</v>
      </c>
      <c r="V21">
        <v>4</v>
      </c>
      <c r="W21">
        <v>5</v>
      </c>
      <c r="X21">
        <v>6</v>
      </c>
      <c r="Y21">
        <v>7</v>
      </c>
    </row>
    <row r="22" spans="1:25">
      <c r="A22" s="27"/>
      <c r="B22" s="28" t="s">
        <v>4216</v>
      </c>
      <c r="C22" s="28" t="s">
        <v>2384</v>
      </c>
      <c r="D22" s="28" t="s">
        <v>3731</v>
      </c>
      <c r="E22" s="28"/>
      <c r="F22" s="28" t="s">
        <v>3319</v>
      </c>
      <c r="G22" s="28" t="s">
        <v>3320</v>
      </c>
      <c r="H22" s="28" t="s">
        <v>3310</v>
      </c>
      <c r="I22" s="28"/>
      <c r="J22" s="28" t="s">
        <v>1</v>
      </c>
      <c r="K22" s="28"/>
      <c r="L22" s="28"/>
      <c r="M22" s="28"/>
      <c r="N22" s="28" t="s">
        <v>153</v>
      </c>
      <c r="O22" s="28" t="s">
        <v>3805</v>
      </c>
      <c r="P22" s="28" t="s">
        <v>165</v>
      </c>
      <c r="Q22" s="29" t="s">
        <v>45</v>
      </c>
      <c r="R22" t="s">
        <v>4</v>
      </c>
      <c r="S22">
        <f t="shared" ref="S22:Y22" si="2">COUNTIF($E21:$E38,S21)</f>
        <v>2</v>
      </c>
      <c r="T22">
        <f t="shared" si="2"/>
        <v>4</v>
      </c>
      <c r="U22">
        <f t="shared" si="2"/>
        <v>3</v>
      </c>
      <c r="V22">
        <f t="shared" si="2"/>
        <v>2</v>
      </c>
      <c r="W22">
        <f t="shared" si="2"/>
        <v>2</v>
      </c>
      <c r="X22">
        <f t="shared" si="2"/>
        <v>0</v>
      </c>
      <c r="Y22">
        <f t="shared" si="2"/>
        <v>0</v>
      </c>
    </row>
    <row r="23" spans="1:25">
      <c r="A23" s="27" t="s">
        <v>3508</v>
      </c>
      <c r="B23" s="28" t="s">
        <v>3846</v>
      </c>
      <c r="C23" s="28" t="s">
        <v>2397</v>
      </c>
      <c r="D23" s="28" t="s">
        <v>865</v>
      </c>
      <c r="E23" s="28">
        <v>2</v>
      </c>
      <c r="F23" s="28" t="s">
        <v>3319</v>
      </c>
      <c r="G23" s="28" t="s">
        <v>3320</v>
      </c>
      <c r="H23" s="28" t="s">
        <v>3287</v>
      </c>
      <c r="I23" s="28"/>
      <c r="J23" s="28"/>
      <c r="K23" s="28"/>
      <c r="L23" s="28"/>
      <c r="M23" s="28"/>
      <c r="N23" s="28"/>
      <c r="O23" s="28" t="s">
        <v>3805</v>
      </c>
      <c r="P23" s="28" t="s">
        <v>161</v>
      </c>
      <c r="Q23" s="29" t="s">
        <v>174</v>
      </c>
      <c r="R23" t="s">
        <v>4</v>
      </c>
    </row>
    <row r="24" spans="1:25">
      <c r="A24" s="27" t="s">
        <v>3509</v>
      </c>
      <c r="B24" s="49" t="s">
        <v>1445</v>
      </c>
      <c r="C24" s="28" t="s">
        <v>2404</v>
      </c>
      <c r="D24" s="28" t="s">
        <v>865</v>
      </c>
      <c r="E24" s="28">
        <v>2</v>
      </c>
      <c r="F24" s="28" t="s">
        <v>3319</v>
      </c>
      <c r="G24" s="28" t="s">
        <v>3320</v>
      </c>
      <c r="H24" s="28" t="s">
        <v>3306</v>
      </c>
      <c r="I24" s="28"/>
      <c r="J24" s="28" t="s">
        <v>819</v>
      </c>
      <c r="K24" s="28"/>
      <c r="L24" s="28"/>
      <c r="M24" s="28"/>
      <c r="N24" s="28"/>
      <c r="O24" s="28" t="s">
        <v>3805</v>
      </c>
      <c r="P24" s="28" t="s">
        <v>162</v>
      </c>
      <c r="Q24" s="29" t="s">
        <v>36</v>
      </c>
      <c r="R24" t="s">
        <v>4</v>
      </c>
    </row>
    <row r="25" spans="1:25">
      <c r="A25" s="27" t="s">
        <v>3510</v>
      </c>
      <c r="B25" s="49" t="s">
        <v>4189</v>
      </c>
      <c r="C25" s="28" t="s">
        <v>2409</v>
      </c>
      <c r="D25" s="28" t="s">
        <v>865</v>
      </c>
      <c r="E25" s="28">
        <v>2</v>
      </c>
      <c r="F25" s="28" t="s">
        <v>3319</v>
      </c>
      <c r="G25" s="28" t="s">
        <v>3320</v>
      </c>
      <c r="H25" s="28" t="s">
        <v>3287</v>
      </c>
      <c r="I25" s="28"/>
      <c r="J25" s="28" t="s">
        <v>3799</v>
      </c>
      <c r="K25" s="28"/>
      <c r="L25" s="28"/>
      <c r="M25" s="28"/>
      <c r="N25" s="28"/>
      <c r="O25" s="28" t="s">
        <v>3473</v>
      </c>
      <c r="P25" s="28" t="s">
        <v>161</v>
      </c>
      <c r="Q25" s="29" t="s">
        <v>14</v>
      </c>
      <c r="R25" t="s">
        <v>4</v>
      </c>
    </row>
    <row r="26" spans="1:25">
      <c r="A26" s="27" t="s">
        <v>3511</v>
      </c>
      <c r="B26" s="49" t="s">
        <v>4189</v>
      </c>
      <c r="C26" s="28" t="s">
        <v>2418</v>
      </c>
      <c r="D26" s="28" t="s">
        <v>866</v>
      </c>
      <c r="E26" s="28">
        <v>3</v>
      </c>
      <c r="F26" s="28" t="s">
        <v>3319</v>
      </c>
      <c r="G26" s="28" t="s">
        <v>3320</v>
      </c>
      <c r="H26" s="28" t="s">
        <v>3287</v>
      </c>
      <c r="I26" s="28"/>
      <c r="J26" s="28" t="s">
        <v>832</v>
      </c>
      <c r="K26" s="28"/>
      <c r="L26" s="28"/>
      <c r="M26" s="28"/>
      <c r="N26" s="28"/>
      <c r="O26" s="28" t="s">
        <v>3473</v>
      </c>
      <c r="P26" s="28" t="s">
        <v>156</v>
      </c>
      <c r="Q26" s="29" t="s">
        <v>187</v>
      </c>
      <c r="R26" t="s">
        <v>4</v>
      </c>
    </row>
    <row r="27" spans="1:25">
      <c r="A27" s="27" t="s">
        <v>3512</v>
      </c>
      <c r="B27" s="49" t="s">
        <v>1445</v>
      </c>
      <c r="C27" s="28" t="s">
        <v>2425</v>
      </c>
      <c r="D27" s="28" t="s">
        <v>866</v>
      </c>
      <c r="E27" s="28">
        <v>3</v>
      </c>
      <c r="F27" s="28" t="s">
        <v>3319</v>
      </c>
      <c r="G27" s="28" t="s">
        <v>3320</v>
      </c>
      <c r="H27" s="28" t="s">
        <v>3307</v>
      </c>
      <c r="I27" s="28"/>
      <c r="J27" s="28" t="s">
        <v>837</v>
      </c>
      <c r="K27" s="28"/>
      <c r="L27" s="28"/>
      <c r="M27" s="28"/>
      <c r="N27" s="28"/>
      <c r="O27" s="28" t="s">
        <v>3805</v>
      </c>
      <c r="P27" s="28" t="s">
        <v>154</v>
      </c>
      <c r="Q27" s="29" t="s">
        <v>6</v>
      </c>
      <c r="R27" t="s">
        <v>4</v>
      </c>
    </row>
    <row r="28" spans="1:25">
      <c r="A28" s="27" t="s">
        <v>3513</v>
      </c>
      <c r="B28" s="49" t="s">
        <v>4212</v>
      </c>
      <c r="C28" s="28" t="s">
        <v>2438</v>
      </c>
      <c r="D28" s="28" t="s">
        <v>868</v>
      </c>
      <c r="E28" s="28">
        <v>4</v>
      </c>
      <c r="F28" s="28" t="s">
        <v>3319</v>
      </c>
      <c r="G28" s="28" t="s">
        <v>3320</v>
      </c>
      <c r="H28" s="28" t="s">
        <v>3307</v>
      </c>
      <c r="I28" s="28"/>
      <c r="J28" s="28" t="s">
        <v>850</v>
      </c>
      <c r="K28" s="28" t="s">
        <v>851</v>
      </c>
      <c r="L28" s="28"/>
      <c r="M28" s="28"/>
      <c r="N28" s="28"/>
      <c r="O28" s="28" t="s">
        <v>3473</v>
      </c>
      <c r="P28" s="28" t="s">
        <v>165</v>
      </c>
      <c r="Q28" s="29" t="s">
        <v>5</v>
      </c>
      <c r="R28" t="s">
        <v>4</v>
      </c>
    </row>
    <row r="29" spans="1:25">
      <c r="A29" s="27" t="s">
        <v>3514</v>
      </c>
      <c r="B29" s="49" t="s">
        <v>3389</v>
      </c>
      <c r="C29" s="28" t="s">
        <v>2441</v>
      </c>
      <c r="D29" s="28" t="s">
        <v>868</v>
      </c>
      <c r="E29" s="28">
        <v>4</v>
      </c>
      <c r="F29" s="28" t="s">
        <v>3319</v>
      </c>
      <c r="G29" s="28" t="s">
        <v>3320</v>
      </c>
      <c r="H29" s="28" t="s">
        <v>3290</v>
      </c>
      <c r="I29" s="28"/>
      <c r="J29" s="28" t="s">
        <v>13</v>
      </c>
      <c r="K29" s="28"/>
      <c r="L29" s="28"/>
      <c r="M29" s="28"/>
      <c r="N29" s="28"/>
      <c r="O29" s="28" t="s">
        <v>3805</v>
      </c>
      <c r="P29" s="28" t="s">
        <v>154</v>
      </c>
      <c r="Q29" s="29" t="s">
        <v>15</v>
      </c>
      <c r="R29" t="s">
        <v>4</v>
      </c>
    </row>
    <row r="30" spans="1:25">
      <c r="A30" s="27" t="s">
        <v>3515</v>
      </c>
      <c r="B30" s="49" t="s">
        <v>4189</v>
      </c>
      <c r="C30" s="28" t="s">
        <v>2450</v>
      </c>
      <c r="D30" s="28" t="s">
        <v>870</v>
      </c>
      <c r="E30" s="28">
        <v>5</v>
      </c>
      <c r="F30" s="28" t="s">
        <v>3319</v>
      </c>
      <c r="G30" s="28" t="s">
        <v>3320</v>
      </c>
      <c r="H30" s="28" t="s">
        <v>3290</v>
      </c>
      <c r="I30" s="28"/>
      <c r="J30" s="28" t="s">
        <v>1</v>
      </c>
      <c r="K30" s="28" t="s">
        <v>859</v>
      </c>
      <c r="L30" s="28"/>
      <c r="M30" s="28"/>
      <c r="N30" s="28"/>
      <c r="O30" s="28" t="s">
        <v>3473</v>
      </c>
      <c r="P30" s="28" t="s">
        <v>165</v>
      </c>
      <c r="Q30" s="29" t="s">
        <v>52</v>
      </c>
      <c r="R30" t="s">
        <v>4</v>
      </c>
    </row>
    <row r="31" spans="1:25">
      <c r="A31" s="27" t="s">
        <v>3516</v>
      </c>
      <c r="B31" s="49" t="s">
        <v>1445</v>
      </c>
      <c r="C31" s="28" t="s">
        <v>2453</v>
      </c>
      <c r="D31" s="28" t="s">
        <v>871</v>
      </c>
      <c r="E31" s="28">
        <v>5</v>
      </c>
      <c r="F31" s="28" t="s">
        <v>3319</v>
      </c>
      <c r="G31" s="28" t="s">
        <v>3320</v>
      </c>
      <c r="H31" s="28" t="s">
        <v>3287</v>
      </c>
      <c r="I31" s="28"/>
      <c r="J31" s="28" t="s">
        <v>1</v>
      </c>
      <c r="K31" s="28" t="s">
        <v>862</v>
      </c>
      <c r="L31" s="28"/>
      <c r="M31" s="28"/>
      <c r="N31" s="28"/>
      <c r="O31" s="28" t="s">
        <v>3805</v>
      </c>
      <c r="P31" s="28" t="s">
        <v>154</v>
      </c>
      <c r="Q31" s="29" t="s">
        <v>40</v>
      </c>
      <c r="R31" t="s">
        <v>4</v>
      </c>
    </row>
    <row r="32" spans="1:25">
      <c r="A32" s="27" t="s">
        <v>3517</v>
      </c>
      <c r="B32" s="49" t="s">
        <v>4241</v>
      </c>
      <c r="C32" s="28" t="s">
        <v>4251</v>
      </c>
      <c r="D32" s="28" t="s">
        <v>4252</v>
      </c>
      <c r="E32" s="28">
        <v>1</v>
      </c>
      <c r="F32" s="28" t="s">
        <v>3739</v>
      </c>
      <c r="G32" s="28"/>
      <c r="H32" s="28"/>
      <c r="I32" s="28"/>
      <c r="J32" s="28" t="s">
        <v>4253</v>
      </c>
      <c r="K32" s="28"/>
      <c r="L32" s="28"/>
      <c r="M32" s="28"/>
      <c r="N32" s="28"/>
      <c r="O32" s="28"/>
      <c r="P32" s="28"/>
      <c r="Q32" s="29"/>
    </row>
    <row r="33" spans="1:25">
      <c r="A33" s="27" t="s">
        <v>3518</v>
      </c>
      <c r="B33" s="49" t="s">
        <v>4241</v>
      </c>
      <c r="C33" s="28" t="s">
        <v>4245</v>
      </c>
      <c r="D33" s="28" t="s">
        <v>4246</v>
      </c>
      <c r="E33" s="49">
        <v>2</v>
      </c>
      <c r="F33" s="28" t="s">
        <v>3739</v>
      </c>
      <c r="G33" s="28"/>
      <c r="H33" s="28"/>
      <c r="I33" s="28"/>
      <c r="J33" s="28" t="s">
        <v>4247</v>
      </c>
      <c r="K33" s="28"/>
      <c r="L33" s="28"/>
      <c r="M33" s="28"/>
      <c r="N33" s="28"/>
      <c r="O33" s="28"/>
      <c r="P33" s="28"/>
      <c r="Q33" s="29"/>
    </row>
    <row r="34" spans="1:25">
      <c r="A34" s="27" t="s">
        <v>3519</v>
      </c>
      <c r="B34" s="49" t="s">
        <v>4241</v>
      </c>
      <c r="C34" s="28" t="s">
        <v>4248</v>
      </c>
      <c r="D34" s="28" t="s">
        <v>4249</v>
      </c>
      <c r="E34" s="49">
        <v>3</v>
      </c>
      <c r="F34" s="28" t="s">
        <v>3739</v>
      </c>
      <c r="G34" s="28"/>
      <c r="H34" s="28"/>
      <c r="I34" s="28"/>
      <c r="J34" s="28" t="s">
        <v>4250</v>
      </c>
      <c r="K34" s="28"/>
      <c r="L34" s="28"/>
      <c r="M34" s="28"/>
      <c r="N34" s="28"/>
      <c r="O34" s="28"/>
      <c r="P34" s="28"/>
      <c r="Q34" s="29"/>
    </row>
    <row r="35" spans="1:25">
      <c r="A35" s="27" t="s">
        <v>3520</v>
      </c>
      <c r="B35" s="49" t="s">
        <v>4241</v>
      </c>
      <c r="C35" s="28"/>
      <c r="D35" s="28"/>
      <c r="E35" s="49"/>
      <c r="F35" s="28"/>
      <c r="G35" s="28"/>
      <c r="H35" s="28"/>
      <c r="I35" s="28"/>
      <c r="J35" s="28"/>
      <c r="K35" s="28"/>
      <c r="L35" s="28"/>
      <c r="M35" s="28"/>
      <c r="N35" s="28"/>
      <c r="O35" s="28"/>
      <c r="P35" s="28"/>
      <c r="Q35" s="29"/>
    </row>
    <row r="36" spans="1:25">
      <c r="A36" s="27" t="s">
        <v>3521</v>
      </c>
      <c r="B36" s="49" t="s">
        <v>4239</v>
      </c>
      <c r="C36" s="28"/>
      <c r="D36" s="28"/>
      <c r="E36" s="28"/>
      <c r="F36" s="28"/>
      <c r="G36" s="28"/>
      <c r="H36" s="28"/>
      <c r="I36" s="28"/>
      <c r="J36" s="28"/>
      <c r="K36" s="28"/>
      <c r="L36" s="28"/>
      <c r="M36" s="28"/>
      <c r="N36" s="28"/>
      <c r="O36" s="28"/>
      <c r="P36" s="28"/>
      <c r="Q36" s="29"/>
    </row>
    <row r="37" spans="1:25">
      <c r="A37" s="27" t="s">
        <v>3522</v>
      </c>
      <c r="B37" s="49" t="s">
        <v>4239</v>
      </c>
      <c r="C37" s="28" t="s">
        <v>4254</v>
      </c>
      <c r="D37" s="28" t="s">
        <v>4255</v>
      </c>
      <c r="E37" s="28"/>
      <c r="F37" s="28"/>
      <c r="G37" s="28"/>
      <c r="H37" s="28"/>
      <c r="I37" s="28"/>
      <c r="J37" s="28" t="s">
        <v>4253</v>
      </c>
      <c r="K37" s="28" t="s">
        <v>4256</v>
      </c>
      <c r="L37" s="28"/>
      <c r="M37" s="28"/>
      <c r="N37" s="28"/>
      <c r="O37" s="28"/>
      <c r="P37" s="28"/>
      <c r="Q37" s="29" t="s">
        <v>4257</v>
      </c>
    </row>
    <row r="38" spans="1:25" ht="19.5" thickBot="1">
      <c r="A38" s="27" t="s">
        <v>3523</v>
      </c>
      <c r="B38" s="49" t="s">
        <v>4219</v>
      </c>
      <c r="C38" s="28"/>
      <c r="D38" s="28"/>
      <c r="E38" s="28"/>
      <c r="F38" s="28"/>
      <c r="G38" s="28"/>
      <c r="H38" s="28"/>
      <c r="I38" s="28"/>
      <c r="J38" s="28"/>
      <c r="K38" s="28"/>
      <c r="L38" s="28"/>
      <c r="M38" s="28"/>
      <c r="N38" s="28"/>
      <c r="O38" s="28"/>
      <c r="P38" s="28"/>
      <c r="Q38" s="29"/>
    </row>
    <row r="39" spans="1:25">
      <c r="A39" s="24" t="s">
        <v>3524</v>
      </c>
      <c r="B39" s="25" t="s">
        <v>4212</v>
      </c>
      <c r="C39" s="25" t="s">
        <v>2577</v>
      </c>
      <c r="D39" s="25" t="s">
        <v>1127</v>
      </c>
      <c r="E39" s="25">
        <v>1</v>
      </c>
      <c r="F39" s="25" t="s">
        <v>3319</v>
      </c>
      <c r="G39" s="25" t="s">
        <v>3320</v>
      </c>
      <c r="H39" s="25" t="s">
        <v>3307</v>
      </c>
      <c r="I39" s="25"/>
      <c r="J39" s="25" t="s">
        <v>3813</v>
      </c>
      <c r="K39" s="25"/>
      <c r="L39" s="25"/>
      <c r="M39" s="25"/>
      <c r="N39" s="25"/>
      <c r="O39" s="25" t="s">
        <v>3473</v>
      </c>
      <c r="P39" s="25" t="s">
        <v>156</v>
      </c>
      <c r="Q39" s="26" t="s">
        <v>35</v>
      </c>
      <c r="R39" t="s">
        <v>4</v>
      </c>
      <c r="S39">
        <v>1</v>
      </c>
      <c r="T39" s="81">
        <v>2</v>
      </c>
      <c r="U39" s="81">
        <v>3</v>
      </c>
      <c r="V39">
        <v>4</v>
      </c>
      <c r="W39">
        <v>5</v>
      </c>
      <c r="X39">
        <v>6</v>
      </c>
      <c r="Y39">
        <v>7</v>
      </c>
    </row>
    <row r="40" spans="1:25">
      <c r="A40" s="27" t="s">
        <v>3525</v>
      </c>
      <c r="B40" s="28" t="s">
        <v>1445</v>
      </c>
      <c r="C40" s="28" t="s">
        <v>2580</v>
      </c>
      <c r="D40" s="28" t="s">
        <v>1127</v>
      </c>
      <c r="E40" s="28">
        <v>1</v>
      </c>
      <c r="F40" s="28" t="s">
        <v>3319</v>
      </c>
      <c r="G40" s="28" t="s">
        <v>3320</v>
      </c>
      <c r="H40" s="28" t="s">
        <v>3311</v>
      </c>
      <c r="I40" s="28"/>
      <c r="J40" s="28" t="s">
        <v>1069</v>
      </c>
      <c r="K40" s="28"/>
      <c r="L40" s="28"/>
      <c r="M40" s="28"/>
      <c r="N40" s="28"/>
      <c r="O40" s="28" t="s">
        <v>3805</v>
      </c>
      <c r="P40" s="28" t="s">
        <v>156</v>
      </c>
      <c r="Q40" s="29" t="s">
        <v>15</v>
      </c>
      <c r="R40" t="s">
        <v>4</v>
      </c>
      <c r="S40">
        <f t="shared" ref="S40:Y40" si="3">COUNTIF($E39:$E55,S39)</f>
        <v>2</v>
      </c>
      <c r="T40">
        <f t="shared" si="3"/>
        <v>3</v>
      </c>
      <c r="U40">
        <f t="shared" si="3"/>
        <v>3</v>
      </c>
      <c r="V40">
        <f t="shared" si="3"/>
        <v>4</v>
      </c>
      <c r="W40">
        <f t="shared" si="3"/>
        <v>0</v>
      </c>
      <c r="X40">
        <f t="shared" si="3"/>
        <v>0</v>
      </c>
      <c r="Y40">
        <f t="shared" si="3"/>
        <v>0</v>
      </c>
    </row>
    <row r="41" spans="1:25">
      <c r="A41" s="27" t="s">
        <v>3526</v>
      </c>
      <c r="B41" s="28" t="s">
        <v>4213</v>
      </c>
      <c r="C41" s="28" t="s">
        <v>2594</v>
      </c>
      <c r="D41" s="28" t="s">
        <v>1128</v>
      </c>
      <c r="E41" s="28">
        <v>2</v>
      </c>
      <c r="F41" s="28" t="s">
        <v>3319</v>
      </c>
      <c r="G41" s="28" t="s">
        <v>3320</v>
      </c>
      <c r="H41" s="28" t="s">
        <v>3287</v>
      </c>
      <c r="I41" s="28"/>
      <c r="J41" s="28" t="s">
        <v>1080</v>
      </c>
      <c r="K41" s="28"/>
      <c r="L41" s="28"/>
      <c r="M41" s="28"/>
      <c r="N41" s="28"/>
      <c r="O41" s="28" t="s">
        <v>3473</v>
      </c>
      <c r="P41" s="28" t="s">
        <v>162</v>
      </c>
      <c r="Q41" s="29" t="s">
        <v>31</v>
      </c>
      <c r="R41" t="s">
        <v>4</v>
      </c>
    </row>
    <row r="42" spans="1:25">
      <c r="A42" s="27" t="s">
        <v>3527</v>
      </c>
      <c r="B42" s="49" t="s">
        <v>4240</v>
      </c>
      <c r="C42" s="28" t="s">
        <v>2595</v>
      </c>
      <c r="D42" s="28" t="s">
        <v>1128</v>
      </c>
      <c r="E42" s="28">
        <v>2</v>
      </c>
      <c r="F42" s="28" t="s">
        <v>3319</v>
      </c>
      <c r="G42" s="28" t="s">
        <v>3320</v>
      </c>
      <c r="H42" s="28" t="s">
        <v>3307</v>
      </c>
      <c r="I42" s="28"/>
      <c r="J42" s="28"/>
      <c r="K42" s="28"/>
      <c r="L42" s="28"/>
      <c r="M42" s="28"/>
      <c r="N42" s="28"/>
      <c r="O42" s="28" t="s">
        <v>3805</v>
      </c>
      <c r="P42" s="28" t="s">
        <v>161</v>
      </c>
      <c r="Q42" s="29" t="s">
        <v>16</v>
      </c>
      <c r="R42" t="s">
        <v>4</v>
      </c>
    </row>
    <row r="43" spans="1:25">
      <c r="A43" s="27" t="s">
        <v>3528</v>
      </c>
      <c r="B43" s="49" t="s">
        <v>4189</v>
      </c>
      <c r="C43" s="28" t="s">
        <v>2596</v>
      </c>
      <c r="D43" s="28" t="s">
        <v>1128</v>
      </c>
      <c r="E43" s="28">
        <v>2</v>
      </c>
      <c r="F43" s="28" t="s">
        <v>3319</v>
      </c>
      <c r="G43" s="28" t="s">
        <v>3320</v>
      </c>
      <c r="H43" s="28" t="s">
        <v>3291</v>
      </c>
      <c r="I43" s="28"/>
      <c r="J43" s="28" t="s">
        <v>1081</v>
      </c>
      <c r="K43" s="28" t="s">
        <v>1082</v>
      </c>
      <c r="L43" s="28"/>
      <c r="M43" s="28"/>
      <c r="N43" s="28"/>
      <c r="O43" s="28" t="s">
        <v>3810</v>
      </c>
      <c r="P43" s="28" t="s">
        <v>162</v>
      </c>
      <c r="Q43" s="29" t="s">
        <v>38</v>
      </c>
      <c r="R43" t="s">
        <v>4</v>
      </c>
    </row>
    <row r="44" spans="1:25">
      <c r="A44" s="27" t="s">
        <v>3529</v>
      </c>
      <c r="B44" s="49" t="s">
        <v>4212</v>
      </c>
      <c r="C44" s="28" t="s">
        <v>2612</v>
      </c>
      <c r="D44" s="28" t="s">
        <v>1129</v>
      </c>
      <c r="E44" s="28">
        <v>3</v>
      </c>
      <c r="F44" s="28" t="s">
        <v>3319</v>
      </c>
      <c r="G44" s="28" t="s">
        <v>3320</v>
      </c>
      <c r="H44" s="28" t="s">
        <v>3312</v>
      </c>
      <c r="I44" s="28"/>
      <c r="J44" s="28" t="s">
        <v>1097</v>
      </c>
      <c r="K44" s="28" t="s">
        <v>1098</v>
      </c>
      <c r="L44" s="28"/>
      <c r="M44" s="28"/>
      <c r="N44" s="28"/>
      <c r="O44" s="28" t="s">
        <v>3473</v>
      </c>
      <c r="P44" s="28" t="s">
        <v>154</v>
      </c>
      <c r="Q44" s="29" t="s">
        <v>11</v>
      </c>
      <c r="R44" t="s">
        <v>4</v>
      </c>
    </row>
    <row r="45" spans="1:25">
      <c r="A45" s="27" t="s">
        <v>3530</v>
      </c>
      <c r="B45" s="49" t="s">
        <v>1445</v>
      </c>
      <c r="C45" s="28" t="s">
        <v>2613</v>
      </c>
      <c r="D45" s="28" t="s">
        <v>1129</v>
      </c>
      <c r="E45" s="28">
        <v>3</v>
      </c>
      <c r="F45" s="28" t="s">
        <v>3319</v>
      </c>
      <c r="G45" s="28" t="s">
        <v>3320</v>
      </c>
      <c r="H45" s="28" t="s">
        <v>3289</v>
      </c>
      <c r="I45" s="28"/>
      <c r="J45" s="28" t="s">
        <v>13</v>
      </c>
      <c r="K45" s="28"/>
      <c r="L45" s="28"/>
      <c r="M45" s="28"/>
      <c r="N45" s="28"/>
      <c r="O45" s="28" t="s">
        <v>3805</v>
      </c>
      <c r="P45" s="28" t="s">
        <v>163</v>
      </c>
      <c r="Q45" s="29" t="s">
        <v>186</v>
      </c>
      <c r="R45" t="s">
        <v>4</v>
      </c>
    </row>
    <row r="46" spans="1:25">
      <c r="A46" s="27" t="s">
        <v>3531</v>
      </c>
      <c r="B46" s="49" t="s">
        <v>1445</v>
      </c>
      <c r="C46" s="28" t="s">
        <v>2620</v>
      </c>
      <c r="D46" s="28" t="s">
        <v>1129</v>
      </c>
      <c r="E46" s="28">
        <v>3</v>
      </c>
      <c r="F46" s="28" t="s">
        <v>3319</v>
      </c>
      <c r="G46" s="28" t="s">
        <v>3320</v>
      </c>
      <c r="H46" s="28" t="s">
        <v>3307</v>
      </c>
      <c r="I46" s="28"/>
      <c r="J46" s="28" t="s">
        <v>51</v>
      </c>
      <c r="K46" s="28" t="s">
        <v>1144</v>
      </c>
      <c r="L46" s="28"/>
      <c r="M46" s="28"/>
      <c r="N46" s="28"/>
      <c r="O46" s="28" t="s">
        <v>3805</v>
      </c>
      <c r="P46" s="28" t="s">
        <v>164</v>
      </c>
      <c r="Q46" s="29" t="s">
        <v>16</v>
      </c>
      <c r="R46" t="s">
        <v>4</v>
      </c>
    </row>
    <row r="47" spans="1:25">
      <c r="A47" s="27" t="s">
        <v>3532</v>
      </c>
      <c r="B47" s="49" t="s">
        <v>4189</v>
      </c>
      <c r="C47" s="28" t="s">
        <v>2627</v>
      </c>
      <c r="D47" s="28" t="s">
        <v>1132</v>
      </c>
      <c r="E47" s="28">
        <v>4</v>
      </c>
      <c r="F47" s="28" t="s">
        <v>3319</v>
      </c>
      <c r="G47" s="28" t="s">
        <v>3320</v>
      </c>
      <c r="H47" s="28" t="s">
        <v>3299</v>
      </c>
      <c r="I47" s="28"/>
      <c r="J47" s="28" t="s">
        <v>1110</v>
      </c>
      <c r="K47" s="28" t="s">
        <v>137</v>
      </c>
      <c r="L47" s="28"/>
      <c r="M47" s="28"/>
      <c r="N47" s="28"/>
      <c r="O47" s="28" t="s">
        <v>3473</v>
      </c>
      <c r="P47" s="28" t="s">
        <v>163</v>
      </c>
      <c r="Q47" s="29" t="s">
        <v>26</v>
      </c>
      <c r="R47" t="s">
        <v>4</v>
      </c>
    </row>
    <row r="48" spans="1:25">
      <c r="A48" s="27" t="s">
        <v>3533</v>
      </c>
      <c r="B48" s="49" t="s">
        <v>4212</v>
      </c>
      <c r="C48" s="28" t="s">
        <v>2630</v>
      </c>
      <c r="D48" s="28" t="s">
        <v>1132</v>
      </c>
      <c r="E48" s="28">
        <v>4</v>
      </c>
      <c r="F48" s="28" t="s">
        <v>3319</v>
      </c>
      <c r="G48" s="28" t="s">
        <v>3320</v>
      </c>
      <c r="H48" s="28" t="s">
        <v>3306</v>
      </c>
      <c r="I48" s="28"/>
      <c r="J48" s="28" t="s">
        <v>1113</v>
      </c>
      <c r="K48" s="28"/>
      <c r="L48" s="28"/>
      <c r="M48" s="28"/>
      <c r="N48" s="28"/>
      <c r="O48" s="28" t="s">
        <v>3473</v>
      </c>
      <c r="P48" s="28" t="s">
        <v>170</v>
      </c>
      <c r="Q48" s="29" t="s">
        <v>30</v>
      </c>
      <c r="R48" t="s">
        <v>4</v>
      </c>
    </row>
    <row r="49" spans="1:25">
      <c r="A49" s="27" t="s">
        <v>3534</v>
      </c>
      <c r="B49" s="49" t="s">
        <v>1445</v>
      </c>
      <c r="C49" s="28" t="s">
        <v>2633</v>
      </c>
      <c r="D49" s="28" t="s">
        <v>1132</v>
      </c>
      <c r="E49" s="28">
        <v>4</v>
      </c>
      <c r="F49" s="28" t="s">
        <v>3319</v>
      </c>
      <c r="G49" s="28" t="s">
        <v>3320</v>
      </c>
      <c r="H49" s="28" t="s">
        <v>3307</v>
      </c>
      <c r="I49" s="28"/>
      <c r="J49" s="28" t="s">
        <v>42</v>
      </c>
      <c r="K49" s="28"/>
      <c r="L49" s="28"/>
      <c r="M49" s="28"/>
      <c r="N49" s="28"/>
      <c r="O49" s="28" t="s">
        <v>3805</v>
      </c>
      <c r="P49" s="28" t="s">
        <v>165</v>
      </c>
      <c r="Q49" s="29" t="s">
        <v>5</v>
      </c>
      <c r="R49" t="s">
        <v>4</v>
      </c>
    </row>
    <row r="50" spans="1:25">
      <c r="A50" s="27" t="s">
        <v>3535</v>
      </c>
      <c r="B50" s="28" t="s">
        <v>4217</v>
      </c>
      <c r="C50" s="28"/>
      <c r="D50" s="28"/>
      <c r="E50" s="28"/>
      <c r="F50" s="28"/>
      <c r="G50" s="28"/>
      <c r="H50" s="28"/>
      <c r="I50" s="28"/>
      <c r="J50" s="28"/>
      <c r="K50" s="28"/>
      <c r="L50" s="28"/>
      <c r="M50" s="28"/>
      <c r="N50" s="28"/>
      <c r="O50" s="28"/>
      <c r="P50" s="28"/>
      <c r="Q50" s="29"/>
    </row>
    <row r="51" spans="1:25">
      <c r="A51" s="27" t="s">
        <v>3536</v>
      </c>
      <c r="B51" s="28" t="s">
        <v>4214</v>
      </c>
      <c r="C51" s="28" t="s">
        <v>4083</v>
      </c>
      <c r="D51" s="28" t="s">
        <v>3873</v>
      </c>
      <c r="E51" s="28"/>
      <c r="F51" s="28" t="s">
        <v>3739</v>
      </c>
      <c r="G51" s="28"/>
      <c r="H51" s="28"/>
      <c r="I51" s="28"/>
      <c r="J51" s="28" t="s">
        <v>3953</v>
      </c>
      <c r="K51" s="28" t="s">
        <v>3962</v>
      </c>
      <c r="L51" s="28" t="s">
        <v>3963</v>
      </c>
      <c r="M51" s="28"/>
      <c r="N51" s="28"/>
      <c r="O51" s="28"/>
      <c r="P51" s="28"/>
      <c r="Q51" s="29" t="s">
        <v>4184</v>
      </c>
    </row>
    <row r="52" spans="1:25">
      <c r="A52" s="27" t="s">
        <v>3537</v>
      </c>
      <c r="B52" s="28" t="s">
        <v>4217</v>
      </c>
      <c r="C52" s="28"/>
      <c r="D52" s="28"/>
      <c r="E52" s="28"/>
      <c r="F52" s="28"/>
      <c r="G52" s="28"/>
      <c r="H52" s="28"/>
      <c r="I52" s="28"/>
      <c r="J52" s="28"/>
      <c r="K52" s="28"/>
      <c r="L52" s="28"/>
      <c r="M52" s="28"/>
      <c r="N52" s="28"/>
      <c r="O52" s="28"/>
      <c r="P52" s="28"/>
      <c r="Q52" s="29"/>
    </row>
    <row r="53" spans="1:25">
      <c r="A53" s="27" t="s">
        <v>3538</v>
      </c>
      <c r="B53" s="28" t="s">
        <v>4219</v>
      </c>
      <c r="C53" s="28"/>
      <c r="D53" s="28"/>
      <c r="F53" s="28"/>
      <c r="G53" s="28"/>
      <c r="H53" s="28"/>
      <c r="I53" s="28"/>
      <c r="J53" s="28"/>
      <c r="K53" s="28"/>
      <c r="L53" s="28"/>
      <c r="N53" s="28"/>
      <c r="O53" s="28"/>
      <c r="P53" s="28"/>
      <c r="Q53" s="29"/>
    </row>
    <row r="54" spans="1:25">
      <c r="A54" s="27" t="s">
        <v>3539</v>
      </c>
      <c r="B54" t="s">
        <v>4219</v>
      </c>
      <c r="O54" s="28"/>
      <c r="P54" s="28"/>
      <c r="Q54" s="29"/>
    </row>
    <row r="55" spans="1:25" ht="19.5" thickBot="1">
      <c r="A55" s="27" t="s">
        <v>3540</v>
      </c>
      <c r="B55" s="28" t="s">
        <v>4219</v>
      </c>
      <c r="C55" s="28" t="s">
        <v>3457</v>
      </c>
      <c r="D55" s="28" t="s">
        <v>1131</v>
      </c>
      <c r="E55" s="28">
        <v>4</v>
      </c>
      <c r="F55" s="28" t="s">
        <v>3789</v>
      </c>
      <c r="G55" s="28" t="s">
        <v>3307</v>
      </c>
      <c r="H55" s="28"/>
      <c r="I55" s="28"/>
      <c r="J55" s="28" t="s">
        <v>3454</v>
      </c>
      <c r="K55" s="28" t="s">
        <v>3458</v>
      </c>
      <c r="L55" s="28"/>
      <c r="M55" s="28"/>
      <c r="N55" s="28"/>
      <c r="O55" s="28"/>
      <c r="P55" s="28"/>
      <c r="Q55" s="29" t="s">
        <v>3441</v>
      </c>
      <c r="R55" t="s">
        <v>4</v>
      </c>
    </row>
    <row r="56" spans="1:25">
      <c r="A56" s="24" t="s">
        <v>3541</v>
      </c>
      <c r="B56" s="25" t="s">
        <v>3949</v>
      </c>
      <c r="C56" s="25" t="s">
        <v>2740</v>
      </c>
      <c r="D56" s="25" t="s">
        <v>1454</v>
      </c>
      <c r="E56" s="25">
        <v>1</v>
      </c>
      <c r="F56" s="25" t="s">
        <v>3319</v>
      </c>
      <c r="G56" s="25" t="s">
        <v>3320</v>
      </c>
      <c r="H56" s="25" t="s">
        <v>3289</v>
      </c>
      <c r="I56" s="25"/>
      <c r="J56" s="25" t="s">
        <v>1452</v>
      </c>
      <c r="K56" s="25"/>
      <c r="L56" s="25"/>
      <c r="M56" s="25"/>
      <c r="N56" s="25"/>
      <c r="O56" s="25" t="s">
        <v>3805</v>
      </c>
      <c r="P56" s="25" t="s">
        <v>156</v>
      </c>
      <c r="Q56" s="26" t="s">
        <v>14</v>
      </c>
      <c r="R56" t="s">
        <v>4</v>
      </c>
      <c r="S56">
        <v>1</v>
      </c>
      <c r="T56" s="81">
        <v>2</v>
      </c>
      <c r="U56" s="81">
        <v>3</v>
      </c>
      <c r="V56">
        <v>4</v>
      </c>
      <c r="W56">
        <v>5</v>
      </c>
      <c r="X56">
        <v>6</v>
      </c>
      <c r="Y56">
        <v>7</v>
      </c>
    </row>
    <row r="57" spans="1:25">
      <c r="A57" s="27" t="s">
        <v>3542</v>
      </c>
      <c r="B57" t="s">
        <v>3949</v>
      </c>
      <c r="C57" s="28" t="s">
        <v>2742</v>
      </c>
      <c r="D57" s="28" t="s">
        <v>1456</v>
      </c>
      <c r="E57" s="28">
        <v>2</v>
      </c>
      <c r="F57" s="28" t="s">
        <v>3319</v>
      </c>
      <c r="G57" s="28" t="s">
        <v>3320</v>
      </c>
      <c r="H57" s="28" t="s">
        <v>3293</v>
      </c>
      <c r="I57" s="28"/>
      <c r="J57" s="28" t="s">
        <v>1118</v>
      </c>
      <c r="K57" s="28" t="s">
        <v>1374</v>
      </c>
      <c r="L57" s="28"/>
      <c r="M57" s="28"/>
      <c r="N57" s="28"/>
      <c r="O57" s="28" t="s">
        <v>3805</v>
      </c>
      <c r="P57" s="28" t="s">
        <v>154</v>
      </c>
      <c r="Q57" s="29" t="s">
        <v>38</v>
      </c>
      <c r="R57" t="s">
        <v>4</v>
      </c>
      <c r="S57">
        <f t="shared" ref="S57:Y57" si="4">COUNTIF($E56:$E74,S56)</f>
        <v>2</v>
      </c>
      <c r="T57">
        <f t="shared" si="4"/>
        <v>3</v>
      </c>
      <c r="U57">
        <f t="shared" si="4"/>
        <v>4</v>
      </c>
      <c r="V57">
        <f t="shared" si="4"/>
        <v>3</v>
      </c>
      <c r="W57">
        <f t="shared" si="4"/>
        <v>2</v>
      </c>
      <c r="X57">
        <f t="shared" si="4"/>
        <v>2</v>
      </c>
      <c r="Y57">
        <f t="shared" si="4"/>
        <v>0</v>
      </c>
    </row>
    <row r="58" spans="1:25">
      <c r="A58" s="27" t="s">
        <v>3543</v>
      </c>
      <c r="B58" s="28" t="s">
        <v>4189</v>
      </c>
      <c r="C58" s="28" t="s">
        <v>2747</v>
      </c>
      <c r="D58" s="28" t="s">
        <v>1456</v>
      </c>
      <c r="E58" s="28">
        <v>2</v>
      </c>
      <c r="F58" s="28" t="s">
        <v>3319</v>
      </c>
      <c r="G58" s="28" t="s">
        <v>3320</v>
      </c>
      <c r="H58" s="28" t="s">
        <v>3291</v>
      </c>
      <c r="I58" s="28"/>
      <c r="J58" s="28" t="s">
        <v>3814</v>
      </c>
      <c r="K58" s="28" t="s">
        <v>1376</v>
      </c>
      <c r="L58" s="28"/>
      <c r="M58" s="28"/>
      <c r="N58" s="28"/>
      <c r="O58" s="28" t="s">
        <v>3473</v>
      </c>
      <c r="P58" s="28" t="s">
        <v>170</v>
      </c>
      <c r="Q58" s="29" t="s">
        <v>33</v>
      </c>
      <c r="R58" t="s">
        <v>4</v>
      </c>
    </row>
    <row r="59" spans="1:25">
      <c r="A59" s="27" t="s">
        <v>3544</v>
      </c>
      <c r="B59" s="28" t="s">
        <v>4211</v>
      </c>
      <c r="C59" s="28" t="s">
        <v>2748</v>
      </c>
      <c r="D59" s="28" t="s">
        <v>1456</v>
      </c>
      <c r="E59" s="28">
        <v>2</v>
      </c>
      <c r="F59" s="28" t="s">
        <v>3319</v>
      </c>
      <c r="G59" s="28" t="s">
        <v>3320</v>
      </c>
      <c r="H59" s="28" t="s">
        <v>3315</v>
      </c>
      <c r="I59" s="28"/>
      <c r="J59" s="28" t="s">
        <v>1377</v>
      </c>
      <c r="K59" s="28"/>
      <c r="L59" s="28"/>
      <c r="M59" s="28"/>
      <c r="N59" s="28" t="s">
        <v>153</v>
      </c>
      <c r="O59" s="28" t="s">
        <v>3805</v>
      </c>
      <c r="P59" s="28" t="s">
        <v>162</v>
      </c>
      <c r="Q59" s="29"/>
    </row>
    <row r="60" spans="1:25">
      <c r="B60" s="49" t="s">
        <v>4211</v>
      </c>
      <c r="C60" s="28" t="s">
        <v>2749</v>
      </c>
      <c r="D60" s="28" t="s">
        <v>3395</v>
      </c>
      <c r="E60" s="28"/>
      <c r="F60" s="28" t="s">
        <v>3319</v>
      </c>
      <c r="G60" s="28" t="s">
        <v>3315</v>
      </c>
      <c r="H60" s="28"/>
      <c r="I60" s="28"/>
      <c r="J60" s="28" t="s">
        <v>1378</v>
      </c>
      <c r="K60" s="28" t="s">
        <v>1379</v>
      </c>
      <c r="L60" s="28"/>
      <c r="M60" s="28"/>
      <c r="N60" s="28" t="s">
        <v>153</v>
      </c>
      <c r="O60" s="28" t="s">
        <v>3805</v>
      </c>
      <c r="P60" s="28" t="s">
        <v>165</v>
      </c>
      <c r="Q60" s="29" t="s">
        <v>44</v>
      </c>
      <c r="R60" t="s">
        <v>4</v>
      </c>
    </row>
    <row r="61" spans="1:25">
      <c r="A61" s="27" t="s">
        <v>3545</v>
      </c>
      <c r="B61" s="49" t="s">
        <v>4189</v>
      </c>
      <c r="C61" s="28" t="s">
        <v>2777</v>
      </c>
      <c r="D61" s="28" t="s">
        <v>1458</v>
      </c>
      <c r="E61" s="28">
        <v>3</v>
      </c>
      <c r="F61" s="28" t="s">
        <v>3319</v>
      </c>
      <c r="G61" s="28" t="s">
        <v>3320</v>
      </c>
      <c r="H61" s="28" t="s">
        <v>3290</v>
      </c>
      <c r="I61" s="28"/>
      <c r="J61" s="28" t="s">
        <v>1118</v>
      </c>
      <c r="K61" s="28" t="s">
        <v>1407</v>
      </c>
      <c r="L61" s="28"/>
      <c r="M61" s="28"/>
      <c r="N61" s="28"/>
      <c r="O61" s="28" t="s">
        <v>3473</v>
      </c>
      <c r="P61" s="28" t="s">
        <v>162</v>
      </c>
      <c r="Q61" s="29" t="s">
        <v>52</v>
      </c>
      <c r="R61" t="s">
        <v>4</v>
      </c>
    </row>
    <row r="62" spans="1:25">
      <c r="A62" s="27" t="s">
        <v>3546</v>
      </c>
      <c r="B62" s="49" t="s">
        <v>4240</v>
      </c>
      <c r="C62" s="28" t="s">
        <v>2782</v>
      </c>
      <c r="D62" s="28" t="s">
        <v>1459</v>
      </c>
      <c r="E62" s="28">
        <v>3</v>
      </c>
      <c r="F62" s="28" t="s">
        <v>3319</v>
      </c>
      <c r="G62" s="28" t="s">
        <v>3320</v>
      </c>
      <c r="H62" s="28" t="s">
        <v>3316</v>
      </c>
      <c r="I62" s="28"/>
      <c r="J62" s="28"/>
      <c r="K62" s="28"/>
      <c r="L62" s="28"/>
      <c r="M62" s="28"/>
      <c r="N62" s="28"/>
      <c r="O62" s="28" t="s">
        <v>3805</v>
      </c>
      <c r="P62" s="28" t="s">
        <v>165</v>
      </c>
      <c r="Q62" s="29" t="s">
        <v>176</v>
      </c>
      <c r="R62" t="s">
        <v>4</v>
      </c>
    </row>
    <row r="63" spans="1:25">
      <c r="A63" s="27" t="s">
        <v>3547</v>
      </c>
      <c r="B63" s="49" t="s">
        <v>4189</v>
      </c>
      <c r="C63" s="28" t="s">
        <v>2787</v>
      </c>
      <c r="D63" s="28" t="s">
        <v>1458</v>
      </c>
      <c r="E63" s="28">
        <v>3</v>
      </c>
      <c r="F63" s="28" t="s">
        <v>3319</v>
      </c>
      <c r="G63" s="28" t="s">
        <v>3320</v>
      </c>
      <c r="H63" s="28" t="s">
        <v>3291</v>
      </c>
      <c r="I63" s="28"/>
      <c r="J63" s="28" t="s">
        <v>1416</v>
      </c>
      <c r="K63" s="28"/>
      <c r="L63" s="28"/>
      <c r="M63" s="28"/>
      <c r="N63" s="28"/>
      <c r="O63" s="28" t="s">
        <v>3473</v>
      </c>
      <c r="P63" s="28" t="s">
        <v>154</v>
      </c>
      <c r="Q63" s="29" t="s">
        <v>179</v>
      </c>
      <c r="R63" t="s">
        <v>4</v>
      </c>
    </row>
    <row r="64" spans="1:25">
      <c r="A64" s="27" t="s">
        <v>3548</v>
      </c>
      <c r="B64" s="49" t="s">
        <v>4189</v>
      </c>
      <c r="C64" s="28" t="s">
        <v>2807</v>
      </c>
      <c r="D64" s="28" t="s">
        <v>1462</v>
      </c>
      <c r="E64" s="28">
        <v>4</v>
      </c>
      <c r="F64" s="28" t="s">
        <v>3319</v>
      </c>
      <c r="G64" s="28" t="s">
        <v>3320</v>
      </c>
      <c r="H64" s="28" t="s">
        <v>3306</v>
      </c>
      <c r="I64" s="28"/>
      <c r="J64" s="28" t="s">
        <v>1434</v>
      </c>
      <c r="K64" s="28"/>
      <c r="L64" s="28"/>
      <c r="M64" s="28"/>
      <c r="N64" s="28"/>
      <c r="O64" s="28" t="s">
        <v>3473</v>
      </c>
      <c r="P64" s="28" t="s">
        <v>170</v>
      </c>
      <c r="Q64" s="29" t="s">
        <v>36</v>
      </c>
      <c r="R64" t="s">
        <v>4</v>
      </c>
    </row>
    <row r="65" spans="1:25">
      <c r="A65" s="27" t="s">
        <v>3549</v>
      </c>
      <c r="B65" s="49" t="s">
        <v>4211</v>
      </c>
      <c r="C65" s="28" t="s">
        <v>2809</v>
      </c>
      <c r="D65" s="28" t="s">
        <v>1462</v>
      </c>
      <c r="E65" s="28">
        <v>4</v>
      </c>
      <c r="F65" s="28" t="s">
        <v>3319</v>
      </c>
      <c r="G65" s="28" t="s">
        <v>3320</v>
      </c>
      <c r="H65" s="28" t="s">
        <v>3291</v>
      </c>
      <c r="I65" s="28" t="s">
        <v>3315</v>
      </c>
      <c r="J65" s="28" t="s">
        <v>1436</v>
      </c>
      <c r="K65" s="28"/>
      <c r="L65" s="28"/>
      <c r="M65" s="28"/>
      <c r="N65" s="28" t="s">
        <v>153</v>
      </c>
      <c r="O65" s="28" t="s">
        <v>3805</v>
      </c>
      <c r="P65" s="28" t="s">
        <v>165</v>
      </c>
      <c r="Q65" s="29"/>
    </row>
    <row r="66" spans="1:25">
      <c r="B66" s="49" t="s">
        <v>4211</v>
      </c>
      <c r="C66" s="28" t="s">
        <v>2810</v>
      </c>
      <c r="D66" s="28" t="s">
        <v>3395</v>
      </c>
      <c r="E66" s="28"/>
      <c r="F66" s="28" t="s">
        <v>3319</v>
      </c>
      <c r="G66" s="28" t="s">
        <v>3315</v>
      </c>
      <c r="H66" s="28"/>
      <c r="I66" s="28"/>
      <c r="J66" s="28" t="s">
        <v>1437</v>
      </c>
      <c r="K66" s="28"/>
      <c r="L66" s="28"/>
      <c r="M66" s="28"/>
      <c r="N66" s="28" t="s">
        <v>153</v>
      </c>
      <c r="O66" s="28" t="s">
        <v>3805</v>
      </c>
      <c r="P66" s="28" t="s">
        <v>1449</v>
      </c>
      <c r="Q66" s="29" t="s">
        <v>45</v>
      </c>
      <c r="R66" t="s">
        <v>4</v>
      </c>
    </row>
    <row r="67" spans="1:25">
      <c r="A67" s="27" t="s">
        <v>3550</v>
      </c>
      <c r="B67" s="49" t="s">
        <v>3949</v>
      </c>
      <c r="C67" s="28" t="s">
        <v>2812</v>
      </c>
      <c r="D67" s="28" t="s">
        <v>1465</v>
      </c>
      <c r="E67" s="28">
        <v>5</v>
      </c>
      <c r="F67" s="28" t="s">
        <v>3319</v>
      </c>
      <c r="G67" s="28" t="s">
        <v>3320</v>
      </c>
      <c r="H67" s="28" t="s">
        <v>3293</v>
      </c>
      <c r="I67" s="28"/>
      <c r="J67" s="28" t="s">
        <v>1439</v>
      </c>
      <c r="K67" s="28"/>
      <c r="L67" s="28"/>
      <c r="M67" s="28"/>
      <c r="N67" s="28"/>
      <c r="O67" s="28" t="s">
        <v>3805</v>
      </c>
      <c r="P67" s="28" t="s">
        <v>616</v>
      </c>
      <c r="Q67" s="29" t="s">
        <v>183</v>
      </c>
      <c r="R67" t="s">
        <v>4</v>
      </c>
    </row>
    <row r="68" spans="1:25">
      <c r="A68" s="27" t="s">
        <v>3551</v>
      </c>
      <c r="B68" s="49" t="s">
        <v>3949</v>
      </c>
      <c r="C68" s="28" t="s">
        <v>2814</v>
      </c>
      <c r="D68" s="28" t="s">
        <v>1465</v>
      </c>
      <c r="E68" s="28">
        <v>5</v>
      </c>
      <c r="F68" s="28" t="s">
        <v>3319</v>
      </c>
      <c r="G68" s="28" t="s">
        <v>3320</v>
      </c>
      <c r="H68" s="28" t="s">
        <v>3291</v>
      </c>
      <c r="I68" s="28"/>
      <c r="J68" s="28" t="s">
        <v>0</v>
      </c>
      <c r="K68" s="28" t="s">
        <v>1467</v>
      </c>
      <c r="L68" s="28"/>
      <c r="M68" s="28"/>
      <c r="N68" s="28"/>
      <c r="O68" s="28" t="s">
        <v>3805</v>
      </c>
      <c r="P68" s="28" t="s">
        <v>1125</v>
      </c>
      <c r="Q68" s="29" t="s">
        <v>31</v>
      </c>
      <c r="R68" t="s">
        <v>4</v>
      </c>
    </row>
    <row r="69" spans="1:25">
      <c r="A69" s="27" t="s">
        <v>3552</v>
      </c>
      <c r="B69" s="49" t="s">
        <v>3949</v>
      </c>
      <c r="C69" s="49" t="s">
        <v>2820</v>
      </c>
      <c r="D69" s="49" t="s">
        <v>1470</v>
      </c>
      <c r="E69" s="49">
        <v>6</v>
      </c>
      <c r="F69" s="49" t="s">
        <v>3319</v>
      </c>
      <c r="G69" s="28" t="s">
        <v>3320</v>
      </c>
      <c r="H69" s="28" t="s">
        <v>3292</v>
      </c>
      <c r="I69" s="28"/>
      <c r="J69" s="49" t="s">
        <v>328</v>
      </c>
      <c r="K69" s="28"/>
      <c r="L69" s="28"/>
      <c r="M69" s="28"/>
      <c r="N69" s="28"/>
      <c r="O69" s="28" t="s">
        <v>3805</v>
      </c>
      <c r="P69" s="28" t="s">
        <v>618</v>
      </c>
      <c r="Q69" s="29" t="s">
        <v>184</v>
      </c>
      <c r="R69" t="s">
        <v>4</v>
      </c>
    </row>
    <row r="70" spans="1:25">
      <c r="A70" s="27" t="s">
        <v>3553</v>
      </c>
      <c r="B70" s="28" t="s">
        <v>4214</v>
      </c>
      <c r="C70" s="28" t="s">
        <v>4229</v>
      </c>
      <c r="D70" s="28" t="s">
        <v>3874</v>
      </c>
      <c r="E70" s="28">
        <v>1</v>
      </c>
      <c r="F70" s="28" t="s">
        <v>3739</v>
      </c>
      <c r="G70" s="28"/>
      <c r="H70" s="28"/>
      <c r="I70" s="28"/>
      <c r="J70" s="28" t="s">
        <v>4230</v>
      </c>
      <c r="K70" s="28"/>
      <c r="L70" s="28"/>
      <c r="M70" s="28"/>
      <c r="N70" s="28"/>
      <c r="O70" s="28"/>
      <c r="P70" s="28"/>
      <c r="Q70" s="29"/>
    </row>
    <row r="71" spans="1:25">
      <c r="A71" s="27" t="s">
        <v>3554</v>
      </c>
      <c r="B71" s="28" t="s">
        <v>4214</v>
      </c>
      <c r="C71" s="28" t="s">
        <v>4085</v>
      </c>
      <c r="D71" s="28" t="s">
        <v>3964</v>
      </c>
      <c r="E71">
        <v>3</v>
      </c>
      <c r="F71" s="28" t="s">
        <v>3739</v>
      </c>
      <c r="G71" s="28"/>
      <c r="H71" s="28"/>
      <c r="I71" s="28"/>
      <c r="J71" s="28" t="s">
        <v>3953</v>
      </c>
      <c r="K71" s="28" t="s">
        <v>3965</v>
      </c>
      <c r="L71" s="28" t="s">
        <v>3966</v>
      </c>
      <c r="N71" s="28"/>
      <c r="O71" s="28"/>
      <c r="P71" s="28"/>
      <c r="Q71" s="29" t="s">
        <v>4184</v>
      </c>
    </row>
    <row r="72" spans="1:25">
      <c r="A72" s="27" t="s">
        <v>3555</v>
      </c>
      <c r="B72" s="28" t="s">
        <v>4242</v>
      </c>
      <c r="C72" s="28"/>
      <c r="D72" s="28"/>
      <c r="F72" s="28"/>
      <c r="J72" s="28"/>
      <c r="K72" s="28"/>
      <c r="L72" s="28"/>
      <c r="M72" s="28"/>
      <c r="N72" s="28"/>
      <c r="O72" s="28"/>
      <c r="P72" s="28"/>
      <c r="Q72" s="29"/>
    </row>
    <row r="73" spans="1:25">
      <c r="A73" s="27" t="s">
        <v>3556</v>
      </c>
      <c r="B73" s="28" t="s">
        <v>4214</v>
      </c>
      <c r="C73" s="28" t="s">
        <v>4220</v>
      </c>
      <c r="D73" s="28" t="s">
        <v>1470</v>
      </c>
      <c r="E73">
        <v>6</v>
      </c>
      <c r="F73" s="28" t="s">
        <v>3739</v>
      </c>
      <c r="G73" s="28"/>
      <c r="H73" s="28"/>
      <c r="I73" s="28"/>
      <c r="J73" s="28" t="s">
        <v>4221</v>
      </c>
      <c r="K73" s="28"/>
      <c r="L73" s="28"/>
      <c r="M73" s="28"/>
      <c r="N73" s="28"/>
      <c r="O73" s="28"/>
      <c r="P73" s="28"/>
      <c r="Q73" s="29" t="s">
        <v>177</v>
      </c>
      <c r="R73" t="s">
        <v>4</v>
      </c>
    </row>
    <row r="74" spans="1:25" ht="19.5" thickBot="1">
      <c r="A74" s="27" t="s">
        <v>3557</v>
      </c>
      <c r="B74" s="28" t="s">
        <v>4218</v>
      </c>
      <c r="C74" s="28" t="s">
        <v>4225</v>
      </c>
      <c r="D74" s="28" t="s">
        <v>1462</v>
      </c>
      <c r="E74" s="28">
        <v>4</v>
      </c>
      <c r="F74" s="28" t="s">
        <v>3734</v>
      </c>
      <c r="G74" s="28"/>
      <c r="H74" s="28"/>
      <c r="I74" s="28"/>
      <c r="J74" s="28" t="s">
        <v>4226</v>
      </c>
      <c r="K74" s="28"/>
      <c r="L74" s="28"/>
      <c r="M74" s="28"/>
      <c r="N74" s="28"/>
      <c r="O74" s="28"/>
      <c r="P74" s="28"/>
      <c r="Q74" s="29" t="s">
        <v>30</v>
      </c>
      <c r="R74" t="s">
        <v>4</v>
      </c>
    </row>
    <row r="75" spans="1:25">
      <c r="A75" s="24" t="s">
        <v>3558</v>
      </c>
      <c r="B75" s="25" t="s">
        <v>1445</v>
      </c>
      <c r="C75" s="25" t="s">
        <v>2959</v>
      </c>
      <c r="D75" s="25" t="s">
        <v>1727</v>
      </c>
      <c r="E75" s="25">
        <v>1</v>
      </c>
      <c r="F75" s="25" t="s">
        <v>3319</v>
      </c>
      <c r="G75" s="25" t="s">
        <v>3320</v>
      </c>
      <c r="H75" s="25" t="s">
        <v>3294</v>
      </c>
      <c r="I75" s="25"/>
      <c r="J75" s="25" t="s">
        <v>1722</v>
      </c>
      <c r="K75" s="25"/>
      <c r="L75" s="25"/>
      <c r="M75" s="25"/>
      <c r="N75" s="25"/>
      <c r="O75" s="25" t="s">
        <v>3805</v>
      </c>
      <c r="P75" s="25" t="s">
        <v>156</v>
      </c>
      <c r="Q75" s="26" t="s">
        <v>45</v>
      </c>
      <c r="R75" t="s">
        <v>4</v>
      </c>
      <c r="S75">
        <v>1</v>
      </c>
      <c r="T75" s="81">
        <v>2</v>
      </c>
      <c r="U75" s="81">
        <v>3</v>
      </c>
      <c r="V75">
        <v>4</v>
      </c>
      <c r="W75">
        <v>5</v>
      </c>
      <c r="X75">
        <v>6</v>
      </c>
      <c r="Y75">
        <v>7</v>
      </c>
    </row>
    <row r="76" spans="1:25">
      <c r="A76" s="27" t="s">
        <v>3559</v>
      </c>
      <c r="B76" s="28" t="s">
        <v>1445</v>
      </c>
      <c r="C76" s="28" t="s">
        <v>2961</v>
      </c>
      <c r="D76" s="28" t="s">
        <v>1727</v>
      </c>
      <c r="E76" s="28">
        <v>1</v>
      </c>
      <c r="F76" s="28" t="s">
        <v>3319</v>
      </c>
      <c r="G76" s="28" t="s">
        <v>3320</v>
      </c>
      <c r="H76" s="28" t="s">
        <v>3302</v>
      </c>
      <c r="I76" s="28"/>
      <c r="J76" s="28" t="s">
        <v>1729</v>
      </c>
      <c r="K76" s="28"/>
      <c r="L76" s="28"/>
      <c r="M76" s="28"/>
      <c r="N76" s="28"/>
      <c r="O76" s="28"/>
      <c r="P76" s="28" t="s">
        <v>159</v>
      </c>
      <c r="Q76" s="29" t="s">
        <v>17</v>
      </c>
      <c r="R76" t="s">
        <v>4</v>
      </c>
      <c r="S76">
        <f t="shared" ref="S76:Y76" si="5">COUNTIF($E75:$E93,S75)</f>
        <v>3</v>
      </c>
      <c r="T76">
        <f t="shared" si="5"/>
        <v>3</v>
      </c>
      <c r="U76">
        <f t="shared" si="5"/>
        <v>3</v>
      </c>
      <c r="V76">
        <f t="shared" si="5"/>
        <v>5</v>
      </c>
      <c r="W76">
        <f t="shared" si="5"/>
        <v>2</v>
      </c>
      <c r="X76">
        <f t="shared" si="5"/>
        <v>0</v>
      </c>
      <c r="Y76">
        <f t="shared" si="5"/>
        <v>1</v>
      </c>
    </row>
    <row r="77" spans="1:25">
      <c r="A77" s="27" t="s">
        <v>3560</v>
      </c>
      <c r="B77" s="28" t="s">
        <v>1445</v>
      </c>
      <c r="C77" s="28" t="s">
        <v>2970</v>
      </c>
      <c r="D77" s="28" t="s">
        <v>1727</v>
      </c>
      <c r="E77" s="28">
        <v>1</v>
      </c>
      <c r="F77" s="28" t="s">
        <v>3319</v>
      </c>
      <c r="G77" s="28" t="s">
        <v>3320</v>
      </c>
      <c r="H77" s="28" t="s">
        <v>3301</v>
      </c>
      <c r="I77" s="28"/>
      <c r="J77" s="28" t="s">
        <v>1678</v>
      </c>
      <c r="K77" s="28"/>
      <c r="L77" s="28"/>
      <c r="M77" s="28"/>
      <c r="N77" s="28"/>
      <c r="O77" s="28"/>
      <c r="P77" s="28" t="s">
        <v>782</v>
      </c>
      <c r="Q77" s="29" t="s">
        <v>10</v>
      </c>
      <c r="R77" t="s">
        <v>4</v>
      </c>
    </row>
    <row r="78" spans="1:25">
      <c r="A78" s="27" t="s">
        <v>3561</v>
      </c>
      <c r="B78" s="49" t="s">
        <v>4189</v>
      </c>
      <c r="C78" s="28" t="s">
        <v>2980</v>
      </c>
      <c r="D78" s="28" t="s">
        <v>1732</v>
      </c>
      <c r="E78" s="28">
        <v>2</v>
      </c>
      <c r="F78" s="28" t="s">
        <v>3319</v>
      </c>
      <c r="G78" s="28" t="s">
        <v>3320</v>
      </c>
      <c r="H78" s="28" t="s">
        <v>3285</v>
      </c>
      <c r="I78" s="28"/>
      <c r="J78" s="28" t="s">
        <v>1685</v>
      </c>
      <c r="K78" s="28"/>
      <c r="L78" s="28"/>
      <c r="M78" s="28"/>
      <c r="N78" s="28"/>
      <c r="O78" s="28" t="s">
        <v>3473</v>
      </c>
      <c r="P78" s="28" t="s">
        <v>156</v>
      </c>
      <c r="Q78" s="29" t="s">
        <v>52</v>
      </c>
      <c r="R78" t="s">
        <v>4</v>
      </c>
    </row>
    <row r="79" spans="1:25">
      <c r="A79" s="27" t="s">
        <v>3562</v>
      </c>
      <c r="B79" s="49" t="s">
        <v>4211</v>
      </c>
      <c r="C79" s="28" t="s">
        <v>2981</v>
      </c>
      <c r="D79" s="28" t="s">
        <v>1732</v>
      </c>
      <c r="E79" s="28">
        <v>2</v>
      </c>
      <c r="F79" s="28" t="s">
        <v>3319</v>
      </c>
      <c r="G79" s="28" t="s">
        <v>3320</v>
      </c>
      <c r="H79" s="28" t="s">
        <v>3315</v>
      </c>
      <c r="I79" s="28"/>
      <c r="J79" s="28" t="s">
        <v>1686</v>
      </c>
      <c r="K79" s="28"/>
      <c r="L79" s="28"/>
      <c r="M79" s="28"/>
      <c r="N79" s="28" t="s">
        <v>153</v>
      </c>
      <c r="O79" s="28" t="s">
        <v>3805</v>
      </c>
      <c r="P79" s="28" t="s">
        <v>162</v>
      </c>
      <c r="Q79" s="29"/>
    </row>
    <row r="80" spans="1:25">
      <c r="B80" s="49" t="s">
        <v>4211</v>
      </c>
      <c r="C80" s="28" t="s">
        <v>2982</v>
      </c>
      <c r="D80" s="28" t="s">
        <v>3407</v>
      </c>
      <c r="E80" s="28"/>
      <c r="F80" s="28" t="s">
        <v>3319</v>
      </c>
      <c r="G80" s="28" t="s">
        <v>3315</v>
      </c>
      <c r="H80" s="28"/>
      <c r="I80" s="28"/>
      <c r="J80" s="28" t="s">
        <v>20</v>
      </c>
      <c r="K80" s="28" t="s">
        <v>1687</v>
      </c>
      <c r="L80" s="28"/>
      <c r="M80" s="28"/>
      <c r="N80" s="28" t="s">
        <v>153</v>
      </c>
      <c r="O80" s="28" t="s">
        <v>3805</v>
      </c>
      <c r="P80" s="28" t="s">
        <v>1124</v>
      </c>
      <c r="Q80" s="29" t="s">
        <v>46</v>
      </c>
      <c r="R80" t="s">
        <v>4</v>
      </c>
    </row>
    <row r="81" spans="1:18">
      <c r="A81" s="27" t="s">
        <v>3563</v>
      </c>
      <c r="B81" s="49" t="s">
        <v>1445</v>
      </c>
      <c r="C81" s="28" t="s">
        <v>2992</v>
      </c>
      <c r="D81" s="28" t="s">
        <v>1739</v>
      </c>
      <c r="E81" s="28">
        <v>3</v>
      </c>
      <c r="F81" s="28" t="s">
        <v>3319</v>
      </c>
      <c r="G81" s="28" t="s">
        <v>3320</v>
      </c>
      <c r="H81" s="28" t="s">
        <v>3297</v>
      </c>
      <c r="I81" s="28"/>
      <c r="J81" s="28" t="s">
        <v>1694</v>
      </c>
      <c r="K81" s="28" t="s">
        <v>13</v>
      </c>
      <c r="L81" s="28"/>
      <c r="M81" s="28"/>
      <c r="N81" s="28"/>
      <c r="O81" s="28" t="s">
        <v>3805</v>
      </c>
      <c r="P81" s="28" t="s">
        <v>161</v>
      </c>
      <c r="Q81" s="29" t="s">
        <v>15</v>
      </c>
      <c r="R81" t="s">
        <v>4</v>
      </c>
    </row>
    <row r="82" spans="1:18">
      <c r="A82" s="27" t="s">
        <v>3564</v>
      </c>
      <c r="B82" s="49" t="s">
        <v>4210</v>
      </c>
      <c r="C82" s="28" t="s">
        <v>3000</v>
      </c>
      <c r="D82" s="28" t="s">
        <v>1739</v>
      </c>
      <c r="E82" s="28">
        <v>3</v>
      </c>
      <c r="F82" s="28" t="s">
        <v>3319</v>
      </c>
      <c r="G82" s="28" t="s">
        <v>3320</v>
      </c>
      <c r="H82" s="28" t="s">
        <v>3285</v>
      </c>
      <c r="I82" s="28"/>
      <c r="J82" s="28" t="s">
        <v>1701</v>
      </c>
      <c r="K82" s="28"/>
      <c r="L82" s="28"/>
      <c r="M82" s="28"/>
      <c r="N82" s="28"/>
      <c r="O82" s="28" t="s">
        <v>3473</v>
      </c>
      <c r="P82" s="28" t="s">
        <v>154</v>
      </c>
      <c r="Q82" s="29" t="s">
        <v>52</v>
      </c>
      <c r="R82" t="s">
        <v>4</v>
      </c>
    </row>
    <row r="83" spans="1:18">
      <c r="A83" s="27" t="s">
        <v>3565</v>
      </c>
      <c r="B83" s="49" t="s">
        <v>4240</v>
      </c>
      <c r="C83" s="28" t="s">
        <v>3004</v>
      </c>
      <c r="D83" s="28" t="s">
        <v>1741</v>
      </c>
      <c r="E83" s="28">
        <v>4</v>
      </c>
      <c r="F83" s="28" t="s">
        <v>3319</v>
      </c>
      <c r="G83" s="28" t="s">
        <v>3320</v>
      </c>
      <c r="H83" s="28" t="s">
        <v>3294</v>
      </c>
      <c r="I83" s="28"/>
      <c r="J83" s="28"/>
      <c r="K83" s="28"/>
      <c r="L83" s="28"/>
      <c r="M83" s="28"/>
      <c r="N83" s="28"/>
      <c r="O83" s="28" t="s">
        <v>3805</v>
      </c>
      <c r="P83" s="28" t="s">
        <v>618</v>
      </c>
      <c r="Q83" s="29" t="s">
        <v>176</v>
      </c>
      <c r="R83" t="s">
        <v>4</v>
      </c>
    </row>
    <row r="84" spans="1:18">
      <c r="A84" s="27" t="s">
        <v>3566</v>
      </c>
      <c r="B84" s="49" t="s">
        <v>4210</v>
      </c>
      <c r="C84" s="28" t="s">
        <v>3009</v>
      </c>
      <c r="D84" s="28" t="s">
        <v>1741</v>
      </c>
      <c r="E84" s="28">
        <v>4</v>
      </c>
      <c r="F84" s="28" t="s">
        <v>3319</v>
      </c>
      <c r="G84" s="28" t="s">
        <v>3320</v>
      </c>
      <c r="H84" s="28" t="s">
        <v>3285</v>
      </c>
      <c r="I84" s="28"/>
      <c r="J84" s="28" t="s">
        <v>20</v>
      </c>
      <c r="K84" s="28" t="s">
        <v>1707</v>
      </c>
      <c r="L84" s="28"/>
      <c r="M84" s="28"/>
      <c r="N84" s="28"/>
      <c r="O84" s="28" t="s">
        <v>3473</v>
      </c>
      <c r="P84" s="28" t="s">
        <v>170</v>
      </c>
      <c r="Q84" s="29" t="s">
        <v>46</v>
      </c>
      <c r="R84" t="s">
        <v>4</v>
      </c>
    </row>
    <row r="85" spans="1:18">
      <c r="A85" s="27" t="s">
        <v>3567</v>
      </c>
      <c r="B85" s="49" t="s">
        <v>4210</v>
      </c>
      <c r="C85" s="28" t="s">
        <v>3011</v>
      </c>
      <c r="D85" s="28" t="s">
        <v>1741</v>
      </c>
      <c r="E85" s="28">
        <v>4</v>
      </c>
      <c r="F85" s="28" t="s">
        <v>3319</v>
      </c>
      <c r="G85" s="28" t="s">
        <v>3320</v>
      </c>
      <c r="H85" s="28" t="s">
        <v>3291</v>
      </c>
      <c r="I85" s="28"/>
      <c r="J85" s="28" t="s">
        <v>1709</v>
      </c>
      <c r="K85" s="28"/>
      <c r="L85" s="28"/>
      <c r="M85" s="28"/>
      <c r="N85" s="28"/>
      <c r="O85" s="28" t="s">
        <v>3473</v>
      </c>
      <c r="P85" s="28" t="s">
        <v>162</v>
      </c>
      <c r="Q85" s="29" t="s">
        <v>40</v>
      </c>
      <c r="R85" t="s">
        <v>4</v>
      </c>
    </row>
    <row r="86" spans="1:18">
      <c r="A86" t="s">
        <v>4243</v>
      </c>
      <c r="B86" s="49" t="s">
        <v>4211</v>
      </c>
      <c r="C86" s="28" t="s">
        <v>3017</v>
      </c>
      <c r="D86" s="28" t="s">
        <v>1743</v>
      </c>
      <c r="E86" s="28">
        <v>5</v>
      </c>
      <c r="F86" s="28" t="s">
        <v>3319</v>
      </c>
      <c r="G86" s="28" t="s">
        <v>3320</v>
      </c>
      <c r="H86" s="28" t="s">
        <v>3315</v>
      </c>
      <c r="I86" s="28"/>
      <c r="J86" s="28" t="s">
        <v>1716</v>
      </c>
      <c r="K86" s="28"/>
      <c r="L86" s="28"/>
      <c r="M86" s="28"/>
      <c r="N86" s="28" t="s">
        <v>153</v>
      </c>
      <c r="O86" s="28" t="s">
        <v>3805</v>
      </c>
      <c r="P86" s="28" t="s">
        <v>616</v>
      </c>
      <c r="Q86" s="29"/>
    </row>
    <row r="87" spans="1:18">
      <c r="A87" s="27"/>
      <c r="B87" s="49" t="s">
        <v>4211</v>
      </c>
      <c r="C87" s="28" t="s">
        <v>3018</v>
      </c>
      <c r="D87" s="28" t="s">
        <v>3407</v>
      </c>
      <c r="E87" s="28"/>
      <c r="F87" s="28" t="s">
        <v>3319</v>
      </c>
      <c r="G87" s="28" t="s">
        <v>3315</v>
      </c>
      <c r="H87" s="28"/>
      <c r="I87" s="28"/>
      <c r="J87" s="28" t="s">
        <v>1717</v>
      </c>
      <c r="K87" s="28"/>
      <c r="L87" s="28"/>
      <c r="M87" s="28"/>
      <c r="N87" s="28" t="s">
        <v>153</v>
      </c>
      <c r="O87" s="28" t="s">
        <v>3805</v>
      </c>
      <c r="P87" s="28" t="s">
        <v>1721</v>
      </c>
      <c r="Q87" s="29" t="s">
        <v>45</v>
      </c>
      <c r="R87" t="s">
        <v>4</v>
      </c>
    </row>
    <row r="88" spans="1:18">
      <c r="A88" s="27" t="s">
        <v>4244</v>
      </c>
      <c r="B88" s="49" t="s">
        <v>4210</v>
      </c>
      <c r="C88" s="28" t="s">
        <v>3019</v>
      </c>
      <c r="D88" s="28" t="s">
        <v>1743</v>
      </c>
      <c r="E88" s="28">
        <v>5</v>
      </c>
      <c r="F88" s="28" t="s">
        <v>3319</v>
      </c>
      <c r="G88" s="28" t="s">
        <v>3320</v>
      </c>
      <c r="H88" s="28" t="s">
        <v>3291</v>
      </c>
      <c r="I88" s="28"/>
      <c r="J88" s="28" t="s">
        <v>254</v>
      </c>
      <c r="K88" s="28" t="s">
        <v>1718</v>
      </c>
      <c r="L88" s="28"/>
      <c r="M88" s="28"/>
      <c r="N88" s="28"/>
      <c r="O88" s="28" t="s">
        <v>3473</v>
      </c>
      <c r="P88" s="28" t="s">
        <v>172</v>
      </c>
      <c r="Q88" s="29" t="s">
        <v>52</v>
      </c>
      <c r="R88" t="s">
        <v>4</v>
      </c>
    </row>
    <row r="89" spans="1:18">
      <c r="A89" s="27" t="s">
        <v>3568</v>
      </c>
      <c r="B89" s="28" t="s">
        <v>4210</v>
      </c>
      <c r="C89" s="28" t="s">
        <v>3020</v>
      </c>
      <c r="D89" s="28" t="s">
        <v>1744</v>
      </c>
      <c r="E89" s="49">
        <v>7</v>
      </c>
      <c r="F89" s="28" t="s">
        <v>3319</v>
      </c>
      <c r="G89" s="28" t="s">
        <v>3320</v>
      </c>
      <c r="H89" s="28" t="s">
        <v>3299</v>
      </c>
      <c r="I89" s="28"/>
      <c r="J89" s="28" t="s">
        <v>1719</v>
      </c>
      <c r="K89" s="28" t="s">
        <v>1720</v>
      </c>
      <c r="L89" s="28"/>
      <c r="M89" s="28"/>
      <c r="N89" s="28"/>
      <c r="O89" s="28" t="s">
        <v>3473</v>
      </c>
      <c r="P89" s="28" t="s">
        <v>156</v>
      </c>
      <c r="Q89" s="29" t="s">
        <v>611</v>
      </c>
      <c r="R89" t="s">
        <v>4</v>
      </c>
    </row>
    <row r="90" spans="1:18">
      <c r="A90" s="27" t="s">
        <v>3569</v>
      </c>
      <c r="B90" s="28" t="s">
        <v>4241</v>
      </c>
      <c r="C90" s="49" t="s">
        <v>3769</v>
      </c>
      <c r="D90" s="49" t="s">
        <v>1732</v>
      </c>
      <c r="E90" s="49">
        <v>2</v>
      </c>
      <c r="F90" s="49" t="s">
        <v>3739</v>
      </c>
      <c r="G90" s="28"/>
      <c r="H90" s="28"/>
      <c r="I90" s="28"/>
      <c r="J90" s="28" t="s">
        <v>3770</v>
      </c>
      <c r="K90" s="28"/>
      <c r="L90" s="28"/>
      <c r="M90" s="28"/>
      <c r="N90" s="28"/>
      <c r="O90" s="28"/>
      <c r="P90" s="28"/>
      <c r="Q90" s="29" t="s">
        <v>45</v>
      </c>
      <c r="R90" t="s">
        <v>4</v>
      </c>
    </row>
    <row r="91" spans="1:18">
      <c r="A91" s="27" t="s">
        <v>3570</v>
      </c>
      <c r="B91" s="28" t="s">
        <v>4214</v>
      </c>
      <c r="C91" s="28" t="s">
        <v>4227</v>
      </c>
      <c r="D91" s="28" t="s">
        <v>1741</v>
      </c>
      <c r="E91" s="49">
        <v>4</v>
      </c>
      <c r="F91" s="49" t="s">
        <v>3739</v>
      </c>
      <c r="G91" s="28"/>
      <c r="H91" s="28"/>
      <c r="I91" s="28"/>
      <c r="J91" s="49" t="s">
        <v>4228</v>
      </c>
      <c r="K91" s="28"/>
      <c r="L91" s="28"/>
      <c r="M91" s="28"/>
      <c r="N91" s="28"/>
      <c r="O91" s="28"/>
      <c r="P91" s="28"/>
      <c r="Q91" s="29" t="s">
        <v>53</v>
      </c>
      <c r="R91" t="s">
        <v>4</v>
      </c>
    </row>
    <row r="92" spans="1:18">
      <c r="A92" s="27" t="s">
        <v>3571</v>
      </c>
      <c r="B92" s="28" t="s">
        <v>4241</v>
      </c>
      <c r="C92" s="28" t="s">
        <v>4231</v>
      </c>
      <c r="D92" s="28" t="s">
        <v>4232</v>
      </c>
      <c r="E92" s="49">
        <v>3</v>
      </c>
      <c r="F92" s="28" t="s">
        <v>3739</v>
      </c>
      <c r="G92" s="28"/>
      <c r="H92" s="28"/>
      <c r="I92" s="28"/>
      <c r="J92" s="28" t="s">
        <v>4233</v>
      </c>
      <c r="K92" s="28"/>
      <c r="L92" s="28"/>
      <c r="M92" s="28"/>
      <c r="N92" s="28"/>
      <c r="O92" s="28"/>
      <c r="P92" s="28"/>
      <c r="Q92" s="29" t="s">
        <v>4234</v>
      </c>
    </row>
    <row r="93" spans="1:18" ht="19.5" thickBot="1">
      <c r="A93" s="27" t="s">
        <v>3572</v>
      </c>
      <c r="B93" s="28" t="s">
        <v>4218</v>
      </c>
      <c r="C93" s="28" t="s">
        <v>4235</v>
      </c>
      <c r="D93" s="28" t="s">
        <v>4236</v>
      </c>
      <c r="E93" s="49">
        <v>4</v>
      </c>
      <c r="F93" s="28" t="s">
        <v>3734</v>
      </c>
      <c r="G93" s="28"/>
      <c r="H93" s="28"/>
      <c r="I93" s="28"/>
      <c r="J93" s="28" t="s">
        <v>4237</v>
      </c>
      <c r="K93" s="28"/>
      <c r="L93" s="28"/>
      <c r="M93" s="28"/>
      <c r="N93" s="28"/>
      <c r="O93" s="28"/>
      <c r="P93" s="28"/>
      <c r="Q93" s="29" t="s">
        <v>4238</v>
      </c>
    </row>
    <row r="94" spans="1:18">
      <c r="A94" s="24" t="s">
        <v>4258</v>
      </c>
      <c r="B94" s="25"/>
      <c r="C94" s="25"/>
      <c r="D94" s="25"/>
      <c r="E94" s="82"/>
      <c r="F94" s="25"/>
      <c r="G94" s="25"/>
      <c r="H94" s="25"/>
      <c r="I94" s="25"/>
      <c r="J94" s="25"/>
      <c r="K94" s="25"/>
      <c r="L94" s="25"/>
      <c r="M94" s="25"/>
      <c r="N94" s="25"/>
      <c r="O94" s="25"/>
      <c r="P94" s="25"/>
      <c r="Q94" s="26"/>
    </row>
    <row r="95" spans="1:18">
      <c r="A95" s="27" t="s">
        <v>4259</v>
      </c>
      <c r="B95" s="28"/>
      <c r="C95" s="28" t="s">
        <v>3141</v>
      </c>
      <c r="D95" s="28" t="s">
        <v>1980</v>
      </c>
      <c r="E95" s="49"/>
      <c r="F95" s="28" t="s">
        <v>3321</v>
      </c>
      <c r="G95" s="28" t="s">
        <v>3320</v>
      </c>
      <c r="H95" s="28" t="s">
        <v>3307</v>
      </c>
      <c r="I95" s="28"/>
      <c r="J95" s="28" t="s">
        <v>1981</v>
      </c>
      <c r="K95" s="28"/>
      <c r="L95" s="28"/>
      <c r="M95" s="28"/>
      <c r="N95" s="28"/>
      <c r="O95" s="28"/>
      <c r="P95" s="28" t="s">
        <v>618</v>
      </c>
      <c r="Q95" s="29" t="s">
        <v>18</v>
      </c>
      <c r="R95" t="s">
        <v>4</v>
      </c>
    </row>
    <row r="96" spans="1:18">
      <c r="A96" s="27" t="s">
        <v>4260</v>
      </c>
      <c r="B96" s="28"/>
      <c r="C96" s="28"/>
      <c r="D96" s="28"/>
      <c r="E96" s="49"/>
      <c r="F96" s="28"/>
      <c r="G96" s="28"/>
      <c r="H96" s="28"/>
      <c r="I96" s="28"/>
      <c r="J96" s="28"/>
      <c r="K96" s="28"/>
      <c r="L96" s="28"/>
      <c r="M96" s="28"/>
      <c r="N96" s="28"/>
      <c r="O96" s="28"/>
      <c r="P96" s="28"/>
      <c r="Q96" s="29"/>
    </row>
    <row r="97" spans="1:18">
      <c r="A97" s="27" t="s">
        <v>4261</v>
      </c>
      <c r="B97" s="28"/>
      <c r="C97" s="28" t="s">
        <v>3144</v>
      </c>
      <c r="D97" s="28" t="s">
        <v>2044</v>
      </c>
      <c r="E97" s="49"/>
      <c r="F97" s="28" t="s">
        <v>3319</v>
      </c>
      <c r="G97" s="28" t="s">
        <v>3320</v>
      </c>
      <c r="H97" s="28" t="s">
        <v>3302</v>
      </c>
      <c r="I97" s="28"/>
      <c r="J97" s="28" t="s">
        <v>1733</v>
      </c>
      <c r="K97" s="28" t="s">
        <v>2038</v>
      </c>
      <c r="L97" s="28"/>
      <c r="M97" s="28"/>
      <c r="N97" s="28"/>
      <c r="O97" s="28"/>
      <c r="P97" s="28" t="s">
        <v>156</v>
      </c>
      <c r="Q97" s="29" t="s">
        <v>16</v>
      </c>
      <c r="R97" t="s">
        <v>4</v>
      </c>
    </row>
    <row r="98" spans="1:18">
      <c r="A98" s="27" t="s">
        <v>4262</v>
      </c>
      <c r="B98" s="28"/>
      <c r="C98" s="28"/>
      <c r="D98" s="28"/>
      <c r="E98" s="49"/>
      <c r="F98" s="28"/>
      <c r="G98" s="28"/>
      <c r="H98" s="28"/>
      <c r="I98" s="28"/>
      <c r="J98" s="28"/>
      <c r="K98" s="28"/>
      <c r="L98" s="28"/>
      <c r="M98" s="28"/>
      <c r="N98" s="28"/>
      <c r="O98" s="28"/>
      <c r="P98" s="28"/>
      <c r="Q98" s="29"/>
    </row>
    <row r="99" spans="1:18">
      <c r="A99" s="27" t="s">
        <v>4263</v>
      </c>
      <c r="B99" s="28"/>
      <c r="C99" s="28"/>
      <c r="D99" s="28"/>
      <c r="E99" s="49"/>
      <c r="F99" s="28"/>
      <c r="G99" s="28"/>
      <c r="H99" s="28"/>
      <c r="I99" s="28"/>
      <c r="J99" s="28"/>
      <c r="K99" s="28"/>
      <c r="L99" s="28"/>
      <c r="M99" s="28"/>
      <c r="N99" s="28"/>
      <c r="O99" s="28"/>
      <c r="P99" s="28"/>
      <c r="Q99" s="29"/>
    </row>
    <row r="100" spans="1:18">
      <c r="A100" s="27" t="s">
        <v>4264</v>
      </c>
      <c r="B100" s="28"/>
      <c r="C100" s="28" t="s">
        <v>3201</v>
      </c>
      <c r="D100" s="28" t="s">
        <v>2153</v>
      </c>
      <c r="E100" s="49"/>
      <c r="F100" s="28" t="s">
        <v>3319</v>
      </c>
      <c r="G100" s="28" t="s">
        <v>3320</v>
      </c>
      <c r="H100" s="28" t="s">
        <v>3287</v>
      </c>
      <c r="I100" s="28"/>
      <c r="J100" s="28" t="s">
        <v>1397</v>
      </c>
      <c r="K100" s="28" t="s">
        <v>1298</v>
      </c>
      <c r="L100" s="28"/>
      <c r="M100" s="28"/>
      <c r="N100" s="28"/>
      <c r="O100" s="28"/>
      <c r="P100" s="28" t="s">
        <v>161</v>
      </c>
      <c r="Q100" s="29" t="s">
        <v>37</v>
      </c>
      <c r="R100" t="s">
        <v>7</v>
      </c>
    </row>
    <row r="101" spans="1:18">
      <c r="A101" s="27" t="s">
        <v>4265</v>
      </c>
      <c r="B101" s="28"/>
      <c r="C101" s="28"/>
      <c r="D101" s="28"/>
      <c r="E101" s="49"/>
      <c r="F101" s="28"/>
      <c r="G101" s="28"/>
      <c r="H101" s="28"/>
      <c r="I101" s="28"/>
      <c r="J101" s="28"/>
      <c r="K101" s="28"/>
      <c r="L101" s="28"/>
      <c r="M101" s="28"/>
      <c r="N101" s="28"/>
      <c r="O101" s="28"/>
      <c r="P101" s="28"/>
      <c r="Q101" s="29"/>
    </row>
    <row r="102" spans="1:18">
      <c r="A102" s="27" t="s">
        <v>4266</v>
      </c>
      <c r="B102" s="28"/>
      <c r="C102" s="28" t="s">
        <v>3212</v>
      </c>
      <c r="D102" s="28" t="s">
        <v>2181</v>
      </c>
      <c r="E102" s="49"/>
      <c r="F102" s="28" t="s">
        <v>3319</v>
      </c>
      <c r="G102" s="28" t="s">
        <v>3320</v>
      </c>
      <c r="H102" s="28" t="s">
        <v>3286</v>
      </c>
      <c r="I102" s="28"/>
      <c r="J102" s="28" t="s">
        <v>21</v>
      </c>
      <c r="K102" s="28"/>
      <c r="L102" s="28"/>
      <c r="M102" s="28"/>
      <c r="N102" s="28"/>
      <c r="O102" s="28"/>
      <c r="P102" s="28" t="s">
        <v>157</v>
      </c>
      <c r="Q102" s="29" t="s">
        <v>8</v>
      </c>
      <c r="R102" t="s">
        <v>7</v>
      </c>
    </row>
    <row r="103" spans="1:18" ht="19.5" thickBot="1">
      <c r="A103" s="27" t="s">
        <v>4267</v>
      </c>
      <c r="B103" s="28"/>
      <c r="C103" s="28" t="s">
        <v>3155</v>
      </c>
      <c r="D103" s="28" t="s">
        <v>2209</v>
      </c>
      <c r="E103" s="49"/>
      <c r="F103" s="28" t="s">
        <v>3319</v>
      </c>
      <c r="G103" s="28" t="s">
        <v>3320</v>
      </c>
      <c r="H103" s="28" t="s">
        <v>3310</v>
      </c>
      <c r="I103" s="28" t="s">
        <v>3287</v>
      </c>
      <c r="J103" s="28" t="s">
        <v>2210</v>
      </c>
      <c r="K103" s="28"/>
      <c r="L103" s="28"/>
      <c r="M103" s="28"/>
      <c r="N103" s="28"/>
      <c r="O103" s="28"/>
      <c r="P103" s="28" t="s">
        <v>154</v>
      </c>
      <c r="Q103" s="29" t="s">
        <v>16</v>
      </c>
      <c r="R103" t="s">
        <v>4</v>
      </c>
    </row>
    <row r="104" spans="1:18">
      <c r="A104" s="24" t="s">
        <v>3573</v>
      </c>
      <c r="B104" s="25"/>
      <c r="C104" s="25" t="s">
        <v>3748</v>
      </c>
      <c r="D104" s="25">
        <v>1</v>
      </c>
      <c r="E104" s="25">
        <v>1</v>
      </c>
      <c r="F104" s="25" t="s">
        <v>3752</v>
      </c>
      <c r="G104" s="25" t="s">
        <v>3750</v>
      </c>
      <c r="H104" s="25"/>
      <c r="I104" s="25"/>
      <c r="J104" s="25" t="s">
        <v>3758</v>
      </c>
      <c r="K104" s="25" t="s">
        <v>3744</v>
      </c>
      <c r="L104" s="25" t="s">
        <v>3745</v>
      </c>
      <c r="M104" s="25"/>
      <c r="N104" s="25"/>
      <c r="O104" s="25"/>
      <c r="P104" s="25"/>
      <c r="Q104" s="26" t="s">
        <v>181</v>
      </c>
      <c r="R104" t="s">
        <v>4</v>
      </c>
    </row>
    <row r="105" spans="1:18">
      <c r="A105" s="27" t="s">
        <v>3574</v>
      </c>
      <c r="B105" s="28"/>
      <c r="C105" s="28" t="s">
        <v>3759</v>
      </c>
      <c r="D105" s="28">
        <v>2</v>
      </c>
      <c r="E105" s="28">
        <v>2</v>
      </c>
      <c r="F105" s="28" t="s">
        <v>3751</v>
      </c>
      <c r="G105" s="28" t="s">
        <v>3750</v>
      </c>
      <c r="H105" s="28"/>
      <c r="I105" s="28"/>
      <c r="J105" s="28" t="s">
        <v>3760</v>
      </c>
      <c r="K105" s="28" t="s">
        <v>3761</v>
      </c>
      <c r="L105" s="28" t="s">
        <v>3745</v>
      </c>
      <c r="M105" s="28"/>
      <c r="N105" s="28"/>
      <c r="O105" s="28"/>
      <c r="P105" s="28"/>
      <c r="Q105" s="29" t="s">
        <v>46</v>
      </c>
      <c r="R105" t="s">
        <v>4</v>
      </c>
    </row>
    <row r="106" spans="1:18">
      <c r="A106" s="27" t="s">
        <v>3575</v>
      </c>
      <c r="B106" s="28"/>
      <c r="C106" s="28" t="s">
        <v>3749</v>
      </c>
      <c r="D106" s="28">
        <v>3</v>
      </c>
      <c r="E106" s="28">
        <v>3</v>
      </c>
      <c r="F106" s="28" t="s">
        <v>3751</v>
      </c>
      <c r="G106" s="28" t="s">
        <v>3750</v>
      </c>
      <c r="H106" s="28"/>
      <c r="I106" s="28"/>
      <c r="J106" s="28" t="s">
        <v>3757</v>
      </c>
      <c r="K106" s="28" t="s">
        <v>3746</v>
      </c>
      <c r="L106" s="28" t="s">
        <v>3747</v>
      </c>
      <c r="M106" s="28"/>
      <c r="N106" s="28"/>
      <c r="O106" s="28"/>
      <c r="P106" s="28"/>
      <c r="Q106" s="29" t="s">
        <v>189</v>
      </c>
      <c r="R106" t="s">
        <v>4</v>
      </c>
    </row>
    <row r="107" spans="1:18">
      <c r="A107" s="27" t="s">
        <v>3576</v>
      </c>
      <c r="B107" s="28"/>
      <c r="C107" s="28" t="s">
        <v>4197</v>
      </c>
      <c r="D107" s="28">
        <v>2</v>
      </c>
      <c r="E107" s="28">
        <v>2</v>
      </c>
      <c r="F107" s="28" t="s">
        <v>3751</v>
      </c>
      <c r="G107" s="28"/>
      <c r="H107" s="28"/>
      <c r="I107" s="28"/>
      <c r="J107" s="28" t="s">
        <v>4198</v>
      </c>
      <c r="K107" s="28"/>
      <c r="L107" s="28"/>
      <c r="M107" s="28"/>
      <c r="N107" s="28"/>
      <c r="O107" s="28"/>
      <c r="P107" s="28"/>
      <c r="Q107" s="29" t="s">
        <v>18</v>
      </c>
      <c r="R107" t="s">
        <v>4</v>
      </c>
    </row>
    <row r="108" spans="1:18">
      <c r="A108" s="27" t="s">
        <v>3577</v>
      </c>
      <c r="B108" s="28"/>
      <c r="C108" s="28" t="s">
        <v>4199</v>
      </c>
      <c r="D108" s="28">
        <v>3</v>
      </c>
      <c r="E108" s="28">
        <v>3</v>
      </c>
      <c r="F108" s="28" t="s">
        <v>3751</v>
      </c>
      <c r="G108" s="28"/>
      <c r="H108" s="28"/>
      <c r="I108" s="28"/>
      <c r="J108" s="28" t="s">
        <v>4200</v>
      </c>
      <c r="K108" s="28"/>
      <c r="L108" s="28"/>
      <c r="M108" s="28"/>
      <c r="N108" s="28"/>
      <c r="O108" s="28"/>
      <c r="P108" s="28"/>
      <c r="Q108" s="29" t="s">
        <v>29</v>
      </c>
      <c r="R108" t="s">
        <v>4</v>
      </c>
    </row>
    <row r="109" spans="1:18">
      <c r="A109" s="27" t="s">
        <v>3755</v>
      </c>
      <c r="B109" s="28"/>
      <c r="C109" s="28" t="s">
        <v>4201</v>
      </c>
      <c r="D109" s="28">
        <v>3</v>
      </c>
      <c r="E109" s="28">
        <v>3</v>
      </c>
      <c r="F109" s="28" t="s">
        <v>3751</v>
      </c>
      <c r="G109" s="28"/>
      <c r="H109" s="28"/>
      <c r="I109" s="28"/>
      <c r="J109" s="28" t="s">
        <v>4202</v>
      </c>
      <c r="K109" s="28" t="s">
        <v>4203</v>
      </c>
      <c r="L109" s="28"/>
      <c r="M109" s="28"/>
      <c r="N109" s="28"/>
      <c r="O109" s="28"/>
      <c r="P109" s="28"/>
      <c r="Q109" s="29" t="s">
        <v>35</v>
      </c>
      <c r="R109" t="s">
        <v>4</v>
      </c>
    </row>
    <row r="110" spans="1:18">
      <c r="A110" s="27" t="s">
        <v>3756</v>
      </c>
      <c r="B110" s="28"/>
      <c r="C110" s="28" t="s">
        <v>4204</v>
      </c>
      <c r="D110" s="49">
        <v>0</v>
      </c>
      <c r="E110" s="28">
        <v>0</v>
      </c>
      <c r="F110" s="28" t="s">
        <v>3751</v>
      </c>
      <c r="G110" s="28" t="s">
        <v>3750</v>
      </c>
      <c r="H110" s="28"/>
      <c r="I110" s="28"/>
      <c r="J110" s="28" t="s">
        <v>4205</v>
      </c>
      <c r="K110" s="28"/>
      <c r="L110" s="28" t="s">
        <v>3745</v>
      </c>
      <c r="M110" s="28"/>
      <c r="N110" s="28"/>
      <c r="O110" s="28"/>
      <c r="P110" s="28"/>
      <c r="Q110" s="29" t="s">
        <v>4206</v>
      </c>
      <c r="R110" t="s">
        <v>4</v>
      </c>
    </row>
    <row r="111" spans="1:18">
      <c r="A111" s="27" t="s">
        <v>4268</v>
      </c>
      <c r="B111" s="28"/>
      <c r="C111" s="28"/>
      <c r="D111" s="49"/>
      <c r="E111" s="28"/>
      <c r="F111" s="28"/>
      <c r="G111" s="28"/>
      <c r="H111" s="28"/>
      <c r="I111" s="28"/>
      <c r="J111" s="28"/>
      <c r="K111" s="28"/>
      <c r="L111" s="28"/>
      <c r="M111" s="28"/>
      <c r="N111" s="28"/>
      <c r="O111" s="28"/>
      <c r="P111" s="28"/>
      <c r="Q111" s="29"/>
    </row>
    <row r="112" spans="1:18">
      <c r="A112" s="27" t="s">
        <v>4269</v>
      </c>
      <c r="B112" s="28"/>
      <c r="C112" s="28" t="s">
        <v>4274</v>
      </c>
      <c r="D112" s="49">
        <v>5</v>
      </c>
      <c r="E112" s="28"/>
      <c r="F112" s="28" t="s">
        <v>3751</v>
      </c>
      <c r="G112" s="28" t="s">
        <v>4275</v>
      </c>
      <c r="H112" s="28"/>
      <c r="I112" s="28"/>
      <c r="J112" s="49" t="s">
        <v>4276</v>
      </c>
      <c r="K112" s="49" t="s">
        <v>4277</v>
      </c>
      <c r="L112" s="28"/>
      <c r="M112" s="28"/>
      <c r="N112" s="28"/>
      <c r="O112" s="28"/>
      <c r="P112" s="28"/>
      <c r="Q112" s="29" t="s">
        <v>4278</v>
      </c>
    </row>
    <row r="113" spans="1:18" ht="19.5" thickBot="1">
      <c r="A113" s="27" t="s">
        <v>4270</v>
      </c>
      <c r="B113" s="28"/>
      <c r="C113" s="28"/>
      <c r="D113" s="49"/>
      <c r="E113" s="28"/>
      <c r="F113" s="28"/>
      <c r="G113" s="28"/>
      <c r="H113" s="28"/>
      <c r="I113" s="28"/>
      <c r="J113" s="28"/>
      <c r="K113" s="28"/>
      <c r="L113" s="28"/>
      <c r="M113" s="28"/>
      <c r="N113" s="28"/>
      <c r="O113" s="28"/>
      <c r="P113" s="28"/>
      <c r="Q113" s="29"/>
    </row>
    <row r="114" spans="1:18">
      <c r="A114" s="33" t="s">
        <v>3740</v>
      </c>
      <c r="B114" s="25"/>
      <c r="C114" s="25" t="s">
        <v>4190</v>
      </c>
      <c r="D114" s="25"/>
      <c r="E114" s="25"/>
      <c r="F114" s="25" t="s">
        <v>4191</v>
      </c>
      <c r="G114" s="25"/>
      <c r="H114" s="25"/>
      <c r="I114" s="25"/>
      <c r="J114" s="25" t="s">
        <v>4192</v>
      </c>
      <c r="K114" s="25"/>
      <c r="L114" s="25"/>
      <c r="M114" s="25"/>
      <c r="N114" s="25"/>
      <c r="O114" s="25"/>
      <c r="P114" s="25"/>
      <c r="Q114" s="26" t="s">
        <v>36</v>
      </c>
      <c r="R114" t="s">
        <v>4</v>
      </c>
    </row>
    <row r="115" spans="1:18">
      <c r="A115" s="83" t="s">
        <v>3741</v>
      </c>
      <c r="B115" s="28"/>
      <c r="C115" s="28" t="s">
        <v>4208</v>
      </c>
      <c r="D115" s="28"/>
      <c r="E115" s="28"/>
      <c r="F115" s="28" t="s">
        <v>4191</v>
      </c>
      <c r="G115" s="28"/>
      <c r="H115" s="28"/>
      <c r="I115" s="28"/>
      <c r="J115" s="28" t="s">
        <v>4209</v>
      </c>
      <c r="K115" s="28" t="s">
        <v>298</v>
      </c>
      <c r="L115" s="28"/>
      <c r="M115" s="28"/>
      <c r="N115" s="28"/>
      <c r="O115" s="28"/>
      <c r="P115" s="28"/>
      <c r="Q115" s="29" t="s">
        <v>177</v>
      </c>
      <c r="R115" t="s">
        <v>4</v>
      </c>
    </row>
    <row r="116" spans="1:18">
      <c r="A116" s="83" t="s">
        <v>4207</v>
      </c>
      <c r="B116" s="28"/>
      <c r="C116" s="28" t="s">
        <v>4193</v>
      </c>
      <c r="D116" s="28"/>
      <c r="E116" s="28"/>
      <c r="F116" s="28" t="s">
        <v>4191</v>
      </c>
      <c r="G116" s="28"/>
      <c r="H116" s="28"/>
      <c r="I116" s="28"/>
      <c r="J116" s="28" t="s">
        <v>4194</v>
      </c>
      <c r="K116" s="28" t="s">
        <v>4195</v>
      </c>
      <c r="L116" s="28" t="s">
        <v>4196</v>
      </c>
      <c r="M116" s="28"/>
      <c r="N116" s="28"/>
      <c r="O116" s="28"/>
      <c r="P116" s="28"/>
      <c r="Q116" s="29" t="s">
        <v>18</v>
      </c>
      <c r="R116" t="s">
        <v>4</v>
      </c>
    </row>
    <row r="117" spans="1:18">
      <c r="A117" s="83" t="s">
        <v>4271</v>
      </c>
      <c r="B117" s="28"/>
      <c r="C117" s="28"/>
      <c r="D117" s="28"/>
      <c r="E117" s="28"/>
      <c r="F117" s="28"/>
      <c r="G117" s="28"/>
      <c r="H117" s="28"/>
      <c r="I117" s="28"/>
      <c r="J117" s="28"/>
      <c r="K117" s="28"/>
      <c r="L117" s="28"/>
      <c r="M117" s="28"/>
      <c r="N117" s="28"/>
      <c r="O117" s="28"/>
      <c r="P117" s="28"/>
      <c r="Q117" s="29"/>
    </row>
    <row r="118" spans="1:18" ht="19.5" thickBot="1">
      <c r="A118" s="34" t="s">
        <v>4272</v>
      </c>
      <c r="B118" s="31"/>
      <c r="C118" s="31"/>
      <c r="D118" s="31"/>
      <c r="E118" s="31"/>
      <c r="F118" s="31"/>
      <c r="G118" s="31"/>
      <c r="H118" s="31"/>
      <c r="I118" s="31"/>
      <c r="J118" s="31"/>
      <c r="K118" s="31"/>
      <c r="L118" s="31"/>
      <c r="M118" s="31"/>
      <c r="N118" s="31"/>
      <c r="O118" s="31"/>
      <c r="P118" s="31"/>
      <c r="Q118" s="32"/>
    </row>
  </sheetData>
  <sortState ref="W5:W55">
    <sortCondition ref="W5"/>
  </sortState>
  <phoneticPr fontId="2"/>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1"/>
  <sheetViews>
    <sheetView workbookViewId="0">
      <pane ySplit="1" topLeftCell="A2" activePane="bottomLeft" state="frozen"/>
      <selection pane="bottomLeft" activeCell="J35" sqref="J35"/>
    </sheetView>
  </sheetViews>
  <sheetFormatPr defaultRowHeight="18.75"/>
  <sheetData>
    <row r="1" spans="1:18" ht="19.5" thickBot="1">
      <c r="B1" t="s">
        <v>3488</v>
      </c>
      <c r="C1" t="s">
        <v>3474</v>
      </c>
      <c r="D1" t="s">
        <v>3475</v>
      </c>
      <c r="E1" t="s">
        <v>3489</v>
      </c>
      <c r="F1" t="s">
        <v>3477</v>
      </c>
      <c r="G1" t="s">
        <v>3479</v>
      </c>
      <c r="H1" t="s">
        <v>3481</v>
      </c>
      <c r="I1" t="s">
        <v>3482</v>
      </c>
      <c r="J1" t="s">
        <v>3483</v>
      </c>
      <c r="P1" t="s">
        <v>3484</v>
      </c>
      <c r="Q1" t="s">
        <v>3486</v>
      </c>
    </row>
    <row r="2" spans="1:18">
      <c r="A2" s="24" t="s">
        <v>3578</v>
      </c>
      <c r="B2" s="25"/>
      <c r="C2" s="25" t="s">
        <v>3778</v>
      </c>
      <c r="D2" s="25" t="s">
        <v>209</v>
      </c>
      <c r="E2" s="25"/>
      <c r="F2" s="25" t="s">
        <v>3776</v>
      </c>
      <c r="G2" s="25" t="s">
        <v>3738</v>
      </c>
      <c r="H2" s="25"/>
      <c r="I2" s="25"/>
      <c r="J2" s="25" t="s">
        <v>3737</v>
      </c>
      <c r="K2" s="25" t="s">
        <v>3779</v>
      </c>
      <c r="L2" s="25" t="s">
        <v>3780</v>
      </c>
      <c r="M2" s="25"/>
      <c r="N2" s="25"/>
      <c r="O2" s="25"/>
      <c r="P2" s="25"/>
      <c r="Q2" s="26" t="s">
        <v>46</v>
      </c>
      <c r="R2" t="s">
        <v>7</v>
      </c>
    </row>
    <row r="3" spans="1:18">
      <c r="A3" s="27" t="s">
        <v>3579</v>
      </c>
      <c r="B3" s="28"/>
      <c r="C3" s="28"/>
      <c r="D3" s="28"/>
      <c r="E3" s="28"/>
      <c r="F3" s="28"/>
      <c r="G3" s="28"/>
      <c r="H3" s="28"/>
      <c r="I3" s="28"/>
      <c r="J3" s="28"/>
      <c r="K3" s="28"/>
      <c r="L3" s="28"/>
      <c r="M3" s="28"/>
      <c r="N3" s="28"/>
      <c r="O3" s="28"/>
      <c r="P3" s="28"/>
      <c r="Q3" s="29"/>
    </row>
    <row r="4" spans="1:18">
      <c r="A4" s="27" t="s">
        <v>3580</v>
      </c>
      <c r="B4" s="28"/>
      <c r="C4" s="28"/>
      <c r="D4" s="28"/>
      <c r="E4" s="28"/>
      <c r="F4" s="28"/>
      <c r="G4" s="28"/>
      <c r="H4" s="28"/>
      <c r="I4" s="28"/>
      <c r="J4" s="28"/>
      <c r="K4" s="28"/>
      <c r="L4" s="28"/>
      <c r="M4" s="28"/>
      <c r="N4" s="28"/>
      <c r="O4" s="28"/>
      <c r="P4" s="28"/>
      <c r="Q4" s="29"/>
    </row>
    <row r="5" spans="1:18">
      <c r="A5" s="27" t="s">
        <v>3581</v>
      </c>
      <c r="B5" s="28"/>
      <c r="C5" s="28"/>
      <c r="D5" s="28"/>
      <c r="E5" s="28"/>
      <c r="F5" s="28"/>
      <c r="G5" s="28"/>
      <c r="H5" s="28"/>
      <c r="I5" s="28"/>
      <c r="J5" s="28"/>
      <c r="K5" s="28"/>
      <c r="L5" s="28"/>
      <c r="M5" s="28"/>
      <c r="N5" s="28"/>
      <c r="O5" s="28"/>
      <c r="P5" s="28"/>
      <c r="Q5" s="29"/>
    </row>
    <row r="6" spans="1:18">
      <c r="A6" s="27" t="s">
        <v>3582</v>
      </c>
      <c r="B6" s="28"/>
      <c r="C6" s="28"/>
      <c r="D6" s="28"/>
      <c r="E6" s="28"/>
      <c r="F6" s="28"/>
      <c r="G6" s="28"/>
      <c r="H6" s="28"/>
      <c r="I6" s="28"/>
      <c r="J6" s="28"/>
      <c r="K6" s="28"/>
      <c r="L6" s="28"/>
      <c r="M6" s="28"/>
      <c r="N6" s="28"/>
      <c r="O6" s="28"/>
      <c r="P6" s="28"/>
      <c r="Q6" s="29"/>
    </row>
    <row r="7" spans="1:18">
      <c r="A7" s="27" t="s">
        <v>3583</v>
      </c>
      <c r="B7" s="28"/>
      <c r="C7" s="28"/>
      <c r="D7" s="28"/>
      <c r="E7" s="28"/>
      <c r="F7" s="28"/>
      <c r="G7" s="28"/>
      <c r="H7" s="28"/>
      <c r="I7" s="28"/>
      <c r="J7" s="28"/>
      <c r="K7" s="28"/>
      <c r="L7" s="28"/>
      <c r="M7" s="28"/>
      <c r="N7" s="28"/>
      <c r="O7" s="28"/>
      <c r="P7" s="28"/>
      <c r="Q7" s="29"/>
    </row>
    <row r="8" spans="1:18">
      <c r="A8" s="27" t="s">
        <v>3584</v>
      </c>
      <c r="B8" s="28"/>
      <c r="C8" s="28"/>
      <c r="D8" s="28"/>
      <c r="E8" s="28"/>
      <c r="F8" s="28"/>
      <c r="G8" s="28"/>
      <c r="H8" s="28"/>
      <c r="I8" s="28"/>
      <c r="J8" s="28"/>
      <c r="K8" s="28"/>
      <c r="L8" s="28"/>
      <c r="M8" s="28"/>
      <c r="N8" s="28"/>
      <c r="O8" s="28"/>
      <c r="P8" s="28"/>
      <c r="Q8" s="29"/>
    </row>
    <row r="9" spans="1:18">
      <c r="A9" s="27" t="s">
        <v>3585</v>
      </c>
      <c r="B9" s="28"/>
      <c r="C9" s="28"/>
      <c r="D9" s="28"/>
      <c r="E9" s="28"/>
      <c r="F9" s="28"/>
      <c r="G9" s="28"/>
      <c r="H9" s="28"/>
      <c r="I9" s="28"/>
      <c r="J9" s="28"/>
      <c r="K9" s="28"/>
      <c r="L9" s="28"/>
      <c r="M9" s="28"/>
      <c r="N9" s="28"/>
      <c r="O9" s="28"/>
      <c r="P9" s="28"/>
      <c r="Q9" s="29"/>
    </row>
    <row r="10" spans="1:18">
      <c r="A10" s="27" t="s">
        <v>3586</v>
      </c>
      <c r="B10" s="28"/>
      <c r="C10" s="28"/>
      <c r="D10" s="28"/>
      <c r="E10" s="28"/>
      <c r="F10" s="28"/>
      <c r="G10" s="28"/>
      <c r="H10" s="28"/>
      <c r="I10" s="28"/>
      <c r="J10" s="28"/>
      <c r="K10" s="28"/>
      <c r="L10" s="28"/>
      <c r="M10" s="28"/>
      <c r="N10" s="28"/>
      <c r="O10" s="28"/>
      <c r="P10" s="28"/>
      <c r="Q10" s="29"/>
    </row>
    <row r="11" spans="1:18">
      <c r="A11" s="27" t="s">
        <v>3587</v>
      </c>
      <c r="B11" s="28"/>
      <c r="C11" s="28"/>
      <c r="D11" s="28"/>
      <c r="E11" s="28"/>
      <c r="F11" s="28"/>
      <c r="G11" s="28"/>
      <c r="H11" s="28"/>
      <c r="I11" s="28"/>
      <c r="J11" s="28"/>
      <c r="K11" s="28"/>
      <c r="L11" s="28"/>
      <c r="M11" s="28"/>
      <c r="N11" s="28"/>
      <c r="O11" s="28"/>
      <c r="P11" s="28"/>
      <c r="Q11" s="29"/>
    </row>
    <row r="12" spans="1:18" ht="19.5" thickBot="1">
      <c r="A12" s="30" t="s">
        <v>3588</v>
      </c>
      <c r="B12" s="31"/>
      <c r="C12" s="31"/>
      <c r="D12" s="31"/>
      <c r="E12" s="31"/>
      <c r="F12" s="31"/>
      <c r="G12" s="31"/>
      <c r="H12" s="31"/>
      <c r="I12" s="31"/>
      <c r="J12" s="31"/>
      <c r="K12" s="31"/>
      <c r="L12" s="31"/>
      <c r="M12" s="31"/>
      <c r="N12" s="31"/>
      <c r="O12" s="31"/>
      <c r="P12" s="31"/>
      <c r="Q12" s="32"/>
    </row>
    <row r="13" spans="1:18">
      <c r="A13" s="24" t="s">
        <v>3589</v>
      </c>
      <c r="B13" s="25"/>
      <c r="C13" s="25" t="s">
        <v>3773</v>
      </c>
      <c r="D13" s="25" t="s">
        <v>866</v>
      </c>
      <c r="E13" s="25"/>
      <c r="F13" s="25" t="s">
        <v>3734</v>
      </c>
      <c r="G13" s="25"/>
      <c r="H13" s="25"/>
      <c r="I13" s="25"/>
      <c r="J13" s="25" t="s">
        <v>3774</v>
      </c>
      <c r="K13" s="25"/>
      <c r="L13" s="25"/>
      <c r="M13" s="25"/>
      <c r="N13" s="25"/>
      <c r="O13" s="25"/>
      <c r="P13" s="25"/>
      <c r="Q13" s="26" t="s">
        <v>52</v>
      </c>
      <c r="R13" t="s">
        <v>7</v>
      </c>
    </row>
    <row r="14" spans="1:18">
      <c r="A14" s="27" t="s">
        <v>3590</v>
      </c>
      <c r="B14" s="28"/>
      <c r="C14" s="28" t="s">
        <v>3786</v>
      </c>
      <c r="D14" s="28" t="s">
        <v>866</v>
      </c>
      <c r="E14" s="28"/>
      <c r="F14" s="28" t="s">
        <v>3787</v>
      </c>
      <c r="G14" s="28" t="s">
        <v>3307</v>
      </c>
      <c r="H14" s="28"/>
      <c r="I14" s="28"/>
      <c r="J14" s="28" t="s">
        <v>3445</v>
      </c>
      <c r="K14" s="28" t="s">
        <v>3446</v>
      </c>
      <c r="L14" s="28"/>
      <c r="M14" s="28"/>
      <c r="N14" s="28"/>
      <c r="O14" s="28"/>
      <c r="P14" s="28"/>
      <c r="Q14" s="29" t="s">
        <v>3441</v>
      </c>
      <c r="R14" t="s">
        <v>7</v>
      </c>
    </row>
    <row r="15" spans="1:18">
      <c r="A15" s="27" t="s">
        <v>3591</v>
      </c>
      <c r="B15" s="28"/>
      <c r="C15" s="28"/>
      <c r="D15" s="28"/>
      <c r="E15" s="28"/>
      <c r="F15" s="28"/>
      <c r="G15" s="28"/>
      <c r="H15" s="28"/>
      <c r="I15" s="28"/>
      <c r="J15" s="28"/>
      <c r="K15" s="28"/>
      <c r="L15" s="28"/>
      <c r="M15" s="28"/>
      <c r="N15" s="28"/>
      <c r="O15" s="28"/>
      <c r="P15" s="28"/>
      <c r="Q15" s="29"/>
    </row>
    <row r="16" spans="1:18">
      <c r="A16" s="27" t="s">
        <v>3592</v>
      </c>
      <c r="B16" s="28"/>
      <c r="C16" s="28"/>
      <c r="D16" s="28"/>
      <c r="E16" s="28"/>
      <c r="F16" s="28"/>
      <c r="G16" s="28"/>
      <c r="H16" s="28"/>
      <c r="I16" s="28"/>
      <c r="J16" s="28"/>
      <c r="K16" s="28"/>
      <c r="L16" s="28"/>
      <c r="M16" s="28"/>
      <c r="N16" s="28"/>
      <c r="O16" s="28"/>
      <c r="P16" s="28"/>
      <c r="Q16" s="29"/>
    </row>
    <row r="17" spans="1:18">
      <c r="A17" s="27" t="s">
        <v>3593</v>
      </c>
      <c r="B17" s="28"/>
      <c r="C17" s="28"/>
      <c r="D17" s="28"/>
      <c r="E17" s="28"/>
      <c r="F17" s="28"/>
      <c r="G17" s="28"/>
      <c r="H17" s="28"/>
      <c r="I17" s="28"/>
      <c r="J17" s="28"/>
      <c r="K17" s="28"/>
      <c r="L17" s="28"/>
      <c r="M17" s="28"/>
      <c r="N17" s="28"/>
      <c r="O17" s="28"/>
      <c r="P17" s="28"/>
      <c r="Q17" s="29"/>
    </row>
    <row r="18" spans="1:18">
      <c r="A18" s="27" t="s">
        <v>3594</v>
      </c>
      <c r="B18" s="28"/>
      <c r="C18" s="28"/>
      <c r="D18" s="28"/>
      <c r="E18" s="28"/>
      <c r="F18" s="28"/>
      <c r="G18" s="28"/>
      <c r="H18" s="28"/>
      <c r="I18" s="28"/>
      <c r="J18" s="28"/>
      <c r="K18" s="28"/>
      <c r="L18" s="28"/>
      <c r="M18" s="28"/>
      <c r="N18" s="28"/>
      <c r="O18" s="28"/>
      <c r="P18" s="28"/>
      <c r="Q18" s="29"/>
    </row>
    <row r="19" spans="1:18">
      <c r="A19" s="27" t="s">
        <v>3595</v>
      </c>
      <c r="B19" s="28"/>
      <c r="C19" s="28"/>
      <c r="D19" s="28"/>
      <c r="E19" s="28"/>
      <c r="F19" s="28"/>
      <c r="G19" s="28"/>
      <c r="H19" s="28"/>
      <c r="I19" s="28"/>
      <c r="J19" s="28"/>
      <c r="K19" s="28"/>
      <c r="L19" s="28"/>
      <c r="M19" s="28"/>
      <c r="N19" s="28"/>
      <c r="O19" s="28"/>
      <c r="P19" s="28"/>
      <c r="Q19" s="29"/>
    </row>
    <row r="20" spans="1:18">
      <c r="A20" s="27" t="s">
        <v>3596</v>
      </c>
      <c r="B20" s="28"/>
      <c r="C20" s="28"/>
      <c r="D20" s="28"/>
      <c r="E20" s="28"/>
      <c r="F20" s="28"/>
      <c r="G20" s="28"/>
      <c r="H20" s="28"/>
      <c r="I20" s="28"/>
      <c r="J20" s="28"/>
      <c r="K20" s="28"/>
      <c r="L20" s="28"/>
      <c r="M20" s="28"/>
      <c r="N20" s="28"/>
      <c r="O20" s="28"/>
      <c r="P20" s="28"/>
      <c r="Q20" s="29"/>
    </row>
    <row r="21" spans="1:18">
      <c r="A21" s="27" t="s">
        <v>3597</v>
      </c>
      <c r="B21" s="28"/>
      <c r="C21" s="28"/>
      <c r="D21" s="28"/>
      <c r="E21" s="28"/>
      <c r="F21" s="28"/>
      <c r="G21" s="28"/>
      <c r="H21" s="28"/>
      <c r="I21" s="28"/>
      <c r="J21" s="28"/>
      <c r="K21" s="28"/>
      <c r="L21" s="28"/>
      <c r="M21" s="28"/>
      <c r="N21" s="28"/>
      <c r="O21" s="28"/>
      <c r="P21" s="28"/>
      <c r="Q21" s="29"/>
    </row>
    <row r="22" spans="1:18">
      <c r="A22" s="27" t="s">
        <v>3598</v>
      </c>
      <c r="B22" s="28"/>
      <c r="C22" s="28"/>
      <c r="D22" s="28"/>
      <c r="E22" s="28"/>
      <c r="F22" s="28"/>
      <c r="G22" s="28"/>
      <c r="H22" s="28"/>
      <c r="I22" s="28"/>
      <c r="J22" s="28"/>
      <c r="K22" s="28"/>
      <c r="L22" s="28"/>
      <c r="M22" s="28"/>
      <c r="N22" s="28"/>
      <c r="O22" s="28"/>
      <c r="P22" s="28"/>
      <c r="Q22" s="29"/>
    </row>
    <row r="23" spans="1:18" ht="19.5" thickBot="1">
      <c r="A23" s="30" t="s">
        <v>3599</v>
      </c>
      <c r="B23" s="31"/>
      <c r="C23" s="31"/>
      <c r="D23" s="31"/>
      <c r="E23" s="31"/>
      <c r="F23" s="31"/>
      <c r="G23" s="31"/>
      <c r="H23" s="31"/>
      <c r="I23" s="31"/>
      <c r="J23" s="31"/>
      <c r="K23" s="31"/>
      <c r="L23" s="31"/>
      <c r="M23" s="31"/>
      <c r="N23" s="31"/>
      <c r="O23" s="31"/>
      <c r="P23" s="31"/>
      <c r="Q23" s="32"/>
    </row>
    <row r="24" spans="1:18">
      <c r="A24" s="24" t="s">
        <v>3600</v>
      </c>
      <c r="B24" s="25"/>
      <c r="C24" s="25" t="s">
        <v>3771</v>
      </c>
      <c r="D24" s="25" t="s">
        <v>1127</v>
      </c>
      <c r="E24" s="25"/>
      <c r="F24" s="25" t="s">
        <v>3739</v>
      </c>
      <c r="G24" s="25"/>
      <c r="H24" s="25"/>
      <c r="I24" s="25"/>
      <c r="J24" s="25" t="s">
        <v>3772</v>
      </c>
      <c r="K24" s="25"/>
      <c r="L24" s="25"/>
      <c r="M24" s="25"/>
      <c r="N24" s="25"/>
      <c r="O24" s="25"/>
      <c r="P24" s="25"/>
      <c r="Q24" s="26" t="s">
        <v>52</v>
      </c>
      <c r="R24" t="s">
        <v>7</v>
      </c>
    </row>
    <row r="25" spans="1:18">
      <c r="A25" s="27" t="s">
        <v>3601</v>
      </c>
      <c r="B25" s="28"/>
      <c r="C25" s="28" t="s">
        <v>3788</v>
      </c>
      <c r="D25" s="28" t="s">
        <v>1131</v>
      </c>
      <c r="E25" s="28"/>
      <c r="F25" s="28" t="s">
        <v>3789</v>
      </c>
      <c r="G25" s="28" t="s">
        <v>3307</v>
      </c>
      <c r="H25" s="28"/>
      <c r="I25" s="28"/>
      <c r="J25" s="28" t="s">
        <v>3454</v>
      </c>
      <c r="K25" s="28" t="s">
        <v>3455</v>
      </c>
      <c r="L25" s="28"/>
      <c r="M25" s="28"/>
      <c r="N25" s="28"/>
      <c r="O25" s="28"/>
      <c r="P25" s="28"/>
      <c r="Q25" s="29" t="s">
        <v>3441</v>
      </c>
      <c r="R25" t="s">
        <v>7</v>
      </c>
    </row>
    <row r="26" spans="1:18">
      <c r="A26" s="27" t="s">
        <v>3602</v>
      </c>
      <c r="B26" s="28"/>
      <c r="C26" s="28"/>
      <c r="D26" s="28"/>
      <c r="E26" s="28"/>
      <c r="F26" s="28"/>
      <c r="G26" s="28"/>
      <c r="H26" s="28"/>
      <c r="I26" s="28"/>
      <c r="J26" s="28"/>
      <c r="K26" s="28"/>
      <c r="L26" s="28"/>
      <c r="M26" s="28"/>
      <c r="N26" s="28"/>
      <c r="O26" s="28"/>
      <c r="P26" s="28"/>
      <c r="Q26" s="29"/>
    </row>
    <row r="27" spans="1:18">
      <c r="A27" s="27" t="s">
        <v>3603</v>
      </c>
      <c r="B27" s="28"/>
      <c r="C27" s="28"/>
      <c r="D27" s="28"/>
      <c r="E27" s="28"/>
      <c r="F27" s="28"/>
      <c r="G27" s="28"/>
      <c r="H27" s="28"/>
      <c r="I27" s="28"/>
      <c r="J27" s="28"/>
      <c r="K27" s="28"/>
      <c r="L27" s="28"/>
      <c r="M27" s="28"/>
      <c r="N27" s="28"/>
      <c r="O27" s="28"/>
      <c r="P27" s="28"/>
      <c r="Q27" s="29"/>
    </row>
    <row r="28" spans="1:18">
      <c r="A28" s="27" t="s">
        <v>3604</v>
      </c>
      <c r="B28" s="28"/>
      <c r="C28" s="28"/>
      <c r="D28" s="28"/>
      <c r="E28" s="28"/>
      <c r="F28" s="28"/>
      <c r="G28" s="28"/>
      <c r="H28" s="28"/>
      <c r="I28" s="28"/>
      <c r="J28" s="28"/>
      <c r="K28" s="28"/>
      <c r="L28" s="28"/>
      <c r="M28" s="28"/>
      <c r="N28" s="28"/>
      <c r="O28" s="28"/>
      <c r="P28" s="28"/>
      <c r="Q28" s="29"/>
    </row>
    <row r="29" spans="1:18">
      <c r="A29" s="27" t="s">
        <v>3605</v>
      </c>
      <c r="B29" s="28"/>
      <c r="C29" s="28"/>
      <c r="D29" s="28"/>
      <c r="E29" s="28"/>
      <c r="F29" s="28"/>
      <c r="G29" s="28"/>
      <c r="H29" s="28"/>
      <c r="I29" s="28"/>
      <c r="J29" s="28"/>
      <c r="K29" s="28"/>
      <c r="L29" s="28"/>
      <c r="M29" s="28"/>
      <c r="N29" s="28"/>
      <c r="O29" s="28"/>
      <c r="P29" s="28"/>
      <c r="Q29" s="29"/>
    </row>
    <row r="30" spans="1:18">
      <c r="A30" s="27" t="s">
        <v>3606</v>
      </c>
      <c r="B30" s="28"/>
      <c r="C30" s="28"/>
      <c r="D30" s="28"/>
      <c r="E30" s="28"/>
      <c r="F30" s="28"/>
      <c r="G30" s="28"/>
      <c r="H30" s="28"/>
      <c r="I30" s="28"/>
      <c r="J30" s="28"/>
      <c r="K30" s="28"/>
      <c r="L30" s="28"/>
      <c r="M30" s="28"/>
      <c r="N30" s="28"/>
      <c r="O30" s="28"/>
      <c r="P30" s="28"/>
      <c r="Q30" s="29"/>
    </row>
    <row r="31" spans="1:18">
      <c r="A31" s="27" t="s">
        <v>3607</v>
      </c>
      <c r="B31" s="28"/>
      <c r="C31" s="28"/>
      <c r="D31" s="28"/>
      <c r="E31" s="28"/>
      <c r="F31" s="28"/>
      <c r="G31" s="28"/>
      <c r="H31" s="28"/>
      <c r="I31" s="28"/>
      <c r="J31" s="28"/>
      <c r="K31" s="28"/>
      <c r="L31" s="28"/>
      <c r="M31" s="28"/>
      <c r="N31" s="28"/>
      <c r="O31" s="28"/>
      <c r="P31" s="28"/>
      <c r="Q31" s="29"/>
    </row>
    <row r="32" spans="1:18">
      <c r="A32" s="27" t="s">
        <v>3608</v>
      </c>
      <c r="B32" s="28"/>
      <c r="C32" s="28"/>
      <c r="D32" s="28"/>
      <c r="E32" s="28"/>
      <c r="F32" s="28"/>
      <c r="G32" s="28"/>
      <c r="H32" s="28"/>
      <c r="I32" s="28"/>
      <c r="J32" s="28"/>
      <c r="K32" s="28"/>
      <c r="L32" s="28"/>
      <c r="M32" s="28"/>
      <c r="N32" s="28"/>
      <c r="O32" s="28"/>
      <c r="P32" s="28"/>
      <c r="Q32" s="29"/>
    </row>
    <row r="33" spans="1:18">
      <c r="A33" s="27" t="s">
        <v>3609</v>
      </c>
      <c r="B33" s="28"/>
      <c r="C33" s="28"/>
      <c r="D33" s="28"/>
      <c r="E33" s="28"/>
      <c r="F33" s="28"/>
      <c r="G33" s="28"/>
      <c r="H33" s="28"/>
      <c r="I33" s="28"/>
      <c r="J33" s="28"/>
      <c r="K33" s="28"/>
      <c r="L33" s="28"/>
      <c r="M33" s="28"/>
      <c r="N33" s="28"/>
      <c r="O33" s="28"/>
      <c r="P33" s="28"/>
      <c r="Q33" s="29"/>
    </row>
    <row r="34" spans="1:18" ht="19.5" thickBot="1">
      <c r="A34" s="30" t="s">
        <v>3610</v>
      </c>
      <c r="B34" s="31"/>
      <c r="C34" s="31"/>
      <c r="D34" s="31"/>
      <c r="E34" s="31"/>
      <c r="F34" s="31"/>
      <c r="G34" s="31"/>
      <c r="H34" s="31"/>
      <c r="I34" s="31"/>
      <c r="J34" s="31"/>
      <c r="K34" s="31"/>
      <c r="L34" s="31"/>
      <c r="M34" s="31"/>
      <c r="N34" s="31"/>
      <c r="O34" s="31"/>
      <c r="P34" s="31"/>
      <c r="Q34" s="32"/>
    </row>
    <row r="35" spans="1:18">
      <c r="A35" s="24" t="s">
        <v>3611</v>
      </c>
      <c r="B35" s="25"/>
      <c r="C35" s="25" t="s">
        <v>3775</v>
      </c>
      <c r="D35" s="25" t="s">
        <v>1462</v>
      </c>
      <c r="E35" s="25"/>
      <c r="F35" s="25" t="s">
        <v>3776</v>
      </c>
      <c r="G35" s="25"/>
      <c r="H35" s="25"/>
      <c r="I35" s="25"/>
      <c r="J35" s="25" t="s">
        <v>3777</v>
      </c>
      <c r="K35" s="25"/>
      <c r="L35" s="25"/>
      <c r="M35" s="25"/>
      <c r="N35" s="25"/>
      <c r="O35" s="25"/>
      <c r="P35" s="25"/>
      <c r="Q35" s="26" t="s">
        <v>52</v>
      </c>
      <c r="R35" t="s">
        <v>7</v>
      </c>
    </row>
    <row r="36" spans="1:18">
      <c r="A36" s="27" t="s">
        <v>3612</v>
      </c>
      <c r="B36" s="28"/>
      <c r="C36" s="28"/>
      <c r="D36" s="28"/>
      <c r="E36" s="28"/>
      <c r="F36" s="28"/>
      <c r="G36" s="28"/>
      <c r="H36" s="28"/>
      <c r="I36" s="28"/>
      <c r="J36" s="28"/>
      <c r="K36" s="28"/>
      <c r="L36" s="28"/>
      <c r="M36" s="28"/>
      <c r="N36" s="28"/>
      <c r="O36" s="28"/>
      <c r="P36" s="28"/>
      <c r="Q36" s="29"/>
    </row>
    <row r="37" spans="1:18">
      <c r="A37" s="27" t="s">
        <v>3613</v>
      </c>
      <c r="B37" s="28"/>
      <c r="C37" s="28"/>
      <c r="D37" s="28"/>
      <c r="E37" s="28"/>
      <c r="F37" s="28"/>
      <c r="G37" s="28"/>
      <c r="H37" s="28"/>
      <c r="I37" s="28"/>
      <c r="J37" s="28"/>
      <c r="K37" s="28"/>
      <c r="L37" s="28"/>
      <c r="M37" s="28"/>
      <c r="N37" s="28"/>
      <c r="O37" s="28"/>
      <c r="P37" s="28"/>
      <c r="Q37" s="29"/>
    </row>
    <row r="38" spans="1:18">
      <c r="A38" s="27" t="s">
        <v>3614</v>
      </c>
      <c r="B38" s="28"/>
      <c r="C38" s="28"/>
      <c r="D38" s="28"/>
      <c r="E38" s="28"/>
      <c r="F38" s="28"/>
      <c r="G38" s="28"/>
      <c r="H38" s="28"/>
      <c r="I38" s="28"/>
      <c r="J38" s="28"/>
      <c r="K38" s="28"/>
      <c r="L38" s="28"/>
      <c r="M38" s="28"/>
      <c r="N38" s="28"/>
      <c r="O38" s="28"/>
      <c r="P38" s="28"/>
      <c r="Q38" s="29"/>
    </row>
    <row r="39" spans="1:18">
      <c r="A39" s="27" t="s">
        <v>3615</v>
      </c>
      <c r="B39" s="28"/>
      <c r="C39" s="28"/>
      <c r="D39" s="28"/>
      <c r="E39" s="28"/>
      <c r="F39" s="28"/>
      <c r="G39" s="28"/>
      <c r="H39" s="28"/>
      <c r="I39" s="28"/>
      <c r="J39" s="28"/>
      <c r="K39" s="28"/>
      <c r="L39" s="28"/>
      <c r="M39" s="28"/>
      <c r="N39" s="28"/>
      <c r="O39" s="28"/>
      <c r="P39" s="28"/>
      <c r="Q39" s="29"/>
    </row>
    <row r="40" spans="1:18">
      <c r="A40" s="27" t="s">
        <v>3616</v>
      </c>
      <c r="B40" s="28"/>
      <c r="C40" s="28"/>
      <c r="D40" s="28"/>
      <c r="E40" s="28"/>
      <c r="F40" s="28"/>
      <c r="G40" s="28"/>
      <c r="H40" s="28"/>
      <c r="I40" s="28"/>
      <c r="J40" s="28"/>
      <c r="K40" s="28"/>
      <c r="L40" s="28"/>
      <c r="M40" s="28"/>
      <c r="N40" s="28"/>
      <c r="O40" s="28"/>
      <c r="P40" s="28"/>
      <c r="Q40" s="29"/>
    </row>
    <row r="41" spans="1:18">
      <c r="A41" s="27" t="s">
        <v>3617</v>
      </c>
      <c r="B41" s="28"/>
      <c r="C41" s="28"/>
      <c r="D41" s="28"/>
      <c r="E41" s="28"/>
      <c r="F41" s="28"/>
      <c r="G41" s="28"/>
      <c r="H41" s="28"/>
      <c r="I41" s="28"/>
      <c r="J41" s="28"/>
      <c r="K41" s="28"/>
      <c r="L41" s="28"/>
      <c r="M41" s="28"/>
      <c r="N41" s="28"/>
      <c r="O41" s="28"/>
      <c r="P41" s="28"/>
      <c r="Q41" s="29"/>
    </row>
    <row r="42" spans="1:18">
      <c r="A42" s="27" t="s">
        <v>3618</v>
      </c>
      <c r="B42" s="28"/>
      <c r="C42" s="28"/>
      <c r="D42" s="28"/>
      <c r="E42" s="28"/>
      <c r="F42" s="28"/>
      <c r="G42" s="28"/>
      <c r="H42" s="28"/>
      <c r="I42" s="28"/>
      <c r="J42" s="28"/>
      <c r="K42" s="28"/>
      <c r="L42" s="28"/>
      <c r="M42" s="28"/>
      <c r="N42" s="28"/>
      <c r="O42" s="28"/>
      <c r="P42" s="28"/>
      <c r="Q42" s="29"/>
    </row>
    <row r="43" spans="1:18">
      <c r="A43" s="27" t="s">
        <v>3619</v>
      </c>
      <c r="B43" s="28"/>
      <c r="C43" s="28"/>
      <c r="D43" s="28"/>
      <c r="E43" s="28"/>
      <c r="F43" s="28"/>
      <c r="G43" s="28"/>
      <c r="H43" s="28"/>
      <c r="I43" s="28"/>
      <c r="J43" s="28"/>
      <c r="K43" s="28"/>
      <c r="L43" s="28"/>
      <c r="M43" s="28"/>
      <c r="N43" s="28"/>
      <c r="O43" s="28"/>
      <c r="P43" s="28"/>
      <c r="Q43" s="29"/>
    </row>
    <row r="44" spans="1:18">
      <c r="A44" s="27" t="s">
        <v>3620</v>
      </c>
      <c r="B44" s="28"/>
      <c r="C44" s="28"/>
      <c r="D44" s="28"/>
      <c r="E44" s="28"/>
      <c r="F44" s="28"/>
      <c r="G44" s="28"/>
      <c r="H44" s="28"/>
      <c r="I44" s="28"/>
      <c r="J44" s="28"/>
      <c r="K44" s="28"/>
      <c r="L44" s="28"/>
      <c r="M44" s="28"/>
      <c r="N44" s="28"/>
      <c r="O44" s="28"/>
      <c r="P44" s="28"/>
      <c r="Q44" s="29"/>
    </row>
    <row r="45" spans="1:18" ht="19.5" thickBot="1">
      <c r="A45" s="30" t="s">
        <v>3621</v>
      </c>
      <c r="B45" s="31"/>
      <c r="C45" s="31"/>
      <c r="D45" s="31"/>
      <c r="E45" s="31"/>
      <c r="F45" s="31"/>
      <c r="G45" s="31"/>
      <c r="H45" s="31"/>
      <c r="I45" s="31"/>
      <c r="J45" s="31"/>
      <c r="K45" s="31"/>
      <c r="L45" s="31"/>
      <c r="M45" s="31"/>
      <c r="N45" s="31"/>
      <c r="O45" s="31"/>
      <c r="P45" s="31"/>
      <c r="Q45" s="32"/>
    </row>
    <row r="46" spans="1:18">
      <c r="A46" s="24" t="s">
        <v>3622</v>
      </c>
      <c r="B46" s="25"/>
      <c r="C46" s="25" t="s">
        <v>3781</v>
      </c>
      <c r="D46" s="25" t="s">
        <v>1741</v>
      </c>
      <c r="E46" s="25"/>
      <c r="F46" s="25" t="s">
        <v>3776</v>
      </c>
      <c r="G46" s="25" t="s">
        <v>3738</v>
      </c>
      <c r="H46" s="25"/>
      <c r="I46" s="25"/>
      <c r="J46" s="25" t="s">
        <v>3737</v>
      </c>
      <c r="K46" s="25" t="s">
        <v>3782</v>
      </c>
      <c r="L46" s="25" t="s">
        <v>3783</v>
      </c>
      <c r="M46" s="25"/>
      <c r="N46" s="25"/>
      <c r="O46" s="25"/>
      <c r="P46" s="25"/>
      <c r="Q46" s="26" t="s">
        <v>46</v>
      </c>
      <c r="R46" t="s">
        <v>4</v>
      </c>
    </row>
    <row r="47" spans="1:18">
      <c r="A47" s="27" t="s">
        <v>3623</v>
      </c>
      <c r="B47" s="28"/>
      <c r="C47" s="28"/>
      <c r="D47" s="28"/>
      <c r="E47" s="28"/>
      <c r="F47" s="28"/>
      <c r="G47" s="28"/>
      <c r="H47" s="28"/>
      <c r="I47" s="28"/>
      <c r="J47" s="28"/>
      <c r="K47" s="28"/>
      <c r="L47" s="28"/>
      <c r="M47" s="28"/>
      <c r="N47" s="28"/>
      <c r="O47" s="28"/>
      <c r="P47" s="28"/>
      <c r="Q47" s="29"/>
    </row>
    <row r="48" spans="1:18">
      <c r="A48" s="27" t="s">
        <v>3624</v>
      </c>
      <c r="B48" s="28"/>
      <c r="C48" s="28"/>
      <c r="D48" s="28"/>
      <c r="E48" s="28"/>
      <c r="F48" s="28"/>
      <c r="G48" s="28"/>
      <c r="H48" s="28"/>
      <c r="I48" s="28"/>
      <c r="J48" s="28"/>
      <c r="K48" s="28"/>
      <c r="L48" s="28"/>
      <c r="M48" s="28"/>
      <c r="N48" s="28"/>
      <c r="O48" s="28"/>
      <c r="P48" s="28"/>
      <c r="Q48" s="29"/>
    </row>
    <row r="49" spans="1:18">
      <c r="A49" s="27" t="s">
        <v>3625</v>
      </c>
      <c r="B49" s="28"/>
      <c r="C49" s="28"/>
      <c r="D49" s="28"/>
      <c r="E49" s="28"/>
      <c r="F49" s="28"/>
      <c r="G49" s="28"/>
      <c r="H49" s="28"/>
      <c r="I49" s="28"/>
      <c r="J49" s="28"/>
      <c r="K49" s="28"/>
      <c r="L49" s="28"/>
      <c r="M49" s="28"/>
      <c r="N49" s="28"/>
      <c r="O49" s="28"/>
      <c r="P49" s="28"/>
      <c r="Q49" s="29"/>
    </row>
    <row r="50" spans="1:18">
      <c r="A50" s="27" t="s">
        <v>3626</v>
      </c>
      <c r="B50" s="28"/>
      <c r="C50" s="28"/>
      <c r="D50" s="28"/>
      <c r="E50" s="28"/>
      <c r="F50" s="28"/>
      <c r="G50" s="28"/>
      <c r="H50" s="28"/>
      <c r="I50" s="28"/>
      <c r="J50" s="28"/>
      <c r="K50" s="28"/>
      <c r="L50" s="28"/>
      <c r="M50" s="28"/>
      <c r="N50" s="28"/>
      <c r="O50" s="28"/>
      <c r="P50" s="28"/>
      <c r="Q50" s="29"/>
    </row>
    <row r="51" spans="1:18">
      <c r="A51" s="27" t="s">
        <v>3627</v>
      </c>
      <c r="B51" s="28"/>
      <c r="C51" s="28"/>
      <c r="D51" s="28"/>
      <c r="E51" s="28"/>
      <c r="F51" s="28"/>
      <c r="G51" s="28"/>
      <c r="H51" s="28"/>
      <c r="I51" s="28"/>
      <c r="J51" s="28"/>
      <c r="K51" s="28"/>
      <c r="L51" s="28"/>
      <c r="M51" s="28"/>
      <c r="N51" s="28"/>
      <c r="O51" s="28"/>
      <c r="P51" s="28"/>
      <c r="Q51" s="29"/>
    </row>
    <row r="52" spans="1:18">
      <c r="A52" s="27" t="s">
        <v>3628</v>
      </c>
      <c r="B52" s="28"/>
      <c r="C52" s="28"/>
      <c r="D52" s="28"/>
      <c r="E52" s="28"/>
      <c r="F52" s="28"/>
      <c r="G52" s="28"/>
      <c r="H52" s="28"/>
      <c r="I52" s="28"/>
      <c r="J52" s="28"/>
      <c r="K52" s="28"/>
      <c r="L52" s="28"/>
      <c r="M52" s="28"/>
      <c r="N52" s="28"/>
      <c r="O52" s="28"/>
      <c r="P52" s="28"/>
      <c r="Q52" s="29"/>
    </row>
    <row r="53" spans="1:18">
      <c r="A53" s="27" t="s">
        <v>3629</v>
      </c>
      <c r="B53" s="28"/>
      <c r="C53" s="28"/>
      <c r="D53" s="28"/>
      <c r="E53" s="28"/>
      <c r="F53" s="28"/>
      <c r="G53" s="28"/>
      <c r="H53" s="28"/>
      <c r="I53" s="28"/>
      <c r="J53" s="28"/>
      <c r="K53" s="28"/>
      <c r="L53" s="28"/>
      <c r="M53" s="28"/>
      <c r="N53" s="28"/>
      <c r="O53" s="28"/>
      <c r="P53" s="28"/>
      <c r="Q53" s="29"/>
    </row>
    <row r="54" spans="1:18">
      <c r="A54" s="27" t="s">
        <v>3630</v>
      </c>
      <c r="B54" s="28"/>
      <c r="C54" s="28"/>
      <c r="D54" s="28"/>
      <c r="E54" s="28"/>
      <c r="F54" s="28"/>
      <c r="G54" s="28"/>
      <c r="H54" s="28"/>
      <c r="I54" s="28"/>
      <c r="J54" s="28"/>
      <c r="K54" s="28"/>
      <c r="L54" s="28"/>
      <c r="M54" s="28"/>
      <c r="N54" s="28"/>
      <c r="O54" s="28"/>
      <c r="P54" s="28"/>
      <c r="Q54" s="29"/>
    </row>
    <row r="55" spans="1:18">
      <c r="A55" s="27" t="s">
        <v>3631</v>
      </c>
      <c r="B55" s="28"/>
      <c r="C55" s="28"/>
      <c r="D55" s="28"/>
      <c r="E55" s="28"/>
      <c r="F55" s="28"/>
      <c r="G55" s="28"/>
      <c r="H55" s="28"/>
      <c r="I55" s="28"/>
      <c r="J55" s="28"/>
      <c r="K55" s="28"/>
      <c r="L55" s="28"/>
      <c r="M55" s="28"/>
      <c r="N55" s="28"/>
      <c r="O55" s="28"/>
      <c r="P55" s="28"/>
      <c r="Q55" s="29"/>
    </row>
    <row r="56" spans="1:18" ht="19.5" thickBot="1">
      <c r="A56" s="30" t="s">
        <v>3632</v>
      </c>
      <c r="B56" s="31"/>
      <c r="C56" s="31"/>
      <c r="D56" s="31"/>
      <c r="E56" s="31"/>
      <c r="F56" s="31"/>
      <c r="G56" s="31"/>
      <c r="H56" s="31"/>
      <c r="I56" s="31"/>
      <c r="J56" s="31"/>
      <c r="K56" s="31"/>
      <c r="L56" s="31"/>
      <c r="M56" s="31"/>
      <c r="N56" s="31"/>
      <c r="O56" s="31"/>
      <c r="P56" s="31"/>
      <c r="Q56" s="32"/>
    </row>
    <row r="57" spans="1:18">
      <c r="A57" s="24" t="s">
        <v>3633</v>
      </c>
      <c r="B57" s="25"/>
      <c r="C57" s="25" t="s">
        <v>3169</v>
      </c>
      <c r="D57" s="25" t="s">
        <v>1940</v>
      </c>
      <c r="E57" s="25">
        <v>5</v>
      </c>
      <c r="F57" s="25" t="s">
        <v>3319</v>
      </c>
      <c r="G57" s="25" t="s">
        <v>3320</v>
      </c>
      <c r="H57" s="25" t="s">
        <v>3285</v>
      </c>
      <c r="I57" s="25"/>
      <c r="J57" s="25" t="s">
        <v>1</v>
      </c>
      <c r="K57" s="25" t="s">
        <v>1938</v>
      </c>
      <c r="L57" s="25"/>
      <c r="M57" s="25"/>
      <c r="N57" s="25"/>
      <c r="O57" s="25"/>
      <c r="P57" s="25" t="s">
        <v>154</v>
      </c>
      <c r="Q57" s="26" t="s">
        <v>26</v>
      </c>
      <c r="R57" t="s">
        <v>7</v>
      </c>
    </row>
    <row r="58" spans="1:18">
      <c r="A58" s="27" t="s">
        <v>3634</v>
      </c>
      <c r="B58" s="28"/>
      <c r="C58" s="28"/>
      <c r="D58" s="28"/>
      <c r="E58" s="28"/>
      <c r="F58" s="28"/>
      <c r="G58" s="28"/>
      <c r="H58" s="28"/>
      <c r="I58" s="28"/>
      <c r="J58" s="28"/>
      <c r="K58" s="28"/>
      <c r="L58" s="28"/>
      <c r="M58" s="28"/>
      <c r="N58" s="28"/>
      <c r="O58" s="28"/>
      <c r="P58" s="28"/>
      <c r="Q58" s="29"/>
    </row>
    <row r="59" spans="1:18">
      <c r="A59" s="27" t="s">
        <v>3635</v>
      </c>
      <c r="B59" s="28"/>
      <c r="C59" s="28" t="s">
        <v>3172</v>
      </c>
      <c r="D59" s="28" t="s">
        <v>1993</v>
      </c>
      <c r="E59" s="28">
        <v>2</v>
      </c>
      <c r="F59" s="28" t="s">
        <v>3319</v>
      </c>
      <c r="G59" s="28" t="s">
        <v>3320</v>
      </c>
      <c r="H59" s="28" t="s">
        <v>3307</v>
      </c>
      <c r="I59" s="28"/>
      <c r="J59" s="28" t="s">
        <v>1987</v>
      </c>
      <c r="K59" s="28"/>
      <c r="L59" s="28"/>
      <c r="M59" s="28"/>
      <c r="N59" s="28"/>
      <c r="O59" s="28"/>
      <c r="P59" s="28" t="s">
        <v>161</v>
      </c>
      <c r="Q59" s="29" t="s">
        <v>27</v>
      </c>
      <c r="R59" t="s">
        <v>7</v>
      </c>
    </row>
    <row r="60" spans="1:18">
      <c r="A60" s="27" t="s">
        <v>3636</v>
      </c>
      <c r="B60" s="28"/>
      <c r="C60" s="28"/>
      <c r="D60" s="28"/>
      <c r="E60" s="28"/>
      <c r="F60" s="28"/>
      <c r="G60" s="28"/>
      <c r="H60" s="28"/>
      <c r="I60" s="28"/>
      <c r="J60" s="28"/>
      <c r="K60" s="28"/>
      <c r="L60" s="28"/>
      <c r="M60" s="28"/>
      <c r="N60" s="28"/>
      <c r="O60" s="28"/>
      <c r="P60" s="28"/>
      <c r="Q60" s="29"/>
    </row>
    <row r="61" spans="1:18">
      <c r="A61" s="27" t="s">
        <v>3637</v>
      </c>
      <c r="B61" s="28"/>
      <c r="C61" s="28" t="s">
        <v>3178</v>
      </c>
      <c r="D61" s="28" t="s">
        <v>2022</v>
      </c>
      <c r="E61" s="28">
        <v>2</v>
      </c>
      <c r="F61" s="28" t="s">
        <v>3319</v>
      </c>
      <c r="G61" s="28" t="s">
        <v>3320</v>
      </c>
      <c r="H61" s="28" t="s">
        <v>3311</v>
      </c>
      <c r="I61" s="28"/>
      <c r="J61" s="28" t="s">
        <v>2024</v>
      </c>
      <c r="K61" s="28" t="s">
        <v>2025</v>
      </c>
      <c r="L61" s="28"/>
      <c r="M61" s="28"/>
      <c r="N61" s="28"/>
      <c r="O61" s="28"/>
      <c r="P61" s="28" t="s">
        <v>154</v>
      </c>
      <c r="Q61" s="29" t="s">
        <v>6</v>
      </c>
      <c r="R61" t="s">
        <v>7</v>
      </c>
    </row>
    <row r="62" spans="1:18">
      <c r="A62" s="27" t="s">
        <v>3638</v>
      </c>
      <c r="B62" s="28"/>
      <c r="C62" s="28"/>
      <c r="D62" s="28"/>
      <c r="E62" s="28"/>
      <c r="F62" s="28"/>
      <c r="G62" s="28"/>
      <c r="H62" s="28"/>
      <c r="I62" s="28"/>
      <c r="J62" s="28"/>
      <c r="K62" s="28"/>
      <c r="L62" s="28"/>
      <c r="M62" s="28"/>
      <c r="N62" s="28"/>
      <c r="O62" s="28"/>
      <c r="P62" s="28"/>
      <c r="Q62" s="29"/>
    </row>
    <row r="63" spans="1:18">
      <c r="A63" s="27" t="s">
        <v>3639</v>
      </c>
      <c r="B63" s="28"/>
      <c r="C63" s="28" t="s">
        <v>3184</v>
      </c>
      <c r="D63" s="28" t="s">
        <v>2053</v>
      </c>
      <c r="E63" s="28">
        <v>3</v>
      </c>
      <c r="F63" s="28" t="s">
        <v>3319</v>
      </c>
      <c r="G63" s="28" t="s">
        <v>3320</v>
      </c>
      <c r="H63" s="28" t="s">
        <v>3311</v>
      </c>
      <c r="I63" s="28"/>
      <c r="J63" s="28" t="s">
        <v>2051</v>
      </c>
      <c r="K63" s="28"/>
      <c r="L63" s="28"/>
      <c r="M63" s="28"/>
      <c r="N63" s="28"/>
      <c r="O63" s="28"/>
      <c r="P63" s="28" t="s">
        <v>165</v>
      </c>
      <c r="Q63" s="29" t="s">
        <v>1927</v>
      </c>
      <c r="R63" t="s">
        <v>7</v>
      </c>
    </row>
    <row r="64" spans="1:18">
      <c r="A64" s="27" t="s">
        <v>3640</v>
      </c>
      <c r="B64" s="28"/>
      <c r="C64" s="28"/>
      <c r="D64" s="28"/>
      <c r="E64" s="28"/>
      <c r="F64" s="28"/>
      <c r="G64" s="28"/>
      <c r="H64" s="28"/>
      <c r="I64" s="28"/>
      <c r="J64" s="28"/>
      <c r="K64" s="28"/>
      <c r="L64" s="28"/>
      <c r="M64" s="28"/>
      <c r="N64" s="28"/>
      <c r="O64" s="28"/>
      <c r="P64" s="28"/>
      <c r="Q64" s="29"/>
    </row>
    <row r="65" spans="1:18">
      <c r="A65" s="27" t="s">
        <v>3641</v>
      </c>
      <c r="B65" s="28"/>
      <c r="C65" s="28" t="s">
        <v>3796</v>
      </c>
      <c r="D65" s="28" t="s">
        <v>2088</v>
      </c>
      <c r="E65" s="28">
        <v>5</v>
      </c>
      <c r="F65" s="28" t="s">
        <v>3319</v>
      </c>
      <c r="G65" s="28" t="s">
        <v>3320</v>
      </c>
      <c r="H65" s="28" t="s">
        <v>3290</v>
      </c>
      <c r="I65" s="28"/>
      <c r="J65" s="28" t="s">
        <v>2085</v>
      </c>
      <c r="K65" s="28"/>
      <c r="L65" s="28"/>
      <c r="M65" s="28"/>
      <c r="N65" s="28"/>
      <c r="O65" s="28"/>
      <c r="P65" s="28" t="s">
        <v>168</v>
      </c>
      <c r="Q65" s="29" t="s">
        <v>49</v>
      </c>
      <c r="R65" t="s">
        <v>7</v>
      </c>
    </row>
    <row r="66" spans="1:18" ht="19.5" thickBot="1">
      <c r="A66" s="30" t="s">
        <v>3642</v>
      </c>
      <c r="B66" s="31"/>
      <c r="C66" s="31"/>
      <c r="D66" s="31"/>
      <c r="E66" s="31"/>
      <c r="F66" s="31"/>
      <c r="G66" s="31"/>
      <c r="H66" s="31"/>
      <c r="I66" s="31"/>
      <c r="J66" s="31"/>
      <c r="K66" s="31"/>
      <c r="L66" s="31"/>
      <c r="M66" s="31"/>
      <c r="N66" s="31"/>
      <c r="O66" s="31"/>
      <c r="P66" s="31"/>
      <c r="Q66" s="32"/>
    </row>
    <row r="67" spans="1:18">
      <c r="A67" s="24" t="s">
        <v>3643</v>
      </c>
      <c r="B67" s="25"/>
      <c r="C67" s="25" t="s">
        <v>3762</v>
      </c>
      <c r="D67" s="25">
        <v>2</v>
      </c>
      <c r="E67" s="25">
        <v>2</v>
      </c>
      <c r="F67" s="25" t="s">
        <v>3751</v>
      </c>
      <c r="G67" s="25" t="s">
        <v>3750</v>
      </c>
      <c r="H67" s="25"/>
      <c r="I67" s="25"/>
      <c r="J67" s="25" t="s">
        <v>3763</v>
      </c>
      <c r="K67" s="25" t="s">
        <v>3764</v>
      </c>
      <c r="L67" s="25" t="s">
        <v>3765</v>
      </c>
      <c r="M67" s="25"/>
      <c r="N67" s="25"/>
      <c r="O67" s="25"/>
      <c r="P67" s="25"/>
      <c r="Q67" s="26" t="s">
        <v>45</v>
      </c>
      <c r="R67" t="s">
        <v>7</v>
      </c>
    </row>
    <row r="68" spans="1:18">
      <c r="A68" s="27" t="s">
        <v>3644</v>
      </c>
      <c r="B68" s="28"/>
      <c r="C68" s="28" t="s">
        <v>3436</v>
      </c>
      <c r="D68" s="28">
        <v>2</v>
      </c>
      <c r="E68" s="28">
        <v>2</v>
      </c>
      <c r="F68" s="28" t="s">
        <v>3784</v>
      </c>
      <c r="G68" s="28" t="s">
        <v>3307</v>
      </c>
      <c r="H68" s="28" t="s">
        <v>3750</v>
      </c>
      <c r="I68" s="28"/>
      <c r="J68" s="28" t="s">
        <v>3785</v>
      </c>
      <c r="K68" s="28" t="s">
        <v>3439</v>
      </c>
      <c r="L68" s="28" t="s">
        <v>3440</v>
      </c>
      <c r="M68" s="28"/>
      <c r="N68" s="28"/>
      <c r="O68" s="28"/>
      <c r="P68" s="28"/>
      <c r="Q68" s="29" t="s">
        <v>3441</v>
      </c>
      <c r="R68" t="s">
        <v>7</v>
      </c>
    </row>
    <row r="69" spans="1:18">
      <c r="A69" s="27" t="s">
        <v>3645</v>
      </c>
      <c r="B69" s="28"/>
      <c r="C69" s="28"/>
      <c r="D69" s="28"/>
      <c r="E69" s="28"/>
      <c r="F69" s="28"/>
      <c r="G69" s="28"/>
      <c r="H69" s="28"/>
      <c r="I69" s="28"/>
      <c r="J69" s="28"/>
      <c r="K69" s="28"/>
      <c r="L69" s="28"/>
      <c r="M69" s="28"/>
      <c r="N69" s="28"/>
      <c r="O69" s="28"/>
      <c r="P69" s="28"/>
      <c r="Q69" s="29"/>
    </row>
    <row r="70" spans="1:18">
      <c r="A70" s="27" t="s">
        <v>3646</v>
      </c>
      <c r="B70" s="28"/>
      <c r="C70" s="28"/>
      <c r="D70" s="28"/>
      <c r="E70" s="28"/>
      <c r="F70" s="28"/>
      <c r="G70" s="28"/>
      <c r="H70" s="28"/>
      <c r="I70" s="28"/>
      <c r="J70" s="28"/>
      <c r="K70" s="28"/>
      <c r="L70" s="28"/>
      <c r="M70" s="28"/>
      <c r="N70" s="28"/>
      <c r="O70" s="28"/>
      <c r="P70" s="28"/>
      <c r="Q70" s="29"/>
    </row>
    <row r="71" spans="1:18">
      <c r="A71" s="27" t="s">
        <v>3647</v>
      </c>
      <c r="B71" s="28"/>
      <c r="C71" s="28"/>
      <c r="D71" s="28"/>
      <c r="E71" s="28"/>
      <c r="F71" s="28"/>
      <c r="G71" s="28"/>
      <c r="H71" s="28"/>
      <c r="I71" s="28"/>
      <c r="J71" s="28"/>
      <c r="K71" s="28"/>
      <c r="L71" s="28"/>
      <c r="M71" s="28"/>
      <c r="N71" s="28"/>
      <c r="O71" s="28"/>
      <c r="P71" s="28"/>
      <c r="Q71" s="29"/>
    </row>
    <row r="72" spans="1:18">
      <c r="A72" s="27" t="s">
        <v>3791</v>
      </c>
      <c r="B72" s="28"/>
      <c r="C72" s="28"/>
      <c r="D72" s="28"/>
      <c r="E72" s="28"/>
      <c r="F72" s="28"/>
      <c r="G72" s="28"/>
      <c r="H72" s="28"/>
      <c r="I72" s="28"/>
      <c r="J72" s="28"/>
      <c r="K72" s="28"/>
      <c r="L72" s="28"/>
      <c r="M72" s="28"/>
      <c r="N72" s="28"/>
      <c r="O72" s="28"/>
      <c r="P72" s="28"/>
      <c r="Q72" s="29"/>
    </row>
    <row r="73" spans="1:18">
      <c r="A73" s="27" t="s">
        <v>3792</v>
      </c>
      <c r="B73" s="28"/>
      <c r="C73" s="28"/>
      <c r="D73" s="28"/>
      <c r="E73" s="28"/>
      <c r="F73" s="28"/>
      <c r="G73" s="28"/>
      <c r="H73" s="28"/>
      <c r="I73" s="28"/>
      <c r="J73" s="28"/>
      <c r="K73" s="28"/>
      <c r="L73" s="28"/>
      <c r="M73" s="28"/>
      <c r="N73" s="28"/>
      <c r="O73" s="28"/>
      <c r="P73" s="28"/>
      <c r="Q73" s="29"/>
    </row>
    <row r="74" spans="1:18">
      <c r="A74" s="27" t="s">
        <v>3793</v>
      </c>
      <c r="B74" s="28"/>
      <c r="C74" s="28"/>
      <c r="D74" s="28"/>
      <c r="E74" s="28"/>
      <c r="F74" s="28"/>
      <c r="G74" s="28"/>
      <c r="H74" s="28"/>
      <c r="I74" s="28"/>
      <c r="J74" s="28"/>
      <c r="K74" s="28"/>
      <c r="L74" s="28"/>
      <c r="M74" s="28"/>
      <c r="N74" s="28"/>
      <c r="O74" s="28"/>
      <c r="P74" s="28"/>
      <c r="Q74" s="29"/>
    </row>
    <row r="75" spans="1:18">
      <c r="A75" s="27" t="s">
        <v>3794</v>
      </c>
      <c r="B75" s="28"/>
      <c r="C75" s="28"/>
      <c r="D75" s="28"/>
      <c r="E75" s="28"/>
      <c r="F75" s="28"/>
      <c r="G75" s="28"/>
      <c r="H75" s="28"/>
      <c r="I75" s="28"/>
      <c r="J75" s="28"/>
      <c r="K75" s="28"/>
      <c r="L75" s="28"/>
      <c r="M75" s="28"/>
      <c r="N75" s="28"/>
      <c r="O75" s="28"/>
      <c r="P75" s="28"/>
      <c r="Q75" s="29"/>
    </row>
    <row r="76" spans="1:18" ht="19.5" thickBot="1">
      <c r="A76" s="30" t="s">
        <v>3795</v>
      </c>
      <c r="B76" s="31"/>
      <c r="C76" s="31"/>
      <c r="D76" s="31"/>
      <c r="E76" s="31"/>
      <c r="F76" s="31"/>
      <c r="G76" s="31"/>
      <c r="H76" s="31"/>
      <c r="I76" s="31"/>
      <c r="J76" s="31"/>
      <c r="K76" s="31"/>
      <c r="L76" s="31"/>
      <c r="M76" s="31"/>
      <c r="N76" s="31"/>
      <c r="O76" s="31"/>
      <c r="P76" s="31"/>
      <c r="Q76" s="32"/>
    </row>
    <row r="77" spans="1:18">
      <c r="A77" s="24" t="s">
        <v>3648</v>
      </c>
      <c r="B77" s="25"/>
      <c r="C77" s="25"/>
      <c r="D77" s="25"/>
      <c r="E77" s="25"/>
      <c r="F77" s="25"/>
      <c r="G77" s="25"/>
      <c r="H77" s="25"/>
      <c r="I77" s="25"/>
      <c r="J77" s="25"/>
      <c r="K77" s="25"/>
      <c r="L77" s="25"/>
      <c r="M77" s="25"/>
      <c r="N77" s="25"/>
      <c r="O77" s="25"/>
      <c r="P77" s="25"/>
      <c r="Q77" s="26"/>
    </row>
    <row r="78" spans="1:18">
      <c r="A78" s="27" t="s">
        <v>3649</v>
      </c>
      <c r="B78" s="28"/>
      <c r="C78" s="28"/>
      <c r="D78" s="28"/>
      <c r="E78" s="28"/>
      <c r="F78" s="28"/>
      <c r="G78" s="28"/>
      <c r="H78" s="28"/>
      <c r="I78" s="28"/>
      <c r="J78" s="28"/>
      <c r="K78" s="28"/>
      <c r="L78" s="28"/>
      <c r="M78" s="28"/>
      <c r="N78" s="28"/>
      <c r="O78" s="28"/>
      <c r="P78" s="28"/>
      <c r="Q78" s="29"/>
    </row>
    <row r="79" spans="1:18">
      <c r="A79" s="27" t="s">
        <v>3650</v>
      </c>
      <c r="B79" s="28"/>
      <c r="C79" s="28"/>
      <c r="D79" s="28"/>
      <c r="E79" s="28"/>
      <c r="F79" s="28"/>
      <c r="G79" s="28"/>
      <c r="H79" s="28"/>
      <c r="I79" s="28"/>
      <c r="J79" s="28"/>
      <c r="K79" s="28"/>
      <c r="L79" s="28"/>
      <c r="M79" s="28"/>
      <c r="N79" s="28"/>
      <c r="O79" s="28"/>
      <c r="P79" s="28"/>
      <c r="Q79" s="29"/>
    </row>
    <row r="80" spans="1:18">
      <c r="A80" s="27" t="s">
        <v>3651</v>
      </c>
      <c r="B80" s="28"/>
      <c r="C80" s="28"/>
      <c r="D80" s="28"/>
      <c r="E80" s="28"/>
      <c r="F80" s="28"/>
      <c r="G80" s="28"/>
      <c r="H80" s="28"/>
      <c r="I80" s="28"/>
      <c r="J80" s="28"/>
      <c r="K80" s="28"/>
      <c r="L80" s="28"/>
      <c r="M80" s="28"/>
      <c r="N80" s="28"/>
      <c r="O80" s="28"/>
      <c r="P80" s="28"/>
      <c r="Q80" s="29"/>
    </row>
    <row r="81" spans="1:17" ht="19.5" thickBot="1">
      <c r="A81" s="30" t="s">
        <v>3652</v>
      </c>
      <c r="B81" s="31"/>
      <c r="C81" s="31"/>
      <c r="D81" s="31"/>
      <c r="E81" s="31"/>
      <c r="F81" s="31"/>
      <c r="G81" s="31"/>
      <c r="H81" s="31"/>
      <c r="I81" s="31"/>
      <c r="J81" s="31"/>
      <c r="K81" s="31"/>
      <c r="L81" s="31"/>
      <c r="M81" s="31"/>
      <c r="N81" s="31"/>
      <c r="O81" s="31"/>
      <c r="P81" s="31"/>
      <c r="Q81" s="32"/>
    </row>
  </sheetData>
  <phoneticPr fontId="2"/>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2"/>
  <sheetViews>
    <sheetView workbookViewId="0">
      <pane ySplit="1" topLeftCell="A47" activePane="bottomLeft" state="frozen"/>
      <selection pane="bottomLeft" activeCell="M59" sqref="M59"/>
    </sheetView>
  </sheetViews>
  <sheetFormatPr defaultRowHeight="18.75"/>
  <sheetData>
    <row r="1" spans="1:17">
      <c r="B1" t="s">
        <v>3488</v>
      </c>
      <c r="C1" t="s">
        <v>3474</v>
      </c>
      <c r="D1" t="s">
        <v>3475</v>
      </c>
      <c r="E1" t="s">
        <v>3489</v>
      </c>
      <c r="F1" t="s">
        <v>3477</v>
      </c>
      <c r="G1" t="s">
        <v>3479</v>
      </c>
      <c r="H1" t="s">
        <v>3481</v>
      </c>
      <c r="I1" t="s">
        <v>3482</v>
      </c>
      <c r="J1" t="s">
        <v>3483</v>
      </c>
      <c r="P1" t="s">
        <v>3484</v>
      </c>
      <c r="Q1" t="s">
        <v>3486</v>
      </c>
    </row>
    <row r="2" spans="1:17">
      <c r="A2" t="s">
        <v>3653</v>
      </c>
    </row>
    <row r="3" spans="1:17">
      <c r="A3" t="s">
        <v>3654</v>
      </c>
    </row>
    <row r="4" spans="1:17">
      <c r="A4" t="s">
        <v>3655</v>
      </c>
    </row>
    <row r="5" spans="1:17">
      <c r="A5" t="s">
        <v>3656</v>
      </c>
    </row>
    <row r="6" spans="1:17">
      <c r="A6" t="s">
        <v>3657</v>
      </c>
    </row>
    <row r="7" spans="1:17">
      <c r="A7" t="s">
        <v>3658</v>
      </c>
    </row>
    <row r="8" spans="1:17">
      <c r="A8" t="s">
        <v>3659</v>
      </c>
    </row>
    <row r="9" spans="1:17">
      <c r="A9" t="s">
        <v>3660</v>
      </c>
    </row>
    <row r="10" spans="1:17">
      <c r="A10" t="s">
        <v>3697</v>
      </c>
    </row>
    <row r="11" spans="1:17">
      <c r="A11" t="s">
        <v>3661</v>
      </c>
    </row>
    <row r="12" spans="1:17">
      <c r="A12" t="s">
        <v>3662</v>
      </c>
    </row>
    <row r="13" spans="1:17">
      <c r="A13" t="s">
        <v>3663</v>
      </c>
    </row>
    <row r="14" spans="1:17">
      <c r="A14" t="s">
        <v>3664</v>
      </c>
    </row>
    <row r="15" spans="1:17">
      <c r="A15" t="s">
        <v>3665</v>
      </c>
    </row>
    <row r="16" spans="1:17">
      <c r="A16" t="s">
        <v>3666</v>
      </c>
    </row>
    <row r="17" spans="1:1">
      <c r="A17" t="s">
        <v>3667</v>
      </c>
    </row>
    <row r="18" spans="1:1">
      <c r="A18" t="s">
        <v>3668</v>
      </c>
    </row>
    <row r="19" spans="1:1">
      <c r="A19" t="s">
        <v>3696</v>
      </c>
    </row>
    <row r="20" spans="1:1">
      <c r="A20" t="s">
        <v>3669</v>
      </c>
    </row>
    <row r="21" spans="1:1">
      <c r="A21" t="s">
        <v>3670</v>
      </c>
    </row>
    <row r="22" spans="1:1">
      <c r="A22" t="s">
        <v>3671</v>
      </c>
    </row>
    <row r="23" spans="1:1">
      <c r="A23" t="s">
        <v>3672</v>
      </c>
    </row>
    <row r="24" spans="1:1">
      <c r="A24" t="s">
        <v>3673</v>
      </c>
    </row>
    <row r="25" spans="1:1">
      <c r="A25" t="s">
        <v>3674</v>
      </c>
    </row>
    <row r="26" spans="1:1">
      <c r="A26" t="s">
        <v>3675</v>
      </c>
    </row>
    <row r="27" spans="1:1">
      <c r="A27" t="s">
        <v>3676</v>
      </c>
    </row>
    <row r="28" spans="1:1">
      <c r="A28" t="s">
        <v>3695</v>
      </c>
    </row>
    <row r="29" spans="1:1">
      <c r="A29" t="s">
        <v>3677</v>
      </c>
    </row>
    <row r="30" spans="1:1">
      <c r="A30" t="s">
        <v>3678</v>
      </c>
    </row>
    <row r="31" spans="1:1">
      <c r="A31" t="s">
        <v>3679</v>
      </c>
    </row>
    <row r="32" spans="1:1">
      <c r="A32" t="s">
        <v>3680</v>
      </c>
    </row>
    <row r="33" spans="1:1">
      <c r="A33" t="s">
        <v>3681</v>
      </c>
    </row>
    <row r="34" spans="1:1">
      <c r="A34" t="s">
        <v>3682</v>
      </c>
    </row>
    <row r="35" spans="1:1">
      <c r="A35" t="s">
        <v>3683</v>
      </c>
    </row>
    <row r="36" spans="1:1">
      <c r="A36" t="s">
        <v>3684</v>
      </c>
    </row>
    <row r="37" spans="1:1">
      <c r="A37" t="s">
        <v>3694</v>
      </c>
    </row>
    <row r="38" spans="1:1">
      <c r="A38" t="s">
        <v>3685</v>
      </c>
    </row>
    <row r="39" spans="1:1">
      <c r="A39" t="s">
        <v>3686</v>
      </c>
    </row>
    <row r="40" spans="1:1">
      <c r="A40" t="s">
        <v>3687</v>
      </c>
    </row>
    <row r="41" spans="1:1">
      <c r="A41" t="s">
        <v>3688</v>
      </c>
    </row>
    <row r="42" spans="1:1">
      <c r="A42" t="s">
        <v>3689</v>
      </c>
    </row>
    <row r="43" spans="1:1">
      <c r="A43" t="s">
        <v>3690</v>
      </c>
    </row>
    <row r="44" spans="1:1">
      <c r="A44" t="s">
        <v>3691</v>
      </c>
    </row>
    <row r="45" spans="1:1">
      <c r="A45" t="s">
        <v>3692</v>
      </c>
    </row>
    <row r="46" spans="1:1">
      <c r="A46" t="s">
        <v>3693</v>
      </c>
    </row>
    <row r="47" spans="1:1">
      <c r="A47" t="s">
        <v>3698</v>
      </c>
    </row>
    <row r="48" spans="1:1">
      <c r="A48" t="s">
        <v>3699</v>
      </c>
    </row>
    <row r="49" spans="1:18">
      <c r="A49" t="s">
        <v>3700</v>
      </c>
    </row>
    <row r="50" spans="1:18">
      <c r="A50" t="s">
        <v>3701</v>
      </c>
    </row>
    <row r="51" spans="1:18">
      <c r="A51" t="s">
        <v>3702</v>
      </c>
    </row>
    <row r="52" spans="1:18">
      <c r="A52" t="s">
        <v>3703</v>
      </c>
    </row>
    <row r="53" spans="1:18">
      <c r="A53" t="s">
        <v>3704</v>
      </c>
    </row>
    <row r="54" spans="1:18">
      <c r="A54" t="s">
        <v>3705</v>
      </c>
    </row>
    <row r="55" spans="1:18">
      <c r="A55" t="s">
        <v>3706</v>
      </c>
    </row>
    <row r="56" spans="1:18">
      <c r="A56" t="s">
        <v>3707</v>
      </c>
    </row>
    <row r="57" spans="1:18">
      <c r="A57" t="s">
        <v>3708</v>
      </c>
      <c r="C57" t="s">
        <v>3766</v>
      </c>
      <c r="D57">
        <v>3</v>
      </c>
      <c r="F57" t="s">
        <v>3751</v>
      </c>
      <c r="G57" t="s">
        <v>3750</v>
      </c>
      <c r="J57" t="s">
        <v>3767</v>
      </c>
      <c r="K57" t="s">
        <v>3768</v>
      </c>
      <c r="L57" t="s">
        <v>3440</v>
      </c>
      <c r="Q57" t="s">
        <v>46</v>
      </c>
      <c r="R57" t="s">
        <v>9</v>
      </c>
    </row>
    <row r="58" spans="1:18">
      <c r="A58" t="s">
        <v>3709</v>
      </c>
    </row>
    <row r="59" spans="1:18">
      <c r="A59" t="s">
        <v>3710</v>
      </c>
    </row>
    <row r="60" spans="1:18">
      <c r="A60" t="s">
        <v>3711</v>
      </c>
    </row>
    <row r="61" spans="1:18">
      <c r="A61" t="s">
        <v>3712</v>
      </c>
      <c r="C61" t="s">
        <v>4171</v>
      </c>
      <c r="F61" t="s">
        <v>4071</v>
      </c>
      <c r="J61" t="s">
        <v>4072</v>
      </c>
      <c r="Q61" t="s">
        <v>4183</v>
      </c>
    </row>
    <row r="63" spans="1:18">
      <c r="A63" t="s">
        <v>3713</v>
      </c>
      <c r="C63" t="s">
        <v>2373</v>
      </c>
      <c r="D63" t="s">
        <v>191</v>
      </c>
      <c r="E63" t="s">
        <v>3323</v>
      </c>
      <c r="F63" t="s">
        <v>3320</v>
      </c>
      <c r="G63" t="s">
        <v>3286</v>
      </c>
      <c r="I63" t="s">
        <v>497</v>
      </c>
      <c r="J63" t="s">
        <v>802</v>
      </c>
      <c r="M63" t="s">
        <v>153</v>
      </c>
      <c r="N63" t="s">
        <v>162</v>
      </c>
    </row>
    <row r="64" spans="1:18">
      <c r="C64" t="s">
        <v>2374</v>
      </c>
      <c r="D64" t="s">
        <v>3729</v>
      </c>
      <c r="E64" t="s">
        <v>3398</v>
      </c>
      <c r="F64" t="s">
        <v>3730</v>
      </c>
      <c r="I64" t="s">
        <v>498</v>
      </c>
      <c r="J64" t="s">
        <v>499</v>
      </c>
      <c r="K64" t="s">
        <v>500</v>
      </c>
      <c r="M64" t="s">
        <v>153</v>
      </c>
      <c r="N64">
        <v>3</v>
      </c>
      <c r="O64" t="s">
        <v>48</v>
      </c>
      <c r="P64" t="s">
        <v>41</v>
      </c>
    </row>
    <row r="65" spans="1:16">
      <c r="A65" t="s">
        <v>3714</v>
      </c>
    </row>
    <row r="66" spans="1:16">
      <c r="A66" t="s">
        <v>3715</v>
      </c>
      <c r="C66" t="s">
        <v>2569</v>
      </c>
      <c r="D66" t="s">
        <v>865</v>
      </c>
      <c r="E66" t="s">
        <v>3323</v>
      </c>
      <c r="F66" t="s">
        <v>3320</v>
      </c>
      <c r="G66" t="s">
        <v>3287</v>
      </c>
      <c r="I66" t="s">
        <v>1051</v>
      </c>
      <c r="M66" t="s">
        <v>153</v>
      </c>
      <c r="N66" t="s">
        <v>158</v>
      </c>
    </row>
    <row r="67" spans="1:16">
      <c r="C67" t="s">
        <v>2570</v>
      </c>
      <c r="D67" t="s">
        <v>3731</v>
      </c>
      <c r="E67" t="s">
        <v>3398</v>
      </c>
      <c r="F67" t="s">
        <v>3732</v>
      </c>
      <c r="I67" t="s">
        <v>1052</v>
      </c>
      <c r="J67" t="s">
        <v>1053</v>
      </c>
      <c r="K67" t="s">
        <v>1054</v>
      </c>
      <c r="M67" t="s">
        <v>153</v>
      </c>
      <c r="N67">
        <v>5</v>
      </c>
      <c r="O67" t="s">
        <v>48</v>
      </c>
      <c r="P67" t="s">
        <v>41</v>
      </c>
    </row>
    <row r="68" spans="1:16">
      <c r="A68" t="s">
        <v>3716</v>
      </c>
    </row>
    <row r="69" spans="1:16">
      <c r="A69" t="s">
        <v>3717</v>
      </c>
      <c r="C69" t="s">
        <v>2733</v>
      </c>
      <c r="D69" t="s">
        <v>1130</v>
      </c>
      <c r="E69" t="s">
        <v>3323</v>
      </c>
      <c r="F69" t="s">
        <v>3320</v>
      </c>
      <c r="G69" t="s">
        <v>3289</v>
      </c>
      <c r="I69" t="s">
        <v>19</v>
      </c>
      <c r="J69" t="s">
        <v>1284</v>
      </c>
      <c r="M69" t="s">
        <v>153</v>
      </c>
      <c r="N69" t="s">
        <v>164</v>
      </c>
    </row>
    <row r="70" spans="1:16">
      <c r="C70" t="s">
        <v>2734</v>
      </c>
      <c r="D70" t="s">
        <v>3387</v>
      </c>
      <c r="E70" t="s">
        <v>3398</v>
      </c>
      <c r="F70" t="s">
        <v>3728</v>
      </c>
      <c r="I70" t="s">
        <v>1285</v>
      </c>
      <c r="J70" t="s">
        <v>1286</v>
      </c>
      <c r="K70" t="s">
        <v>1287</v>
      </c>
      <c r="M70" t="s">
        <v>153</v>
      </c>
      <c r="N70">
        <v>3</v>
      </c>
      <c r="O70" t="s">
        <v>48</v>
      </c>
      <c r="P70" t="s">
        <v>41</v>
      </c>
    </row>
    <row r="71" spans="1:16">
      <c r="A71" t="s">
        <v>3718</v>
      </c>
    </row>
    <row r="72" spans="1:16">
      <c r="A72" t="s">
        <v>3719</v>
      </c>
      <c r="C72" t="s">
        <v>2954</v>
      </c>
      <c r="D72" t="s">
        <v>1459</v>
      </c>
      <c r="E72" t="s">
        <v>3323</v>
      </c>
      <c r="F72" t="s">
        <v>3320</v>
      </c>
      <c r="G72" t="s">
        <v>3311</v>
      </c>
      <c r="I72" t="s">
        <v>1656</v>
      </c>
      <c r="J72" t="s">
        <v>1657</v>
      </c>
      <c r="M72" t="s">
        <v>153</v>
      </c>
      <c r="N72" t="s">
        <v>154</v>
      </c>
    </row>
    <row r="73" spans="1:16">
      <c r="C73" t="s">
        <v>2955</v>
      </c>
      <c r="D73" t="s">
        <v>3395</v>
      </c>
      <c r="E73" t="s">
        <v>3398</v>
      </c>
      <c r="F73" t="s">
        <v>3733</v>
      </c>
      <c r="I73" t="s">
        <v>1658</v>
      </c>
      <c r="J73" t="s">
        <v>1659</v>
      </c>
      <c r="K73" t="s">
        <v>1660</v>
      </c>
      <c r="M73" t="s">
        <v>153</v>
      </c>
      <c r="N73">
        <v>4</v>
      </c>
      <c r="O73" t="s">
        <v>48</v>
      </c>
      <c r="P73" t="s">
        <v>41</v>
      </c>
    </row>
    <row r="74" spans="1:16">
      <c r="A74" t="s">
        <v>3720</v>
      </c>
    </row>
    <row r="75" spans="1:16">
      <c r="A75" t="s">
        <v>3721</v>
      </c>
    </row>
    <row r="77" spans="1:16">
      <c r="A77" t="s">
        <v>3722</v>
      </c>
      <c r="C77" t="s">
        <v>3132</v>
      </c>
      <c r="D77" t="s">
        <v>1742</v>
      </c>
      <c r="E77" t="s">
        <v>3319</v>
      </c>
      <c r="F77" t="s">
        <v>3320</v>
      </c>
      <c r="G77" t="s">
        <v>3311</v>
      </c>
      <c r="I77" t="s">
        <v>1914</v>
      </c>
      <c r="J77" t="s">
        <v>1915</v>
      </c>
      <c r="N77" t="s">
        <v>170</v>
      </c>
      <c r="O77" t="s">
        <v>178</v>
      </c>
      <c r="P77" t="s">
        <v>41</v>
      </c>
    </row>
    <row r="78" spans="1:16">
      <c r="A78" t="s">
        <v>3723</v>
      </c>
    </row>
    <row r="79" spans="1:16">
      <c r="A79" t="s">
        <v>3724</v>
      </c>
    </row>
    <row r="80" spans="1:16">
      <c r="A80" t="s">
        <v>3725</v>
      </c>
    </row>
    <row r="81" spans="1:15">
      <c r="A81" t="s">
        <v>3726</v>
      </c>
    </row>
    <row r="82" spans="1:15">
      <c r="A82" t="s">
        <v>3727</v>
      </c>
      <c r="C82" t="s">
        <v>4181</v>
      </c>
      <c r="E82" t="s">
        <v>3987</v>
      </c>
      <c r="J82" t="s">
        <v>4078</v>
      </c>
      <c r="O82" t="s">
        <v>4184</v>
      </c>
    </row>
  </sheetData>
  <phoneticPr fontId="2"/>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19"/>
  <sheetViews>
    <sheetView workbookViewId="0">
      <selection activeCell="B1" sqref="B1:B10"/>
    </sheetView>
  </sheetViews>
  <sheetFormatPr defaultRowHeight="18.75"/>
  <sheetData>
    <row r="1" spans="2:6">
      <c r="B1" t="str">
        <f t="shared" ref="B1:B19" si="0">C1&amp;D1&amp;E1&amp;F1</f>
        <v>NC01</v>
      </c>
      <c r="C1" t="s">
        <v>3754</v>
      </c>
      <c r="D1" t="s">
        <v>1445</v>
      </c>
      <c r="E1">
        <v>0</v>
      </c>
      <c r="F1">
        <v>1</v>
      </c>
    </row>
    <row r="2" spans="2:6">
      <c r="B2" t="str">
        <f t="shared" si="0"/>
        <v>NC02</v>
      </c>
      <c r="C2" t="str">
        <f t="shared" ref="C2:C17" si="1">C1</f>
        <v>N</v>
      </c>
      <c r="D2" t="str">
        <f>D1</f>
        <v>C</v>
      </c>
      <c r="E2">
        <v>0</v>
      </c>
      <c r="F2">
        <v>2</v>
      </c>
    </row>
    <row r="3" spans="2:6">
      <c r="B3" t="str">
        <f t="shared" si="0"/>
        <v>NC03</v>
      </c>
      <c r="C3" t="str">
        <f t="shared" si="1"/>
        <v>N</v>
      </c>
      <c r="D3" t="str">
        <f t="shared" ref="D3:D19" si="2">D2</f>
        <v>C</v>
      </c>
      <c r="E3">
        <v>0</v>
      </c>
      <c r="F3">
        <v>3</v>
      </c>
    </row>
    <row r="4" spans="2:6">
      <c r="B4" t="str">
        <f t="shared" si="0"/>
        <v>NC04</v>
      </c>
      <c r="C4" t="str">
        <f t="shared" si="1"/>
        <v>N</v>
      </c>
      <c r="D4" t="str">
        <f t="shared" si="2"/>
        <v>C</v>
      </c>
      <c r="E4">
        <v>0</v>
      </c>
      <c r="F4">
        <v>4</v>
      </c>
    </row>
    <row r="5" spans="2:6">
      <c r="B5" t="str">
        <f t="shared" si="0"/>
        <v>NC05</v>
      </c>
      <c r="C5" t="str">
        <f t="shared" si="1"/>
        <v>N</v>
      </c>
      <c r="D5" t="str">
        <f t="shared" si="2"/>
        <v>C</v>
      </c>
      <c r="E5">
        <v>0</v>
      </c>
      <c r="F5">
        <v>5</v>
      </c>
    </row>
    <row r="6" spans="2:6">
      <c r="B6" t="str">
        <f t="shared" si="0"/>
        <v>NC06</v>
      </c>
      <c r="C6" t="str">
        <f t="shared" si="1"/>
        <v>N</v>
      </c>
      <c r="D6" t="str">
        <f t="shared" si="2"/>
        <v>C</v>
      </c>
      <c r="E6">
        <v>0</v>
      </c>
      <c r="F6">
        <v>6</v>
      </c>
    </row>
    <row r="7" spans="2:6">
      <c r="B7" t="str">
        <f t="shared" si="0"/>
        <v>NC07</v>
      </c>
      <c r="C7" t="str">
        <f t="shared" si="1"/>
        <v>N</v>
      </c>
      <c r="D7" t="str">
        <f t="shared" si="2"/>
        <v>C</v>
      </c>
      <c r="E7">
        <v>0</v>
      </c>
      <c r="F7">
        <v>7</v>
      </c>
    </row>
    <row r="8" spans="2:6">
      <c r="B8" t="str">
        <f t="shared" si="0"/>
        <v>NC08</v>
      </c>
      <c r="C8" t="str">
        <f t="shared" si="1"/>
        <v>N</v>
      </c>
      <c r="D8" t="str">
        <f t="shared" si="2"/>
        <v>C</v>
      </c>
      <c r="E8">
        <v>0</v>
      </c>
      <c r="F8">
        <v>8</v>
      </c>
    </row>
    <row r="9" spans="2:6">
      <c r="B9" t="str">
        <f t="shared" si="0"/>
        <v>NC09</v>
      </c>
      <c r="C9" t="str">
        <f t="shared" si="1"/>
        <v>N</v>
      </c>
      <c r="D9" t="str">
        <f t="shared" si="2"/>
        <v>C</v>
      </c>
      <c r="E9">
        <v>0</v>
      </c>
      <c r="F9">
        <v>9</v>
      </c>
    </row>
    <row r="10" spans="2:6">
      <c r="B10" t="str">
        <f t="shared" si="0"/>
        <v>NC10</v>
      </c>
      <c r="C10" t="str">
        <f t="shared" si="1"/>
        <v>N</v>
      </c>
      <c r="D10" t="str">
        <f t="shared" si="2"/>
        <v>C</v>
      </c>
      <c r="F10">
        <v>10</v>
      </c>
    </row>
    <row r="11" spans="2:6">
      <c r="B11" t="str">
        <f t="shared" si="0"/>
        <v>NC11</v>
      </c>
      <c r="C11" t="str">
        <f t="shared" si="1"/>
        <v>N</v>
      </c>
      <c r="D11" t="str">
        <f t="shared" si="2"/>
        <v>C</v>
      </c>
      <c r="F11">
        <v>11</v>
      </c>
    </row>
    <row r="12" spans="2:6">
      <c r="B12" t="str">
        <f t="shared" si="0"/>
        <v>NC12</v>
      </c>
      <c r="C12" t="str">
        <f t="shared" si="1"/>
        <v>N</v>
      </c>
      <c r="D12" t="str">
        <f t="shared" si="2"/>
        <v>C</v>
      </c>
      <c r="F12">
        <v>12</v>
      </c>
    </row>
    <row r="13" spans="2:6">
      <c r="B13" t="str">
        <f t="shared" si="0"/>
        <v>NC13</v>
      </c>
      <c r="C13" t="str">
        <f t="shared" si="1"/>
        <v>N</v>
      </c>
      <c r="D13" t="str">
        <f t="shared" si="2"/>
        <v>C</v>
      </c>
      <c r="F13">
        <v>13</v>
      </c>
    </row>
    <row r="14" spans="2:6">
      <c r="B14" t="str">
        <f t="shared" si="0"/>
        <v>NC14</v>
      </c>
      <c r="C14" t="str">
        <f t="shared" si="1"/>
        <v>N</v>
      </c>
      <c r="D14" t="str">
        <f t="shared" si="2"/>
        <v>C</v>
      </c>
      <c r="F14">
        <v>14</v>
      </c>
    </row>
    <row r="15" spans="2:6">
      <c r="B15" t="str">
        <f t="shared" si="0"/>
        <v>NC15</v>
      </c>
      <c r="C15" t="str">
        <f t="shared" si="1"/>
        <v>N</v>
      </c>
      <c r="D15" t="str">
        <f t="shared" si="2"/>
        <v>C</v>
      </c>
      <c r="F15">
        <v>15</v>
      </c>
    </row>
    <row r="16" spans="2:6">
      <c r="B16" t="str">
        <f t="shared" si="0"/>
        <v>NC16</v>
      </c>
      <c r="C16" t="str">
        <f t="shared" si="1"/>
        <v>N</v>
      </c>
      <c r="D16" t="str">
        <f t="shared" si="2"/>
        <v>C</v>
      </c>
      <c r="F16">
        <v>16</v>
      </c>
    </row>
    <row r="17" spans="2:6">
      <c r="B17" t="str">
        <f t="shared" si="0"/>
        <v>NC17</v>
      </c>
      <c r="C17" t="str">
        <f t="shared" si="1"/>
        <v>N</v>
      </c>
      <c r="D17" t="str">
        <f t="shared" si="2"/>
        <v>C</v>
      </c>
      <c r="F17">
        <v>17</v>
      </c>
    </row>
    <row r="18" spans="2:6">
      <c r="B18" t="str">
        <f t="shared" si="0"/>
        <v>NC18</v>
      </c>
      <c r="C18" t="str">
        <f t="shared" ref="C18:C19" si="3">C17</f>
        <v>N</v>
      </c>
      <c r="D18" t="str">
        <f t="shared" si="2"/>
        <v>C</v>
      </c>
      <c r="F18">
        <v>18</v>
      </c>
    </row>
    <row r="19" spans="2:6">
      <c r="B19" t="str">
        <f t="shared" si="0"/>
        <v>NC19</v>
      </c>
      <c r="C19" t="str">
        <f t="shared" si="3"/>
        <v>N</v>
      </c>
      <c r="D19" t="str">
        <f t="shared" si="2"/>
        <v>C</v>
      </c>
      <c r="F19">
        <v>19</v>
      </c>
    </row>
  </sheetData>
  <phoneticPr fontId="2"/>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58"/>
  <sheetViews>
    <sheetView topLeftCell="A46" workbookViewId="0">
      <selection activeCell="C58" sqref="C58:M58"/>
    </sheetView>
  </sheetViews>
  <sheetFormatPr defaultRowHeight="18.75"/>
  <cols>
    <col min="2" max="2" width="3.5" bestFit="1" customWidth="1"/>
    <col min="3" max="3" width="5.125" bestFit="1" customWidth="1"/>
    <col min="4" max="5" width="25" customWidth="1"/>
    <col min="6" max="6" width="5.25" bestFit="1" customWidth="1"/>
    <col min="7" max="7" width="3" customWidth="1"/>
    <col min="8" max="8" width="5.875" customWidth="1"/>
    <col min="9" max="9" width="8.5" bestFit="1" customWidth="1"/>
    <col min="10" max="10" width="9.5" bestFit="1" customWidth="1"/>
    <col min="11" max="11" width="4.875" style="76" bestFit="1" customWidth="1"/>
    <col min="13" max="13" width="42.625" customWidth="1"/>
    <col min="14" max="14" width="28.75" bestFit="1" customWidth="1"/>
    <col min="15" max="15" width="13.25" customWidth="1"/>
  </cols>
  <sheetData>
    <row r="1" spans="1:18">
      <c r="A1">
        <v>1</v>
      </c>
      <c r="B1">
        <v>1</v>
      </c>
      <c r="C1" t="s">
        <v>3947</v>
      </c>
      <c r="D1" t="s">
        <v>4079</v>
      </c>
      <c r="E1" t="s">
        <v>4080</v>
      </c>
      <c r="F1" t="s">
        <v>3948</v>
      </c>
      <c r="G1" t="s">
        <v>3949</v>
      </c>
      <c r="H1" t="s">
        <v>1445</v>
      </c>
      <c r="I1" t="s">
        <v>3950</v>
      </c>
      <c r="J1" t="s">
        <v>3951</v>
      </c>
      <c r="K1" s="76" t="s">
        <v>3952</v>
      </c>
      <c r="L1" t="s">
        <v>3953</v>
      </c>
      <c r="M1" t="s">
        <v>3954</v>
      </c>
      <c r="N1" t="s">
        <v>3955</v>
      </c>
      <c r="P1" t="s">
        <v>3805</v>
      </c>
    </row>
    <row r="2" spans="1:18">
      <c r="A2" s="9">
        <v>1</v>
      </c>
      <c r="B2" s="9">
        <v>4</v>
      </c>
      <c r="C2" s="9" t="s">
        <v>3947</v>
      </c>
      <c r="D2" s="9" t="s">
        <v>4081</v>
      </c>
      <c r="E2" s="9" t="s">
        <v>4082</v>
      </c>
      <c r="F2" s="9" t="s">
        <v>3956</v>
      </c>
      <c r="G2" s="9" t="s">
        <v>3949</v>
      </c>
      <c r="H2" s="9" t="s">
        <v>1445</v>
      </c>
      <c r="I2" s="9" t="s">
        <v>3957</v>
      </c>
      <c r="J2" s="9" t="s">
        <v>3958</v>
      </c>
      <c r="K2" s="79" t="s">
        <v>3959</v>
      </c>
      <c r="L2" s="9" t="s">
        <v>3953</v>
      </c>
      <c r="M2" s="9" t="s">
        <v>3960</v>
      </c>
      <c r="N2" s="9" t="s">
        <v>1</v>
      </c>
      <c r="O2" s="9"/>
      <c r="P2" s="9"/>
      <c r="Q2" s="9"/>
      <c r="R2" s="9"/>
    </row>
    <row r="3" spans="1:18">
      <c r="A3" s="5">
        <v>1</v>
      </c>
      <c r="B3" s="5">
        <v>7</v>
      </c>
      <c r="C3" s="5" t="s">
        <v>3947</v>
      </c>
      <c r="D3" s="5" t="s">
        <v>4083</v>
      </c>
      <c r="E3" s="5" t="s">
        <v>4084</v>
      </c>
      <c r="F3" s="5" t="s">
        <v>3873</v>
      </c>
      <c r="G3" s="5" t="s">
        <v>3949</v>
      </c>
      <c r="H3" s="5" t="s">
        <v>3961</v>
      </c>
      <c r="I3" s="5"/>
      <c r="J3" s="5"/>
      <c r="K3" s="78" t="s">
        <v>3805</v>
      </c>
      <c r="L3" s="5" t="s">
        <v>3953</v>
      </c>
      <c r="M3" s="5" t="s">
        <v>3962</v>
      </c>
      <c r="N3" s="5" t="s">
        <v>3963</v>
      </c>
      <c r="O3" s="5"/>
      <c r="P3" s="5" t="s">
        <v>3805</v>
      </c>
      <c r="Q3" s="5"/>
    </row>
    <row r="4" spans="1:18">
      <c r="A4" s="5">
        <v>1</v>
      </c>
      <c r="B4" s="5">
        <v>10</v>
      </c>
      <c r="C4" s="5" t="s">
        <v>3947</v>
      </c>
      <c r="D4" s="5" t="s">
        <v>4085</v>
      </c>
      <c r="E4" s="5" t="s">
        <v>4086</v>
      </c>
      <c r="F4" s="5" t="s">
        <v>3964</v>
      </c>
      <c r="G4" s="5" t="s">
        <v>3949</v>
      </c>
      <c r="H4" s="5" t="s">
        <v>3961</v>
      </c>
      <c r="I4" s="5"/>
      <c r="J4" s="5"/>
      <c r="K4" s="78" t="s">
        <v>3805</v>
      </c>
      <c r="L4" s="5" t="s">
        <v>3953</v>
      </c>
      <c r="M4" s="5" t="s">
        <v>3965</v>
      </c>
      <c r="N4" s="5" t="s">
        <v>3966</v>
      </c>
      <c r="O4" s="5"/>
      <c r="P4" s="5" t="s">
        <v>3805</v>
      </c>
      <c r="Q4" s="5"/>
    </row>
    <row r="5" spans="1:18">
      <c r="A5" s="9">
        <v>1</v>
      </c>
      <c r="B5" s="9">
        <v>13</v>
      </c>
      <c r="C5" s="9" t="s">
        <v>3947</v>
      </c>
      <c r="D5" s="9" t="s">
        <v>4087</v>
      </c>
      <c r="E5" s="9" t="s">
        <v>4088</v>
      </c>
      <c r="F5" s="9" t="s">
        <v>3967</v>
      </c>
      <c r="G5" s="9" t="s">
        <v>3949</v>
      </c>
      <c r="H5" s="9" t="s">
        <v>1445</v>
      </c>
      <c r="I5" s="9" t="s">
        <v>3968</v>
      </c>
      <c r="J5" s="9" t="s">
        <v>3969</v>
      </c>
      <c r="K5" s="79" t="s">
        <v>3970</v>
      </c>
      <c r="L5" s="9" t="s">
        <v>3953</v>
      </c>
      <c r="M5" s="9" t="s">
        <v>3971</v>
      </c>
      <c r="N5" s="9"/>
      <c r="O5" s="9"/>
      <c r="P5" s="9" t="s">
        <v>3805</v>
      </c>
      <c r="Q5" s="9"/>
      <c r="R5" s="9"/>
    </row>
    <row r="6" spans="1:18">
      <c r="A6" s="9">
        <v>1</v>
      </c>
      <c r="B6" s="9">
        <v>16</v>
      </c>
      <c r="C6" s="9" t="s">
        <v>3972</v>
      </c>
      <c r="D6" s="9" t="s">
        <v>4089</v>
      </c>
      <c r="E6" s="9" t="s">
        <v>4090</v>
      </c>
      <c r="F6" s="79" t="s">
        <v>3973</v>
      </c>
      <c r="G6" s="9" t="s">
        <v>3949</v>
      </c>
      <c r="H6" s="9" t="s">
        <v>3974</v>
      </c>
      <c r="I6" s="9" t="s">
        <v>3975</v>
      </c>
      <c r="J6" s="9"/>
      <c r="K6" s="79" t="s">
        <v>3976</v>
      </c>
      <c r="L6" s="9" t="s">
        <v>3953</v>
      </c>
      <c r="M6" s="9" t="s">
        <v>3977</v>
      </c>
      <c r="N6" s="9"/>
      <c r="O6" s="9"/>
      <c r="P6" s="9" t="s">
        <v>3805</v>
      </c>
      <c r="Q6" s="9"/>
      <c r="R6" s="9"/>
    </row>
    <row r="7" spans="1:18">
      <c r="A7" s="9">
        <v>0</v>
      </c>
      <c r="B7" s="9">
        <v>17</v>
      </c>
      <c r="C7" s="9" t="s">
        <v>3972</v>
      </c>
      <c r="D7" s="9" t="s">
        <v>4091</v>
      </c>
      <c r="E7" s="9" t="s">
        <v>4092</v>
      </c>
      <c r="F7" s="79" t="s">
        <v>3978</v>
      </c>
      <c r="G7" s="9" t="s">
        <v>3949</v>
      </c>
      <c r="H7" s="9" t="s">
        <v>3974</v>
      </c>
      <c r="I7" s="9" t="s">
        <v>3957</v>
      </c>
      <c r="J7" s="9" t="s">
        <v>3975</v>
      </c>
      <c r="K7" s="79" t="s">
        <v>3979</v>
      </c>
      <c r="L7" s="9" t="s">
        <v>3953</v>
      </c>
      <c r="M7" s="9" t="s">
        <v>3980</v>
      </c>
      <c r="N7" s="9" t="s">
        <v>1</v>
      </c>
      <c r="O7" s="9"/>
      <c r="P7" s="9" t="s">
        <v>3805</v>
      </c>
      <c r="Q7" s="9"/>
      <c r="R7" s="9"/>
    </row>
    <row r="8" spans="1:18">
      <c r="A8" s="9">
        <v>1</v>
      </c>
      <c r="B8" s="9">
        <v>18</v>
      </c>
      <c r="C8" s="9" t="s">
        <v>3972</v>
      </c>
      <c r="D8" s="9" t="s">
        <v>4093</v>
      </c>
      <c r="E8" s="9" t="s">
        <v>4094</v>
      </c>
      <c r="F8" s="79" t="s">
        <v>3981</v>
      </c>
      <c r="G8" s="9" t="s">
        <v>3949</v>
      </c>
      <c r="H8" s="9" t="s">
        <v>3974</v>
      </c>
      <c r="I8" s="9" t="s">
        <v>3975</v>
      </c>
      <c r="J8" s="9"/>
      <c r="K8" s="79" t="s">
        <v>3982</v>
      </c>
      <c r="L8" s="9" t="s">
        <v>3953</v>
      </c>
      <c r="M8" s="9" t="s">
        <v>3954</v>
      </c>
      <c r="N8" s="9" t="s">
        <v>3983</v>
      </c>
      <c r="O8" s="9"/>
      <c r="P8" s="9" t="s">
        <v>3805</v>
      </c>
      <c r="Q8" s="9"/>
      <c r="R8" s="9"/>
    </row>
    <row r="9" spans="1:18">
      <c r="A9" s="9">
        <v>0</v>
      </c>
      <c r="B9" s="9">
        <v>19</v>
      </c>
      <c r="C9" s="9" t="s">
        <v>3972</v>
      </c>
      <c r="D9" s="9" t="s">
        <v>4095</v>
      </c>
      <c r="E9" s="9" t="s">
        <v>4096</v>
      </c>
      <c r="F9" s="79" t="s">
        <v>3984</v>
      </c>
      <c r="G9" s="9" t="s">
        <v>3949</v>
      </c>
      <c r="H9" s="9" t="s">
        <v>3974</v>
      </c>
      <c r="I9" s="9" t="s">
        <v>3975</v>
      </c>
      <c r="J9" s="9"/>
      <c r="K9" s="79" t="s">
        <v>3985</v>
      </c>
      <c r="L9" s="9" t="s">
        <v>3953</v>
      </c>
      <c r="M9" s="9" t="s">
        <v>3986</v>
      </c>
      <c r="N9" s="9"/>
      <c r="O9" s="9"/>
      <c r="P9" s="9" t="s">
        <v>3805</v>
      </c>
      <c r="Q9" s="9"/>
      <c r="R9" s="9"/>
    </row>
    <row r="10" spans="1:18">
      <c r="F10" s="76"/>
    </row>
    <row r="11" spans="1:18">
      <c r="A11">
        <v>1</v>
      </c>
      <c r="B11">
        <v>28</v>
      </c>
      <c r="C11" t="s">
        <v>3972</v>
      </c>
      <c r="D11" t="s">
        <v>4097</v>
      </c>
      <c r="E11" t="s">
        <v>4098</v>
      </c>
      <c r="G11" s="76" t="s">
        <v>3949</v>
      </c>
      <c r="H11" t="s">
        <v>3987</v>
      </c>
      <c r="M11" s="76" t="s">
        <v>3988</v>
      </c>
      <c r="P11" t="s">
        <v>3805</v>
      </c>
    </row>
    <row r="12" spans="1:18">
      <c r="A12">
        <v>1</v>
      </c>
      <c r="B12">
        <v>29</v>
      </c>
      <c r="C12" t="s">
        <v>3972</v>
      </c>
      <c r="D12" t="s">
        <v>4099</v>
      </c>
      <c r="E12" t="s">
        <v>4100</v>
      </c>
      <c r="G12" s="76" t="s">
        <v>3949</v>
      </c>
      <c r="H12" t="s">
        <v>3987</v>
      </c>
      <c r="M12" s="76" t="s">
        <v>3989</v>
      </c>
      <c r="P12" t="s">
        <v>3805</v>
      </c>
    </row>
    <row r="13" spans="1:18">
      <c r="A13">
        <v>1</v>
      </c>
      <c r="B13">
        <v>30</v>
      </c>
      <c r="C13" t="s">
        <v>3972</v>
      </c>
      <c r="D13" t="s">
        <v>4101</v>
      </c>
      <c r="E13" t="s">
        <v>4102</v>
      </c>
      <c r="G13" s="76" t="s">
        <v>3949</v>
      </c>
      <c r="H13" t="s">
        <v>3987</v>
      </c>
      <c r="M13" s="76" t="s">
        <v>3990</v>
      </c>
      <c r="P13" t="s">
        <v>3805</v>
      </c>
    </row>
    <row r="14" spans="1:18">
      <c r="A14">
        <v>1</v>
      </c>
      <c r="B14">
        <v>31</v>
      </c>
      <c r="C14" t="s">
        <v>3972</v>
      </c>
      <c r="D14" t="s">
        <v>4103</v>
      </c>
      <c r="E14" t="s">
        <v>4104</v>
      </c>
      <c r="G14" s="76" t="s">
        <v>3949</v>
      </c>
      <c r="H14" t="s">
        <v>3987</v>
      </c>
      <c r="M14" s="76" t="s">
        <v>3991</v>
      </c>
      <c r="P14" t="s">
        <v>3805</v>
      </c>
    </row>
    <row r="15" spans="1:18">
      <c r="A15">
        <v>0</v>
      </c>
      <c r="B15">
        <v>32</v>
      </c>
      <c r="C15" t="s">
        <v>3972</v>
      </c>
      <c r="D15" t="s">
        <v>4105</v>
      </c>
      <c r="E15" t="s">
        <v>4106</v>
      </c>
      <c r="G15" s="76" t="s">
        <v>3949</v>
      </c>
      <c r="H15" t="s">
        <v>3987</v>
      </c>
      <c r="K15"/>
      <c r="M15" t="s">
        <v>3992</v>
      </c>
      <c r="P15" t="s">
        <v>3805</v>
      </c>
    </row>
    <row r="16" spans="1:18">
      <c r="A16">
        <v>0</v>
      </c>
      <c r="B16">
        <v>41</v>
      </c>
      <c r="C16" t="s">
        <v>3947</v>
      </c>
      <c r="D16" t="s">
        <v>4107</v>
      </c>
      <c r="E16" t="s">
        <v>4108</v>
      </c>
      <c r="G16" t="s">
        <v>3949</v>
      </c>
      <c r="H16" t="s">
        <v>3987</v>
      </c>
      <c r="M16" s="76" t="s">
        <v>3993</v>
      </c>
      <c r="P16" t="s">
        <v>3805</v>
      </c>
    </row>
    <row r="17" spans="1:18">
      <c r="A17">
        <v>0</v>
      </c>
      <c r="B17">
        <v>42</v>
      </c>
      <c r="C17" t="s">
        <v>3947</v>
      </c>
      <c r="D17" t="s">
        <v>4109</v>
      </c>
      <c r="E17" t="s">
        <v>4110</v>
      </c>
      <c r="G17" t="s">
        <v>3949</v>
      </c>
      <c r="H17" t="s">
        <v>3987</v>
      </c>
      <c r="M17" s="76" t="s">
        <v>3994</v>
      </c>
      <c r="O17" t="s">
        <v>3805</v>
      </c>
      <c r="P17" t="s">
        <v>3805</v>
      </c>
    </row>
    <row r="18" spans="1:18">
      <c r="A18">
        <v>0</v>
      </c>
      <c r="B18">
        <v>43</v>
      </c>
      <c r="C18" t="s">
        <v>3947</v>
      </c>
      <c r="D18" t="s">
        <v>4111</v>
      </c>
      <c r="E18" t="s">
        <v>4112</v>
      </c>
      <c r="G18" t="s">
        <v>3949</v>
      </c>
      <c r="H18" t="s">
        <v>3987</v>
      </c>
      <c r="M18" s="76" t="s">
        <v>3995</v>
      </c>
      <c r="O18" t="s">
        <v>3805</v>
      </c>
      <c r="P18" t="s">
        <v>3805</v>
      </c>
    </row>
    <row r="19" spans="1:18">
      <c r="A19">
        <v>0</v>
      </c>
      <c r="B19">
        <v>44</v>
      </c>
      <c r="C19" t="s">
        <v>3947</v>
      </c>
      <c r="D19" t="s">
        <v>4113</v>
      </c>
      <c r="E19" t="s">
        <v>4114</v>
      </c>
      <c r="G19" t="s">
        <v>3949</v>
      </c>
      <c r="H19" t="s">
        <v>3987</v>
      </c>
      <c r="M19" s="76" t="s">
        <v>3996</v>
      </c>
      <c r="P19" t="s">
        <v>3805</v>
      </c>
    </row>
    <row r="20" spans="1:18">
      <c r="A20">
        <v>0</v>
      </c>
      <c r="B20">
        <v>45</v>
      </c>
      <c r="C20" t="s">
        <v>3947</v>
      </c>
      <c r="D20" t="s">
        <v>4115</v>
      </c>
      <c r="E20" t="s">
        <v>4116</v>
      </c>
      <c r="G20" t="s">
        <v>3949</v>
      </c>
      <c r="H20" t="s">
        <v>3987</v>
      </c>
      <c r="M20" s="76" t="s">
        <v>3997</v>
      </c>
      <c r="P20" t="s">
        <v>3805</v>
      </c>
    </row>
    <row r="21" spans="1:18">
      <c r="M21" s="76"/>
    </row>
    <row r="22" spans="1:18">
      <c r="A22">
        <v>1</v>
      </c>
      <c r="B22">
        <v>2</v>
      </c>
      <c r="C22" t="s">
        <v>3947</v>
      </c>
      <c r="D22" t="s">
        <v>4117</v>
      </c>
      <c r="E22" t="s">
        <v>4118</v>
      </c>
      <c r="F22" t="s">
        <v>3998</v>
      </c>
      <c r="G22" t="s">
        <v>3872</v>
      </c>
      <c r="H22" t="s">
        <v>1445</v>
      </c>
      <c r="I22" t="s">
        <v>3950</v>
      </c>
      <c r="J22" t="s">
        <v>3999</v>
      </c>
      <c r="K22" s="76" t="s">
        <v>3976</v>
      </c>
      <c r="L22" t="s">
        <v>3953</v>
      </c>
      <c r="M22" t="s">
        <v>4000</v>
      </c>
      <c r="N22" t="s">
        <v>4001</v>
      </c>
    </row>
    <row r="23" spans="1:18">
      <c r="A23" s="9">
        <v>0</v>
      </c>
      <c r="B23" s="9">
        <v>5</v>
      </c>
      <c r="C23" s="9" t="s">
        <v>3947</v>
      </c>
      <c r="D23" s="9" t="s">
        <v>4119</v>
      </c>
      <c r="E23" s="9" t="s">
        <v>4120</v>
      </c>
      <c r="F23" s="9" t="s">
        <v>4002</v>
      </c>
      <c r="G23" s="9" t="s">
        <v>3872</v>
      </c>
      <c r="H23" s="9" t="s">
        <v>1445</v>
      </c>
      <c r="I23" s="9" t="s">
        <v>4003</v>
      </c>
      <c r="J23" s="9" t="s">
        <v>3958</v>
      </c>
      <c r="K23" s="79" t="s">
        <v>3970</v>
      </c>
      <c r="L23" s="9" t="s">
        <v>3953</v>
      </c>
      <c r="M23" s="9" t="s">
        <v>4004</v>
      </c>
      <c r="N23" s="9" t="s">
        <v>4005</v>
      </c>
      <c r="O23" s="9"/>
      <c r="P23" s="9"/>
      <c r="Q23" s="9"/>
      <c r="R23" s="9"/>
    </row>
    <row r="24" spans="1:18">
      <c r="A24">
        <v>1</v>
      </c>
      <c r="B24">
        <v>8</v>
      </c>
      <c r="C24" t="s">
        <v>3947</v>
      </c>
      <c r="D24" t="s">
        <v>4121</v>
      </c>
      <c r="E24" t="s">
        <v>4122</v>
      </c>
      <c r="F24" t="s">
        <v>4006</v>
      </c>
      <c r="G24" t="s">
        <v>3872</v>
      </c>
      <c r="H24" t="s">
        <v>1445</v>
      </c>
      <c r="I24" t="s">
        <v>3950</v>
      </c>
      <c r="J24" t="s">
        <v>4007</v>
      </c>
      <c r="K24" s="76" t="s">
        <v>4008</v>
      </c>
      <c r="L24" t="s">
        <v>3953</v>
      </c>
      <c r="M24" t="s">
        <v>4009</v>
      </c>
      <c r="N24" t="s">
        <v>4010</v>
      </c>
    </row>
    <row r="25" spans="1:18">
      <c r="A25" s="9">
        <v>1</v>
      </c>
      <c r="B25" s="9">
        <v>11</v>
      </c>
      <c r="C25" s="9" t="s">
        <v>3947</v>
      </c>
      <c r="D25" s="9" t="s">
        <v>4123</v>
      </c>
      <c r="E25" s="9" t="s">
        <v>4124</v>
      </c>
      <c r="F25" s="9" t="s">
        <v>4011</v>
      </c>
      <c r="G25" s="9" t="s">
        <v>3872</v>
      </c>
      <c r="H25" s="9" t="s">
        <v>1445</v>
      </c>
      <c r="I25" s="9" t="s">
        <v>4012</v>
      </c>
      <c r="J25" s="9" t="s">
        <v>4013</v>
      </c>
      <c r="K25" s="79" t="s">
        <v>3982</v>
      </c>
      <c r="L25" s="9" t="s">
        <v>3953</v>
      </c>
      <c r="M25" s="9" t="s">
        <v>3965</v>
      </c>
      <c r="N25" s="9" t="s">
        <v>4014</v>
      </c>
      <c r="O25" s="9"/>
      <c r="P25" s="9"/>
      <c r="Q25" s="9"/>
      <c r="R25" s="9"/>
    </row>
    <row r="26" spans="1:18">
      <c r="A26" s="9">
        <v>1</v>
      </c>
      <c r="B26" s="9">
        <v>14</v>
      </c>
      <c r="C26" s="9" t="s">
        <v>3947</v>
      </c>
      <c r="D26" s="9" t="s">
        <v>4125</v>
      </c>
      <c r="E26" s="9" t="s">
        <v>4126</v>
      </c>
      <c r="F26" s="9" t="s">
        <v>4015</v>
      </c>
      <c r="G26" s="9" t="s">
        <v>3872</v>
      </c>
      <c r="H26" s="9" t="s">
        <v>1445</v>
      </c>
      <c r="I26" s="9" t="s">
        <v>4016</v>
      </c>
      <c r="J26" s="9"/>
      <c r="K26" s="79" t="s">
        <v>4017</v>
      </c>
      <c r="L26" s="9" t="s">
        <v>3953</v>
      </c>
      <c r="M26" s="9" t="s">
        <v>4018</v>
      </c>
      <c r="N26" s="9" t="s">
        <v>4019</v>
      </c>
      <c r="O26" s="9"/>
      <c r="P26" s="9"/>
      <c r="Q26" s="9"/>
      <c r="R26" s="9"/>
    </row>
    <row r="27" spans="1:18">
      <c r="A27" s="9">
        <v>1</v>
      </c>
      <c r="B27" s="9">
        <v>20</v>
      </c>
      <c r="C27" s="9" t="s">
        <v>3972</v>
      </c>
      <c r="D27" s="9" t="s">
        <v>4127</v>
      </c>
      <c r="E27" s="9" t="s">
        <v>4128</v>
      </c>
      <c r="F27" s="79" t="s">
        <v>4020</v>
      </c>
      <c r="G27" s="9" t="s">
        <v>3872</v>
      </c>
      <c r="H27" s="9" t="s">
        <v>3974</v>
      </c>
      <c r="I27" s="9" t="s">
        <v>3975</v>
      </c>
      <c r="J27" s="9"/>
      <c r="K27" s="79" t="s">
        <v>3979</v>
      </c>
      <c r="L27" s="9" t="s">
        <v>3953</v>
      </c>
      <c r="M27" s="9" t="s">
        <v>4021</v>
      </c>
      <c r="N27" s="9"/>
      <c r="O27" s="9"/>
      <c r="P27" s="9"/>
      <c r="Q27" s="9"/>
      <c r="R27" s="9"/>
    </row>
    <row r="28" spans="1:18">
      <c r="A28" s="9">
        <v>0</v>
      </c>
      <c r="B28" s="9">
        <v>21</v>
      </c>
      <c r="C28" s="9" t="s">
        <v>3972</v>
      </c>
      <c r="D28" s="9" t="s">
        <v>4129</v>
      </c>
      <c r="E28" s="9" t="s">
        <v>4130</v>
      </c>
      <c r="F28" s="79" t="s">
        <v>3973</v>
      </c>
      <c r="G28" s="9" t="s">
        <v>3872</v>
      </c>
      <c r="H28" s="9" t="s">
        <v>3974</v>
      </c>
      <c r="I28" s="9" t="s">
        <v>4022</v>
      </c>
      <c r="J28" s="9" t="s">
        <v>3975</v>
      </c>
      <c r="K28" s="79" t="s">
        <v>4017</v>
      </c>
      <c r="L28" s="9" t="s">
        <v>3953</v>
      </c>
      <c r="M28" s="9" t="s">
        <v>4023</v>
      </c>
      <c r="N28" s="9" t="s">
        <v>4024</v>
      </c>
      <c r="O28" s="9"/>
      <c r="P28" s="9"/>
      <c r="Q28" s="9"/>
      <c r="R28" s="9"/>
    </row>
    <row r="29" spans="1:18">
      <c r="F29" s="76"/>
    </row>
    <row r="30" spans="1:18">
      <c r="A30">
        <v>1</v>
      </c>
      <c r="B30">
        <v>33</v>
      </c>
      <c r="C30" t="s">
        <v>3972</v>
      </c>
      <c r="D30" t="s">
        <v>4131</v>
      </c>
      <c r="E30" t="s">
        <v>4132</v>
      </c>
      <c r="G30" s="76" t="s">
        <v>3872</v>
      </c>
      <c r="H30" t="s">
        <v>3987</v>
      </c>
      <c r="M30" s="76" t="s">
        <v>4025</v>
      </c>
    </row>
    <row r="31" spans="1:18">
      <c r="A31">
        <v>1</v>
      </c>
      <c r="B31">
        <v>34</v>
      </c>
      <c r="C31" t="s">
        <v>3972</v>
      </c>
      <c r="D31" t="s">
        <v>4133</v>
      </c>
      <c r="E31" t="s">
        <v>4134</v>
      </c>
      <c r="G31" s="76" t="s">
        <v>3872</v>
      </c>
      <c r="H31" t="s">
        <v>3987</v>
      </c>
      <c r="M31" s="76" t="s">
        <v>4026</v>
      </c>
    </row>
    <row r="32" spans="1:18">
      <c r="A32">
        <v>1</v>
      </c>
      <c r="B32">
        <v>35</v>
      </c>
      <c r="C32" t="s">
        <v>3972</v>
      </c>
      <c r="D32" t="s">
        <v>4135</v>
      </c>
      <c r="E32" t="s">
        <v>4136</v>
      </c>
      <c r="G32" s="76" t="s">
        <v>3872</v>
      </c>
      <c r="H32" t="s">
        <v>3987</v>
      </c>
      <c r="M32" s="76" t="s">
        <v>4027</v>
      </c>
    </row>
    <row r="33" spans="1:18">
      <c r="A33">
        <v>1</v>
      </c>
      <c r="B33">
        <v>36</v>
      </c>
      <c r="C33" t="s">
        <v>3972</v>
      </c>
      <c r="D33" t="s">
        <v>4137</v>
      </c>
      <c r="E33" t="s">
        <v>4138</v>
      </c>
      <c r="G33" s="76" t="s">
        <v>3872</v>
      </c>
      <c r="H33" t="s">
        <v>3987</v>
      </c>
      <c r="M33" s="76" t="s">
        <v>4028</v>
      </c>
    </row>
    <row r="34" spans="1:18">
      <c r="A34">
        <v>0</v>
      </c>
      <c r="B34">
        <v>37</v>
      </c>
      <c r="C34" t="s">
        <v>3972</v>
      </c>
      <c r="D34" t="s">
        <v>4139</v>
      </c>
      <c r="E34" t="s">
        <v>4140</v>
      </c>
      <c r="G34" s="76" t="s">
        <v>3872</v>
      </c>
      <c r="H34" t="s">
        <v>3987</v>
      </c>
      <c r="M34" t="s">
        <v>4029</v>
      </c>
    </row>
    <row r="35" spans="1:18">
      <c r="A35">
        <v>0</v>
      </c>
      <c r="B35">
        <v>38</v>
      </c>
      <c r="C35" t="s">
        <v>3972</v>
      </c>
      <c r="D35" t="s">
        <v>4141</v>
      </c>
      <c r="E35" t="s">
        <v>4142</v>
      </c>
      <c r="G35" s="76" t="s">
        <v>3872</v>
      </c>
      <c r="H35" t="s">
        <v>3987</v>
      </c>
      <c r="K35"/>
      <c r="M35" t="s">
        <v>4030</v>
      </c>
    </row>
    <row r="36" spans="1:18">
      <c r="A36">
        <v>0</v>
      </c>
      <c r="B36">
        <v>46</v>
      </c>
      <c r="C36" t="s">
        <v>3947</v>
      </c>
      <c r="D36" t="s">
        <v>4143</v>
      </c>
      <c r="E36" t="s">
        <v>4144</v>
      </c>
      <c r="G36" t="s">
        <v>3872</v>
      </c>
      <c r="H36" t="s">
        <v>3987</v>
      </c>
      <c r="M36" s="76" t="s">
        <v>4031</v>
      </c>
    </row>
    <row r="37" spans="1:18">
      <c r="A37">
        <v>1</v>
      </c>
      <c r="B37">
        <v>47</v>
      </c>
      <c r="C37" t="s">
        <v>3947</v>
      </c>
      <c r="D37" t="s">
        <v>4145</v>
      </c>
      <c r="E37" t="s">
        <v>4146</v>
      </c>
      <c r="G37" t="s">
        <v>3872</v>
      </c>
      <c r="H37" t="s">
        <v>3987</v>
      </c>
      <c r="M37" s="76" t="s">
        <v>4032</v>
      </c>
    </row>
    <row r="38" spans="1:18">
      <c r="M38" s="76"/>
    </row>
    <row r="39" spans="1:18">
      <c r="A39">
        <v>1</v>
      </c>
      <c r="B39">
        <v>3</v>
      </c>
      <c r="C39" t="s">
        <v>3947</v>
      </c>
      <c r="D39" t="s">
        <v>4147</v>
      </c>
      <c r="E39" t="s">
        <v>4148</v>
      </c>
      <c r="F39" t="s">
        <v>4033</v>
      </c>
      <c r="G39" t="s">
        <v>3874</v>
      </c>
      <c r="H39" t="s">
        <v>1445</v>
      </c>
      <c r="I39" t="s">
        <v>3950</v>
      </c>
      <c r="J39" t="s">
        <v>4034</v>
      </c>
      <c r="K39" s="76" t="s">
        <v>4008</v>
      </c>
      <c r="L39" t="s">
        <v>3953</v>
      </c>
      <c r="M39" t="s">
        <v>4035</v>
      </c>
      <c r="N39" t="s">
        <v>4036</v>
      </c>
      <c r="P39" t="s">
        <v>3805</v>
      </c>
    </row>
    <row r="40" spans="1:18">
      <c r="A40">
        <v>0</v>
      </c>
      <c r="B40">
        <v>6</v>
      </c>
      <c r="C40" t="s">
        <v>3947</v>
      </c>
      <c r="D40" t="s">
        <v>4149</v>
      </c>
      <c r="E40" t="s">
        <v>4150</v>
      </c>
      <c r="F40" t="s">
        <v>4037</v>
      </c>
      <c r="G40" t="s">
        <v>3874</v>
      </c>
      <c r="H40" t="s">
        <v>1445</v>
      </c>
      <c r="I40" t="s">
        <v>3950</v>
      </c>
      <c r="J40" t="s">
        <v>4038</v>
      </c>
      <c r="K40" s="76" t="s">
        <v>4039</v>
      </c>
      <c r="L40" s="77"/>
      <c r="M40" t="s">
        <v>4040</v>
      </c>
      <c r="N40" s="77" t="s">
        <v>4041</v>
      </c>
      <c r="P40" t="s">
        <v>3805</v>
      </c>
    </row>
    <row r="41" spans="1:18">
      <c r="A41" s="9">
        <v>1</v>
      </c>
      <c r="B41" s="9">
        <v>9</v>
      </c>
      <c r="C41" s="9" t="s">
        <v>3947</v>
      </c>
      <c r="D41" s="9" t="s">
        <v>4151</v>
      </c>
      <c r="E41" s="9" t="s">
        <v>4152</v>
      </c>
      <c r="F41" s="9" t="s">
        <v>4042</v>
      </c>
      <c r="G41" s="9" t="s">
        <v>3874</v>
      </c>
      <c r="H41" s="9" t="s">
        <v>1445</v>
      </c>
      <c r="I41" s="9" t="s">
        <v>4043</v>
      </c>
      <c r="J41" s="9"/>
      <c r="K41" s="79" t="s">
        <v>4044</v>
      </c>
      <c r="L41" s="9" t="s">
        <v>3953</v>
      </c>
      <c r="M41" s="9" t="s">
        <v>4045</v>
      </c>
      <c r="N41" s="9" t="s">
        <v>1</v>
      </c>
      <c r="O41" s="9"/>
      <c r="P41" s="9" t="s">
        <v>3805</v>
      </c>
      <c r="Q41" s="9"/>
      <c r="R41" s="9"/>
    </row>
    <row r="42" spans="1:18">
      <c r="A42" s="9">
        <v>0</v>
      </c>
      <c r="B42" s="9">
        <v>12</v>
      </c>
      <c r="C42" s="9" t="s">
        <v>3947</v>
      </c>
      <c r="D42" s="9" t="s">
        <v>4153</v>
      </c>
      <c r="E42" s="9" t="s">
        <v>4154</v>
      </c>
      <c r="F42" s="9" t="s">
        <v>3964</v>
      </c>
      <c r="G42" s="9" t="s">
        <v>3874</v>
      </c>
      <c r="H42" s="9" t="s">
        <v>1445</v>
      </c>
      <c r="I42" s="9" t="s">
        <v>4012</v>
      </c>
      <c r="J42" s="9" t="s">
        <v>4046</v>
      </c>
      <c r="K42" s="79" t="s">
        <v>4047</v>
      </c>
      <c r="L42" s="9"/>
      <c r="M42" s="9" t="s">
        <v>4048</v>
      </c>
      <c r="N42" s="9" t="s">
        <v>4049</v>
      </c>
      <c r="O42" s="9"/>
      <c r="P42" s="9" t="s">
        <v>3805</v>
      </c>
      <c r="Q42" s="9"/>
      <c r="R42" s="9"/>
    </row>
    <row r="43" spans="1:18">
      <c r="A43" s="9">
        <v>0</v>
      </c>
      <c r="B43" s="9">
        <v>15</v>
      </c>
      <c r="C43" s="9" t="s">
        <v>3947</v>
      </c>
      <c r="D43" s="9" t="s">
        <v>4155</v>
      </c>
      <c r="E43" s="9" t="s">
        <v>4156</v>
      </c>
      <c r="F43" s="9" t="s">
        <v>4050</v>
      </c>
      <c r="G43" s="9" t="s">
        <v>3874</v>
      </c>
      <c r="H43" s="9" t="s">
        <v>1445</v>
      </c>
      <c r="I43" s="9" t="s">
        <v>3968</v>
      </c>
      <c r="J43" s="9" t="s">
        <v>4051</v>
      </c>
      <c r="K43" s="79" t="s">
        <v>4052</v>
      </c>
      <c r="L43" s="9"/>
      <c r="M43" s="9" t="s">
        <v>4053</v>
      </c>
      <c r="N43" s="9" t="s">
        <v>4054</v>
      </c>
      <c r="O43" s="9"/>
      <c r="P43" s="9" t="s">
        <v>3805</v>
      </c>
      <c r="Q43" s="9"/>
      <c r="R43" s="9"/>
    </row>
    <row r="44" spans="1:18">
      <c r="A44" s="9">
        <v>1</v>
      </c>
      <c r="B44" s="9">
        <v>22</v>
      </c>
      <c r="C44" s="9" t="s">
        <v>3972</v>
      </c>
      <c r="D44" s="9" t="s">
        <v>4157</v>
      </c>
      <c r="E44" s="9" t="s">
        <v>4158</v>
      </c>
      <c r="F44" s="79" t="s">
        <v>4055</v>
      </c>
      <c r="G44" s="9" t="s">
        <v>3874</v>
      </c>
      <c r="H44" s="9" t="s">
        <v>3974</v>
      </c>
      <c r="I44" s="9" t="s">
        <v>3975</v>
      </c>
      <c r="J44" s="9"/>
      <c r="K44" s="79" t="s">
        <v>4056</v>
      </c>
      <c r="L44" s="9" t="s">
        <v>3953</v>
      </c>
      <c r="M44" s="9" t="s">
        <v>4057</v>
      </c>
      <c r="N44" s="9" t="s">
        <v>4058</v>
      </c>
      <c r="O44" s="9"/>
      <c r="P44" s="9"/>
      <c r="Q44" s="9"/>
      <c r="R44" s="9"/>
    </row>
    <row r="45" spans="1:18">
      <c r="A45" s="9">
        <v>0</v>
      </c>
      <c r="B45" s="9">
        <v>23</v>
      </c>
      <c r="C45" s="9" t="s">
        <v>3972</v>
      </c>
      <c r="D45" s="9" t="s">
        <v>4159</v>
      </c>
      <c r="E45" s="9" t="s">
        <v>4160</v>
      </c>
      <c r="F45" s="79" t="s">
        <v>3973</v>
      </c>
      <c r="G45" s="9" t="s">
        <v>3874</v>
      </c>
      <c r="H45" s="9" t="s">
        <v>3974</v>
      </c>
      <c r="I45" s="9" t="s">
        <v>3975</v>
      </c>
      <c r="J45" s="9"/>
      <c r="K45" s="79" t="s">
        <v>4059</v>
      </c>
      <c r="L45" s="9" t="s">
        <v>3953</v>
      </c>
      <c r="M45" s="9" t="s">
        <v>4060</v>
      </c>
      <c r="N45" s="9" t="s">
        <v>4061</v>
      </c>
      <c r="O45" s="9"/>
      <c r="P45" s="9"/>
      <c r="Q45" s="9"/>
      <c r="R45" s="9"/>
    </row>
    <row r="46" spans="1:18">
      <c r="A46" s="9">
        <v>1</v>
      </c>
      <c r="B46" s="9">
        <v>24</v>
      </c>
      <c r="C46" s="9" t="s">
        <v>3972</v>
      </c>
      <c r="D46" s="9" t="s">
        <v>4161</v>
      </c>
      <c r="E46" s="9" t="s">
        <v>4162</v>
      </c>
      <c r="F46" s="79" t="s">
        <v>4062</v>
      </c>
      <c r="G46" s="9" t="s">
        <v>3874</v>
      </c>
      <c r="H46" s="9" t="s">
        <v>3974</v>
      </c>
      <c r="I46" s="9" t="s">
        <v>3975</v>
      </c>
      <c r="J46" s="9"/>
      <c r="K46" s="79" t="s">
        <v>3982</v>
      </c>
      <c r="L46" s="9" t="s">
        <v>3953</v>
      </c>
      <c r="M46" s="9" t="s">
        <v>4018</v>
      </c>
      <c r="N46" s="9" t="s">
        <v>4063</v>
      </c>
      <c r="O46" s="9"/>
      <c r="P46" s="9"/>
      <c r="Q46" s="9"/>
      <c r="R46" s="9"/>
    </row>
    <row r="47" spans="1:18">
      <c r="A47" s="9">
        <v>0</v>
      </c>
      <c r="B47" s="9">
        <v>25</v>
      </c>
      <c r="C47" s="9" t="s">
        <v>3972</v>
      </c>
      <c r="D47" s="9" t="s">
        <v>4163</v>
      </c>
      <c r="E47" s="9" t="s">
        <v>4164</v>
      </c>
      <c r="F47" s="79" t="s">
        <v>3978</v>
      </c>
      <c r="G47" s="9" t="s">
        <v>3874</v>
      </c>
      <c r="H47" s="9" t="s">
        <v>3974</v>
      </c>
      <c r="I47" s="9" t="s">
        <v>3975</v>
      </c>
      <c r="J47" s="9"/>
      <c r="K47" s="79" t="s">
        <v>4064</v>
      </c>
      <c r="L47" s="9" t="s">
        <v>3953</v>
      </c>
      <c r="M47" s="9" t="s">
        <v>4065</v>
      </c>
      <c r="N47" s="9" t="s">
        <v>4066</v>
      </c>
      <c r="O47" s="9"/>
      <c r="P47" s="9"/>
      <c r="Q47" s="9"/>
      <c r="R47" s="9"/>
    </row>
    <row r="48" spans="1:18">
      <c r="A48" s="9">
        <v>1</v>
      </c>
      <c r="B48" s="9">
        <v>26</v>
      </c>
      <c r="C48" s="9" t="s">
        <v>3972</v>
      </c>
      <c r="D48" s="9" t="s">
        <v>4165</v>
      </c>
      <c r="E48" s="9" t="s">
        <v>4166</v>
      </c>
      <c r="F48" s="79" t="s">
        <v>4020</v>
      </c>
      <c r="G48" s="9" t="s">
        <v>3874</v>
      </c>
      <c r="H48" s="9" t="s">
        <v>3974</v>
      </c>
      <c r="I48" s="9" t="s">
        <v>3975</v>
      </c>
      <c r="J48" s="9"/>
      <c r="K48" s="79" t="s">
        <v>4008</v>
      </c>
      <c r="L48" s="9" t="s">
        <v>3953</v>
      </c>
      <c r="M48" s="9" t="s">
        <v>4067</v>
      </c>
      <c r="N48" s="9"/>
      <c r="O48" s="9"/>
      <c r="P48" s="9"/>
      <c r="Q48" s="9"/>
      <c r="R48" s="9"/>
    </row>
    <row r="49" spans="1:18">
      <c r="A49" s="5">
        <v>1</v>
      </c>
      <c r="B49" s="5">
        <v>27</v>
      </c>
      <c r="C49" s="5" t="s">
        <v>3972</v>
      </c>
      <c r="D49" s="5" t="s">
        <v>4167</v>
      </c>
      <c r="E49" s="5" t="s">
        <v>4168</v>
      </c>
      <c r="F49" s="5"/>
      <c r="G49" s="78" t="s">
        <v>3874</v>
      </c>
      <c r="H49" s="5" t="s">
        <v>4068</v>
      </c>
      <c r="I49" s="5"/>
      <c r="J49" s="5"/>
      <c r="K49" s="78"/>
      <c r="L49" s="5" t="s">
        <v>3953</v>
      </c>
      <c r="M49" s="5" t="s">
        <v>3962</v>
      </c>
      <c r="N49" s="5" t="s">
        <v>4069</v>
      </c>
      <c r="O49" s="5"/>
      <c r="P49" s="5"/>
      <c r="Q49" s="5"/>
      <c r="R49" s="5"/>
    </row>
    <row r="50" spans="1:18">
      <c r="G50" s="76"/>
    </row>
    <row r="51" spans="1:18">
      <c r="A51">
        <v>1</v>
      </c>
      <c r="B51">
        <v>39</v>
      </c>
      <c r="C51" t="s">
        <v>3972</v>
      </c>
      <c r="D51" t="s">
        <v>4169</v>
      </c>
      <c r="E51" t="s">
        <v>4170</v>
      </c>
      <c r="G51" s="76" t="s">
        <v>3874</v>
      </c>
      <c r="H51" t="s">
        <v>3987</v>
      </c>
      <c r="M51" t="s">
        <v>4070</v>
      </c>
    </row>
    <row r="52" spans="1:18">
      <c r="A52" s="5">
        <v>1</v>
      </c>
      <c r="B52" s="5">
        <v>40</v>
      </c>
      <c r="C52" s="5" t="s">
        <v>3972</v>
      </c>
      <c r="D52" s="5" t="s">
        <v>4171</v>
      </c>
      <c r="E52" s="5" t="s">
        <v>4172</v>
      </c>
      <c r="F52" s="5"/>
      <c r="G52" s="78" t="s">
        <v>3874</v>
      </c>
      <c r="H52" s="5" t="s">
        <v>4071</v>
      </c>
      <c r="I52" s="5"/>
      <c r="J52" s="5"/>
      <c r="K52" s="5"/>
      <c r="L52" s="5"/>
      <c r="M52" s="5" t="s">
        <v>4072</v>
      </c>
      <c r="N52" s="5"/>
      <c r="O52" s="5"/>
      <c r="P52" s="5"/>
      <c r="Q52" s="5"/>
      <c r="R52" s="5"/>
    </row>
    <row r="53" spans="1:18">
      <c r="A53">
        <v>0</v>
      </c>
      <c r="B53">
        <v>48</v>
      </c>
      <c r="C53" t="s">
        <v>3947</v>
      </c>
      <c r="D53" t="s">
        <v>4173</v>
      </c>
      <c r="E53" t="s">
        <v>4174</v>
      </c>
      <c r="G53" t="s">
        <v>3874</v>
      </c>
      <c r="H53" t="s">
        <v>3987</v>
      </c>
      <c r="K53"/>
      <c r="M53" t="s">
        <v>4073</v>
      </c>
    </row>
    <row r="54" spans="1:18">
      <c r="A54">
        <v>0</v>
      </c>
      <c r="B54">
        <v>49</v>
      </c>
      <c r="C54" t="s">
        <v>3947</v>
      </c>
      <c r="D54" t="s">
        <v>4175</v>
      </c>
      <c r="E54" t="s">
        <v>4176</v>
      </c>
      <c r="G54" t="s">
        <v>3874</v>
      </c>
      <c r="H54" t="s">
        <v>3987</v>
      </c>
      <c r="K54"/>
      <c r="M54" t="s">
        <v>4074</v>
      </c>
    </row>
    <row r="55" spans="1:18">
      <c r="A55">
        <v>1</v>
      </c>
      <c r="B55">
        <v>51</v>
      </c>
      <c r="C55" t="s">
        <v>3947</v>
      </c>
      <c r="D55" t="s">
        <v>4177</v>
      </c>
      <c r="E55" t="s">
        <v>4178</v>
      </c>
      <c r="G55" t="s">
        <v>3874</v>
      </c>
      <c r="H55" t="s">
        <v>3987</v>
      </c>
      <c r="K55"/>
      <c r="M55" t="s">
        <v>4075</v>
      </c>
    </row>
    <row r="56" spans="1:18">
      <c r="K56"/>
    </row>
    <row r="57" spans="1:18">
      <c r="A57" s="5">
        <v>1</v>
      </c>
      <c r="B57" s="5">
        <v>50</v>
      </c>
      <c r="C57" s="5" t="s">
        <v>3947</v>
      </c>
      <c r="D57" s="5" t="s">
        <v>4179</v>
      </c>
      <c r="E57" s="5" t="s">
        <v>4180</v>
      </c>
      <c r="F57" s="5"/>
      <c r="G57" s="5" t="s">
        <v>4076</v>
      </c>
      <c r="H57" s="5" t="s">
        <v>3987</v>
      </c>
      <c r="I57" s="5"/>
      <c r="J57" s="5"/>
      <c r="K57" s="5"/>
      <c r="L57" s="5"/>
      <c r="M57" s="5" t="s">
        <v>4077</v>
      </c>
      <c r="N57" s="5"/>
      <c r="O57" s="5"/>
      <c r="P57" s="5" t="s">
        <v>3805</v>
      </c>
      <c r="Q57" s="5"/>
      <c r="R57" s="5"/>
    </row>
    <row r="58" spans="1:18">
      <c r="A58" s="5">
        <v>1</v>
      </c>
      <c r="B58" s="5">
        <v>52</v>
      </c>
      <c r="C58" s="5" t="s">
        <v>3947</v>
      </c>
      <c r="D58" s="5" t="s">
        <v>4181</v>
      </c>
      <c r="E58" s="5" t="s">
        <v>4182</v>
      </c>
      <c r="F58" s="5"/>
      <c r="G58" s="5" t="s">
        <v>4076</v>
      </c>
      <c r="H58" s="5" t="s">
        <v>3987</v>
      </c>
      <c r="I58" s="5"/>
      <c r="J58" s="5"/>
      <c r="K58" s="5"/>
      <c r="L58" s="5"/>
      <c r="M58" s="5" t="s">
        <v>4078</v>
      </c>
      <c r="N58" s="5"/>
      <c r="O58" s="5"/>
      <c r="P58" s="5"/>
      <c r="Q58" s="5"/>
      <c r="R58" s="5"/>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27</vt:i4>
      </vt:variant>
    </vt:vector>
  </HeadingPairs>
  <TitlesOfParts>
    <vt:vector size="27" baseType="lpstr">
      <vt:lpstr>白CC</vt:lpstr>
      <vt:lpstr>白UC</vt:lpstr>
      <vt:lpstr>白RC</vt:lpstr>
      <vt:lpstr>青CC</vt:lpstr>
      <vt:lpstr>青UC</vt:lpstr>
      <vt:lpstr>青RC</vt:lpstr>
      <vt:lpstr>黒CC</vt:lpstr>
      <vt:lpstr>黒UC</vt:lpstr>
      <vt:lpstr>黒RC</vt:lpstr>
      <vt:lpstr>赤CC</vt:lpstr>
      <vt:lpstr>赤UC</vt:lpstr>
      <vt:lpstr>赤RC</vt:lpstr>
      <vt:lpstr>緑CC</vt:lpstr>
      <vt:lpstr>緑UC</vt:lpstr>
      <vt:lpstr>緑RC</vt:lpstr>
      <vt:lpstr>多色CC</vt:lpstr>
      <vt:lpstr>多色UC</vt:lpstr>
      <vt:lpstr>多色RC</vt:lpstr>
      <vt:lpstr>多色MC</vt:lpstr>
      <vt:lpstr>ならず者</vt:lpstr>
      <vt:lpstr>Sheet5</vt:lpstr>
      <vt:lpstr>H式CS+ORM</vt:lpstr>
      <vt:lpstr>コモン</vt:lpstr>
      <vt:lpstr>UC</vt:lpstr>
      <vt:lpstr>RMR</vt:lpstr>
      <vt:lpstr>Sheet6</vt:lpstr>
      <vt:lpstr>CNS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komamura</dc:creator>
  <cp:lastModifiedBy>komamura</cp:lastModifiedBy>
  <dcterms:created xsi:type="dcterms:W3CDTF">2018-01-24T02:41:32Z</dcterms:created>
  <dcterms:modified xsi:type="dcterms:W3CDTF">2018-03-23T09:47:27Z</dcterms:modified>
</cp:coreProperties>
</file>